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Deal" sheetId="2" state="visible" r:id="rId2"/>
    <sheet xmlns:r="http://schemas.openxmlformats.org/officeDocument/2006/relationships" name="Historical Score" sheetId="3" state="visible" r:id="rId3"/>
    <sheet xmlns:r="http://schemas.openxmlformats.org/officeDocument/2006/relationships" name="Comparable Deals" sheetId="4" state="visible" r:id="rId4"/>
    <sheet xmlns:r="http://schemas.openxmlformats.org/officeDocument/2006/relationships" name="Historical Data" sheetId="5" state="visible" r:id="rId5"/>
    <sheet xmlns:r="http://schemas.openxmlformats.org/officeDocument/2006/relationships" name="Controls" sheetId="6" state="visible" r:id="rId6"/>
    <sheet xmlns:r="http://schemas.openxmlformats.org/officeDocument/2006/relationships" name="Ref" sheetId="7" state="visible" r:id="rId7"/>
  </sheets>
  <definedNames>
    <definedName name="D26D33">#REF!</definedName>
    <definedName name="_xlnm._FilterDatabase" localSheetId="3" hidden="1">'Comparable Deals'!$A$4:$U$1071</definedName>
  </definedNames>
  <calcPr calcId="124519" fullCalcOnLoad="1"/>
</workbook>
</file>

<file path=xl/styles.xml><?xml version="1.0" encoding="utf-8"?>
<styleSheet xmlns="http://schemas.openxmlformats.org/spreadsheetml/2006/main">
  <numFmts count="9">
    <numFmt numFmtId="164" formatCode="\$#,##0"/>
    <numFmt numFmtId="165" formatCode="mm/dd/yyyy"/>
    <numFmt numFmtId="166" formatCode="\$#,##0.00"/>
    <numFmt numFmtId="167" formatCode="0.0%"/>
    <numFmt numFmtId="168" formatCode="0.0"/>
    <numFmt numFmtId="169" formatCode="0.000"/>
    <numFmt numFmtId="170" formatCode="m/d/yyyy"/>
    <numFmt numFmtId="171" formatCode="M/d/yyyy"/>
    <numFmt numFmtId="172" formatCode="0.0000"/>
  </numFmts>
  <fonts count="23">
    <font>
      <name val="Calibri"/>
      <color theme="1"/>
      <sz val="11"/>
      <scheme val="minor"/>
    </font>
    <font>
      <name val="Calibri"/>
      <color theme="1"/>
      <scheme val="minor"/>
    </font>
    <font>
      <name val="Calibri"/>
      <b val="1"/>
      <color theme="1"/>
      <sz val="14"/>
    </font>
    <font>
      <name val="Calibri"/>
      <color theme="1"/>
      <sz val="11"/>
    </font>
    <font>
      <name val="Calibri"/>
      <b val="1"/>
      <color theme="1"/>
      <sz val="15"/>
    </font>
    <font>
      <name val="Calibri"/>
      <color rgb="FFFF00FF"/>
      <sz val="11"/>
    </font>
    <font>
      <name val="Calibri"/>
      <color rgb="FF374151"/>
      <sz val="9"/>
    </font>
    <font>
      <name val="Calibri"/>
      <b val="1"/>
      <color theme="1"/>
      <sz val="11"/>
    </font>
    <font>
      <name val="Calibri"/>
      <b val="1"/>
      <color rgb="FFFFFFFF"/>
      <sz val="11"/>
    </font>
    <font>
      <name val="Calibri"/>
      <b val="1"/>
      <color theme="1"/>
      <sz val="13"/>
    </font>
    <font/>
    <font>
      <name val="Calibri"/>
      <i val="1"/>
      <color rgb="FF374151"/>
      <sz val="9"/>
    </font>
    <font>
      <name val="Calibri"/>
      <b val="1"/>
      <color rgb="FFFFFFFF"/>
      <sz val="9"/>
    </font>
    <font>
      <name val="Calibri"/>
      <b val="1"/>
      <color rgb="FFFF00FF"/>
      <sz val="12"/>
    </font>
    <font>
      <name val="Calibri"/>
      <b val="1"/>
      <color theme="1"/>
      <sz val="12"/>
    </font>
    <font>
      <name val="Calibri"/>
      <b val="1"/>
      <color rgb="FFFF00FF"/>
      <sz val="11"/>
    </font>
    <font>
      <name val="Calibri"/>
      <color rgb="FFFFFFFF"/>
      <sz val="11"/>
    </font>
    <font>
      <name val="Calibri"/>
      <b val="1"/>
      <color rgb="FF000000"/>
      <sz val="11"/>
    </font>
    <font>
      <name val="Calibri"/>
      <i val="1"/>
      <color rgb="FF374151"/>
      <sz val="11"/>
    </font>
    <font>
      <name val="Calibri"/>
      <b val="1"/>
      <i val="1"/>
      <color rgb="FF374151"/>
      <sz val="9"/>
    </font>
    <font>
      <name val="Calibri"/>
      <b val="1"/>
      <color theme="1"/>
      <sz val="9"/>
    </font>
    <font>
      <name val="Calibri"/>
      <i val="1"/>
      <color rgb="FF374151"/>
      <sz val="10"/>
    </font>
    <font>
      <name val="Calibri"/>
      <color theme="1"/>
      <sz val="11"/>
      <u val="single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1F2937"/>
        <bgColor rgb="FF1F2937"/>
      </patternFill>
    </fill>
    <fill>
      <patternFill patternType="solid">
        <fgColor rgb="FF4B5563"/>
        <bgColor rgb="FF4B5563"/>
      </patternFill>
    </fill>
    <fill>
      <patternFill patternType="solid">
        <fgColor rgb="FFE5E7EB"/>
        <bgColor rgb="FFE5E7EB"/>
      </patternFill>
    </fill>
    <fill>
      <patternFill patternType="solid">
        <fgColor rgb="FFF3F4F6"/>
        <bgColor rgb="FFF3F4F6"/>
      </patternFill>
    </fill>
    <fill>
      <patternFill patternType="solid">
        <fgColor rgb="FFCCE5FF"/>
      </patternFill>
    </fill>
  </fills>
  <borders count="32">
    <border/>
    <border>
      <left/>
      <top/>
      <bottom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</border>
    <border>
      <top/>
      <bottom/>
    </border>
    <border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374151"/>
      </left>
      <right style="medium">
        <color rgb="FF374151"/>
      </right>
      <top style="medium">
        <color rgb="FF374151"/>
      </top>
      <bottom style="medium">
        <color rgb="FF374151"/>
      </bottom>
    </border>
    <border>
      <left style="thin">
        <color rgb="FF9CA3AF"/>
      </left>
      <top style="thin">
        <color rgb="FF9CA3AF"/>
      </top>
      <bottom style="thin">
        <color rgb="FF9CA3AF"/>
      </bottom>
    </border>
    <border>
      <right style="thin">
        <color rgb="FF9CA3AF"/>
      </right>
      <top style="thin">
        <color rgb="FF9CA3AF"/>
      </top>
      <bottom style="thin">
        <color rgb="FF9CA3AF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374151"/>
      </left>
      <top style="medium">
        <color rgb="FF374151"/>
      </top>
      <bottom style="medium">
        <color rgb="FF374151"/>
      </bottom>
    </border>
    <border>
      <left style="thin">
        <color rgb="FF9CA3AF"/>
      </left>
      <right style="thin">
        <color rgb="FF9CA3AF"/>
      </right>
      <top style="thin">
        <color rgb="FF9CA3AF"/>
      </top>
      <bottom/>
    </border>
    <border>
      <left style="medium">
        <color rgb="FF374151"/>
      </left>
      <right/>
      <top style="medium">
        <color rgb="FF374151"/>
      </top>
      <bottom/>
    </border>
    <border>
      <top style="thin">
        <color rgb="FF000000"/>
      </top>
    </border>
    <border>
      <left/>
      <right/>
      <top/>
      <bottom/>
    </border>
    <border>
      <left style="thin">
        <color rgb="FF9CA3AF"/>
      </left>
      <right style="thin">
        <color rgb="FF9CA3AF"/>
      </right>
      <top style="thin">
        <color rgb="FF9CA3AF"/>
      </top>
    </border>
    <border>
      <left style="thick">
        <color rgb="FF000000"/>
      </left>
      <right style="thin">
        <color rgb="FF9CA3AF"/>
      </right>
      <top style="thick">
        <color rgb="FF000000"/>
      </top>
      <bottom style="thick">
        <color rgb="FF000000"/>
      </bottom>
    </border>
    <border>
      <left style="thin">
        <color rgb="FF9CA3AF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9CA3AF"/>
      </left>
      <right style="thin">
        <color rgb="FF9CA3AF"/>
      </right>
      <bottom style="thin">
        <color rgb="FF9CA3AF"/>
      </bottom>
    </border>
    <border>
      <top style="thin">
        <color rgb="FF9CA3AF"/>
      </top>
      <bottom style="thin">
        <color rgb="FF9CA3AF"/>
      </bottom>
    </border>
    <border>
      <left style="thin">
        <color rgb="FF9CA3AF"/>
      </left>
    </border>
    <border>
      <top style="medium">
        <color rgb="FF374151"/>
      </top>
      <bottom style="medium">
        <color rgb="FF374151"/>
      </bottom>
    </border>
    <border>
      <left/>
      <top/>
    </border>
    <border>
      <right/>
      <top/>
    </border>
    <border>
      <left style="medium">
        <color rgb="FF374151"/>
      </left>
      <right style="medium">
        <color rgb="FF374151"/>
      </right>
      <bottom style="medium">
        <color rgb="FF374151"/>
      </bottom>
    </border>
    <border>
      <top style="thin">
        <color rgb="FF9CA3AF"/>
      </top>
    </border>
    <border>
      <right style="thin">
        <color rgb="FF9CA3AF"/>
      </right>
      <top style="thin">
        <color rgb="FF9CA3AF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top style="medium">
        <color rgb="FF374151"/>
      </top>
    </border>
    <border>
      <left/>
      <right/>
      <top/>
    </border>
  </borders>
  <cellStyleXfs count="1">
    <xf numFmtId="0" fontId="0" fillId="0" borderId="0"/>
  </cellStyleXfs>
  <cellXfs count="202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4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vertical="bottom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vertical="bottom"/>
    </xf>
    <xf numFmtId="0" fontId="8" fillId="3" borderId="1" applyAlignment="1" pivotButton="0" quotePrefix="0" xfId="0">
      <alignment horizontal="left" vertical="center"/>
    </xf>
    <xf numFmtId="0" fontId="9" fillId="0" borderId="2" applyAlignment="1" pivotButton="0" quotePrefix="0" xfId="0">
      <alignment horizontal="center" vertical="center"/>
    </xf>
    <xf numFmtId="0" fontId="10" fillId="0" borderId="3" pivotButton="0" quotePrefix="0" xfId="0"/>
    <xf numFmtId="0" fontId="11" fillId="0" borderId="0" applyAlignment="1" pivotButton="0" quotePrefix="0" xfId="0">
      <alignment horizontal="left" vertical="center"/>
    </xf>
    <xf numFmtId="0" fontId="10" fillId="0" borderId="4" pivotButton="0" quotePrefix="0" xfId="0"/>
    <xf numFmtId="0" fontId="12" fillId="4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8" fillId="3" borderId="1" applyAlignment="1" pivotButton="0" quotePrefix="0" xfId="0">
      <alignment horizontal="left" vertical="center"/>
    </xf>
    <xf numFmtId="0" fontId="12" fillId="4" borderId="2" applyAlignment="1" pivotButton="0" quotePrefix="0" xfId="0">
      <alignment horizontal="center" vertical="center"/>
    </xf>
    <xf numFmtId="1" fontId="7" fillId="0" borderId="2" applyAlignment="1" pivotButton="0" quotePrefix="0" xfId="0">
      <alignment horizontal="center" vertical="center"/>
    </xf>
    <xf numFmtId="0" fontId="12" fillId="4" borderId="2" applyAlignment="1" pivotButton="0" quotePrefix="0" xfId="0">
      <alignment horizontal="center" vertical="center"/>
    </xf>
    <xf numFmtId="164" fontId="13" fillId="0" borderId="5" applyAlignment="1" pivotButton="0" quotePrefix="0" xfId="0">
      <alignment horizontal="center" vertical="center"/>
    </xf>
    <xf numFmtId="2" fontId="13" fillId="0" borderId="5" applyAlignment="1" pivotButton="0" quotePrefix="0" xfId="0">
      <alignment horizontal="center" vertical="center"/>
    </xf>
    <xf numFmtId="1" fontId="13" fillId="0" borderId="5" applyAlignment="1" pivotButton="0" quotePrefix="0" xfId="0">
      <alignment horizontal="center" vertical="center"/>
    </xf>
    <xf numFmtId="165" fontId="3" fillId="0" borderId="0" applyAlignment="1" pivotButton="0" quotePrefix="0" xfId="0">
      <alignment vertical="bottom"/>
    </xf>
    <xf numFmtId="0" fontId="13" fillId="0" borderId="5" applyAlignment="1" pivotButton="0" quotePrefix="0" xfId="0">
      <alignment horizontal="center" vertical="center"/>
    </xf>
    <xf numFmtId="9" fontId="13" fillId="0" borderId="5" applyAlignment="1" pivotButton="0" quotePrefix="0" xfId="0">
      <alignment horizontal="center" vertical="center"/>
    </xf>
    <xf numFmtId="2" fontId="3" fillId="0" borderId="0" applyAlignment="1" pivotButton="0" quotePrefix="0" xfId="0">
      <alignment vertical="bottom"/>
    </xf>
    <xf numFmtId="166" fontId="3" fillId="0" borderId="2" applyAlignment="1" pivotButton="0" quotePrefix="0" xfId="0">
      <alignment horizontal="center" vertical="center"/>
    </xf>
    <xf numFmtId="164" fontId="3" fillId="0" borderId="0" applyAlignment="1" pivotButton="0" quotePrefix="0" xfId="0">
      <alignment vertical="bottom"/>
    </xf>
    <xf numFmtId="0" fontId="7" fillId="0" borderId="2" applyAlignment="1" pivotButton="0" quotePrefix="0" xfId="0">
      <alignment horizontal="center" vertical="center"/>
    </xf>
    <xf numFmtId="9" fontId="3" fillId="0" borderId="0" applyAlignment="1" pivotButton="0" quotePrefix="0" xfId="0">
      <alignment vertical="bottom"/>
    </xf>
    <xf numFmtId="166" fontId="7" fillId="0" borderId="2" applyAlignment="1" pivotButton="0" quotePrefix="0" xfId="0">
      <alignment horizontal="center" vertical="center"/>
    </xf>
    <xf numFmtId="10" fontId="3" fillId="0" borderId="2" applyAlignment="1" pivotButton="0" quotePrefix="0" xfId="0">
      <alignment horizontal="center" vertical="center"/>
    </xf>
    <xf numFmtId="167" fontId="7" fillId="0" borderId="2" applyAlignment="1" pivotButton="0" quotePrefix="0" xfId="0">
      <alignment horizontal="center" vertical="center"/>
    </xf>
    <xf numFmtId="164" fontId="14" fillId="0" borderId="2" applyAlignment="1" pivotButton="0" quotePrefix="0" xfId="0">
      <alignment horizontal="center" vertical="center"/>
    </xf>
    <xf numFmtId="166" fontId="14" fillId="0" borderId="2" applyAlignment="1" pivotButton="0" quotePrefix="0" xfId="0">
      <alignment horizontal="center" vertical="center"/>
    </xf>
    <xf numFmtId="0" fontId="12" fillId="3" borderId="2" applyAlignment="1" pivotButton="0" quotePrefix="0" xfId="0">
      <alignment horizontal="center" vertical="center" wrapText="1"/>
    </xf>
    <xf numFmtId="1" fontId="3" fillId="0" borderId="2" applyAlignment="1" pivotButton="0" quotePrefix="0" xfId="0">
      <alignment horizontal="center" vertical="center"/>
    </xf>
    <xf numFmtId="168" fontId="14" fillId="0" borderId="2" applyAlignment="1" pivotButton="0" quotePrefix="0" xfId="0">
      <alignment horizontal="center" vertical="center"/>
    </xf>
    <xf numFmtId="164" fontId="3" fillId="0" borderId="2" applyAlignment="1" pivotButton="0" quotePrefix="0" xfId="0">
      <alignment horizontal="center" vertical="center"/>
    </xf>
    <xf numFmtId="169" fontId="3" fillId="0" borderId="2" applyAlignment="1" pivotButton="0" quotePrefix="0" xfId="0">
      <alignment horizontal="center" vertical="center"/>
    </xf>
    <xf numFmtId="169" fontId="7" fillId="0" borderId="2" applyAlignment="1" pivotButton="0" quotePrefix="0" xfId="0">
      <alignment horizontal="center" vertical="center"/>
    </xf>
    <xf numFmtId="167" fontId="3" fillId="0" borderId="0" applyAlignment="1" pivotButton="0" quotePrefix="0" xfId="0">
      <alignment vertical="bottom"/>
    </xf>
    <xf numFmtId="167" fontId="3" fillId="0" borderId="2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164" fontId="5" fillId="0" borderId="5" applyAlignment="1" pivotButton="0" quotePrefix="0" xfId="0">
      <alignment horizontal="center" vertical="center"/>
    </xf>
    <xf numFmtId="1" fontId="5" fillId="0" borderId="5" applyAlignment="1" pivotButton="0" quotePrefix="0" xfId="0">
      <alignment horizontal="center" vertical="center"/>
    </xf>
    <xf numFmtId="2" fontId="3" fillId="0" borderId="2" applyAlignment="1" pivotButton="0" quotePrefix="0" xfId="0">
      <alignment horizontal="center" vertical="center"/>
    </xf>
    <xf numFmtId="0" fontId="12" fillId="4" borderId="2" applyAlignment="1" pivotButton="0" quotePrefix="0" xfId="0">
      <alignment horizontal="left" vertical="center"/>
    </xf>
    <xf numFmtId="0" fontId="15" fillId="5" borderId="6" applyAlignment="1" pivotButton="0" quotePrefix="0" xfId="0">
      <alignment horizontal="center" vertical="center"/>
    </xf>
    <xf numFmtId="0" fontId="6" fillId="2" borderId="7" applyAlignment="1" pivotButton="0" quotePrefix="0" xfId="0">
      <alignment horizontal="center" vertical="bottom"/>
    </xf>
    <xf numFmtId="0" fontId="10" fillId="0" borderId="8" pivotButton="0" quotePrefix="0" xfId="0"/>
    <xf numFmtId="1" fontId="5" fillId="0" borderId="5" applyAlignment="1" pivotButton="0" quotePrefix="0" xfId="0">
      <alignment horizontal="center" vertical="center"/>
    </xf>
    <xf numFmtId="168" fontId="12" fillId="4" borderId="2" applyAlignment="1" pivotButton="0" quotePrefix="0" xfId="0">
      <alignment horizontal="left" vertical="center"/>
    </xf>
    <xf numFmtId="1" fontId="15" fillId="5" borderId="6" applyAlignment="1" pivotButton="0" quotePrefix="0" xfId="0">
      <alignment horizontal="center" vertical="center"/>
    </xf>
    <xf numFmtId="2" fontId="6" fillId="0" borderId="9" applyAlignment="1" pivotButton="0" quotePrefix="0" xfId="0">
      <alignment horizontal="center" vertical="bottom"/>
    </xf>
    <xf numFmtId="0" fontId="10" fillId="0" borderId="10" pivotButton="0" quotePrefix="0" xfId="0"/>
    <xf numFmtId="1" fontId="15" fillId="5" borderId="11" applyAlignment="1" pivotButton="0" quotePrefix="0" xfId="0">
      <alignment horizontal="center" vertical="center"/>
    </xf>
    <xf numFmtId="168" fontId="12" fillId="4" borderId="12" applyAlignment="1" pivotButton="0" quotePrefix="0" xfId="0">
      <alignment horizontal="left" vertical="center"/>
    </xf>
    <xf numFmtId="1" fontId="15" fillId="5" borderId="13" applyAlignment="1" pivotButton="0" quotePrefix="0" xfId="0">
      <alignment horizontal="center" vertical="center"/>
    </xf>
    <xf numFmtId="164" fontId="5" fillId="0" borderId="5" applyAlignment="1" pivotButton="0" quotePrefix="0" xfId="0">
      <alignment horizontal="center" vertical="center"/>
    </xf>
    <xf numFmtId="168" fontId="6" fillId="0" borderId="14" applyAlignment="1" pivotButton="0" quotePrefix="0" xfId="0">
      <alignment horizontal="left" vertical="center"/>
    </xf>
    <xf numFmtId="1" fontId="3" fillId="0" borderId="14" applyAlignment="1" pivotButton="0" quotePrefix="0" xfId="0">
      <alignment horizontal="center" vertical="bottom"/>
    </xf>
    <xf numFmtId="2" fontId="3" fillId="0" borderId="14" applyAlignment="1" pivotButton="0" quotePrefix="0" xfId="0">
      <alignment horizontal="center" vertical="bottom"/>
    </xf>
    <xf numFmtId="0" fontId="3" fillId="0" borderId="0" applyAlignment="1" pivotButton="0" quotePrefix="0" xfId="0">
      <alignment horizontal="right" vertical="bottom"/>
    </xf>
    <xf numFmtId="1" fontId="7" fillId="0" borderId="0" applyAlignment="1" pivotButton="0" quotePrefix="0" xfId="0">
      <alignment horizontal="center" vertical="bottom"/>
    </xf>
    <xf numFmtId="0" fontId="11" fillId="0" borderId="0" applyAlignment="1" pivotButton="0" quotePrefix="0" xfId="0">
      <alignment vertical="bottom"/>
    </xf>
    <xf numFmtId="0" fontId="3" fillId="0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164" fontId="7" fillId="5" borderId="2" applyAlignment="1" pivotButton="0" quotePrefix="0" xfId="0">
      <alignment horizontal="center" vertical="center"/>
    </xf>
    <xf numFmtId="164" fontId="7" fillId="5" borderId="2" applyAlignment="1" pivotButton="0" quotePrefix="0" xfId="0">
      <alignment horizontal="center" vertical="center"/>
    </xf>
    <xf numFmtId="1" fontId="7" fillId="5" borderId="2" applyAlignment="1" pivotButton="0" quotePrefix="0" xfId="0">
      <alignment horizontal="center" vertical="center"/>
    </xf>
    <xf numFmtId="167" fontId="7" fillId="5" borderId="2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/>
    </xf>
    <xf numFmtId="0" fontId="3" fillId="0" borderId="5" applyAlignment="1" pivotButton="0" quotePrefix="0" xfId="0">
      <alignment horizontal="center" vertical="center"/>
    </xf>
    <xf numFmtId="170" fontId="3" fillId="0" borderId="2" applyAlignment="1" pivotButton="0" quotePrefix="0" xfId="0">
      <alignment horizontal="center" vertical="center"/>
    </xf>
    <xf numFmtId="4" fontId="3" fillId="0" borderId="2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/>
    </xf>
    <xf numFmtId="0" fontId="3" fillId="0" borderId="5" applyAlignment="1" pivotButton="0" quotePrefix="0" xfId="0">
      <alignment horizontal="center" vertical="center"/>
    </xf>
    <xf numFmtId="171" fontId="3" fillId="0" borderId="0" applyAlignment="1" pivotButton="0" quotePrefix="0" xfId="0">
      <alignment vertical="bottom"/>
    </xf>
    <xf numFmtId="0" fontId="16" fillId="4" borderId="2" applyAlignment="1" pivotButton="0" quotePrefix="0" xfId="0">
      <alignment horizontal="left" vertical="center"/>
    </xf>
    <xf numFmtId="1" fontId="16" fillId="4" borderId="2" applyAlignment="1" pivotButton="0" quotePrefix="0" xfId="0">
      <alignment horizontal="center" vertical="center"/>
    </xf>
    <xf numFmtId="164" fontId="16" fillId="4" borderId="2" applyAlignment="1" pivotButton="0" quotePrefix="0" xfId="0">
      <alignment horizontal="center" vertical="center"/>
    </xf>
    <xf numFmtId="0" fontId="8" fillId="4" borderId="2" applyAlignment="1" pivotButton="0" quotePrefix="0" xfId="0">
      <alignment horizontal="center" vertical="center"/>
    </xf>
    <xf numFmtId="167" fontId="16" fillId="4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right" vertical="center"/>
    </xf>
    <xf numFmtId="2" fontId="16" fillId="4" borderId="2" applyAlignment="1" pivotButton="0" quotePrefix="0" xfId="0">
      <alignment horizontal="center" vertical="center"/>
    </xf>
    <xf numFmtId="0" fontId="16" fillId="0" borderId="0" applyAlignment="1" pivotButton="0" quotePrefix="0" xfId="0">
      <alignment vertical="bottom"/>
    </xf>
    <xf numFmtId="0" fontId="12" fillId="4" borderId="2" applyAlignment="1" pivotButton="0" quotePrefix="0" xfId="0">
      <alignment horizontal="center" vertical="center" wrapText="1"/>
    </xf>
    <xf numFmtId="166" fontId="7" fillId="5" borderId="2" applyAlignment="1" pivotButton="0" quotePrefix="0" xfId="0">
      <alignment horizontal="center" vertical="center"/>
    </xf>
    <xf numFmtId="1" fontId="12" fillId="4" borderId="2" applyAlignment="1" pivotButton="0" quotePrefix="0" xfId="0">
      <alignment horizontal="center" vertical="center" wrapText="1"/>
    </xf>
    <xf numFmtId="164" fontId="12" fillId="4" borderId="2" applyAlignment="1" pivotButton="0" quotePrefix="0" xfId="0">
      <alignment horizontal="center" vertical="center" wrapText="1"/>
    </xf>
    <xf numFmtId="166" fontId="3" fillId="0" borderId="0" applyAlignment="1" pivotButton="0" quotePrefix="0" xfId="0">
      <alignment vertical="bottom"/>
    </xf>
    <xf numFmtId="167" fontId="12" fillId="4" borderId="2" applyAlignment="1" pivotButton="0" quotePrefix="0" xfId="0">
      <alignment horizontal="center" vertical="center" wrapText="1"/>
    </xf>
    <xf numFmtId="2" fontId="12" fillId="4" borderId="2" applyAlignment="1" pivotButton="0" quotePrefix="0" xfId="0">
      <alignment horizontal="center" vertical="center" wrapText="1"/>
    </xf>
    <xf numFmtId="10" fontId="7" fillId="0" borderId="2" applyAlignment="1" pivotButton="0" quotePrefix="0" xfId="0">
      <alignment horizontal="center" vertical="center"/>
    </xf>
    <xf numFmtId="167" fontId="5" fillId="0" borderId="5" applyAlignment="1" pivotButton="0" quotePrefix="0" xfId="0">
      <alignment horizontal="center" vertical="center"/>
    </xf>
    <xf numFmtId="167" fontId="17" fillId="0" borderId="2" applyAlignment="1" pivotButton="0" quotePrefix="0" xfId="0">
      <alignment horizontal="center" vertical="center"/>
    </xf>
    <xf numFmtId="167" fontId="6" fillId="0" borderId="2" applyAlignment="1" pivotButton="0" quotePrefix="0" xfId="0">
      <alignment horizontal="center" vertical="center"/>
    </xf>
    <xf numFmtId="2" fontId="7" fillId="0" borderId="2" applyAlignment="1" pivotButton="0" quotePrefix="0" xfId="0">
      <alignment horizontal="center" vertical="center"/>
    </xf>
    <xf numFmtId="2" fontId="5" fillId="0" borderId="5" applyAlignment="1" pivotButton="0" quotePrefix="0" xfId="0">
      <alignment horizontal="center" vertical="center"/>
    </xf>
    <xf numFmtId="2" fontId="17" fillId="0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/>
    </xf>
    <xf numFmtId="0" fontId="11" fillId="5" borderId="2" applyAlignment="1" pivotButton="0" quotePrefix="0" xfId="0">
      <alignment horizontal="center" vertical="center"/>
    </xf>
    <xf numFmtId="0" fontId="8" fillId="3" borderId="15" applyAlignment="1" pivotButton="0" quotePrefix="0" xfId="0">
      <alignment horizontal="left" vertical="center"/>
    </xf>
    <xf numFmtId="167" fontId="18" fillId="0" borderId="5" applyAlignment="1" pivotButton="0" quotePrefix="0" xfId="0">
      <alignment horizontal="center" vertical="center"/>
    </xf>
    <xf numFmtId="1" fontId="7" fillId="0" borderId="2" applyAlignment="1" pivotButton="0" quotePrefix="0" xfId="0">
      <alignment horizontal="left" vertical="center"/>
    </xf>
    <xf numFmtId="3" fontId="3" fillId="0" borderId="5" applyAlignment="1" pivotButton="0" quotePrefix="0" xfId="0">
      <alignment horizontal="center" vertical="center"/>
    </xf>
    <xf numFmtId="1" fontId="6" fillId="0" borderId="2" applyAlignment="1" pivotButton="0" quotePrefix="0" xfId="0">
      <alignment horizontal="center" vertical="center"/>
    </xf>
    <xf numFmtId="0" fontId="6" fillId="0" borderId="0" applyAlignment="1" pivotButton="0" quotePrefix="0" xfId="0">
      <alignment vertical="bottom"/>
    </xf>
    <xf numFmtId="167" fontId="7" fillId="0" borderId="2" applyAlignment="1" pivotButton="0" quotePrefix="0" xfId="0">
      <alignment horizontal="left" vertical="center"/>
    </xf>
    <xf numFmtId="1" fontId="3" fillId="0" borderId="5" applyAlignment="1" pivotButton="0" quotePrefix="0" xfId="0">
      <alignment horizontal="center" vertical="center"/>
    </xf>
    <xf numFmtId="2" fontId="7" fillId="0" borderId="2" applyAlignment="1" pivotButton="0" quotePrefix="0" xfId="0">
      <alignment horizontal="left" vertical="center"/>
    </xf>
    <xf numFmtId="2" fontId="14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/>
    </xf>
    <xf numFmtId="9" fontId="7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167" fontId="7" fillId="0" borderId="16" applyAlignment="1" pivotButton="0" quotePrefix="0" xfId="0">
      <alignment horizontal="center" vertical="center"/>
    </xf>
    <xf numFmtId="1" fontId="18" fillId="0" borderId="5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167" fontId="3" fillId="0" borderId="5" applyAlignment="1" pivotButton="0" quotePrefix="0" xfId="0">
      <alignment horizontal="center" vertical="center"/>
    </xf>
    <xf numFmtId="0" fontId="7" fillId="0" borderId="2" applyAlignment="1" pivotButton="0" quotePrefix="0" xfId="0">
      <alignment horizontal="right" vertical="center"/>
    </xf>
    <xf numFmtId="0" fontId="14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right" vertical="center"/>
    </xf>
    <xf numFmtId="1" fontId="1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right" vertical="bottom"/>
    </xf>
    <xf numFmtId="164" fontId="13" fillId="0" borderId="5" applyAlignment="1" pivotButton="0" quotePrefix="0" xfId="0">
      <alignment horizontal="center" vertical="bottom"/>
    </xf>
    <xf numFmtId="0" fontId="8" fillId="3" borderId="15" applyAlignment="1" pivotButton="0" quotePrefix="0" xfId="0">
      <alignment horizontal="left" vertical="center"/>
    </xf>
    <xf numFmtId="168" fontId="7" fillId="0" borderId="2" applyAlignment="1" pivotButton="0" quotePrefix="0" xfId="0">
      <alignment horizontal="center" vertical="center"/>
    </xf>
    <xf numFmtId="168" fontId="3" fillId="0" borderId="0" applyAlignment="1" pivotButton="0" quotePrefix="0" xfId="0">
      <alignment vertical="bottom"/>
    </xf>
    <xf numFmtId="0" fontId="3" fillId="0" borderId="16" applyAlignment="1" pivotButton="0" quotePrefix="0" xfId="0">
      <alignment horizontal="right" vertical="center"/>
    </xf>
    <xf numFmtId="166" fontId="3" fillId="0" borderId="16" applyAlignment="1" pivotButton="0" quotePrefix="0" xfId="0">
      <alignment horizontal="center" vertical="center"/>
    </xf>
    <xf numFmtId="0" fontId="7" fillId="0" borderId="17" applyAlignment="1" pivotButton="0" quotePrefix="0" xfId="0">
      <alignment horizontal="right" vertical="center"/>
    </xf>
    <xf numFmtId="166" fontId="14" fillId="0" borderId="18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3" fillId="0" borderId="19" applyAlignment="1" pivotButton="0" quotePrefix="0" xfId="0">
      <alignment horizontal="right" vertical="center"/>
    </xf>
    <xf numFmtId="164" fontId="3" fillId="0" borderId="19" applyAlignment="1" pivotButton="0" quotePrefix="0" xfId="0">
      <alignment horizontal="center" vertical="center"/>
    </xf>
    <xf numFmtId="1" fontId="7" fillId="0" borderId="5" applyAlignment="1" pivotButton="0" quotePrefix="0" xfId="0">
      <alignment horizontal="center" vertical="center"/>
    </xf>
    <xf numFmtId="2" fontId="7" fillId="0" borderId="5" applyAlignment="1" pivotButton="0" quotePrefix="0" xfId="0">
      <alignment horizontal="center" vertical="center"/>
    </xf>
    <xf numFmtId="164" fontId="9" fillId="0" borderId="2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0" fontId="8" fillId="4" borderId="2" applyAlignment="1" pivotButton="0" quotePrefix="0" xfId="0">
      <alignment horizontal="right" vertical="center"/>
    </xf>
    <xf numFmtId="0" fontId="9" fillId="4" borderId="2" applyAlignment="1" pivotButton="0" quotePrefix="0" xfId="0">
      <alignment horizontal="center" vertical="center"/>
    </xf>
    <xf numFmtId="0" fontId="20" fillId="0" borderId="2" applyAlignment="1" pivotButton="0" quotePrefix="0" xfId="0">
      <alignment horizontal="right" vertical="center"/>
    </xf>
    <xf numFmtId="164" fontId="20" fillId="0" borderId="2" applyAlignment="1" pivotButton="0" quotePrefix="0" xfId="0">
      <alignment horizontal="center" vertical="center"/>
    </xf>
    <xf numFmtId="0" fontId="21" fillId="6" borderId="2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center" vertical="center"/>
    </xf>
    <xf numFmtId="0" fontId="12" fillId="4" borderId="7" applyAlignment="1" pivotButton="0" quotePrefix="0" xfId="0">
      <alignment horizontal="left" vertical="center"/>
    </xf>
    <xf numFmtId="0" fontId="10" fillId="0" borderId="20" pivotButton="0" quotePrefix="0" xfId="0"/>
    <xf numFmtId="2" fontId="6" fillId="0" borderId="2" applyAlignment="1" pivotButton="0" quotePrefix="0" xfId="0">
      <alignment horizontal="center" vertical="center"/>
    </xf>
    <xf numFmtId="168" fontId="17" fillId="5" borderId="6" applyAlignment="1" pivotButton="0" quotePrefix="0" xfId="0">
      <alignment horizontal="center" vertical="center"/>
    </xf>
    <xf numFmtId="1" fontId="17" fillId="5" borderId="6" applyAlignment="1" pivotButton="0" quotePrefix="0" xfId="0">
      <alignment horizontal="center" vertical="center"/>
    </xf>
    <xf numFmtId="2" fontId="17" fillId="5" borderId="6" applyAlignment="1" pivotButton="0" quotePrefix="0" xfId="0">
      <alignment horizontal="center" vertical="center"/>
    </xf>
    <xf numFmtId="167" fontId="17" fillId="5" borderId="6" applyAlignment="1" pivotButton="0" quotePrefix="0" xfId="0">
      <alignment horizontal="center" vertical="center"/>
    </xf>
    <xf numFmtId="0" fontId="3" fillId="0" borderId="21" applyAlignment="1" pivotButton="0" quotePrefix="0" xfId="0">
      <alignment horizontal="left" vertical="center"/>
    </xf>
    <xf numFmtId="0" fontId="8" fillId="3" borderId="7" applyAlignment="1" pivotButton="0" quotePrefix="0" xfId="0">
      <alignment horizontal="left" vertical="center"/>
    </xf>
    <xf numFmtId="169" fontId="17" fillId="5" borderId="6" applyAlignment="1" pivotButton="0" quotePrefix="0" xfId="0">
      <alignment horizontal="center" vertical="center"/>
    </xf>
    <xf numFmtId="172" fontId="17" fillId="5" borderId="6" applyAlignment="1" pivotButton="0" quotePrefix="0" xfId="0">
      <alignment horizontal="center" vertical="center"/>
    </xf>
    <xf numFmtId="0" fontId="12" fillId="4" borderId="16" applyAlignment="1" pivotButton="0" quotePrefix="0" xfId="0">
      <alignment horizontal="center" vertical="center" wrapText="1"/>
    </xf>
    <xf numFmtId="168" fontId="8" fillId="3" borderId="11" applyAlignment="1" pivotButton="0" quotePrefix="0" xfId="0">
      <alignment horizontal="left" vertical="center"/>
    </xf>
    <xf numFmtId="0" fontId="10" fillId="0" borderId="22" pivotButton="0" quotePrefix="0" xfId="0"/>
    <xf numFmtId="168" fontId="3" fillId="5" borderId="19" applyAlignment="1" pivotButton="0" quotePrefix="0" xfId="0">
      <alignment horizontal="left" vertical="center"/>
    </xf>
    <xf numFmtId="165" fontId="17" fillId="5" borderId="6" applyAlignment="1" pivotButton="0" quotePrefix="0" xfId="0">
      <alignment horizontal="center" vertical="center"/>
    </xf>
    <xf numFmtId="168" fontId="3" fillId="5" borderId="2" applyAlignment="1" pivotButton="0" quotePrefix="0" xfId="0">
      <alignment horizontal="left" vertical="center"/>
    </xf>
    <xf numFmtId="164" fontId="17" fillId="5" borderId="6" applyAlignment="1" pivotButton="0" quotePrefix="0" xfId="0">
      <alignment horizontal="center" vertical="center"/>
    </xf>
    <xf numFmtId="0" fontId="8" fillId="3" borderId="23" applyAlignment="1" pivotButton="0" quotePrefix="0" xfId="0">
      <alignment horizontal="left" vertical="center"/>
    </xf>
    <xf numFmtId="0" fontId="10" fillId="0" borderId="24" pivotButton="0" quotePrefix="0" xfId="0"/>
    <xf numFmtId="0" fontId="8" fillId="3" borderId="7" applyAlignment="1" pivotButton="0" quotePrefix="0" xfId="0">
      <alignment horizontal="left" vertical="center"/>
    </xf>
    <xf numFmtId="2" fontId="17" fillId="5" borderId="25" applyAlignment="1" pivotButton="0" quotePrefix="0" xfId="0">
      <alignment horizontal="center" vertical="center"/>
    </xf>
    <xf numFmtId="2" fontId="17" fillId="5" borderId="6" applyAlignment="1" pivotButton="0" quotePrefix="0" xfId="0">
      <alignment horizontal="center" vertical="center"/>
    </xf>
    <xf numFmtId="9" fontId="17" fillId="5" borderId="6" applyAlignment="1" pivotButton="0" quotePrefix="0" xfId="0">
      <alignment horizontal="center" vertical="center"/>
    </xf>
    <xf numFmtId="9" fontId="17" fillId="5" borderId="6" applyAlignment="1" pivotButton="0" quotePrefix="0" xfId="0">
      <alignment horizontal="center" vertical="center"/>
    </xf>
    <xf numFmtId="0" fontId="17" fillId="5" borderId="6" applyAlignment="1" pivotButton="0" quotePrefix="0" xfId="0">
      <alignment horizontal="center" vertical="center"/>
    </xf>
    <xf numFmtId="0" fontId="22" fillId="0" borderId="0" applyAlignment="1" pivotButton="0" quotePrefix="0" xfId="0">
      <alignment vertical="bottom"/>
    </xf>
    <xf numFmtId="0" fontId="0" fillId="0" borderId="0" pivotButton="0" quotePrefix="0" xfId="0"/>
    <xf numFmtId="0" fontId="6" fillId="2" borderId="2" applyAlignment="1" pivotButton="0" quotePrefix="0" xfId="0">
      <alignment horizontal="center" vertical="bottom"/>
    </xf>
    <xf numFmtId="0" fontId="0" fillId="0" borderId="8" pivotButton="0" quotePrefix="0" xfId="0"/>
    <xf numFmtId="2" fontId="6" fillId="0" borderId="5" applyAlignment="1" pivotButton="0" quotePrefix="0" xfId="0">
      <alignment horizontal="center" vertical="bottom"/>
    </xf>
    <xf numFmtId="0" fontId="0" fillId="0" borderId="10" pivotButton="0" quotePrefix="0" xfId="0"/>
    <xf numFmtId="0" fontId="7" fillId="7" borderId="2" applyAlignment="1" pivotButton="0" quotePrefix="0" xfId="0">
      <alignment horizontal="center" vertical="center"/>
    </xf>
    <xf numFmtId="1" fontId="7" fillId="7" borderId="2" applyAlignment="1" pivotButton="0" quotePrefix="0" xfId="0">
      <alignment horizontal="center" vertical="center"/>
    </xf>
    <xf numFmtId="0" fontId="0" fillId="0" borderId="20" pivotButton="0" quotePrefix="0" xfId="0"/>
    <xf numFmtId="0" fontId="3" fillId="7" borderId="0" applyAlignment="1" pivotButton="0" quotePrefix="0" xfId="0">
      <alignment vertical="bottom"/>
    </xf>
    <xf numFmtId="1" fontId="3" fillId="7" borderId="2" applyAlignment="1" pivotButton="0" quotePrefix="0" xfId="0">
      <alignment horizontal="center" vertical="center"/>
    </xf>
    <xf numFmtId="164" fontId="3" fillId="7" borderId="2" applyAlignment="1" pivotButton="0" quotePrefix="0" xfId="0">
      <alignment horizontal="center" vertical="center"/>
    </xf>
    <xf numFmtId="167" fontId="3" fillId="7" borderId="2" applyAlignment="1" pivotButton="0" quotePrefix="0" xfId="0">
      <alignment horizontal="center" vertical="center"/>
    </xf>
    <xf numFmtId="1" fontId="16" fillId="7" borderId="2" applyAlignment="1" pivotButton="0" quotePrefix="0" xfId="0">
      <alignment horizontal="center" vertical="center"/>
    </xf>
    <xf numFmtId="164" fontId="16" fillId="7" borderId="2" applyAlignment="1" pivotButton="0" quotePrefix="0" xfId="0">
      <alignment horizontal="center" vertical="center"/>
    </xf>
    <xf numFmtId="167" fontId="16" fillId="7" borderId="2" applyAlignment="1" pivotButton="0" quotePrefix="0" xfId="0">
      <alignment horizontal="center" vertical="center"/>
    </xf>
    <xf numFmtId="0" fontId="16" fillId="7" borderId="0" applyAlignment="1" pivotButton="0" quotePrefix="0" xfId="0">
      <alignment vertical="bottom"/>
    </xf>
    <xf numFmtId="1" fontId="7" fillId="7" borderId="2" applyAlignment="1" pivotButton="0" quotePrefix="0" xfId="0">
      <alignment horizontal="left" vertical="center"/>
    </xf>
    <xf numFmtId="1" fontId="6" fillId="7" borderId="2" applyAlignment="1" pivotButton="0" quotePrefix="0" xfId="0">
      <alignment horizontal="center" vertical="center"/>
    </xf>
    <xf numFmtId="0" fontId="6" fillId="7" borderId="0" applyAlignment="1" pivotButton="0" quotePrefix="0" xfId="0">
      <alignment vertical="bottom"/>
    </xf>
    <xf numFmtId="167" fontId="7" fillId="7" borderId="2" applyAlignment="1" pivotButton="0" quotePrefix="0" xfId="0">
      <alignment horizontal="left" vertical="center"/>
    </xf>
    <xf numFmtId="2" fontId="7" fillId="7" borderId="2" applyAlignment="1" pivotButton="0" quotePrefix="0" xfId="0">
      <alignment horizontal="left" vertical="center"/>
    </xf>
    <xf numFmtId="2" fontId="14" fillId="7" borderId="2" applyAlignment="1" pivotButton="0" quotePrefix="0" xfId="0">
      <alignment horizontal="left" vertical="center"/>
    </xf>
    <xf numFmtId="0" fontId="3" fillId="7" borderId="2" applyAlignment="1" pivotButton="0" quotePrefix="0" xfId="0">
      <alignment horizontal="left" vertical="center"/>
    </xf>
    <xf numFmtId="0" fontId="7" fillId="7" borderId="2" applyAlignment="1" pivotButton="0" quotePrefix="0" xfId="0">
      <alignment horizontal="left" vertical="center"/>
    </xf>
    <xf numFmtId="0" fontId="12" fillId="7" borderId="2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left" vertical="center"/>
    </xf>
    <xf numFmtId="0" fontId="0" fillId="0" borderId="22" pivotButton="0" quotePrefix="0" xfId="0"/>
    <xf numFmtId="0" fontId="8" fillId="3" borderId="31" applyAlignment="1" pivotButton="0" quotePrefix="0" xfId="0">
      <alignment horizontal="left" vertical="center"/>
    </xf>
  </cellXfs>
  <cellStyles count="1">
    <cellStyle name="Normal" xfId="0" builtinId="0"/>
  </cellStyles>
  <dxfs count="5">
    <dxf>
      <font>
        <b val="1"/>
        <color rgb="FFFFFFFF"/>
      </font>
      <fill>
        <patternFill patternType="solid">
          <fgColor rgb="FF00B050"/>
          <bgColor rgb="FF00B050"/>
        </patternFill>
      </fill>
      <border/>
    </dxf>
    <dxf>
      <font>
        <b val="1"/>
        <color rgb="FF000000"/>
      </font>
      <fill>
        <patternFill patternType="solid">
          <fgColor rgb="FFFFFF00"/>
          <bgColor rgb="FFFFFF00"/>
        </patternFill>
      </fill>
      <border/>
    </dxf>
    <dxf>
      <font>
        <b val="1"/>
        <color rgb="FFFFFFFF"/>
      </font>
      <fill>
        <patternFill patternType="solid">
          <fgColor rgb="FFFF0000"/>
          <bgColor rgb="FFFF0000"/>
        </patternFill>
      </fill>
      <border/>
    </dxf>
    <dxf>
      <font>
        <b val="1"/>
        <color rgb="FFFFFFFF"/>
      </font>
      <fill>
        <patternFill patternType="solid">
          <fgColor rgb="FFF97316"/>
          <bgColor rgb="FFF97316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3:A11"/>
  <sheetViews>
    <sheetView workbookViewId="0">
      <selection activeCell="A1" sqref="A1"/>
    </sheetView>
  </sheetViews>
  <sheetFormatPr baseColWidth="8" defaultColWidth="14.43" defaultRowHeight="15" customHeight="1"/>
  <sheetData>
    <row r="3">
      <c r="A3" s="1" t="inlineStr">
        <is>
          <t>PURPOSE OF THIS SHEET</t>
        </is>
      </c>
    </row>
    <row r="4">
      <c r="A4" s="1" t="inlineStr">
        <is>
          <t xml:space="preserve">The purpose of this sheet is to combine cashflow-analysis with historical data to automatically generate a recommended offer </t>
        </is>
      </c>
    </row>
    <row r="6">
      <c r="A6" s="1" t="inlineStr">
        <is>
          <t>METHODOLOGY</t>
        </is>
      </c>
    </row>
    <row r="7">
      <c r="A7" s="1" t="inlineStr">
        <is>
          <t>In-order to easily make future adjustments, all assumptions and parameters are editable in "Controls"</t>
        </is>
      </c>
    </row>
    <row r="9">
      <c r="A9" s="1" t="inlineStr">
        <is>
          <t>WORK FLOW</t>
        </is>
      </c>
    </row>
    <row r="10">
      <c r="A10" s="1" t="inlineStr">
        <is>
          <t>Firstly you input deal data(Revenue, Balances, Existing positions, ISO, Industry, etc.)</t>
        </is>
      </c>
    </row>
    <row r="11">
      <c r="A11" s="1" t="inlineStr">
        <is>
          <t>Then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1000"/>
  <sheetViews>
    <sheetView showGridLines="0" workbookViewId="0">
      <selection activeCell="A1" sqref="A1"/>
    </sheetView>
  </sheetViews>
  <sheetFormatPr baseColWidth="8" defaultColWidth="14.43" defaultRowHeight="15" customHeight="1"/>
  <cols>
    <col width="2" customWidth="1" style="174" min="1" max="1"/>
    <col width="37.14" customWidth="1" style="174" min="2" max="2"/>
    <col width="17.29" customWidth="1" style="174" min="3" max="4"/>
    <col width="13" customWidth="1" style="174" min="5" max="5"/>
    <col width="14.43" customWidth="1" style="174" min="6" max="6"/>
    <col width="18.14" customWidth="1" style="174" min="7" max="7"/>
    <col width="13" customWidth="1" style="174" min="8" max="8"/>
    <col width="11.86" customWidth="1" style="174" min="9" max="9"/>
    <col width="27" customWidth="1" style="174" min="10" max="10"/>
    <col width="26" customWidth="1" style="174" min="11" max="13"/>
  </cols>
  <sheetData>
    <row r="1" ht="18" customHeight="1" s="174">
      <c r="A1" s="3" t="n"/>
      <c r="B1" s="4" t="inlineStr">
        <is>
          <t xml:space="preserve"> UNDERWRITING TOOL</t>
        </is>
      </c>
      <c r="C1" s="3" t="n"/>
      <c r="D1" s="3" t="n"/>
      <c r="E1" s="3" t="n"/>
      <c r="F1" s="3" t="n"/>
      <c r="G1" s="5" t="inlineStr">
        <is>
          <t>PINK = MANUAL INPUT</t>
        </is>
      </c>
      <c r="H1" s="3" t="n"/>
      <c r="I1" s="3" t="n"/>
      <c r="J1" s="3" t="n"/>
      <c r="K1" s="3" t="n"/>
      <c r="L1" s="3" t="n"/>
      <c r="M1" s="3" t="n"/>
    </row>
    <row r="2" ht="15.75" customHeight="1" s="174">
      <c r="A2" s="3" t="n"/>
      <c r="B2" s="7" t="inlineStr">
        <is>
          <t>DECISION</t>
        </is>
      </c>
      <c r="C2" s="10">
        <f>C62</f>
        <v/>
      </c>
      <c r="D2" s="12" t="n"/>
      <c r="I2" s="3" t="n"/>
      <c r="J2" s="3" t="n"/>
      <c r="K2" s="3" t="n"/>
      <c r="L2" s="3" t="n"/>
      <c r="M2" s="3" t="n"/>
    </row>
    <row r="3" ht="15" customHeight="1" s="174">
      <c r="A3" s="3" t="n"/>
      <c r="B3" s="12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</row>
    <row r="4" ht="15" customHeight="1" s="174">
      <c r="A4" s="3" t="n"/>
      <c r="B4" s="127" t="inlineStr">
        <is>
          <t xml:space="preserve">A.  OFFER </t>
        </is>
      </c>
      <c r="I4" s="3" t="n"/>
      <c r="J4" s="127" t="inlineStr">
        <is>
          <t>MONEYBADGER Discrepancies</t>
        </is>
      </c>
    </row>
    <row r="5" ht="15" customHeight="1" s="174">
      <c r="A5" s="3" t="n"/>
      <c r="B5" s="19" t="inlineStr">
        <is>
          <t>Fund $</t>
        </is>
      </c>
      <c r="C5" s="19" t="inlineStr">
        <is>
          <t>Factor</t>
        </is>
      </c>
      <c r="D5" s="19">
        <f>IF($E$6="Weekly","Term (weeks)","Term (daily pmts)")</f>
        <v/>
      </c>
      <c r="E5" s="19" t="inlineStr">
        <is>
          <t>Freq</t>
        </is>
      </c>
      <c r="F5" s="19" t="inlineStr">
        <is>
          <t>Fee %</t>
        </is>
      </c>
      <c r="G5" s="3" t="n"/>
      <c r="H5" s="3" t="n"/>
      <c r="I5" s="3" t="n"/>
      <c r="J5" s="19" t="inlineStr">
        <is>
          <t>Metric</t>
        </is>
      </c>
      <c r="K5" s="19" t="inlineStr">
        <is>
          <t>This tool</t>
        </is>
      </c>
      <c r="L5" s="19" t="inlineStr">
        <is>
          <t>MoneyBadger</t>
        </is>
      </c>
      <c r="M5" s="19" t="inlineStr">
        <is>
          <t>Difference</t>
        </is>
      </c>
    </row>
    <row r="6" ht="15" customHeight="1" s="174">
      <c r="A6" s="3" t="n"/>
      <c r="B6" s="20" t="n"/>
      <c r="C6" s="21" t="n"/>
      <c r="D6" s="124" t="n"/>
      <c r="E6" s="24" t="n"/>
      <c r="F6" s="25" t="n">
        <v>0.05</v>
      </c>
      <c r="G6" s="3" t="n"/>
      <c r="H6" s="3" t="n"/>
      <c r="I6" s="3" t="n"/>
      <c r="J6" s="114">
        <f>IF($E$6="Weekly","Weekly remittance","Daily remittance")</f>
        <v/>
      </c>
      <c r="K6" s="27">
        <f>IF(OR($E$6="",C8="",C24=0),"",IF($E$6="Weekly",D8,C8))</f>
        <v/>
      </c>
      <c r="L6" s="27">
        <f>IF(OR(L7="",C24=0),"",L7*C24/IF($E$6="Weekly",$L$8,$L$9))</f>
        <v/>
      </c>
      <c r="M6" s="31">
        <f>IF(OR(K6="",L6=""),"",L6-K6)</f>
        <v/>
      </c>
    </row>
    <row r="7" ht="15" customHeight="1" s="174">
      <c r="A7" s="3" t="n"/>
      <c r="B7" s="19" t="inlineStr">
        <is>
          <t>Payback</t>
        </is>
      </c>
      <c r="C7" s="19" t="inlineStr">
        <is>
          <t>Daily $</t>
        </is>
      </c>
      <c r="D7" s="19" t="inlineStr">
        <is>
          <t>Weekly $</t>
        </is>
      </c>
      <c r="E7" s="19" t="inlineStr">
        <is>
          <t>Monthly $</t>
        </is>
      </c>
      <c r="F7" s="19" t="inlineStr">
        <is>
          <t>Term (month)</t>
        </is>
      </c>
      <c r="G7" s="19" t="inlineStr">
        <is>
          <t xml:space="preserve">Net $ to Merchant </t>
        </is>
      </c>
      <c r="H7" s="3" t="n"/>
      <c r="I7" s="3" t="n"/>
      <c r="J7" s="114" t="inlineStr">
        <is>
          <t>Holdback %</t>
        </is>
      </c>
      <c r="K7" s="32">
        <f>IF(OR(D8="",C24=0),"",E8/C24)</f>
        <v/>
      </c>
      <c r="L7" s="32">
        <f>IF(OR($E$6="",C8="",C24=0),"",ROUND(IF($E$6="Weekly",D8*$L$8,C8*$L$9)/C24*100,2)/100)</f>
        <v/>
      </c>
      <c r="M7" s="33">
        <f>IF(OR(K7="",L7=""),"",L7-K7)</f>
        <v/>
      </c>
    </row>
    <row r="8" ht="15" customHeight="1" s="174">
      <c r="A8" s="3" t="n"/>
      <c r="B8" s="34">
        <f>IF(OR(B6="",C6=""),"",B6*C6)</f>
        <v/>
      </c>
      <c r="C8" s="35">
        <f>IF(OR(B8="",D6="",D6=0),"",IF(E6="Weekly",(B8/D6)/5,B8/D6))</f>
        <v/>
      </c>
      <c r="D8" s="35">
        <f>IF(C8="","",C8*5)</f>
        <v/>
      </c>
      <c r="E8" s="34">
        <f>IF(C8="","",C8*$K$9)</f>
        <v/>
      </c>
      <c r="F8" s="38">
        <f>IF(OR(D6="",D6=0),"",IF(E6="Weekly",D6,D6/5)/($K$9/5))</f>
        <v/>
      </c>
      <c r="G8" s="34">
        <f>IF(B6="","",B6-(B6*F6))</f>
        <v/>
      </c>
      <c r="H8" s="3" t="n"/>
      <c r="I8" s="3" t="n"/>
      <c r="J8" s="114" t="inlineStr">
        <is>
          <t>Weeks / month</t>
        </is>
      </c>
      <c r="K8" s="40" t="n">
        <v>4.331</v>
      </c>
      <c r="L8" s="40" t="n">
        <v>4</v>
      </c>
      <c r="M8" s="41">
        <f>IF(OR(K8="",L8=""),"",L8-K8)</f>
        <v/>
      </c>
    </row>
    <row r="9" ht="15" customHeight="1" s="174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114" t="inlineStr">
        <is>
          <t>Days / month</t>
        </is>
      </c>
      <c r="K9" s="40" t="n">
        <v>21.655</v>
      </c>
      <c r="L9" s="40" t="n">
        <v>21</v>
      </c>
      <c r="M9" s="41">
        <f>IF(OR(K9="",L9=""),"",L9-K9)</f>
        <v/>
      </c>
    </row>
    <row r="10" ht="15" customHeight="1" s="174">
      <c r="A10" s="3" t="n"/>
      <c r="B10" s="127" t="inlineStr">
        <is>
          <t xml:space="preserve">B.  BANK DATA  </t>
        </is>
      </c>
      <c r="I10" s="3" t="n"/>
      <c r="J10" s="3" t="n"/>
      <c r="K10" s="3" t="n"/>
      <c r="L10" s="3" t="n"/>
      <c r="M10" s="3" t="n"/>
    </row>
    <row r="11" ht="15" customHeight="1" s="174">
      <c r="A11" s="3" t="n"/>
      <c r="B11" s="19" t="inlineStr">
        <is>
          <t>Month - MOST RECENT FIRST</t>
        </is>
      </c>
      <c r="C11" s="19" t="inlineStr">
        <is>
          <t>True rev $</t>
        </is>
      </c>
      <c r="D11" s="19" t="inlineStr">
        <is>
          <t>Avg daily bal $</t>
        </is>
      </c>
      <c r="E11" s="19" t="inlineStr">
        <is>
          <t>Neg days</t>
        </is>
      </c>
      <c r="F11" s="19" t="inlineStr">
        <is>
          <t>NSFs</t>
        </is>
      </c>
      <c r="G11" s="19" t="inlineStr">
        <is>
          <t>MoM %(Revenue Trend)</t>
        </is>
      </c>
      <c r="H11" s="3" t="n"/>
      <c r="I11" s="3" t="n"/>
      <c r="J11" s="127" t="inlineStr">
        <is>
          <t xml:space="preserve">DEAL PROFILE  </t>
        </is>
      </c>
    </row>
    <row r="12" ht="15" customHeight="1" s="174">
      <c r="A12" s="3" t="n"/>
      <c r="B12" s="44" t="inlineStr">
        <is>
          <t>Aug</t>
        </is>
      </c>
      <c r="C12" s="60" t="n">
        <v>60000</v>
      </c>
      <c r="D12" s="60" t="n">
        <v>2000</v>
      </c>
      <c r="E12" s="52" t="n">
        <v>0</v>
      </c>
      <c r="F12" s="52" t="n">
        <v>0</v>
      </c>
      <c r="G12" s="43">
        <f>IF(OR(C12="",C13=""),"",(C12-C13)/C13)</f>
        <v/>
      </c>
      <c r="H12" s="3" t="n"/>
      <c r="I12" s="3" t="n"/>
      <c r="J12" s="48" t="inlineStr">
        <is>
          <t>ISO</t>
        </is>
      </c>
      <c r="K12" s="49" t="inlineStr">
        <is>
          <t>United Secured Capital 8</t>
        </is>
      </c>
      <c r="L12" s="175">
        <f>IF(K12="","",COUNTIF('Historical Data'!$K$2:$K$1100,K12)&amp;" deals in book")</f>
        <v/>
      </c>
      <c r="M12" s="176" t="n"/>
    </row>
    <row r="13" ht="15" customHeight="1" s="174">
      <c r="A13" s="3" t="n"/>
      <c r="B13" s="44" t="inlineStr">
        <is>
          <t>Jul</t>
        </is>
      </c>
      <c r="C13" s="60" t="n">
        <v>60000</v>
      </c>
      <c r="D13" s="60" t="n">
        <v>2000</v>
      </c>
      <c r="E13" s="52" t="n">
        <v>0</v>
      </c>
      <c r="F13" s="52" t="n">
        <v>0</v>
      </c>
      <c r="G13" s="43">
        <f>IF(OR(C13="",C14=""),"",(C13-C14)/C14)</f>
        <v/>
      </c>
      <c r="H13" s="3" t="n"/>
      <c r="I13" s="3" t="n"/>
      <c r="J13" s="53" t="inlineStr">
        <is>
          <t>Industry</t>
        </is>
      </c>
      <c r="K13" s="54" t="inlineStr">
        <is>
          <t>Real Estate</t>
        </is>
      </c>
      <c r="L13" s="177">
        <f>IF(K13="","",COUNTIF('Historical Data'!$Y$2:$Y$1100,K13)&amp;" deals in book")</f>
        <v/>
      </c>
      <c r="M13" s="178" t="n"/>
    </row>
    <row r="14" ht="15" customHeight="1" s="174">
      <c r="A14" s="3" t="n"/>
      <c r="B14" s="44" t="inlineStr">
        <is>
          <t>Jun</t>
        </is>
      </c>
      <c r="C14" s="60" t="n">
        <v>60000</v>
      </c>
      <c r="D14" s="60" t="n">
        <v>2000</v>
      </c>
      <c r="E14" s="52" t="n">
        <v>0</v>
      </c>
      <c r="F14" s="52" t="n">
        <v>0</v>
      </c>
      <c r="G14" s="43">
        <f>IF(OR(C14="",C15=""),"",(C14-C15)/C15)</f>
        <v/>
      </c>
      <c r="H14" s="3" t="n"/>
      <c r="I14" s="3" t="n"/>
      <c r="J14" s="53" t="inlineStr">
        <is>
          <t>New deal or renewal</t>
        </is>
      </c>
      <c r="K14" s="57" t="inlineStr">
        <is>
          <t>Renewal</t>
        </is>
      </c>
      <c r="L14" s="177">
        <f>IF(K14="","",COUNTIF('Historical Data'!$L$2:$L$1100,K14)&amp;" deals in book")</f>
        <v/>
      </c>
      <c r="M14" s="178" t="n"/>
    </row>
    <row r="15" ht="15" customHeight="1" s="174">
      <c r="A15" s="3" t="n"/>
      <c r="B15" s="44" t="inlineStr">
        <is>
          <t>May</t>
        </is>
      </c>
      <c r="C15" s="60" t="n">
        <v>60000</v>
      </c>
      <c r="D15" s="60" t="n">
        <v>2000</v>
      </c>
      <c r="E15" s="52" t="n">
        <v>0</v>
      </c>
      <c r="F15" s="52" t="n">
        <v>0</v>
      </c>
      <c r="G15" s="43">
        <f>IF(OR(C15="",C16=""),"",(C15-C16)/C16)</f>
        <v/>
      </c>
      <c r="H15" s="3" t="n"/>
      <c r="I15" s="3" t="n"/>
      <c r="J15" s="58" t="inlineStr">
        <is>
          <t>Credit score</t>
        </is>
      </c>
      <c r="K15" s="59" t="n">
        <v>600</v>
      </c>
      <c r="L15" s="177" t="n"/>
      <c r="M15" s="178" t="n"/>
    </row>
    <row r="16" ht="15" customHeight="1" s="174">
      <c r="A16" s="3" t="n"/>
      <c r="B16" s="44" t="n"/>
      <c r="C16" s="60" t="n"/>
      <c r="D16" s="60" t="n"/>
      <c r="E16" s="52" t="n"/>
      <c r="F16" s="52" t="n"/>
      <c r="G16" s="43">
        <f>IF(OR(C16="",C17=""),"",(C16-C17)/C17)</f>
        <v/>
      </c>
      <c r="H16" s="3" t="n"/>
      <c r="I16" s="3" t="n"/>
      <c r="J16" s="61" t="n"/>
      <c r="K16" s="62" t="n"/>
      <c r="L16" s="63" t="n"/>
      <c r="M16" s="3" t="n"/>
    </row>
    <row r="17" ht="15" customHeight="1" s="174">
      <c r="A17" s="3" t="n"/>
      <c r="B17" s="44" t="n"/>
      <c r="C17" s="60" t="n"/>
      <c r="D17" s="60" t="n"/>
      <c r="E17" s="52" t="n"/>
      <c r="F17" s="52" t="n"/>
      <c r="G17" s="43">
        <f>IF(OR(C17="",C18=""),"",(C17-C18)/C18)</f>
        <v/>
      </c>
      <c r="H17" s="3" t="n"/>
      <c r="I17" s="3" t="n"/>
      <c r="J17" s="64" t="n"/>
      <c r="K17" s="65" t="n"/>
      <c r="L17" s="3" t="n"/>
      <c r="M17" s="3" t="n"/>
    </row>
    <row r="18" ht="15" customHeight="1" s="174">
      <c r="A18" s="3" t="n"/>
      <c r="B18" s="44" t="n"/>
      <c r="C18" s="60" t="n"/>
      <c r="D18" s="60" t="n"/>
      <c r="E18" s="52" t="n"/>
      <c r="F18" s="52" t="n"/>
      <c r="G18" s="43">
        <f>IF(OR(C18="",C19=""),"",(C18-C19)/C19)</f>
        <v/>
      </c>
      <c r="H18" s="3" t="n"/>
      <c r="I18" s="3" t="n"/>
      <c r="J18" s="66" t="n"/>
      <c r="K18" s="3" t="n"/>
      <c r="L18" s="3" t="n"/>
      <c r="M18" s="3" t="n"/>
    </row>
    <row r="19" ht="15" customHeight="1" s="174">
      <c r="A19" s="3" t="n"/>
      <c r="B19" s="44" t="n"/>
      <c r="C19" s="60" t="n"/>
      <c r="D19" s="60" t="n"/>
      <c r="E19" s="52" t="n"/>
      <c r="F19" s="52" t="n"/>
      <c r="G19" s="43">
        <f>IF(OR(C19="",C20=""),"",(C19-C20)/C20)</f>
        <v/>
      </c>
      <c r="H19" s="3" t="n"/>
      <c r="I19" s="3" t="n"/>
      <c r="J19" s="3" t="n"/>
      <c r="K19" s="3" t="n"/>
      <c r="L19" s="3" t="n"/>
      <c r="M19" s="3" t="n"/>
    </row>
    <row r="20" ht="15" customHeight="1" s="174">
      <c r="A20" s="3" t="n"/>
      <c r="B20" s="44" t="n"/>
      <c r="C20" s="60" t="n"/>
      <c r="D20" s="60" t="n"/>
      <c r="E20" s="52" t="n"/>
      <c r="F20" s="52" t="n"/>
      <c r="G20" s="43">
        <f>IF(OR(C20="",C21=""),"",(C20-C21)/C21)</f>
        <v/>
      </c>
      <c r="H20" s="3" t="n"/>
      <c r="I20" s="3" t="n"/>
      <c r="J20" s="3" t="n"/>
      <c r="K20" s="3" t="n"/>
      <c r="L20" s="3" t="n"/>
      <c r="M20" s="3" t="n"/>
    </row>
    <row r="21" ht="15.75" customHeight="1" s="174">
      <c r="A21" s="3" t="n"/>
      <c r="B21" s="44" t="n"/>
      <c r="C21" s="60" t="n"/>
      <c r="D21" s="60" t="n"/>
      <c r="E21" s="52" t="n"/>
      <c r="F21" s="52" t="n"/>
      <c r="G21" s="43">
        <f>IF(OR(C21="",C22=""),"",(C21-C22)/C22)</f>
        <v/>
      </c>
      <c r="H21" s="3" t="n"/>
      <c r="I21" s="3" t="n"/>
      <c r="J21" s="3" t="n"/>
      <c r="K21" s="3" t="n"/>
      <c r="L21" s="3" t="n"/>
      <c r="M21" s="3" t="n"/>
    </row>
    <row r="22" ht="15.75" customHeight="1" s="174">
      <c r="A22" s="3" t="n"/>
      <c r="B22" s="44" t="n"/>
      <c r="C22" s="60" t="n"/>
      <c r="D22" s="60" t="n"/>
      <c r="E22" s="52" t="n"/>
      <c r="F22" s="52" t="n"/>
      <c r="G22" s="43">
        <f>IF(OR(C22="",C23=""),"",(C22-C23)/C23)</f>
        <v/>
      </c>
      <c r="H22" s="3" t="n"/>
      <c r="I22" s="3" t="n"/>
      <c r="J22" s="3" t="n"/>
      <c r="K22" s="3" t="n"/>
      <c r="L22" s="3" t="n"/>
      <c r="M22" s="3" t="n"/>
    </row>
    <row r="23" ht="15.75" customHeight="1" s="174">
      <c r="A23" s="3" t="n"/>
      <c r="B23" s="44" t="n"/>
      <c r="C23" s="60" t="n"/>
      <c r="D23" s="60" t="n"/>
      <c r="E23" s="52" t="n"/>
      <c r="F23" s="52" t="n"/>
      <c r="G23" s="67" t="n"/>
      <c r="H23" s="3" t="n"/>
      <c r="I23" s="3" t="n"/>
      <c r="J23" s="3" t="n"/>
      <c r="K23" s="3" t="n"/>
      <c r="L23" s="3" t="n"/>
      <c r="M23" s="3" t="n"/>
    </row>
    <row r="24" ht="15.75" customHeight="1" s="174">
      <c r="A24" s="3" t="n"/>
      <c r="B24" s="68" t="inlineStr">
        <is>
          <t>AVG / TOTAL</t>
        </is>
      </c>
      <c r="C24" s="70" t="n">
        <v>60000</v>
      </c>
      <c r="D24" s="70">
        <f>IF(COUNT(D12:D23)=0,0,AVERAGE(D12:D23))</f>
        <v/>
      </c>
      <c r="E24" s="71">
        <f>SUM(E12:E23)</f>
        <v/>
      </c>
      <c r="F24" s="71">
        <f>SUM(F12:F23)</f>
        <v/>
      </c>
      <c r="G24" s="72">
        <f>IFERROR(AVERAGE(G12:G22),"")</f>
        <v/>
      </c>
      <c r="H24" s="3" t="n"/>
      <c r="I24" s="3" t="n"/>
      <c r="J24" s="3" t="n"/>
      <c r="K24" s="3" t="n"/>
      <c r="L24" s="3" t="n"/>
      <c r="M24" s="3" t="n"/>
    </row>
    <row r="25" ht="15.75" customHeight="1" s="174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</row>
    <row r="26" ht="15.75" customHeight="1" s="174">
      <c r="A26" s="3" t="n"/>
      <c r="B26" s="127" t="inlineStr">
        <is>
          <t xml:space="preserve">EXISTING POSITIONS  </t>
        </is>
      </c>
      <c r="K26" s="3" t="n"/>
      <c r="L26" s="3" t="n"/>
      <c r="M26" s="3" t="n"/>
    </row>
    <row r="27" ht="15.75" customHeight="1" s="174">
      <c r="A27" s="3" t="n"/>
      <c r="B27" s="19" t="inlineStr">
        <is>
          <t>Funder</t>
        </is>
      </c>
      <c r="C27" s="19" t="inlineStr">
        <is>
          <t>Funded $</t>
        </is>
      </c>
      <c r="D27" s="19" t="inlineStr">
        <is>
          <t>Payment</t>
        </is>
      </c>
      <c r="E27" s="19" t="inlineStr">
        <is>
          <t>Freq</t>
        </is>
      </c>
      <c r="F27" s="19" t="inlineStr">
        <is>
          <t>Daily equiv</t>
        </is>
      </c>
      <c r="G27" s="19" t="inlineStr">
        <is>
          <t>Start Date</t>
        </is>
      </c>
      <c r="H27" s="19" t="inlineStr">
        <is>
          <t>Est Term</t>
        </is>
      </c>
      <c r="I27" s="19" t="inlineStr">
        <is>
          <t>Est term (mo)</t>
        </is>
      </c>
      <c r="J27" s="19" t="inlineStr">
        <is>
          <t>Mo. remaining</t>
        </is>
      </c>
      <c r="K27" s="3" t="n"/>
      <c r="L27" s="3" t="n"/>
      <c r="M27" s="3" t="n"/>
    </row>
    <row r="28" ht="15.75" customHeight="1" s="174">
      <c r="A28" s="3" t="n"/>
      <c r="B28" s="77" t="inlineStr">
        <is>
          <t>lendr</t>
        </is>
      </c>
      <c r="C28" s="60" t="n">
        <v>50000</v>
      </c>
      <c r="D28" s="60" t="n">
        <v>1000</v>
      </c>
      <c r="E28" s="78" t="inlineStr">
        <is>
          <t>Weekly</t>
        </is>
      </c>
      <c r="F28" s="27">
        <f>IF(D28&lt;&gt;"",IF(E28="Daily",D28,IF(E28="Weekly",D28/5,D28/$K$9)),IF(C28="","",C28*Controls!$B$17/(Controls!$B$9*$K$9)))</f>
        <v/>
      </c>
      <c r="G28" s="75" t="n"/>
      <c r="H28" s="76">
        <f>IF(OR(C28="",D28=""),"",ROUND(C28*Controls!$B$17/D28,0))</f>
        <v/>
      </c>
      <c r="I28" s="76">
        <f>IF(H28="","",H28/IF(E28="Daily",$K$9,IF(E28="Weekly",$K$9/5,1)))</f>
        <v/>
      </c>
      <c r="J28" s="76">
        <f>IF(OR(I28="",G28=""),"",MAX(0,I28-(TODAY()-G28)/Controls!$B$16))</f>
        <v/>
      </c>
      <c r="K28" s="3" t="n"/>
      <c r="L28" s="3" t="n"/>
      <c r="M28" s="3" t="n"/>
    </row>
    <row r="29" ht="15.75" customHeight="1" s="174">
      <c r="A29" s="3" t="n"/>
      <c r="B29" s="77" t="n"/>
      <c r="C29" s="60" t="n"/>
      <c r="D29" s="60" t="n"/>
      <c r="E29" s="78" t="inlineStr">
        <is>
          <t>Weekly</t>
        </is>
      </c>
      <c r="F29" s="27">
        <f>IF(D29&lt;&gt;"",IF(E29="Daily",D29,IF(E29="Weekly",D29/5,D29/$K$9)),IF(C29="","",C29*Controls!$B$17/(Controls!$B$9*$K$9)))</f>
        <v/>
      </c>
      <c r="G29" s="75" t="n"/>
      <c r="H29" s="75">
        <f>IF(OR(C29="",D29=""),"",ROUND(C29*Controls!$B$17/D29,0))</f>
        <v/>
      </c>
      <c r="I29" s="67">
        <f>IF(H29="","",H29/IF(E29="Daily",$K$9,IF(E29="Weekly",$K$9/5,1)))</f>
        <v/>
      </c>
      <c r="J29" s="75">
        <f>IF(OR(I29="",G29=""),"",MAX(0,I29-(TODAY()-G29)/Controls!$B$16))</f>
        <v/>
      </c>
      <c r="K29" s="3" t="n"/>
      <c r="L29" s="79" t="n"/>
      <c r="M29" s="3" t="n"/>
    </row>
    <row r="30" ht="15.75" customHeight="1" s="174">
      <c r="A30" s="3" t="n"/>
      <c r="B30" s="77" t="n"/>
      <c r="C30" s="60" t="n"/>
      <c r="D30" s="60" t="n"/>
      <c r="E30" s="78" t="inlineStr">
        <is>
          <t>Weekly</t>
        </is>
      </c>
      <c r="F30" s="27">
        <f>IF(D30&lt;&gt;"",IF(E30="Daily",D30,IF(E30="Weekly",D30/5,D30/$K$9)),IF(C30="","",C30*Controls!$B$17/(Controls!$B$9*$K$9)))</f>
        <v/>
      </c>
      <c r="G30" s="75" t="n"/>
      <c r="H30" s="75">
        <f>IF(OR(C30="",D30=""),"",ROUND(C30*Controls!$B$17/D30,0))</f>
        <v/>
      </c>
      <c r="I30" s="67">
        <f>IF(H30="","",H30/IF(E30="Daily",$K$9,IF(E30="Weekly",$K$9/5,1)))</f>
        <v/>
      </c>
      <c r="J30" s="75">
        <f>IF(OR(I30="",G30=""),"",MAX(0,I30-(TODAY()-G30)/Controls!$B$16))</f>
        <v/>
      </c>
      <c r="K30" s="3" t="n"/>
      <c r="L30" s="79" t="n"/>
      <c r="M30" s="3" t="n"/>
    </row>
    <row r="31" ht="15.75" customHeight="1" s="174">
      <c r="A31" s="3" t="n"/>
      <c r="B31" s="77" t="n"/>
      <c r="C31" s="60" t="n"/>
      <c r="D31" s="60" t="n"/>
      <c r="E31" s="78" t="inlineStr">
        <is>
          <t>Weekly</t>
        </is>
      </c>
      <c r="F31" s="27">
        <f>IF(D31&lt;&gt;"",IF(E31="Daily",D31,IF(E31="Weekly",D31/5,D31/$K$9)),IF(C31="","",C31*Controls!$B$17/(Controls!$B$9*$K$9)))</f>
        <v/>
      </c>
      <c r="G31" s="75" t="n"/>
      <c r="H31" s="75">
        <f>IF(OR(C31="",D31=""),"",ROUND(C31*Controls!$B$17/D31,0))</f>
        <v/>
      </c>
      <c r="I31" s="67">
        <f>IF(H31="","",H31/IF(E31="Daily",$K$9,IF(E31="Weekly",$K$9/5,1)))</f>
        <v/>
      </c>
      <c r="J31" s="75">
        <f>IF(OR(I31="",G31=""),"",MAX(0,I31-(TODAY()-G31)/Controls!$B$16))</f>
        <v/>
      </c>
      <c r="K31" s="3" t="n"/>
      <c r="L31" s="3" t="n"/>
      <c r="M31" s="3" t="n"/>
    </row>
    <row r="32" ht="15.75" customHeight="1" s="174">
      <c r="A32" s="3" t="n"/>
      <c r="B32" s="77" t="n"/>
      <c r="C32" s="60" t="n"/>
      <c r="D32" s="60" t="n"/>
      <c r="E32" s="78" t="inlineStr">
        <is>
          <t>Weekly</t>
        </is>
      </c>
      <c r="F32" s="27">
        <f>IF(D32&lt;&gt;"",IF(E32="Daily",D32,IF(E32="Weekly",D32/5,D32/$K$9)),IF(C32="","",C32*Controls!$B$17/(Controls!$B$9*$K$9)))</f>
        <v/>
      </c>
      <c r="G32" s="75" t="n"/>
      <c r="H32" s="75">
        <f>IF(OR(C32="",D32=""),"",ROUND(C32*Controls!$B$17/D32,0))</f>
        <v/>
      </c>
      <c r="I32" s="67">
        <f>IF(H32="","",H32/IF(E32="Daily",$K$9,IF(E32="Weekly",$K$9/5,1)))</f>
        <v/>
      </c>
      <c r="J32" s="75">
        <f>IF(OR(I32="",G32=""),"",MAX(0,I32-(TODAY()-G32)/Controls!$B$16))</f>
        <v/>
      </c>
      <c r="K32" s="3" t="n"/>
      <c r="L32" s="3" t="n"/>
      <c r="M32" s="3" t="n"/>
    </row>
    <row r="33" ht="15.75" customHeight="1" s="174">
      <c r="A33" s="3" t="n"/>
      <c r="B33" s="77" t="n"/>
      <c r="C33" s="60" t="n"/>
      <c r="D33" s="60" t="n"/>
      <c r="E33" s="78" t="inlineStr">
        <is>
          <t>Weekly</t>
        </is>
      </c>
      <c r="F33" s="27">
        <f>IF(D33&lt;&gt;"",IF(E33="Daily",D33,IF(E33="Weekly",D33/5,D33/$K$9)),IF(C33="","",C33*Controls!$B$17/(Controls!$B$9*$K$9)))</f>
        <v/>
      </c>
      <c r="G33" s="75" t="n"/>
      <c r="H33" s="75">
        <f>IF(OR(C33="",D33=""),"",ROUND(C33*Controls!$B$17/D33,0))</f>
        <v/>
      </c>
      <c r="I33" s="67">
        <f>IF(H33="","",H33/IF(E33="Daily",$K$9,IF(E33="Weekly",$K$9/5,1)))</f>
        <v/>
      </c>
      <c r="J33" s="75">
        <f>IF(OR(I33="",G33=""),"",MAX(0,I33-(TODAY()-G33)/Controls!$B$16))</f>
        <v/>
      </c>
      <c r="K33" s="3" t="n"/>
      <c r="L33" s="3" t="n"/>
      <c r="M33" s="3" t="n"/>
    </row>
    <row r="34" ht="15.75" customHeight="1" s="174">
      <c r="A34" s="3" t="n"/>
      <c r="B34" s="85" t="inlineStr">
        <is>
          <t>Positions (excl. Monthly)</t>
        </is>
      </c>
      <c r="C34" s="71">
        <f>SUMPRODUCT(((C28:C33&lt;&gt;"")+(D28:D33&lt;&gt;"")&gt;0)*(E28:E33&lt;&gt;"Monthly"))</f>
        <v/>
      </c>
      <c r="D34" s="85" t="inlineStr">
        <is>
          <t>Total existing daily</t>
        </is>
      </c>
      <c r="E34" s="89">
        <f>SUM(F28:F33)</f>
        <v/>
      </c>
      <c r="F34" s="70">
        <f>E34*$K$9</f>
        <v/>
      </c>
      <c r="G34" s="12" t="inlineStr">
        <is>
          <t>/month</t>
        </is>
      </c>
      <c r="H34" s="3" t="n"/>
      <c r="I34" s="3" t="n"/>
      <c r="J34" s="3" t="n"/>
      <c r="K34" s="3" t="n"/>
      <c r="L34" s="3" t="n"/>
      <c r="M34" s="3" t="n"/>
    </row>
    <row r="35" ht="15.75" customHeight="1" s="174">
      <c r="A35" s="3" t="n"/>
      <c r="B35" s="3" t="n"/>
      <c r="C35" s="3" t="n"/>
      <c r="D35" s="3" t="n"/>
      <c r="E35" s="92" t="n"/>
      <c r="F35" s="3" t="n"/>
      <c r="G35" s="3" t="n"/>
      <c r="H35" s="3" t="n"/>
      <c r="I35" s="3" t="n"/>
      <c r="J35" s="3" t="n"/>
      <c r="K35" s="3" t="n"/>
      <c r="L35" s="3" t="n"/>
      <c r="M35" s="3" t="n"/>
    </row>
    <row r="36" ht="15.75" customHeight="1" s="174">
      <c r="A36" s="3" t="n"/>
      <c r="B36" s="127" t="inlineStr">
        <is>
          <t>C.  METRICS</t>
        </is>
      </c>
      <c r="I36" s="3" t="n"/>
      <c r="J36" s="3" t="n"/>
      <c r="K36" s="3" t="n"/>
      <c r="L36" s="3" t="n"/>
      <c r="M36" s="3" t="n"/>
    </row>
    <row r="37" ht="15.75" customHeight="1" s="174">
      <c r="A37" s="3" t="n"/>
      <c r="B37" s="19" t="inlineStr">
        <is>
          <t>Metric</t>
        </is>
      </c>
      <c r="C37" s="19" t="inlineStr">
        <is>
          <t>Value</t>
        </is>
      </c>
      <c r="D37" s="19" t="inlineStr">
        <is>
          <t>Green</t>
        </is>
      </c>
      <c r="E37" s="19" t="inlineStr">
        <is>
          <t>Red</t>
        </is>
      </c>
      <c r="F37" s="19" t="inlineStr">
        <is>
          <t>Status</t>
        </is>
      </c>
      <c r="G37" s="19" t="inlineStr">
        <is>
          <t>Knockout</t>
        </is>
      </c>
      <c r="H37" s="19" t="inlineStr">
        <is>
          <t>Sizing line</t>
        </is>
      </c>
      <c r="I37" s="3" t="n"/>
      <c r="J37" s="3" t="n"/>
      <c r="K37" s="3" t="n"/>
      <c r="L37" s="3" t="n"/>
      <c r="M37" s="3" t="n"/>
    </row>
    <row r="38" ht="15.75" customHeight="1" s="174">
      <c r="A38" s="3" t="n"/>
      <c r="B38" s="114" t="inlineStr">
        <is>
          <t>Total LVG (all debt / rev)</t>
        </is>
      </c>
      <c r="C38" s="95">
        <f>IF(C24=0,"",(E34+IF(C8="",0,C8))*$K$9/C24)</f>
        <v/>
      </c>
      <c r="D38" s="96" t="n">
        <v>0.3</v>
      </c>
      <c r="E38" s="96" t="n">
        <v>0.45</v>
      </c>
      <c r="F38" s="29">
        <f>IF(C38="","",IF(C38&gt;=G38,"KNOCKOUT",IF(C38&lt;=D38,"GREEN",IF(C38&gt;=E38,"RED","YELLOW"))))</f>
        <v/>
      </c>
      <c r="G38" s="96" t="n">
        <v>0.55</v>
      </c>
      <c r="H38" s="97">
        <f>D38+'Historical Score'!$C$35*(E38-D38)</f>
        <v/>
      </c>
      <c r="I38" s="3" t="n"/>
      <c r="J38" s="3" t="n"/>
      <c r="K38" s="3" t="n"/>
      <c r="L38" s="3" t="n"/>
      <c r="M38" s="3" t="n"/>
    </row>
    <row r="39" ht="15.75" customHeight="1" s="174">
      <c r="A39" s="3" t="n"/>
      <c r="B39" s="114" t="inlineStr">
        <is>
          <t>New holdback SP%</t>
        </is>
      </c>
      <c r="C39" s="95">
        <f>IF(OR(C24=0,E8=""),"",E8/C24)</f>
        <v/>
      </c>
      <c r="D39" s="96" t="n">
        <v>0.18</v>
      </c>
      <c r="E39" s="96" t="n">
        <v>0.25</v>
      </c>
      <c r="F39" s="29">
        <f>IF(C39="","",IF(C39&gt;=G39,"KNOCKOUT",IF(C39&lt;=D39,"GREEN",IF(C39&gt;=E39,"RED","YELLOW"))))</f>
        <v/>
      </c>
      <c r="G39" s="96" t="n">
        <v>0.35</v>
      </c>
      <c r="H39" s="97">
        <f>D39+'Historical Score'!$C$35*(E39-D39)</f>
        <v/>
      </c>
      <c r="I39" s="3" t="n"/>
      <c r="J39" s="3" t="n"/>
      <c r="K39" s="3" t="n"/>
      <c r="L39" s="3" t="n"/>
      <c r="M39" s="3" t="n"/>
    </row>
    <row r="40" ht="15.75" customHeight="1" s="174">
      <c r="A40" s="3" t="n"/>
      <c r="B40" s="114" t="inlineStr">
        <is>
          <t>Daily debt / balance</t>
        </is>
      </c>
      <c r="C40" s="95">
        <f>IF(D24=0,"",(E34+IF(C8="",0,C8))/D24)</f>
        <v/>
      </c>
      <c r="D40" s="96" t="n">
        <v>0.18</v>
      </c>
      <c r="E40" s="96" t="n">
        <v>0.3</v>
      </c>
      <c r="F40" s="29">
        <f>IF(C40="","",IF(C40&gt;=G40,"KNOCKOUT",IF(C40&lt;=D40,"GREEN",IF(C40&gt;=E40,"RED","YELLOW"))))</f>
        <v/>
      </c>
      <c r="G40" s="96" t="n">
        <v>0.35</v>
      </c>
      <c r="H40" s="97">
        <f>D40+'Historical Score'!$C$35*(E40-D40)</f>
        <v/>
      </c>
      <c r="I40" s="3" t="n"/>
      <c r="J40" s="3" t="n"/>
      <c r="K40" s="3" t="n"/>
      <c r="L40" s="3" t="n"/>
      <c r="M40" s="3" t="n"/>
    </row>
    <row r="41" ht="15.75" customHeight="1" s="174">
      <c r="A41" s="3" t="n"/>
      <c r="B41" s="114" t="inlineStr">
        <is>
          <t>Fund / revenue</t>
        </is>
      </c>
      <c r="C41" s="99">
        <f>IF(OR(C24=0,B6=""),"",B6/C24)</f>
        <v/>
      </c>
      <c r="D41" s="100" t="n">
        <v>0.6</v>
      </c>
      <c r="E41" s="100" t="n">
        <v>0.9</v>
      </c>
      <c r="F41" s="29">
        <f>IF(C41="","",IF(C41&gt;=G41,"KNOCKOUT",IF(C41&lt;=D41,"GREEN",IF(C41&gt;=E41,"RED","YELLOW"))))</f>
        <v/>
      </c>
      <c r="G41" s="100" t="n">
        <v>1.25</v>
      </c>
      <c r="H41" s="101">
        <f>D41+'Historical Score'!$C$35*(E41-D41)</f>
        <v/>
      </c>
      <c r="I41" s="3" t="n"/>
      <c r="J41" s="3" t="n"/>
      <c r="K41" s="3" t="n"/>
      <c r="L41" s="3" t="n"/>
      <c r="M41" s="3" t="n"/>
    </row>
    <row r="42" ht="15.75" customHeight="1" s="174">
      <c r="A42" s="3" t="n"/>
      <c r="B42" s="114" t="inlineStr">
        <is>
          <t># positions (incl. new)</t>
        </is>
      </c>
      <c r="C42" s="18">
        <f>IF(C24=0,"",C34+1)</f>
        <v/>
      </c>
      <c r="D42" s="52" t="n">
        <v>2</v>
      </c>
      <c r="E42" s="52" t="n">
        <v>5</v>
      </c>
      <c r="F42" s="29">
        <f>IF(C42="","",IF(C42&gt;=G42,"KNOCKOUT",IF(C42&lt;=D42,"GREEN",IF(C42&gt;=E42,"RED","YELLOW"))))</f>
        <v/>
      </c>
      <c r="G42" s="52" t="n">
        <v>6</v>
      </c>
      <c r="H42" s="3" t="n"/>
      <c r="I42" s="3" t="n"/>
      <c r="J42" s="3" t="n"/>
      <c r="K42" s="3" t="n"/>
      <c r="L42" s="3" t="n"/>
      <c r="M42" s="3" t="n"/>
    </row>
    <row r="43" ht="15.75" customHeight="1" s="174">
      <c r="A43" s="3" t="n"/>
      <c r="B43" s="114" t="inlineStr">
        <is>
          <t>Revenue trend (avg MoM)</t>
        </is>
      </c>
      <c r="C43" s="33">
        <f>G24</f>
        <v/>
      </c>
      <c r="D43" s="96" t="n">
        <v>-0.05</v>
      </c>
      <c r="E43" s="96" t="n">
        <v>-0.15</v>
      </c>
      <c r="F43" s="29">
        <f>IF(C24=0,"",IF(NOT(ISNUMBER(C43)),"YELLOW",IF(C43&lt;=G43,"KNOCKOUT",IF(C43&gt;=D43,"GREEN",IF(C43&lt;=E43,"RED","YELLOW")))))</f>
        <v/>
      </c>
      <c r="G43" s="96" t="n">
        <v>-0.3</v>
      </c>
      <c r="H43" s="3" t="n"/>
      <c r="I43" s="3" t="n"/>
      <c r="J43" s="3" t="n"/>
      <c r="K43" s="3" t="n"/>
      <c r="L43" s="3" t="n"/>
      <c r="M43" s="3" t="n"/>
    </row>
    <row r="44" ht="15.75" customHeight="1" s="174">
      <c r="A44" s="3" t="n"/>
      <c r="B44" s="114" t="inlineStr">
        <is>
          <t>Neg days + NSFs (total)</t>
        </is>
      </c>
      <c r="C44" s="18">
        <f>E24+F24</f>
        <v/>
      </c>
      <c r="D44" s="52" t="n">
        <v>1</v>
      </c>
      <c r="E44" s="52" t="n">
        <v>6</v>
      </c>
      <c r="F44" s="29">
        <f>IF(C44="","",IF(C44&gt;=G44,"KNOCKOUT",IF(C44&lt;=D44,"GREEN",IF(C44&gt;=E44,"RED","YELLOW"))))</f>
        <v/>
      </c>
      <c r="G44" s="52" t="n">
        <v>10</v>
      </c>
      <c r="H44" s="3" t="n"/>
      <c r="I44" s="3" t="n"/>
      <c r="J44" s="3" t="n"/>
      <c r="K44" s="3" t="n"/>
      <c r="L44" s="3" t="n"/>
      <c r="M44" s="3" t="n"/>
    </row>
    <row r="45" ht="15.75" customHeight="1" s="174">
      <c r="A45" s="3" t="n"/>
      <c r="B45" s="114" t="inlineStr">
        <is>
          <t>Credit score (FICO)</t>
        </is>
      </c>
      <c r="C45" s="18">
        <f>IF(K15="","",K15)</f>
        <v/>
      </c>
      <c r="D45" s="52" t="n">
        <v>650</v>
      </c>
      <c r="E45" s="52" t="n">
        <v>630</v>
      </c>
      <c r="F45" s="29">
        <f>IF(C45="","",IF(AND(G45&lt;&gt;0,C45&lt;=G45),"KNOCKOUT",IF(C45&gt;=D45,"GREEN",IF(C45&lt;E45,"RED","YELLOW"))))</f>
        <v/>
      </c>
      <c r="G45" s="52" t="n">
        <v>0</v>
      </c>
      <c r="H45" s="3" t="n"/>
      <c r="I45" s="3" t="n"/>
      <c r="J45" s="3" t="n"/>
      <c r="K45" s="3" t="n"/>
      <c r="L45" s="3" t="n"/>
      <c r="M45" s="3" t="n"/>
    </row>
    <row r="46" ht="15.75" customHeight="1" s="174">
      <c r="A46" s="3" t="n"/>
      <c r="B46" s="114" t="inlineStr">
        <is>
          <t>Existing leverage (before new)</t>
        </is>
      </c>
      <c r="C46" s="33">
        <f>IF(C24=0,"",F34/C24)</f>
        <v/>
      </c>
      <c r="D46" s="102" t="inlineStr">
        <is>
          <t>-</t>
        </is>
      </c>
      <c r="E46" s="102" t="inlineStr">
        <is>
          <t>-</t>
        </is>
      </c>
      <c r="F46" s="103" t="inlineStr">
        <is>
          <t>INFO</t>
        </is>
      </c>
      <c r="G46" s="3" t="n"/>
      <c r="H46" s="3" t="n"/>
      <c r="I46" s="3" t="n"/>
      <c r="J46" s="3" t="n"/>
      <c r="K46" s="3" t="n"/>
      <c r="L46" s="3" t="n"/>
      <c r="M46" s="3" t="n"/>
    </row>
    <row r="47" ht="15.75" customHeight="1" s="174">
      <c r="A47" s="3" t="n"/>
      <c r="B47" s="114" t="inlineStr">
        <is>
          <t>Balance / revenue</t>
        </is>
      </c>
      <c r="C47" s="33">
        <f>IF(C24=0,"",D24/C24)</f>
        <v/>
      </c>
      <c r="D47" s="102" t="inlineStr">
        <is>
          <t>-</t>
        </is>
      </c>
      <c r="E47" s="102" t="inlineStr">
        <is>
          <t>-</t>
        </is>
      </c>
      <c r="F47" s="103" t="inlineStr">
        <is>
          <t>INFO</t>
        </is>
      </c>
      <c r="G47" s="3" t="n"/>
      <c r="H47" s="3" t="n"/>
      <c r="I47" s="3" t="n"/>
      <c r="J47" s="3" t="n"/>
      <c r="K47" s="3" t="n"/>
      <c r="L47" s="3" t="n"/>
      <c r="M47" s="3" t="n"/>
    </row>
    <row r="48" ht="15.75" customHeight="1" s="174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</row>
    <row r="49" ht="15.75" customHeight="1" s="174">
      <c r="A49" s="3" t="n"/>
      <c r="B49" s="127" t="inlineStr">
        <is>
          <t>C2.  HOUSE-BOOK INDICATORS   (set the sizing line + modifier; NOT counted in the cash-flow score)</t>
        </is>
      </c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</row>
    <row r="50" ht="15.75" customHeight="1" s="174">
      <c r="A50" s="3" t="n"/>
      <c r="B50" s="19" t="inlineStr">
        <is>
          <t>Cohort</t>
        </is>
      </c>
      <c r="C50" s="19" t="inlineStr">
        <is>
          <t>Principal lost rate</t>
        </is>
      </c>
      <c r="D50" s="19" t="inlineStr">
        <is>
          <t>Green &lt;=</t>
        </is>
      </c>
      <c r="E50" s="19" t="inlineStr">
        <is>
          <t>Red &gt;</t>
        </is>
      </c>
      <c r="F50" s="19" t="inlineStr">
        <is>
          <t>Status</t>
        </is>
      </c>
      <c r="G50" s="19" t="inlineStr">
        <is>
          <t>Seasoned Deals</t>
        </is>
      </c>
      <c r="H50" s="19" t="inlineStr">
        <is>
          <t>Return on funded</t>
        </is>
      </c>
      <c r="I50" s="3" t="n"/>
      <c r="J50" s="3" t="n"/>
      <c r="K50" s="3" t="n"/>
      <c r="L50" s="3" t="n"/>
      <c r="M50" s="3" t="n"/>
    </row>
    <row r="51" ht="15.75" customHeight="1" s="174">
      <c r="A51" s="3" t="n"/>
      <c r="B51" s="114">
        <f>"Primary cohort: "&amp;'Historical Score'!$C$29</f>
        <v/>
      </c>
      <c r="C51" s="33">
        <f>'Historical Score'!$C$31</f>
        <v/>
      </c>
      <c r="D51" s="105">
        <f>'Historical Score'!$C$10*Controls!$B$29</f>
        <v/>
      </c>
      <c r="E51" s="105">
        <f>'Historical Score'!$C$10*Controls!$B$30</f>
        <v/>
      </c>
      <c r="F51" s="179">
        <f>IF('Historical Score'!$C$37="NO","NO DEALS",IF('Historical Score'!$C$33&lt;=Controls!$B$29,"GREEN",IF('Historical Score'!$C$33&gt;Controls!$B$30,"RED","YELLOW")))</f>
        <v/>
      </c>
      <c r="G51" s="107">
        <f>'Historical Score'!$C$30</f>
        <v/>
      </c>
      <c r="H51" s="33">
        <f>'Historical Score'!$C$32</f>
        <v/>
      </c>
      <c r="I51" s="3" t="n"/>
      <c r="J51" s="3" t="n"/>
      <c r="K51" s="3" t="n"/>
      <c r="L51" s="3" t="n"/>
      <c r="M51" s="3" t="n"/>
    </row>
    <row r="52" ht="15.75" customHeight="1" s="174">
      <c r="A52" s="3" t="n"/>
      <c r="B52" s="114" t="inlineStr">
        <is>
          <t>ISO</t>
        </is>
      </c>
      <c r="C52" s="33">
        <f>'Historical Score'!$F$26</f>
        <v/>
      </c>
      <c r="D52" s="105">
        <f>'Historical Score'!$C$10*Controls!$B$29</f>
        <v/>
      </c>
      <c r="E52" s="105">
        <f>'Historical Score'!$C$10*Controls!$B$30</f>
        <v/>
      </c>
      <c r="F52" s="29">
        <f>IF('Historical Score'!$C$26=0,"NO DEALS",IF('Historical Score'!$F$26="","NO RATE",IF('Historical Score'!$H$26&lt;=Controls!$B$29,"GREEN",IF('Historical Score'!$H$26&gt;Controls!$B$30,"RED","YELLOW"))))</f>
        <v/>
      </c>
      <c r="G52" s="111">
        <f>'Historical Score'!$C$26</f>
        <v/>
      </c>
      <c r="H52" s="33">
        <f>'Historical Score'!$G$26</f>
        <v/>
      </c>
      <c r="I52" s="3" t="n"/>
      <c r="J52" s="3" t="n"/>
      <c r="K52" s="3" t="n"/>
      <c r="L52" s="3" t="n"/>
      <c r="M52" s="3" t="n"/>
    </row>
    <row r="53" ht="15.75" customHeight="1" s="174">
      <c r="A53" s="3" t="n"/>
      <c r="B53" s="114" t="inlineStr">
        <is>
          <t>Industry</t>
        </is>
      </c>
      <c r="C53" s="33">
        <f>'Historical Score'!$F$25</f>
        <v/>
      </c>
      <c r="D53" s="105">
        <f>'Historical Score'!$C$10*Controls!$B$29</f>
        <v/>
      </c>
      <c r="E53" s="105">
        <f>'Historical Score'!$C$10*Controls!$B$30</f>
        <v/>
      </c>
      <c r="F53" s="29">
        <f>IF('Historical Score'!$C$25=0,"NO DEALS",IF('Historical Score'!$F$25="","NO RATE",IF('Historical Score'!$H$25&lt;=Controls!$B$29,"GREEN",IF('Historical Score'!$H$25&gt;Controls!$B$30,"RED","YELLOW"))))</f>
        <v/>
      </c>
      <c r="G53" s="111">
        <f>'Historical Score'!$C$25</f>
        <v/>
      </c>
      <c r="H53" s="33">
        <f>'Historical Score'!$G$25</f>
        <v/>
      </c>
      <c r="I53" s="3" t="n"/>
      <c r="J53" s="3" t="n"/>
      <c r="K53" s="3" t="n"/>
      <c r="L53" s="3" t="n"/>
      <c r="M53" s="3" t="n"/>
    </row>
    <row r="54" ht="15.75" customHeight="1" s="174">
      <c r="A54" s="3" t="n"/>
      <c r="B54" s="114" t="inlineStr">
        <is>
          <t>New deal / renewal</t>
        </is>
      </c>
      <c r="C54" s="33">
        <f>'Historical Score'!$F$24</f>
        <v/>
      </c>
      <c r="D54" s="105">
        <f>'Historical Score'!$C$10*Controls!$B$29</f>
        <v/>
      </c>
      <c r="E54" s="105">
        <f>'Historical Score'!$C$10*Controls!$B$30</f>
        <v/>
      </c>
      <c r="F54" s="29">
        <f>IF('Historical Score'!$C$24=0,"NO DEALS",IF('Historical Score'!$F$24="","NO RATE",IF('Historical Score'!$H$24&lt;=Controls!$B$29,"GREEN",IF('Historical Score'!$H$24&gt;Controls!$B$30,"RED","YELLOW"))))</f>
        <v/>
      </c>
      <c r="G54" s="111">
        <f>'Historical Score'!$C$24</f>
        <v/>
      </c>
      <c r="H54" s="33">
        <f>'Historical Score'!$G$24</f>
        <v/>
      </c>
      <c r="I54" s="3" t="n"/>
      <c r="J54" s="3" t="n"/>
      <c r="K54" s="3" t="n"/>
      <c r="L54" s="3" t="n"/>
      <c r="M54" s="3" t="n"/>
    </row>
    <row r="55" ht="15.75" customHeight="1" s="174">
      <c r="A55" s="3" t="n"/>
      <c r="B55" s="114" t="inlineStr">
        <is>
          <t>Position</t>
        </is>
      </c>
      <c r="C55" s="33">
        <f>'Historical Score'!$F$23</f>
        <v/>
      </c>
      <c r="D55" s="105">
        <f>'Historical Score'!$C$10*Controls!$B$29</f>
        <v/>
      </c>
      <c r="E55" s="105">
        <f>'Historical Score'!$C$10*Controls!$B$30</f>
        <v/>
      </c>
      <c r="F55" s="29">
        <f>IF('Historical Score'!$C$23=0,"NO DEALS",IF('Historical Score'!$F$23="","NO RATE",IF('Historical Score'!$H$23&lt;=Controls!$B$29,"GREEN",IF('Historical Score'!$H$23&gt;Controls!$B$30,"RED","YELLOW"))))</f>
        <v/>
      </c>
      <c r="G55" s="111">
        <f>'Historical Score'!$C$23</f>
        <v/>
      </c>
      <c r="H55" s="117">
        <f>'Historical Score'!$G$23</f>
        <v/>
      </c>
      <c r="I55" s="3" t="n"/>
      <c r="J55" s="3" t="n"/>
      <c r="K55" s="3" t="n"/>
      <c r="L55" s="3" t="n"/>
      <c r="M55" s="3" t="n"/>
    </row>
    <row r="56" ht="15.75" customHeight="1" s="174">
      <c r="A56" s="3" t="n"/>
      <c r="B56" s="114" t="inlineStr">
        <is>
          <t>Seasoned deals behind the primary cohort</t>
        </is>
      </c>
      <c r="C56" s="180">
        <f>IF('Historical Score'!$C$37="NO",0,'Historical Score'!$C$30)</f>
        <v/>
      </c>
      <c r="D56" s="118">
        <f>Controls!$B$26</f>
        <v/>
      </c>
      <c r="E56" s="118">
        <f>Controls!$B$24</f>
        <v/>
      </c>
      <c r="F56" s="119">
        <f>IF(C56&gt;=D56,"GREEN",IF(C56&gt;=E56,"YELLOW","RED"))</f>
        <v/>
      </c>
      <c r="G56" s="111" t="n"/>
      <c r="H56" s="117" t="n"/>
      <c r="I56" s="3" t="n"/>
      <c r="J56" s="3" t="n"/>
      <c r="K56" s="3" t="n"/>
      <c r="L56" s="3" t="n"/>
      <c r="M56" s="3" t="n"/>
    </row>
    <row r="57" ht="15.75" customHeight="1" s="174">
      <c r="A57" s="3" t="n"/>
      <c r="B57" s="114" t="n"/>
      <c r="C57" s="95" t="n"/>
      <c r="D57" s="120" t="n"/>
      <c r="E57" s="120" t="n"/>
      <c r="F57" s="120" t="n"/>
      <c r="G57" s="111" t="n"/>
      <c r="H57" s="117" t="n"/>
      <c r="I57" s="3" t="n"/>
      <c r="J57" s="3" t="n"/>
      <c r="K57" s="3" t="n"/>
      <c r="L57" s="3" t="n"/>
      <c r="M57" s="3" t="n"/>
    </row>
    <row r="58" ht="15.75" customHeight="1" s="174">
      <c r="A58" s="3" t="n"/>
      <c r="B58" s="114" t="n"/>
      <c r="C58" s="95" t="n"/>
      <c r="D58" s="120" t="n"/>
      <c r="E58" s="120" t="n"/>
      <c r="F58" s="120" t="n"/>
      <c r="G58" s="111" t="n"/>
      <c r="H58" s="117" t="n"/>
      <c r="I58" s="3" t="n"/>
      <c r="J58" s="3" t="n"/>
      <c r="K58" s="3" t="n"/>
      <c r="L58" s="3" t="n"/>
      <c r="M58" s="3" t="n"/>
    </row>
    <row r="59" ht="15.75" customHeight="1" s="174">
      <c r="A59" s="3" t="n"/>
      <c r="B59" s="127" t="inlineStr">
        <is>
          <t>D.  DECISION  (cash-flow layer, on the requested offer)</t>
        </is>
      </c>
      <c r="I59" s="3" t="n"/>
      <c r="J59" s="3" t="n"/>
      <c r="K59" s="3" t="n"/>
      <c r="L59" s="3" t="n"/>
      <c r="M59" s="3" t="n"/>
    </row>
    <row r="60" ht="15.75" customHeight="1" s="174">
      <c r="A60" s="3" t="n"/>
      <c r="B60" s="121" t="inlineStr">
        <is>
          <t>Red flags</t>
        </is>
      </c>
      <c r="C60" s="122">
        <f>COUNTIF(F38:F45,"RED")+COUNTIF(F38:F45,"KNOCKOUT")</f>
        <v/>
      </c>
      <c r="D60" s="121" t="inlineStr">
        <is>
          <t>Knockouts</t>
        </is>
      </c>
      <c r="E60" s="122">
        <f>COUNTIF(F38:F45,"KNOCKOUT")</f>
        <v/>
      </c>
      <c r="F60" s="3" t="n"/>
      <c r="G60" s="3" t="n"/>
      <c r="H60" s="3" t="n"/>
      <c r="I60" s="3" t="n"/>
      <c r="J60" s="3" t="n"/>
      <c r="K60" s="3" t="n"/>
      <c r="L60" s="3" t="n"/>
      <c r="M60" s="3" t="n"/>
    </row>
    <row r="61" ht="15.75" customHeight="1" s="174">
      <c r="A61" s="3" t="n"/>
      <c r="B61" s="123" t="inlineStr">
        <is>
          <t>Decline if red flags &gt;=  (Controls)</t>
        </is>
      </c>
      <c r="C61" s="124" t="n">
        <v>2</v>
      </c>
      <c r="D61" s="125" t="inlineStr">
        <is>
          <t>Minimum fund $</t>
        </is>
      </c>
      <c r="E61" s="126" t="n">
        <v>10000</v>
      </c>
      <c r="F61" s="3" t="n"/>
      <c r="G61" s="3" t="n"/>
      <c r="H61" s="3" t="n"/>
      <c r="I61" s="3" t="n"/>
      <c r="J61" s="3" t="n"/>
      <c r="K61" s="3" t="n"/>
      <c r="L61" s="3" t="n"/>
      <c r="M61" s="3" t="n"/>
    </row>
    <row r="62" ht="15.75" customHeight="1" s="174">
      <c r="A62" s="3" t="n"/>
      <c r="B62" s="121" t="inlineStr">
        <is>
          <t>DECISION</t>
        </is>
      </c>
      <c r="C62" s="10">
        <f>IF(C24=0,"",IF(OR(E60&gt;0,IF(ISNUMBER(C73),C73,0)&lt;E61),"DECLINE",IF(OR(B6="",B6=0),"",IF(C60&gt;=C61,"DECLINE",IF(COUNTIF(F38:F45,"GREEN")=SUMPRODUCT(--(F38:F45&lt;&gt;"")),"APPROVE","CONDITIONAL")))))</f>
        <v/>
      </c>
      <c r="D62" s="12" t="n"/>
      <c r="I62" s="3" t="n"/>
      <c r="J62" s="3" t="n"/>
      <c r="K62" s="3" t="n"/>
      <c r="L62" s="3" t="n"/>
      <c r="M62" s="3" t="n"/>
    </row>
    <row r="63" ht="15.75" customHeight="1" s="174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</row>
    <row r="64" ht="15.75" customHeight="1" s="174">
      <c r="A64" s="3" t="n"/>
      <c r="B64" s="127" t="inlineStr">
        <is>
          <t xml:space="preserve">E.  DEAL QUALITY  &amp;  MAXIMUM OFFER at the sizing line  </t>
        </is>
      </c>
      <c r="C64" s="3" t="n"/>
      <c r="D64" s="3" t="n"/>
      <c r="E64" s="3" t="n"/>
      <c r="F64" s="19" t="inlineStr">
        <is>
          <t>Exisiting Green Line</t>
        </is>
      </c>
      <c r="G64" s="3" t="n"/>
      <c r="H64" s="3" t="n"/>
      <c r="I64" s="3" t="n"/>
      <c r="J64" s="3" t="n"/>
      <c r="K64" s="3" t="n"/>
      <c r="L64" s="3" t="n"/>
      <c r="M64" s="3" t="n"/>
    </row>
    <row r="65" ht="15.75" customHeight="1" s="174">
      <c r="A65" s="3" t="n"/>
      <c r="B65" s="123" t="inlineStr">
        <is>
          <t>Score (G=1, Y=0.5, R=0)</t>
        </is>
      </c>
      <c r="C65" s="128">
        <f>COUNTIF(F38:F45,"GREEN")+0.5*COUNTIF(F38:F45,"YELLOW")</f>
        <v/>
      </c>
      <c r="D65" s="12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</row>
    <row r="66" ht="15.75" customHeight="1" s="174">
      <c r="A66" s="3" t="n"/>
      <c r="B66" s="123" t="inlineStr">
        <is>
          <t>Tier  (score scaled to 7 for the bands)</t>
        </is>
      </c>
      <c r="C66" s="29">
        <f>IF(C24=0,"",IF(IF(SUMPRODUCT(--(F38:F45&lt;&gt;""))=0,0,C65*7/SUMPRODUCT(--(F38:F45&lt;&gt;"")))&gt;=6.5,"Strong",IF(IF(SUMPRODUCT(--(F38:F45&lt;&gt;""))=0,0,C65*7/SUMPRODUCT(--(F38:F45&lt;&gt;"")))&gt;=5,"Solid",IF(IF(SUMPRODUCT(--(F38:F45&lt;&gt;""))=0,0,C65*7/SUMPRODUCT(--(F38:F45&lt;&gt;"")))&gt;=3.5,"Moderate","Weak"))))</f>
        <v/>
      </c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</row>
    <row r="67" ht="15.75" customHeight="1" s="174">
      <c r="A67" s="3" t="n"/>
      <c r="B67" s="123" t="inlineStr">
        <is>
          <t>Max daily by SP% sizing line</t>
        </is>
      </c>
      <c r="C67" s="27">
        <f>IF(C24=0,"",H39*C24/$K$9)</f>
        <v/>
      </c>
      <c r="D67" s="129" t="n"/>
      <c r="E67" s="3" t="n"/>
      <c r="F67" s="27">
        <f>IF(C24=0,"",D39*C24/$K$9)</f>
        <v/>
      </c>
      <c r="G67" s="3" t="n"/>
      <c r="H67" s="3" t="n"/>
      <c r="I67" s="3" t="n"/>
      <c r="J67" s="3" t="n"/>
      <c r="K67" s="3" t="n"/>
      <c r="L67" s="3" t="n"/>
      <c r="M67" s="3" t="n"/>
    </row>
    <row r="68" ht="15.75" customHeight="1" s="174">
      <c r="A68" s="3" t="n"/>
      <c r="B68" s="123" t="inlineStr">
        <is>
          <t>Max daily by Total LVG sizing line</t>
        </is>
      </c>
      <c r="C68" s="27">
        <f>IF(C24=0,"",(H38*C24-F34)/$K$9)</f>
        <v/>
      </c>
      <c r="D68" s="3" t="n"/>
      <c r="E68" s="3" t="n"/>
      <c r="F68" s="27">
        <f>IF(C24=0,"",(D38*C24-F34)/$K$9)</f>
        <v/>
      </c>
      <c r="G68" s="3" t="n"/>
      <c r="H68" s="3" t="n"/>
      <c r="I68" s="3" t="n"/>
      <c r="J68" s="3" t="n"/>
      <c r="K68" s="3" t="n"/>
      <c r="L68" s="3" t="n"/>
      <c r="M68" s="3" t="n"/>
    </row>
    <row r="69" ht="15.75" customHeight="1" s="174">
      <c r="A69" s="3" t="n"/>
      <c r="B69" s="130" t="inlineStr">
        <is>
          <t>Max daily by Daily/Balance sizing line</t>
        </is>
      </c>
      <c r="C69" s="131">
        <f>IF(OR(C24=0,D24=0),"",H40*D24-E34)</f>
        <v/>
      </c>
      <c r="D69" s="3" t="n"/>
      <c r="E69" s="3" t="n"/>
      <c r="F69" s="27">
        <f>IF(OR(C24=0,D24=0),"",D40*D24-E34)</f>
        <v/>
      </c>
      <c r="G69" s="3" t="n"/>
      <c r="H69" s="3" t="n"/>
      <c r="I69" s="3" t="n"/>
      <c r="J69" s="3" t="n"/>
      <c r="K69" s="3" t="n"/>
      <c r="L69" s="3" t="n"/>
      <c r="M69" s="3" t="n"/>
    </row>
    <row r="70" ht="15.75" customHeight="1" s="174">
      <c r="A70" s="3" t="n"/>
      <c r="B70" s="132" t="inlineStr">
        <is>
          <t>MAX DAILY  (weakest link)</t>
        </is>
      </c>
      <c r="C70" s="133">
        <f>IF(C24=0,"",MAX(0,MIN(C67:C69)))</f>
        <v/>
      </c>
      <c r="D70" s="12" t="n"/>
      <c r="E70" s="3" t="n"/>
      <c r="F70" s="27">
        <f>IF(C24=0,"",MAX(0,MIN(F67:F69)))</f>
        <v/>
      </c>
      <c r="G70" s="134">
        <f t="array" ref="G70">IF(F70="","",IF(F70=0,"no clean room",INDEX({"SP% holdback";"Total LVG";"Daily/Balance"},MATCH(F70,F67:F69,0))&amp;" is the limit"))</f>
        <v/>
      </c>
      <c r="H70" s="3" t="n"/>
      <c r="I70" s="3" t="n"/>
      <c r="J70" s="3" t="n"/>
      <c r="K70" s="3" t="n"/>
      <c r="L70" s="3" t="n"/>
      <c r="M70" s="3" t="n"/>
    </row>
    <row r="71" ht="15.75" customHeight="1" s="174">
      <c r="A71" s="3" t="n"/>
      <c r="B71" s="135" t="inlineStr">
        <is>
          <t>Weekly / monthly equivalent</t>
        </is>
      </c>
      <c r="C71" s="136">
        <f>IF(OR(C70="",C70=0),"",C70*5)</f>
        <v/>
      </c>
      <c r="D71" s="39">
        <f>IF(OR(C70="",C70=0),"",C70*$K$9)</f>
        <v/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</row>
    <row r="72" ht="15.75" customHeight="1" s="174">
      <c r="A72" s="3" t="n"/>
      <c r="B72" s="123" t="inlineStr">
        <is>
          <t>Term (daily pmts) / factor from bands</t>
        </is>
      </c>
      <c r="C72" s="137">
        <f t="array" ref="C72">IF(OR(C70="",C70=0,C65=""),"",MAX(20,MIN(INDEX(Controls!$B$5:$B$8,MATCH(IF(SUMPRODUCT(--(F38:F45&lt;&gt;""))=0,0,C65*7/SUMPRODUCT(--(F38:F45&lt;&gt;""))),Controls!$A$5:$A$8,1)),FLOOR(Controls!$B$9*$K$9,5),FLOOR(H41*C24*D72/C70,5))))</f>
        <v/>
      </c>
      <c r="D72" s="138">
        <f t="array" ref="D72">IF(OR(C65="",C24=0),"",INDEX(Controls!$C$5:$C$8,MATCH(IF(SUMPRODUCT(--(F38:F45&lt;&gt;""))=0,0,C65*7/SUMPRODUCT(--(F38:F45&lt;&gt;""))),Controls!$A$5:$A$8,1)))</f>
        <v/>
      </c>
      <c r="E72" s="3" t="n"/>
      <c r="F72" s="37">
        <f t="array" ref="F72">IF(OR(F70="",F70=0,C65=""),"",MAX(20,MIN(INDEX(Controls!$B$5:$B$8,MATCH(IF(SUMPRODUCT(--(F38:F45&lt;&gt;""))=0,0,C65*7/SUMPRODUCT(--(F38:F45&lt;&gt;""))),Controls!$A$5:$A$8,1)),FLOOR(Controls!$B$9*$K$9,5),FLOOR(D41*C24*D72/F70,5))))</f>
        <v/>
      </c>
      <c r="G72" s="3" t="n"/>
      <c r="H72" s="3" t="n"/>
      <c r="I72" s="3" t="n"/>
      <c r="J72" s="3" t="n"/>
      <c r="K72" s="3" t="n"/>
      <c r="L72" s="3" t="n"/>
      <c r="M72" s="3" t="n"/>
    </row>
    <row r="73" ht="15.75" customHeight="1" s="174">
      <c r="A73" s="3" t="n"/>
      <c r="B73" s="121" t="inlineStr">
        <is>
          <t>MAX FUND at the sizing line</t>
        </is>
      </c>
      <c r="C73" s="139">
        <f>IF(COUNTIF(F42:F45,"KNOCKOUT")&gt;0,"-",IF(OR(C70="",C70=0,C72="",D72=""),"",FLOOR(C70*C72/D72,500)))</f>
        <v/>
      </c>
      <c r="D73" s="140">
        <f>IF(C73="-","KNOCKOUT on the merchant - do not fund.",IF(C73="","","payback "&amp;TEXT(C73*D72,"$#,##0")&amp;" over "&amp;C72&amp;" daily pmts ("&amp;TEXT(C72/5,"0")&amp;" wks)"))</f>
        <v/>
      </c>
      <c r="E73" s="3" t="n"/>
      <c r="F73" s="39">
        <f>IF(COUNTIF(F42:F45,"KNOCKOUT")&gt;0,"-",IF(OR(F70="",F70=0,F72=""),"",FLOOR(F70*F72/D72,500)))</f>
        <v/>
      </c>
      <c r="G73" s="3" t="n"/>
      <c r="H73" s="3" t="n"/>
      <c r="I73" s="3" t="n"/>
      <c r="J73" s="3" t="n"/>
      <c r="K73" s="3" t="n"/>
      <c r="L73" s="3" t="n"/>
      <c r="M73" s="3" t="n"/>
    </row>
    <row r="74" ht="15.75" customHeight="1" s="174">
      <c r="A74" s="3" t="n"/>
      <c r="B74" s="12" t="n"/>
      <c r="I74" s="3" t="n"/>
      <c r="J74" s="3" t="n"/>
      <c r="K74" s="3" t="n"/>
      <c r="L74" s="3" t="n"/>
      <c r="M74" s="3" t="n"/>
    </row>
    <row r="75" ht="15" customHeight="1" s="174">
      <c r="A75" s="3" t="n"/>
      <c r="B75" s="127" t="inlineStr">
        <is>
          <t>F.  FINAL OFFER</t>
        </is>
      </c>
      <c r="E75" s="3" t="n"/>
      <c r="F75" s="3" t="n"/>
      <c r="G75" s="3" t="n"/>
      <c r="H75" s="3" t="n"/>
      <c r="L75" s="3" t="n"/>
      <c r="M75" s="3" t="n"/>
    </row>
    <row r="76" ht="15.75" customHeight="1" s="174">
      <c r="A76" s="3" t="n"/>
      <c r="B76" s="141" t="inlineStr">
        <is>
          <t>FINAL DECISION</t>
        </is>
      </c>
      <c r="C76" s="142">
        <f>IF(C24=0,"",IF(OR(C73="-",C73="",C78="",C78=0,C78&lt;E61,COUNTIF(F42:F45,"RED")+COUNTIF(F42:F45,"KNOCKOUT")+COUNTIF($C$87:$C$90,"RED")&gt;=C61),"DECLINE",IF(OR(COUNTIF($C$87:$C$90,"YELLOW")&gt;0,COUNTIF(F42:F45,"YELLOW")&gt;0,C84="Negative"),"CONDITIONAL","APPROVE")))</f>
        <v/>
      </c>
      <c r="D76" s="88" t="n"/>
      <c r="E76" s="3" t="n"/>
      <c r="F76" s="3" t="n"/>
      <c r="G76" s="3" t="n"/>
      <c r="H76" s="3" t="n"/>
      <c r="L76" s="3" t="n"/>
      <c r="M76" s="3" t="n"/>
    </row>
    <row r="77" ht="15" customHeight="1" s="174">
      <c r="A77" s="3" t="n"/>
      <c r="B77" s="143" t="inlineStr">
        <is>
          <t>Cash flow only</t>
        </is>
      </c>
      <c r="C77" s="144">
        <f>F73</f>
        <v/>
      </c>
      <c r="D77" s="145" t="n"/>
      <c r="E77" s="3" t="n"/>
      <c r="F77" s="3" t="n"/>
      <c r="G77" s="3" t="n"/>
      <c r="H77" s="3" t="n"/>
      <c r="L77" s="3" t="n"/>
      <c r="M77" s="3" t="n"/>
    </row>
    <row r="78" ht="15.75" customHeight="1" s="174">
      <c r="A78" s="3" t="n"/>
      <c r="B78" s="121" t="inlineStr">
        <is>
          <t>RECOMMENDED FUND</t>
        </is>
      </c>
      <c r="C78" s="139">
        <f>IF($K$14="","",C73)</f>
        <v/>
      </c>
      <c r="D78" s="145" t="n"/>
      <c r="E78" s="3" t="n"/>
      <c r="F78" s="3" t="n"/>
      <c r="G78" s="3" t="n"/>
      <c r="H78" s="3" t="n"/>
      <c r="L78" s="3" t="n"/>
      <c r="M78" s="3" t="n"/>
    </row>
    <row r="79" ht="15" customHeight="1" s="174">
      <c r="A79" s="3" t="n"/>
      <c r="B79" s="121" t="inlineStr">
        <is>
          <t>Factor</t>
        </is>
      </c>
      <c r="C79" s="99">
        <f>IF(OR(C78="",C78="-"),"",D72)</f>
        <v/>
      </c>
      <c r="D79" s="145" t="n"/>
      <c r="E79" s="3" t="n"/>
      <c r="F79" s="3" t="n"/>
      <c r="G79" s="3" t="n"/>
      <c r="H79" s="3" t="n"/>
      <c r="L79" s="3" t="n"/>
      <c r="M79" s="3" t="n"/>
    </row>
    <row r="80" ht="15" customHeight="1" s="174">
      <c r="A80" s="3" t="n"/>
      <c r="B80" s="121" t="inlineStr">
        <is>
          <t>Term (weeks)</t>
        </is>
      </c>
      <c r="C80" s="18">
        <f>IF(OR(C78="",C78="-"),"",C72/5)</f>
        <v/>
      </c>
      <c r="D80" s="145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</row>
    <row r="81" ht="15" customHeight="1" s="174">
      <c r="A81" s="3" t="n"/>
      <c r="B81" s="121" t="inlineStr">
        <is>
          <t>Term (daily pmts)</t>
        </is>
      </c>
      <c r="C81" s="18">
        <f>IF(OR(C78="",C78="-"),"",C72)</f>
        <v/>
      </c>
      <c r="D81" s="145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</row>
    <row r="82" ht="15" customHeight="1" s="174">
      <c r="A82" s="3" t="n"/>
      <c r="B82" s="121" t="inlineStr">
        <is>
          <t>Weekly payment</t>
        </is>
      </c>
      <c r="C82" s="31">
        <f>IF(OR(C78="",C78="-"),"",C78*D72/C72*5)</f>
        <v/>
      </c>
      <c r="D82" s="145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</row>
    <row r="83" ht="15" customHeight="1" s="174">
      <c r="A83" s="3" t="n"/>
      <c r="B83" s="121" t="inlineStr">
        <is>
          <t>Daily payment</t>
        </is>
      </c>
      <c r="C83" s="31">
        <f>IF(OR(C78="",C78="-"),"",C78*D72/C72)</f>
        <v/>
      </c>
      <c r="D83" s="145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</row>
    <row r="84" ht="15" customHeight="1" s="174">
      <c r="A84" s="3" t="n"/>
      <c r="B84" s="121" t="inlineStr">
        <is>
          <t>HOUSE-BOOK OUTCOME</t>
        </is>
      </c>
      <c r="C84" s="99">
        <f>'Historical Score'!$C$34</f>
        <v/>
      </c>
      <c r="D84" s="145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</row>
    <row r="85" ht="15" customHeight="1" s="174">
      <c r="A85" s="3" t="n"/>
      <c r="B85" s="29" t="n"/>
      <c r="C85" s="146" t="n"/>
      <c r="D85" s="145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</row>
    <row r="86" ht="15" customHeight="1" s="174">
      <c r="A86" s="3" t="n"/>
      <c r="B86" s="48" t="inlineStr">
        <is>
          <t>RE-CHECK AT FINAL OFFER</t>
        </is>
      </c>
      <c r="C86" s="181" t="n"/>
      <c r="D86" s="176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</row>
    <row r="87" ht="15" customHeight="1" s="174">
      <c r="A87" s="3" t="n"/>
      <c r="B87" s="134" t="inlineStr">
        <is>
          <t>Holdback</t>
        </is>
      </c>
      <c r="C87" s="146">
        <f>IF(D87="","",IF(D87&gt;=G39,"KNOCKOUT",IF(D87&lt;=D39,"GREEN",IF(D87&gt;=E39,"RED","YELLOW"))))</f>
        <v/>
      </c>
      <c r="D87" s="98">
        <f>IF($C$83="","",$C$83*$K$9/C24)</f>
        <v/>
      </c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</row>
    <row r="88" ht="15" customHeight="1" s="174">
      <c r="A88" s="3" t="n"/>
      <c r="B88" s="134" t="inlineStr">
        <is>
          <t>Total LVG</t>
        </is>
      </c>
      <c r="C88" s="146">
        <f>IF(D88="","",IF(D88&gt;=G38,"KNOCKOUT",IF(D88&lt;=D38,"GREEN",IF(D88&gt;=E38,"RED","YELLOW"))))</f>
        <v/>
      </c>
      <c r="D88" s="98">
        <f>IF($C$83="","",(E34+$C$83)*$K$9/C24)</f>
        <v/>
      </c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</row>
    <row r="89" ht="15" customHeight="1" s="174">
      <c r="A89" s="3" t="n"/>
      <c r="B89" s="134" t="inlineStr">
        <is>
          <t>Daily/balance</t>
        </is>
      </c>
      <c r="C89" s="146">
        <f>IF(D89="","",IF(D89&gt;=G40,"KNOCKOUT",IF(D89&lt;=D40,"GREEN",IF(D89&gt;=E40,"RED","YELLOW"))))</f>
        <v/>
      </c>
      <c r="D89" s="98">
        <f>IF(OR($C$83="",D24=0),"",(E34+$C$83)/D24)</f>
        <v/>
      </c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</row>
    <row r="90" ht="15" customHeight="1" s="174">
      <c r="A90" s="3" t="n"/>
      <c r="B90" s="134" t="inlineStr">
        <is>
          <t>Fund/revenue</t>
        </is>
      </c>
      <c r="C90" s="146">
        <f>IF(D90="","",IF(D90&gt;=G41,"KNOCKOUT",IF(D90&lt;=D41,"GREEN",IF(D90&gt;=E41,"RED","YELLOW"))))</f>
        <v/>
      </c>
      <c r="D90" s="149">
        <f>IF(OR(C78="",C78="-"),"",C78/C24)</f>
        <v/>
      </c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</row>
    <row r="91" ht="15" customHeight="1" s="174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</row>
    <row r="92" ht="15" customHeight="1" s="174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</row>
    <row r="93" ht="15" customHeight="1" s="174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</row>
    <row r="94" ht="15" customHeight="1" s="17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</row>
    <row r="95" ht="15" customHeight="1" s="174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</row>
    <row r="96" ht="15.75" customHeight="1" s="174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</row>
    <row r="97" ht="15.75" customHeight="1" s="174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</row>
    <row r="98" ht="15.75" customHeight="1" s="174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</row>
    <row r="99" ht="15.75" customHeight="1" s="174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</row>
    <row r="100" ht="15.75" customHeight="1" s="174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</row>
    <row r="101" ht="15.75" customHeight="1" s="174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</row>
    <row r="102" ht="15.75" customHeight="1" s="174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</row>
    <row r="103" ht="15.75" customHeight="1" s="174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</row>
    <row r="104" ht="15.75" customHeight="1" s="17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</row>
    <row r="105" ht="15.75" customHeight="1" s="174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</row>
    <row r="106" ht="15.75" customHeight="1" s="174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</row>
    <row r="107" ht="15.75" customHeight="1" s="174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</row>
    <row r="108" ht="15.75" customHeight="1" s="174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</row>
    <row r="109" ht="15.75" customHeight="1" s="174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</row>
    <row r="110" ht="15.75" customHeight="1" s="174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</row>
    <row r="111" ht="15.75" customHeight="1" s="174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</row>
    <row r="112" ht="15.75" customHeight="1" s="174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</row>
    <row r="113" ht="15.75" customHeight="1" s="174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</row>
    <row r="114" ht="15.75" customHeight="1" s="17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</row>
    <row r="115" ht="15.75" customHeight="1" s="174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</row>
    <row r="116" ht="15.75" customHeight="1" s="174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</row>
    <row r="117" ht="15.75" customHeight="1" s="174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</row>
    <row r="118" ht="15.75" customHeight="1" s="174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</row>
    <row r="119" ht="15.75" customHeight="1" s="174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</row>
    <row r="120" ht="15.75" customHeight="1" s="174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</row>
    <row r="121" ht="15.75" customHeight="1" s="174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</row>
    <row r="122" ht="15.75" customHeight="1" s="174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</row>
    <row r="123" ht="15.75" customHeight="1" s="174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</row>
    <row r="124" ht="15.75" customHeight="1" s="17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</row>
    <row r="125" ht="15.75" customHeight="1" s="174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</row>
    <row r="126" ht="15.75" customHeight="1" s="174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</row>
    <row r="127" ht="15.75" customHeight="1" s="174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</row>
    <row r="128" ht="15.75" customHeight="1" s="174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</row>
    <row r="129" ht="15.75" customHeight="1" s="174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</row>
    <row r="130" ht="15.75" customHeight="1" s="174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</row>
    <row r="131" ht="15.75" customHeight="1" s="174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</row>
    <row r="132" ht="15.75" customHeight="1" s="174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</row>
    <row r="133" ht="15.75" customHeight="1" s="174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</row>
    <row r="134" ht="15.75" customHeight="1" s="17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</row>
    <row r="135" ht="15.75" customHeight="1" s="174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</row>
    <row r="136" ht="15.75" customHeight="1" s="174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</row>
    <row r="137" ht="15.75" customHeight="1" s="174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</row>
    <row r="138" ht="15.75" customHeight="1" s="174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</row>
    <row r="139" ht="15.75" customHeight="1" s="174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</row>
    <row r="140" ht="15.75" customHeight="1" s="174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</row>
    <row r="141" ht="15.75" customHeight="1" s="174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</row>
    <row r="142" ht="15.75" customHeight="1" s="174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</row>
    <row r="143" ht="15.75" customHeight="1" s="174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</row>
    <row r="144" ht="15.75" customHeight="1" s="17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</row>
    <row r="145" ht="15.75" customHeight="1" s="174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</row>
    <row r="146" ht="15.75" customHeight="1" s="174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</row>
    <row r="147" ht="15.75" customHeight="1" s="174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</row>
    <row r="148" ht="15.75" customHeight="1" s="174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</row>
    <row r="149" ht="15.75" customHeight="1" s="174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</row>
    <row r="150" ht="15.75" customHeight="1" s="174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</row>
    <row r="151" ht="15.75" customHeight="1" s="174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</row>
    <row r="152" ht="15.75" customHeight="1" s="174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</row>
    <row r="153" ht="15.75" customHeight="1" s="174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</row>
    <row r="154" ht="15.75" customHeight="1" s="17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</row>
    <row r="155" ht="15.75" customHeight="1" s="174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</row>
    <row r="156" ht="15.75" customHeight="1" s="174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</row>
    <row r="157" ht="15.75" customHeight="1" s="174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</row>
    <row r="158" ht="15.75" customHeight="1" s="174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</row>
    <row r="159" ht="15.75" customHeight="1" s="174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</row>
    <row r="160" ht="15.75" customHeight="1" s="174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</row>
    <row r="161" ht="15.75" customHeight="1" s="174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</row>
    <row r="162" ht="15.75" customHeight="1" s="174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</row>
    <row r="163" ht="15.75" customHeight="1" s="174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</row>
    <row r="164" ht="15.75" customHeight="1" s="17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</row>
    <row r="165" ht="15.75" customHeight="1" s="174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</row>
    <row r="166" ht="15.75" customHeight="1" s="174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</row>
    <row r="167" ht="15.75" customHeight="1" s="174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</row>
    <row r="168" ht="15.75" customHeight="1" s="174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</row>
    <row r="169" ht="15.75" customHeight="1" s="174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</row>
    <row r="170" ht="15.75" customHeight="1" s="174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</row>
    <row r="171" ht="15.75" customHeight="1" s="174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</row>
    <row r="172" ht="15.75" customHeight="1" s="174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</row>
    <row r="173" ht="15.75" customHeight="1" s="174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</row>
    <row r="174" ht="15.75" customHeight="1" s="17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</row>
    <row r="175" ht="15.75" customHeight="1" s="174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</row>
    <row r="176" ht="15.75" customHeight="1" s="174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</row>
    <row r="177" ht="15.75" customHeight="1" s="174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</row>
    <row r="178" ht="15.75" customHeight="1" s="174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</row>
    <row r="179" ht="15.75" customHeight="1" s="174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</row>
    <row r="180" ht="15.75" customHeight="1" s="174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</row>
    <row r="181" ht="15.75" customHeight="1" s="174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</row>
    <row r="182" ht="15.75" customHeight="1" s="174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</row>
    <row r="183" ht="15.75" customHeight="1" s="174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</row>
    <row r="184" ht="15.75" customHeight="1" s="174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</row>
    <row r="185" ht="15.75" customHeight="1" s="174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</row>
    <row r="186" ht="15.75" customHeight="1" s="174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</row>
    <row r="187" ht="15.75" customHeight="1" s="174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</row>
    <row r="188" ht="15.75" customHeight="1" s="174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</row>
    <row r="189" ht="15.75" customHeight="1" s="174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</row>
    <row r="190" ht="15.75" customHeight="1" s="174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</row>
    <row r="191" ht="15.75" customHeight="1" s="174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</row>
    <row r="192" ht="15.75" customHeight="1" s="174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</row>
    <row r="193" ht="15.75" customHeight="1" s="174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</row>
    <row r="194" ht="15.75" customHeight="1" s="174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</row>
    <row r="195" ht="15.75" customHeight="1" s="174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</row>
    <row r="196" ht="15.75" customHeight="1" s="174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</row>
    <row r="197" ht="15.75" customHeight="1" s="174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</row>
    <row r="198" ht="15.75" customHeight="1" s="174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</row>
    <row r="199" ht="15.75" customHeight="1" s="174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</row>
    <row r="200" ht="15.75" customHeight="1" s="174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</row>
    <row r="201" ht="15.75" customHeight="1" s="174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</row>
    <row r="202" ht="15.75" customHeight="1" s="174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</row>
    <row r="203" ht="15.75" customHeight="1" s="174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</row>
    <row r="204" ht="15.75" customHeight="1" s="174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</row>
    <row r="205" ht="15.75" customHeight="1" s="174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</row>
    <row r="206" ht="15.75" customHeight="1" s="174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</row>
    <row r="207" ht="15.75" customHeight="1" s="174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</row>
    <row r="208" ht="15.75" customHeight="1" s="174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</row>
    <row r="209" ht="15.75" customHeight="1" s="174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</row>
    <row r="210" ht="15.75" customHeight="1" s="174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</row>
    <row r="211" ht="15.75" customHeight="1" s="174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</row>
    <row r="212" ht="15.75" customHeight="1" s="174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</row>
    <row r="213" ht="15.75" customHeight="1" s="174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</row>
    <row r="214" ht="15.75" customHeight="1" s="174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</row>
    <row r="215" ht="15.75" customHeight="1" s="174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</row>
    <row r="216" ht="15.75" customHeight="1" s="174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</row>
    <row r="217" ht="15.75" customHeight="1" s="174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</row>
    <row r="218" ht="15.75" customHeight="1" s="174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</row>
    <row r="219" ht="15.75" customHeight="1" s="174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</row>
    <row r="220" ht="15.75" customHeight="1" s="174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</row>
    <row r="221" ht="15.75" customHeight="1" s="174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</row>
    <row r="222" ht="15.75" customHeight="1" s="174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</row>
    <row r="223" ht="15.75" customHeight="1" s="174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</row>
    <row r="224" ht="15.75" customHeight="1" s="174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</row>
    <row r="225" ht="15.75" customHeight="1" s="174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</row>
    <row r="226" ht="15.75" customHeight="1" s="174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</row>
    <row r="227" ht="15.75" customHeight="1" s="174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</row>
    <row r="228" ht="15.75" customHeight="1" s="174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</row>
    <row r="229" ht="15.75" customHeight="1" s="174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</row>
    <row r="230" ht="15.75" customHeight="1" s="174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</row>
    <row r="231" ht="15.75" customHeight="1" s="174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</row>
    <row r="232" ht="15.75" customHeight="1" s="174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</row>
    <row r="233" ht="15.75" customHeight="1" s="174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</row>
    <row r="234" ht="15.75" customHeight="1" s="174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</row>
    <row r="235" ht="15.75" customHeight="1" s="174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</row>
    <row r="236" ht="15.75" customHeight="1" s="174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</row>
    <row r="237" ht="15.75" customHeight="1" s="174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</row>
    <row r="238" ht="15.75" customHeight="1" s="174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</row>
    <row r="239" ht="15.75" customHeight="1" s="174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</row>
    <row r="240" ht="15.75" customHeight="1" s="174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</row>
    <row r="241" ht="15.75" customHeight="1" s="174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</row>
    <row r="242" ht="15.75" customHeight="1" s="174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</row>
    <row r="243" ht="15.75" customHeight="1" s="174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</row>
    <row r="244" ht="15.75" customHeight="1" s="174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</row>
    <row r="245" ht="15.75" customHeight="1" s="174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</row>
    <row r="246" ht="15.75" customHeight="1" s="174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</row>
    <row r="247" ht="15.75" customHeight="1" s="174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</row>
    <row r="248" ht="15.75" customHeight="1" s="174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</row>
    <row r="249" ht="15.75" customHeight="1" s="174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</row>
    <row r="250" ht="15.75" customHeight="1" s="174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</row>
    <row r="251" ht="15.75" customHeight="1" s="174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</row>
    <row r="252" ht="15.75" customHeight="1" s="174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</row>
    <row r="253" ht="15.75" customHeight="1" s="174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</row>
    <row r="254" ht="15.75" customHeight="1" s="174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</row>
    <row r="255" ht="15.75" customHeight="1" s="174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</row>
    <row r="256" ht="15.75" customHeight="1" s="174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</row>
    <row r="257" ht="15.75" customHeight="1" s="174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</row>
    <row r="258" ht="15.75" customHeight="1" s="174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</row>
    <row r="259" ht="15.75" customHeight="1" s="174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</row>
    <row r="260" ht="15.75" customHeight="1" s="174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</row>
    <row r="261" ht="15.75" customHeight="1" s="174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</row>
    <row r="262" ht="15.75" customHeight="1" s="174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</row>
    <row r="263" ht="15.75" customHeight="1" s="174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</row>
    <row r="264" ht="15.75" customHeight="1" s="174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</row>
    <row r="265" ht="15.75" customHeight="1" s="174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</row>
    <row r="266" ht="15.75" customHeight="1" s="174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</row>
    <row r="267" ht="15.75" customHeight="1" s="174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</row>
    <row r="268" ht="15.75" customHeight="1" s="174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</row>
    <row r="269" ht="15.75" customHeight="1" s="174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</row>
    <row r="270" ht="15.75" customHeight="1" s="174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</row>
    <row r="271" ht="15.75" customHeight="1" s="174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</row>
    <row r="272" ht="15.75" customHeight="1" s="174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</row>
    <row r="273" ht="15.75" customHeight="1" s="174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</row>
    <row r="274" ht="15.75" customHeight="1" s="174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</row>
    <row r="275" ht="15.75" customHeight="1" s="174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</row>
    <row r="276" ht="15.75" customHeight="1" s="174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</row>
    <row r="277" ht="15.75" customHeight="1" s="174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</row>
    <row r="278" ht="15.75" customHeight="1" s="174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</row>
    <row r="279" ht="15.75" customHeight="1" s="174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</row>
    <row r="280" ht="15.75" customHeight="1" s="174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</row>
    <row r="281" ht="15.75" customHeight="1" s="174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</row>
    <row r="282" ht="15.75" customHeight="1" s="174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</row>
    <row r="283" ht="15.75" customHeight="1" s="174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</row>
    <row r="284" ht="15.75" customHeight="1" s="174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</row>
    <row r="285" ht="15.75" customHeight="1" s="174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</row>
    <row r="286" ht="15.75" customHeight="1" s="174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</row>
    <row r="287" ht="15.75" customHeight="1" s="174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</row>
    <row r="288" ht="15.75" customHeight="1" s="174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</row>
    <row r="289" ht="15.75" customHeight="1" s="174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</row>
    <row r="290" ht="15.75" customHeight="1" s="174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</row>
    <row r="291" ht="15.75" customHeight="1" s="174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</row>
    <row r="292" ht="15.75" customHeight="1" s="174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</row>
    <row r="293" ht="15.75" customHeight="1" s="174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</row>
    <row r="294" ht="15.75" customHeight="1" s="174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</row>
    <row r="295" ht="15.75" customHeight="1" s="174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</row>
    <row r="296" ht="15.75" customHeight="1" s="174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</row>
    <row r="297" ht="15.75" customHeight="1" s="174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</row>
    <row r="298" ht="15.75" customHeight="1" s="174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</row>
    <row r="299" ht="15.75" customHeight="1" s="174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</row>
    <row r="300" ht="15.75" customHeight="1" s="174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</row>
    <row r="301" ht="15.75" customHeight="1" s="174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</row>
    <row r="302" ht="15.75" customHeight="1" s="174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</row>
    <row r="303" ht="15.75" customHeight="1" s="174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</row>
    <row r="304" ht="15.75" customHeight="1" s="174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</row>
    <row r="305" ht="15.75" customHeight="1" s="174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</row>
    <row r="306" ht="15.75" customHeight="1" s="174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</row>
    <row r="307" ht="15.75" customHeight="1" s="174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</row>
    <row r="308" ht="15.75" customHeight="1" s="174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</row>
    <row r="309" ht="15.75" customHeight="1" s="174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</row>
    <row r="310" ht="15.75" customHeight="1" s="174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</row>
    <row r="311" ht="15.75" customHeight="1" s="174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</row>
    <row r="312" ht="15.75" customHeight="1" s="174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</row>
    <row r="313" ht="15.75" customHeight="1" s="174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</row>
    <row r="314" ht="15.75" customHeight="1" s="174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</row>
    <row r="315" ht="15.75" customHeight="1" s="174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</row>
    <row r="316" ht="15.75" customHeight="1" s="174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</row>
    <row r="317" ht="15.75" customHeight="1" s="174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</row>
    <row r="318" ht="15.75" customHeight="1" s="174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</row>
    <row r="319" ht="15.75" customHeight="1" s="174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</row>
    <row r="320" ht="15.75" customHeight="1" s="174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</row>
    <row r="321" ht="15.75" customHeight="1" s="174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</row>
    <row r="322" ht="15.75" customHeight="1" s="174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</row>
    <row r="323" ht="15.75" customHeight="1" s="174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</row>
    <row r="324" ht="15.75" customHeight="1" s="174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</row>
    <row r="325" ht="15.75" customHeight="1" s="174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</row>
    <row r="326" ht="15.75" customHeight="1" s="174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</row>
    <row r="327" ht="15.75" customHeight="1" s="174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</row>
    <row r="328" ht="15.75" customHeight="1" s="174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</row>
    <row r="329" ht="15.75" customHeight="1" s="174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</row>
    <row r="330" ht="15.75" customHeight="1" s="174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</row>
    <row r="331" ht="15.75" customHeight="1" s="174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</row>
    <row r="332" ht="15.75" customHeight="1" s="174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</row>
    <row r="333" ht="15.75" customHeight="1" s="174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</row>
    <row r="334" ht="15.75" customHeight="1" s="174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</row>
    <row r="335" ht="15.75" customHeight="1" s="174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</row>
    <row r="336" ht="15.75" customHeight="1" s="174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</row>
    <row r="337" ht="15.75" customHeight="1" s="174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</row>
    <row r="338" ht="15.75" customHeight="1" s="174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</row>
    <row r="339" ht="15.75" customHeight="1" s="174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</row>
    <row r="340" ht="15.75" customHeight="1" s="174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</row>
    <row r="341" ht="15.75" customHeight="1" s="174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</row>
    <row r="342" ht="15.75" customHeight="1" s="174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</row>
    <row r="343" ht="15.75" customHeight="1" s="174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</row>
    <row r="344" ht="15.75" customHeight="1" s="174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</row>
    <row r="345" ht="15.75" customHeight="1" s="174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</row>
    <row r="346" ht="15.75" customHeight="1" s="174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</row>
    <row r="347" ht="15.75" customHeight="1" s="174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</row>
    <row r="348" ht="15.75" customHeight="1" s="174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</row>
    <row r="349" ht="15.75" customHeight="1" s="174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</row>
    <row r="350" ht="15.75" customHeight="1" s="174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</row>
    <row r="351" ht="15.75" customHeight="1" s="174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</row>
    <row r="352" ht="15.75" customHeight="1" s="174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</row>
    <row r="353" ht="15.75" customHeight="1" s="174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</row>
    <row r="354" ht="15.75" customHeight="1" s="174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</row>
    <row r="355" ht="15.75" customHeight="1" s="174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</row>
    <row r="356" ht="15.75" customHeight="1" s="174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</row>
    <row r="357" ht="15.75" customHeight="1" s="174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</row>
    <row r="358" ht="15.75" customHeight="1" s="174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</row>
    <row r="359" ht="15.75" customHeight="1" s="174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</row>
    <row r="360" ht="15.75" customHeight="1" s="174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</row>
    <row r="361" ht="15.75" customHeight="1" s="174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</row>
    <row r="362" ht="15.75" customHeight="1" s="174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</row>
    <row r="363" ht="15.75" customHeight="1" s="174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</row>
    <row r="364" ht="15.75" customHeight="1" s="174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</row>
    <row r="365" ht="15.75" customHeight="1" s="174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</row>
    <row r="366" ht="15.75" customHeight="1" s="174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</row>
    <row r="367" ht="15.75" customHeight="1" s="174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</row>
    <row r="368" ht="15.75" customHeight="1" s="174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</row>
    <row r="369" ht="15.75" customHeight="1" s="174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</row>
    <row r="370" ht="15.75" customHeight="1" s="174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</row>
    <row r="371" ht="15.75" customHeight="1" s="174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</row>
    <row r="372" ht="15.75" customHeight="1" s="174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</row>
    <row r="373" ht="15.75" customHeight="1" s="174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</row>
    <row r="374" ht="15.75" customHeight="1" s="174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</row>
    <row r="375" ht="15.75" customHeight="1" s="174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</row>
    <row r="376" ht="15.75" customHeight="1" s="174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</row>
    <row r="377" ht="15.75" customHeight="1" s="174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</row>
    <row r="378" ht="15.75" customHeight="1" s="174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</row>
    <row r="379" ht="15.75" customHeight="1" s="174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</row>
    <row r="380" ht="15.75" customHeight="1" s="174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</row>
    <row r="381" ht="15.75" customHeight="1" s="174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</row>
    <row r="382" ht="15.75" customHeight="1" s="174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</row>
    <row r="383" ht="15.75" customHeight="1" s="174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</row>
    <row r="384" ht="15.75" customHeight="1" s="174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</row>
    <row r="385" ht="15.75" customHeight="1" s="174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</row>
    <row r="386" ht="15.75" customHeight="1" s="174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</row>
    <row r="387" ht="15.75" customHeight="1" s="174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</row>
    <row r="388" ht="15.75" customHeight="1" s="174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</row>
    <row r="389" ht="15.75" customHeight="1" s="174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</row>
    <row r="390" ht="15.75" customHeight="1" s="174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</row>
    <row r="391" ht="15.75" customHeight="1" s="174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</row>
    <row r="392" ht="15.75" customHeight="1" s="174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</row>
    <row r="393" ht="15.75" customHeight="1" s="174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</row>
    <row r="394" ht="15.75" customHeight="1" s="174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</row>
    <row r="395" ht="15.75" customHeight="1" s="174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</row>
    <row r="396" ht="15.75" customHeight="1" s="174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</row>
    <row r="397" ht="15.75" customHeight="1" s="174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</row>
    <row r="398" ht="15.75" customHeight="1" s="174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</row>
    <row r="399" ht="15.75" customHeight="1" s="174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</row>
    <row r="400" ht="15.75" customHeight="1" s="174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</row>
    <row r="401" ht="15.75" customHeight="1" s="174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</row>
    <row r="402" ht="15.75" customHeight="1" s="174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</row>
    <row r="403" ht="15.75" customHeight="1" s="174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</row>
    <row r="404" ht="15.75" customHeight="1" s="174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</row>
    <row r="405" ht="15.75" customHeight="1" s="174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</row>
    <row r="406" ht="15.75" customHeight="1" s="174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</row>
    <row r="407" ht="15.75" customHeight="1" s="174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</row>
    <row r="408" ht="15.75" customHeight="1" s="174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</row>
    <row r="409" ht="15.75" customHeight="1" s="174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</row>
    <row r="410" ht="15.75" customHeight="1" s="174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</row>
    <row r="411" ht="15.75" customHeight="1" s="174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</row>
    <row r="412" ht="15.75" customHeight="1" s="174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</row>
    <row r="413" ht="15.75" customHeight="1" s="174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</row>
    <row r="414" ht="15.75" customHeight="1" s="174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</row>
    <row r="415" ht="15.75" customHeight="1" s="174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</row>
    <row r="416" ht="15.75" customHeight="1" s="174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</row>
    <row r="417" ht="15.75" customHeight="1" s="174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</row>
    <row r="418" ht="15.75" customHeight="1" s="174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</row>
    <row r="419" ht="15.75" customHeight="1" s="174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</row>
    <row r="420" ht="15.75" customHeight="1" s="174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</row>
    <row r="421" ht="15.75" customHeight="1" s="174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</row>
    <row r="422" ht="15.75" customHeight="1" s="174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</row>
    <row r="423" ht="15.75" customHeight="1" s="174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</row>
    <row r="424" ht="15.75" customHeight="1" s="174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</row>
    <row r="425" ht="15.75" customHeight="1" s="174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</row>
    <row r="426" ht="15.75" customHeight="1" s="174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</row>
    <row r="427" ht="15.75" customHeight="1" s="174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</row>
    <row r="428" ht="15.75" customHeight="1" s="174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</row>
    <row r="429" ht="15.75" customHeight="1" s="174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</row>
    <row r="430" ht="15.75" customHeight="1" s="174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</row>
    <row r="431" ht="15.75" customHeight="1" s="174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</row>
    <row r="432" ht="15.75" customHeight="1" s="174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</row>
    <row r="433" ht="15.75" customHeight="1" s="174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</row>
    <row r="434" ht="15.75" customHeight="1" s="174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</row>
    <row r="435" ht="15.75" customHeight="1" s="174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</row>
    <row r="436" ht="15.75" customHeight="1" s="174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</row>
    <row r="437" ht="15.75" customHeight="1" s="174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</row>
    <row r="438" ht="15.75" customHeight="1" s="174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</row>
    <row r="439" ht="15.75" customHeight="1" s="174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</row>
    <row r="440" ht="15.75" customHeight="1" s="174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</row>
    <row r="441" ht="15.75" customHeight="1" s="174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</row>
    <row r="442" ht="15.75" customHeight="1" s="174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</row>
    <row r="443" ht="15.75" customHeight="1" s="174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</row>
    <row r="444" ht="15.75" customHeight="1" s="174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</row>
    <row r="445" ht="15.75" customHeight="1" s="174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</row>
    <row r="446" ht="15.75" customHeight="1" s="174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</row>
    <row r="447" ht="15.75" customHeight="1" s="174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</row>
    <row r="448" ht="15.75" customHeight="1" s="174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</row>
    <row r="449" ht="15.75" customHeight="1" s="174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</row>
    <row r="450" ht="15.75" customHeight="1" s="174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</row>
    <row r="451" ht="15.75" customHeight="1" s="174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</row>
    <row r="452" ht="15.75" customHeight="1" s="174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</row>
    <row r="453" ht="15.75" customHeight="1" s="174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</row>
    <row r="454" ht="15.75" customHeight="1" s="174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</row>
    <row r="455" ht="15.75" customHeight="1" s="174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</row>
    <row r="456" ht="15.75" customHeight="1" s="174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</row>
    <row r="457" ht="15.75" customHeight="1" s="174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</row>
    <row r="458" ht="15.75" customHeight="1" s="174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</row>
    <row r="459" ht="15.75" customHeight="1" s="174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</row>
    <row r="460" ht="15.75" customHeight="1" s="174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</row>
    <row r="461" ht="15.75" customHeight="1" s="174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</row>
    <row r="462" ht="15.75" customHeight="1" s="174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</row>
    <row r="463" ht="15.75" customHeight="1" s="174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</row>
    <row r="464" ht="15.75" customHeight="1" s="174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</row>
    <row r="465" ht="15.75" customHeight="1" s="174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</row>
    <row r="466" ht="15.75" customHeight="1" s="174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</row>
    <row r="467" ht="15.75" customHeight="1" s="174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</row>
    <row r="468" ht="15.75" customHeight="1" s="174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</row>
    <row r="469" ht="15.75" customHeight="1" s="174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</row>
    <row r="470" ht="15.75" customHeight="1" s="174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</row>
    <row r="471" ht="15.75" customHeight="1" s="174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</row>
    <row r="472" ht="15.75" customHeight="1" s="174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</row>
    <row r="473" ht="15.75" customHeight="1" s="174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</row>
    <row r="474" ht="15.75" customHeight="1" s="174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</row>
    <row r="475" ht="15.75" customHeight="1" s="174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</row>
    <row r="476" ht="15.75" customHeight="1" s="174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</row>
    <row r="477" ht="15.75" customHeight="1" s="174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</row>
    <row r="478" ht="15.75" customHeight="1" s="174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</row>
    <row r="479" ht="15.75" customHeight="1" s="174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</row>
    <row r="480" ht="15.75" customHeight="1" s="174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</row>
    <row r="481" ht="15.75" customHeight="1" s="174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</row>
    <row r="482" ht="15.75" customHeight="1" s="174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</row>
    <row r="483" ht="15.75" customHeight="1" s="174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</row>
    <row r="484" ht="15.75" customHeight="1" s="174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</row>
    <row r="485" ht="15.75" customHeight="1" s="174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</row>
    <row r="486" ht="15.75" customHeight="1" s="174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</row>
    <row r="487" ht="15.75" customHeight="1" s="174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</row>
    <row r="488" ht="15.75" customHeight="1" s="174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</row>
    <row r="489" ht="15.75" customHeight="1" s="174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</row>
    <row r="490" ht="15.75" customHeight="1" s="174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</row>
    <row r="491" ht="15.75" customHeight="1" s="174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</row>
    <row r="492" ht="15.75" customHeight="1" s="174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</row>
    <row r="493" ht="15.75" customHeight="1" s="174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</row>
    <row r="494" ht="15.75" customHeight="1" s="174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</row>
    <row r="495" ht="15.75" customHeight="1" s="174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</row>
    <row r="496" ht="15.75" customHeight="1" s="174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</row>
    <row r="497" ht="15.75" customHeight="1" s="174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</row>
    <row r="498" ht="15.75" customHeight="1" s="174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</row>
    <row r="499" ht="15.75" customHeight="1" s="174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</row>
    <row r="500" ht="15.75" customHeight="1" s="174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</row>
    <row r="501" ht="15.75" customHeight="1" s="174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</row>
    <row r="502" ht="15.75" customHeight="1" s="174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</row>
    <row r="503" ht="15.75" customHeight="1" s="174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</row>
    <row r="504" ht="15.75" customHeight="1" s="174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</row>
    <row r="505" ht="15.75" customHeight="1" s="174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</row>
    <row r="506" ht="15.75" customHeight="1" s="174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</row>
    <row r="507" ht="15.75" customHeight="1" s="174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</row>
    <row r="508" ht="15.75" customHeight="1" s="174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</row>
    <row r="509" ht="15.75" customHeight="1" s="174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</row>
    <row r="510" ht="15.75" customHeight="1" s="174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</row>
    <row r="511" ht="15.75" customHeight="1" s="174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</row>
    <row r="512" ht="15.75" customHeight="1" s="174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</row>
    <row r="513" ht="15.75" customHeight="1" s="174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</row>
    <row r="514" ht="15.75" customHeight="1" s="174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</row>
    <row r="515" ht="15.75" customHeight="1" s="174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</row>
    <row r="516" ht="15.75" customHeight="1" s="174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</row>
    <row r="517" ht="15.75" customHeight="1" s="174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</row>
    <row r="518" ht="15.75" customHeight="1" s="174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</row>
    <row r="519" ht="15.75" customHeight="1" s="174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</row>
    <row r="520" ht="15.75" customHeight="1" s="174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</row>
    <row r="521" ht="15.75" customHeight="1" s="174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</row>
    <row r="522" ht="15.75" customHeight="1" s="174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</row>
    <row r="523" ht="15.75" customHeight="1" s="174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</row>
    <row r="524" ht="15.75" customHeight="1" s="174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</row>
    <row r="525" ht="15.75" customHeight="1" s="174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</row>
    <row r="526" ht="15.75" customHeight="1" s="174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</row>
    <row r="527" ht="15.75" customHeight="1" s="174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</row>
    <row r="528" ht="15.75" customHeight="1" s="174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</row>
    <row r="529" ht="15.75" customHeight="1" s="174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</row>
    <row r="530" ht="15.75" customHeight="1" s="174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</row>
    <row r="531" ht="15.75" customHeight="1" s="174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</row>
    <row r="532" ht="15.75" customHeight="1" s="174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</row>
    <row r="533" ht="15.75" customHeight="1" s="174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</row>
    <row r="534" ht="15.75" customHeight="1" s="174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</row>
    <row r="535" ht="15.75" customHeight="1" s="174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</row>
    <row r="536" ht="15.75" customHeight="1" s="174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</row>
    <row r="537" ht="15.75" customHeight="1" s="174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</row>
    <row r="538" ht="15.75" customHeight="1" s="174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</row>
    <row r="539" ht="15.75" customHeight="1" s="174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</row>
    <row r="540" ht="15.75" customHeight="1" s="174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</row>
    <row r="541" ht="15.75" customHeight="1" s="174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</row>
    <row r="542" ht="15.75" customHeight="1" s="174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</row>
    <row r="543" ht="15.75" customHeight="1" s="174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</row>
    <row r="544" ht="15.75" customHeight="1" s="174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</row>
    <row r="545" ht="15.75" customHeight="1" s="174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</row>
    <row r="546" ht="15.75" customHeight="1" s="174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</row>
    <row r="547" ht="15.75" customHeight="1" s="174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</row>
    <row r="548" ht="15.75" customHeight="1" s="174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</row>
    <row r="549" ht="15.75" customHeight="1" s="174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</row>
    <row r="550" ht="15.75" customHeight="1" s="174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</row>
    <row r="551" ht="15.75" customHeight="1" s="174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</row>
    <row r="552" ht="15.75" customHeight="1" s="174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</row>
    <row r="553" ht="15.75" customHeight="1" s="174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</row>
    <row r="554" ht="15.75" customHeight="1" s="174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</row>
    <row r="555" ht="15.75" customHeight="1" s="174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</row>
    <row r="556" ht="15.75" customHeight="1" s="174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</row>
    <row r="557" ht="15.75" customHeight="1" s="174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</row>
    <row r="558" ht="15.75" customHeight="1" s="174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</row>
    <row r="559" ht="15.75" customHeight="1" s="174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</row>
    <row r="560" ht="15.75" customHeight="1" s="174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</row>
    <row r="561" ht="15.75" customHeight="1" s="174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</row>
    <row r="562" ht="15.75" customHeight="1" s="174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</row>
    <row r="563" ht="15.75" customHeight="1" s="174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</row>
    <row r="564" ht="15.75" customHeight="1" s="174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</row>
    <row r="565" ht="15.75" customHeight="1" s="174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</row>
    <row r="566" ht="15.75" customHeight="1" s="174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</row>
    <row r="567" ht="15.75" customHeight="1" s="174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</row>
    <row r="568" ht="15.75" customHeight="1" s="174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</row>
    <row r="569" ht="15.75" customHeight="1" s="174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</row>
    <row r="570" ht="15.75" customHeight="1" s="174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</row>
    <row r="571" ht="15.75" customHeight="1" s="174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</row>
    <row r="572" ht="15.75" customHeight="1" s="174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</row>
    <row r="573" ht="15.75" customHeight="1" s="174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</row>
    <row r="574" ht="15.75" customHeight="1" s="174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</row>
    <row r="575" ht="15.75" customHeight="1" s="174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</row>
    <row r="576" ht="15.75" customHeight="1" s="174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</row>
    <row r="577" ht="15.75" customHeight="1" s="174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</row>
    <row r="578" ht="15.75" customHeight="1" s="174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</row>
    <row r="579" ht="15.75" customHeight="1" s="174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</row>
    <row r="580" ht="15.75" customHeight="1" s="174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</row>
    <row r="581" ht="15.75" customHeight="1" s="174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</row>
    <row r="582" ht="15.75" customHeight="1" s="174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</row>
    <row r="583" ht="15.75" customHeight="1" s="174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</row>
    <row r="584" ht="15.75" customHeight="1" s="174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</row>
    <row r="585" ht="15.75" customHeight="1" s="174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</row>
    <row r="586" ht="15.75" customHeight="1" s="174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</row>
    <row r="587" ht="15.75" customHeight="1" s="174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</row>
    <row r="588" ht="15.75" customHeight="1" s="174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</row>
    <row r="589" ht="15.75" customHeight="1" s="174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</row>
    <row r="590" ht="15.75" customHeight="1" s="174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</row>
    <row r="591" ht="15.75" customHeight="1" s="174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</row>
    <row r="592" ht="15.75" customHeight="1" s="174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</row>
    <row r="593" ht="15.75" customHeight="1" s="174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</row>
    <row r="594" ht="15.75" customHeight="1" s="174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</row>
    <row r="595" ht="15.75" customHeight="1" s="174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</row>
    <row r="596" ht="15.75" customHeight="1" s="174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</row>
    <row r="597" ht="15.75" customHeight="1" s="174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</row>
    <row r="598" ht="15.75" customHeight="1" s="174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</row>
    <row r="599" ht="15.75" customHeight="1" s="174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</row>
    <row r="600" ht="15.75" customHeight="1" s="174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</row>
    <row r="601" ht="15.75" customHeight="1" s="174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</row>
    <row r="602" ht="15.75" customHeight="1" s="174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</row>
    <row r="603" ht="15.75" customHeight="1" s="174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</row>
    <row r="604" ht="15.75" customHeight="1" s="174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</row>
    <row r="605" ht="15.75" customHeight="1" s="174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</row>
    <row r="606" ht="15.75" customHeight="1" s="174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</row>
    <row r="607" ht="15.75" customHeight="1" s="174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</row>
    <row r="608" ht="15.75" customHeight="1" s="174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</row>
    <row r="609" ht="15.75" customHeight="1" s="174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</row>
    <row r="610" ht="15.75" customHeight="1" s="174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</row>
    <row r="611" ht="15.75" customHeight="1" s="174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</row>
    <row r="612" ht="15.75" customHeight="1" s="174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</row>
    <row r="613" ht="15.75" customHeight="1" s="174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</row>
    <row r="614" ht="15.75" customHeight="1" s="174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</row>
    <row r="615" ht="15.75" customHeight="1" s="174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</row>
    <row r="616" ht="15.75" customHeight="1" s="174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</row>
    <row r="617" ht="15.75" customHeight="1" s="174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</row>
    <row r="618" ht="15.75" customHeight="1" s="174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</row>
    <row r="619" ht="15.75" customHeight="1" s="174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</row>
    <row r="620" ht="15.75" customHeight="1" s="174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</row>
    <row r="621" ht="15.75" customHeight="1" s="174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</row>
    <row r="622" ht="15.75" customHeight="1" s="174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</row>
    <row r="623" ht="15.75" customHeight="1" s="174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</row>
    <row r="624" ht="15.75" customHeight="1" s="174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</row>
    <row r="625" ht="15.75" customHeight="1" s="174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</row>
    <row r="626" ht="15.75" customHeight="1" s="174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</row>
    <row r="627" ht="15.75" customHeight="1" s="174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</row>
    <row r="628" ht="15.75" customHeight="1" s="174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</row>
    <row r="629" ht="15.75" customHeight="1" s="174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</row>
    <row r="630" ht="15.75" customHeight="1" s="174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</row>
    <row r="631" ht="15.75" customHeight="1" s="174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</row>
    <row r="632" ht="15.75" customHeight="1" s="174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</row>
    <row r="633" ht="15.75" customHeight="1" s="174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</row>
    <row r="634" ht="15.75" customHeight="1" s="174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</row>
    <row r="635" ht="15.75" customHeight="1" s="174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</row>
    <row r="636" ht="15.75" customHeight="1" s="174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</row>
    <row r="637" ht="15.75" customHeight="1" s="174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</row>
    <row r="638" ht="15.75" customHeight="1" s="174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</row>
    <row r="639" ht="15.75" customHeight="1" s="174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</row>
    <row r="640" ht="15.75" customHeight="1" s="174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</row>
    <row r="641" ht="15.75" customHeight="1" s="174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</row>
    <row r="642" ht="15.75" customHeight="1" s="174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</row>
    <row r="643" ht="15.75" customHeight="1" s="174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</row>
    <row r="644" ht="15.75" customHeight="1" s="174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</row>
    <row r="645" ht="15.75" customHeight="1" s="174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</row>
    <row r="646" ht="15.75" customHeight="1" s="174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</row>
    <row r="647" ht="15.75" customHeight="1" s="174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</row>
    <row r="648" ht="15.75" customHeight="1" s="174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</row>
    <row r="649" ht="15.75" customHeight="1" s="174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</row>
    <row r="650" ht="15.75" customHeight="1" s="174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</row>
    <row r="651" ht="15.75" customHeight="1" s="174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</row>
    <row r="652" ht="15.75" customHeight="1" s="174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</row>
    <row r="653" ht="15.75" customHeight="1" s="174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</row>
    <row r="654" ht="15.75" customHeight="1" s="174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</row>
    <row r="655" ht="15.75" customHeight="1" s="174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</row>
    <row r="656" ht="15.75" customHeight="1" s="174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</row>
    <row r="657" ht="15.75" customHeight="1" s="174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</row>
    <row r="658" ht="15.75" customHeight="1" s="174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</row>
    <row r="659" ht="15.75" customHeight="1" s="174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</row>
    <row r="660" ht="15.75" customHeight="1" s="174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</row>
    <row r="661" ht="15.75" customHeight="1" s="174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</row>
    <row r="662" ht="15.75" customHeight="1" s="174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</row>
    <row r="663" ht="15.75" customHeight="1" s="174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</row>
    <row r="664" ht="15.75" customHeight="1" s="174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</row>
    <row r="665" ht="15.75" customHeight="1" s="174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</row>
    <row r="666" ht="15.75" customHeight="1" s="174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</row>
    <row r="667" ht="15.75" customHeight="1" s="174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</row>
    <row r="668" ht="15.75" customHeight="1" s="174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</row>
    <row r="669" ht="15.75" customHeight="1" s="174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</row>
    <row r="670" ht="15.75" customHeight="1" s="174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</row>
    <row r="671" ht="15.75" customHeight="1" s="174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</row>
    <row r="672" ht="15.75" customHeight="1" s="174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</row>
    <row r="673" ht="15.75" customHeight="1" s="174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</row>
    <row r="674" ht="15.75" customHeight="1" s="174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</row>
    <row r="675" ht="15.75" customHeight="1" s="174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</row>
    <row r="676" ht="15.75" customHeight="1" s="174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</row>
    <row r="677" ht="15.75" customHeight="1" s="174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</row>
    <row r="678" ht="15.75" customHeight="1" s="174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</row>
    <row r="679" ht="15.75" customHeight="1" s="174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</row>
    <row r="680" ht="15.75" customHeight="1" s="174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</row>
    <row r="681" ht="15.75" customHeight="1" s="174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</row>
    <row r="682" ht="15.75" customHeight="1" s="174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</row>
    <row r="683" ht="15.75" customHeight="1" s="174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</row>
    <row r="684" ht="15.75" customHeight="1" s="174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</row>
    <row r="685" ht="15.75" customHeight="1" s="174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</row>
    <row r="686" ht="15.75" customHeight="1" s="174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</row>
    <row r="687" ht="15.75" customHeight="1" s="174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</row>
    <row r="688" ht="15.75" customHeight="1" s="174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</row>
    <row r="689" ht="15.75" customHeight="1" s="174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</row>
    <row r="690" ht="15.75" customHeight="1" s="174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</row>
    <row r="691" ht="15.75" customHeight="1" s="174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</row>
    <row r="692" ht="15.75" customHeight="1" s="174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</row>
    <row r="693" ht="15.75" customHeight="1" s="174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</row>
    <row r="694" ht="15.75" customHeight="1" s="174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</row>
    <row r="695" ht="15.75" customHeight="1" s="174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</row>
    <row r="696" ht="15.75" customHeight="1" s="174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</row>
    <row r="697" ht="15.75" customHeight="1" s="174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</row>
    <row r="698" ht="15.75" customHeight="1" s="174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</row>
    <row r="699" ht="15.75" customHeight="1" s="174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</row>
    <row r="700" ht="15.75" customHeight="1" s="174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</row>
    <row r="701" ht="15.75" customHeight="1" s="174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</row>
    <row r="702" ht="15.75" customHeight="1" s="174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</row>
    <row r="703" ht="15.75" customHeight="1" s="174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</row>
    <row r="704" ht="15.75" customHeight="1" s="174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</row>
    <row r="705" ht="15.75" customHeight="1" s="174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</row>
    <row r="706" ht="15.75" customHeight="1" s="174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</row>
    <row r="707" ht="15.75" customHeight="1" s="174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</row>
    <row r="708" ht="15.75" customHeight="1" s="174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</row>
    <row r="709" ht="15.75" customHeight="1" s="174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</row>
    <row r="710" ht="15.75" customHeight="1" s="174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</row>
    <row r="711" ht="15.75" customHeight="1" s="174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</row>
    <row r="712" ht="15.75" customHeight="1" s="174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</row>
    <row r="713" ht="15.75" customHeight="1" s="174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</row>
    <row r="714" ht="15.75" customHeight="1" s="174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</row>
    <row r="715" ht="15.75" customHeight="1" s="174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</row>
    <row r="716" ht="15.75" customHeight="1" s="174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</row>
    <row r="717" ht="15.75" customHeight="1" s="174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</row>
    <row r="718" ht="15.75" customHeight="1" s="174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</row>
    <row r="719" ht="15.75" customHeight="1" s="174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</row>
    <row r="720" ht="15.75" customHeight="1" s="174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</row>
    <row r="721" ht="15.75" customHeight="1" s="174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</row>
    <row r="722" ht="15.75" customHeight="1" s="174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</row>
    <row r="723" ht="15.75" customHeight="1" s="174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</row>
    <row r="724" ht="15.75" customHeight="1" s="174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</row>
    <row r="725" ht="15.75" customHeight="1" s="174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</row>
    <row r="726" ht="15.75" customHeight="1" s="174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</row>
    <row r="727" ht="15.75" customHeight="1" s="174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</row>
    <row r="728" ht="15.75" customHeight="1" s="174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</row>
    <row r="729" ht="15.75" customHeight="1" s="174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</row>
    <row r="730" ht="15.75" customHeight="1" s="174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</row>
    <row r="731" ht="15.75" customHeight="1" s="174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</row>
    <row r="732" ht="15.75" customHeight="1" s="174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</row>
    <row r="733" ht="15.75" customHeight="1" s="174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</row>
    <row r="734" ht="15.75" customHeight="1" s="174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</row>
    <row r="735" ht="15.75" customHeight="1" s="174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</row>
    <row r="736" ht="15.75" customHeight="1" s="174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</row>
    <row r="737" ht="15.75" customHeight="1" s="174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</row>
    <row r="738" ht="15.75" customHeight="1" s="174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</row>
    <row r="739" ht="15.75" customHeight="1" s="174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</row>
    <row r="740" ht="15.75" customHeight="1" s="174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</row>
    <row r="741" ht="15.75" customHeight="1" s="174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</row>
    <row r="742" ht="15.75" customHeight="1" s="174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</row>
    <row r="743" ht="15.75" customHeight="1" s="174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</row>
    <row r="744" ht="15.75" customHeight="1" s="174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</row>
    <row r="745" ht="15.75" customHeight="1" s="174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</row>
    <row r="746" ht="15.75" customHeight="1" s="174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</row>
    <row r="747" ht="15.75" customHeight="1" s="174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</row>
    <row r="748" ht="15.75" customHeight="1" s="174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</row>
    <row r="749" ht="15.75" customHeight="1" s="174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</row>
    <row r="750" ht="15.75" customHeight="1" s="174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</row>
    <row r="751" ht="15.75" customHeight="1" s="174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</row>
    <row r="752" ht="15.75" customHeight="1" s="174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</row>
    <row r="753" ht="15.75" customHeight="1" s="174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</row>
    <row r="754" ht="15.75" customHeight="1" s="174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</row>
    <row r="755" ht="15.75" customHeight="1" s="174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</row>
    <row r="756" ht="15.75" customHeight="1" s="174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</row>
    <row r="757" ht="15.75" customHeight="1" s="174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</row>
    <row r="758" ht="15.75" customHeight="1" s="174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</row>
    <row r="759" ht="15.75" customHeight="1" s="174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</row>
    <row r="760" ht="15.75" customHeight="1" s="174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</row>
    <row r="761" ht="15.75" customHeight="1" s="174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</row>
    <row r="762" ht="15.75" customHeight="1" s="174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</row>
    <row r="763" ht="15.75" customHeight="1" s="174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</row>
    <row r="764" ht="15.75" customHeight="1" s="174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</row>
    <row r="765" ht="15.75" customHeight="1" s="174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</row>
    <row r="766" ht="15.75" customHeight="1" s="174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</row>
    <row r="767" ht="15.75" customHeight="1" s="174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</row>
    <row r="768" ht="15.75" customHeight="1" s="174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</row>
    <row r="769" ht="15.75" customHeight="1" s="174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</row>
    <row r="770" ht="15.75" customHeight="1" s="174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</row>
    <row r="771" ht="15.75" customHeight="1" s="174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</row>
    <row r="772" ht="15.75" customHeight="1" s="174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</row>
    <row r="773" ht="15.75" customHeight="1" s="174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</row>
    <row r="774" ht="15.75" customHeight="1" s="174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</row>
    <row r="775" ht="15.75" customHeight="1" s="174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</row>
    <row r="776" ht="15.75" customHeight="1" s="174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</row>
    <row r="777" ht="15.75" customHeight="1" s="174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</row>
    <row r="778" ht="15.75" customHeight="1" s="174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</row>
    <row r="779" ht="15.75" customHeight="1" s="174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</row>
    <row r="780" ht="15.75" customHeight="1" s="174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</row>
    <row r="781" ht="15.75" customHeight="1" s="174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</row>
    <row r="782" ht="15.75" customHeight="1" s="174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</row>
    <row r="783" ht="15.75" customHeight="1" s="174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</row>
    <row r="784" ht="15.75" customHeight="1" s="174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</row>
    <row r="785" ht="15.75" customHeight="1" s="174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</row>
    <row r="786" ht="15.75" customHeight="1" s="174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</row>
    <row r="787" ht="15.75" customHeight="1" s="174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</row>
    <row r="788" ht="15.75" customHeight="1" s="174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</row>
    <row r="789" ht="15.75" customHeight="1" s="174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</row>
    <row r="790" ht="15.75" customHeight="1" s="174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</row>
    <row r="791" ht="15.75" customHeight="1" s="174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</row>
    <row r="792" ht="15.75" customHeight="1" s="174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</row>
    <row r="793" ht="15.75" customHeight="1" s="174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</row>
    <row r="794" ht="15.75" customHeight="1" s="174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</row>
    <row r="795" ht="15.75" customHeight="1" s="174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</row>
    <row r="796" ht="15.75" customHeight="1" s="174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</row>
    <row r="797" ht="15.75" customHeight="1" s="174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</row>
    <row r="798" ht="15.75" customHeight="1" s="174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</row>
    <row r="799" ht="15.75" customHeight="1" s="174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</row>
    <row r="800" ht="15.75" customHeight="1" s="174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</row>
    <row r="801" ht="15.75" customHeight="1" s="174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</row>
    <row r="802" ht="15.75" customHeight="1" s="174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</row>
    <row r="803" ht="15.75" customHeight="1" s="174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</row>
    <row r="804" ht="15.75" customHeight="1" s="174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</row>
    <row r="805" ht="15.75" customHeight="1" s="174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</row>
    <row r="806" ht="15.75" customHeight="1" s="174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</row>
    <row r="807" ht="15.75" customHeight="1" s="174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</row>
    <row r="808" ht="15.75" customHeight="1" s="174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</row>
    <row r="809" ht="15.75" customHeight="1" s="174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</row>
    <row r="810" ht="15.75" customHeight="1" s="174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</row>
    <row r="811" ht="15.75" customHeight="1" s="174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</row>
    <row r="812" ht="15.75" customHeight="1" s="174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</row>
    <row r="813" ht="15.75" customHeight="1" s="174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</row>
    <row r="814" ht="15.75" customHeight="1" s="174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</row>
    <row r="815" ht="15.75" customHeight="1" s="174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</row>
    <row r="816" ht="15.75" customHeight="1" s="174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</row>
    <row r="817" ht="15.75" customHeight="1" s="174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</row>
    <row r="818" ht="15.75" customHeight="1" s="174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</row>
    <row r="819" ht="15.75" customHeight="1" s="174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</row>
    <row r="820" ht="15.75" customHeight="1" s="174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</row>
    <row r="821" ht="15.75" customHeight="1" s="174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</row>
    <row r="822" ht="15.75" customHeight="1" s="174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</row>
    <row r="823" ht="15.75" customHeight="1" s="174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</row>
    <row r="824" ht="15.75" customHeight="1" s="174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</row>
    <row r="825" ht="15.75" customHeight="1" s="174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</row>
    <row r="826" ht="15.75" customHeight="1" s="174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</row>
    <row r="827" ht="15.75" customHeight="1" s="174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</row>
    <row r="828" ht="15.75" customHeight="1" s="174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</row>
    <row r="829" ht="15.75" customHeight="1" s="174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</row>
    <row r="830" ht="15.75" customHeight="1" s="174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</row>
    <row r="831" ht="15.75" customHeight="1" s="174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</row>
    <row r="832" ht="15.75" customHeight="1" s="174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</row>
    <row r="833" ht="15.75" customHeight="1" s="174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</row>
    <row r="834" ht="15.75" customHeight="1" s="174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</row>
    <row r="835" ht="15.75" customHeight="1" s="174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</row>
    <row r="836" ht="15.75" customHeight="1" s="174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</row>
    <row r="837" ht="15.75" customHeight="1" s="174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</row>
    <row r="838" ht="15.75" customHeight="1" s="174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</row>
    <row r="839" ht="15.75" customHeight="1" s="174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</row>
    <row r="840" ht="15.75" customHeight="1" s="174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</row>
    <row r="841" ht="15.75" customHeight="1" s="174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</row>
    <row r="842" ht="15.75" customHeight="1" s="174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</row>
    <row r="843" ht="15.75" customHeight="1" s="174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</row>
    <row r="844" ht="15.75" customHeight="1" s="174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</row>
    <row r="845" ht="15.75" customHeight="1" s="174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</row>
    <row r="846" ht="15.75" customHeight="1" s="174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</row>
    <row r="847" ht="15.75" customHeight="1" s="174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</row>
    <row r="848" ht="15.75" customHeight="1" s="174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</row>
    <row r="849" ht="15.75" customHeight="1" s="174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</row>
    <row r="850" ht="15.75" customHeight="1" s="174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</row>
    <row r="851" ht="15.75" customHeight="1" s="174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</row>
    <row r="852" ht="15.75" customHeight="1" s="174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</row>
    <row r="853" ht="15.75" customHeight="1" s="174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</row>
    <row r="854" ht="15.75" customHeight="1" s="174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</row>
    <row r="855" ht="15.75" customHeight="1" s="174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</row>
    <row r="856" ht="15.75" customHeight="1" s="174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</row>
    <row r="857" ht="15.75" customHeight="1" s="174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</row>
    <row r="858" ht="15.75" customHeight="1" s="174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</row>
    <row r="859" ht="15.75" customHeight="1" s="174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</row>
    <row r="860" ht="15.75" customHeight="1" s="174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</row>
    <row r="861" ht="15.75" customHeight="1" s="174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</row>
    <row r="862" ht="15.75" customHeight="1" s="174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</row>
    <row r="863" ht="15.75" customHeight="1" s="174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</row>
    <row r="864" ht="15.75" customHeight="1" s="174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</row>
    <row r="865" ht="15.75" customHeight="1" s="174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</row>
    <row r="866" ht="15.75" customHeight="1" s="174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</row>
    <row r="867" ht="15.75" customHeight="1" s="174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</row>
    <row r="868" ht="15.75" customHeight="1" s="174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</row>
    <row r="869" ht="15.75" customHeight="1" s="174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</row>
    <row r="870" ht="15.75" customHeight="1" s="174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</row>
    <row r="871" ht="15.75" customHeight="1" s="174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</row>
    <row r="872" ht="15.75" customHeight="1" s="174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</row>
    <row r="873" ht="15.75" customHeight="1" s="174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</row>
    <row r="874" ht="15.75" customHeight="1" s="174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</row>
    <row r="875" ht="15.75" customHeight="1" s="174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</row>
    <row r="876" ht="15.75" customHeight="1" s="174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</row>
    <row r="877" ht="15.75" customHeight="1" s="174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</row>
    <row r="878" ht="15.75" customHeight="1" s="174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</row>
    <row r="879" ht="15.75" customHeight="1" s="174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</row>
    <row r="880" ht="15.75" customHeight="1" s="174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</row>
    <row r="881" ht="15.75" customHeight="1" s="174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</row>
    <row r="882" ht="15.75" customHeight="1" s="174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</row>
    <row r="883" ht="15.75" customHeight="1" s="174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</row>
    <row r="884" ht="15.75" customHeight="1" s="174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</row>
    <row r="885" ht="15.75" customHeight="1" s="174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</row>
    <row r="886" ht="15.75" customHeight="1" s="174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</row>
    <row r="887" ht="15.75" customHeight="1" s="174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</row>
    <row r="888" ht="15.75" customHeight="1" s="174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</row>
    <row r="889" ht="15.75" customHeight="1" s="174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</row>
    <row r="890" ht="15.75" customHeight="1" s="174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</row>
    <row r="891" ht="15.75" customHeight="1" s="174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</row>
    <row r="892" ht="15.75" customHeight="1" s="174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</row>
    <row r="893" ht="15.75" customHeight="1" s="174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</row>
    <row r="894" ht="15.75" customHeight="1" s="174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</row>
    <row r="895" ht="15.75" customHeight="1" s="174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</row>
    <row r="896" ht="15.75" customHeight="1" s="174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</row>
    <row r="897" ht="15.75" customHeight="1" s="174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</row>
    <row r="898" ht="15.75" customHeight="1" s="174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</row>
    <row r="899" ht="15.75" customHeight="1" s="174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</row>
    <row r="900" ht="15.75" customHeight="1" s="174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</row>
    <row r="901" ht="15.75" customHeight="1" s="174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</row>
    <row r="902" ht="15.75" customHeight="1" s="174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</row>
    <row r="903" ht="15.75" customHeight="1" s="174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</row>
    <row r="904" ht="15.75" customHeight="1" s="174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</row>
    <row r="905" ht="15.75" customHeight="1" s="174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</row>
    <row r="906" ht="15.75" customHeight="1" s="174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</row>
    <row r="907" ht="15.75" customHeight="1" s="174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</row>
    <row r="908" ht="15.75" customHeight="1" s="174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</row>
    <row r="909" ht="15.75" customHeight="1" s="174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</row>
    <row r="910" ht="15.75" customHeight="1" s="174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</row>
    <row r="911" ht="15.75" customHeight="1" s="174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</row>
    <row r="912" ht="15.75" customHeight="1" s="174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</row>
    <row r="913" ht="15.75" customHeight="1" s="174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</row>
    <row r="914" ht="15.75" customHeight="1" s="174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</row>
    <row r="915" ht="15.75" customHeight="1" s="174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</row>
    <row r="916" ht="15.75" customHeight="1" s="174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</row>
    <row r="917" ht="15.75" customHeight="1" s="174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</row>
    <row r="918" ht="15.75" customHeight="1" s="174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</row>
    <row r="919" ht="15.75" customHeight="1" s="174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</row>
    <row r="920" ht="15.75" customHeight="1" s="174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</row>
    <row r="921" ht="15.75" customHeight="1" s="174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</row>
    <row r="922" ht="15.75" customHeight="1" s="174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</row>
    <row r="923" ht="15.75" customHeight="1" s="174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</row>
    <row r="924" ht="15.75" customHeight="1" s="174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</row>
    <row r="925" ht="15.75" customHeight="1" s="174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</row>
    <row r="926" ht="15.75" customHeight="1" s="174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</row>
    <row r="927" ht="15.75" customHeight="1" s="174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</row>
    <row r="928" ht="15.75" customHeight="1" s="174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</row>
    <row r="929" ht="15.75" customHeight="1" s="174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</row>
    <row r="930" ht="15.75" customHeight="1" s="174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</row>
    <row r="931" ht="15.75" customHeight="1" s="174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</row>
    <row r="932" ht="15.75" customHeight="1" s="174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</row>
    <row r="933" ht="15.75" customHeight="1" s="174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</row>
    <row r="934" ht="15.75" customHeight="1" s="174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</row>
    <row r="935" ht="15.75" customHeight="1" s="174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</row>
    <row r="936" ht="15.75" customHeight="1" s="174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</row>
    <row r="937" ht="15.75" customHeight="1" s="174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</row>
    <row r="938" ht="15.75" customHeight="1" s="174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</row>
    <row r="939" ht="15.75" customHeight="1" s="174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</row>
    <row r="940" ht="15.75" customHeight="1" s="174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</row>
    <row r="941" ht="15.75" customHeight="1" s="174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</row>
    <row r="942" ht="15.75" customHeight="1" s="174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</row>
    <row r="943" ht="15.75" customHeight="1" s="174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</row>
    <row r="944" ht="15.75" customHeight="1" s="174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</row>
    <row r="945" ht="15.75" customHeight="1" s="174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</row>
    <row r="946" ht="15.75" customHeight="1" s="174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</row>
    <row r="947" ht="15.75" customHeight="1" s="174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</row>
    <row r="948" ht="15.75" customHeight="1" s="174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</row>
    <row r="949" ht="15.75" customHeight="1" s="174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</row>
    <row r="950" ht="15.75" customHeight="1" s="174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</row>
    <row r="951" ht="15.75" customHeight="1" s="174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</row>
    <row r="952" ht="15.75" customHeight="1" s="174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</row>
    <row r="953" ht="15.75" customHeight="1" s="174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</row>
    <row r="954" ht="15.75" customHeight="1" s="174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</row>
    <row r="955" ht="15.75" customHeight="1" s="174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</row>
    <row r="956" ht="15.75" customHeight="1" s="174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</row>
    <row r="957" ht="15.75" customHeight="1" s="174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</row>
    <row r="958" ht="15.75" customHeight="1" s="174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</row>
    <row r="959" ht="15.75" customHeight="1" s="174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</row>
    <row r="960" ht="15.75" customHeight="1" s="174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</row>
    <row r="961" ht="15.75" customHeight="1" s="174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</row>
    <row r="962" ht="15.75" customHeight="1" s="174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</row>
    <row r="963" ht="15.75" customHeight="1" s="174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</row>
    <row r="964" ht="15.75" customHeight="1" s="174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</row>
    <row r="965" ht="15.75" customHeight="1" s="174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</row>
    <row r="966" ht="15.75" customHeight="1" s="174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</row>
    <row r="967" ht="15.75" customHeight="1" s="174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</row>
    <row r="968" ht="15.75" customHeight="1" s="174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</row>
    <row r="969" ht="15.75" customHeight="1" s="174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</row>
    <row r="970" ht="15.75" customHeight="1" s="174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</row>
    <row r="971" ht="15.75" customHeight="1" s="174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</row>
    <row r="972" ht="15.75" customHeight="1" s="174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</row>
    <row r="973" ht="15.75" customHeight="1" s="174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</row>
    <row r="974" ht="15.75" customHeight="1" s="174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</row>
    <row r="975" ht="15.75" customHeight="1" s="174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</row>
    <row r="976" ht="15.75" customHeight="1" s="174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</row>
    <row r="977" ht="15.75" customHeight="1" s="174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</row>
    <row r="978" ht="15.75" customHeight="1" s="174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</row>
    <row r="979" ht="15.75" customHeight="1" s="174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</row>
    <row r="980" ht="15.75" customHeight="1" s="174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</row>
    <row r="981" ht="15.75" customHeight="1" s="174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</row>
    <row r="982" ht="15.75" customHeight="1" s="174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</row>
    <row r="983" ht="15.75" customHeight="1" s="174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</row>
    <row r="984" ht="15.75" customHeight="1" s="174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</row>
    <row r="985" ht="15.75" customHeight="1" s="174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</row>
    <row r="986" ht="15.75" customHeight="1" s="174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</row>
    <row r="987" ht="15.75" customHeight="1" s="174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</row>
    <row r="988" ht="15.75" customHeight="1" s="174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</row>
    <row r="989" ht="15.75" customHeight="1" s="174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</row>
    <row r="990" ht="15.75" customHeight="1" s="174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</row>
    <row r="991" ht="15.75" customHeight="1" s="174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</row>
    <row r="992" ht="15.75" customHeight="1" s="174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</row>
    <row r="993" ht="15.75" customHeight="1" s="174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</row>
    <row r="994" ht="15.75" customHeight="1" s="174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</row>
    <row r="995" ht="15.75" customHeight="1" s="174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</row>
    <row r="996" ht="15.75" customHeight="1" s="174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</row>
    <row r="997" ht="15.75" customHeight="1" s="174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</row>
    <row r="998" ht="15.75" customHeight="1" s="174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</row>
    <row r="999" ht="15.75" customHeight="1" s="174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</row>
    <row r="1000" ht="15.75" customHeight="1" s="174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</row>
  </sheetData>
  <mergeCells count="16">
    <mergeCell ref="B36:H36"/>
    <mergeCell ref="L12:M12"/>
    <mergeCell ref="B74:H74"/>
    <mergeCell ref="B4:H4"/>
    <mergeCell ref="D2:H2"/>
    <mergeCell ref="J4:M4"/>
    <mergeCell ref="L14:M14"/>
    <mergeCell ref="J11:M11"/>
    <mergeCell ref="L15:M15"/>
    <mergeCell ref="B26:J26"/>
    <mergeCell ref="B10:H10"/>
    <mergeCell ref="B75:D75"/>
    <mergeCell ref="D62:H62"/>
    <mergeCell ref="B59:H59"/>
    <mergeCell ref="L13:M13"/>
    <mergeCell ref="B86:D86"/>
  </mergeCells>
  <conditionalFormatting sqref="F38:F45">
    <cfRule type="cellIs" priority="1" operator="equal" dxfId="0">
      <formula>"GREEN"</formula>
    </cfRule>
    <cfRule type="cellIs" priority="2" operator="equal" dxfId="1">
      <formula>"YELLOW"</formula>
    </cfRule>
    <cfRule type="cellIs" priority="3" operator="equal" dxfId="2">
      <formula>"RED"</formula>
    </cfRule>
    <cfRule type="cellIs" priority="4" operator="equal" dxfId="2">
      <formula>"KNOCKOUT"</formula>
    </cfRule>
  </conditionalFormatting>
  <conditionalFormatting sqref="F51:F56">
    <cfRule type="cellIs" priority="5" operator="equal" dxfId="0">
      <formula>"GREEN"</formula>
    </cfRule>
    <cfRule type="cellIs" priority="6" operator="equal" dxfId="1">
      <formula>"YELLOW"</formula>
    </cfRule>
    <cfRule type="cellIs" priority="7" operator="equal" dxfId="2">
      <formula>"RED"</formula>
    </cfRule>
    <cfRule type="cellIs" priority="8" operator="equal" dxfId="2">
      <formula>"KNOCKOUT"</formula>
    </cfRule>
  </conditionalFormatting>
  <conditionalFormatting sqref="C2">
    <cfRule type="cellIs" priority="9" operator="equal" dxfId="0">
      <formula>"APPROVE"</formula>
    </cfRule>
    <cfRule type="cellIs" priority="10" operator="equal" dxfId="1">
      <formula>"CONDITIONAL"</formula>
    </cfRule>
    <cfRule type="cellIs" priority="11" operator="equal" dxfId="2">
      <formula>"DECLINE"</formula>
    </cfRule>
    <cfRule type="cellIs" priority="12" operator="equal" dxfId="3">
      <formula>"MANUAL REVIEW"</formula>
    </cfRule>
  </conditionalFormatting>
  <conditionalFormatting sqref="C62">
    <cfRule type="cellIs" priority="13" operator="equal" dxfId="0">
      <formula>"APPROVE"</formula>
    </cfRule>
    <cfRule type="cellIs" priority="14" operator="equal" dxfId="1">
      <formula>"CONDITIONAL"</formula>
    </cfRule>
    <cfRule type="cellIs" priority="15" operator="equal" dxfId="2">
      <formula>"DECLINE"</formula>
    </cfRule>
    <cfRule type="cellIs" priority="16" operator="equal" dxfId="3">
      <formula>"MANUAL REVIEW"</formula>
    </cfRule>
  </conditionalFormatting>
  <conditionalFormatting sqref="C87:C90">
    <cfRule type="cellIs" priority="17" operator="equal" dxfId="0">
      <formula>"GREEN"</formula>
    </cfRule>
    <cfRule type="cellIs" priority="18" operator="equal" dxfId="1">
      <formula>"YELLOW"</formula>
    </cfRule>
    <cfRule type="cellIs" priority="19" operator="equal" dxfId="2">
      <formula>"RED"</formula>
    </cfRule>
    <cfRule type="cellIs" priority="20" operator="equal" dxfId="2">
      <formula>"KNOCKOUT"</formula>
    </cfRule>
  </conditionalFormatting>
  <conditionalFormatting sqref="C76">
    <cfRule type="cellIs" priority="21" operator="equal" dxfId="0">
      <formula>"APPROVE"</formula>
    </cfRule>
    <cfRule type="cellIs" priority="22" operator="equal" dxfId="1">
      <formula>"CONDITIONAL"</formula>
    </cfRule>
    <cfRule type="cellIs" priority="23" operator="equal" dxfId="2">
      <formula>"DECLINE"</formula>
    </cfRule>
  </conditionalFormatting>
  <dataValidations count="6">
    <dataValidation sqref="E28:E33" showDropDown="0" showInputMessage="0" showErrorMessage="0" allowBlank="1" type="list">
      <formula1>"Weekly,Daily,Monthly"</formula1>
    </dataValidation>
    <dataValidation sqref="B12:B23" showDropDown="0" showInputMessage="0" showErrorMessage="0" allowBlank="1" type="list">
      <formula1>"Jan,Feb,Mar,Apr,May,Jun,Jul,Aug,Sep,Oct,Nov,Dec"</formula1>
    </dataValidation>
    <dataValidation sqref="K12" showDropDown="0" showInputMessage="0" showErrorMessage="0" allowBlank="1" type="list">
      <formula1>Ref!$E$2:$E$157</formula1>
    </dataValidation>
    <dataValidation sqref="K13" showDropDown="0" showInputMessage="0" showErrorMessage="0" allowBlank="1" type="list">
      <formula1>Ref!$G$2:$G$67</formula1>
    </dataValidation>
    <dataValidation sqref="E6" showDropDown="0" showInputMessage="0" showErrorMessage="0" allowBlank="1" type="list">
      <formula1>"Daily,Weekly"</formula1>
    </dataValidation>
    <dataValidation sqref="K14" showDropDown="0" showInputMessage="0" showErrorMessage="0" allowBlank="1" type="list">
      <formula1>"New Deal,Renewal"</formula1>
    </dataValidation>
  </dataValidations>
  <pageMargins left="0.75" right="0.75" top="1" bottom="1" header="0" footer="0"/>
  <pageSetup orientation="landscape" fitToHeight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Z1000"/>
  <sheetViews>
    <sheetView showGridLines="0" workbookViewId="0">
      <selection activeCell="A1" sqref="A1"/>
    </sheetView>
  </sheetViews>
  <sheetFormatPr baseColWidth="8" defaultColWidth="14.43" defaultRowHeight="15" customHeight="1"/>
  <cols>
    <col width="7" customWidth="1" style="174" min="1" max="1"/>
    <col width="38" customWidth="1" style="174" min="2" max="2"/>
    <col width="23.57" customWidth="1" style="174" min="3" max="3"/>
    <col width="16" customWidth="1" style="174" min="4" max="4"/>
    <col width="12" customWidth="1" style="174" min="5" max="5"/>
    <col width="16" customWidth="1" style="174" min="6" max="7"/>
    <col width="12" customWidth="1" style="174" min="8" max="8"/>
    <col width="60" customWidth="1" style="174" min="9" max="9"/>
  </cols>
  <sheetData>
    <row r="1" ht="17.25" customHeight="1" s="174">
      <c r="A1" s="2" t="inlineStr">
        <is>
          <t xml:space="preserve">HISTORICAL SCORE  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15" customHeight="1" s="174">
      <c r="A2" s="6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15" customHeight="1" s="174">
      <c r="A4" s="127" t="inlineStr">
        <is>
          <t>DEAL BEING MATCHED</t>
        </is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15" customHeight="1" s="174">
      <c r="A5" s="3" t="n"/>
      <c r="B5" s="114" t="inlineStr">
        <is>
          <t>New deal or renewal</t>
        </is>
      </c>
      <c r="C5" s="18">
        <f>IF(Deal!$K$14="","",Deal!$K$14)</f>
        <v/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15" customHeight="1" s="174">
      <c r="A6" s="3" t="n"/>
      <c r="B6" s="114" t="inlineStr">
        <is>
          <t>Position (Deal C42)</t>
        </is>
      </c>
      <c r="C6" s="18">
        <f>IF(Deal!$C$42="","",Deal!$C$42)</f>
        <v/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15" customHeight="1" s="174">
      <c r="A7" s="3" t="n"/>
      <c r="B7" s="114" t="inlineStr">
        <is>
          <t>Industry</t>
        </is>
      </c>
      <c r="C7" s="18">
        <f>IF(Deal!$K$13="","",Deal!$K$13)</f>
        <v/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15" customHeight="1" s="174">
      <c r="A8" s="3" t="n"/>
      <c r="B8" s="114" t="inlineStr">
        <is>
          <t>ISO</t>
        </is>
      </c>
      <c r="C8" s="29">
        <f>IF(Deal!$K$12="","",Deal!$K$12)</f>
        <v/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15" customHeight="1" s="174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15" customHeight="1" s="174">
      <c r="A10" s="3" t="n"/>
      <c r="B10" s="114" t="inlineStr">
        <is>
          <t>Seasoned-book principal lost rate</t>
        </is>
      </c>
      <c r="C10" s="33">
        <f>IF($F$21="",0,$F$21)</f>
        <v/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15" customHeight="1" s="174">
      <c r="A11" s="3" t="n"/>
      <c r="B11" s="114" t="inlineStr">
        <is>
          <t>Seasoned-book return on funded</t>
        </is>
      </c>
      <c r="C11" s="33">
        <f>IF($G$21="",0,$G$21)</f>
        <v/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15" customHeight="1" s="174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30" customHeight="1" s="174">
      <c r="A13" s="88" t="n"/>
      <c r="B13" s="88" t="inlineStr">
        <is>
          <t>Cohort</t>
        </is>
      </c>
      <c r="C13" s="88" t="inlineStr">
        <is>
          <t>Seasoned deals</t>
        </is>
      </c>
      <c r="D13" s="88" t="inlineStr">
        <is>
          <t>Funded $ (seasoned)</t>
        </is>
      </c>
      <c r="E13" s="88" t="inlineStr">
        <is>
          <t>Meets min?</t>
        </is>
      </c>
      <c r="F13" s="88" t="inlineStr">
        <is>
          <t>Principal lost rate</t>
        </is>
      </c>
      <c r="G13" s="88" t="inlineStr">
        <is>
          <t>Return on funded</t>
        </is>
      </c>
      <c r="H13" s="88" t="inlineStr">
        <is>
          <t>Index</t>
        </is>
      </c>
      <c r="I13" s="88" t="n"/>
      <c r="J13" s="3" t="n"/>
      <c r="K13" s="182" t="inlineStr">
        <is>
          <t>req NR</t>
        </is>
      </c>
      <c r="L13" s="182" t="inlineStr">
        <is>
          <t>req ISO</t>
        </is>
      </c>
      <c r="M13" s="182" t="inlineStr">
        <is>
          <t>req Ind</t>
        </is>
      </c>
      <c r="N13" s="182" t="inlineStr">
        <is>
          <t>req Pos</t>
        </is>
      </c>
      <c r="O13" s="182" t="inlineStr">
        <is>
          <t>&lt;- tier definition: 1 = must match, 0 = ignore</t>
        </is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15" customHeight="1" s="174">
      <c r="A14" s="29" t="n"/>
      <c r="B14" s="114" t="inlineStr">
        <is>
          <t>New/renewal + ISO + industry</t>
        </is>
      </c>
      <c r="C14" s="183">
        <f>SUMPRODUCT('Historical Data'!$AP$2:$AP$1068*('Historical Data'!$AR$2:$AR$1068*$K14+(1-$K14))*('Historical Data'!$AT$2:$AT$1068*$L14+(1-$L14))*('Historical Data'!$AS$2:$AS$1068*$M14+(1-$M14))*('Historical Data'!$AQ$2:$AQ$1068*$N14+(1-$N14)))</f>
        <v/>
      </c>
      <c r="D14" s="184">
        <f>SUMPRODUCT('Historical Data'!$AP$2:$AP$1068*('Historical Data'!$AR$2:$AR$1068*$K14+(1-$K14))*('Historical Data'!$AT$2:$AT$1068*$L14+(1-$L14))*('Historical Data'!$AS$2:$AS$1068*$M14+(1-$M14))*('Historical Data'!$AQ$2:$AQ$1068*$N14+(1-$N14))*'Historical Data'!$N$2:$N$1068)</f>
        <v/>
      </c>
      <c r="E14" s="29">
        <f>IF(AND(C14&gt;=Controls!$B$24,D14&gt;=Controls!$B$25),"Yes","No")</f>
        <v/>
      </c>
      <c r="F14" s="185">
        <f>IF(D14=0,"",SUMPRODUCT('Historical Data'!$AP$2:$AP$1068*('Historical Data'!$AR$2:$AR$1068*$K14+(1-$K14))*('Historical Data'!$AT$2:$AT$1068*$L14+(1-$L14))*('Historical Data'!$AS$2:$AS$1068*$M14+(1-$M14))*('Historical Data'!$AQ$2:$AQ$1068*$N14+(1-$N14))*'Historical Data'!$AK$2:$AK$1068)/D14)</f>
        <v/>
      </c>
      <c r="G14" s="185">
        <f>IF(D14=0,"",SUMPRODUCT('Historical Data'!$AP$2:$AP$1068*('Historical Data'!$AR$2:$AR$1068*$K14+(1-$K14))*('Historical Data'!$AT$2:$AT$1068*$L14+(1-$L14))*('Historical Data'!$AS$2:$AS$1068*$M14+(1-$M14))*('Historical Data'!$AQ$2:$AQ$1068*$N14+(1-$N14))*'Historical Data'!$AJ$2:$AJ$1068)/D14)</f>
        <v/>
      </c>
      <c r="H14" s="47">
        <f>IF(OR(F14="",$C$10=0),"",F14/$C$10)</f>
        <v/>
      </c>
      <c r="I14" s="6" t="n"/>
      <c r="J14" s="3" t="n"/>
      <c r="K14" s="182" t="n">
        <v>1</v>
      </c>
      <c r="L14" s="182" t="n">
        <v>1</v>
      </c>
      <c r="M14" s="182" t="n">
        <v>1</v>
      </c>
      <c r="N14" s="182" t="n">
        <v>0</v>
      </c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15" customHeight="1" s="174">
      <c r="A15" s="29" t="n"/>
      <c r="B15" s="114" t="inlineStr">
        <is>
          <t>New/renewal + industry + position</t>
        </is>
      </c>
      <c r="C15" s="183">
        <f>SUMPRODUCT('Historical Data'!$AP$2:$AP$1068*('Historical Data'!$AR$2:$AR$1068*$K15+(1-$K15))*('Historical Data'!$AT$2:$AT$1068*$L15+(1-$L15))*('Historical Data'!$AS$2:$AS$1068*$M15+(1-$M15))*('Historical Data'!$AQ$2:$AQ$1068*$N15+(1-$N15)))</f>
        <v/>
      </c>
      <c r="D15" s="184">
        <f>SUMPRODUCT('Historical Data'!$AP$2:$AP$1068*('Historical Data'!$AR$2:$AR$1068*$K15+(1-$K15))*('Historical Data'!$AT$2:$AT$1068*$L15+(1-$L15))*('Historical Data'!$AS$2:$AS$1068*$M15+(1-$M15))*('Historical Data'!$AQ$2:$AQ$1068*$N15+(1-$N15))*'Historical Data'!$N$2:$N$1068)</f>
        <v/>
      </c>
      <c r="E15" s="29">
        <f>IF(AND(C15&gt;=Controls!$B$24,D15&gt;=Controls!$B$25),"Yes","No")</f>
        <v/>
      </c>
      <c r="F15" s="185">
        <f>IF(D15=0,"",SUMPRODUCT('Historical Data'!$AP$2:$AP$1068*('Historical Data'!$AR$2:$AR$1068*$K15+(1-$K15))*('Historical Data'!$AT$2:$AT$1068*$L15+(1-$L15))*('Historical Data'!$AS$2:$AS$1068*$M15+(1-$M15))*('Historical Data'!$AQ$2:$AQ$1068*$N15+(1-$N15))*'Historical Data'!$AK$2:$AK$1068)/D15)</f>
        <v/>
      </c>
      <c r="G15" s="185">
        <f>IF(D15=0,"",SUMPRODUCT('Historical Data'!$AP$2:$AP$1068*('Historical Data'!$AR$2:$AR$1068*$K15+(1-$K15))*('Historical Data'!$AT$2:$AT$1068*$L15+(1-$L15))*('Historical Data'!$AS$2:$AS$1068*$M15+(1-$M15))*('Historical Data'!$AQ$2:$AQ$1068*$N15+(1-$N15))*'Historical Data'!$AJ$2:$AJ$1068)/D15)</f>
        <v/>
      </c>
      <c r="H15" s="47">
        <f>IF(OR(F15="",$C$10=0),"",F15/$C$10)</f>
        <v/>
      </c>
      <c r="I15" s="3" t="n"/>
      <c r="J15" s="3" t="n"/>
      <c r="K15" s="182" t="n">
        <v>1</v>
      </c>
      <c r="L15" s="182" t="n">
        <v>0</v>
      </c>
      <c r="M15" s="182" t="n">
        <v>1</v>
      </c>
      <c r="N15" s="182" t="n">
        <v>1</v>
      </c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15" customHeight="1" s="174">
      <c r="A16" s="29" t="n"/>
      <c r="B16" s="114" t="inlineStr">
        <is>
          <t>New/renewal + ISO + position</t>
        </is>
      </c>
      <c r="C16" s="183">
        <f>SUMPRODUCT('Historical Data'!$AP$2:$AP$1068*('Historical Data'!$AR$2:$AR$1068*$K16+(1-$K16))*('Historical Data'!$AT$2:$AT$1068*$L16+(1-$L16))*('Historical Data'!$AS$2:$AS$1068*$M16+(1-$M16))*('Historical Data'!$AQ$2:$AQ$1068*$N16+(1-$N16)))</f>
        <v/>
      </c>
      <c r="D16" s="184">
        <f>SUMPRODUCT('Historical Data'!$AP$2:$AP$1068*('Historical Data'!$AR$2:$AR$1068*$K16+(1-$K16))*('Historical Data'!$AT$2:$AT$1068*$L16+(1-$L16))*('Historical Data'!$AS$2:$AS$1068*$M16+(1-$M16))*('Historical Data'!$AQ$2:$AQ$1068*$N16+(1-$N16))*'Historical Data'!$N$2:$N$1068)</f>
        <v/>
      </c>
      <c r="E16" s="29">
        <f>IF(AND(C16&gt;=Controls!$B$24,D16&gt;=Controls!$B$25),"Yes","No")</f>
        <v/>
      </c>
      <c r="F16" s="185">
        <f>IF(D16=0,"",SUMPRODUCT('Historical Data'!$AP$2:$AP$1068*('Historical Data'!$AR$2:$AR$1068*$K16+(1-$K16))*('Historical Data'!$AT$2:$AT$1068*$L16+(1-$L16))*('Historical Data'!$AS$2:$AS$1068*$M16+(1-$M16))*('Historical Data'!$AQ$2:$AQ$1068*$N16+(1-$N16))*'Historical Data'!$AK$2:$AK$1068)/D16)</f>
        <v/>
      </c>
      <c r="G16" s="185">
        <f>IF(D16=0,"",SUMPRODUCT('Historical Data'!$AP$2:$AP$1068*('Historical Data'!$AR$2:$AR$1068*$K16+(1-$K16))*('Historical Data'!$AT$2:$AT$1068*$L16+(1-$L16))*('Historical Data'!$AS$2:$AS$1068*$M16+(1-$M16))*('Historical Data'!$AQ$2:$AQ$1068*$N16+(1-$N16))*'Historical Data'!$AJ$2:$AJ$1068)/D16)</f>
        <v/>
      </c>
      <c r="H16" s="47">
        <f>IF(OR(F16="",$C$10=0),"",F16/$C$10)</f>
        <v/>
      </c>
      <c r="I16" s="3" t="n"/>
      <c r="J16" s="3" t="n"/>
      <c r="K16" s="182" t="n">
        <v>1</v>
      </c>
      <c r="L16" s="182" t="n">
        <v>1</v>
      </c>
      <c r="M16" s="182" t="n">
        <v>0</v>
      </c>
      <c r="N16" s="182" t="n">
        <v>1</v>
      </c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 ht="15" customHeight="1" s="174">
      <c r="A17" s="29" t="n"/>
      <c r="B17" s="114" t="inlineStr">
        <is>
          <t>New/renewal + industry</t>
        </is>
      </c>
      <c r="C17" s="183">
        <f>SUMPRODUCT('Historical Data'!$AP$2:$AP$1068*('Historical Data'!$AR$2:$AR$1068*$K17+(1-$K17))*('Historical Data'!$AT$2:$AT$1068*$L17+(1-$L17))*('Historical Data'!$AS$2:$AS$1068*$M17+(1-$M17))*('Historical Data'!$AQ$2:$AQ$1068*$N17+(1-$N17)))</f>
        <v/>
      </c>
      <c r="D17" s="184">
        <f>SUMPRODUCT('Historical Data'!$AP$2:$AP$1068*('Historical Data'!$AR$2:$AR$1068*$K17+(1-$K17))*('Historical Data'!$AT$2:$AT$1068*$L17+(1-$L17))*('Historical Data'!$AS$2:$AS$1068*$M17+(1-$M17))*('Historical Data'!$AQ$2:$AQ$1068*$N17+(1-$N17))*'Historical Data'!$N$2:$N$1068)</f>
        <v/>
      </c>
      <c r="E17" s="29">
        <f>IF(AND(C17&gt;=Controls!$B$24,D17&gt;=Controls!$B$25),"Yes","No")</f>
        <v/>
      </c>
      <c r="F17" s="185">
        <f>IF(D17=0,"",SUMPRODUCT('Historical Data'!$AP$2:$AP$1068*('Historical Data'!$AR$2:$AR$1068*$K17+(1-$K17))*('Historical Data'!$AT$2:$AT$1068*$L17+(1-$L17))*('Historical Data'!$AS$2:$AS$1068*$M17+(1-$M17))*('Historical Data'!$AQ$2:$AQ$1068*$N17+(1-$N17))*'Historical Data'!$AK$2:$AK$1068)/D17)</f>
        <v/>
      </c>
      <c r="G17" s="185">
        <f>IF(D17=0,"",SUMPRODUCT('Historical Data'!$AP$2:$AP$1068*('Historical Data'!$AR$2:$AR$1068*$K17+(1-$K17))*('Historical Data'!$AT$2:$AT$1068*$L17+(1-$L17))*('Historical Data'!$AS$2:$AS$1068*$M17+(1-$M17))*('Historical Data'!$AQ$2:$AQ$1068*$N17+(1-$N17))*'Historical Data'!$AJ$2:$AJ$1068)/D17)</f>
        <v/>
      </c>
      <c r="H17" s="47">
        <f>IF(OR(F17="",$C$10=0),"",F17/$C$10)</f>
        <v/>
      </c>
      <c r="I17" s="3" t="n"/>
      <c r="J17" s="3" t="n"/>
      <c r="K17" s="182" t="n">
        <v>1</v>
      </c>
      <c r="L17" s="182" t="n">
        <v>0</v>
      </c>
      <c r="M17" s="182" t="n">
        <v>1</v>
      </c>
      <c r="N17" s="182" t="n">
        <v>0</v>
      </c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15" customHeight="1" s="174">
      <c r="A18" s="29" t="n"/>
      <c r="B18" s="114" t="inlineStr">
        <is>
          <t>New/renewal + ISO</t>
        </is>
      </c>
      <c r="C18" s="183">
        <f>SUMPRODUCT('Historical Data'!$AP$2:$AP$1068*('Historical Data'!$AR$2:$AR$1068*$K18+(1-$K18))*('Historical Data'!$AT$2:$AT$1068*$L18+(1-$L18))*('Historical Data'!$AS$2:$AS$1068*$M18+(1-$M18))*('Historical Data'!$AQ$2:$AQ$1068*$N18+(1-$N18)))</f>
        <v/>
      </c>
      <c r="D18" s="184">
        <f>SUMPRODUCT('Historical Data'!$AP$2:$AP$1068*('Historical Data'!$AR$2:$AR$1068*$K18+(1-$K18))*('Historical Data'!$AT$2:$AT$1068*$L18+(1-$L18))*('Historical Data'!$AS$2:$AS$1068*$M18+(1-$M18))*('Historical Data'!$AQ$2:$AQ$1068*$N18+(1-$N18))*'Historical Data'!$N$2:$N$1068)</f>
        <v/>
      </c>
      <c r="E18" s="29">
        <f>IF(AND(C18&gt;=Controls!$B$24,D18&gt;=Controls!$B$25),"Yes","No")</f>
        <v/>
      </c>
      <c r="F18" s="185">
        <f>IF(D18=0,"",SUMPRODUCT('Historical Data'!$AP$2:$AP$1068*('Historical Data'!$AR$2:$AR$1068*$K18+(1-$K18))*('Historical Data'!$AT$2:$AT$1068*$L18+(1-$L18))*('Historical Data'!$AS$2:$AS$1068*$M18+(1-$M18))*('Historical Data'!$AQ$2:$AQ$1068*$N18+(1-$N18))*'Historical Data'!$AK$2:$AK$1068)/D18)</f>
        <v/>
      </c>
      <c r="G18" s="185">
        <f>IF(D18=0,"",SUMPRODUCT('Historical Data'!$AP$2:$AP$1068*('Historical Data'!$AR$2:$AR$1068*$K18+(1-$K18))*('Historical Data'!$AT$2:$AT$1068*$L18+(1-$L18))*('Historical Data'!$AS$2:$AS$1068*$M18+(1-$M18))*('Historical Data'!$AQ$2:$AQ$1068*$N18+(1-$N18))*'Historical Data'!$AJ$2:$AJ$1068)/D18)</f>
        <v/>
      </c>
      <c r="H18" s="47">
        <f>IF(OR(F18="",$C$10=0),"",F18/$C$10)</f>
        <v/>
      </c>
      <c r="I18" s="3" t="n"/>
      <c r="J18" s="3" t="n"/>
      <c r="K18" s="182" t="n">
        <v>1</v>
      </c>
      <c r="L18" s="182" t="n">
        <v>1</v>
      </c>
      <c r="M18" s="182" t="n">
        <v>0</v>
      </c>
      <c r="N18" s="182" t="n">
        <v>0</v>
      </c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 ht="15" customHeight="1" s="174">
      <c r="A19" s="29" t="n"/>
      <c r="B19" s="114" t="inlineStr">
        <is>
          <t>New/renewal + position</t>
        </is>
      </c>
      <c r="C19" s="183">
        <f>SUMPRODUCT('Historical Data'!$AP$2:$AP$1068*('Historical Data'!$AR$2:$AR$1068*$K19+(1-$K19))*('Historical Data'!$AT$2:$AT$1068*$L19+(1-$L19))*('Historical Data'!$AS$2:$AS$1068*$M19+(1-$M19))*('Historical Data'!$AQ$2:$AQ$1068*$N19+(1-$N19)))</f>
        <v/>
      </c>
      <c r="D19" s="184">
        <f>SUMPRODUCT('Historical Data'!$AP$2:$AP$1068*('Historical Data'!$AR$2:$AR$1068*$K19+(1-$K19))*('Historical Data'!$AT$2:$AT$1068*$L19+(1-$L19))*('Historical Data'!$AS$2:$AS$1068*$M19+(1-$M19))*('Historical Data'!$AQ$2:$AQ$1068*$N19+(1-$N19))*'Historical Data'!$N$2:$N$1068)</f>
        <v/>
      </c>
      <c r="E19" s="29">
        <f>IF(AND(C19&gt;=Controls!$B$24,D19&gt;=Controls!$B$25),"Yes","No")</f>
        <v/>
      </c>
      <c r="F19" s="185">
        <f>IF(D19=0,"",SUMPRODUCT('Historical Data'!$AP$2:$AP$1068*('Historical Data'!$AR$2:$AR$1068*$K19+(1-$K19))*('Historical Data'!$AT$2:$AT$1068*$L19+(1-$L19))*('Historical Data'!$AS$2:$AS$1068*$M19+(1-$M19))*('Historical Data'!$AQ$2:$AQ$1068*$N19+(1-$N19))*'Historical Data'!$AK$2:$AK$1068)/D19)</f>
        <v/>
      </c>
      <c r="G19" s="185">
        <f>IF(D19=0,"",SUMPRODUCT('Historical Data'!$AP$2:$AP$1068*('Historical Data'!$AR$2:$AR$1068*$K19+(1-$K19))*('Historical Data'!$AT$2:$AT$1068*$L19+(1-$L19))*('Historical Data'!$AS$2:$AS$1068*$M19+(1-$M19))*('Historical Data'!$AQ$2:$AQ$1068*$N19+(1-$N19))*'Historical Data'!$AJ$2:$AJ$1068)/D19)</f>
        <v/>
      </c>
      <c r="H19" s="47">
        <f>IF(OR(F19="",$C$10=0),"",F19/$C$10)</f>
        <v/>
      </c>
      <c r="I19" s="3" t="n"/>
      <c r="J19" s="3" t="n"/>
      <c r="K19" s="182" t="n">
        <v>1</v>
      </c>
      <c r="L19" s="182" t="n">
        <v>0</v>
      </c>
      <c r="M19" s="182" t="n">
        <v>0</v>
      </c>
      <c r="N19" s="182" t="n">
        <v>1</v>
      </c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 ht="15" customHeight="1" s="174">
      <c r="A20" s="29" t="n"/>
      <c r="B20" s="114" t="inlineStr">
        <is>
          <t>New/renewal only</t>
        </is>
      </c>
      <c r="C20" s="183">
        <f>SUMPRODUCT('Historical Data'!$AP$2:$AP$1068*('Historical Data'!$AR$2:$AR$1068*$K20+(1-$K20))*('Historical Data'!$AT$2:$AT$1068*$L20+(1-$L20))*('Historical Data'!$AS$2:$AS$1068*$M20+(1-$M20))*('Historical Data'!$AQ$2:$AQ$1068*$N20+(1-$N20)))</f>
        <v/>
      </c>
      <c r="D20" s="184">
        <f>SUMPRODUCT('Historical Data'!$AP$2:$AP$1068*('Historical Data'!$AR$2:$AR$1068*$K20+(1-$K20))*('Historical Data'!$AT$2:$AT$1068*$L20+(1-$L20))*('Historical Data'!$AS$2:$AS$1068*$M20+(1-$M20))*('Historical Data'!$AQ$2:$AQ$1068*$N20+(1-$N20))*'Historical Data'!$N$2:$N$1068)</f>
        <v/>
      </c>
      <c r="E20" s="29">
        <f>IF(AND(C20&gt;=Controls!$B$24,D20&gt;=Controls!$B$25),"Yes","No")</f>
        <v/>
      </c>
      <c r="F20" s="185">
        <f>IF(D20=0,"",SUMPRODUCT('Historical Data'!$AP$2:$AP$1068*('Historical Data'!$AR$2:$AR$1068*$K20+(1-$K20))*('Historical Data'!$AT$2:$AT$1068*$L20+(1-$L20))*('Historical Data'!$AS$2:$AS$1068*$M20+(1-$M20))*('Historical Data'!$AQ$2:$AQ$1068*$N20+(1-$N20))*'Historical Data'!$AK$2:$AK$1068)/D20)</f>
        <v/>
      </c>
      <c r="G20" s="185">
        <f>IF(D20=0,"",SUMPRODUCT('Historical Data'!$AP$2:$AP$1068*('Historical Data'!$AR$2:$AR$1068*$K20+(1-$K20))*('Historical Data'!$AT$2:$AT$1068*$L20+(1-$L20))*('Historical Data'!$AS$2:$AS$1068*$M20+(1-$M20))*('Historical Data'!$AQ$2:$AQ$1068*$N20+(1-$N20))*'Historical Data'!$AJ$2:$AJ$1068)/D20)</f>
        <v/>
      </c>
      <c r="H20" s="47">
        <f>IF(OR(F20="",$C$10=0),"",F20/$C$10)</f>
        <v/>
      </c>
      <c r="I20" s="3" t="n"/>
      <c r="J20" s="3" t="n"/>
      <c r="K20" s="182" t="n">
        <v>1</v>
      </c>
      <c r="L20" s="182" t="n">
        <v>0</v>
      </c>
      <c r="M20" s="182" t="n">
        <v>0</v>
      </c>
      <c r="N20" s="182" t="n">
        <v>0</v>
      </c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5.75" customHeight="1" s="174">
      <c r="A21" s="88" t="n"/>
      <c r="B21" s="80" t="inlineStr">
        <is>
          <t>Whole seasoned book</t>
        </is>
      </c>
      <c r="C21" s="186">
        <f>SUMPRODUCT('Historical Data'!$AP$2:$AP$1068*('Historical Data'!$AR$2:$AR$1068*$K21+(1-$K21))*('Historical Data'!$AT$2:$AT$1068*$L21+(1-$L21))*('Historical Data'!$AS$2:$AS$1068*$M21+(1-$M21))*('Historical Data'!$AQ$2:$AQ$1068*$N21+(1-$N21)))</f>
        <v/>
      </c>
      <c r="D21" s="187">
        <f>SUMPRODUCT('Historical Data'!$AP$2:$AP$1068*('Historical Data'!$AR$2:$AR$1068*$K21+(1-$K21))*('Historical Data'!$AT$2:$AT$1068*$L21+(1-$L21))*('Historical Data'!$AS$2:$AS$1068*$M21+(1-$M21))*('Historical Data'!$AQ$2:$AQ$1068*$N21+(1-$N21))*'Historical Data'!$N$2:$N$1068)</f>
        <v/>
      </c>
      <c r="E21" s="83">
        <f>IF(AND(C21&gt;=Controls!$B$24,D21&gt;=Controls!$B$25),"Yes","No")</f>
        <v/>
      </c>
      <c r="F21" s="188">
        <f>IF(D21=0,"",SUMPRODUCT('Historical Data'!$AP$2:$AP$1068*('Historical Data'!$AR$2:$AR$1068*$K21+(1-$K21))*('Historical Data'!$AT$2:$AT$1068*$L21+(1-$L21))*('Historical Data'!$AS$2:$AS$1068*$M21+(1-$M21))*('Historical Data'!$AQ$2:$AQ$1068*$N21+(1-$N21))*'Historical Data'!$AK$2:$AK$1068)/D21)</f>
        <v/>
      </c>
      <c r="G21" s="188">
        <f>IF(D21=0,"",SUMPRODUCT('Historical Data'!$AP$2:$AP$1068*('Historical Data'!$AR$2:$AR$1068*$K21+(1-$K21))*('Historical Data'!$AT$2:$AT$1068*$L21+(1-$L21))*('Historical Data'!$AS$2:$AS$1068*$M21+(1-$M21))*('Historical Data'!$AQ$2:$AQ$1068*$N21+(1-$N21))*'Historical Data'!$AJ$2:$AJ$1068)/D21)</f>
        <v/>
      </c>
      <c r="H21" s="86">
        <f>IF(OR(F21="",$C$10=0),"",F21/$C$10)</f>
        <v/>
      </c>
      <c r="I21" s="19" t="n"/>
      <c r="J21" s="87" t="n"/>
      <c r="K21" s="189" t="n">
        <v>0</v>
      </c>
      <c r="L21" s="189" t="n">
        <v>0</v>
      </c>
      <c r="M21" s="189" t="n">
        <v>0</v>
      </c>
      <c r="N21" s="189" t="n">
        <v>0</v>
      </c>
      <c r="O21" s="87" t="n"/>
      <c r="P21" s="87" t="n"/>
      <c r="Q21" s="87" t="n"/>
      <c r="R21" s="87" t="n"/>
      <c r="S21" s="87" t="n"/>
      <c r="T21" s="87" t="n"/>
      <c r="U21" s="87" t="n"/>
      <c r="V21" s="87" t="n"/>
      <c r="W21" s="87" t="n"/>
      <c r="X21" s="87" t="n"/>
      <c r="Y21" s="87" t="n"/>
      <c r="Z21" s="87" t="n"/>
    </row>
    <row r="22" ht="27.75" customHeight="1" s="174">
      <c r="A22" s="88" t="n"/>
      <c r="B22" s="88" t="inlineStr">
        <is>
          <t xml:space="preserve">SINGLE-DIMENSION EVIDENCE </t>
        </is>
      </c>
      <c r="C22" s="90" t="n"/>
      <c r="D22" s="91" t="n"/>
      <c r="E22" s="88" t="n"/>
      <c r="F22" s="93" t="n"/>
      <c r="G22" s="93" t="n"/>
      <c r="H22" s="94" t="n"/>
      <c r="I22" s="93" t="inlineStr">
        <is>
          <t>|PLR - book|</t>
        </is>
      </c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5.75" customHeight="1" s="174">
      <c r="A23" s="29" t="n"/>
      <c r="B23" s="114" t="inlineStr">
        <is>
          <t>Position only</t>
        </is>
      </c>
      <c r="C23" s="37">
        <f>SUMPRODUCT('Historical Data'!$AQ$2:$AQ$1068*'Historical Data'!$AP$2:$AP$1068)</f>
        <v/>
      </c>
      <c r="D23" s="39">
        <f>SUMPRODUCT('Historical Data'!$AQ$2:$AQ$1068*'Historical Data'!$AP$2:$AP$1068*'Historical Data'!$N$2:$N$1068)</f>
        <v/>
      </c>
      <c r="E23" s="29">
        <f>IF(AND(C23&gt;=Controls!$B$24,D23&gt;=Controls!$B$25),"Yes","No")</f>
        <v/>
      </c>
      <c r="F23" s="43">
        <f>IF(D23=0,"",SUMPRODUCT('Historical Data'!$AQ$2:$AQ$1068*'Historical Data'!$AP$2:$AP$1068*'Historical Data'!$AK$2:$AK$1068)/D23)</f>
        <v/>
      </c>
      <c r="G23" s="43">
        <f>IF(D23=0,"",SUMPRODUCT('Historical Data'!$AQ$2:$AQ$1068*'Historical Data'!$AP$2:$AP$1068*'Historical Data'!$AJ$2:$AJ$1068)/D23)</f>
        <v/>
      </c>
      <c r="H23" s="47">
        <f>IF(OR(F23="",$C$10=0),"",F23/$C$10)</f>
        <v/>
      </c>
      <c r="I23" s="98">
        <f>IF(F23="",0,ABS(F23-$C$10))</f>
        <v/>
      </c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5.75" customHeight="1" s="174">
      <c r="A24" s="29" t="n"/>
      <c r="B24" s="114" t="inlineStr">
        <is>
          <t>New/renewal only</t>
        </is>
      </c>
      <c r="C24" s="37">
        <f>SUMPRODUCT('Historical Data'!$AR$2:$AR$1068*'Historical Data'!$AP$2:$AP$1068)</f>
        <v/>
      </c>
      <c r="D24" s="39">
        <f>SUMPRODUCT('Historical Data'!$AR$2:$AR$1068*'Historical Data'!$AP$2:$AP$1068*'Historical Data'!$N$2:$N$1068)</f>
        <v/>
      </c>
      <c r="E24" s="29">
        <f>IF(AND(C24&gt;=Controls!$B$24,D24&gt;=Controls!$B$25),"Yes","No")</f>
        <v/>
      </c>
      <c r="F24" s="43">
        <f>IF(D24=0,"",SUMPRODUCT('Historical Data'!$AR$2:$AR$1068*'Historical Data'!$AP$2:$AP$1068*'Historical Data'!$AK$2:$AK$1068)/D24)</f>
        <v/>
      </c>
      <c r="G24" s="43">
        <f>IF(D24=0,"",SUMPRODUCT('Historical Data'!$AR$2:$AR$1068*'Historical Data'!$AP$2:$AP$1068*'Historical Data'!$AJ$2:$AJ$1068)/D24)</f>
        <v/>
      </c>
      <c r="H24" s="47">
        <f>IF(OR(F24="",$C$10=0),"",F24/$C$10)</f>
        <v/>
      </c>
      <c r="I24" s="98">
        <f>IF(F24="",0,ABS(F24-$C$10))</f>
        <v/>
      </c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 s="174">
      <c r="A25" s="29" t="n"/>
      <c r="B25" s="114" t="inlineStr">
        <is>
          <t>Industry only</t>
        </is>
      </c>
      <c r="C25" s="37">
        <f>SUMPRODUCT('Historical Data'!$AS$2:$AS$1068*'Historical Data'!$AP$2:$AP$1068)</f>
        <v/>
      </c>
      <c r="D25" s="39">
        <f>SUMPRODUCT('Historical Data'!$AS$2:$AS$1068*'Historical Data'!$AP$2:$AP$1068*'Historical Data'!$N$2:$N$1068)</f>
        <v/>
      </c>
      <c r="E25" s="29">
        <f>IF(AND(C25&gt;=Controls!$B$24,D25&gt;=Controls!$B$25),"Yes","No")</f>
        <v/>
      </c>
      <c r="F25" s="43">
        <f>IF(D25=0,"",SUMPRODUCT('Historical Data'!$AS$2:$AS$1068*'Historical Data'!$AP$2:$AP$1068*'Historical Data'!$AK$2:$AK$1068)/D25)</f>
        <v/>
      </c>
      <c r="G25" s="43">
        <f>IF(D25=0,"",SUMPRODUCT('Historical Data'!$AS$2:$AS$1068*'Historical Data'!$AP$2:$AP$1068*'Historical Data'!$AJ$2:$AJ$1068)/D25)</f>
        <v/>
      </c>
      <c r="H25" s="47">
        <f>IF(OR(F25="",$C$10=0),"",F25/$C$10)</f>
        <v/>
      </c>
      <c r="I25" s="98">
        <f>IF(F25="",0,ABS(F25-$C$10))</f>
        <v/>
      </c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 s="174">
      <c r="A26" s="3" t="n"/>
      <c r="B26" s="114" t="inlineStr">
        <is>
          <t>ISO only</t>
        </is>
      </c>
      <c r="C26" s="37">
        <f>SUMPRODUCT('Historical Data'!$AT$2:$AT$1068*'Historical Data'!$AP$2:$AP$1068)</f>
        <v/>
      </c>
      <c r="D26" s="39">
        <f>SUMPRODUCT('Historical Data'!$AT$2:$AT$1068*'Historical Data'!$AP$2:$AP$1068*'Historical Data'!$N$2:$N$1068)</f>
        <v/>
      </c>
      <c r="E26" s="29">
        <f>IF(AND(C26&gt;=Controls!$B$24,D26&gt;=Controls!$B$25),"Yes","No")</f>
        <v/>
      </c>
      <c r="F26" s="43">
        <f>IF(D26=0,"",SUMPRODUCT('Historical Data'!$AT$2:$AT$1068*'Historical Data'!$AP$2:$AP$1068*'Historical Data'!$AK$2:$AK$1068)/D26)</f>
        <v/>
      </c>
      <c r="G26" s="43">
        <f>IF(D26=0,"",SUMPRODUCT('Historical Data'!$AT$2:$AT$1068*'Historical Data'!$AP$2:$AP$1068*'Historical Data'!$AJ$2:$AJ$1068)/D26)</f>
        <v/>
      </c>
      <c r="H26" s="47">
        <f>IF(OR(F26="",$C$10=0),"",F26/$C$10)</f>
        <v/>
      </c>
      <c r="I26" s="98">
        <f>IF(F26="",0,ABS(F26-$C$10))</f>
        <v/>
      </c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 s="174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 s="174">
      <c r="A28" s="127" t="inlineStr">
        <is>
          <t>RESULT</t>
        </is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 s="174">
      <c r="A29" s="3" t="n"/>
      <c r="B29" s="114" t="inlineStr">
        <is>
          <t>Primary cohort  (lowest row that meets both minimums)</t>
        </is>
      </c>
      <c r="C29" s="190">
        <f>IF($D$29="","- no deal entered -",INDEX($B$14:$B$21,$D$29))</f>
        <v/>
      </c>
      <c r="D29" s="191">
        <f>IF($C$5="","",MATCH("Yes",$E$14:$E$21,0))</f>
        <v/>
      </c>
      <c r="E29" s="192" t="inlineStr">
        <is>
          <t>row # (read by Historical Data)</t>
        </is>
      </c>
      <c r="F29" s="3" t="n"/>
      <c r="G29" s="3" t="n"/>
      <c r="H29" s="3" t="n"/>
      <c r="I29" s="3" t="n"/>
      <c r="J29" s="3" t="n"/>
      <c r="K29" s="182">
        <f>IF($D$29="","",INDEX(K$14:K$21,$D$29))</f>
        <v/>
      </c>
      <c r="L29" s="182">
        <f>IF($D$29="","",INDEX(L$14:L$21,$D$29))</f>
        <v/>
      </c>
      <c r="M29" s="182">
        <f>IF($D$29="","",INDEX(M$14:M$21,$D$29))</f>
        <v/>
      </c>
      <c r="N29" s="182">
        <f>IF($D$29="","",INDEX(N$14:N$21,$D$29))</f>
        <v/>
      </c>
      <c r="O29" s="182" t="inlineStr">
        <is>
          <t>&lt;- flags of the selected tier (read by Historical Data BA)</t>
        </is>
      </c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 s="174">
      <c r="A30" s="3" t="n"/>
      <c r="B30" s="114" t="inlineStr">
        <is>
          <t>Seasoned deals in it</t>
        </is>
      </c>
      <c r="C30" s="190">
        <f>IF($C$37="NO","",INDEX($C$14:$C$21,$D$29))</f>
        <v/>
      </c>
      <c r="D30" s="182">
        <f>COUNTA($B$14:$B$21)</f>
        <v/>
      </c>
      <c r="E30" s="182" t="inlineStr">
        <is>
          <t>fallback row # (whole seasoned book)</t>
        </is>
      </c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 s="174">
      <c r="A31" s="3" t="n"/>
      <c r="B31" s="114" t="inlineStr">
        <is>
          <t>Principal lost rate</t>
        </is>
      </c>
      <c r="C31" s="193">
        <f>IF($C$37="NO","",INDEX($F$14:$F$21,$D$29))</f>
        <v/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 s="174">
      <c r="A32" s="3" t="n"/>
      <c r="B32" s="114" t="inlineStr">
        <is>
          <t>Return on funded</t>
        </is>
      </c>
      <c r="C32" s="193">
        <f>IF($C$37="NO","",INDEX($G$14:$G$21,$D$29))</f>
        <v/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 s="174">
      <c r="A33" s="3" t="n"/>
      <c r="B33" s="114" t="inlineStr">
        <is>
          <t>Index (PLR / book PLR)</t>
        </is>
      </c>
      <c r="C33" s="194">
        <f>IF($C$37="NO","",INDEX($H$14:$H$21,$D$29))</f>
        <v/>
      </c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 s="174">
      <c r="A34" s="3" t="n"/>
      <c r="B34" s="114" t="inlineStr">
        <is>
          <t>HOUSE-BOOK OUTCOME</t>
        </is>
      </c>
      <c r="C34" s="195">
        <f>IF(OR($C$37="NO",$C$33=""),"Neutral",IF($C$33&lt;=Controls!$B$29,"Supportive",IF($C$33&gt;Controls!$B$30,"Negative","Neutral")))</f>
        <v/>
      </c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 s="174">
      <c r="A35" s="3" t="n"/>
      <c r="B35" s="114" t="inlineStr">
        <is>
          <t xml:space="preserve">Sizing flex applied </t>
        </is>
      </c>
      <c r="C35" s="115">
        <f>IF($C$34="Supportive",Controls!$B$31,IF($C$34="Negative",-Controls!$B$32,0))</f>
        <v/>
      </c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174">
      <c r="A36" s="3" t="n"/>
      <c r="B36" s="114" t="inlineStr">
        <is>
          <t>Largest-impact variable</t>
        </is>
      </c>
      <c r="C36" s="115">
        <f t="array" ref="C36">IF(MAX($I$23:$I$26)=0,"none rated",_xlfn.XLOOKUP(MAX($I$23:$I$26),$I$23:$I$26,$B$23:$B$26))</f>
        <v/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 s="174">
      <c r="A37" s="3" t="n"/>
      <c r="B37" s="196" t="inlineStr">
        <is>
          <t>HAS EVIDENCE?</t>
        </is>
      </c>
      <c r="C37" s="197">
        <f>IF(OR($D$29="",$D$29=$D$30),"NO","YES")</f>
        <v/>
      </c>
      <c r="D37" s="182" t="inlineStr">
        <is>
          <t>&lt;- every guard downstream reads this, not a hard-coded row number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 s="174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 s="174">
      <c r="A39" s="3" t="n"/>
      <c r="B39" s="6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174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174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174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174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17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174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174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174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174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174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174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174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174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174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17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174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174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174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174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174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174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174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174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174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17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174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174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174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174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174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174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174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174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174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1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174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174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174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174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174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174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174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174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174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17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174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174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174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174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174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174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174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174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174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17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174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174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174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174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174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174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174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174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174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17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174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174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174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174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174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174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174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174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174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17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174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174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174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174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174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174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174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174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174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17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174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174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174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174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174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174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174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174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174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17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174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174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174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174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174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174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174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174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174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17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174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174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174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174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174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174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174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174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174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17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174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174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174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174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174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174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174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174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174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17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174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174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174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174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174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174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174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174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174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17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174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174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174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174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174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174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174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174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174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174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174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174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174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174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174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174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174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174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174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174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174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174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174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174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174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174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174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174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174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174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174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174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174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174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174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174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174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174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174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174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174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174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174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174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174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174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174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 s="174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 s="174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 s="174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 s="174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 s="174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 s="174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 s="174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 s="174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 s="174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 s="174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 s="174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 s="174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 s="174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 s="174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 s="174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 s="174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 s="174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5.75" customHeight="1" s="174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5.75" customHeight="1" s="174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 ht="15.75" customHeight="1" s="174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 ht="15.75" customHeight="1" s="174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 ht="15.75" customHeight="1" s="174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 ht="15.75" customHeight="1" s="174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 ht="15.75" customHeight="1" s="174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 ht="15.75" customHeight="1" s="174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 ht="15.75" customHeight="1" s="174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 ht="15.75" customHeight="1" s="174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 ht="15.75" customHeight="1" s="174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 ht="15.75" customHeight="1" s="174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 ht="15.75" customHeight="1" s="174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 ht="15.75" customHeight="1" s="174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 ht="15.75" customHeight="1" s="174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 ht="15.75" customHeight="1" s="174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 ht="15.75" customHeight="1" s="174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 ht="15.75" customHeight="1" s="174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 ht="15.75" customHeight="1" s="174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 ht="15.75" customHeight="1" s="174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 ht="15.75" customHeight="1" s="174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 ht="15.75" customHeight="1" s="174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 ht="15.75" customHeight="1" s="174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 ht="15.75" customHeight="1" s="174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 ht="15.75" customHeight="1" s="174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 ht="15.75" customHeight="1" s="174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 ht="15.75" customHeight="1" s="174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 ht="15.75" customHeight="1" s="174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 ht="15.75" customHeight="1" s="174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</row>
    <row r="268" ht="15.75" customHeight="1" s="174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</row>
    <row r="269" ht="15.75" customHeight="1" s="174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</row>
    <row r="270" ht="15.75" customHeight="1" s="174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</row>
    <row r="271" ht="15.75" customHeight="1" s="174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</row>
    <row r="272" ht="15.75" customHeight="1" s="174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</row>
    <row r="273" ht="15.75" customHeight="1" s="174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</row>
    <row r="274" ht="15.75" customHeight="1" s="174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</row>
    <row r="275" ht="15.75" customHeight="1" s="174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</row>
    <row r="276" ht="15.75" customHeight="1" s="174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</row>
    <row r="277" ht="15.75" customHeight="1" s="174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</row>
    <row r="278" ht="15.75" customHeight="1" s="174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</row>
    <row r="279" ht="15.75" customHeight="1" s="174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</row>
    <row r="280" ht="15.75" customHeight="1" s="174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</row>
    <row r="281" ht="15.75" customHeight="1" s="174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</row>
    <row r="282" ht="15.75" customHeight="1" s="174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</row>
    <row r="283" ht="15.75" customHeight="1" s="174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</row>
    <row r="284" ht="15.75" customHeight="1" s="174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</row>
    <row r="285" ht="15.75" customHeight="1" s="174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</row>
    <row r="286" ht="15.75" customHeight="1" s="174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</row>
    <row r="287" ht="15.75" customHeight="1" s="174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</row>
    <row r="288" ht="15.75" customHeight="1" s="174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</row>
    <row r="289" ht="15.75" customHeight="1" s="174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</row>
    <row r="290" ht="15.75" customHeight="1" s="174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</row>
    <row r="291" ht="15.75" customHeight="1" s="174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</row>
    <row r="292" ht="15.75" customHeight="1" s="174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</row>
    <row r="293" ht="15.75" customHeight="1" s="174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</row>
    <row r="294" ht="15.75" customHeight="1" s="174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</row>
    <row r="295" ht="15.75" customHeight="1" s="174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</row>
    <row r="296" ht="15.75" customHeight="1" s="174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</row>
    <row r="297" ht="15.75" customHeight="1" s="174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</row>
    <row r="298" ht="15.75" customHeight="1" s="174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</row>
    <row r="299" ht="15.75" customHeight="1" s="174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</row>
    <row r="300" ht="15.75" customHeight="1" s="174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</row>
    <row r="301" ht="15.75" customHeight="1" s="174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</row>
    <row r="302" ht="15.75" customHeight="1" s="174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</row>
    <row r="303" ht="15.75" customHeight="1" s="174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</row>
    <row r="304" ht="15.75" customHeight="1" s="174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</row>
    <row r="305" ht="15.75" customHeight="1" s="174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</row>
    <row r="306" ht="15.75" customHeight="1" s="174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</row>
    <row r="307" ht="15.75" customHeight="1" s="174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</row>
    <row r="308" ht="15.75" customHeight="1" s="174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</row>
    <row r="309" ht="15.75" customHeight="1" s="174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</row>
    <row r="310" ht="15.75" customHeight="1" s="174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</row>
    <row r="311" ht="15.75" customHeight="1" s="174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</row>
    <row r="312" ht="15.75" customHeight="1" s="174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</row>
    <row r="313" ht="15.75" customHeight="1" s="174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</row>
    <row r="314" ht="15.75" customHeight="1" s="174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</row>
    <row r="315" ht="15.75" customHeight="1" s="174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</row>
    <row r="316" ht="15.75" customHeight="1" s="174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</row>
    <row r="317" ht="15.75" customHeight="1" s="174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</row>
    <row r="318" ht="15.75" customHeight="1" s="174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</row>
    <row r="319" ht="15.75" customHeight="1" s="174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</row>
    <row r="320" ht="15.75" customHeight="1" s="174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</row>
    <row r="321" ht="15.75" customHeight="1" s="174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</row>
    <row r="322" ht="15.75" customHeight="1" s="174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</row>
    <row r="323" ht="15.75" customHeight="1" s="174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</row>
    <row r="324" ht="15.75" customHeight="1" s="174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</row>
    <row r="325" ht="15.75" customHeight="1" s="174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</row>
    <row r="326" ht="15.75" customHeight="1" s="174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</row>
    <row r="327" ht="15.75" customHeight="1" s="174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</row>
    <row r="328" ht="15.75" customHeight="1" s="174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</row>
    <row r="329" ht="15.75" customHeight="1" s="174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</row>
    <row r="330" ht="15.75" customHeight="1" s="174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</row>
    <row r="331" ht="15.75" customHeight="1" s="174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</row>
    <row r="332" ht="15.75" customHeight="1" s="174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</row>
    <row r="333" ht="15.75" customHeight="1" s="174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</row>
    <row r="334" ht="15.75" customHeight="1" s="174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</row>
    <row r="335" ht="15.75" customHeight="1" s="174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</row>
    <row r="336" ht="15.75" customHeight="1" s="174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</row>
    <row r="337" ht="15.75" customHeight="1" s="174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</row>
    <row r="338" ht="15.75" customHeight="1" s="174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</row>
    <row r="339" ht="15.75" customHeight="1" s="174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</row>
    <row r="340" ht="15.75" customHeight="1" s="174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</row>
    <row r="341" ht="15.75" customHeight="1" s="174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</row>
    <row r="342" ht="15.75" customHeight="1" s="174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</row>
    <row r="343" ht="15.75" customHeight="1" s="174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</row>
    <row r="344" ht="15.75" customHeight="1" s="174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</row>
    <row r="345" ht="15.75" customHeight="1" s="174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</row>
    <row r="346" ht="15.75" customHeight="1" s="174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</row>
    <row r="347" ht="15.75" customHeight="1" s="174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</row>
    <row r="348" ht="15.75" customHeight="1" s="174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</row>
    <row r="349" ht="15.75" customHeight="1" s="174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</row>
    <row r="350" ht="15.75" customHeight="1" s="174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</row>
    <row r="351" ht="15.75" customHeight="1" s="174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</row>
    <row r="352" ht="15.75" customHeight="1" s="174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</row>
    <row r="353" ht="15.75" customHeight="1" s="174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</row>
    <row r="354" ht="15.75" customHeight="1" s="174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</row>
    <row r="355" ht="15.75" customHeight="1" s="174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</row>
    <row r="356" ht="15.75" customHeight="1" s="174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</row>
    <row r="357" ht="15.75" customHeight="1" s="174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</row>
    <row r="358" ht="15.75" customHeight="1" s="174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</row>
    <row r="359" ht="15.75" customHeight="1" s="174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</row>
    <row r="360" ht="15.75" customHeight="1" s="174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</row>
    <row r="361" ht="15.75" customHeight="1" s="174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</row>
    <row r="362" ht="15.75" customHeight="1" s="174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</row>
    <row r="363" ht="15.75" customHeight="1" s="174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</row>
    <row r="364" ht="15.75" customHeight="1" s="174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</row>
    <row r="365" ht="15.75" customHeight="1" s="174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</row>
    <row r="366" ht="15.75" customHeight="1" s="174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</row>
    <row r="367" ht="15.75" customHeight="1" s="174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</row>
    <row r="368" ht="15.75" customHeight="1" s="174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</row>
    <row r="369" ht="15.75" customHeight="1" s="174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</row>
    <row r="370" ht="15.75" customHeight="1" s="174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</row>
    <row r="371" ht="15.75" customHeight="1" s="174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</row>
    <row r="372" ht="15.75" customHeight="1" s="174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</row>
    <row r="373" ht="15.75" customHeight="1" s="174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</row>
    <row r="374" ht="15.75" customHeight="1" s="174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</row>
    <row r="375" ht="15.75" customHeight="1" s="174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</row>
    <row r="376" ht="15.75" customHeight="1" s="174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</row>
    <row r="377" ht="15.75" customHeight="1" s="174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</row>
    <row r="378" ht="15.75" customHeight="1" s="174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</row>
    <row r="379" ht="15.75" customHeight="1" s="174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</row>
    <row r="380" ht="15.75" customHeight="1" s="174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</row>
    <row r="381" ht="15.75" customHeight="1" s="174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</row>
    <row r="382" ht="15.75" customHeight="1" s="174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</row>
    <row r="383" ht="15.75" customHeight="1" s="174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</row>
    <row r="384" ht="15.75" customHeight="1" s="174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</row>
    <row r="385" ht="15.75" customHeight="1" s="174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</row>
    <row r="386" ht="15.75" customHeight="1" s="174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</row>
    <row r="387" ht="15.75" customHeight="1" s="174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</row>
    <row r="388" ht="15.75" customHeight="1" s="174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</row>
    <row r="389" ht="15.75" customHeight="1" s="174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</row>
    <row r="390" ht="15.75" customHeight="1" s="174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</row>
    <row r="391" ht="15.75" customHeight="1" s="174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</row>
    <row r="392" ht="15.75" customHeight="1" s="174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</row>
    <row r="393" ht="15.75" customHeight="1" s="174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</row>
    <row r="394" ht="15.75" customHeight="1" s="174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</row>
    <row r="395" ht="15.75" customHeight="1" s="174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</row>
    <row r="396" ht="15.75" customHeight="1" s="174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</row>
    <row r="397" ht="15.75" customHeight="1" s="174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</row>
    <row r="398" ht="15.75" customHeight="1" s="174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</row>
    <row r="399" ht="15.75" customHeight="1" s="174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</row>
    <row r="400" ht="15.75" customHeight="1" s="174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</row>
    <row r="401" ht="15.75" customHeight="1" s="174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</row>
    <row r="402" ht="15.75" customHeight="1" s="174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</row>
    <row r="403" ht="15.75" customHeight="1" s="174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</row>
    <row r="404" ht="15.75" customHeight="1" s="174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</row>
    <row r="405" ht="15.75" customHeight="1" s="174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</row>
    <row r="406" ht="15.75" customHeight="1" s="174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</row>
    <row r="407" ht="15.75" customHeight="1" s="174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</row>
    <row r="408" ht="15.75" customHeight="1" s="174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</row>
    <row r="409" ht="15.75" customHeight="1" s="174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</row>
    <row r="410" ht="15.75" customHeight="1" s="174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</row>
    <row r="411" ht="15.75" customHeight="1" s="174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</row>
    <row r="412" ht="15.75" customHeight="1" s="174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</row>
    <row r="413" ht="15.75" customHeight="1" s="174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</row>
    <row r="414" ht="15.75" customHeight="1" s="174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</row>
    <row r="415" ht="15.75" customHeight="1" s="174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</row>
    <row r="416" ht="15.75" customHeight="1" s="174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</row>
    <row r="417" ht="15.75" customHeight="1" s="174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</row>
    <row r="418" ht="15.75" customHeight="1" s="174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</row>
    <row r="419" ht="15.75" customHeight="1" s="174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</row>
    <row r="420" ht="15.75" customHeight="1" s="174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</row>
    <row r="421" ht="15.75" customHeight="1" s="174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</row>
    <row r="422" ht="15.75" customHeight="1" s="174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</row>
    <row r="423" ht="15.75" customHeight="1" s="174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</row>
    <row r="424" ht="15.75" customHeight="1" s="174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</row>
    <row r="425" ht="15.75" customHeight="1" s="174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</row>
    <row r="426" ht="15.75" customHeight="1" s="174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</row>
    <row r="427" ht="15.75" customHeight="1" s="174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</row>
    <row r="428" ht="15.75" customHeight="1" s="174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</row>
    <row r="429" ht="15.75" customHeight="1" s="174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</row>
    <row r="430" ht="15.75" customHeight="1" s="174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</row>
    <row r="431" ht="15.75" customHeight="1" s="174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</row>
    <row r="432" ht="15.75" customHeight="1" s="174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</row>
    <row r="433" ht="15.75" customHeight="1" s="174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</row>
    <row r="434" ht="15.75" customHeight="1" s="174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</row>
    <row r="435" ht="15.75" customHeight="1" s="174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</row>
    <row r="436" ht="15.75" customHeight="1" s="174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</row>
    <row r="437" ht="15.75" customHeight="1" s="174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</row>
    <row r="438" ht="15.75" customHeight="1" s="174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</row>
    <row r="439" ht="15.75" customHeight="1" s="174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</row>
    <row r="440" ht="15.75" customHeight="1" s="174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</row>
    <row r="441" ht="15.75" customHeight="1" s="174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</row>
    <row r="442" ht="15.75" customHeight="1" s="174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</row>
    <row r="443" ht="15.75" customHeight="1" s="174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</row>
    <row r="444" ht="15.75" customHeight="1" s="174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</row>
    <row r="445" ht="15.75" customHeight="1" s="174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</row>
    <row r="446" ht="15.75" customHeight="1" s="174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</row>
    <row r="447" ht="15.75" customHeight="1" s="174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</row>
    <row r="448" ht="15.75" customHeight="1" s="174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</row>
    <row r="449" ht="15.75" customHeight="1" s="174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</row>
    <row r="450" ht="15.75" customHeight="1" s="174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</row>
    <row r="451" ht="15.75" customHeight="1" s="174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</row>
    <row r="452" ht="15.75" customHeight="1" s="174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</row>
    <row r="453" ht="15.75" customHeight="1" s="174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</row>
    <row r="454" ht="15.75" customHeight="1" s="174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</row>
    <row r="455" ht="15.75" customHeight="1" s="174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</row>
    <row r="456" ht="15.75" customHeight="1" s="174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</row>
    <row r="457" ht="15.75" customHeight="1" s="174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</row>
    <row r="458" ht="15.75" customHeight="1" s="174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</row>
    <row r="459" ht="15.75" customHeight="1" s="174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</row>
    <row r="460" ht="15.75" customHeight="1" s="174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</row>
    <row r="461" ht="15.75" customHeight="1" s="174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</row>
    <row r="462" ht="15.75" customHeight="1" s="174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</row>
    <row r="463" ht="15.75" customHeight="1" s="174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</row>
    <row r="464" ht="15.75" customHeight="1" s="174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</row>
    <row r="465" ht="15.75" customHeight="1" s="174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</row>
    <row r="466" ht="15.75" customHeight="1" s="174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</row>
    <row r="467" ht="15.75" customHeight="1" s="174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</row>
    <row r="468" ht="15.75" customHeight="1" s="174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</row>
    <row r="469" ht="15.75" customHeight="1" s="174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</row>
    <row r="470" ht="15.75" customHeight="1" s="174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</row>
    <row r="471" ht="15.75" customHeight="1" s="174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</row>
    <row r="472" ht="15.75" customHeight="1" s="174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</row>
    <row r="473" ht="15.75" customHeight="1" s="174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</row>
    <row r="474" ht="15.75" customHeight="1" s="174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</row>
    <row r="475" ht="15.75" customHeight="1" s="174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</row>
    <row r="476" ht="15.75" customHeight="1" s="174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</row>
    <row r="477" ht="15.75" customHeight="1" s="174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</row>
    <row r="478" ht="15.75" customHeight="1" s="174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</row>
    <row r="479" ht="15.75" customHeight="1" s="174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</row>
    <row r="480" ht="15.75" customHeight="1" s="174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</row>
    <row r="481" ht="15.75" customHeight="1" s="174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</row>
    <row r="482" ht="15.75" customHeight="1" s="174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</row>
    <row r="483" ht="15.75" customHeight="1" s="174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</row>
    <row r="484" ht="15.75" customHeight="1" s="174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</row>
    <row r="485" ht="15.75" customHeight="1" s="174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</row>
    <row r="486" ht="15.75" customHeight="1" s="174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</row>
    <row r="487" ht="15.75" customHeight="1" s="174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</row>
    <row r="488" ht="15.75" customHeight="1" s="174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</row>
    <row r="489" ht="15.75" customHeight="1" s="174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</row>
    <row r="490" ht="15.75" customHeight="1" s="174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</row>
    <row r="491" ht="15.75" customHeight="1" s="174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</row>
    <row r="492" ht="15.75" customHeight="1" s="174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</row>
    <row r="493" ht="15.75" customHeight="1" s="174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</row>
    <row r="494" ht="15.75" customHeight="1" s="174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</row>
    <row r="495" ht="15.75" customHeight="1" s="174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</row>
    <row r="496" ht="15.75" customHeight="1" s="174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</row>
    <row r="497" ht="15.75" customHeight="1" s="174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</row>
    <row r="498" ht="15.75" customHeight="1" s="174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</row>
    <row r="499" ht="15.75" customHeight="1" s="174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</row>
    <row r="500" ht="15.75" customHeight="1" s="174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</row>
    <row r="501" ht="15.75" customHeight="1" s="174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</row>
    <row r="502" ht="15.75" customHeight="1" s="174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</row>
    <row r="503" ht="15.75" customHeight="1" s="174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</row>
    <row r="504" ht="15.75" customHeight="1" s="174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</row>
    <row r="505" ht="15.75" customHeight="1" s="174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</row>
    <row r="506" ht="15.75" customHeight="1" s="174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</row>
    <row r="507" ht="15.75" customHeight="1" s="174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</row>
    <row r="508" ht="15.75" customHeight="1" s="174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</row>
    <row r="509" ht="15.75" customHeight="1" s="174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</row>
    <row r="510" ht="15.75" customHeight="1" s="174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</row>
    <row r="511" ht="15.75" customHeight="1" s="174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</row>
    <row r="512" ht="15.75" customHeight="1" s="174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</row>
    <row r="513" ht="15.75" customHeight="1" s="174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</row>
    <row r="514" ht="15.75" customHeight="1" s="174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</row>
    <row r="515" ht="15.75" customHeight="1" s="174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</row>
    <row r="516" ht="15.75" customHeight="1" s="174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</row>
    <row r="517" ht="15.75" customHeight="1" s="174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</row>
    <row r="518" ht="15.75" customHeight="1" s="174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</row>
    <row r="519" ht="15.75" customHeight="1" s="174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</row>
    <row r="520" ht="15.75" customHeight="1" s="174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</row>
    <row r="521" ht="15.75" customHeight="1" s="174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</row>
    <row r="522" ht="15.75" customHeight="1" s="174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</row>
    <row r="523" ht="15.75" customHeight="1" s="174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</row>
    <row r="524" ht="15.75" customHeight="1" s="174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</row>
    <row r="525" ht="15.75" customHeight="1" s="174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</row>
    <row r="526" ht="15.75" customHeight="1" s="174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</row>
    <row r="527" ht="15.75" customHeight="1" s="174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</row>
    <row r="528" ht="15.75" customHeight="1" s="174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</row>
    <row r="529" ht="15.75" customHeight="1" s="174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</row>
    <row r="530" ht="15.75" customHeight="1" s="174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</row>
    <row r="531" ht="15.75" customHeight="1" s="174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</row>
    <row r="532" ht="15.75" customHeight="1" s="174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</row>
    <row r="533" ht="15.75" customHeight="1" s="174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</row>
    <row r="534" ht="15.75" customHeight="1" s="174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</row>
    <row r="535" ht="15.75" customHeight="1" s="174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</row>
    <row r="536" ht="15.75" customHeight="1" s="174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</row>
    <row r="537" ht="15.75" customHeight="1" s="174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</row>
    <row r="538" ht="15.75" customHeight="1" s="174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</row>
    <row r="539" ht="15.75" customHeight="1" s="174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</row>
    <row r="540" ht="15.75" customHeight="1" s="174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</row>
    <row r="541" ht="15.75" customHeight="1" s="174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</row>
    <row r="542" ht="15.75" customHeight="1" s="174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</row>
    <row r="543" ht="15.75" customHeight="1" s="174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</row>
    <row r="544" ht="15.75" customHeight="1" s="174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</row>
    <row r="545" ht="15.75" customHeight="1" s="174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</row>
    <row r="546" ht="15.75" customHeight="1" s="174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</row>
    <row r="547" ht="15.75" customHeight="1" s="174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</row>
    <row r="548" ht="15.75" customHeight="1" s="174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</row>
    <row r="549" ht="15.75" customHeight="1" s="174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</row>
    <row r="550" ht="15.75" customHeight="1" s="174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</row>
    <row r="551" ht="15.75" customHeight="1" s="174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</row>
    <row r="552" ht="15.75" customHeight="1" s="174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</row>
    <row r="553" ht="15.75" customHeight="1" s="174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</row>
    <row r="554" ht="15.75" customHeight="1" s="174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</row>
    <row r="555" ht="15.75" customHeight="1" s="174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</row>
    <row r="556" ht="15.75" customHeight="1" s="174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</row>
    <row r="557" ht="15.75" customHeight="1" s="174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</row>
    <row r="558" ht="15.75" customHeight="1" s="174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</row>
    <row r="559" ht="15.75" customHeight="1" s="174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</row>
    <row r="560" ht="15.75" customHeight="1" s="174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</row>
    <row r="561" ht="15.75" customHeight="1" s="174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</row>
    <row r="562" ht="15.75" customHeight="1" s="174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</row>
    <row r="563" ht="15.75" customHeight="1" s="174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</row>
    <row r="564" ht="15.75" customHeight="1" s="174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</row>
    <row r="565" ht="15.75" customHeight="1" s="174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</row>
    <row r="566" ht="15.75" customHeight="1" s="174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</row>
    <row r="567" ht="15.75" customHeight="1" s="174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</row>
    <row r="568" ht="15.75" customHeight="1" s="174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</row>
    <row r="569" ht="15.75" customHeight="1" s="174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</row>
    <row r="570" ht="15.75" customHeight="1" s="174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</row>
    <row r="571" ht="15.75" customHeight="1" s="174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</row>
    <row r="572" ht="15.75" customHeight="1" s="174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</row>
    <row r="573" ht="15.75" customHeight="1" s="174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</row>
    <row r="574" ht="15.75" customHeight="1" s="174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</row>
    <row r="575" ht="15.75" customHeight="1" s="174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</row>
    <row r="576" ht="15.75" customHeight="1" s="174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</row>
    <row r="577" ht="15.75" customHeight="1" s="174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</row>
    <row r="578" ht="15.75" customHeight="1" s="174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</row>
    <row r="579" ht="15.75" customHeight="1" s="174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</row>
    <row r="580" ht="15.75" customHeight="1" s="174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</row>
    <row r="581" ht="15.75" customHeight="1" s="174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</row>
    <row r="582" ht="15.75" customHeight="1" s="174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</row>
    <row r="583" ht="15.75" customHeight="1" s="174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</row>
    <row r="584" ht="15.75" customHeight="1" s="174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</row>
    <row r="585" ht="15.75" customHeight="1" s="174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</row>
    <row r="586" ht="15.75" customHeight="1" s="174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</row>
    <row r="587" ht="15.75" customHeight="1" s="174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</row>
    <row r="588" ht="15.75" customHeight="1" s="174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</row>
    <row r="589" ht="15.75" customHeight="1" s="174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</row>
    <row r="590" ht="15.75" customHeight="1" s="174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</row>
    <row r="591" ht="15.75" customHeight="1" s="174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</row>
    <row r="592" ht="15.75" customHeight="1" s="174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</row>
    <row r="593" ht="15.75" customHeight="1" s="174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</row>
    <row r="594" ht="15.75" customHeight="1" s="174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</row>
    <row r="595" ht="15.75" customHeight="1" s="174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</row>
    <row r="596" ht="15.75" customHeight="1" s="174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</row>
    <row r="597" ht="15.75" customHeight="1" s="174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</row>
    <row r="598" ht="15.75" customHeight="1" s="174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</row>
    <row r="599" ht="15.75" customHeight="1" s="174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</row>
    <row r="600" ht="15.75" customHeight="1" s="174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</row>
    <row r="601" ht="15.75" customHeight="1" s="174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</row>
    <row r="602" ht="15.75" customHeight="1" s="174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</row>
    <row r="603" ht="15.75" customHeight="1" s="174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</row>
    <row r="604" ht="15.75" customHeight="1" s="174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</row>
    <row r="605" ht="15.75" customHeight="1" s="174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</row>
    <row r="606" ht="15.75" customHeight="1" s="174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</row>
    <row r="607" ht="15.75" customHeight="1" s="174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</row>
    <row r="608" ht="15.75" customHeight="1" s="174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</row>
    <row r="609" ht="15.75" customHeight="1" s="174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</row>
    <row r="610" ht="15.75" customHeight="1" s="174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</row>
    <row r="611" ht="15.75" customHeight="1" s="174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</row>
    <row r="612" ht="15.75" customHeight="1" s="174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</row>
    <row r="613" ht="15.75" customHeight="1" s="174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</row>
    <row r="614" ht="15.75" customHeight="1" s="174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</row>
    <row r="615" ht="15.75" customHeight="1" s="174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</row>
    <row r="616" ht="15.75" customHeight="1" s="174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</row>
    <row r="617" ht="15.75" customHeight="1" s="174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</row>
    <row r="618" ht="15.75" customHeight="1" s="174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</row>
    <row r="619" ht="15.75" customHeight="1" s="174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</row>
    <row r="620" ht="15.75" customHeight="1" s="174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</row>
    <row r="621" ht="15.75" customHeight="1" s="174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</row>
    <row r="622" ht="15.75" customHeight="1" s="174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</row>
    <row r="623" ht="15.75" customHeight="1" s="174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</row>
    <row r="624" ht="15.75" customHeight="1" s="174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</row>
    <row r="625" ht="15.75" customHeight="1" s="174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</row>
    <row r="626" ht="15.75" customHeight="1" s="174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</row>
    <row r="627" ht="15.75" customHeight="1" s="174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</row>
    <row r="628" ht="15.75" customHeight="1" s="174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</row>
    <row r="629" ht="15.75" customHeight="1" s="174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</row>
    <row r="630" ht="15.75" customHeight="1" s="174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</row>
    <row r="631" ht="15.75" customHeight="1" s="174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</row>
    <row r="632" ht="15.75" customHeight="1" s="174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</row>
    <row r="633" ht="15.75" customHeight="1" s="174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</row>
    <row r="634" ht="15.75" customHeight="1" s="174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</row>
    <row r="635" ht="15.75" customHeight="1" s="174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</row>
    <row r="636" ht="15.75" customHeight="1" s="174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</row>
    <row r="637" ht="15.75" customHeight="1" s="174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</row>
    <row r="638" ht="15.75" customHeight="1" s="174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</row>
    <row r="639" ht="15.75" customHeight="1" s="174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</row>
    <row r="640" ht="15.75" customHeight="1" s="174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</row>
    <row r="641" ht="15.75" customHeight="1" s="174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</row>
    <row r="642" ht="15.75" customHeight="1" s="174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</row>
    <row r="643" ht="15.75" customHeight="1" s="174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</row>
    <row r="644" ht="15.75" customHeight="1" s="174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</row>
    <row r="645" ht="15.75" customHeight="1" s="174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</row>
    <row r="646" ht="15.75" customHeight="1" s="174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</row>
    <row r="647" ht="15.75" customHeight="1" s="174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</row>
    <row r="648" ht="15.75" customHeight="1" s="174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</row>
    <row r="649" ht="15.75" customHeight="1" s="174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</row>
    <row r="650" ht="15.75" customHeight="1" s="174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</row>
    <row r="651" ht="15.75" customHeight="1" s="174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</row>
    <row r="652" ht="15.75" customHeight="1" s="174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</row>
    <row r="653" ht="15.75" customHeight="1" s="174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</row>
    <row r="654" ht="15.75" customHeight="1" s="174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</row>
    <row r="655" ht="15.75" customHeight="1" s="174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</row>
    <row r="656" ht="15.75" customHeight="1" s="174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</row>
    <row r="657" ht="15.75" customHeight="1" s="174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</row>
    <row r="658" ht="15.75" customHeight="1" s="174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</row>
    <row r="659" ht="15.75" customHeight="1" s="174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</row>
    <row r="660" ht="15.75" customHeight="1" s="174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</row>
    <row r="661" ht="15.75" customHeight="1" s="174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</row>
    <row r="662" ht="15.75" customHeight="1" s="174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</row>
    <row r="663" ht="15.75" customHeight="1" s="174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</row>
    <row r="664" ht="15.75" customHeight="1" s="174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</row>
    <row r="665" ht="15.75" customHeight="1" s="174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</row>
    <row r="666" ht="15.75" customHeight="1" s="174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</row>
    <row r="667" ht="15.75" customHeight="1" s="174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</row>
    <row r="668" ht="15.75" customHeight="1" s="174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</row>
    <row r="669" ht="15.75" customHeight="1" s="174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</row>
    <row r="670" ht="15.75" customHeight="1" s="174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</row>
    <row r="671" ht="15.75" customHeight="1" s="174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</row>
    <row r="672" ht="15.75" customHeight="1" s="174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</row>
    <row r="673" ht="15.75" customHeight="1" s="174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</row>
    <row r="674" ht="15.75" customHeight="1" s="174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</row>
    <row r="675" ht="15.75" customHeight="1" s="174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</row>
    <row r="676" ht="15.75" customHeight="1" s="174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</row>
    <row r="677" ht="15.75" customHeight="1" s="174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</row>
    <row r="678" ht="15.75" customHeight="1" s="174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</row>
    <row r="679" ht="15.75" customHeight="1" s="174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</row>
    <row r="680" ht="15.75" customHeight="1" s="174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</row>
    <row r="681" ht="15.75" customHeight="1" s="174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</row>
    <row r="682" ht="15.75" customHeight="1" s="174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</row>
    <row r="683" ht="15.75" customHeight="1" s="174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</row>
    <row r="684" ht="15.75" customHeight="1" s="174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</row>
    <row r="685" ht="15.75" customHeight="1" s="174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</row>
    <row r="686" ht="15.75" customHeight="1" s="174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</row>
    <row r="687" ht="15.75" customHeight="1" s="174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</row>
    <row r="688" ht="15.75" customHeight="1" s="174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</row>
    <row r="689" ht="15.75" customHeight="1" s="174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</row>
    <row r="690" ht="15.75" customHeight="1" s="174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</row>
    <row r="691" ht="15.75" customHeight="1" s="174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</row>
    <row r="692" ht="15.75" customHeight="1" s="174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</row>
    <row r="693" ht="15.75" customHeight="1" s="174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</row>
    <row r="694" ht="15.75" customHeight="1" s="174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</row>
    <row r="695" ht="15.75" customHeight="1" s="174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</row>
    <row r="696" ht="15.75" customHeight="1" s="174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</row>
    <row r="697" ht="15.75" customHeight="1" s="174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</row>
    <row r="698" ht="15.75" customHeight="1" s="174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</row>
    <row r="699" ht="15.75" customHeight="1" s="174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</row>
    <row r="700" ht="15.75" customHeight="1" s="174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</row>
    <row r="701" ht="15.75" customHeight="1" s="174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</row>
    <row r="702" ht="15.75" customHeight="1" s="174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</row>
    <row r="703" ht="15.75" customHeight="1" s="174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</row>
    <row r="704" ht="15.75" customHeight="1" s="174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</row>
    <row r="705" ht="15.75" customHeight="1" s="174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</row>
    <row r="706" ht="15.75" customHeight="1" s="174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</row>
    <row r="707" ht="15.75" customHeight="1" s="174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</row>
    <row r="708" ht="15.75" customHeight="1" s="174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</row>
    <row r="709" ht="15.75" customHeight="1" s="174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</row>
    <row r="710" ht="15.75" customHeight="1" s="174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</row>
    <row r="711" ht="15.75" customHeight="1" s="174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</row>
    <row r="712" ht="15.75" customHeight="1" s="174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</row>
    <row r="713" ht="15.75" customHeight="1" s="174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</row>
    <row r="714" ht="15.75" customHeight="1" s="174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</row>
    <row r="715" ht="15.75" customHeight="1" s="174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</row>
    <row r="716" ht="15.75" customHeight="1" s="174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</row>
    <row r="717" ht="15.75" customHeight="1" s="174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</row>
    <row r="718" ht="15.75" customHeight="1" s="174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</row>
    <row r="719" ht="15.75" customHeight="1" s="174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</row>
    <row r="720" ht="15.75" customHeight="1" s="174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</row>
    <row r="721" ht="15.75" customHeight="1" s="174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</row>
    <row r="722" ht="15.75" customHeight="1" s="174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</row>
    <row r="723" ht="15.75" customHeight="1" s="174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</row>
    <row r="724" ht="15.75" customHeight="1" s="174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</row>
    <row r="725" ht="15.75" customHeight="1" s="174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</row>
    <row r="726" ht="15.75" customHeight="1" s="174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</row>
    <row r="727" ht="15.75" customHeight="1" s="174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</row>
    <row r="728" ht="15.75" customHeight="1" s="174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</row>
    <row r="729" ht="15.75" customHeight="1" s="174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</row>
    <row r="730" ht="15.75" customHeight="1" s="174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</row>
    <row r="731" ht="15.75" customHeight="1" s="174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</row>
    <row r="732" ht="15.75" customHeight="1" s="174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</row>
    <row r="733" ht="15.75" customHeight="1" s="174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</row>
    <row r="734" ht="15.75" customHeight="1" s="174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</row>
    <row r="735" ht="15.75" customHeight="1" s="174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</row>
    <row r="736" ht="15.75" customHeight="1" s="174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</row>
    <row r="737" ht="15.75" customHeight="1" s="174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</row>
    <row r="738" ht="15.75" customHeight="1" s="174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</row>
    <row r="739" ht="15.75" customHeight="1" s="174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</row>
    <row r="740" ht="15.75" customHeight="1" s="174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</row>
    <row r="741" ht="15.75" customHeight="1" s="174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</row>
    <row r="742" ht="15.75" customHeight="1" s="174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</row>
    <row r="743" ht="15.75" customHeight="1" s="174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</row>
    <row r="744" ht="15.75" customHeight="1" s="174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</row>
    <row r="745" ht="15.75" customHeight="1" s="174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</row>
    <row r="746" ht="15.75" customHeight="1" s="174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</row>
    <row r="747" ht="15.75" customHeight="1" s="174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</row>
    <row r="748" ht="15.75" customHeight="1" s="174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</row>
    <row r="749" ht="15.75" customHeight="1" s="174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</row>
    <row r="750" ht="15.75" customHeight="1" s="174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</row>
    <row r="751" ht="15.75" customHeight="1" s="174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</row>
    <row r="752" ht="15.75" customHeight="1" s="174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</row>
    <row r="753" ht="15.75" customHeight="1" s="174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</row>
    <row r="754" ht="15.75" customHeight="1" s="174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</row>
    <row r="755" ht="15.75" customHeight="1" s="174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</row>
    <row r="756" ht="15.75" customHeight="1" s="174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</row>
    <row r="757" ht="15.75" customHeight="1" s="174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</row>
    <row r="758" ht="15.75" customHeight="1" s="174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</row>
    <row r="759" ht="15.75" customHeight="1" s="174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</row>
    <row r="760" ht="15.75" customHeight="1" s="174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</row>
    <row r="761" ht="15.75" customHeight="1" s="174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</row>
    <row r="762" ht="15.75" customHeight="1" s="174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</row>
    <row r="763" ht="15.75" customHeight="1" s="174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</row>
    <row r="764" ht="15.75" customHeight="1" s="174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</row>
    <row r="765" ht="15.75" customHeight="1" s="174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</row>
    <row r="766" ht="15.75" customHeight="1" s="174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</row>
    <row r="767" ht="15.75" customHeight="1" s="174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</row>
    <row r="768" ht="15.75" customHeight="1" s="174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</row>
    <row r="769" ht="15.75" customHeight="1" s="174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</row>
    <row r="770" ht="15.75" customHeight="1" s="174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</row>
    <row r="771" ht="15.75" customHeight="1" s="174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</row>
    <row r="772" ht="15.75" customHeight="1" s="174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</row>
    <row r="773" ht="15.75" customHeight="1" s="174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</row>
    <row r="774" ht="15.75" customHeight="1" s="174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</row>
    <row r="775" ht="15.75" customHeight="1" s="174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</row>
    <row r="776" ht="15.75" customHeight="1" s="174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</row>
    <row r="777" ht="15.75" customHeight="1" s="174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</row>
    <row r="778" ht="15.75" customHeight="1" s="174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</row>
    <row r="779" ht="15.75" customHeight="1" s="174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</row>
    <row r="780" ht="15.75" customHeight="1" s="174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</row>
    <row r="781" ht="15.75" customHeight="1" s="174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</row>
    <row r="782" ht="15.75" customHeight="1" s="174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</row>
    <row r="783" ht="15.75" customHeight="1" s="174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</row>
    <row r="784" ht="15.75" customHeight="1" s="174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</row>
    <row r="785" ht="15.75" customHeight="1" s="174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</row>
    <row r="786" ht="15.75" customHeight="1" s="174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</row>
    <row r="787" ht="15.75" customHeight="1" s="174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</row>
    <row r="788" ht="15.75" customHeight="1" s="174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</row>
    <row r="789" ht="15.75" customHeight="1" s="174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</row>
    <row r="790" ht="15.75" customHeight="1" s="174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</row>
    <row r="791" ht="15.75" customHeight="1" s="174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</row>
    <row r="792" ht="15.75" customHeight="1" s="174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</row>
    <row r="793" ht="15.75" customHeight="1" s="174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</row>
    <row r="794" ht="15.75" customHeight="1" s="174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</row>
    <row r="795" ht="15.75" customHeight="1" s="174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</row>
    <row r="796" ht="15.75" customHeight="1" s="174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</row>
    <row r="797" ht="15.75" customHeight="1" s="174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</row>
    <row r="798" ht="15.75" customHeight="1" s="174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</row>
    <row r="799" ht="15.75" customHeight="1" s="174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</row>
    <row r="800" ht="15.75" customHeight="1" s="174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</row>
    <row r="801" ht="15.75" customHeight="1" s="174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</row>
    <row r="802" ht="15.75" customHeight="1" s="174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</row>
    <row r="803" ht="15.75" customHeight="1" s="174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</row>
    <row r="804" ht="15.75" customHeight="1" s="174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</row>
    <row r="805" ht="15.75" customHeight="1" s="174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</row>
    <row r="806" ht="15.75" customHeight="1" s="174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</row>
    <row r="807" ht="15.75" customHeight="1" s="174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</row>
    <row r="808" ht="15.75" customHeight="1" s="174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</row>
    <row r="809" ht="15.75" customHeight="1" s="174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</row>
    <row r="810" ht="15.75" customHeight="1" s="174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</row>
    <row r="811" ht="15.75" customHeight="1" s="174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</row>
    <row r="812" ht="15.75" customHeight="1" s="174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</row>
    <row r="813" ht="15.75" customHeight="1" s="174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</row>
    <row r="814" ht="15.75" customHeight="1" s="174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</row>
    <row r="815" ht="15.75" customHeight="1" s="174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</row>
    <row r="816" ht="15.75" customHeight="1" s="174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</row>
    <row r="817" ht="15.75" customHeight="1" s="174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</row>
    <row r="818" ht="15.75" customHeight="1" s="174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</row>
    <row r="819" ht="15.75" customHeight="1" s="174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</row>
    <row r="820" ht="15.75" customHeight="1" s="174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</row>
    <row r="821" ht="15.75" customHeight="1" s="174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</row>
    <row r="822" ht="15.75" customHeight="1" s="174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</row>
    <row r="823" ht="15.75" customHeight="1" s="174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</row>
    <row r="824" ht="15.75" customHeight="1" s="174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</row>
    <row r="825" ht="15.75" customHeight="1" s="174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</row>
    <row r="826" ht="15.75" customHeight="1" s="174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</row>
    <row r="827" ht="15.75" customHeight="1" s="174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</row>
    <row r="828" ht="15.75" customHeight="1" s="174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</row>
    <row r="829" ht="15.75" customHeight="1" s="174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</row>
    <row r="830" ht="15.75" customHeight="1" s="174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</row>
    <row r="831" ht="15.75" customHeight="1" s="174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</row>
    <row r="832" ht="15.75" customHeight="1" s="174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</row>
    <row r="833" ht="15.75" customHeight="1" s="174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</row>
    <row r="834" ht="15.75" customHeight="1" s="174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</row>
    <row r="835" ht="15.75" customHeight="1" s="174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</row>
    <row r="836" ht="15.75" customHeight="1" s="174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</row>
    <row r="837" ht="15.75" customHeight="1" s="174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</row>
    <row r="838" ht="15.75" customHeight="1" s="174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</row>
    <row r="839" ht="15.75" customHeight="1" s="174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</row>
    <row r="840" ht="15.75" customHeight="1" s="174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</row>
    <row r="841" ht="15.75" customHeight="1" s="174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</row>
    <row r="842" ht="15.75" customHeight="1" s="174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</row>
    <row r="843" ht="15.75" customHeight="1" s="174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</row>
    <row r="844" ht="15.75" customHeight="1" s="174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</row>
    <row r="845" ht="15.75" customHeight="1" s="174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</row>
    <row r="846" ht="15.75" customHeight="1" s="174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</row>
    <row r="847" ht="15.75" customHeight="1" s="174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</row>
    <row r="848" ht="15.75" customHeight="1" s="174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</row>
    <row r="849" ht="15.75" customHeight="1" s="174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</row>
    <row r="850" ht="15.75" customHeight="1" s="174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</row>
    <row r="851" ht="15.75" customHeight="1" s="174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</row>
    <row r="852" ht="15.75" customHeight="1" s="174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</row>
    <row r="853" ht="15.75" customHeight="1" s="174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</row>
    <row r="854" ht="15.75" customHeight="1" s="174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</row>
    <row r="855" ht="15.75" customHeight="1" s="174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</row>
    <row r="856" ht="15.75" customHeight="1" s="174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</row>
    <row r="857" ht="15.75" customHeight="1" s="174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</row>
    <row r="858" ht="15.75" customHeight="1" s="174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</row>
    <row r="859" ht="15.75" customHeight="1" s="174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</row>
    <row r="860" ht="15.75" customHeight="1" s="174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</row>
    <row r="861" ht="15.75" customHeight="1" s="174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</row>
    <row r="862" ht="15.75" customHeight="1" s="174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</row>
    <row r="863" ht="15.75" customHeight="1" s="174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</row>
    <row r="864" ht="15.75" customHeight="1" s="174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</row>
    <row r="865" ht="15.75" customHeight="1" s="174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</row>
    <row r="866" ht="15.75" customHeight="1" s="174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</row>
    <row r="867" ht="15.75" customHeight="1" s="174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</row>
    <row r="868" ht="15.75" customHeight="1" s="174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</row>
    <row r="869" ht="15.75" customHeight="1" s="174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</row>
    <row r="870" ht="15.75" customHeight="1" s="174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</row>
    <row r="871" ht="15.75" customHeight="1" s="174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</row>
    <row r="872" ht="15.75" customHeight="1" s="174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</row>
    <row r="873" ht="15.75" customHeight="1" s="174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</row>
    <row r="874" ht="15.75" customHeight="1" s="174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</row>
    <row r="875" ht="15.75" customHeight="1" s="174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</row>
    <row r="876" ht="15.75" customHeight="1" s="174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</row>
    <row r="877" ht="15.75" customHeight="1" s="174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</row>
    <row r="878" ht="15.75" customHeight="1" s="174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</row>
    <row r="879" ht="15.75" customHeight="1" s="174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</row>
    <row r="880" ht="15.75" customHeight="1" s="174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</row>
    <row r="881" ht="15.75" customHeight="1" s="174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</row>
    <row r="882" ht="15.75" customHeight="1" s="174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</row>
    <row r="883" ht="15.75" customHeight="1" s="174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</row>
    <row r="884" ht="15.75" customHeight="1" s="174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</row>
    <row r="885" ht="15.75" customHeight="1" s="174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</row>
    <row r="886" ht="15.75" customHeight="1" s="174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</row>
    <row r="887" ht="15.75" customHeight="1" s="174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</row>
    <row r="888" ht="15.75" customHeight="1" s="174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</row>
    <row r="889" ht="15.75" customHeight="1" s="174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</row>
    <row r="890" ht="15.75" customHeight="1" s="174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</row>
    <row r="891" ht="15.75" customHeight="1" s="174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</row>
    <row r="892" ht="15.75" customHeight="1" s="174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</row>
    <row r="893" ht="15.75" customHeight="1" s="174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</row>
    <row r="894" ht="15.75" customHeight="1" s="174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</row>
    <row r="895" ht="15.75" customHeight="1" s="174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</row>
    <row r="896" ht="15.75" customHeight="1" s="174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</row>
    <row r="897" ht="15.75" customHeight="1" s="174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</row>
    <row r="898" ht="15.75" customHeight="1" s="174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</row>
    <row r="899" ht="15.75" customHeight="1" s="174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</row>
    <row r="900" ht="15.75" customHeight="1" s="174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</row>
    <row r="901" ht="15.75" customHeight="1" s="174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</row>
    <row r="902" ht="15.75" customHeight="1" s="174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</row>
    <row r="903" ht="15.75" customHeight="1" s="174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</row>
    <row r="904" ht="15.75" customHeight="1" s="174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</row>
    <row r="905" ht="15.75" customHeight="1" s="174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</row>
    <row r="906" ht="15.75" customHeight="1" s="174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</row>
    <row r="907" ht="15.75" customHeight="1" s="174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</row>
    <row r="908" ht="15.75" customHeight="1" s="174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</row>
    <row r="909" ht="15.75" customHeight="1" s="174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</row>
    <row r="910" ht="15.75" customHeight="1" s="174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</row>
    <row r="911" ht="15.75" customHeight="1" s="174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</row>
    <row r="912" ht="15.75" customHeight="1" s="174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</row>
    <row r="913" ht="15.75" customHeight="1" s="174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</row>
    <row r="914" ht="15.75" customHeight="1" s="174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</row>
    <row r="915" ht="15.75" customHeight="1" s="174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</row>
    <row r="916" ht="15.75" customHeight="1" s="174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</row>
    <row r="917" ht="15.75" customHeight="1" s="174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</row>
    <row r="918" ht="15.75" customHeight="1" s="174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</row>
    <row r="919" ht="15.75" customHeight="1" s="174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</row>
    <row r="920" ht="15.75" customHeight="1" s="174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</row>
    <row r="921" ht="15.75" customHeight="1" s="174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</row>
    <row r="922" ht="15.75" customHeight="1" s="174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</row>
    <row r="923" ht="15.75" customHeight="1" s="174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</row>
    <row r="924" ht="15.75" customHeight="1" s="174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</row>
    <row r="925" ht="15.75" customHeight="1" s="174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</row>
    <row r="926" ht="15.75" customHeight="1" s="174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</row>
    <row r="927" ht="15.75" customHeight="1" s="174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</row>
    <row r="928" ht="15.75" customHeight="1" s="174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</row>
    <row r="929" ht="15.75" customHeight="1" s="174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</row>
    <row r="930" ht="15.75" customHeight="1" s="174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</row>
    <row r="931" ht="15.75" customHeight="1" s="174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</row>
    <row r="932" ht="15.75" customHeight="1" s="174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</row>
    <row r="933" ht="15.75" customHeight="1" s="174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</row>
    <row r="934" ht="15.75" customHeight="1" s="174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</row>
    <row r="935" ht="15.75" customHeight="1" s="174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</row>
    <row r="936" ht="15.75" customHeight="1" s="174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</row>
    <row r="937" ht="15.75" customHeight="1" s="174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</row>
    <row r="938" ht="15.75" customHeight="1" s="174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</row>
    <row r="939" ht="15.75" customHeight="1" s="174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</row>
    <row r="940" ht="15.75" customHeight="1" s="174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</row>
    <row r="941" ht="15.75" customHeight="1" s="174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</row>
    <row r="942" ht="15.75" customHeight="1" s="174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</row>
    <row r="943" ht="15.75" customHeight="1" s="174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</row>
    <row r="944" ht="15.75" customHeight="1" s="174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</row>
    <row r="945" ht="15.75" customHeight="1" s="174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</row>
    <row r="946" ht="15.75" customHeight="1" s="174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</row>
    <row r="947" ht="15.75" customHeight="1" s="174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</row>
    <row r="948" ht="15.75" customHeight="1" s="174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</row>
    <row r="949" ht="15.75" customHeight="1" s="174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</row>
    <row r="950" ht="15.75" customHeight="1" s="174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</row>
    <row r="951" ht="15.75" customHeight="1" s="174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</row>
    <row r="952" ht="15.75" customHeight="1" s="174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</row>
    <row r="953" ht="15.75" customHeight="1" s="174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</row>
    <row r="954" ht="15.75" customHeight="1" s="174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</row>
    <row r="955" ht="15.75" customHeight="1" s="174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</row>
    <row r="956" ht="15.75" customHeight="1" s="174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</row>
    <row r="957" ht="15.75" customHeight="1" s="174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</row>
    <row r="958" ht="15.75" customHeight="1" s="174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</row>
    <row r="959" ht="15.75" customHeight="1" s="174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</row>
    <row r="960" ht="15.75" customHeight="1" s="174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</row>
    <row r="961" ht="15.75" customHeight="1" s="174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</row>
    <row r="962" ht="15.75" customHeight="1" s="174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</row>
    <row r="963" ht="15.75" customHeight="1" s="174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</row>
    <row r="964" ht="15.75" customHeight="1" s="174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</row>
    <row r="965" ht="15.75" customHeight="1" s="174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</row>
    <row r="966" ht="15.75" customHeight="1" s="174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</row>
    <row r="967" ht="15.75" customHeight="1" s="174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</row>
    <row r="968" ht="15.75" customHeight="1" s="174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</row>
    <row r="969" ht="15.75" customHeight="1" s="174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</row>
    <row r="970" ht="15.75" customHeight="1" s="174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</row>
    <row r="971" ht="15.75" customHeight="1" s="174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  <c r="Z971" s="3" t="n"/>
    </row>
    <row r="972" ht="15.75" customHeight="1" s="174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</row>
    <row r="973" ht="15.75" customHeight="1" s="174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  <c r="Z973" s="3" t="n"/>
    </row>
    <row r="974" ht="15.75" customHeight="1" s="174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</row>
    <row r="975" ht="15.75" customHeight="1" s="174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</row>
    <row r="976" ht="15.75" customHeight="1" s="174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</row>
    <row r="977" ht="15.75" customHeight="1" s="174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  <c r="Z977" s="3" t="n"/>
    </row>
    <row r="978" ht="15.75" customHeight="1" s="174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  <c r="Z978" s="3" t="n"/>
    </row>
    <row r="979" ht="15.75" customHeight="1" s="174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  <c r="Z979" s="3" t="n"/>
    </row>
    <row r="980" ht="15.75" customHeight="1" s="174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</row>
    <row r="981" ht="15.75" customHeight="1" s="174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  <c r="Z981" s="3" t="n"/>
    </row>
    <row r="982" ht="15.75" customHeight="1" s="174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</row>
    <row r="983" ht="15.75" customHeight="1" s="174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  <c r="Z983" s="3" t="n"/>
    </row>
    <row r="984" ht="15.75" customHeight="1" s="174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</row>
    <row r="985" ht="15.75" customHeight="1" s="174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  <c r="Z985" s="3" t="n"/>
    </row>
    <row r="986" ht="15.75" customHeight="1" s="174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</row>
    <row r="987" ht="15.75" customHeight="1" s="174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</row>
    <row r="988" ht="15.75" customHeight="1" s="174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</row>
    <row r="989" ht="15.75" customHeight="1" s="174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</row>
    <row r="990" ht="15.75" customHeight="1" s="174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</row>
    <row r="991" ht="15.75" customHeight="1" s="174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</row>
    <row r="992" ht="15.75" customHeight="1" s="174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  <c r="Z992" s="3" t="n"/>
    </row>
    <row r="993" ht="15.75" customHeight="1" s="174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  <c r="Z993" s="3" t="n"/>
    </row>
    <row r="994" ht="15.75" customHeight="1" s="174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  <c r="Z994" s="3" t="n"/>
    </row>
    <row r="995" ht="15.75" customHeight="1" s="174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  <c r="Z995" s="3" t="n"/>
    </row>
    <row r="996" ht="15.75" customHeight="1" s="174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  <c r="Z996" s="3" t="n"/>
    </row>
    <row r="997" ht="15.75" customHeight="1" s="174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  <c r="Z997" s="3" t="n"/>
    </row>
    <row r="998" ht="15.75" customHeight="1" s="174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  <c r="Z998" s="3" t="n"/>
    </row>
    <row r="999" ht="15.75" customHeight="1" s="174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  <c r="S999" s="3" t="n"/>
      <c r="T999" s="3" t="n"/>
      <c r="U999" s="3" t="n"/>
      <c r="V999" s="3" t="n"/>
      <c r="W999" s="3" t="n"/>
      <c r="X999" s="3" t="n"/>
      <c r="Y999" s="3" t="n"/>
      <c r="Z999" s="3" t="n"/>
    </row>
    <row r="1000" ht="15.75" customHeight="1" s="174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  <c r="P1000" s="3" t="n"/>
      <c r="Q1000" s="3" t="n"/>
      <c r="R1000" s="3" t="n"/>
      <c r="S1000" s="3" t="n"/>
      <c r="T1000" s="3" t="n"/>
      <c r="U1000" s="3" t="n"/>
      <c r="V1000" s="3" t="n"/>
      <c r="W1000" s="3" t="n"/>
      <c r="X1000" s="3" t="n"/>
      <c r="Y1000" s="3" t="n"/>
      <c r="Z1000" s="3" t="n"/>
    </row>
  </sheetData>
  <mergeCells count="2">
    <mergeCell ref="A4:C4"/>
    <mergeCell ref="A28:D28"/>
  </mergeCells>
  <conditionalFormatting sqref="E14:E26">
    <cfRule type="cellIs" priority="1" operator="equal" dxfId="0">
      <formula>"Yes"</formula>
    </cfRule>
    <cfRule type="cellIs" priority="2" operator="equal" dxfId="4">
      <formula>"No"</formula>
    </cfRule>
  </conditionalFormatting>
  <pageMargins left="0.75" right="0.75" top="1" bottom="1" header="0" footer="0"/>
  <pageSetup orientation="portrait" fitToHeight="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1072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2" customWidth="1" style="174" min="1" max="1"/>
    <col width="28" customWidth="1" style="174" min="2" max="2"/>
    <col width="18" customWidth="1" style="174" min="3" max="3"/>
    <col width="11" customWidth="1" style="174" min="4" max="4"/>
    <col width="8" customWidth="1" style="174" min="5" max="5"/>
    <col width="26" customWidth="1" style="174" min="6" max="6"/>
    <col width="24" customWidth="1" style="174" min="7" max="7"/>
    <col width="11" customWidth="1" style="174" min="8" max="8"/>
    <col width="7" customWidth="1" style="174" min="9" max="9"/>
    <col width="11" customWidth="1" style="174" min="10" max="11"/>
    <col width="7" customWidth="1" style="174" min="12" max="12"/>
    <col width="11" customWidth="1" style="174" min="13" max="14"/>
    <col width="8" customWidth="1" style="174" min="15" max="16"/>
    <col width="9" customWidth="1" style="174" min="17" max="18"/>
    <col width="8" customWidth="1" style="174" min="19" max="19"/>
    <col width="7" customWidth="1" style="174" min="20" max="20"/>
    <col width="10" customWidth="1" style="174" min="21" max="22"/>
  </cols>
  <sheetData>
    <row r="1" ht="17.25" customHeight="1" s="174">
      <c r="A1" s="2" t="inlineStr">
        <is>
          <t xml:space="preserve">COMPARABLE DEALS  </t>
        </is>
      </c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15" customHeight="1" s="174">
      <c r="A2" s="8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30" customHeight="1" s="174">
      <c r="A4" s="88" t="inlineStr">
        <is>
          <t>Contract ID</t>
        </is>
      </c>
      <c r="B4" s="88" t="inlineStr">
        <is>
          <t>DBA</t>
        </is>
      </c>
      <c r="C4" s="88" t="inlineStr">
        <is>
          <t>Status</t>
        </is>
      </c>
      <c r="D4" s="88" t="inlineStr">
        <is>
          <t>Funded</t>
        </is>
      </c>
      <c r="E4" s="88" t="inlineStr">
        <is>
          <t>Position</t>
        </is>
      </c>
      <c r="F4" s="88" t="inlineStr">
        <is>
          <t>Industry</t>
        </is>
      </c>
      <c r="G4" s="88" t="inlineStr">
        <is>
          <t>ISO</t>
        </is>
      </c>
      <c r="H4" s="88" t="inlineStr">
        <is>
          <t>New/renewal</t>
        </is>
      </c>
      <c r="I4" s="88" t="inlineStr">
        <is>
          <t>Factor</t>
        </is>
      </c>
      <c r="J4" s="88" t="inlineStr">
        <is>
          <t>Advance</t>
        </is>
      </c>
      <c r="K4" s="88" t="inlineStr">
        <is>
          <t>Collected</t>
        </is>
      </c>
      <c r="L4" s="88" t="inlineStr">
        <is>
          <t>% paid</t>
        </is>
      </c>
      <c r="M4" s="88" t="inlineStr">
        <is>
          <t>Net cash</t>
        </is>
      </c>
      <c r="N4" s="88" t="inlineStr">
        <is>
          <t>Principal lost</t>
        </is>
      </c>
      <c r="O4" s="88" t="inlineStr">
        <is>
          <t>Term (bd)</t>
        </is>
      </c>
      <c r="P4" s="88" t="inlineStr">
        <is>
          <t>Age (bd)</t>
        </is>
      </c>
      <c r="Q4" s="88" t="inlineStr">
        <is>
          <t>Days on book</t>
        </is>
      </c>
      <c r="R4" s="88" t="inlineStr">
        <is>
          <t>Seasoned</t>
        </is>
      </c>
      <c r="S4" s="88" t="inlineStr">
        <is>
          <t>Default</t>
        </is>
      </c>
      <c r="T4" s="88" t="inlineStr">
        <is>
          <t>Open</t>
        </is>
      </c>
      <c r="U4" s="88" t="inlineStr">
        <is>
          <t>In primary cohort</t>
        </is>
      </c>
      <c r="V4" s="3" t="n"/>
      <c r="W4" s="3" t="n"/>
      <c r="X4" s="3" t="n"/>
      <c r="Y4" s="3" t="n"/>
      <c r="Z4" s="3" t="n"/>
    </row>
    <row r="5" hidden="1" ht="15" customHeight="1" s="174">
      <c r="A5" s="3">
        <f>'Historical Data'!A2</f>
        <v/>
      </c>
      <c r="B5" s="3">
        <f>'Historical Data'!B2</f>
        <v/>
      </c>
      <c r="C5" s="3">
        <f>'Historical Data'!D2</f>
        <v/>
      </c>
      <c r="D5" s="23">
        <f>'Historical Data'!E2</f>
        <v/>
      </c>
      <c r="E5" s="3">
        <f>'Historical Data'!G2</f>
        <v/>
      </c>
      <c r="F5" s="3">
        <f>'Historical Data'!Y2</f>
        <v/>
      </c>
      <c r="G5" s="3">
        <f>'Historical Data'!K2</f>
        <v/>
      </c>
      <c r="H5" s="3">
        <f>'Historical Data'!L2</f>
        <v/>
      </c>
      <c r="I5" s="26">
        <f>'Historical Data'!M2</f>
        <v/>
      </c>
      <c r="J5" s="28">
        <f>'Historical Data'!N2</f>
        <v/>
      </c>
      <c r="K5" s="28">
        <f>'Historical Data'!Q2</f>
        <v/>
      </c>
      <c r="L5" s="30">
        <f>'Historical Data'!S2</f>
        <v/>
      </c>
      <c r="M5" s="28">
        <f>'Historical Data'!AJ2</f>
        <v/>
      </c>
      <c r="N5" s="28">
        <f>'Historical Data'!AK2</f>
        <v/>
      </c>
      <c r="O5" s="3">
        <f>'Historical Data'!AA2</f>
        <v/>
      </c>
      <c r="P5" s="3">
        <f>'Historical Data'!AB2</f>
        <v/>
      </c>
      <c r="Q5" s="3">
        <f>'Historical Data'!AN2</f>
        <v/>
      </c>
      <c r="R5" s="3">
        <f>'Historical Data'!AC2</f>
        <v/>
      </c>
      <c r="S5" s="3">
        <f>'Historical Data'!AE2</f>
        <v/>
      </c>
      <c r="T5" s="3">
        <f>'Historical Data'!AH2</f>
        <v/>
      </c>
      <c r="U5" s="3">
        <f>'Historical Data'!BA2</f>
        <v/>
      </c>
      <c r="V5" s="3" t="n"/>
      <c r="W5" s="3" t="n"/>
      <c r="X5" s="3" t="n"/>
      <c r="Y5" s="3" t="n"/>
      <c r="Z5" s="3" t="n"/>
    </row>
    <row r="6" hidden="1" ht="15" customHeight="1" s="174">
      <c r="A6" s="3">
        <f>'Historical Data'!A3</f>
        <v/>
      </c>
      <c r="B6" s="3">
        <f>'Historical Data'!B3</f>
        <v/>
      </c>
      <c r="C6" s="3">
        <f>'Historical Data'!D3</f>
        <v/>
      </c>
      <c r="D6" s="23">
        <f>'Historical Data'!E3</f>
        <v/>
      </c>
      <c r="E6" s="3">
        <f>'Historical Data'!G3</f>
        <v/>
      </c>
      <c r="F6" s="3">
        <f>'Historical Data'!Y3</f>
        <v/>
      </c>
      <c r="G6" s="3">
        <f>'Historical Data'!K3</f>
        <v/>
      </c>
      <c r="H6" s="3">
        <f>'Historical Data'!L3</f>
        <v/>
      </c>
      <c r="I6" s="26">
        <f>'Historical Data'!M3</f>
        <v/>
      </c>
      <c r="J6" s="28">
        <f>'Historical Data'!N3</f>
        <v/>
      </c>
      <c r="K6" s="28">
        <f>'Historical Data'!Q3</f>
        <v/>
      </c>
      <c r="L6" s="30">
        <f>'Historical Data'!S3</f>
        <v/>
      </c>
      <c r="M6" s="28">
        <f>'Historical Data'!AJ3</f>
        <v/>
      </c>
      <c r="N6" s="28">
        <f>'Historical Data'!AK3</f>
        <v/>
      </c>
      <c r="O6" s="3">
        <f>'Historical Data'!AA3</f>
        <v/>
      </c>
      <c r="P6" s="3">
        <f>'Historical Data'!AB3</f>
        <v/>
      </c>
      <c r="Q6" s="3">
        <f>'Historical Data'!AN3</f>
        <v/>
      </c>
      <c r="R6" s="3">
        <f>'Historical Data'!AC3</f>
        <v/>
      </c>
      <c r="S6" s="3">
        <f>'Historical Data'!AE3</f>
        <v/>
      </c>
      <c r="T6" s="3">
        <f>'Historical Data'!AH3</f>
        <v/>
      </c>
      <c r="U6" s="3">
        <f>'Historical Data'!BA3</f>
        <v/>
      </c>
      <c r="V6" s="3" t="n"/>
      <c r="W6" s="3" t="n"/>
      <c r="X6" s="3" t="n"/>
      <c r="Y6" s="3" t="n"/>
      <c r="Z6" s="3" t="n"/>
    </row>
    <row r="7" hidden="1" ht="15" customHeight="1" s="174">
      <c r="A7" s="3">
        <f>'Historical Data'!A4</f>
        <v/>
      </c>
      <c r="B7" s="3">
        <f>'Historical Data'!B4</f>
        <v/>
      </c>
      <c r="C7" s="3">
        <f>'Historical Data'!D4</f>
        <v/>
      </c>
      <c r="D7" s="23">
        <f>'Historical Data'!E4</f>
        <v/>
      </c>
      <c r="E7" s="3">
        <f>'Historical Data'!G4</f>
        <v/>
      </c>
      <c r="F7" s="3">
        <f>'Historical Data'!Y4</f>
        <v/>
      </c>
      <c r="G7" s="3">
        <f>'Historical Data'!K4</f>
        <v/>
      </c>
      <c r="H7" s="3">
        <f>'Historical Data'!L4</f>
        <v/>
      </c>
      <c r="I7" s="26">
        <f>'Historical Data'!M4</f>
        <v/>
      </c>
      <c r="J7" s="28">
        <f>'Historical Data'!N4</f>
        <v/>
      </c>
      <c r="K7" s="28">
        <f>'Historical Data'!Q4</f>
        <v/>
      </c>
      <c r="L7" s="30">
        <f>'Historical Data'!S4</f>
        <v/>
      </c>
      <c r="M7" s="28">
        <f>'Historical Data'!AJ4</f>
        <v/>
      </c>
      <c r="N7" s="28">
        <f>'Historical Data'!AK4</f>
        <v/>
      </c>
      <c r="O7" s="3">
        <f>'Historical Data'!AA4</f>
        <v/>
      </c>
      <c r="P7" s="3">
        <f>'Historical Data'!AB4</f>
        <v/>
      </c>
      <c r="Q7" s="3">
        <f>'Historical Data'!AN4</f>
        <v/>
      </c>
      <c r="R7" s="3">
        <f>'Historical Data'!AC4</f>
        <v/>
      </c>
      <c r="S7" s="3">
        <f>'Historical Data'!AE4</f>
        <v/>
      </c>
      <c r="T7" s="3">
        <f>'Historical Data'!AH4</f>
        <v/>
      </c>
      <c r="U7" s="3">
        <f>'Historical Data'!BA4</f>
        <v/>
      </c>
      <c r="V7" s="3" t="n"/>
      <c r="W7" s="3" t="n"/>
      <c r="X7" s="3" t="n"/>
      <c r="Y7" s="3" t="n"/>
      <c r="Z7" s="3" t="n"/>
    </row>
    <row r="8" hidden="1" ht="15" customHeight="1" s="174">
      <c r="A8" s="3">
        <f>'Historical Data'!A5</f>
        <v/>
      </c>
      <c r="B8" s="3">
        <f>'Historical Data'!B5</f>
        <v/>
      </c>
      <c r="C8" s="3">
        <f>'Historical Data'!D5</f>
        <v/>
      </c>
      <c r="D8" s="23">
        <f>'Historical Data'!E5</f>
        <v/>
      </c>
      <c r="E8" s="3">
        <f>'Historical Data'!G5</f>
        <v/>
      </c>
      <c r="F8" s="3">
        <f>'Historical Data'!Y5</f>
        <v/>
      </c>
      <c r="G8" s="3">
        <f>'Historical Data'!K5</f>
        <v/>
      </c>
      <c r="H8" s="3">
        <f>'Historical Data'!L5</f>
        <v/>
      </c>
      <c r="I8" s="26">
        <f>'Historical Data'!M5</f>
        <v/>
      </c>
      <c r="J8" s="28">
        <f>'Historical Data'!N5</f>
        <v/>
      </c>
      <c r="K8" s="28">
        <f>'Historical Data'!Q5</f>
        <v/>
      </c>
      <c r="L8" s="30">
        <f>'Historical Data'!S5</f>
        <v/>
      </c>
      <c r="M8" s="28">
        <f>'Historical Data'!AJ5</f>
        <v/>
      </c>
      <c r="N8" s="28">
        <f>'Historical Data'!AK5</f>
        <v/>
      </c>
      <c r="O8" s="3">
        <f>'Historical Data'!AA5</f>
        <v/>
      </c>
      <c r="P8" s="3">
        <f>'Historical Data'!AB5</f>
        <v/>
      </c>
      <c r="Q8" s="3">
        <f>'Historical Data'!AN5</f>
        <v/>
      </c>
      <c r="R8" s="3">
        <f>'Historical Data'!AC5</f>
        <v/>
      </c>
      <c r="S8" s="3">
        <f>'Historical Data'!AE5</f>
        <v/>
      </c>
      <c r="T8" s="3">
        <f>'Historical Data'!AH5</f>
        <v/>
      </c>
      <c r="U8" s="3">
        <f>'Historical Data'!BA5</f>
        <v/>
      </c>
      <c r="V8" s="3" t="n"/>
      <c r="W8" s="3" t="n"/>
      <c r="X8" s="3" t="n"/>
      <c r="Y8" s="3" t="n"/>
      <c r="Z8" s="3" t="n"/>
    </row>
    <row r="9" hidden="1" ht="15" customHeight="1" s="174">
      <c r="A9" s="3">
        <f>'Historical Data'!A6</f>
        <v/>
      </c>
      <c r="B9" s="3">
        <f>'Historical Data'!B6</f>
        <v/>
      </c>
      <c r="C9" s="3">
        <f>'Historical Data'!D6</f>
        <v/>
      </c>
      <c r="D9" s="23">
        <f>'Historical Data'!E6</f>
        <v/>
      </c>
      <c r="E9" s="3">
        <f>'Historical Data'!G6</f>
        <v/>
      </c>
      <c r="F9" s="3">
        <f>'Historical Data'!Y6</f>
        <v/>
      </c>
      <c r="G9" s="3">
        <f>'Historical Data'!K6</f>
        <v/>
      </c>
      <c r="H9" s="3">
        <f>'Historical Data'!L6</f>
        <v/>
      </c>
      <c r="I9" s="26">
        <f>'Historical Data'!M6</f>
        <v/>
      </c>
      <c r="J9" s="28">
        <f>'Historical Data'!N6</f>
        <v/>
      </c>
      <c r="K9" s="28">
        <f>'Historical Data'!Q6</f>
        <v/>
      </c>
      <c r="L9" s="30">
        <f>'Historical Data'!S6</f>
        <v/>
      </c>
      <c r="M9" s="28">
        <f>'Historical Data'!AJ6</f>
        <v/>
      </c>
      <c r="N9" s="28">
        <f>'Historical Data'!AK6</f>
        <v/>
      </c>
      <c r="O9" s="3">
        <f>'Historical Data'!AA6</f>
        <v/>
      </c>
      <c r="P9" s="3">
        <f>'Historical Data'!AB6</f>
        <v/>
      </c>
      <c r="Q9" s="3">
        <f>'Historical Data'!AN6</f>
        <v/>
      </c>
      <c r="R9" s="3">
        <f>'Historical Data'!AC6</f>
        <v/>
      </c>
      <c r="S9" s="3">
        <f>'Historical Data'!AE6</f>
        <v/>
      </c>
      <c r="T9" s="3">
        <f>'Historical Data'!AH6</f>
        <v/>
      </c>
      <c r="U9" s="3">
        <f>'Historical Data'!BA6</f>
        <v/>
      </c>
      <c r="V9" s="3" t="n"/>
      <c r="W9" s="3" t="n"/>
      <c r="X9" s="3" t="n"/>
      <c r="Y9" s="3" t="n"/>
      <c r="Z9" s="3" t="n"/>
    </row>
    <row r="10" hidden="1" ht="15" customHeight="1" s="174">
      <c r="A10" s="3">
        <f>'Historical Data'!A7</f>
        <v/>
      </c>
      <c r="B10" s="3">
        <f>'Historical Data'!B7</f>
        <v/>
      </c>
      <c r="C10" s="3">
        <f>'Historical Data'!D7</f>
        <v/>
      </c>
      <c r="D10" s="23">
        <f>'Historical Data'!E7</f>
        <v/>
      </c>
      <c r="E10" s="3">
        <f>'Historical Data'!G7</f>
        <v/>
      </c>
      <c r="F10" s="3">
        <f>'Historical Data'!Y7</f>
        <v/>
      </c>
      <c r="G10" s="3">
        <f>'Historical Data'!K7</f>
        <v/>
      </c>
      <c r="H10" s="3">
        <f>'Historical Data'!L7</f>
        <v/>
      </c>
      <c r="I10" s="26">
        <f>'Historical Data'!M7</f>
        <v/>
      </c>
      <c r="J10" s="28">
        <f>'Historical Data'!N7</f>
        <v/>
      </c>
      <c r="K10" s="28">
        <f>'Historical Data'!Q7</f>
        <v/>
      </c>
      <c r="L10" s="30">
        <f>'Historical Data'!S7</f>
        <v/>
      </c>
      <c r="M10" s="28">
        <f>'Historical Data'!AJ7</f>
        <v/>
      </c>
      <c r="N10" s="28">
        <f>'Historical Data'!AK7</f>
        <v/>
      </c>
      <c r="O10" s="3">
        <f>'Historical Data'!AA7</f>
        <v/>
      </c>
      <c r="P10" s="3">
        <f>'Historical Data'!AB7</f>
        <v/>
      </c>
      <c r="Q10" s="3">
        <f>'Historical Data'!AN7</f>
        <v/>
      </c>
      <c r="R10" s="3">
        <f>'Historical Data'!AC7</f>
        <v/>
      </c>
      <c r="S10" s="3">
        <f>'Historical Data'!AE7</f>
        <v/>
      </c>
      <c r="T10" s="3">
        <f>'Historical Data'!AH7</f>
        <v/>
      </c>
      <c r="U10" s="3">
        <f>'Historical Data'!BA7</f>
        <v/>
      </c>
      <c r="V10" s="3" t="n"/>
      <c r="W10" s="3" t="n"/>
      <c r="X10" s="3" t="n"/>
      <c r="Y10" s="3" t="n"/>
      <c r="Z10" s="3" t="n"/>
    </row>
    <row r="11" hidden="1" ht="15" customHeight="1" s="174">
      <c r="A11" s="3">
        <f>'Historical Data'!A8</f>
        <v/>
      </c>
      <c r="B11" s="3">
        <f>'Historical Data'!B8</f>
        <v/>
      </c>
      <c r="C11" s="3">
        <f>'Historical Data'!D8</f>
        <v/>
      </c>
      <c r="D11" s="23">
        <f>'Historical Data'!E8</f>
        <v/>
      </c>
      <c r="E11" s="3">
        <f>'Historical Data'!G8</f>
        <v/>
      </c>
      <c r="F11" s="3">
        <f>'Historical Data'!Y8</f>
        <v/>
      </c>
      <c r="G11" s="3">
        <f>'Historical Data'!K8</f>
        <v/>
      </c>
      <c r="H11" s="3">
        <f>'Historical Data'!L8</f>
        <v/>
      </c>
      <c r="I11" s="26">
        <f>'Historical Data'!M8</f>
        <v/>
      </c>
      <c r="J11" s="28">
        <f>'Historical Data'!N8</f>
        <v/>
      </c>
      <c r="K11" s="28">
        <f>'Historical Data'!Q8</f>
        <v/>
      </c>
      <c r="L11" s="30">
        <f>'Historical Data'!S8</f>
        <v/>
      </c>
      <c r="M11" s="28">
        <f>'Historical Data'!AJ8</f>
        <v/>
      </c>
      <c r="N11" s="28">
        <f>'Historical Data'!AK8</f>
        <v/>
      </c>
      <c r="O11" s="3">
        <f>'Historical Data'!AA8</f>
        <v/>
      </c>
      <c r="P11" s="3">
        <f>'Historical Data'!AB8</f>
        <v/>
      </c>
      <c r="Q11" s="3">
        <f>'Historical Data'!AN8</f>
        <v/>
      </c>
      <c r="R11" s="3">
        <f>'Historical Data'!AC8</f>
        <v/>
      </c>
      <c r="S11" s="3">
        <f>'Historical Data'!AE8</f>
        <v/>
      </c>
      <c r="T11" s="3">
        <f>'Historical Data'!AH8</f>
        <v/>
      </c>
      <c r="U11" s="3">
        <f>'Historical Data'!BA8</f>
        <v/>
      </c>
      <c r="V11" s="3" t="n"/>
      <c r="W11" s="3" t="n"/>
      <c r="X11" s="3" t="n"/>
      <c r="Y11" s="3" t="n"/>
      <c r="Z11" s="3" t="n"/>
    </row>
    <row r="12" hidden="1" ht="15" customHeight="1" s="174">
      <c r="A12" s="3">
        <f>'Historical Data'!A9</f>
        <v/>
      </c>
      <c r="B12" s="3">
        <f>'Historical Data'!B9</f>
        <v/>
      </c>
      <c r="C12" s="3">
        <f>'Historical Data'!D9</f>
        <v/>
      </c>
      <c r="D12" s="23">
        <f>'Historical Data'!E9</f>
        <v/>
      </c>
      <c r="E12" s="3">
        <f>'Historical Data'!G9</f>
        <v/>
      </c>
      <c r="F12" s="3">
        <f>'Historical Data'!Y9</f>
        <v/>
      </c>
      <c r="G12" s="3">
        <f>'Historical Data'!K9</f>
        <v/>
      </c>
      <c r="H12" s="3">
        <f>'Historical Data'!L9</f>
        <v/>
      </c>
      <c r="I12" s="26">
        <f>'Historical Data'!M9</f>
        <v/>
      </c>
      <c r="J12" s="28">
        <f>'Historical Data'!N9</f>
        <v/>
      </c>
      <c r="K12" s="28">
        <f>'Historical Data'!Q9</f>
        <v/>
      </c>
      <c r="L12" s="30">
        <f>'Historical Data'!S9</f>
        <v/>
      </c>
      <c r="M12" s="28">
        <f>'Historical Data'!AJ9</f>
        <v/>
      </c>
      <c r="N12" s="28">
        <f>'Historical Data'!AK9</f>
        <v/>
      </c>
      <c r="O12" s="3">
        <f>'Historical Data'!AA9</f>
        <v/>
      </c>
      <c r="P12" s="3">
        <f>'Historical Data'!AB9</f>
        <v/>
      </c>
      <c r="Q12" s="3">
        <f>'Historical Data'!AN9</f>
        <v/>
      </c>
      <c r="R12" s="3">
        <f>'Historical Data'!AC9</f>
        <v/>
      </c>
      <c r="S12" s="3">
        <f>'Historical Data'!AE9</f>
        <v/>
      </c>
      <c r="T12" s="3">
        <f>'Historical Data'!AH9</f>
        <v/>
      </c>
      <c r="U12" s="3">
        <f>'Historical Data'!BA9</f>
        <v/>
      </c>
      <c r="V12" s="3" t="n"/>
      <c r="W12" s="3" t="n"/>
      <c r="X12" s="3" t="n"/>
      <c r="Y12" s="3" t="n"/>
      <c r="Z12" s="3" t="n"/>
    </row>
    <row r="13" hidden="1" ht="15" customHeight="1" s="174">
      <c r="A13" s="3">
        <f>'Historical Data'!A10</f>
        <v/>
      </c>
      <c r="B13" s="3">
        <f>'Historical Data'!B10</f>
        <v/>
      </c>
      <c r="C13" s="3">
        <f>'Historical Data'!D10</f>
        <v/>
      </c>
      <c r="D13" s="23">
        <f>'Historical Data'!E10</f>
        <v/>
      </c>
      <c r="E13" s="3">
        <f>'Historical Data'!G10</f>
        <v/>
      </c>
      <c r="F13" s="3">
        <f>'Historical Data'!Y10</f>
        <v/>
      </c>
      <c r="G13" s="3">
        <f>'Historical Data'!K10</f>
        <v/>
      </c>
      <c r="H13" s="3">
        <f>'Historical Data'!L10</f>
        <v/>
      </c>
      <c r="I13" s="26">
        <f>'Historical Data'!M10</f>
        <v/>
      </c>
      <c r="J13" s="28">
        <f>'Historical Data'!N10</f>
        <v/>
      </c>
      <c r="K13" s="28">
        <f>'Historical Data'!Q10</f>
        <v/>
      </c>
      <c r="L13" s="30">
        <f>'Historical Data'!S10</f>
        <v/>
      </c>
      <c r="M13" s="28">
        <f>'Historical Data'!AJ10</f>
        <v/>
      </c>
      <c r="N13" s="28">
        <f>'Historical Data'!AK10</f>
        <v/>
      </c>
      <c r="O13" s="3">
        <f>'Historical Data'!AA10</f>
        <v/>
      </c>
      <c r="P13" s="3">
        <f>'Historical Data'!AB10</f>
        <v/>
      </c>
      <c r="Q13" s="3">
        <f>'Historical Data'!AN10</f>
        <v/>
      </c>
      <c r="R13" s="3">
        <f>'Historical Data'!AC10</f>
        <v/>
      </c>
      <c r="S13" s="3">
        <f>'Historical Data'!AE10</f>
        <v/>
      </c>
      <c r="T13" s="3">
        <f>'Historical Data'!AH10</f>
        <v/>
      </c>
      <c r="U13" s="3">
        <f>'Historical Data'!BA10</f>
        <v/>
      </c>
      <c r="V13" s="3" t="n"/>
      <c r="W13" s="3" t="n"/>
      <c r="X13" s="3" t="n"/>
      <c r="Y13" s="3" t="n"/>
      <c r="Z13" s="3" t="n"/>
    </row>
    <row r="14" hidden="1" ht="15" customHeight="1" s="174">
      <c r="A14" s="3">
        <f>'Historical Data'!A11</f>
        <v/>
      </c>
      <c r="B14" s="3">
        <f>'Historical Data'!B11</f>
        <v/>
      </c>
      <c r="C14" s="3">
        <f>'Historical Data'!D11</f>
        <v/>
      </c>
      <c r="D14" s="23">
        <f>'Historical Data'!E11</f>
        <v/>
      </c>
      <c r="E14" s="3">
        <f>'Historical Data'!G11</f>
        <v/>
      </c>
      <c r="F14" s="3">
        <f>'Historical Data'!Y11</f>
        <v/>
      </c>
      <c r="G14" s="3">
        <f>'Historical Data'!K11</f>
        <v/>
      </c>
      <c r="H14" s="3">
        <f>'Historical Data'!L11</f>
        <v/>
      </c>
      <c r="I14" s="26">
        <f>'Historical Data'!M11</f>
        <v/>
      </c>
      <c r="J14" s="28">
        <f>'Historical Data'!N11</f>
        <v/>
      </c>
      <c r="K14" s="28">
        <f>'Historical Data'!Q11</f>
        <v/>
      </c>
      <c r="L14" s="30">
        <f>'Historical Data'!S11</f>
        <v/>
      </c>
      <c r="M14" s="28">
        <f>'Historical Data'!AJ11</f>
        <v/>
      </c>
      <c r="N14" s="28">
        <f>'Historical Data'!AK11</f>
        <v/>
      </c>
      <c r="O14" s="3">
        <f>'Historical Data'!AA11</f>
        <v/>
      </c>
      <c r="P14" s="3">
        <f>'Historical Data'!AB11</f>
        <v/>
      </c>
      <c r="Q14" s="3">
        <f>'Historical Data'!AN11</f>
        <v/>
      </c>
      <c r="R14" s="3">
        <f>'Historical Data'!AC11</f>
        <v/>
      </c>
      <c r="S14" s="3">
        <f>'Historical Data'!AE11</f>
        <v/>
      </c>
      <c r="T14" s="3">
        <f>'Historical Data'!AH11</f>
        <v/>
      </c>
      <c r="U14" s="3">
        <f>'Historical Data'!BA11</f>
        <v/>
      </c>
      <c r="V14" s="3" t="n"/>
      <c r="W14" s="3" t="n"/>
      <c r="X14" s="3" t="n"/>
      <c r="Y14" s="3" t="n"/>
      <c r="Z14" s="3" t="n"/>
    </row>
    <row r="15" hidden="1" ht="15" customHeight="1" s="174">
      <c r="A15" s="3">
        <f>'Historical Data'!A12</f>
        <v/>
      </c>
      <c r="B15" s="3">
        <f>'Historical Data'!B12</f>
        <v/>
      </c>
      <c r="C15" s="3">
        <f>'Historical Data'!D12</f>
        <v/>
      </c>
      <c r="D15" s="23">
        <f>'Historical Data'!E12</f>
        <v/>
      </c>
      <c r="E15" s="3">
        <f>'Historical Data'!G12</f>
        <v/>
      </c>
      <c r="F15" s="3">
        <f>'Historical Data'!Y12</f>
        <v/>
      </c>
      <c r="G15" s="3">
        <f>'Historical Data'!K12</f>
        <v/>
      </c>
      <c r="H15" s="3">
        <f>'Historical Data'!L12</f>
        <v/>
      </c>
      <c r="I15" s="26">
        <f>'Historical Data'!M12</f>
        <v/>
      </c>
      <c r="J15" s="28">
        <f>'Historical Data'!N12</f>
        <v/>
      </c>
      <c r="K15" s="28">
        <f>'Historical Data'!Q12</f>
        <v/>
      </c>
      <c r="L15" s="30">
        <f>'Historical Data'!S12</f>
        <v/>
      </c>
      <c r="M15" s="28">
        <f>'Historical Data'!AJ12</f>
        <v/>
      </c>
      <c r="N15" s="28">
        <f>'Historical Data'!AK12</f>
        <v/>
      </c>
      <c r="O15" s="3">
        <f>'Historical Data'!AA12</f>
        <v/>
      </c>
      <c r="P15" s="3">
        <f>'Historical Data'!AB12</f>
        <v/>
      </c>
      <c r="Q15" s="3">
        <f>'Historical Data'!AN12</f>
        <v/>
      </c>
      <c r="R15" s="3">
        <f>'Historical Data'!AC12</f>
        <v/>
      </c>
      <c r="S15" s="3">
        <f>'Historical Data'!AE12</f>
        <v/>
      </c>
      <c r="T15" s="3">
        <f>'Historical Data'!AH12</f>
        <v/>
      </c>
      <c r="U15" s="3">
        <f>'Historical Data'!BA12</f>
        <v/>
      </c>
      <c r="V15" s="3" t="n"/>
      <c r="W15" s="3" t="n"/>
      <c r="X15" s="3" t="n"/>
      <c r="Y15" s="3" t="n"/>
      <c r="Z15" s="3" t="n"/>
    </row>
    <row r="16" hidden="1" ht="15" customHeight="1" s="174">
      <c r="A16" s="3">
        <f>'Historical Data'!A13</f>
        <v/>
      </c>
      <c r="B16" s="3">
        <f>'Historical Data'!B13</f>
        <v/>
      </c>
      <c r="C16" s="3">
        <f>'Historical Data'!D13</f>
        <v/>
      </c>
      <c r="D16" s="23">
        <f>'Historical Data'!E13</f>
        <v/>
      </c>
      <c r="E16" s="3">
        <f>'Historical Data'!G13</f>
        <v/>
      </c>
      <c r="F16" s="3">
        <f>'Historical Data'!Y13</f>
        <v/>
      </c>
      <c r="G16" s="3">
        <f>'Historical Data'!K13</f>
        <v/>
      </c>
      <c r="H16" s="3">
        <f>'Historical Data'!L13</f>
        <v/>
      </c>
      <c r="I16" s="26">
        <f>'Historical Data'!M13</f>
        <v/>
      </c>
      <c r="J16" s="28">
        <f>'Historical Data'!N13</f>
        <v/>
      </c>
      <c r="K16" s="28">
        <f>'Historical Data'!Q13</f>
        <v/>
      </c>
      <c r="L16" s="30">
        <f>'Historical Data'!S13</f>
        <v/>
      </c>
      <c r="M16" s="28">
        <f>'Historical Data'!AJ13</f>
        <v/>
      </c>
      <c r="N16" s="28">
        <f>'Historical Data'!AK13</f>
        <v/>
      </c>
      <c r="O16" s="3">
        <f>'Historical Data'!AA13</f>
        <v/>
      </c>
      <c r="P16" s="3">
        <f>'Historical Data'!AB13</f>
        <v/>
      </c>
      <c r="Q16" s="3">
        <f>'Historical Data'!AN13</f>
        <v/>
      </c>
      <c r="R16" s="3">
        <f>'Historical Data'!AC13</f>
        <v/>
      </c>
      <c r="S16" s="3">
        <f>'Historical Data'!AE13</f>
        <v/>
      </c>
      <c r="T16" s="3">
        <f>'Historical Data'!AH13</f>
        <v/>
      </c>
      <c r="U16" s="3">
        <f>'Historical Data'!BA13</f>
        <v/>
      </c>
      <c r="V16" s="3" t="n"/>
      <c r="W16" s="3" t="n"/>
      <c r="X16" s="3" t="n"/>
      <c r="Y16" s="3" t="n"/>
      <c r="Z16" s="3" t="n"/>
    </row>
    <row r="17" hidden="1" ht="15" customHeight="1" s="174">
      <c r="A17" s="3">
        <f>'Historical Data'!A14</f>
        <v/>
      </c>
      <c r="B17" s="3">
        <f>'Historical Data'!B14</f>
        <v/>
      </c>
      <c r="C17" s="3">
        <f>'Historical Data'!D14</f>
        <v/>
      </c>
      <c r="D17" s="23">
        <f>'Historical Data'!E14</f>
        <v/>
      </c>
      <c r="E17" s="3">
        <f>'Historical Data'!G14</f>
        <v/>
      </c>
      <c r="F17" s="3">
        <f>'Historical Data'!Y14</f>
        <v/>
      </c>
      <c r="G17" s="3">
        <f>'Historical Data'!K14</f>
        <v/>
      </c>
      <c r="H17" s="3">
        <f>'Historical Data'!L14</f>
        <v/>
      </c>
      <c r="I17" s="26">
        <f>'Historical Data'!M14</f>
        <v/>
      </c>
      <c r="J17" s="28">
        <f>'Historical Data'!N14</f>
        <v/>
      </c>
      <c r="K17" s="28">
        <f>'Historical Data'!Q14</f>
        <v/>
      </c>
      <c r="L17" s="30">
        <f>'Historical Data'!S14</f>
        <v/>
      </c>
      <c r="M17" s="28">
        <f>'Historical Data'!AJ14</f>
        <v/>
      </c>
      <c r="N17" s="28">
        <f>'Historical Data'!AK14</f>
        <v/>
      </c>
      <c r="O17" s="3">
        <f>'Historical Data'!AA14</f>
        <v/>
      </c>
      <c r="P17" s="3">
        <f>'Historical Data'!AB14</f>
        <v/>
      </c>
      <c r="Q17" s="3">
        <f>'Historical Data'!AN14</f>
        <v/>
      </c>
      <c r="R17" s="3">
        <f>'Historical Data'!AC14</f>
        <v/>
      </c>
      <c r="S17" s="3">
        <f>'Historical Data'!AE14</f>
        <v/>
      </c>
      <c r="T17" s="3">
        <f>'Historical Data'!AH14</f>
        <v/>
      </c>
      <c r="U17" s="3">
        <f>'Historical Data'!BA14</f>
        <v/>
      </c>
      <c r="V17" s="3" t="n"/>
      <c r="W17" s="3" t="n"/>
      <c r="X17" s="3" t="n"/>
      <c r="Y17" s="3" t="n"/>
      <c r="Z17" s="3" t="n"/>
    </row>
    <row r="18" hidden="1" ht="15" customHeight="1" s="174">
      <c r="A18" s="3">
        <f>'Historical Data'!A15</f>
        <v/>
      </c>
      <c r="B18" s="3">
        <f>'Historical Data'!B15</f>
        <v/>
      </c>
      <c r="C18" s="3">
        <f>'Historical Data'!D15</f>
        <v/>
      </c>
      <c r="D18" s="23">
        <f>'Historical Data'!E15</f>
        <v/>
      </c>
      <c r="E18" s="3">
        <f>'Historical Data'!G15</f>
        <v/>
      </c>
      <c r="F18" s="3">
        <f>'Historical Data'!Y15</f>
        <v/>
      </c>
      <c r="G18" s="3">
        <f>'Historical Data'!K15</f>
        <v/>
      </c>
      <c r="H18" s="3">
        <f>'Historical Data'!L15</f>
        <v/>
      </c>
      <c r="I18" s="26">
        <f>'Historical Data'!M15</f>
        <v/>
      </c>
      <c r="J18" s="28">
        <f>'Historical Data'!N15</f>
        <v/>
      </c>
      <c r="K18" s="28">
        <f>'Historical Data'!Q15</f>
        <v/>
      </c>
      <c r="L18" s="30">
        <f>'Historical Data'!S15</f>
        <v/>
      </c>
      <c r="M18" s="28">
        <f>'Historical Data'!AJ15</f>
        <v/>
      </c>
      <c r="N18" s="28">
        <f>'Historical Data'!AK15</f>
        <v/>
      </c>
      <c r="O18" s="3">
        <f>'Historical Data'!AA15</f>
        <v/>
      </c>
      <c r="P18" s="3">
        <f>'Historical Data'!AB15</f>
        <v/>
      </c>
      <c r="Q18" s="3">
        <f>'Historical Data'!AN15</f>
        <v/>
      </c>
      <c r="R18" s="3">
        <f>'Historical Data'!AC15</f>
        <v/>
      </c>
      <c r="S18" s="3">
        <f>'Historical Data'!AE15</f>
        <v/>
      </c>
      <c r="T18" s="3">
        <f>'Historical Data'!AH15</f>
        <v/>
      </c>
      <c r="U18" s="3">
        <f>'Historical Data'!BA15</f>
        <v/>
      </c>
      <c r="V18" s="3" t="n"/>
      <c r="W18" s="3" t="n"/>
      <c r="X18" s="3" t="n"/>
      <c r="Y18" s="3" t="n"/>
      <c r="Z18" s="3" t="n"/>
    </row>
    <row r="19" hidden="1" ht="15" customHeight="1" s="174">
      <c r="A19" s="3">
        <f>'Historical Data'!A16</f>
        <v/>
      </c>
      <c r="B19" s="3">
        <f>'Historical Data'!B16</f>
        <v/>
      </c>
      <c r="C19" s="3">
        <f>'Historical Data'!D16</f>
        <v/>
      </c>
      <c r="D19" s="23">
        <f>'Historical Data'!E16</f>
        <v/>
      </c>
      <c r="E19" s="3">
        <f>'Historical Data'!G16</f>
        <v/>
      </c>
      <c r="F19" s="3">
        <f>'Historical Data'!Y16</f>
        <v/>
      </c>
      <c r="G19" s="3">
        <f>'Historical Data'!K16</f>
        <v/>
      </c>
      <c r="H19" s="3">
        <f>'Historical Data'!L16</f>
        <v/>
      </c>
      <c r="I19" s="26">
        <f>'Historical Data'!M16</f>
        <v/>
      </c>
      <c r="J19" s="28">
        <f>'Historical Data'!N16</f>
        <v/>
      </c>
      <c r="K19" s="28">
        <f>'Historical Data'!Q16</f>
        <v/>
      </c>
      <c r="L19" s="30">
        <f>'Historical Data'!S16</f>
        <v/>
      </c>
      <c r="M19" s="28">
        <f>'Historical Data'!AJ16</f>
        <v/>
      </c>
      <c r="N19" s="28">
        <f>'Historical Data'!AK16</f>
        <v/>
      </c>
      <c r="O19" s="3">
        <f>'Historical Data'!AA16</f>
        <v/>
      </c>
      <c r="P19" s="3">
        <f>'Historical Data'!AB16</f>
        <v/>
      </c>
      <c r="Q19" s="3">
        <f>'Historical Data'!AN16</f>
        <v/>
      </c>
      <c r="R19" s="3">
        <f>'Historical Data'!AC16</f>
        <v/>
      </c>
      <c r="S19" s="3">
        <f>'Historical Data'!AE16</f>
        <v/>
      </c>
      <c r="T19" s="3">
        <f>'Historical Data'!AH16</f>
        <v/>
      </c>
      <c r="U19" s="3">
        <f>'Historical Data'!BA16</f>
        <v/>
      </c>
      <c r="V19" s="3" t="n"/>
      <c r="W19" s="3" t="n"/>
      <c r="X19" s="3" t="n"/>
      <c r="Y19" s="3" t="n"/>
      <c r="Z19" s="3" t="n"/>
    </row>
    <row r="20" hidden="1" ht="15" customHeight="1" s="174">
      <c r="A20" s="3">
        <f>'Historical Data'!A17</f>
        <v/>
      </c>
      <c r="B20" s="3">
        <f>'Historical Data'!B17</f>
        <v/>
      </c>
      <c r="C20" s="3">
        <f>'Historical Data'!D17</f>
        <v/>
      </c>
      <c r="D20" s="23">
        <f>'Historical Data'!E17</f>
        <v/>
      </c>
      <c r="E20" s="3">
        <f>'Historical Data'!G17</f>
        <v/>
      </c>
      <c r="F20" s="3">
        <f>'Historical Data'!Y17</f>
        <v/>
      </c>
      <c r="G20" s="3">
        <f>'Historical Data'!K17</f>
        <v/>
      </c>
      <c r="H20" s="3">
        <f>'Historical Data'!L17</f>
        <v/>
      </c>
      <c r="I20" s="26">
        <f>'Historical Data'!M17</f>
        <v/>
      </c>
      <c r="J20" s="28">
        <f>'Historical Data'!N17</f>
        <v/>
      </c>
      <c r="K20" s="28">
        <f>'Historical Data'!Q17</f>
        <v/>
      </c>
      <c r="L20" s="30">
        <f>'Historical Data'!S17</f>
        <v/>
      </c>
      <c r="M20" s="28">
        <f>'Historical Data'!AJ17</f>
        <v/>
      </c>
      <c r="N20" s="28">
        <f>'Historical Data'!AK17</f>
        <v/>
      </c>
      <c r="O20" s="3">
        <f>'Historical Data'!AA17</f>
        <v/>
      </c>
      <c r="P20" s="3">
        <f>'Historical Data'!AB17</f>
        <v/>
      </c>
      <c r="Q20" s="3">
        <f>'Historical Data'!AN17</f>
        <v/>
      </c>
      <c r="R20" s="3">
        <f>'Historical Data'!AC17</f>
        <v/>
      </c>
      <c r="S20" s="3">
        <f>'Historical Data'!AE17</f>
        <v/>
      </c>
      <c r="T20" s="3">
        <f>'Historical Data'!AH17</f>
        <v/>
      </c>
      <c r="U20" s="3">
        <f>'Historical Data'!BA17</f>
        <v/>
      </c>
      <c r="V20" s="3" t="n"/>
      <c r="W20" s="3" t="n"/>
      <c r="X20" s="3" t="n"/>
      <c r="Y20" s="3" t="n"/>
      <c r="Z20" s="3" t="n"/>
    </row>
    <row r="21" hidden="1" ht="15.75" customHeight="1" s="174">
      <c r="A21" s="3">
        <f>'Historical Data'!A18</f>
        <v/>
      </c>
      <c r="B21" s="3">
        <f>'Historical Data'!B18</f>
        <v/>
      </c>
      <c r="C21" s="3">
        <f>'Historical Data'!D18</f>
        <v/>
      </c>
      <c r="D21" s="23">
        <f>'Historical Data'!E18</f>
        <v/>
      </c>
      <c r="E21" s="3">
        <f>'Historical Data'!G18</f>
        <v/>
      </c>
      <c r="F21" s="3">
        <f>'Historical Data'!Y18</f>
        <v/>
      </c>
      <c r="G21" s="3">
        <f>'Historical Data'!K18</f>
        <v/>
      </c>
      <c r="H21" s="3">
        <f>'Historical Data'!L18</f>
        <v/>
      </c>
      <c r="I21" s="26">
        <f>'Historical Data'!M18</f>
        <v/>
      </c>
      <c r="J21" s="28">
        <f>'Historical Data'!N18</f>
        <v/>
      </c>
      <c r="K21" s="28">
        <f>'Historical Data'!Q18</f>
        <v/>
      </c>
      <c r="L21" s="30">
        <f>'Historical Data'!S18</f>
        <v/>
      </c>
      <c r="M21" s="28">
        <f>'Historical Data'!AJ18</f>
        <v/>
      </c>
      <c r="N21" s="28">
        <f>'Historical Data'!AK18</f>
        <v/>
      </c>
      <c r="O21" s="3">
        <f>'Historical Data'!AA18</f>
        <v/>
      </c>
      <c r="P21" s="3">
        <f>'Historical Data'!AB18</f>
        <v/>
      </c>
      <c r="Q21" s="3">
        <f>'Historical Data'!AN18</f>
        <v/>
      </c>
      <c r="R21" s="3">
        <f>'Historical Data'!AC18</f>
        <v/>
      </c>
      <c r="S21" s="3">
        <f>'Historical Data'!AE18</f>
        <v/>
      </c>
      <c r="T21" s="3">
        <f>'Historical Data'!AH18</f>
        <v/>
      </c>
      <c r="U21" s="3">
        <f>'Historical Data'!BA18</f>
        <v/>
      </c>
      <c r="V21" s="3" t="n"/>
      <c r="W21" s="3" t="n"/>
      <c r="X21" s="3" t="n"/>
      <c r="Y21" s="3" t="n"/>
      <c r="Z21" s="3" t="n"/>
    </row>
    <row r="22" hidden="1" ht="15.75" customHeight="1" s="174">
      <c r="A22" s="3">
        <f>'Historical Data'!A19</f>
        <v/>
      </c>
      <c r="B22" s="3">
        <f>'Historical Data'!B19</f>
        <v/>
      </c>
      <c r="C22" s="3">
        <f>'Historical Data'!D19</f>
        <v/>
      </c>
      <c r="D22" s="23">
        <f>'Historical Data'!E19</f>
        <v/>
      </c>
      <c r="E22" s="3">
        <f>'Historical Data'!G19</f>
        <v/>
      </c>
      <c r="F22" s="3">
        <f>'Historical Data'!Y19</f>
        <v/>
      </c>
      <c r="G22" s="3">
        <f>'Historical Data'!K19</f>
        <v/>
      </c>
      <c r="H22" s="3">
        <f>'Historical Data'!L19</f>
        <v/>
      </c>
      <c r="I22" s="26">
        <f>'Historical Data'!M19</f>
        <v/>
      </c>
      <c r="J22" s="28">
        <f>'Historical Data'!N19</f>
        <v/>
      </c>
      <c r="K22" s="28">
        <f>'Historical Data'!Q19</f>
        <v/>
      </c>
      <c r="L22" s="30">
        <f>'Historical Data'!S19</f>
        <v/>
      </c>
      <c r="M22" s="28">
        <f>'Historical Data'!AJ19</f>
        <v/>
      </c>
      <c r="N22" s="28">
        <f>'Historical Data'!AK19</f>
        <v/>
      </c>
      <c r="O22" s="3">
        <f>'Historical Data'!AA19</f>
        <v/>
      </c>
      <c r="P22" s="3">
        <f>'Historical Data'!AB19</f>
        <v/>
      </c>
      <c r="Q22" s="3">
        <f>'Historical Data'!AN19</f>
        <v/>
      </c>
      <c r="R22" s="3">
        <f>'Historical Data'!AC19</f>
        <v/>
      </c>
      <c r="S22" s="3">
        <f>'Historical Data'!AE19</f>
        <v/>
      </c>
      <c r="T22" s="3">
        <f>'Historical Data'!AH19</f>
        <v/>
      </c>
      <c r="U22" s="3">
        <f>'Historical Data'!BA19</f>
        <v/>
      </c>
      <c r="V22" s="3" t="n"/>
      <c r="W22" s="3" t="n"/>
      <c r="X22" s="3" t="n"/>
      <c r="Y22" s="3" t="n"/>
      <c r="Z22" s="3" t="n"/>
    </row>
    <row r="23" hidden="1" ht="15.75" customHeight="1" s="174">
      <c r="A23" s="3">
        <f>'Historical Data'!A20</f>
        <v/>
      </c>
      <c r="B23" s="3">
        <f>'Historical Data'!B20</f>
        <v/>
      </c>
      <c r="C23" s="3">
        <f>'Historical Data'!D20</f>
        <v/>
      </c>
      <c r="D23" s="23">
        <f>'Historical Data'!E20</f>
        <v/>
      </c>
      <c r="E23" s="3">
        <f>'Historical Data'!G20</f>
        <v/>
      </c>
      <c r="F23" s="3">
        <f>'Historical Data'!Y20</f>
        <v/>
      </c>
      <c r="G23" s="3">
        <f>'Historical Data'!K20</f>
        <v/>
      </c>
      <c r="H23" s="3">
        <f>'Historical Data'!L20</f>
        <v/>
      </c>
      <c r="I23" s="26">
        <f>'Historical Data'!M20</f>
        <v/>
      </c>
      <c r="J23" s="28">
        <f>'Historical Data'!N20</f>
        <v/>
      </c>
      <c r="K23" s="28">
        <f>'Historical Data'!Q20</f>
        <v/>
      </c>
      <c r="L23" s="30">
        <f>'Historical Data'!S20</f>
        <v/>
      </c>
      <c r="M23" s="28">
        <f>'Historical Data'!AJ20</f>
        <v/>
      </c>
      <c r="N23" s="28">
        <f>'Historical Data'!AK20</f>
        <v/>
      </c>
      <c r="O23" s="3">
        <f>'Historical Data'!AA20</f>
        <v/>
      </c>
      <c r="P23" s="3">
        <f>'Historical Data'!AB20</f>
        <v/>
      </c>
      <c r="Q23" s="3">
        <f>'Historical Data'!AN20</f>
        <v/>
      </c>
      <c r="R23" s="3">
        <f>'Historical Data'!AC20</f>
        <v/>
      </c>
      <c r="S23" s="3">
        <f>'Historical Data'!AE20</f>
        <v/>
      </c>
      <c r="T23" s="3">
        <f>'Historical Data'!AH20</f>
        <v/>
      </c>
      <c r="U23" s="3">
        <f>'Historical Data'!BA20</f>
        <v/>
      </c>
      <c r="V23" s="3" t="n"/>
      <c r="W23" s="3" t="n"/>
      <c r="X23" s="3" t="n"/>
      <c r="Y23" s="3" t="n"/>
      <c r="Z23" s="3" t="n"/>
    </row>
    <row r="24" hidden="1" ht="15.75" customHeight="1" s="174">
      <c r="A24" s="3">
        <f>'Historical Data'!A21</f>
        <v/>
      </c>
      <c r="B24" s="3">
        <f>'Historical Data'!B21</f>
        <v/>
      </c>
      <c r="C24" s="3">
        <f>'Historical Data'!D21</f>
        <v/>
      </c>
      <c r="D24" s="23">
        <f>'Historical Data'!E21</f>
        <v/>
      </c>
      <c r="E24" s="3">
        <f>'Historical Data'!G21</f>
        <v/>
      </c>
      <c r="F24" s="3">
        <f>'Historical Data'!Y21</f>
        <v/>
      </c>
      <c r="G24" s="3">
        <f>'Historical Data'!K21</f>
        <v/>
      </c>
      <c r="H24" s="3">
        <f>'Historical Data'!L21</f>
        <v/>
      </c>
      <c r="I24" s="26">
        <f>'Historical Data'!M21</f>
        <v/>
      </c>
      <c r="J24" s="28">
        <f>'Historical Data'!N21</f>
        <v/>
      </c>
      <c r="K24" s="28">
        <f>'Historical Data'!Q21</f>
        <v/>
      </c>
      <c r="L24" s="30">
        <f>'Historical Data'!S21</f>
        <v/>
      </c>
      <c r="M24" s="28">
        <f>'Historical Data'!AJ21</f>
        <v/>
      </c>
      <c r="N24" s="28">
        <f>'Historical Data'!AK21</f>
        <v/>
      </c>
      <c r="O24" s="3">
        <f>'Historical Data'!AA21</f>
        <v/>
      </c>
      <c r="P24" s="3">
        <f>'Historical Data'!AB21</f>
        <v/>
      </c>
      <c r="Q24" s="3">
        <f>'Historical Data'!AN21</f>
        <v/>
      </c>
      <c r="R24" s="3">
        <f>'Historical Data'!AC21</f>
        <v/>
      </c>
      <c r="S24" s="3">
        <f>'Historical Data'!AE21</f>
        <v/>
      </c>
      <c r="T24" s="3">
        <f>'Historical Data'!AH21</f>
        <v/>
      </c>
      <c r="U24" s="3">
        <f>'Historical Data'!BA21</f>
        <v/>
      </c>
      <c r="V24" s="3" t="n"/>
      <c r="W24" s="3" t="n"/>
      <c r="X24" s="3" t="n"/>
      <c r="Y24" s="3" t="n"/>
      <c r="Z24" s="3" t="n"/>
    </row>
    <row r="25" hidden="1" ht="15.75" customHeight="1" s="174">
      <c r="A25" s="3">
        <f>'Historical Data'!A22</f>
        <v/>
      </c>
      <c r="B25" s="3">
        <f>'Historical Data'!B22</f>
        <v/>
      </c>
      <c r="C25" s="3">
        <f>'Historical Data'!D22</f>
        <v/>
      </c>
      <c r="D25" s="23">
        <f>'Historical Data'!E22</f>
        <v/>
      </c>
      <c r="E25" s="3">
        <f>'Historical Data'!G22</f>
        <v/>
      </c>
      <c r="F25" s="3">
        <f>'Historical Data'!Y22</f>
        <v/>
      </c>
      <c r="G25" s="3">
        <f>'Historical Data'!K22</f>
        <v/>
      </c>
      <c r="H25" s="3">
        <f>'Historical Data'!L22</f>
        <v/>
      </c>
      <c r="I25" s="26">
        <f>'Historical Data'!M22</f>
        <v/>
      </c>
      <c r="J25" s="28">
        <f>'Historical Data'!N22</f>
        <v/>
      </c>
      <c r="K25" s="28">
        <f>'Historical Data'!Q22</f>
        <v/>
      </c>
      <c r="L25" s="30">
        <f>'Historical Data'!S22</f>
        <v/>
      </c>
      <c r="M25" s="28">
        <f>'Historical Data'!AJ22</f>
        <v/>
      </c>
      <c r="N25" s="28">
        <f>'Historical Data'!AK22</f>
        <v/>
      </c>
      <c r="O25" s="3">
        <f>'Historical Data'!AA22</f>
        <v/>
      </c>
      <c r="P25" s="3">
        <f>'Historical Data'!AB22</f>
        <v/>
      </c>
      <c r="Q25" s="3">
        <f>'Historical Data'!AN22</f>
        <v/>
      </c>
      <c r="R25" s="3">
        <f>'Historical Data'!AC22</f>
        <v/>
      </c>
      <c r="S25" s="3">
        <f>'Historical Data'!AE22</f>
        <v/>
      </c>
      <c r="T25" s="3">
        <f>'Historical Data'!AH22</f>
        <v/>
      </c>
      <c r="U25" s="3">
        <f>'Historical Data'!BA22</f>
        <v/>
      </c>
      <c r="V25" s="3" t="n"/>
      <c r="W25" s="3" t="n"/>
      <c r="X25" s="3" t="n"/>
      <c r="Y25" s="3" t="n"/>
      <c r="Z25" s="3" t="n"/>
    </row>
    <row r="26" hidden="1" ht="15.75" customHeight="1" s="174">
      <c r="A26" s="3">
        <f>'Historical Data'!A23</f>
        <v/>
      </c>
      <c r="B26" s="3">
        <f>'Historical Data'!B23</f>
        <v/>
      </c>
      <c r="C26" s="3">
        <f>'Historical Data'!D23</f>
        <v/>
      </c>
      <c r="D26" s="23">
        <f>'Historical Data'!E23</f>
        <v/>
      </c>
      <c r="E26" s="3">
        <f>'Historical Data'!G23</f>
        <v/>
      </c>
      <c r="F26" s="3">
        <f>'Historical Data'!Y23</f>
        <v/>
      </c>
      <c r="G26" s="3">
        <f>'Historical Data'!K23</f>
        <v/>
      </c>
      <c r="H26" s="3">
        <f>'Historical Data'!L23</f>
        <v/>
      </c>
      <c r="I26" s="26">
        <f>'Historical Data'!M23</f>
        <v/>
      </c>
      <c r="J26" s="28">
        <f>'Historical Data'!N23</f>
        <v/>
      </c>
      <c r="K26" s="28">
        <f>'Historical Data'!Q23</f>
        <v/>
      </c>
      <c r="L26" s="30">
        <f>'Historical Data'!S23</f>
        <v/>
      </c>
      <c r="M26" s="28">
        <f>'Historical Data'!AJ23</f>
        <v/>
      </c>
      <c r="N26" s="28">
        <f>'Historical Data'!AK23</f>
        <v/>
      </c>
      <c r="O26" s="3">
        <f>'Historical Data'!AA23</f>
        <v/>
      </c>
      <c r="P26" s="3">
        <f>'Historical Data'!AB23</f>
        <v/>
      </c>
      <c r="Q26" s="3">
        <f>'Historical Data'!AN23</f>
        <v/>
      </c>
      <c r="R26" s="3">
        <f>'Historical Data'!AC23</f>
        <v/>
      </c>
      <c r="S26" s="3">
        <f>'Historical Data'!AE23</f>
        <v/>
      </c>
      <c r="T26" s="3">
        <f>'Historical Data'!AH23</f>
        <v/>
      </c>
      <c r="U26" s="3">
        <f>'Historical Data'!BA23</f>
        <v/>
      </c>
      <c r="V26" s="3" t="n"/>
      <c r="W26" s="3" t="n"/>
      <c r="X26" s="3" t="n"/>
      <c r="Y26" s="3" t="n"/>
      <c r="Z26" s="3" t="n"/>
    </row>
    <row r="27" hidden="1" ht="15.75" customHeight="1" s="174">
      <c r="A27" s="3">
        <f>'Historical Data'!A24</f>
        <v/>
      </c>
      <c r="B27" s="3">
        <f>'Historical Data'!B24</f>
        <v/>
      </c>
      <c r="C27" s="3">
        <f>'Historical Data'!D24</f>
        <v/>
      </c>
      <c r="D27" s="23">
        <f>'Historical Data'!E24</f>
        <v/>
      </c>
      <c r="E27" s="3">
        <f>'Historical Data'!G24</f>
        <v/>
      </c>
      <c r="F27" s="3">
        <f>'Historical Data'!Y24</f>
        <v/>
      </c>
      <c r="G27" s="3">
        <f>'Historical Data'!K24</f>
        <v/>
      </c>
      <c r="H27" s="3">
        <f>'Historical Data'!L24</f>
        <v/>
      </c>
      <c r="I27" s="26">
        <f>'Historical Data'!M24</f>
        <v/>
      </c>
      <c r="J27" s="28">
        <f>'Historical Data'!N24</f>
        <v/>
      </c>
      <c r="K27" s="28">
        <f>'Historical Data'!Q24</f>
        <v/>
      </c>
      <c r="L27" s="30">
        <f>'Historical Data'!S24</f>
        <v/>
      </c>
      <c r="M27" s="28">
        <f>'Historical Data'!AJ24</f>
        <v/>
      </c>
      <c r="N27" s="28">
        <f>'Historical Data'!AK24</f>
        <v/>
      </c>
      <c r="O27" s="3">
        <f>'Historical Data'!AA24</f>
        <v/>
      </c>
      <c r="P27" s="3">
        <f>'Historical Data'!AB24</f>
        <v/>
      </c>
      <c r="Q27" s="3">
        <f>'Historical Data'!AN24</f>
        <v/>
      </c>
      <c r="R27" s="3">
        <f>'Historical Data'!AC24</f>
        <v/>
      </c>
      <c r="S27" s="3">
        <f>'Historical Data'!AE24</f>
        <v/>
      </c>
      <c r="T27" s="3">
        <f>'Historical Data'!AH24</f>
        <v/>
      </c>
      <c r="U27" s="3">
        <f>'Historical Data'!BA24</f>
        <v/>
      </c>
      <c r="V27" s="3" t="n"/>
      <c r="W27" s="3" t="n"/>
      <c r="X27" s="3" t="n"/>
      <c r="Y27" s="3" t="n"/>
      <c r="Z27" s="3" t="n"/>
    </row>
    <row r="28" hidden="1" ht="15.75" customHeight="1" s="174">
      <c r="A28" s="3">
        <f>'Historical Data'!A25</f>
        <v/>
      </c>
      <c r="B28" s="3">
        <f>'Historical Data'!B25</f>
        <v/>
      </c>
      <c r="C28" s="3">
        <f>'Historical Data'!D25</f>
        <v/>
      </c>
      <c r="D28" s="23">
        <f>'Historical Data'!E25</f>
        <v/>
      </c>
      <c r="E28" s="3">
        <f>'Historical Data'!G25</f>
        <v/>
      </c>
      <c r="F28" s="3">
        <f>'Historical Data'!Y25</f>
        <v/>
      </c>
      <c r="G28" s="3">
        <f>'Historical Data'!K25</f>
        <v/>
      </c>
      <c r="H28" s="3">
        <f>'Historical Data'!L25</f>
        <v/>
      </c>
      <c r="I28" s="26">
        <f>'Historical Data'!M25</f>
        <v/>
      </c>
      <c r="J28" s="28">
        <f>'Historical Data'!N25</f>
        <v/>
      </c>
      <c r="K28" s="28">
        <f>'Historical Data'!Q25</f>
        <v/>
      </c>
      <c r="L28" s="30">
        <f>'Historical Data'!S25</f>
        <v/>
      </c>
      <c r="M28" s="28">
        <f>'Historical Data'!AJ25</f>
        <v/>
      </c>
      <c r="N28" s="28">
        <f>'Historical Data'!AK25</f>
        <v/>
      </c>
      <c r="O28" s="3">
        <f>'Historical Data'!AA25</f>
        <v/>
      </c>
      <c r="P28" s="3">
        <f>'Historical Data'!AB25</f>
        <v/>
      </c>
      <c r="Q28" s="3">
        <f>'Historical Data'!AN25</f>
        <v/>
      </c>
      <c r="R28" s="3">
        <f>'Historical Data'!AC25</f>
        <v/>
      </c>
      <c r="S28" s="3">
        <f>'Historical Data'!AE25</f>
        <v/>
      </c>
      <c r="T28" s="3">
        <f>'Historical Data'!AH25</f>
        <v/>
      </c>
      <c r="U28" s="3">
        <f>'Historical Data'!BA25</f>
        <v/>
      </c>
      <c r="V28" s="3" t="n"/>
      <c r="W28" s="3" t="n"/>
      <c r="X28" s="3" t="n"/>
      <c r="Y28" s="3" t="n"/>
      <c r="Z28" s="3" t="n"/>
    </row>
    <row r="29" hidden="1" ht="15.75" customHeight="1" s="174">
      <c r="A29" s="3">
        <f>'Historical Data'!A26</f>
        <v/>
      </c>
      <c r="B29" s="3">
        <f>'Historical Data'!B26</f>
        <v/>
      </c>
      <c r="C29" s="3">
        <f>'Historical Data'!D26</f>
        <v/>
      </c>
      <c r="D29" s="23">
        <f>'Historical Data'!E26</f>
        <v/>
      </c>
      <c r="E29" s="3">
        <f>'Historical Data'!G26</f>
        <v/>
      </c>
      <c r="F29" s="3">
        <f>'Historical Data'!Y26</f>
        <v/>
      </c>
      <c r="G29" s="3">
        <f>'Historical Data'!K26</f>
        <v/>
      </c>
      <c r="H29" s="3">
        <f>'Historical Data'!L26</f>
        <v/>
      </c>
      <c r="I29" s="26">
        <f>'Historical Data'!M26</f>
        <v/>
      </c>
      <c r="J29" s="28">
        <f>'Historical Data'!N26</f>
        <v/>
      </c>
      <c r="K29" s="28">
        <f>'Historical Data'!Q26</f>
        <v/>
      </c>
      <c r="L29" s="30">
        <f>'Historical Data'!S26</f>
        <v/>
      </c>
      <c r="M29" s="28">
        <f>'Historical Data'!AJ26</f>
        <v/>
      </c>
      <c r="N29" s="28">
        <f>'Historical Data'!AK26</f>
        <v/>
      </c>
      <c r="O29" s="3">
        <f>'Historical Data'!AA26</f>
        <v/>
      </c>
      <c r="P29" s="3">
        <f>'Historical Data'!AB26</f>
        <v/>
      </c>
      <c r="Q29" s="3">
        <f>'Historical Data'!AN26</f>
        <v/>
      </c>
      <c r="R29" s="3">
        <f>'Historical Data'!AC26</f>
        <v/>
      </c>
      <c r="S29" s="3">
        <f>'Historical Data'!AE26</f>
        <v/>
      </c>
      <c r="T29" s="3">
        <f>'Historical Data'!AH26</f>
        <v/>
      </c>
      <c r="U29" s="3">
        <f>'Historical Data'!BA26</f>
        <v/>
      </c>
      <c r="V29" s="3" t="n"/>
      <c r="W29" s="3" t="n"/>
      <c r="X29" s="3" t="n"/>
      <c r="Y29" s="3" t="n"/>
      <c r="Z29" s="3" t="n"/>
    </row>
    <row r="30" hidden="1" ht="15.75" customHeight="1" s="174">
      <c r="A30" s="3">
        <f>'Historical Data'!A27</f>
        <v/>
      </c>
      <c r="B30" s="3">
        <f>'Historical Data'!B27</f>
        <v/>
      </c>
      <c r="C30" s="3">
        <f>'Historical Data'!D27</f>
        <v/>
      </c>
      <c r="D30" s="23">
        <f>'Historical Data'!E27</f>
        <v/>
      </c>
      <c r="E30" s="3">
        <f>'Historical Data'!G27</f>
        <v/>
      </c>
      <c r="F30" s="3">
        <f>'Historical Data'!Y27</f>
        <v/>
      </c>
      <c r="G30" s="3">
        <f>'Historical Data'!K27</f>
        <v/>
      </c>
      <c r="H30" s="3">
        <f>'Historical Data'!L27</f>
        <v/>
      </c>
      <c r="I30" s="26">
        <f>'Historical Data'!M27</f>
        <v/>
      </c>
      <c r="J30" s="28">
        <f>'Historical Data'!N27</f>
        <v/>
      </c>
      <c r="K30" s="28">
        <f>'Historical Data'!Q27</f>
        <v/>
      </c>
      <c r="L30" s="30">
        <f>'Historical Data'!S27</f>
        <v/>
      </c>
      <c r="M30" s="28">
        <f>'Historical Data'!AJ27</f>
        <v/>
      </c>
      <c r="N30" s="28">
        <f>'Historical Data'!AK27</f>
        <v/>
      </c>
      <c r="O30" s="3">
        <f>'Historical Data'!AA27</f>
        <v/>
      </c>
      <c r="P30" s="3">
        <f>'Historical Data'!AB27</f>
        <v/>
      </c>
      <c r="Q30" s="3">
        <f>'Historical Data'!AN27</f>
        <v/>
      </c>
      <c r="R30" s="3">
        <f>'Historical Data'!AC27</f>
        <v/>
      </c>
      <c r="S30" s="3">
        <f>'Historical Data'!AE27</f>
        <v/>
      </c>
      <c r="T30" s="3">
        <f>'Historical Data'!AH27</f>
        <v/>
      </c>
      <c r="U30" s="3">
        <f>'Historical Data'!BA27</f>
        <v/>
      </c>
      <c r="V30" s="3" t="n"/>
      <c r="W30" s="3" t="n"/>
      <c r="X30" s="3" t="n"/>
      <c r="Y30" s="3" t="n"/>
      <c r="Z30" s="3" t="n"/>
    </row>
    <row r="31" hidden="1" ht="15.75" customHeight="1" s="174">
      <c r="A31" s="3">
        <f>'Historical Data'!A28</f>
        <v/>
      </c>
      <c r="B31" s="3">
        <f>'Historical Data'!B28</f>
        <v/>
      </c>
      <c r="C31" s="3">
        <f>'Historical Data'!D28</f>
        <v/>
      </c>
      <c r="D31" s="23">
        <f>'Historical Data'!E28</f>
        <v/>
      </c>
      <c r="E31" s="3">
        <f>'Historical Data'!G28</f>
        <v/>
      </c>
      <c r="F31" s="3">
        <f>'Historical Data'!Y28</f>
        <v/>
      </c>
      <c r="G31" s="3">
        <f>'Historical Data'!K28</f>
        <v/>
      </c>
      <c r="H31" s="3">
        <f>'Historical Data'!L28</f>
        <v/>
      </c>
      <c r="I31" s="26">
        <f>'Historical Data'!M28</f>
        <v/>
      </c>
      <c r="J31" s="28">
        <f>'Historical Data'!N28</f>
        <v/>
      </c>
      <c r="K31" s="28">
        <f>'Historical Data'!Q28</f>
        <v/>
      </c>
      <c r="L31" s="30">
        <f>'Historical Data'!S28</f>
        <v/>
      </c>
      <c r="M31" s="28">
        <f>'Historical Data'!AJ28</f>
        <v/>
      </c>
      <c r="N31" s="28">
        <f>'Historical Data'!AK28</f>
        <v/>
      </c>
      <c r="O31" s="3">
        <f>'Historical Data'!AA28</f>
        <v/>
      </c>
      <c r="P31" s="3">
        <f>'Historical Data'!AB28</f>
        <v/>
      </c>
      <c r="Q31" s="3">
        <f>'Historical Data'!AN28</f>
        <v/>
      </c>
      <c r="R31" s="3">
        <f>'Historical Data'!AC28</f>
        <v/>
      </c>
      <c r="S31" s="3">
        <f>'Historical Data'!AE28</f>
        <v/>
      </c>
      <c r="T31" s="3">
        <f>'Historical Data'!AH28</f>
        <v/>
      </c>
      <c r="U31" s="3">
        <f>'Historical Data'!BA28</f>
        <v/>
      </c>
      <c r="V31" s="3" t="n"/>
      <c r="W31" s="3" t="n"/>
      <c r="X31" s="3" t="n"/>
      <c r="Y31" s="3" t="n"/>
      <c r="Z31" s="3" t="n"/>
    </row>
    <row r="32" hidden="1" ht="15.75" customHeight="1" s="174">
      <c r="A32" s="3">
        <f>'Historical Data'!A29</f>
        <v/>
      </c>
      <c r="B32" s="3">
        <f>'Historical Data'!B29</f>
        <v/>
      </c>
      <c r="C32" s="3">
        <f>'Historical Data'!D29</f>
        <v/>
      </c>
      <c r="D32" s="23">
        <f>'Historical Data'!E29</f>
        <v/>
      </c>
      <c r="E32" s="3">
        <f>'Historical Data'!G29</f>
        <v/>
      </c>
      <c r="F32" s="3">
        <f>'Historical Data'!Y29</f>
        <v/>
      </c>
      <c r="G32" s="3">
        <f>'Historical Data'!K29</f>
        <v/>
      </c>
      <c r="H32" s="3">
        <f>'Historical Data'!L29</f>
        <v/>
      </c>
      <c r="I32" s="26">
        <f>'Historical Data'!M29</f>
        <v/>
      </c>
      <c r="J32" s="28">
        <f>'Historical Data'!N29</f>
        <v/>
      </c>
      <c r="K32" s="28">
        <f>'Historical Data'!Q29</f>
        <v/>
      </c>
      <c r="L32" s="30">
        <f>'Historical Data'!S29</f>
        <v/>
      </c>
      <c r="M32" s="28">
        <f>'Historical Data'!AJ29</f>
        <v/>
      </c>
      <c r="N32" s="28">
        <f>'Historical Data'!AK29</f>
        <v/>
      </c>
      <c r="O32" s="3">
        <f>'Historical Data'!AA29</f>
        <v/>
      </c>
      <c r="P32" s="3">
        <f>'Historical Data'!AB29</f>
        <v/>
      </c>
      <c r="Q32" s="3">
        <f>'Historical Data'!AN29</f>
        <v/>
      </c>
      <c r="R32" s="3">
        <f>'Historical Data'!AC29</f>
        <v/>
      </c>
      <c r="S32" s="3">
        <f>'Historical Data'!AE29</f>
        <v/>
      </c>
      <c r="T32" s="3">
        <f>'Historical Data'!AH29</f>
        <v/>
      </c>
      <c r="U32" s="3">
        <f>'Historical Data'!BA29</f>
        <v/>
      </c>
      <c r="V32" s="3" t="n"/>
      <c r="W32" s="3" t="n"/>
      <c r="X32" s="3" t="n"/>
      <c r="Y32" s="3" t="n"/>
      <c r="Z32" s="3" t="n"/>
    </row>
    <row r="33" hidden="1" ht="15.75" customHeight="1" s="174">
      <c r="A33" s="3">
        <f>'Historical Data'!A30</f>
        <v/>
      </c>
      <c r="B33" s="3">
        <f>'Historical Data'!B30</f>
        <v/>
      </c>
      <c r="C33" s="3">
        <f>'Historical Data'!D30</f>
        <v/>
      </c>
      <c r="D33" s="23">
        <f>'Historical Data'!E30</f>
        <v/>
      </c>
      <c r="E33" s="3">
        <f>'Historical Data'!G30</f>
        <v/>
      </c>
      <c r="F33" s="3">
        <f>'Historical Data'!Y30</f>
        <v/>
      </c>
      <c r="G33" s="3">
        <f>'Historical Data'!K30</f>
        <v/>
      </c>
      <c r="H33" s="3">
        <f>'Historical Data'!L30</f>
        <v/>
      </c>
      <c r="I33" s="26">
        <f>'Historical Data'!M30</f>
        <v/>
      </c>
      <c r="J33" s="28">
        <f>'Historical Data'!N30</f>
        <v/>
      </c>
      <c r="K33" s="28">
        <f>'Historical Data'!Q30</f>
        <v/>
      </c>
      <c r="L33" s="30">
        <f>'Historical Data'!S30</f>
        <v/>
      </c>
      <c r="M33" s="28">
        <f>'Historical Data'!AJ30</f>
        <v/>
      </c>
      <c r="N33" s="28">
        <f>'Historical Data'!AK30</f>
        <v/>
      </c>
      <c r="O33" s="3">
        <f>'Historical Data'!AA30</f>
        <v/>
      </c>
      <c r="P33" s="3">
        <f>'Historical Data'!AB30</f>
        <v/>
      </c>
      <c r="Q33" s="3">
        <f>'Historical Data'!AN30</f>
        <v/>
      </c>
      <c r="R33" s="3">
        <f>'Historical Data'!AC30</f>
        <v/>
      </c>
      <c r="S33" s="3">
        <f>'Historical Data'!AE30</f>
        <v/>
      </c>
      <c r="T33" s="3">
        <f>'Historical Data'!AH30</f>
        <v/>
      </c>
      <c r="U33" s="3">
        <f>'Historical Data'!BA30</f>
        <v/>
      </c>
      <c r="V33" s="3" t="n"/>
      <c r="W33" s="3" t="n"/>
      <c r="X33" s="3" t="n"/>
      <c r="Y33" s="3" t="n"/>
      <c r="Z33" s="3" t="n"/>
    </row>
    <row r="34" hidden="1" ht="15.75" customHeight="1" s="174">
      <c r="A34" s="3">
        <f>'Historical Data'!A31</f>
        <v/>
      </c>
      <c r="B34" s="3">
        <f>'Historical Data'!B31</f>
        <v/>
      </c>
      <c r="C34" s="3">
        <f>'Historical Data'!D31</f>
        <v/>
      </c>
      <c r="D34" s="23">
        <f>'Historical Data'!E31</f>
        <v/>
      </c>
      <c r="E34" s="3">
        <f>'Historical Data'!G31</f>
        <v/>
      </c>
      <c r="F34" s="3">
        <f>'Historical Data'!Y31</f>
        <v/>
      </c>
      <c r="G34" s="3">
        <f>'Historical Data'!K31</f>
        <v/>
      </c>
      <c r="H34" s="3">
        <f>'Historical Data'!L31</f>
        <v/>
      </c>
      <c r="I34" s="26">
        <f>'Historical Data'!M31</f>
        <v/>
      </c>
      <c r="J34" s="28">
        <f>'Historical Data'!N31</f>
        <v/>
      </c>
      <c r="K34" s="28">
        <f>'Historical Data'!Q31</f>
        <v/>
      </c>
      <c r="L34" s="30">
        <f>'Historical Data'!S31</f>
        <v/>
      </c>
      <c r="M34" s="28">
        <f>'Historical Data'!AJ31</f>
        <v/>
      </c>
      <c r="N34" s="28">
        <f>'Historical Data'!AK31</f>
        <v/>
      </c>
      <c r="O34" s="3">
        <f>'Historical Data'!AA31</f>
        <v/>
      </c>
      <c r="P34" s="3">
        <f>'Historical Data'!AB31</f>
        <v/>
      </c>
      <c r="Q34" s="3">
        <f>'Historical Data'!AN31</f>
        <v/>
      </c>
      <c r="R34" s="3">
        <f>'Historical Data'!AC31</f>
        <v/>
      </c>
      <c r="S34" s="3">
        <f>'Historical Data'!AE31</f>
        <v/>
      </c>
      <c r="T34" s="3">
        <f>'Historical Data'!AH31</f>
        <v/>
      </c>
      <c r="U34" s="3">
        <f>'Historical Data'!BA31</f>
        <v/>
      </c>
      <c r="V34" s="3" t="n"/>
      <c r="W34" s="3" t="n"/>
      <c r="X34" s="3" t="n"/>
      <c r="Y34" s="3" t="n"/>
      <c r="Z34" s="3" t="n"/>
    </row>
    <row r="35" hidden="1" ht="15.75" customHeight="1" s="174">
      <c r="A35" s="3">
        <f>'Historical Data'!A32</f>
        <v/>
      </c>
      <c r="B35" s="3">
        <f>'Historical Data'!B32</f>
        <v/>
      </c>
      <c r="C35" s="3">
        <f>'Historical Data'!D32</f>
        <v/>
      </c>
      <c r="D35" s="23">
        <f>'Historical Data'!E32</f>
        <v/>
      </c>
      <c r="E35" s="3">
        <f>'Historical Data'!G32</f>
        <v/>
      </c>
      <c r="F35" s="3">
        <f>'Historical Data'!Y32</f>
        <v/>
      </c>
      <c r="G35" s="3">
        <f>'Historical Data'!K32</f>
        <v/>
      </c>
      <c r="H35" s="3">
        <f>'Historical Data'!L32</f>
        <v/>
      </c>
      <c r="I35" s="26">
        <f>'Historical Data'!M32</f>
        <v/>
      </c>
      <c r="J35" s="28">
        <f>'Historical Data'!N32</f>
        <v/>
      </c>
      <c r="K35" s="28">
        <f>'Historical Data'!Q32</f>
        <v/>
      </c>
      <c r="L35" s="30">
        <f>'Historical Data'!S32</f>
        <v/>
      </c>
      <c r="M35" s="28">
        <f>'Historical Data'!AJ32</f>
        <v/>
      </c>
      <c r="N35" s="28">
        <f>'Historical Data'!AK32</f>
        <v/>
      </c>
      <c r="O35" s="3">
        <f>'Historical Data'!AA32</f>
        <v/>
      </c>
      <c r="P35" s="3">
        <f>'Historical Data'!AB32</f>
        <v/>
      </c>
      <c r="Q35" s="3">
        <f>'Historical Data'!AN32</f>
        <v/>
      </c>
      <c r="R35" s="3">
        <f>'Historical Data'!AC32</f>
        <v/>
      </c>
      <c r="S35" s="3">
        <f>'Historical Data'!AE32</f>
        <v/>
      </c>
      <c r="T35" s="3">
        <f>'Historical Data'!AH32</f>
        <v/>
      </c>
      <c r="U35" s="3">
        <f>'Historical Data'!BA32</f>
        <v/>
      </c>
      <c r="V35" s="3" t="n"/>
      <c r="W35" s="3" t="n"/>
      <c r="X35" s="3" t="n"/>
      <c r="Y35" s="3" t="n"/>
      <c r="Z35" s="3" t="n"/>
    </row>
    <row r="36" hidden="1" ht="15.75" customHeight="1" s="174">
      <c r="A36" s="3">
        <f>'Historical Data'!A33</f>
        <v/>
      </c>
      <c r="B36" s="3">
        <f>'Historical Data'!B33</f>
        <v/>
      </c>
      <c r="C36" s="3">
        <f>'Historical Data'!D33</f>
        <v/>
      </c>
      <c r="D36" s="23">
        <f>'Historical Data'!E33</f>
        <v/>
      </c>
      <c r="E36" s="3">
        <f>'Historical Data'!G33</f>
        <v/>
      </c>
      <c r="F36" s="3">
        <f>'Historical Data'!Y33</f>
        <v/>
      </c>
      <c r="G36" s="3">
        <f>'Historical Data'!K33</f>
        <v/>
      </c>
      <c r="H36" s="3">
        <f>'Historical Data'!L33</f>
        <v/>
      </c>
      <c r="I36" s="26">
        <f>'Historical Data'!M33</f>
        <v/>
      </c>
      <c r="J36" s="28">
        <f>'Historical Data'!N33</f>
        <v/>
      </c>
      <c r="K36" s="28">
        <f>'Historical Data'!Q33</f>
        <v/>
      </c>
      <c r="L36" s="30">
        <f>'Historical Data'!S33</f>
        <v/>
      </c>
      <c r="M36" s="28">
        <f>'Historical Data'!AJ33</f>
        <v/>
      </c>
      <c r="N36" s="28">
        <f>'Historical Data'!AK33</f>
        <v/>
      </c>
      <c r="O36" s="3">
        <f>'Historical Data'!AA33</f>
        <v/>
      </c>
      <c r="P36" s="3">
        <f>'Historical Data'!AB33</f>
        <v/>
      </c>
      <c r="Q36" s="3">
        <f>'Historical Data'!AN33</f>
        <v/>
      </c>
      <c r="R36" s="3">
        <f>'Historical Data'!AC33</f>
        <v/>
      </c>
      <c r="S36" s="3">
        <f>'Historical Data'!AE33</f>
        <v/>
      </c>
      <c r="T36" s="3">
        <f>'Historical Data'!AH33</f>
        <v/>
      </c>
      <c r="U36" s="3">
        <f>'Historical Data'!BA33</f>
        <v/>
      </c>
      <c r="V36" s="3" t="n"/>
      <c r="W36" s="3" t="n"/>
      <c r="X36" s="3" t="n"/>
      <c r="Y36" s="3" t="n"/>
      <c r="Z36" s="3" t="n"/>
    </row>
    <row r="37" hidden="1" ht="15.75" customHeight="1" s="174">
      <c r="A37" s="3">
        <f>'Historical Data'!A34</f>
        <v/>
      </c>
      <c r="B37" s="3">
        <f>'Historical Data'!B34</f>
        <v/>
      </c>
      <c r="C37" s="3">
        <f>'Historical Data'!D34</f>
        <v/>
      </c>
      <c r="D37" s="23">
        <f>'Historical Data'!E34</f>
        <v/>
      </c>
      <c r="E37" s="3">
        <f>'Historical Data'!G34</f>
        <v/>
      </c>
      <c r="F37" s="3">
        <f>'Historical Data'!Y34</f>
        <v/>
      </c>
      <c r="G37" s="3">
        <f>'Historical Data'!K34</f>
        <v/>
      </c>
      <c r="H37" s="3">
        <f>'Historical Data'!L34</f>
        <v/>
      </c>
      <c r="I37" s="26">
        <f>'Historical Data'!M34</f>
        <v/>
      </c>
      <c r="J37" s="28">
        <f>'Historical Data'!N34</f>
        <v/>
      </c>
      <c r="K37" s="28">
        <f>'Historical Data'!Q34</f>
        <v/>
      </c>
      <c r="L37" s="30">
        <f>'Historical Data'!S34</f>
        <v/>
      </c>
      <c r="M37" s="28">
        <f>'Historical Data'!AJ34</f>
        <v/>
      </c>
      <c r="N37" s="28">
        <f>'Historical Data'!AK34</f>
        <v/>
      </c>
      <c r="O37" s="3">
        <f>'Historical Data'!AA34</f>
        <v/>
      </c>
      <c r="P37" s="3">
        <f>'Historical Data'!AB34</f>
        <v/>
      </c>
      <c r="Q37" s="3">
        <f>'Historical Data'!AN34</f>
        <v/>
      </c>
      <c r="R37" s="3">
        <f>'Historical Data'!AC34</f>
        <v/>
      </c>
      <c r="S37" s="3">
        <f>'Historical Data'!AE34</f>
        <v/>
      </c>
      <c r="T37" s="3">
        <f>'Historical Data'!AH34</f>
        <v/>
      </c>
      <c r="U37" s="3">
        <f>'Historical Data'!BA34</f>
        <v/>
      </c>
      <c r="V37" s="3" t="n"/>
      <c r="W37" s="3" t="n"/>
      <c r="X37" s="3" t="n"/>
      <c r="Y37" s="3" t="n"/>
      <c r="Z37" s="3" t="n"/>
    </row>
    <row r="38" hidden="1" ht="15.75" customHeight="1" s="174">
      <c r="A38" s="3">
        <f>'Historical Data'!A35</f>
        <v/>
      </c>
      <c r="B38" s="3">
        <f>'Historical Data'!B35</f>
        <v/>
      </c>
      <c r="C38" s="3">
        <f>'Historical Data'!D35</f>
        <v/>
      </c>
      <c r="D38" s="23">
        <f>'Historical Data'!E35</f>
        <v/>
      </c>
      <c r="E38" s="3">
        <f>'Historical Data'!G35</f>
        <v/>
      </c>
      <c r="F38" s="3">
        <f>'Historical Data'!Y35</f>
        <v/>
      </c>
      <c r="G38" s="3">
        <f>'Historical Data'!K35</f>
        <v/>
      </c>
      <c r="H38" s="3">
        <f>'Historical Data'!L35</f>
        <v/>
      </c>
      <c r="I38" s="26">
        <f>'Historical Data'!M35</f>
        <v/>
      </c>
      <c r="J38" s="28">
        <f>'Historical Data'!N35</f>
        <v/>
      </c>
      <c r="K38" s="28">
        <f>'Historical Data'!Q35</f>
        <v/>
      </c>
      <c r="L38" s="30">
        <f>'Historical Data'!S35</f>
        <v/>
      </c>
      <c r="M38" s="28">
        <f>'Historical Data'!AJ35</f>
        <v/>
      </c>
      <c r="N38" s="28">
        <f>'Historical Data'!AK35</f>
        <v/>
      </c>
      <c r="O38" s="3">
        <f>'Historical Data'!AA35</f>
        <v/>
      </c>
      <c r="P38" s="3">
        <f>'Historical Data'!AB35</f>
        <v/>
      </c>
      <c r="Q38" s="3">
        <f>'Historical Data'!AN35</f>
        <v/>
      </c>
      <c r="R38" s="3">
        <f>'Historical Data'!AC35</f>
        <v/>
      </c>
      <c r="S38" s="3">
        <f>'Historical Data'!AE35</f>
        <v/>
      </c>
      <c r="T38" s="3">
        <f>'Historical Data'!AH35</f>
        <v/>
      </c>
      <c r="U38" s="3">
        <f>'Historical Data'!BA35</f>
        <v/>
      </c>
      <c r="V38" s="3" t="n"/>
      <c r="W38" s="3" t="n"/>
      <c r="X38" s="3" t="n"/>
      <c r="Y38" s="3" t="n"/>
      <c r="Z38" s="3" t="n"/>
    </row>
    <row r="39" hidden="1" ht="15.75" customHeight="1" s="174">
      <c r="A39" s="3">
        <f>'Historical Data'!A36</f>
        <v/>
      </c>
      <c r="B39" s="3">
        <f>'Historical Data'!B36</f>
        <v/>
      </c>
      <c r="C39" s="3">
        <f>'Historical Data'!D36</f>
        <v/>
      </c>
      <c r="D39" s="23">
        <f>'Historical Data'!E36</f>
        <v/>
      </c>
      <c r="E39" s="3">
        <f>'Historical Data'!G36</f>
        <v/>
      </c>
      <c r="F39" s="3">
        <f>'Historical Data'!Y36</f>
        <v/>
      </c>
      <c r="G39" s="3">
        <f>'Historical Data'!K36</f>
        <v/>
      </c>
      <c r="H39" s="3">
        <f>'Historical Data'!L36</f>
        <v/>
      </c>
      <c r="I39" s="26">
        <f>'Historical Data'!M36</f>
        <v/>
      </c>
      <c r="J39" s="28">
        <f>'Historical Data'!N36</f>
        <v/>
      </c>
      <c r="K39" s="28">
        <f>'Historical Data'!Q36</f>
        <v/>
      </c>
      <c r="L39" s="30">
        <f>'Historical Data'!S36</f>
        <v/>
      </c>
      <c r="M39" s="28">
        <f>'Historical Data'!AJ36</f>
        <v/>
      </c>
      <c r="N39" s="28">
        <f>'Historical Data'!AK36</f>
        <v/>
      </c>
      <c r="O39" s="3">
        <f>'Historical Data'!AA36</f>
        <v/>
      </c>
      <c r="P39" s="3">
        <f>'Historical Data'!AB36</f>
        <v/>
      </c>
      <c r="Q39" s="3">
        <f>'Historical Data'!AN36</f>
        <v/>
      </c>
      <c r="R39" s="3">
        <f>'Historical Data'!AC36</f>
        <v/>
      </c>
      <c r="S39" s="3">
        <f>'Historical Data'!AE36</f>
        <v/>
      </c>
      <c r="T39" s="3">
        <f>'Historical Data'!AH36</f>
        <v/>
      </c>
      <c r="U39" s="3">
        <f>'Historical Data'!BA36</f>
        <v/>
      </c>
      <c r="V39" s="3" t="n"/>
      <c r="W39" s="3" t="n"/>
      <c r="X39" s="3" t="n"/>
      <c r="Y39" s="3" t="n"/>
      <c r="Z39" s="3" t="n"/>
    </row>
    <row r="40" hidden="1" ht="15.75" customHeight="1" s="174">
      <c r="A40" s="3">
        <f>'Historical Data'!A37</f>
        <v/>
      </c>
      <c r="B40" s="3">
        <f>'Historical Data'!B37</f>
        <v/>
      </c>
      <c r="C40" s="3">
        <f>'Historical Data'!D37</f>
        <v/>
      </c>
      <c r="D40" s="23">
        <f>'Historical Data'!E37</f>
        <v/>
      </c>
      <c r="E40" s="3">
        <f>'Historical Data'!G37</f>
        <v/>
      </c>
      <c r="F40" s="3">
        <f>'Historical Data'!Y37</f>
        <v/>
      </c>
      <c r="G40" s="3">
        <f>'Historical Data'!K37</f>
        <v/>
      </c>
      <c r="H40" s="3">
        <f>'Historical Data'!L37</f>
        <v/>
      </c>
      <c r="I40" s="26">
        <f>'Historical Data'!M37</f>
        <v/>
      </c>
      <c r="J40" s="28">
        <f>'Historical Data'!N37</f>
        <v/>
      </c>
      <c r="K40" s="28">
        <f>'Historical Data'!Q37</f>
        <v/>
      </c>
      <c r="L40" s="30">
        <f>'Historical Data'!S37</f>
        <v/>
      </c>
      <c r="M40" s="28">
        <f>'Historical Data'!AJ37</f>
        <v/>
      </c>
      <c r="N40" s="28">
        <f>'Historical Data'!AK37</f>
        <v/>
      </c>
      <c r="O40" s="3">
        <f>'Historical Data'!AA37</f>
        <v/>
      </c>
      <c r="P40" s="3">
        <f>'Historical Data'!AB37</f>
        <v/>
      </c>
      <c r="Q40" s="3">
        <f>'Historical Data'!AN37</f>
        <v/>
      </c>
      <c r="R40" s="3">
        <f>'Historical Data'!AC37</f>
        <v/>
      </c>
      <c r="S40" s="3">
        <f>'Historical Data'!AE37</f>
        <v/>
      </c>
      <c r="T40" s="3">
        <f>'Historical Data'!AH37</f>
        <v/>
      </c>
      <c r="U40" s="3">
        <f>'Historical Data'!BA37</f>
        <v/>
      </c>
      <c r="V40" s="3" t="n"/>
      <c r="W40" s="3" t="n"/>
      <c r="X40" s="3" t="n"/>
      <c r="Y40" s="3" t="n"/>
      <c r="Z40" s="3" t="n"/>
    </row>
    <row r="41" hidden="1" ht="15.75" customHeight="1" s="174">
      <c r="A41" s="3">
        <f>'Historical Data'!A38</f>
        <v/>
      </c>
      <c r="B41" s="3">
        <f>'Historical Data'!B38</f>
        <v/>
      </c>
      <c r="C41" s="3">
        <f>'Historical Data'!D38</f>
        <v/>
      </c>
      <c r="D41" s="23">
        <f>'Historical Data'!E38</f>
        <v/>
      </c>
      <c r="E41" s="3">
        <f>'Historical Data'!G38</f>
        <v/>
      </c>
      <c r="F41" s="3">
        <f>'Historical Data'!Y38</f>
        <v/>
      </c>
      <c r="G41" s="3">
        <f>'Historical Data'!K38</f>
        <v/>
      </c>
      <c r="H41" s="3">
        <f>'Historical Data'!L38</f>
        <v/>
      </c>
      <c r="I41" s="26">
        <f>'Historical Data'!M38</f>
        <v/>
      </c>
      <c r="J41" s="28">
        <f>'Historical Data'!N38</f>
        <v/>
      </c>
      <c r="K41" s="28">
        <f>'Historical Data'!Q38</f>
        <v/>
      </c>
      <c r="L41" s="30">
        <f>'Historical Data'!S38</f>
        <v/>
      </c>
      <c r="M41" s="28">
        <f>'Historical Data'!AJ38</f>
        <v/>
      </c>
      <c r="N41" s="28">
        <f>'Historical Data'!AK38</f>
        <v/>
      </c>
      <c r="O41" s="3">
        <f>'Historical Data'!AA38</f>
        <v/>
      </c>
      <c r="P41" s="3">
        <f>'Historical Data'!AB38</f>
        <v/>
      </c>
      <c r="Q41" s="3">
        <f>'Historical Data'!AN38</f>
        <v/>
      </c>
      <c r="R41" s="3">
        <f>'Historical Data'!AC38</f>
        <v/>
      </c>
      <c r="S41" s="3">
        <f>'Historical Data'!AE38</f>
        <v/>
      </c>
      <c r="T41" s="3">
        <f>'Historical Data'!AH38</f>
        <v/>
      </c>
      <c r="U41" s="3">
        <f>'Historical Data'!BA38</f>
        <v/>
      </c>
      <c r="V41" s="3" t="n"/>
      <c r="W41" s="3" t="n"/>
      <c r="X41" s="3" t="n"/>
      <c r="Y41" s="3" t="n"/>
      <c r="Z41" s="3" t="n"/>
    </row>
    <row r="42" hidden="1" ht="15.75" customHeight="1" s="174">
      <c r="A42" s="3">
        <f>'Historical Data'!A39</f>
        <v/>
      </c>
      <c r="B42" s="3">
        <f>'Historical Data'!B39</f>
        <v/>
      </c>
      <c r="C42" s="3">
        <f>'Historical Data'!D39</f>
        <v/>
      </c>
      <c r="D42" s="23">
        <f>'Historical Data'!E39</f>
        <v/>
      </c>
      <c r="E42" s="3">
        <f>'Historical Data'!G39</f>
        <v/>
      </c>
      <c r="F42" s="3">
        <f>'Historical Data'!Y39</f>
        <v/>
      </c>
      <c r="G42" s="3">
        <f>'Historical Data'!K39</f>
        <v/>
      </c>
      <c r="H42" s="3">
        <f>'Historical Data'!L39</f>
        <v/>
      </c>
      <c r="I42" s="26">
        <f>'Historical Data'!M39</f>
        <v/>
      </c>
      <c r="J42" s="28">
        <f>'Historical Data'!N39</f>
        <v/>
      </c>
      <c r="K42" s="28">
        <f>'Historical Data'!Q39</f>
        <v/>
      </c>
      <c r="L42" s="30">
        <f>'Historical Data'!S39</f>
        <v/>
      </c>
      <c r="M42" s="28">
        <f>'Historical Data'!AJ39</f>
        <v/>
      </c>
      <c r="N42" s="28">
        <f>'Historical Data'!AK39</f>
        <v/>
      </c>
      <c r="O42" s="3">
        <f>'Historical Data'!AA39</f>
        <v/>
      </c>
      <c r="P42" s="3">
        <f>'Historical Data'!AB39</f>
        <v/>
      </c>
      <c r="Q42" s="3">
        <f>'Historical Data'!AN39</f>
        <v/>
      </c>
      <c r="R42" s="3">
        <f>'Historical Data'!AC39</f>
        <v/>
      </c>
      <c r="S42" s="3">
        <f>'Historical Data'!AE39</f>
        <v/>
      </c>
      <c r="T42" s="3">
        <f>'Historical Data'!AH39</f>
        <v/>
      </c>
      <c r="U42" s="3">
        <f>'Historical Data'!BA39</f>
        <v/>
      </c>
      <c r="V42" s="3" t="n"/>
      <c r="W42" s="3" t="n"/>
      <c r="X42" s="3" t="n"/>
      <c r="Y42" s="3" t="n"/>
      <c r="Z42" s="3" t="n"/>
    </row>
    <row r="43" hidden="1" ht="15.75" customHeight="1" s="174">
      <c r="A43" s="3">
        <f>'Historical Data'!A40</f>
        <v/>
      </c>
      <c r="B43" s="3">
        <f>'Historical Data'!B40</f>
        <v/>
      </c>
      <c r="C43" s="3">
        <f>'Historical Data'!D40</f>
        <v/>
      </c>
      <c r="D43" s="23">
        <f>'Historical Data'!E40</f>
        <v/>
      </c>
      <c r="E43" s="3">
        <f>'Historical Data'!G40</f>
        <v/>
      </c>
      <c r="F43" s="3">
        <f>'Historical Data'!Y40</f>
        <v/>
      </c>
      <c r="G43" s="3">
        <f>'Historical Data'!K40</f>
        <v/>
      </c>
      <c r="H43" s="3">
        <f>'Historical Data'!L40</f>
        <v/>
      </c>
      <c r="I43" s="26">
        <f>'Historical Data'!M40</f>
        <v/>
      </c>
      <c r="J43" s="28">
        <f>'Historical Data'!N40</f>
        <v/>
      </c>
      <c r="K43" s="28">
        <f>'Historical Data'!Q40</f>
        <v/>
      </c>
      <c r="L43" s="30">
        <f>'Historical Data'!S40</f>
        <v/>
      </c>
      <c r="M43" s="28">
        <f>'Historical Data'!AJ40</f>
        <v/>
      </c>
      <c r="N43" s="28">
        <f>'Historical Data'!AK40</f>
        <v/>
      </c>
      <c r="O43" s="3">
        <f>'Historical Data'!AA40</f>
        <v/>
      </c>
      <c r="P43" s="3">
        <f>'Historical Data'!AB40</f>
        <v/>
      </c>
      <c r="Q43" s="3">
        <f>'Historical Data'!AN40</f>
        <v/>
      </c>
      <c r="R43" s="3">
        <f>'Historical Data'!AC40</f>
        <v/>
      </c>
      <c r="S43" s="3">
        <f>'Historical Data'!AE40</f>
        <v/>
      </c>
      <c r="T43" s="3">
        <f>'Historical Data'!AH40</f>
        <v/>
      </c>
      <c r="U43" s="3">
        <f>'Historical Data'!BA40</f>
        <v/>
      </c>
      <c r="V43" s="3" t="n"/>
      <c r="W43" s="3" t="n"/>
      <c r="X43" s="3" t="n"/>
      <c r="Y43" s="3" t="n"/>
      <c r="Z43" s="3" t="n"/>
    </row>
    <row r="44" hidden="1" ht="15.75" customHeight="1" s="174">
      <c r="A44" s="3">
        <f>'Historical Data'!A41</f>
        <v/>
      </c>
      <c r="B44" s="3">
        <f>'Historical Data'!B41</f>
        <v/>
      </c>
      <c r="C44" s="3">
        <f>'Historical Data'!D41</f>
        <v/>
      </c>
      <c r="D44" s="23">
        <f>'Historical Data'!E41</f>
        <v/>
      </c>
      <c r="E44" s="3">
        <f>'Historical Data'!G41</f>
        <v/>
      </c>
      <c r="F44" s="3">
        <f>'Historical Data'!Y41</f>
        <v/>
      </c>
      <c r="G44" s="3">
        <f>'Historical Data'!K41</f>
        <v/>
      </c>
      <c r="H44" s="3">
        <f>'Historical Data'!L41</f>
        <v/>
      </c>
      <c r="I44" s="26">
        <f>'Historical Data'!M41</f>
        <v/>
      </c>
      <c r="J44" s="28">
        <f>'Historical Data'!N41</f>
        <v/>
      </c>
      <c r="K44" s="28">
        <f>'Historical Data'!Q41</f>
        <v/>
      </c>
      <c r="L44" s="30">
        <f>'Historical Data'!S41</f>
        <v/>
      </c>
      <c r="M44" s="28">
        <f>'Historical Data'!AJ41</f>
        <v/>
      </c>
      <c r="N44" s="28">
        <f>'Historical Data'!AK41</f>
        <v/>
      </c>
      <c r="O44" s="3">
        <f>'Historical Data'!AA41</f>
        <v/>
      </c>
      <c r="P44" s="3">
        <f>'Historical Data'!AB41</f>
        <v/>
      </c>
      <c r="Q44" s="3">
        <f>'Historical Data'!AN41</f>
        <v/>
      </c>
      <c r="R44" s="3">
        <f>'Historical Data'!AC41</f>
        <v/>
      </c>
      <c r="S44" s="3">
        <f>'Historical Data'!AE41</f>
        <v/>
      </c>
      <c r="T44" s="3">
        <f>'Historical Data'!AH41</f>
        <v/>
      </c>
      <c r="U44" s="3">
        <f>'Historical Data'!BA41</f>
        <v/>
      </c>
      <c r="V44" s="3" t="n"/>
      <c r="W44" s="3" t="n"/>
      <c r="X44" s="3" t="n"/>
      <c r="Y44" s="3" t="n"/>
      <c r="Z44" s="3" t="n"/>
    </row>
    <row r="45" hidden="1" ht="15.75" customHeight="1" s="174">
      <c r="A45" s="3">
        <f>'Historical Data'!A42</f>
        <v/>
      </c>
      <c r="B45" s="3">
        <f>'Historical Data'!B42</f>
        <v/>
      </c>
      <c r="C45" s="3">
        <f>'Historical Data'!D42</f>
        <v/>
      </c>
      <c r="D45" s="23">
        <f>'Historical Data'!E42</f>
        <v/>
      </c>
      <c r="E45" s="3">
        <f>'Historical Data'!G42</f>
        <v/>
      </c>
      <c r="F45" s="3">
        <f>'Historical Data'!Y42</f>
        <v/>
      </c>
      <c r="G45" s="3">
        <f>'Historical Data'!K42</f>
        <v/>
      </c>
      <c r="H45" s="3">
        <f>'Historical Data'!L42</f>
        <v/>
      </c>
      <c r="I45" s="26">
        <f>'Historical Data'!M42</f>
        <v/>
      </c>
      <c r="J45" s="28">
        <f>'Historical Data'!N42</f>
        <v/>
      </c>
      <c r="K45" s="28">
        <f>'Historical Data'!Q42</f>
        <v/>
      </c>
      <c r="L45" s="30">
        <f>'Historical Data'!S42</f>
        <v/>
      </c>
      <c r="M45" s="28">
        <f>'Historical Data'!AJ42</f>
        <v/>
      </c>
      <c r="N45" s="28">
        <f>'Historical Data'!AK42</f>
        <v/>
      </c>
      <c r="O45" s="3">
        <f>'Historical Data'!AA42</f>
        <v/>
      </c>
      <c r="P45" s="3">
        <f>'Historical Data'!AB42</f>
        <v/>
      </c>
      <c r="Q45" s="3">
        <f>'Historical Data'!AN42</f>
        <v/>
      </c>
      <c r="R45" s="3">
        <f>'Historical Data'!AC42</f>
        <v/>
      </c>
      <c r="S45" s="3">
        <f>'Historical Data'!AE42</f>
        <v/>
      </c>
      <c r="T45" s="3">
        <f>'Historical Data'!AH42</f>
        <v/>
      </c>
      <c r="U45" s="3">
        <f>'Historical Data'!BA42</f>
        <v/>
      </c>
      <c r="V45" s="3" t="n"/>
      <c r="W45" s="3" t="n"/>
      <c r="X45" s="3" t="n"/>
      <c r="Y45" s="3" t="n"/>
      <c r="Z45" s="3" t="n"/>
    </row>
    <row r="46" hidden="1" ht="15.75" customHeight="1" s="174">
      <c r="A46" s="3">
        <f>'Historical Data'!A43</f>
        <v/>
      </c>
      <c r="B46" s="3">
        <f>'Historical Data'!B43</f>
        <v/>
      </c>
      <c r="C46" s="3">
        <f>'Historical Data'!D43</f>
        <v/>
      </c>
      <c r="D46" s="23">
        <f>'Historical Data'!E43</f>
        <v/>
      </c>
      <c r="E46" s="3">
        <f>'Historical Data'!G43</f>
        <v/>
      </c>
      <c r="F46" s="3">
        <f>'Historical Data'!Y43</f>
        <v/>
      </c>
      <c r="G46" s="3">
        <f>'Historical Data'!K43</f>
        <v/>
      </c>
      <c r="H46" s="3">
        <f>'Historical Data'!L43</f>
        <v/>
      </c>
      <c r="I46" s="26">
        <f>'Historical Data'!M43</f>
        <v/>
      </c>
      <c r="J46" s="28">
        <f>'Historical Data'!N43</f>
        <v/>
      </c>
      <c r="K46" s="28">
        <f>'Historical Data'!Q43</f>
        <v/>
      </c>
      <c r="L46" s="30">
        <f>'Historical Data'!S43</f>
        <v/>
      </c>
      <c r="M46" s="28">
        <f>'Historical Data'!AJ43</f>
        <v/>
      </c>
      <c r="N46" s="28">
        <f>'Historical Data'!AK43</f>
        <v/>
      </c>
      <c r="O46" s="3">
        <f>'Historical Data'!AA43</f>
        <v/>
      </c>
      <c r="P46" s="3">
        <f>'Historical Data'!AB43</f>
        <v/>
      </c>
      <c r="Q46" s="3">
        <f>'Historical Data'!AN43</f>
        <v/>
      </c>
      <c r="R46" s="3">
        <f>'Historical Data'!AC43</f>
        <v/>
      </c>
      <c r="S46" s="3">
        <f>'Historical Data'!AE43</f>
        <v/>
      </c>
      <c r="T46" s="3">
        <f>'Historical Data'!AH43</f>
        <v/>
      </c>
      <c r="U46" s="3">
        <f>'Historical Data'!BA43</f>
        <v/>
      </c>
      <c r="V46" s="3" t="n"/>
      <c r="W46" s="3" t="n"/>
      <c r="X46" s="3" t="n"/>
      <c r="Y46" s="3" t="n"/>
      <c r="Z46" s="3" t="n"/>
    </row>
    <row r="47" hidden="1" ht="15.75" customHeight="1" s="174">
      <c r="A47" s="3">
        <f>'Historical Data'!A44</f>
        <v/>
      </c>
      <c r="B47" s="3">
        <f>'Historical Data'!B44</f>
        <v/>
      </c>
      <c r="C47" s="3">
        <f>'Historical Data'!D44</f>
        <v/>
      </c>
      <c r="D47" s="23">
        <f>'Historical Data'!E44</f>
        <v/>
      </c>
      <c r="E47" s="3">
        <f>'Historical Data'!G44</f>
        <v/>
      </c>
      <c r="F47" s="3">
        <f>'Historical Data'!Y44</f>
        <v/>
      </c>
      <c r="G47" s="3">
        <f>'Historical Data'!K44</f>
        <v/>
      </c>
      <c r="H47" s="3">
        <f>'Historical Data'!L44</f>
        <v/>
      </c>
      <c r="I47" s="26">
        <f>'Historical Data'!M44</f>
        <v/>
      </c>
      <c r="J47" s="28">
        <f>'Historical Data'!N44</f>
        <v/>
      </c>
      <c r="K47" s="28">
        <f>'Historical Data'!Q44</f>
        <v/>
      </c>
      <c r="L47" s="30">
        <f>'Historical Data'!S44</f>
        <v/>
      </c>
      <c r="M47" s="28">
        <f>'Historical Data'!AJ44</f>
        <v/>
      </c>
      <c r="N47" s="28">
        <f>'Historical Data'!AK44</f>
        <v/>
      </c>
      <c r="O47" s="3">
        <f>'Historical Data'!AA44</f>
        <v/>
      </c>
      <c r="P47" s="3">
        <f>'Historical Data'!AB44</f>
        <v/>
      </c>
      <c r="Q47" s="3">
        <f>'Historical Data'!AN44</f>
        <v/>
      </c>
      <c r="R47" s="3">
        <f>'Historical Data'!AC44</f>
        <v/>
      </c>
      <c r="S47" s="3">
        <f>'Historical Data'!AE44</f>
        <v/>
      </c>
      <c r="T47" s="3">
        <f>'Historical Data'!AH44</f>
        <v/>
      </c>
      <c r="U47" s="3">
        <f>'Historical Data'!BA44</f>
        <v/>
      </c>
      <c r="V47" s="3" t="n"/>
      <c r="W47" s="3" t="n"/>
      <c r="X47" s="3" t="n"/>
      <c r="Y47" s="3" t="n"/>
      <c r="Z47" s="3" t="n"/>
    </row>
    <row r="48" hidden="1" ht="15.75" customHeight="1" s="174">
      <c r="A48" s="3">
        <f>'Historical Data'!A45</f>
        <v/>
      </c>
      <c r="B48" s="3">
        <f>'Historical Data'!B45</f>
        <v/>
      </c>
      <c r="C48" s="3">
        <f>'Historical Data'!D45</f>
        <v/>
      </c>
      <c r="D48" s="23">
        <f>'Historical Data'!E45</f>
        <v/>
      </c>
      <c r="E48" s="3">
        <f>'Historical Data'!G45</f>
        <v/>
      </c>
      <c r="F48" s="3">
        <f>'Historical Data'!Y45</f>
        <v/>
      </c>
      <c r="G48" s="3">
        <f>'Historical Data'!K45</f>
        <v/>
      </c>
      <c r="H48" s="3">
        <f>'Historical Data'!L45</f>
        <v/>
      </c>
      <c r="I48" s="26">
        <f>'Historical Data'!M45</f>
        <v/>
      </c>
      <c r="J48" s="28">
        <f>'Historical Data'!N45</f>
        <v/>
      </c>
      <c r="K48" s="28">
        <f>'Historical Data'!Q45</f>
        <v/>
      </c>
      <c r="L48" s="30">
        <f>'Historical Data'!S45</f>
        <v/>
      </c>
      <c r="M48" s="28">
        <f>'Historical Data'!AJ45</f>
        <v/>
      </c>
      <c r="N48" s="28">
        <f>'Historical Data'!AK45</f>
        <v/>
      </c>
      <c r="O48" s="3">
        <f>'Historical Data'!AA45</f>
        <v/>
      </c>
      <c r="P48" s="3">
        <f>'Historical Data'!AB45</f>
        <v/>
      </c>
      <c r="Q48" s="3">
        <f>'Historical Data'!AN45</f>
        <v/>
      </c>
      <c r="R48" s="3">
        <f>'Historical Data'!AC45</f>
        <v/>
      </c>
      <c r="S48" s="3">
        <f>'Historical Data'!AE45</f>
        <v/>
      </c>
      <c r="T48" s="3">
        <f>'Historical Data'!AH45</f>
        <v/>
      </c>
      <c r="U48" s="3">
        <f>'Historical Data'!BA45</f>
        <v/>
      </c>
      <c r="V48" s="3" t="n"/>
      <c r="W48" s="3" t="n"/>
      <c r="X48" s="3" t="n"/>
      <c r="Y48" s="3" t="n"/>
      <c r="Z48" s="3" t="n"/>
    </row>
    <row r="49" hidden="1" ht="15.75" customHeight="1" s="174">
      <c r="A49" s="3">
        <f>'Historical Data'!A46</f>
        <v/>
      </c>
      <c r="B49" s="3">
        <f>'Historical Data'!B46</f>
        <v/>
      </c>
      <c r="C49" s="3">
        <f>'Historical Data'!D46</f>
        <v/>
      </c>
      <c r="D49" s="23">
        <f>'Historical Data'!E46</f>
        <v/>
      </c>
      <c r="E49" s="3">
        <f>'Historical Data'!G46</f>
        <v/>
      </c>
      <c r="F49" s="3">
        <f>'Historical Data'!Y46</f>
        <v/>
      </c>
      <c r="G49" s="3">
        <f>'Historical Data'!K46</f>
        <v/>
      </c>
      <c r="H49" s="3">
        <f>'Historical Data'!L46</f>
        <v/>
      </c>
      <c r="I49" s="26">
        <f>'Historical Data'!M46</f>
        <v/>
      </c>
      <c r="J49" s="28">
        <f>'Historical Data'!N46</f>
        <v/>
      </c>
      <c r="K49" s="28">
        <f>'Historical Data'!Q46</f>
        <v/>
      </c>
      <c r="L49" s="30">
        <f>'Historical Data'!S46</f>
        <v/>
      </c>
      <c r="M49" s="28">
        <f>'Historical Data'!AJ46</f>
        <v/>
      </c>
      <c r="N49" s="28">
        <f>'Historical Data'!AK46</f>
        <v/>
      </c>
      <c r="O49" s="3">
        <f>'Historical Data'!AA46</f>
        <v/>
      </c>
      <c r="P49" s="3">
        <f>'Historical Data'!AB46</f>
        <v/>
      </c>
      <c r="Q49" s="3">
        <f>'Historical Data'!AN46</f>
        <v/>
      </c>
      <c r="R49" s="3">
        <f>'Historical Data'!AC46</f>
        <v/>
      </c>
      <c r="S49" s="3">
        <f>'Historical Data'!AE46</f>
        <v/>
      </c>
      <c r="T49" s="3">
        <f>'Historical Data'!AH46</f>
        <v/>
      </c>
      <c r="U49" s="3">
        <f>'Historical Data'!BA46</f>
        <v/>
      </c>
      <c r="V49" s="3" t="n"/>
      <c r="W49" s="3" t="n"/>
      <c r="X49" s="3" t="n"/>
      <c r="Y49" s="3" t="n"/>
      <c r="Z49" s="3" t="n"/>
    </row>
    <row r="50" hidden="1" ht="15.75" customHeight="1" s="174">
      <c r="A50" s="3">
        <f>'Historical Data'!A47</f>
        <v/>
      </c>
      <c r="B50" s="3">
        <f>'Historical Data'!B47</f>
        <v/>
      </c>
      <c r="C50" s="3">
        <f>'Historical Data'!D47</f>
        <v/>
      </c>
      <c r="D50" s="23">
        <f>'Historical Data'!E47</f>
        <v/>
      </c>
      <c r="E50" s="3">
        <f>'Historical Data'!G47</f>
        <v/>
      </c>
      <c r="F50" s="3">
        <f>'Historical Data'!Y47</f>
        <v/>
      </c>
      <c r="G50" s="3">
        <f>'Historical Data'!K47</f>
        <v/>
      </c>
      <c r="H50" s="3">
        <f>'Historical Data'!L47</f>
        <v/>
      </c>
      <c r="I50" s="26">
        <f>'Historical Data'!M47</f>
        <v/>
      </c>
      <c r="J50" s="28">
        <f>'Historical Data'!N47</f>
        <v/>
      </c>
      <c r="K50" s="28">
        <f>'Historical Data'!Q47</f>
        <v/>
      </c>
      <c r="L50" s="30">
        <f>'Historical Data'!S47</f>
        <v/>
      </c>
      <c r="M50" s="28">
        <f>'Historical Data'!AJ47</f>
        <v/>
      </c>
      <c r="N50" s="28">
        <f>'Historical Data'!AK47</f>
        <v/>
      </c>
      <c r="O50" s="3">
        <f>'Historical Data'!AA47</f>
        <v/>
      </c>
      <c r="P50" s="3">
        <f>'Historical Data'!AB47</f>
        <v/>
      </c>
      <c r="Q50" s="3">
        <f>'Historical Data'!AN47</f>
        <v/>
      </c>
      <c r="R50" s="3">
        <f>'Historical Data'!AC47</f>
        <v/>
      </c>
      <c r="S50" s="3">
        <f>'Historical Data'!AE47</f>
        <v/>
      </c>
      <c r="T50" s="3">
        <f>'Historical Data'!AH47</f>
        <v/>
      </c>
      <c r="U50" s="3">
        <f>'Historical Data'!BA47</f>
        <v/>
      </c>
      <c r="V50" s="3" t="n"/>
      <c r="W50" s="3" t="n"/>
      <c r="X50" s="3" t="n"/>
      <c r="Y50" s="3" t="n"/>
      <c r="Z50" s="3" t="n"/>
    </row>
    <row r="51" hidden="1" ht="15.75" customHeight="1" s="174">
      <c r="A51" s="3">
        <f>'Historical Data'!A48</f>
        <v/>
      </c>
      <c r="B51" s="3">
        <f>'Historical Data'!B48</f>
        <v/>
      </c>
      <c r="C51" s="3">
        <f>'Historical Data'!D48</f>
        <v/>
      </c>
      <c r="D51" s="23">
        <f>'Historical Data'!E48</f>
        <v/>
      </c>
      <c r="E51" s="3">
        <f>'Historical Data'!G48</f>
        <v/>
      </c>
      <c r="F51" s="3">
        <f>'Historical Data'!Y48</f>
        <v/>
      </c>
      <c r="G51" s="3">
        <f>'Historical Data'!K48</f>
        <v/>
      </c>
      <c r="H51" s="3">
        <f>'Historical Data'!L48</f>
        <v/>
      </c>
      <c r="I51" s="26">
        <f>'Historical Data'!M48</f>
        <v/>
      </c>
      <c r="J51" s="28">
        <f>'Historical Data'!N48</f>
        <v/>
      </c>
      <c r="K51" s="28">
        <f>'Historical Data'!Q48</f>
        <v/>
      </c>
      <c r="L51" s="30">
        <f>'Historical Data'!S48</f>
        <v/>
      </c>
      <c r="M51" s="28">
        <f>'Historical Data'!AJ48</f>
        <v/>
      </c>
      <c r="N51" s="28">
        <f>'Historical Data'!AK48</f>
        <v/>
      </c>
      <c r="O51" s="3">
        <f>'Historical Data'!AA48</f>
        <v/>
      </c>
      <c r="P51" s="3">
        <f>'Historical Data'!AB48</f>
        <v/>
      </c>
      <c r="Q51" s="3">
        <f>'Historical Data'!AN48</f>
        <v/>
      </c>
      <c r="R51" s="3">
        <f>'Historical Data'!AC48</f>
        <v/>
      </c>
      <c r="S51" s="3">
        <f>'Historical Data'!AE48</f>
        <v/>
      </c>
      <c r="T51" s="3">
        <f>'Historical Data'!AH48</f>
        <v/>
      </c>
      <c r="U51" s="3">
        <f>'Historical Data'!BA48</f>
        <v/>
      </c>
      <c r="V51" s="3" t="n"/>
      <c r="W51" s="3" t="n"/>
      <c r="X51" s="3" t="n"/>
      <c r="Y51" s="3" t="n"/>
      <c r="Z51" s="3" t="n"/>
    </row>
    <row r="52" hidden="1" ht="15.75" customHeight="1" s="174">
      <c r="A52" s="3">
        <f>'Historical Data'!A49</f>
        <v/>
      </c>
      <c r="B52" s="3">
        <f>'Historical Data'!B49</f>
        <v/>
      </c>
      <c r="C52" s="3">
        <f>'Historical Data'!D49</f>
        <v/>
      </c>
      <c r="D52" s="23">
        <f>'Historical Data'!E49</f>
        <v/>
      </c>
      <c r="E52" s="3">
        <f>'Historical Data'!G49</f>
        <v/>
      </c>
      <c r="F52" s="3">
        <f>'Historical Data'!Y49</f>
        <v/>
      </c>
      <c r="G52" s="3">
        <f>'Historical Data'!K49</f>
        <v/>
      </c>
      <c r="H52" s="3">
        <f>'Historical Data'!L49</f>
        <v/>
      </c>
      <c r="I52" s="26">
        <f>'Historical Data'!M49</f>
        <v/>
      </c>
      <c r="J52" s="28">
        <f>'Historical Data'!N49</f>
        <v/>
      </c>
      <c r="K52" s="28">
        <f>'Historical Data'!Q49</f>
        <v/>
      </c>
      <c r="L52" s="30">
        <f>'Historical Data'!S49</f>
        <v/>
      </c>
      <c r="M52" s="28">
        <f>'Historical Data'!AJ49</f>
        <v/>
      </c>
      <c r="N52" s="28">
        <f>'Historical Data'!AK49</f>
        <v/>
      </c>
      <c r="O52" s="3">
        <f>'Historical Data'!AA49</f>
        <v/>
      </c>
      <c r="P52" s="3">
        <f>'Historical Data'!AB49</f>
        <v/>
      </c>
      <c r="Q52" s="3">
        <f>'Historical Data'!AN49</f>
        <v/>
      </c>
      <c r="R52" s="3">
        <f>'Historical Data'!AC49</f>
        <v/>
      </c>
      <c r="S52" s="3">
        <f>'Historical Data'!AE49</f>
        <v/>
      </c>
      <c r="T52" s="3">
        <f>'Historical Data'!AH49</f>
        <v/>
      </c>
      <c r="U52" s="3">
        <f>'Historical Data'!BA49</f>
        <v/>
      </c>
      <c r="V52" s="3" t="n"/>
      <c r="W52" s="3" t="n"/>
      <c r="X52" s="3" t="n"/>
      <c r="Y52" s="3" t="n"/>
      <c r="Z52" s="3" t="n"/>
    </row>
    <row r="53" hidden="1" ht="15.75" customHeight="1" s="174">
      <c r="A53" s="3">
        <f>'Historical Data'!A50</f>
        <v/>
      </c>
      <c r="B53" s="3">
        <f>'Historical Data'!B50</f>
        <v/>
      </c>
      <c r="C53" s="3">
        <f>'Historical Data'!D50</f>
        <v/>
      </c>
      <c r="D53" s="23">
        <f>'Historical Data'!E50</f>
        <v/>
      </c>
      <c r="E53" s="3">
        <f>'Historical Data'!G50</f>
        <v/>
      </c>
      <c r="F53" s="3">
        <f>'Historical Data'!Y50</f>
        <v/>
      </c>
      <c r="G53" s="3">
        <f>'Historical Data'!K50</f>
        <v/>
      </c>
      <c r="H53" s="3">
        <f>'Historical Data'!L50</f>
        <v/>
      </c>
      <c r="I53" s="26">
        <f>'Historical Data'!M50</f>
        <v/>
      </c>
      <c r="J53" s="28">
        <f>'Historical Data'!N50</f>
        <v/>
      </c>
      <c r="K53" s="28">
        <f>'Historical Data'!Q50</f>
        <v/>
      </c>
      <c r="L53" s="30">
        <f>'Historical Data'!S50</f>
        <v/>
      </c>
      <c r="M53" s="28">
        <f>'Historical Data'!AJ50</f>
        <v/>
      </c>
      <c r="N53" s="28">
        <f>'Historical Data'!AK50</f>
        <v/>
      </c>
      <c r="O53" s="3">
        <f>'Historical Data'!AA50</f>
        <v/>
      </c>
      <c r="P53" s="3">
        <f>'Historical Data'!AB50</f>
        <v/>
      </c>
      <c r="Q53" s="3">
        <f>'Historical Data'!AN50</f>
        <v/>
      </c>
      <c r="R53" s="3">
        <f>'Historical Data'!AC50</f>
        <v/>
      </c>
      <c r="S53" s="3">
        <f>'Historical Data'!AE50</f>
        <v/>
      </c>
      <c r="T53" s="3">
        <f>'Historical Data'!AH50</f>
        <v/>
      </c>
      <c r="U53" s="3">
        <f>'Historical Data'!BA50</f>
        <v/>
      </c>
      <c r="V53" s="3" t="n"/>
      <c r="W53" s="3" t="n"/>
      <c r="X53" s="3" t="n"/>
      <c r="Y53" s="3" t="n"/>
      <c r="Z53" s="3" t="n"/>
    </row>
    <row r="54" hidden="1" ht="15.75" customHeight="1" s="174">
      <c r="A54" s="3">
        <f>'Historical Data'!A51</f>
        <v/>
      </c>
      <c r="B54" s="3">
        <f>'Historical Data'!B51</f>
        <v/>
      </c>
      <c r="C54" s="3">
        <f>'Historical Data'!D51</f>
        <v/>
      </c>
      <c r="D54" s="23">
        <f>'Historical Data'!E51</f>
        <v/>
      </c>
      <c r="E54" s="3">
        <f>'Historical Data'!G51</f>
        <v/>
      </c>
      <c r="F54" s="3">
        <f>'Historical Data'!Y51</f>
        <v/>
      </c>
      <c r="G54" s="3">
        <f>'Historical Data'!K51</f>
        <v/>
      </c>
      <c r="H54" s="3">
        <f>'Historical Data'!L51</f>
        <v/>
      </c>
      <c r="I54" s="26">
        <f>'Historical Data'!M51</f>
        <v/>
      </c>
      <c r="J54" s="28">
        <f>'Historical Data'!N51</f>
        <v/>
      </c>
      <c r="K54" s="28">
        <f>'Historical Data'!Q51</f>
        <v/>
      </c>
      <c r="L54" s="30">
        <f>'Historical Data'!S51</f>
        <v/>
      </c>
      <c r="M54" s="28">
        <f>'Historical Data'!AJ51</f>
        <v/>
      </c>
      <c r="N54" s="28">
        <f>'Historical Data'!AK51</f>
        <v/>
      </c>
      <c r="O54" s="3">
        <f>'Historical Data'!AA51</f>
        <v/>
      </c>
      <c r="P54" s="3">
        <f>'Historical Data'!AB51</f>
        <v/>
      </c>
      <c r="Q54" s="3">
        <f>'Historical Data'!AN51</f>
        <v/>
      </c>
      <c r="R54" s="3">
        <f>'Historical Data'!AC51</f>
        <v/>
      </c>
      <c r="S54" s="3">
        <f>'Historical Data'!AE51</f>
        <v/>
      </c>
      <c r="T54" s="3">
        <f>'Historical Data'!AH51</f>
        <v/>
      </c>
      <c r="U54" s="3">
        <f>'Historical Data'!BA51</f>
        <v/>
      </c>
      <c r="V54" s="3" t="n"/>
      <c r="W54" s="3" t="n"/>
      <c r="X54" s="3" t="n"/>
      <c r="Y54" s="3" t="n"/>
      <c r="Z54" s="3" t="n"/>
    </row>
    <row r="55" hidden="1" ht="15.75" customHeight="1" s="174">
      <c r="A55" s="3">
        <f>'Historical Data'!A52</f>
        <v/>
      </c>
      <c r="B55" s="3">
        <f>'Historical Data'!B52</f>
        <v/>
      </c>
      <c r="C55" s="3">
        <f>'Historical Data'!D52</f>
        <v/>
      </c>
      <c r="D55" s="23">
        <f>'Historical Data'!E52</f>
        <v/>
      </c>
      <c r="E55" s="3">
        <f>'Historical Data'!G52</f>
        <v/>
      </c>
      <c r="F55" s="3">
        <f>'Historical Data'!Y52</f>
        <v/>
      </c>
      <c r="G55" s="3">
        <f>'Historical Data'!K52</f>
        <v/>
      </c>
      <c r="H55" s="3">
        <f>'Historical Data'!L52</f>
        <v/>
      </c>
      <c r="I55" s="26">
        <f>'Historical Data'!M52</f>
        <v/>
      </c>
      <c r="J55" s="28">
        <f>'Historical Data'!N52</f>
        <v/>
      </c>
      <c r="K55" s="28">
        <f>'Historical Data'!Q52</f>
        <v/>
      </c>
      <c r="L55" s="30">
        <f>'Historical Data'!S52</f>
        <v/>
      </c>
      <c r="M55" s="28">
        <f>'Historical Data'!AJ52</f>
        <v/>
      </c>
      <c r="N55" s="28">
        <f>'Historical Data'!AK52</f>
        <v/>
      </c>
      <c r="O55" s="3">
        <f>'Historical Data'!AA52</f>
        <v/>
      </c>
      <c r="P55" s="3">
        <f>'Historical Data'!AB52</f>
        <v/>
      </c>
      <c r="Q55" s="3">
        <f>'Historical Data'!AN52</f>
        <v/>
      </c>
      <c r="R55" s="3">
        <f>'Historical Data'!AC52</f>
        <v/>
      </c>
      <c r="S55" s="3">
        <f>'Historical Data'!AE52</f>
        <v/>
      </c>
      <c r="T55" s="3">
        <f>'Historical Data'!AH52</f>
        <v/>
      </c>
      <c r="U55" s="3">
        <f>'Historical Data'!BA52</f>
        <v/>
      </c>
      <c r="V55" s="3" t="n"/>
      <c r="W55" s="3" t="n"/>
      <c r="X55" s="3" t="n"/>
      <c r="Y55" s="3" t="n"/>
      <c r="Z55" s="3" t="n"/>
    </row>
    <row r="56" hidden="1" ht="15.75" customHeight="1" s="174">
      <c r="A56" s="3">
        <f>'Historical Data'!A53</f>
        <v/>
      </c>
      <c r="B56" s="3">
        <f>'Historical Data'!B53</f>
        <v/>
      </c>
      <c r="C56" s="3">
        <f>'Historical Data'!D53</f>
        <v/>
      </c>
      <c r="D56" s="23">
        <f>'Historical Data'!E53</f>
        <v/>
      </c>
      <c r="E56" s="3">
        <f>'Historical Data'!G53</f>
        <v/>
      </c>
      <c r="F56" s="3">
        <f>'Historical Data'!Y53</f>
        <v/>
      </c>
      <c r="G56" s="3">
        <f>'Historical Data'!K53</f>
        <v/>
      </c>
      <c r="H56" s="3">
        <f>'Historical Data'!L53</f>
        <v/>
      </c>
      <c r="I56" s="26">
        <f>'Historical Data'!M53</f>
        <v/>
      </c>
      <c r="J56" s="28">
        <f>'Historical Data'!N53</f>
        <v/>
      </c>
      <c r="K56" s="28">
        <f>'Historical Data'!Q53</f>
        <v/>
      </c>
      <c r="L56" s="30">
        <f>'Historical Data'!S53</f>
        <v/>
      </c>
      <c r="M56" s="28">
        <f>'Historical Data'!AJ53</f>
        <v/>
      </c>
      <c r="N56" s="28">
        <f>'Historical Data'!AK53</f>
        <v/>
      </c>
      <c r="O56" s="3">
        <f>'Historical Data'!AA53</f>
        <v/>
      </c>
      <c r="P56" s="3">
        <f>'Historical Data'!AB53</f>
        <v/>
      </c>
      <c r="Q56" s="3">
        <f>'Historical Data'!AN53</f>
        <v/>
      </c>
      <c r="R56" s="3">
        <f>'Historical Data'!AC53</f>
        <v/>
      </c>
      <c r="S56" s="3">
        <f>'Historical Data'!AE53</f>
        <v/>
      </c>
      <c r="T56" s="3">
        <f>'Historical Data'!AH53</f>
        <v/>
      </c>
      <c r="U56" s="3">
        <f>'Historical Data'!BA53</f>
        <v/>
      </c>
      <c r="V56" s="3" t="n"/>
      <c r="W56" s="3" t="n"/>
      <c r="X56" s="3" t="n"/>
      <c r="Y56" s="3" t="n"/>
      <c r="Z56" s="3" t="n"/>
    </row>
    <row r="57" hidden="1" ht="15.75" customHeight="1" s="174">
      <c r="A57" s="3">
        <f>'Historical Data'!A54</f>
        <v/>
      </c>
      <c r="B57" s="3">
        <f>'Historical Data'!B54</f>
        <v/>
      </c>
      <c r="C57" s="3">
        <f>'Historical Data'!D54</f>
        <v/>
      </c>
      <c r="D57" s="23">
        <f>'Historical Data'!E54</f>
        <v/>
      </c>
      <c r="E57" s="3">
        <f>'Historical Data'!G54</f>
        <v/>
      </c>
      <c r="F57" s="3">
        <f>'Historical Data'!Y54</f>
        <v/>
      </c>
      <c r="G57" s="3">
        <f>'Historical Data'!K54</f>
        <v/>
      </c>
      <c r="H57" s="3">
        <f>'Historical Data'!L54</f>
        <v/>
      </c>
      <c r="I57" s="26">
        <f>'Historical Data'!M54</f>
        <v/>
      </c>
      <c r="J57" s="28">
        <f>'Historical Data'!N54</f>
        <v/>
      </c>
      <c r="K57" s="28">
        <f>'Historical Data'!Q54</f>
        <v/>
      </c>
      <c r="L57" s="30">
        <f>'Historical Data'!S54</f>
        <v/>
      </c>
      <c r="M57" s="28">
        <f>'Historical Data'!AJ54</f>
        <v/>
      </c>
      <c r="N57" s="28">
        <f>'Historical Data'!AK54</f>
        <v/>
      </c>
      <c r="O57" s="3">
        <f>'Historical Data'!AA54</f>
        <v/>
      </c>
      <c r="P57" s="3">
        <f>'Historical Data'!AB54</f>
        <v/>
      </c>
      <c r="Q57" s="3">
        <f>'Historical Data'!AN54</f>
        <v/>
      </c>
      <c r="R57" s="3">
        <f>'Historical Data'!AC54</f>
        <v/>
      </c>
      <c r="S57" s="3">
        <f>'Historical Data'!AE54</f>
        <v/>
      </c>
      <c r="T57" s="3">
        <f>'Historical Data'!AH54</f>
        <v/>
      </c>
      <c r="U57" s="3">
        <f>'Historical Data'!BA54</f>
        <v/>
      </c>
      <c r="V57" s="3" t="n"/>
      <c r="W57" s="3" t="n"/>
      <c r="X57" s="3" t="n"/>
      <c r="Y57" s="3" t="n"/>
      <c r="Z57" s="3" t="n"/>
    </row>
    <row r="58" hidden="1" ht="15.75" customHeight="1" s="174">
      <c r="A58" s="3">
        <f>'Historical Data'!A55</f>
        <v/>
      </c>
      <c r="B58" s="3">
        <f>'Historical Data'!B55</f>
        <v/>
      </c>
      <c r="C58" s="3">
        <f>'Historical Data'!D55</f>
        <v/>
      </c>
      <c r="D58" s="23">
        <f>'Historical Data'!E55</f>
        <v/>
      </c>
      <c r="E58" s="3">
        <f>'Historical Data'!G55</f>
        <v/>
      </c>
      <c r="F58" s="3">
        <f>'Historical Data'!Y55</f>
        <v/>
      </c>
      <c r="G58" s="3">
        <f>'Historical Data'!K55</f>
        <v/>
      </c>
      <c r="H58" s="3">
        <f>'Historical Data'!L55</f>
        <v/>
      </c>
      <c r="I58" s="26">
        <f>'Historical Data'!M55</f>
        <v/>
      </c>
      <c r="J58" s="28">
        <f>'Historical Data'!N55</f>
        <v/>
      </c>
      <c r="K58" s="28">
        <f>'Historical Data'!Q55</f>
        <v/>
      </c>
      <c r="L58" s="30">
        <f>'Historical Data'!S55</f>
        <v/>
      </c>
      <c r="M58" s="28">
        <f>'Historical Data'!AJ55</f>
        <v/>
      </c>
      <c r="N58" s="28">
        <f>'Historical Data'!AK55</f>
        <v/>
      </c>
      <c r="O58" s="3">
        <f>'Historical Data'!AA55</f>
        <v/>
      </c>
      <c r="P58" s="3">
        <f>'Historical Data'!AB55</f>
        <v/>
      </c>
      <c r="Q58" s="3">
        <f>'Historical Data'!AN55</f>
        <v/>
      </c>
      <c r="R58" s="3">
        <f>'Historical Data'!AC55</f>
        <v/>
      </c>
      <c r="S58" s="3">
        <f>'Historical Data'!AE55</f>
        <v/>
      </c>
      <c r="T58" s="3">
        <f>'Historical Data'!AH55</f>
        <v/>
      </c>
      <c r="U58" s="3">
        <f>'Historical Data'!BA55</f>
        <v/>
      </c>
      <c r="V58" s="3" t="n"/>
      <c r="W58" s="3" t="n"/>
      <c r="X58" s="3" t="n"/>
      <c r="Y58" s="3" t="n"/>
      <c r="Z58" s="3" t="n"/>
    </row>
    <row r="59" hidden="1" ht="15.75" customHeight="1" s="174">
      <c r="A59" s="3">
        <f>'Historical Data'!A56</f>
        <v/>
      </c>
      <c r="B59" s="3">
        <f>'Historical Data'!B56</f>
        <v/>
      </c>
      <c r="C59" s="3">
        <f>'Historical Data'!D56</f>
        <v/>
      </c>
      <c r="D59" s="23">
        <f>'Historical Data'!E56</f>
        <v/>
      </c>
      <c r="E59" s="3">
        <f>'Historical Data'!G56</f>
        <v/>
      </c>
      <c r="F59" s="3">
        <f>'Historical Data'!Y56</f>
        <v/>
      </c>
      <c r="G59" s="3">
        <f>'Historical Data'!K56</f>
        <v/>
      </c>
      <c r="H59" s="3">
        <f>'Historical Data'!L56</f>
        <v/>
      </c>
      <c r="I59" s="26">
        <f>'Historical Data'!M56</f>
        <v/>
      </c>
      <c r="J59" s="28">
        <f>'Historical Data'!N56</f>
        <v/>
      </c>
      <c r="K59" s="28">
        <f>'Historical Data'!Q56</f>
        <v/>
      </c>
      <c r="L59" s="30">
        <f>'Historical Data'!S56</f>
        <v/>
      </c>
      <c r="M59" s="28">
        <f>'Historical Data'!AJ56</f>
        <v/>
      </c>
      <c r="N59" s="28">
        <f>'Historical Data'!AK56</f>
        <v/>
      </c>
      <c r="O59" s="3">
        <f>'Historical Data'!AA56</f>
        <v/>
      </c>
      <c r="P59" s="3">
        <f>'Historical Data'!AB56</f>
        <v/>
      </c>
      <c r="Q59" s="3">
        <f>'Historical Data'!AN56</f>
        <v/>
      </c>
      <c r="R59" s="3">
        <f>'Historical Data'!AC56</f>
        <v/>
      </c>
      <c r="S59" s="3">
        <f>'Historical Data'!AE56</f>
        <v/>
      </c>
      <c r="T59" s="3">
        <f>'Historical Data'!AH56</f>
        <v/>
      </c>
      <c r="U59" s="3">
        <f>'Historical Data'!BA56</f>
        <v/>
      </c>
      <c r="V59" s="3" t="n"/>
      <c r="W59" s="3" t="n"/>
      <c r="X59" s="3" t="n"/>
      <c r="Y59" s="3" t="n"/>
      <c r="Z59" s="3" t="n"/>
    </row>
    <row r="60" hidden="1" ht="15.75" customHeight="1" s="174">
      <c r="A60" s="3">
        <f>'Historical Data'!A57</f>
        <v/>
      </c>
      <c r="B60" s="3">
        <f>'Historical Data'!B57</f>
        <v/>
      </c>
      <c r="C60" s="3">
        <f>'Historical Data'!D57</f>
        <v/>
      </c>
      <c r="D60" s="23">
        <f>'Historical Data'!E57</f>
        <v/>
      </c>
      <c r="E60" s="3">
        <f>'Historical Data'!G57</f>
        <v/>
      </c>
      <c r="F60" s="3">
        <f>'Historical Data'!Y57</f>
        <v/>
      </c>
      <c r="G60" s="3">
        <f>'Historical Data'!K57</f>
        <v/>
      </c>
      <c r="H60" s="3">
        <f>'Historical Data'!L57</f>
        <v/>
      </c>
      <c r="I60" s="26">
        <f>'Historical Data'!M57</f>
        <v/>
      </c>
      <c r="J60" s="28">
        <f>'Historical Data'!N57</f>
        <v/>
      </c>
      <c r="K60" s="28">
        <f>'Historical Data'!Q57</f>
        <v/>
      </c>
      <c r="L60" s="30">
        <f>'Historical Data'!S57</f>
        <v/>
      </c>
      <c r="M60" s="28">
        <f>'Historical Data'!AJ57</f>
        <v/>
      </c>
      <c r="N60" s="28">
        <f>'Historical Data'!AK57</f>
        <v/>
      </c>
      <c r="O60" s="3">
        <f>'Historical Data'!AA57</f>
        <v/>
      </c>
      <c r="P60" s="3">
        <f>'Historical Data'!AB57</f>
        <v/>
      </c>
      <c r="Q60" s="3">
        <f>'Historical Data'!AN57</f>
        <v/>
      </c>
      <c r="R60" s="3">
        <f>'Historical Data'!AC57</f>
        <v/>
      </c>
      <c r="S60" s="3">
        <f>'Historical Data'!AE57</f>
        <v/>
      </c>
      <c r="T60" s="3">
        <f>'Historical Data'!AH57</f>
        <v/>
      </c>
      <c r="U60" s="3">
        <f>'Historical Data'!BA57</f>
        <v/>
      </c>
      <c r="V60" s="3" t="n"/>
      <c r="W60" s="3" t="n"/>
      <c r="X60" s="3" t="n"/>
      <c r="Y60" s="3" t="n"/>
      <c r="Z60" s="3" t="n"/>
    </row>
    <row r="61" hidden="1" ht="15.75" customHeight="1" s="174">
      <c r="A61" s="3">
        <f>'Historical Data'!A58</f>
        <v/>
      </c>
      <c r="B61" s="3">
        <f>'Historical Data'!B58</f>
        <v/>
      </c>
      <c r="C61" s="3">
        <f>'Historical Data'!D58</f>
        <v/>
      </c>
      <c r="D61" s="23">
        <f>'Historical Data'!E58</f>
        <v/>
      </c>
      <c r="E61" s="3">
        <f>'Historical Data'!G58</f>
        <v/>
      </c>
      <c r="F61" s="3">
        <f>'Historical Data'!Y58</f>
        <v/>
      </c>
      <c r="G61" s="3">
        <f>'Historical Data'!K58</f>
        <v/>
      </c>
      <c r="H61" s="3">
        <f>'Historical Data'!L58</f>
        <v/>
      </c>
      <c r="I61" s="26">
        <f>'Historical Data'!M58</f>
        <v/>
      </c>
      <c r="J61" s="28">
        <f>'Historical Data'!N58</f>
        <v/>
      </c>
      <c r="K61" s="28">
        <f>'Historical Data'!Q58</f>
        <v/>
      </c>
      <c r="L61" s="30">
        <f>'Historical Data'!S58</f>
        <v/>
      </c>
      <c r="M61" s="28">
        <f>'Historical Data'!AJ58</f>
        <v/>
      </c>
      <c r="N61" s="28">
        <f>'Historical Data'!AK58</f>
        <v/>
      </c>
      <c r="O61" s="3">
        <f>'Historical Data'!AA58</f>
        <v/>
      </c>
      <c r="P61" s="3">
        <f>'Historical Data'!AB58</f>
        <v/>
      </c>
      <c r="Q61" s="3">
        <f>'Historical Data'!AN58</f>
        <v/>
      </c>
      <c r="R61" s="3">
        <f>'Historical Data'!AC58</f>
        <v/>
      </c>
      <c r="S61" s="3">
        <f>'Historical Data'!AE58</f>
        <v/>
      </c>
      <c r="T61" s="3">
        <f>'Historical Data'!AH58</f>
        <v/>
      </c>
      <c r="U61" s="3">
        <f>'Historical Data'!BA58</f>
        <v/>
      </c>
      <c r="V61" s="3" t="n"/>
      <c r="W61" s="3" t="n"/>
      <c r="X61" s="3" t="n"/>
      <c r="Y61" s="3" t="n"/>
      <c r="Z61" s="3" t="n"/>
    </row>
    <row r="62" hidden="1" ht="15.75" customHeight="1" s="174">
      <c r="A62" s="3">
        <f>'Historical Data'!A59</f>
        <v/>
      </c>
      <c r="B62" s="3">
        <f>'Historical Data'!B59</f>
        <v/>
      </c>
      <c r="C62" s="3">
        <f>'Historical Data'!D59</f>
        <v/>
      </c>
      <c r="D62" s="23">
        <f>'Historical Data'!E59</f>
        <v/>
      </c>
      <c r="E62" s="3">
        <f>'Historical Data'!G59</f>
        <v/>
      </c>
      <c r="F62" s="3">
        <f>'Historical Data'!Y59</f>
        <v/>
      </c>
      <c r="G62" s="3">
        <f>'Historical Data'!K59</f>
        <v/>
      </c>
      <c r="H62" s="3">
        <f>'Historical Data'!L59</f>
        <v/>
      </c>
      <c r="I62" s="26">
        <f>'Historical Data'!M59</f>
        <v/>
      </c>
      <c r="J62" s="28">
        <f>'Historical Data'!N59</f>
        <v/>
      </c>
      <c r="K62" s="28">
        <f>'Historical Data'!Q59</f>
        <v/>
      </c>
      <c r="L62" s="30">
        <f>'Historical Data'!S59</f>
        <v/>
      </c>
      <c r="M62" s="28">
        <f>'Historical Data'!AJ59</f>
        <v/>
      </c>
      <c r="N62" s="28">
        <f>'Historical Data'!AK59</f>
        <v/>
      </c>
      <c r="O62" s="3">
        <f>'Historical Data'!AA59</f>
        <v/>
      </c>
      <c r="P62" s="3">
        <f>'Historical Data'!AB59</f>
        <v/>
      </c>
      <c r="Q62" s="3">
        <f>'Historical Data'!AN59</f>
        <v/>
      </c>
      <c r="R62" s="3">
        <f>'Historical Data'!AC59</f>
        <v/>
      </c>
      <c r="S62" s="3">
        <f>'Historical Data'!AE59</f>
        <v/>
      </c>
      <c r="T62" s="3">
        <f>'Historical Data'!AH59</f>
        <v/>
      </c>
      <c r="U62" s="3">
        <f>'Historical Data'!BA59</f>
        <v/>
      </c>
      <c r="V62" s="3" t="n"/>
      <c r="W62" s="3" t="n"/>
      <c r="X62" s="3" t="n"/>
      <c r="Y62" s="3" t="n"/>
      <c r="Z62" s="3" t="n"/>
    </row>
    <row r="63" hidden="1" ht="15.75" customHeight="1" s="174">
      <c r="A63" s="3">
        <f>'Historical Data'!A60</f>
        <v/>
      </c>
      <c r="B63" s="3">
        <f>'Historical Data'!B60</f>
        <v/>
      </c>
      <c r="C63" s="3">
        <f>'Historical Data'!D60</f>
        <v/>
      </c>
      <c r="D63" s="23">
        <f>'Historical Data'!E60</f>
        <v/>
      </c>
      <c r="E63" s="3">
        <f>'Historical Data'!G60</f>
        <v/>
      </c>
      <c r="F63" s="3">
        <f>'Historical Data'!Y60</f>
        <v/>
      </c>
      <c r="G63" s="3">
        <f>'Historical Data'!K60</f>
        <v/>
      </c>
      <c r="H63" s="3">
        <f>'Historical Data'!L60</f>
        <v/>
      </c>
      <c r="I63" s="26">
        <f>'Historical Data'!M60</f>
        <v/>
      </c>
      <c r="J63" s="28">
        <f>'Historical Data'!N60</f>
        <v/>
      </c>
      <c r="K63" s="28">
        <f>'Historical Data'!Q60</f>
        <v/>
      </c>
      <c r="L63" s="30">
        <f>'Historical Data'!S60</f>
        <v/>
      </c>
      <c r="M63" s="28">
        <f>'Historical Data'!AJ60</f>
        <v/>
      </c>
      <c r="N63" s="28">
        <f>'Historical Data'!AK60</f>
        <v/>
      </c>
      <c r="O63" s="3">
        <f>'Historical Data'!AA60</f>
        <v/>
      </c>
      <c r="P63" s="3">
        <f>'Historical Data'!AB60</f>
        <v/>
      </c>
      <c r="Q63" s="3">
        <f>'Historical Data'!AN60</f>
        <v/>
      </c>
      <c r="R63" s="3">
        <f>'Historical Data'!AC60</f>
        <v/>
      </c>
      <c r="S63" s="3">
        <f>'Historical Data'!AE60</f>
        <v/>
      </c>
      <c r="T63" s="3">
        <f>'Historical Data'!AH60</f>
        <v/>
      </c>
      <c r="U63" s="3">
        <f>'Historical Data'!BA60</f>
        <v/>
      </c>
      <c r="V63" s="3" t="n"/>
      <c r="W63" s="3" t="n"/>
      <c r="X63" s="3" t="n"/>
      <c r="Y63" s="3" t="n"/>
      <c r="Z63" s="3" t="n"/>
    </row>
    <row r="64" hidden="1" ht="15.75" customHeight="1" s="174">
      <c r="A64" s="3">
        <f>'Historical Data'!A61</f>
        <v/>
      </c>
      <c r="B64" s="3">
        <f>'Historical Data'!B61</f>
        <v/>
      </c>
      <c r="C64" s="3">
        <f>'Historical Data'!D61</f>
        <v/>
      </c>
      <c r="D64" s="23">
        <f>'Historical Data'!E61</f>
        <v/>
      </c>
      <c r="E64" s="3">
        <f>'Historical Data'!G61</f>
        <v/>
      </c>
      <c r="F64" s="3">
        <f>'Historical Data'!Y61</f>
        <v/>
      </c>
      <c r="G64" s="3">
        <f>'Historical Data'!K61</f>
        <v/>
      </c>
      <c r="H64" s="3">
        <f>'Historical Data'!L61</f>
        <v/>
      </c>
      <c r="I64" s="26">
        <f>'Historical Data'!M61</f>
        <v/>
      </c>
      <c r="J64" s="28">
        <f>'Historical Data'!N61</f>
        <v/>
      </c>
      <c r="K64" s="28">
        <f>'Historical Data'!Q61</f>
        <v/>
      </c>
      <c r="L64" s="30">
        <f>'Historical Data'!S61</f>
        <v/>
      </c>
      <c r="M64" s="28">
        <f>'Historical Data'!AJ61</f>
        <v/>
      </c>
      <c r="N64" s="28">
        <f>'Historical Data'!AK61</f>
        <v/>
      </c>
      <c r="O64" s="3">
        <f>'Historical Data'!AA61</f>
        <v/>
      </c>
      <c r="P64" s="3">
        <f>'Historical Data'!AB61</f>
        <v/>
      </c>
      <c r="Q64" s="3">
        <f>'Historical Data'!AN61</f>
        <v/>
      </c>
      <c r="R64" s="3">
        <f>'Historical Data'!AC61</f>
        <v/>
      </c>
      <c r="S64" s="3">
        <f>'Historical Data'!AE61</f>
        <v/>
      </c>
      <c r="T64" s="3">
        <f>'Historical Data'!AH61</f>
        <v/>
      </c>
      <c r="U64" s="3">
        <f>'Historical Data'!BA61</f>
        <v/>
      </c>
      <c r="V64" s="3" t="n"/>
      <c r="W64" s="3" t="n"/>
      <c r="X64" s="3" t="n"/>
      <c r="Y64" s="3" t="n"/>
      <c r="Z64" s="3" t="n"/>
    </row>
    <row r="65" hidden="1" ht="15.75" customHeight="1" s="174">
      <c r="A65" s="3">
        <f>'Historical Data'!A62</f>
        <v/>
      </c>
      <c r="B65" s="3">
        <f>'Historical Data'!B62</f>
        <v/>
      </c>
      <c r="C65" s="3">
        <f>'Historical Data'!D62</f>
        <v/>
      </c>
      <c r="D65" s="23">
        <f>'Historical Data'!E62</f>
        <v/>
      </c>
      <c r="E65" s="3">
        <f>'Historical Data'!G62</f>
        <v/>
      </c>
      <c r="F65" s="3">
        <f>'Historical Data'!Y62</f>
        <v/>
      </c>
      <c r="G65" s="3">
        <f>'Historical Data'!K62</f>
        <v/>
      </c>
      <c r="H65" s="3">
        <f>'Historical Data'!L62</f>
        <v/>
      </c>
      <c r="I65" s="26">
        <f>'Historical Data'!M62</f>
        <v/>
      </c>
      <c r="J65" s="28">
        <f>'Historical Data'!N62</f>
        <v/>
      </c>
      <c r="K65" s="28">
        <f>'Historical Data'!Q62</f>
        <v/>
      </c>
      <c r="L65" s="30">
        <f>'Historical Data'!S62</f>
        <v/>
      </c>
      <c r="M65" s="28">
        <f>'Historical Data'!AJ62</f>
        <v/>
      </c>
      <c r="N65" s="28">
        <f>'Historical Data'!AK62</f>
        <v/>
      </c>
      <c r="O65" s="3">
        <f>'Historical Data'!AA62</f>
        <v/>
      </c>
      <c r="P65" s="3">
        <f>'Historical Data'!AB62</f>
        <v/>
      </c>
      <c r="Q65" s="3">
        <f>'Historical Data'!AN62</f>
        <v/>
      </c>
      <c r="R65" s="3">
        <f>'Historical Data'!AC62</f>
        <v/>
      </c>
      <c r="S65" s="3">
        <f>'Historical Data'!AE62</f>
        <v/>
      </c>
      <c r="T65" s="3">
        <f>'Historical Data'!AH62</f>
        <v/>
      </c>
      <c r="U65" s="3">
        <f>'Historical Data'!BA62</f>
        <v/>
      </c>
      <c r="V65" s="3" t="n"/>
      <c r="W65" s="3" t="n"/>
      <c r="X65" s="3" t="n"/>
      <c r="Y65" s="3" t="n"/>
      <c r="Z65" s="3" t="n"/>
    </row>
    <row r="66" hidden="1" ht="15.75" customHeight="1" s="174">
      <c r="A66" s="3">
        <f>'Historical Data'!A63</f>
        <v/>
      </c>
      <c r="B66" s="3">
        <f>'Historical Data'!B63</f>
        <v/>
      </c>
      <c r="C66" s="3">
        <f>'Historical Data'!D63</f>
        <v/>
      </c>
      <c r="D66" s="23">
        <f>'Historical Data'!E63</f>
        <v/>
      </c>
      <c r="E66" s="3">
        <f>'Historical Data'!G63</f>
        <v/>
      </c>
      <c r="F66" s="3">
        <f>'Historical Data'!Y63</f>
        <v/>
      </c>
      <c r="G66" s="3">
        <f>'Historical Data'!K63</f>
        <v/>
      </c>
      <c r="H66" s="3">
        <f>'Historical Data'!L63</f>
        <v/>
      </c>
      <c r="I66" s="26">
        <f>'Historical Data'!M63</f>
        <v/>
      </c>
      <c r="J66" s="28">
        <f>'Historical Data'!N63</f>
        <v/>
      </c>
      <c r="K66" s="28">
        <f>'Historical Data'!Q63</f>
        <v/>
      </c>
      <c r="L66" s="30">
        <f>'Historical Data'!S63</f>
        <v/>
      </c>
      <c r="M66" s="28">
        <f>'Historical Data'!AJ63</f>
        <v/>
      </c>
      <c r="N66" s="28">
        <f>'Historical Data'!AK63</f>
        <v/>
      </c>
      <c r="O66" s="3">
        <f>'Historical Data'!AA63</f>
        <v/>
      </c>
      <c r="P66" s="3">
        <f>'Historical Data'!AB63</f>
        <v/>
      </c>
      <c r="Q66" s="3">
        <f>'Historical Data'!AN63</f>
        <v/>
      </c>
      <c r="R66" s="3">
        <f>'Historical Data'!AC63</f>
        <v/>
      </c>
      <c r="S66" s="3">
        <f>'Historical Data'!AE63</f>
        <v/>
      </c>
      <c r="T66" s="3">
        <f>'Historical Data'!AH63</f>
        <v/>
      </c>
      <c r="U66" s="3">
        <f>'Historical Data'!BA63</f>
        <v/>
      </c>
      <c r="V66" s="3" t="n"/>
      <c r="W66" s="3" t="n"/>
      <c r="X66" s="3" t="n"/>
      <c r="Y66" s="3" t="n"/>
      <c r="Z66" s="3" t="n"/>
    </row>
    <row r="67" hidden="1" ht="15.75" customHeight="1" s="174">
      <c r="A67" s="3">
        <f>'Historical Data'!A64</f>
        <v/>
      </c>
      <c r="B67" s="3">
        <f>'Historical Data'!B64</f>
        <v/>
      </c>
      <c r="C67" s="3">
        <f>'Historical Data'!D64</f>
        <v/>
      </c>
      <c r="D67" s="23">
        <f>'Historical Data'!E64</f>
        <v/>
      </c>
      <c r="E67" s="3">
        <f>'Historical Data'!G64</f>
        <v/>
      </c>
      <c r="F67" s="3">
        <f>'Historical Data'!Y64</f>
        <v/>
      </c>
      <c r="G67" s="3">
        <f>'Historical Data'!K64</f>
        <v/>
      </c>
      <c r="H67" s="3">
        <f>'Historical Data'!L64</f>
        <v/>
      </c>
      <c r="I67" s="26">
        <f>'Historical Data'!M64</f>
        <v/>
      </c>
      <c r="J67" s="28">
        <f>'Historical Data'!N64</f>
        <v/>
      </c>
      <c r="K67" s="28">
        <f>'Historical Data'!Q64</f>
        <v/>
      </c>
      <c r="L67" s="30">
        <f>'Historical Data'!S64</f>
        <v/>
      </c>
      <c r="M67" s="28">
        <f>'Historical Data'!AJ64</f>
        <v/>
      </c>
      <c r="N67" s="28">
        <f>'Historical Data'!AK64</f>
        <v/>
      </c>
      <c r="O67" s="3">
        <f>'Historical Data'!AA64</f>
        <v/>
      </c>
      <c r="P67" s="3">
        <f>'Historical Data'!AB64</f>
        <v/>
      </c>
      <c r="Q67" s="3">
        <f>'Historical Data'!AN64</f>
        <v/>
      </c>
      <c r="R67" s="3">
        <f>'Historical Data'!AC64</f>
        <v/>
      </c>
      <c r="S67" s="3">
        <f>'Historical Data'!AE64</f>
        <v/>
      </c>
      <c r="T67" s="3">
        <f>'Historical Data'!AH64</f>
        <v/>
      </c>
      <c r="U67" s="3">
        <f>'Historical Data'!BA64</f>
        <v/>
      </c>
      <c r="V67" s="3" t="n"/>
      <c r="W67" s="3" t="n"/>
      <c r="X67" s="3" t="n"/>
      <c r="Y67" s="3" t="n"/>
      <c r="Z67" s="3" t="n"/>
    </row>
    <row r="68" hidden="1" ht="15.75" customHeight="1" s="174">
      <c r="A68" s="3">
        <f>'Historical Data'!A65</f>
        <v/>
      </c>
      <c r="B68" s="3">
        <f>'Historical Data'!B65</f>
        <v/>
      </c>
      <c r="C68" s="3">
        <f>'Historical Data'!D65</f>
        <v/>
      </c>
      <c r="D68" s="23">
        <f>'Historical Data'!E65</f>
        <v/>
      </c>
      <c r="E68" s="3">
        <f>'Historical Data'!G65</f>
        <v/>
      </c>
      <c r="F68" s="3">
        <f>'Historical Data'!Y65</f>
        <v/>
      </c>
      <c r="G68" s="3">
        <f>'Historical Data'!K65</f>
        <v/>
      </c>
      <c r="H68" s="3">
        <f>'Historical Data'!L65</f>
        <v/>
      </c>
      <c r="I68" s="26">
        <f>'Historical Data'!M65</f>
        <v/>
      </c>
      <c r="J68" s="28">
        <f>'Historical Data'!N65</f>
        <v/>
      </c>
      <c r="K68" s="28">
        <f>'Historical Data'!Q65</f>
        <v/>
      </c>
      <c r="L68" s="30">
        <f>'Historical Data'!S65</f>
        <v/>
      </c>
      <c r="M68" s="28">
        <f>'Historical Data'!AJ65</f>
        <v/>
      </c>
      <c r="N68" s="28">
        <f>'Historical Data'!AK65</f>
        <v/>
      </c>
      <c r="O68" s="3">
        <f>'Historical Data'!AA65</f>
        <v/>
      </c>
      <c r="P68" s="3">
        <f>'Historical Data'!AB65</f>
        <v/>
      </c>
      <c r="Q68" s="3">
        <f>'Historical Data'!AN65</f>
        <v/>
      </c>
      <c r="R68" s="3">
        <f>'Historical Data'!AC65</f>
        <v/>
      </c>
      <c r="S68" s="3">
        <f>'Historical Data'!AE65</f>
        <v/>
      </c>
      <c r="T68" s="3">
        <f>'Historical Data'!AH65</f>
        <v/>
      </c>
      <c r="U68" s="3">
        <f>'Historical Data'!BA65</f>
        <v/>
      </c>
      <c r="V68" s="3" t="n"/>
      <c r="W68" s="3" t="n"/>
      <c r="X68" s="3" t="n"/>
      <c r="Y68" s="3" t="n"/>
      <c r="Z68" s="3" t="n"/>
    </row>
    <row r="69" hidden="1" ht="15.75" customHeight="1" s="174">
      <c r="A69" s="3">
        <f>'Historical Data'!A66</f>
        <v/>
      </c>
      <c r="B69" s="3">
        <f>'Historical Data'!B66</f>
        <v/>
      </c>
      <c r="C69" s="3">
        <f>'Historical Data'!D66</f>
        <v/>
      </c>
      <c r="D69" s="23">
        <f>'Historical Data'!E66</f>
        <v/>
      </c>
      <c r="E69" s="3">
        <f>'Historical Data'!G66</f>
        <v/>
      </c>
      <c r="F69" s="3">
        <f>'Historical Data'!Y66</f>
        <v/>
      </c>
      <c r="G69" s="3">
        <f>'Historical Data'!K66</f>
        <v/>
      </c>
      <c r="H69" s="3">
        <f>'Historical Data'!L66</f>
        <v/>
      </c>
      <c r="I69" s="26">
        <f>'Historical Data'!M66</f>
        <v/>
      </c>
      <c r="J69" s="28">
        <f>'Historical Data'!N66</f>
        <v/>
      </c>
      <c r="K69" s="28">
        <f>'Historical Data'!Q66</f>
        <v/>
      </c>
      <c r="L69" s="30">
        <f>'Historical Data'!S66</f>
        <v/>
      </c>
      <c r="M69" s="28">
        <f>'Historical Data'!AJ66</f>
        <v/>
      </c>
      <c r="N69" s="28">
        <f>'Historical Data'!AK66</f>
        <v/>
      </c>
      <c r="O69" s="3">
        <f>'Historical Data'!AA66</f>
        <v/>
      </c>
      <c r="P69" s="3">
        <f>'Historical Data'!AB66</f>
        <v/>
      </c>
      <c r="Q69" s="3">
        <f>'Historical Data'!AN66</f>
        <v/>
      </c>
      <c r="R69" s="3">
        <f>'Historical Data'!AC66</f>
        <v/>
      </c>
      <c r="S69" s="3">
        <f>'Historical Data'!AE66</f>
        <v/>
      </c>
      <c r="T69" s="3">
        <f>'Historical Data'!AH66</f>
        <v/>
      </c>
      <c r="U69" s="3">
        <f>'Historical Data'!BA66</f>
        <v/>
      </c>
      <c r="V69" s="3" t="n"/>
      <c r="W69" s="3" t="n"/>
      <c r="X69" s="3" t="n"/>
      <c r="Y69" s="3" t="n"/>
      <c r="Z69" s="3" t="n"/>
    </row>
    <row r="70" hidden="1" ht="15.75" customHeight="1" s="174">
      <c r="A70" s="3">
        <f>'Historical Data'!A67</f>
        <v/>
      </c>
      <c r="B70" s="3">
        <f>'Historical Data'!B67</f>
        <v/>
      </c>
      <c r="C70" s="3">
        <f>'Historical Data'!D67</f>
        <v/>
      </c>
      <c r="D70" s="23">
        <f>'Historical Data'!E67</f>
        <v/>
      </c>
      <c r="E70" s="3">
        <f>'Historical Data'!G67</f>
        <v/>
      </c>
      <c r="F70" s="3">
        <f>'Historical Data'!Y67</f>
        <v/>
      </c>
      <c r="G70" s="3">
        <f>'Historical Data'!K67</f>
        <v/>
      </c>
      <c r="H70" s="3">
        <f>'Historical Data'!L67</f>
        <v/>
      </c>
      <c r="I70" s="26">
        <f>'Historical Data'!M67</f>
        <v/>
      </c>
      <c r="J70" s="28">
        <f>'Historical Data'!N67</f>
        <v/>
      </c>
      <c r="K70" s="28">
        <f>'Historical Data'!Q67</f>
        <v/>
      </c>
      <c r="L70" s="30">
        <f>'Historical Data'!S67</f>
        <v/>
      </c>
      <c r="M70" s="28">
        <f>'Historical Data'!AJ67</f>
        <v/>
      </c>
      <c r="N70" s="28">
        <f>'Historical Data'!AK67</f>
        <v/>
      </c>
      <c r="O70" s="3">
        <f>'Historical Data'!AA67</f>
        <v/>
      </c>
      <c r="P70" s="3">
        <f>'Historical Data'!AB67</f>
        <v/>
      </c>
      <c r="Q70" s="3">
        <f>'Historical Data'!AN67</f>
        <v/>
      </c>
      <c r="R70" s="3">
        <f>'Historical Data'!AC67</f>
        <v/>
      </c>
      <c r="S70" s="3">
        <f>'Historical Data'!AE67</f>
        <v/>
      </c>
      <c r="T70" s="3">
        <f>'Historical Data'!AH67</f>
        <v/>
      </c>
      <c r="U70" s="3">
        <f>'Historical Data'!BA67</f>
        <v/>
      </c>
      <c r="V70" s="3" t="n"/>
      <c r="W70" s="3" t="n"/>
      <c r="X70" s="3" t="n"/>
      <c r="Y70" s="3" t="n"/>
      <c r="Z70" s="3" t="n"/>
    </row>
    <row r="71" hidden="1" ht="15.75" customHeight="1" s="174">
      <c r="A71" s="3">
        <f>'Historical Data'!A68</f>
        <v/>
      </c>
      <c r="B71" s="3">
        <f>'Historical Data'!B68</f>
        <v/>
      </c>
      <c r="C71" s="3">
        <f>'Historical Data'!D68</f>
        <v/>
      </c>
      <c r="D71" s="23">
        <f>'Historical Data'!E68</f>
        <v/>
      </c>
      <c r="E71" s="3">
        <f>'Historical Data'!G68</f>
        <v/>
      </c>
      <c r="F71" s="3">
        <f>'Historical Data'!Y68</f>
        <v/>
      </c>
      <c r="G71" s="3">
        <f>'Historical Data'!K68</f>
        <v/>
      </c>
      <c r="H71" s="3">
        <f>'Historical Data'!L68</f>
        <v/>
      </c>
      <c r="I71" s="26">
        <f>'Historical Data'!M68</f>
        <v/>
      </c>
      <c r="J71" s="28">
        <f>'Historical Data'!N68</f>
        <v/>
      </c>
      <c r="K71" s="28">
        <f>'Historical Data'!Q68</f>
        <v/>
      </c>
      <c r="L71" s="30">
        <f>'Historical Data'!S68</f>
        <v/>
      </c>
      <c r="M71" s="28">
        <f>'Historical Data'!AJ68</f>
        <v/>
      </c>
      <c r="N71" s="28">
        <f>'Historical Data'!AK68</f>
        <v/>
      </c>
      <c r="O71" s="3">
        <f>'Historical Data'!AA68</f>
        <v/>
      </c>
      <c r="P71" s="3">
        <f>'Historical Data'!AB68</f>
        <v/>
      </c>
      <c r="Q71" s="3">
        <f>'Historical Data'!AN68</f>
        <v/>
      </c>
      <c r="R71" s="3">
        <f>'Historical Data'!AC68</f>
        <v/>
      </c>
      <c r="S71" s="3">
        <f>'Historical Data'!AE68</f>
        <v/>
      </c>
      <c r="T71" s="3">
        <f>'Historical Data'!AH68</f>
        <v/>
      </c>
      <c r="U71" s="3">
        <f>'Historical Data'!BA68</f>
        <v/>
      </c>
      <c r="V71" s="3" t="n"/>
      <c r="W71" s="3" t="n"/>
      <c r="X71" s="3" t="n"/>
      <c r="Y71" s="3" t="n"/>
      <c r="Z71" s="3" t="n"/>
    </row>
    <row r="72" hidden="1" ht="15.75" customHeight="1" s="174">
      <c r="A72" s="3">
        <f>'Historical Data'!A69</f>
        <v/>
      </c>
      <c r="B72" s="3">
        <f>'Historical Data'!B69</f>
        <v/>
      </c>
      <c r="C72" s="3">
        <f>'Historical Data'!D69</f>
        <v/>
      </c>
      <c r="D72" s="23">
        <f>'Historical Data'!E69</f>
        <v/>
      </c>
      <c r="E72" s="3">
        <f>'Historical Data'!G69</f>
        <v/>
      </c>
      <c r="F72" s="3">
        <f>'Historical Data'!Y69</f>
        <v/>
      </c>
      <c r="G72" s="3">
        <f>'Historical Data'!K69</f>
        <v/>
      </c>
      <c r="H72" s="3">
        <f>'Historical Data'!L69</f>
        <v/>
      </c>
      <c r="I72" s="26">
        <f>'Historical Data'!M69</f>
        <v/>
      </c>
      <c r="J72" s="28">
        <f>'Historical Data'!N69</f>
        <v/>
      </c>
      <c r="K72" s="28">
        <f>'Historical Data'!Q69</f>
        <v/>
      </c>
      <c r="L72" s="30">
        <f>'Historical Data'!S69</f>
        <v/>
      </c>
      <c r="M72" s="28">
        <f>'Historical Data'!AJ69</f>
        <v/>
      </c>
      <c r="N72" s="28">
        <f>'Historical Data'!AK69</f>
        <v/>
      </c>
      <c r="O72" s="3">
        <f>'Historical Data'!AA69</f>
        <v/>
      </c>
      <c r="P72" s="3">
        <f>'Historical Data'!AB69</f>
        <v/>
      </c>
      <c r="Q72" s="3">
        <f>'Historical Data'!AN69</f>
        <v/>
      </c>
      <c r="R72" s="3">
        <f>'Historical Data'!AC69</f>
        <v/>
      </c>
      <c r="S72" s="3">
        <f>'Historical Data'!AE69</f>
        <v/>
      </c>
      <c r="T72" s="3">
        <f>'Historical Data'!AH69</f>
        <v/>
      </c>
      <c r="U72" s="3">
        <f>'Historical Data'!BA69</f>
        <v/>
      </c>
      <c r="V72" s="3" t="n"/>
      <c r="W72" s="3" t="n"/>
      <c r="X72" s="3" t="n"/>
      <c r="Y72" s="3" t="n"/>
      <c r="Z72" s="3" t="n"/>
    </row>
    <row r="73" hidden="1" ht="15.75" customHeight="1" s="174">
      <c r="A73" s="3">
        <f>'Historical Data'!A70</f>
        <v/>
      </c>
      <c r="B73" s="3">
        <f>'Historical Data'!B70</f>
        <v/>
      </c>
      <c r="C73" s="3">
        <f>'Historical Data'!D70</f>
        <v/>
      </c>
      <c r="D73" s="23">
        <f>'Historical Data'!E70</f>
        <v/>
      </c>
      <c r="E73" s="3">
        <f>'Historical Data'!G70</f>
        <v/>
      </c>
      <c r="F73" s="3">
        <f>'Historical Data'!Y70</f>
        <v/>
      </c>
      <c r="G73" s="3">
        <f>'Historical Data'!K70</f>
        <v/>
      </c>
      <c r="H73" s="3">
        <f>'Historical Data'!L70</f>
        <v/>
      </c>
      <c r="I73" s="26">
        <f>'Historical Data'!M70</f>
        <v/>
      </c>
      <c r="J73" s="28">
        <f>'Historical Data'!N70</f>
        <v/>
      </c>
      <c r="K73" s="28">
        <f>'Historical Data'!Q70</f>
        <v/>
      </c>
      <c r="L73" s="30">
        <f>'Historical Data'!S70</f>
        <v/>
      </c>
      <c r="M73" s="28">
        <f>'Historical Data'!AJ70</f>
        <v/>
      </c>
      <c r="N73" s="28">
        <f>'Historical Data'!AK70</f>
        <v/>
      </c>
      <c r="O73" s="3">
        <f>'Historical Data'!AA70</f>
        <v/>
      </c>
      <c r="P73" s="3">
        <f>'Historical Data'!AB70</f>
        <v/>
      </c>
      <c r="Q73" s="3">
        <f>'Historical Data'!AN70</f>
        <v/>
      </c>
      <c r="R73" s="3">
        <f>'Historical Data'!AC70</f>
        <v/>
      </c>
      <c r="S73" s="3">
        <f>'Historical Data'!AE70</f>
        <v/>
      </c>
      <c r="T73" s="3">
        <f>'Historical Data'!AH70</f>
        <v/>
      </c>
      <c r="U73" s="3">
        <f>'Historical Data'!BA70</f>
        <v/>
      </c>
      <c r="V73" s="3" t="n"/>
      <c r="W73" s="3" t="n"/>
      <c r="X73" s="3" t="n"/>
      <c r="Y73" s="3" t="n"/>
      <c r="Z73" s="3" t="n"/>
    </row>
    <row r="74" hidden="1" ht="15.75" customHeight="1" s="174">
      <c r="A74" s="3">
        <f>'Historical Data'!A71</f>
        <v/>
      </c>
      <c r="B74" s="3">
        <f>'Historical Data'!B71</f>
        <v/>
      </c>
      <c r="C74" s="3">
        <f>'Historical Data'!D71</f>
        <v/>
      </c>
      <c r="D74" s="23">
        <f>'Historical Data'!E71</f>
        <v/>
      </c>
      <c r="E74" s="3">
        <f>'Historical Data'!G71</f>
        <v/>
      </c>
      <c r="F74" s="3">
        <f>'Historical Data'!Y71</f>
        <v/>
      </c>
      <c r="G74" s="3">
        <f>'Historical Data'!K71</f>
        <v/>
      </c>
      <c r="H74" s="3">
        <f>'Historical Data'!L71</f>
        <v/>
      </c>
      <c r="I74" s="26">
        <f>'Historical Data'!M71</f>
        <v/>
      </c>
      <c r="J74" s="28">
        <f>'Historical Data'!N71</f>
        <v/>
      </c>
      <c r="K74" s="28">
        <f>'Historical Data'!Q71</f>
        <v/>
      </c>
      <c r="L74" s="30">
        <f>'Historical Data'!S71</f>
        <v/>
      </c>
      <c r="M74" s="28">
        <f>'Historical Data'!AJ71</f>
        <v/>
      </c>
      <c r="N74" s="28">
        <f>'Historical Data'!AK71</f>
        <v/>
      </c>
      <c r="O74" s="3">
        <f>'Historical Data'!AA71</f>
        <v/>
      </c>
      <c r="P74" s="3">
        <f>'Historical Data'!AB71</f>
        <v/>
      </c>
      <c r="Q74" s="3">
        <f>'Historical Data'!AN71</f>
        <v/>
      </c>
      <c r="R74" s="3">
        <f>'Historical Data'!AC71</f>
        <v/>
      </c>
      <c r="S74" s="3">
        <f>'Historical Data'!AE71</f>
        <v/>
      </c>
      <c r="T74" s="3">
        <f>'Historical Data'!AH71</f>
        <v/>
      </c>
      <c r="U74" s="3">
        <f>'Historical Data'!BA71</f>
        <v/>
      </c>
      <c r="V74" s="3" t="n"/>
      <c r="W74" s="3" t="n"/>
      <c r="X74" s="3" t="n"/>
      <c r="Y74" s="3" t="n"/>
      <c r="Z74" s="3" t="n"/>
    </row>
    <row r="75" hidden="1" ht="15.75" customHeight="1" s="174">
      <c r="A75" s="3">
        <f>'Historical Data'!A72</f>
        <v/>
      </c>
      <c r="B75" s="3">
        <f>'Historical Data'!B72</f>
        <v/>
      </c>
      <c r="C75" s="3">
        <f>'Historical Data'!D72</f>
        <v/>
      </c>
      <c r="D75" s="23">
        <f>'Historical Data'!E72</f>
        <v/>
      </c>
      <c r="E75" s="3">
        <f>'Historical Data'!G72</f>
        <v/>
      </c>
      <c r="F75" s="3">
        <f>'Historical Data'!Y72</f>
        <v/>
      </c>
      <c r="G75" s="3">
        <f>'Historical Data'!K72</f>
        <v/>
      </c>
      <c r="H75" s="3">
        <f>'Historical Data'!L72</f>
        <v/>
      </c>
      <c r="I75" s="26">
        <f>'Historical Data'!M72</f>
        <v/>
      </c>
      <c r="J75" s="28">
        <f>'Historical Data'!N72</f>
        <v/>
      </c>
      <c r="K75" s="28">
        <f>'Historical Data'!Q72</f>
        <v/>
      </c>
      <c r="L75" s="30">
        <f>'Historical Data'!S72</f>
        <v/>
      </c>
      <c r="M75" s="28">
        <f>'Historical Data'!AJ72</f>
        <v/>
      </c>
      <c r="N75" s="28">
        <f>'Historical Data'!AK72</f>
        <v/>
      </c>
      <c r="O75" s="3">
        <f>'Historical Data'!AA72</f>
        <v/>
      </c>
      <c r="P75" s="3">
        <f>'Historical Data'!AB72</f>
        <v/>
      </c>
      <c r="Q75" s="3">
        <f>'Historical Data'!AN72</f>
        <v/>
      </c>
      <c r="R75" s="3">
        <f>'Historical Data'!AC72</f>
        <v/>
      </c>
      <c r="S75" s="3">
        <f>'Historical Data'!AE72</f>
        <v/>
      </c>
      <c r="T75" s="3">
        <f>'Historical Data'!AH72</f>
        <v/>
      </c>
      <c r="U75" s="3">
        <f>'Historical Data'!BA72</f>
        <v/>
      </c>
      <c r="V75" s="3" t="n"/>
      <c r="W75" s="3" t="n"/>
      <c r="X75" s="3" t="n"/>
      <c r="Y75" s="3" t="n"/>
      <c r="Z75" s="3" t="n"/>
    </row>
    <row r="76" hidden="1" ht="15.75" customHeight="1" s="174">
      <c r="A76" s="3">
        <f>'Historical Data'!A73</f>
        <v/>
      </c>
      <c r="B76" s="3">
        <f>'Historical Data'!B73</f>
        <v/>
      </c>
      <c r="C76" s="3">
        <f>'Historical Data'!D73</f>
        <v/>
      </c>
      <c r="D76" s="23">
        <f>'Historical Data'!E73</f>
        <v/>
      </c>
      <c r="E76" s="3">
        <f>'Historical Data'!G73</f>
        <v/>
      </c>
      <c r="F76" s="3">
        <f>'Historical Data'!Y73</f>
        <v/>
      </c>
      <c r="G76" s="3">
        <f>'Historical Data'!K73</f>
        <v/>
      </c>
      <c r="H76" s="3">
        <f>'Historical Data'!L73</f>
        <v/>
      </c>
      <c r="I76" s="26">
        <f>'Historical Data'!M73</f>
        <v/>
      </c>
      <c r="J76" s="28">
        <f>'Historical Data'!N73</f>
        <v/>
      </c>
      <c r="K76" s="28">
        <f>'Historical Data'!Q73</f>
        <v/>
      </c>
      <c r="L76" s="30">
        <f>'Historical Data'!S73</f>
        <v/>
      </c>
      <c r="M76" s="28">
        <f>'Historical Data'!AJ73</f>
        <v/>
      </c>
      <c r="N76" s="28">
        <f>'Historical Data'!AK73</f>
        <v/>
      </c>
      <c r="O76" s="3">
        <f>'Historical Data'!AA73</f>
        <v/>
      </c>
      <c r="P76" s="3">
        <f>'Historical Data'!AB73</f>
        <v/>
      </c>
      <c r="Q76" s="3">
        <f>'Historical Data'!AN73</f>
        <v/>
      </c>
      <c r="R76" s="3">
        <f>'Historical Data'!AC73</f>
        <v/>
      </c>
      <c r="S76" s="3">
        <f>'Historical Data'!AE73</f>
        <v/>
      </c>
      <c r="T76" s="3">
        <f>'Historical Data'!AH73</f>
        <v/>
      </c>
      <c r="U76" s="3">
        <f>'Historical Data'!BA73</f>
        <v/>
      </c>
      <c r="V76" s="3" t="n"/>
      <c r="W76" s="3" t="n"/>
      <c r="X76" s="3" t="n"/>
      <c r="Y76" s="3" t="n"/>
      <c r="Z76" s="3" t="n"/>
    </row>
    <row r="77" hidden="1" ht="15.75" customHeight="1" s="174">
      <c r="A77" s="3">
        <f>'Historical Data'!A74</f>
        <v/>
      </c>
      <c r="B77" s="3">
        <f>'Historical Data'!B74</f>
        <v/>
      </c>
      <c r="C77" s="3">
        <f>'Historical Data'!D74</f>
        <v/>
      </c>
      <c r="D77" s="23">
        <f>'Historical Data'!E74</f>
        <v/>
      </c>
      <c r="E77" s="3">
        <f>'Historical Data'!G74</f>
        <v/>
      </c>
      <c r="F77" s="3">
        <f>'Historical Data'!Y74</f>
        <v/>
      </c>
      <c r="G77" s="3">
        <f>'Historical Data'!K74</f>
        <v/>
      </c>
      <c r="H77" s="3">
        <f>'Historical Data'!L74</f>
        <v/>
      </c>
      <c r="I77" s="26">
        <f>'Historical Data'!M74</f>
        <v/>
      </c>
      <c r="J77" s="28">
        <f>'Historical Data'!N74</f>
        <v/>
      </c>
      <c r="K77" s="28">
        <f>'Historical Data'!Q74</f>
        <v/>
      </c>
      <c r="L77" s="30">
        <f>'Historical Data'!S74</f>
        <v/>
      </c>
      <c r="M77" s="28">
        <f>'Historical Data'!AJ74</f>
        <v/>
      </c>
      <c r="N77" s="28">
        <f>'Historical Data'!AK74</f>
        <v/>
      </c>
      <c r="O77" s="3">
        <f>'Historical Data'!AA74</f>
        <v/>
      </c>
      <c r="P77" s="3">
        <f>'Historical Data'!AB74</f>
        <v/>
      </c>
      <c r="Q77" s="3">
        <f>'Historical Data'!AN74</f>
        <v/>
      </c>
      <c r="R77" s="3">
        <f>'Historical Data'!AC74</f>
        <v/>
      </c>
      <c r="S77" s="3">
        <f>'Historical Data'!AE74</f>
        <v/>
      </c>
      <c r="T77" s="3">
        <f>'Historical Data'!AH74</f>
        <v/>
      </c>
      <c r="U77" s="3">
        <f>'Historical Data'!BA74</f>
        <v/>
      </c>
      <c r="V77" s="3" t="n"/>
      <c r="W77" s="3" t="n"/>
      <c r="X77" s="3" t="n"/>
      <c r="Y77" s="3" t="n"/>
      <c r="Z77" s="3" t="n"/>
    </row>
    <row r="78" hidden="1" ht="15.75" customHeight="1" s="174">
      <c r="A78" s="3">
        <f>'Historical Data'!A75</f>
        <v/>
      </c>
      <c r="B78" s="3">
        <f>'Historical Data'!B75</f>
        <v/>
      </c>
      <c r="C78" s="3">
        <f>'Historical Data'!D75</f>
        <v/>
      </c>
      <c r="D78" s="23">
        <f>'Historical Data'!E75</f>
        <v/>
      </c>
      <c r="E78" s="3">
        <f>'Historical Data'!G75</f>
        <v/>
      </c>
      <c r="F78" s="3">
        <f>'Historical Data'!Y75</f>
        <v/>
      </c>
      <c r="G78" s="3">
        <f>'Historical Data'!K75</f>
        <v/>
      </c>
      <c r="H78" s="3">
        <f>'Historical Data'!L75</f>
        <v/>
      </c>
      <c r="I78" s="26">
        <f>'Historical Data'!M75</f>
        <v/>
      </c>
      <c r="J78" s="28">
        <f>'Historical Data'!N75</f>
        <v/>
      </c>
      <c r="K78" s="28">
        <f>'Historical Data'!Q75</f>
        <v/>
      </c>
      <c r="L78" s="30">
        <f>'Historical Data'!S75</f>
        <v/>
      </c>
      <c r="M78" s="28">
        <f>'Historical Data'!AJ75</f>
        <v/>
      </c>
      <c r="N78" s="28">
        <f>'Historical Data'!AK75</f>
        <v/>
      </c>
      <c r="O78" s="3">
        <f>'Historical Data'!AA75</f>
        <v/>
      </c>
      <c r="P78" s="3">
        <f>'Historical Data'!AB75</f>
        <v/>
      </c>
      <c r="Q78" s="3">
        <f>'Historical Data'!AN75</f>
        <v/>
      </c>
      <c r="R78" s="3">
        <f>'Historical Data'!AC75</f>
        <v/>
      </c>
      <c r="S78" s="3">
        <f>'Historical Data'!AE75</f>
        <v/>
      </c>
      <c r="T78" s="3">
        <f>'Historical Data'!AH75</f>
        <v/>
      </c>
      <c r="U78" s="3">
        <f>'Historical Data'!BA75</f>
        <v/>
      </c>
      <c r="V78" s="3" t="n"/>
      <c r="W78" s="3" t="n"/>
      <c r="X78" s="3" t="n"/>
      <c r="Y78" s="3" t="n"/>
      <c r="Z78" s="3" t="n"/>
    </row>
    <row r="79" hidden="1" ht="15.75" customHeight="1" s="174">
      <c r="A79" s="3">
        <f>'Historical Data'!A76</f>
        <v/>
      </c>
      <c r="B79" s="3">
        <f>'Historical Data'!B76</f>
        <v/>
      </c>
      <c r="C79" s="3">
        <f>'Historical Data'!D76</f>
        <v/>
      </c>
      <c r="D79" s="23">
        <f>'Historical Data'!E76</f>
        <v/>
      </c>
      <c r="E79" s="3">
        <f>'Historical Data'!G76</f>
        <v/>
      </c>
      <c r="F79" s="3">
        <f>'Historical Data'!Y76</f>
        <v/>
      </c>
      <c r="G79" s="3">
        <f>'Historical Data'!K76</f>
        <v/>
      </c>
      <c r="H79" s="3">
        <f>'Historical Data'!L76</f>
        <v/>
      </c>
      <c r="I79" s="26">
        <f>'Historical Data'!M76</f>
        <v/>
      </c>
      <c r="J79" s="28">
        <f>'Historical Data'!N76</f>
        <v/>
      </c>
      <c r="K79" s="28">
        <f>'Historical Data'!Q76</f>
        <v/>
      </c>
      <c r="L79" s="30">
        <f>'Historical Data'!S76</f>
        <v/>
      </c>
      <c r="M79" s="28">
        <f>'Historical Data'!AJ76</f>
        <v/>
      </c>
      <c r="N79" s="28">
        <f>'Historical Data'!AK76</f>
        <v/>
      </c>
      <c r="O79" s="3">
        <f>'Historical Data'!AA76</f>
        <v/>
      </c>
      <c r="P79" s="3">
        <f>'Historical Data'!AB76</f>
        <v/>
      </c>
      <c r="Q79" s="3">
        <f>'Historical Data'!AN76</f>
        <v/>
      </c>
      <c r="R79" s="3">
        <f>'Historical Data'!AC76</f>
        <v/>
      </c>
      <c r="S79" s="3">
        <f>'Historical Data'!AE76</f>
        <v/>
      </c>
      <c r="T79" s="3">
        <f>'Historical Data'!AH76</f>
        <v/>
      </c>
      <c r="U79" s="3">
        <f>'Historical Data'!BA76</f>
        <v/>
      </c>
      <c r="V79" s="3" t="n"/>
      <c r="W79" s="3" t="n"/>
      <c r="X79" s="3" t="n"/>
      <c r="Y79" s="3" t="n"/>
      <c r="Z79" s="3" t="n"/>
    </row>
    <row r="80" hidden="1" ht="15.75" customHeight="1" s="174">
      <c r="A80" s="3">
        <f>'Historical Data'!A77</f>
        <v/>
      </c>
      <c r="B80" s="3">
        <f>'Historical Data'!B77</f>
        <v/>
      </c>
      <c r="C80" s="3">
        <f>'Historical Data'!D77</f>
        <v/>
      </c>
      <c r="D80" s="23">
        <f>'Historical Data'!E77</f>
        <v/>
      </c>
      <c r="E80" s="3">
        <f>'Historical Data'!G77</f>
        <v/>
      </c>
      <c r="F80" s="3">
        <f>'Historical Data'!Y77</f>
        <v/>
      </c>
      <c r="G80" s="3">
        <f>'Historical Data'!K77</f>
        <v/>
      </c>
      <c r="H80" s="3">
        <f>'Historical Data'!L77</f>
        <v/>
      </c>
      <c r="I80" s="26">
        <f>'Historical Data'!M77</f>
        <v/>
      </c>
      <c r="J80" s="28">
        <f>'Historical Data'!N77</f>
        <v/>
      </c>
      <c r="K80" s="28">
        <f>'Historical Data'!Q77</f>
        <v/>
      </c>
      <c r="L80" s="30">
        <f>'Historical Data'!S77</f>
        <v/>
      </c>
      <c r="M80" s="28">
        <f>'Historical Data'!AJ77</f>
        <v/>
      </c>
      <c r="N80" s="28">
        <f>'Historical Data'!AK77</f>
        <v/>
      </c>
      <c r="O80" s="3">
        <f>'Historical Data'!AA77</f>
        <v/>
      </c>
      <c r="P80" s="3">
        <f>'Historical Data'!AB77</f>
        <v/>
      </c>
      <c r="Q80" s="3">
        <f>'Historical Data'!AN77</f>
        <v/>
      </c>
      <c r="R80" s="3">
        <f>'Historical Data'!AC77</f>
        <v/>
      </c>
      <c r="S80" s="3">
        <f>'Historical Data'!AE77</f>
        <v/>
      </c>
      <c r="T80" s="3">
        <f>'Historical Data'!AH77</f>
        <v/>
      </c>
      <c r="U80" s="3">
        <f>'Historical Data'!BA77</f>
        <v/>
      </c>
      <c r="V80" s="3" t="n"/>
      <c r="W80" s="3" t="n"/>
      <c r="X80" s="3" t="n"/>
      <c r="Y80" s="3" t="n"/>
      <c r="Z80" s="3" t="n"/>
    </row>
    <row r="81" hidden="1" ht="15.75" customHeight="1" s="174">
      <c r="A81" s="3">
        <f>'Historical Data'!A78</f>
        <v/>
      </c>
      <c r="B81" s="3">
        <f>'Historical Data'!B78</f>
        <v/>
      </c>
      <c r="C81" s="3">
        <f>'Historical Data'!D78</f>
        <v/>
      </c>
      <c r="D81" s="23">
        <f>'Historical Data'!E78</f>
        <v/>
      </c>
      <c r="E81" s="3">
        <f>'Historical Data'!G78</f>
        <v/>
      </c>
      <c r="F81" s="3">
        <f>'Historical Data'!Y78</f>
        <v/>
      </c>
      <c r="G81" s="3">
        <f>'Historical Data'!K78</f>
        <v/>
      </c>
      <c r="H81" s="3">
        <f>'Historical Data'!L78</f>
        <v/>
      </c>
      <c r="I81" s="26">
        <f>'Historical Data'!M78</f>
        <v/>
      </c>
      <c r="J81" s="28">
        <f>'Historical Data'!N78</f>
        <v/>
      </c>
      <c r="K81" s="28">
        <f>'Historical Data'!Q78</f>
        <v/>
      </c>
      <c r="L81" s="30">
        <f>'Historical Data'!S78</f>
        <v/>
      </c>
      <c r="M81" s="28">
        <f>'Historical Data'!AJ78</f>
        <v/>
      </c>
      <c r="N81" s="28">
        <f>'Historical Data'!AK78</f>
        <v/>
      </c>
      <c r="O81" s="3">
        <f>'Historical Data'!AA78</f>
        <v/>
      </c>
      <c r="P81" s="3">
        <f>'Historical Data'!AB78</f>
        <v/>
      </c>
      <c r="Q81" s="3">
        <f>'Historical Data'!AN78</f>
        <v/>
      </c>
      <c r="R81" s="3">
        <f>'Historical Data'!AC78</f>
        <v/>
      </c>
      <c r="S81" s="3">
        <f>'Historical Data'!AE78</f>
        <v/>
      </c>
      <c r="T81" s="3">
        <f>'Historical Data'!AH78</f>
        <v/>
      </c>
      <c r="U81" s="3">
        <f>'Historical Data'!BA78</f>
        <v/>
      </c>
      <c r="V81" s="3" t="n"/>
      <c r="W81" s="3" t="n"/>
      <c r="X81" s="3" t="n"/>
      <c r="Y81" s="3" t="n"/>
      <c r="Z81" s="3" t="n"/>
    </row>
    <row r="82" hidden="1" ht="15.75" customHeight="1" s="174">
      <c r="A82" s="3">
        <f>'Historical Data'!A79</f>
        <v/>
      </c>
      <c r="B82" s="3">
        <f>'Historical Data'!B79</f>
        <v/>
      </c>
      <c r="C82" s="3">
        <f>'Historical Data'!D79</f>
        <v/>
      </c>
      <c r="D82" s="23">
        <f>'Historical Data'!E79</f>
        <v/>
      </c>
      <c r="E82" s="3">
        <f>'Historical Data'!G79</f>
        <v/>
      </c>
      <c r="F82" s="3">
        <f>'Historical Data'!Y79</f>
        <v/>
      </c>
      <c r="G82" s="3">
        <f>'Historical Data'!K79</f>
        <v/>
      </c>
      <c r="H82" s="3">
        <f>'Historical Data'!L79</f>
        <v/>
      </c>
      <c r="I82" s="26">
        <f>'Historical Data'!M79</f>
        <v/>
      </c>
      <c r="J82" s="28">
        <f>'Historical Data'!N79</f>
        <v/>
      </c>
      <c r="K82" s="28">
        <f>'Historical Data'!Q79</f>
        <v/>
      </c>
      <c r="L82" s="30">
        <f>'Historical Data'!S79</f>
        <v/>
      </c>
      <c r="M82" s="28">
        <f>'Historical Data'!AJ79</f>
        <v/>
      </c>
      <c r="N82" s="28">
        <f>'Historical Data'!AK79</f>
        <v/>
      </c>
      <c r="O82" s="3">
        <f>'Historical Data'!AA79</f>
        <v/>
      </c>
      <c r="P82" s="3">
        <f>'Historical Data'!AB79</f>
        <v/>
      </c>
      <c r="Q82" s="3">
        <f>'Historical Data'!AN79</f>
        <v/>
      </c>
      <c r="R82" s="3">
        <f>'Historical Data'!AC79</f>
        <v/>
      </c>
      <c r="S82" s="3">
        <f>'Historical Data'!AE79</f>
        <v/>
      </c>
      <c r="T82" s="3">
        <f>'Historical Data'!AH79</f>
        <v/>
      </c>
      <c r="U82" s="3">
        <f>'Historical Data'!BA79</f>
        <v/>
      </c>
      <c r="V82" s="3" t="n"/>
      <c r="W82" s="3" t="n"/>
      <c r="X82" s="3" t="n"/>
      <c r="Y82" s="3" t="n"/>
      <c r="Z82" s="3" t="n"/>
    </row>
    <row r="83" hidden="1" ht="15.75" customHeight="1" s="174">
      <c r="A83" s="3">
        <f>'Historical Data'!A80</f>
        <v/>
      </c>
      <c r="B83" s="3">
        <f>'Historical Data'!B80</f>
        <v/>
      </c>
      <c r="C83" s="3">
        <f>'Historical Data'!D80</f>
        <v/>
      </c>
      <c r="D83" s="23">
        <f>'Historical Data'!E80</f>
        <v/>
      </c>
      <c r="E83" s="3">
        <f>'Historical Data'!G80</f>
        <v/>
      </c>
      <c r="F83" s="3">
        <f>'Historical Data'!Y80</f>
        <v/>
      </c>
      <c r="G83" s="3">
        <f>'Historical Data'!K80</f>
        <v/>
      </c>
      <c r="H83" s="3">
        <f>'Historical Data'!L80</f>
        <v/>
      </c>
      <c r="I83" s="26">
        <f>'Historical Data'!M80</f>
        <v/>
      </c>
      <c r="J83" s="28">
        <f>'Historical Data'!N80</f>
        <v/>
      </c>
      <c r="K83" s="28">
        <f>'Historical Data'!Q80</f>
        <v/>
      </c>
      <c r="L83" s="30">
        <f>'Historical Data'!S80</f>
        <v/>
      </c>
      <c r="M83" s="28">
        <f>'Historical Data'!AJ80</f>
        <v/>
      </c>
      <c r="N83" s="28">
        <f>'Historical Data'!AK80</f>
        <v/>
      </c>
      <c r="O83" s="3">
        <f>'Historical Data'!AA80</f>
        <v/>
      </c>
      <c r="P83" s="3">
        <f>'Historical Data'!AB80</f>
        <v/>
      </c>
      <c r="Q83" s="3">
        <f>'Historical Data'!AN80</f>
        <v/>
      </c>
      <c r="R83" s="3">
        <f>'Historical Data'!AC80</f>
        <v/>
      </c>
      <c r="S83" s="3">
        <f>'Historical Data'!AE80</f>
        <v/>
      </c>
      <c r="T83" s="3">
        <f>'Historical Data'!AH80</f>
        <v/>
      </c>
      <c r="U83" s="3">
        <f>'Historical Data'!BA80</f>
        <v/>
      </c>
      <c r="V83" s="3" t="n"/>
      <c r="W83" s="3" t="n"/>
      <c r="X83" s="3" t="n"/>
      <c r="Y83" s="3" t="n"/>
      <c r="Z83" s="3" t="n"/>
    </row>
    <row r="84" hidden="1" ht="15.75" customHeight="1" s="174">
      <c r="A84" s="3">
        <f>'Historical Data'!A81</f>
        <v/>
      </c>
      <c r="B84" s="3">
        <f>'Historical Data'!B81</f>
        <v/>
      </c>
      <c r="C84" s="3">
        <f>'Historical Data'!D81</f>
        <v/>
      </c>
      <c r="D84" s="23">
        <f>'Historical Data'!E81</f>
        <v/>
      </c>
      <c r="E84" s="3">
        <f>'Historical Data'!G81</f>
        <v/>
      </c>
      <c r="F84" s="3">
        <f>'Historical Data'!Y81</f>
        <v/>
      </c>
      <c r="G84" s="3">
        <f>'Historical Data'!K81</f>
        <v/>
      </c>
      <c r="H84" s="3">
        <f>'Historical Data'!L81</f>
        <v/>
      </c>
      <c r="I84" s="26">
        <f>'Historical Data'!M81</f>
        <v/>
      </c>
      <c r="J84" s="28">
        <f>'Historical Data'!N81</f>
        <v/>
      </c>
      <c r="K84" s="28">
        <f>'Historical Data'!Q81</f>
        <v/>
      </c>
      <c r="L84" s="30">
        <f>'Historical Data'!S81</f>
        <v/>
      </c>
      <c r="M84" s="28">
        <f>'Historical Data'!AJ81</f>
        <v/>
      </c>
      <c r="N84" s="28">
        <f>'Historical Data'!AK81</f>
        <v/>
      </c>
      <c r="O84" s="3">
        <f>'Historical Data'!AA81</f>
        <v/>
      </c>
      <c r="P84" s="3">
        <f>'Historical Data'!AB81</f>
        <v/>
      </c>
      <c r="Q84" s="3">
        <f>'Historical Data'!AN81</f>
        <v/>
      </c>
      <c r="R84" s="3">
        <f>'Historical Data'!AC81</f>
        <v/>
      </c>
      <c r="S84" s="3">
        <f>'Historical Data'!AE81</f>
        <v/>
      </c>
      <c r="T84" s="3">
        <f>'Historical Data'!AH81</f>
        <v/>
      </c>
      <c r="U84" s="3">
        <f>'Historical Data'!BA81</f>
        <v/>
      </c>
      <c r="V84" s="3" t="n"/>
      <c r="W84" s="3" t="n"/>
      <c r="X84" s="3" t="n"/>
      <c r="Y84" s="3" t="n"/>
      <c r="Z84" s="3" t="n"/>
    </row>
    <row r="85" hidden="1" ht="15.75" customHeight="1" s="174">
      <c r="A85" s="3">
        <f>'Historical Data'!A82</f>
        <v/>
      </c>
      <c r="B85" s="3">
        <f>'Historical Data'!B82</f>
        <v/>
      </c>
      <c r="C85" s="3">
        <f>'Historical Data'!D82</f>
        <v/>
      </c>
      <c r="D85" s="23">
        <f>'Historical Data'!E82</f>
        <v/>
      </c>
      <c r="E85" s="3">
        <f>'Historical Data'!G82</f>
        <v/>
      </c>
      <c r="F85" s="3">
        <f>'Historical Data'!Y82</f>
        <v/>
      </c>
      <c r="G85" s="3">
        <f>'Historical Data'!K82</f>
        <v/>
      </c>
      <c r="H85" s="3">
        <f>'Historical Data'!L82</f>
        <v/>
      </c>
      <c r="I85" s="26">
        <f>'Historical Data'!M82</f>
        <v/>
      </c>
      <c r="J85" s="28">
        <f>'Historical Data'!N82</f>
        <v/>
      </c>
      <c r="K85" s="28">
        <f>'Historical Data'!Q82</f>
        <v/>
      </c>
      <c r="L85" s="30">
        <f>'Historical Data'!S82</f>
        <v/>
      </c>
      <c r="M85" s="28">
        <f>'Historical Data'!AJ82</f>
        <v/>
      </c>
      <c r="N85" s="28">
        <f>'Historical Data'!AK82</f>
        <v/>
      </c>
      <c r="O85" s="3">
        <f>'Historical Data'!AA82</f>
        <v/>
      </c>
      <c r="P85" s="3">
        <f>'Historical Data'!AB82</f>
        <v/>
      </c>
      <c r="Q85" s="3">
        <f>'Historical Data'!AN82</f>
        <v/>
      </c>
      <c r="R85" s="3">
        <f>'Historical Data'!AC82</f>
        <v/>
      </c>
      <c r="S85" s="3">
        <f>'Historical Data'!AE82</f>
        <v/>
      </c>
      <c r="T85" s="3">
        <f>'Historical Data'!AH82</f>
        <v/>
      </c>
      <c r="U85" s="3">
        <f>'Historical Data'!BA82</f>
        <v/>
      </c>
      <c r="V85" s="3" t="n"/>
      <c r="W85" s="3" t="n"/>
      <c r="X85" s="3" t="n"/>
      <c r="Y85" s="3" t="n"/>
      <c r="Z85" s="3" t="n"/>
    </row>
    <row r="86" hidden="1" ht="15.75" customHeight="1" s="174">
      <c r="A86" s="3">
        <f>'Historical Data'!A83</f>
        <v/>
      </c>
      <c r="B86" s="3">
        <f>'Historical Data'!B83</f>
        <v/>
      </c>
      <c r="C86" s="3">
        <f>'Historical Data'!D83</f>
        <v/>
      </c>
      <c r="D86" s="23">
        <f>'Historical Data'!E83</f>
        <v/>
      </c>
      <c r="E86" s="3">
        <f>'Historical Data'!G83</f>
        <v/>
      </c>
      <c r="F86" s="3">
        <f>'Historical Data'!Y83</f>
        <v/>
      </c>
      <c r="G86" s="3">
        <f>'Historical Data'!K83</f>
        <v/>
      </c>
      <c r="H86" s="3">
        <f>'Historical Data'!L83</f>
        <v/>
      </c>
      <c r="I86" s="26">
        <f>'Historical Data'!M83</f>
        <v/>
      </c>
      <c r="J86" s="28">
        <f>'Historical Data'!N83</f>
        <v/>
      </c>
      <c r="K86" s="28">
        <f>'Historical Data'!Q83</f>
        <v/>
      </c>
      <c r="L86" s="30">
        <f>'Historical Data'!S83</f>
        <v/>
      </c>
      <c r="M86" s="28">
        <f>'Historical Data'!AJ83</f>
        <v/>
      </c>
      <c r="N86" s="28">
        <f>'Historical Data'!AK83</f>
        <v/>
      </c>
      <c r="O86" s="3">
        <f>'Historical Data'!AA83</f>
        <v/>
      </c>
      <c r="P86" s="3">
        <f>'Historical Data'!AB83</f>
        <v/>
      </c>
      <c r="Q86" s="3">
        <f>'Historical Data'!AN83</f>
        <v/>
      </c>
      <c r="R86" s="3">
        <f>'Historical Data'!AC83</f>
        <v/>
      </c>
      <c r="S86" s="3">
        <f>'Historical Data'!AE83</f>
        <v/>
      </c>
      <c r="T86" s="3">
        <f>'Historical Data'!AH83</f>
        <v/>
      </c>
      <c r="U86" s="3">
        <f>'Historical Data'!BA83</f>
        <v/>
      </c>
      <c r="V86" s="3" t="n"/>
      <c r="W86" s="3" t="n"/>
      <c r="X86" s="3" t="n"/>
      <c r="Y86" s="3" t="n"/>
      <c r="Z86" s="3" t="n"/>
    </row>
    <row r="87" hidden="1" ht="15.75" customHeight="1" s="174">
      <c r="A87" s="3">
        <f>'Historical Data'!A84</f>
        <v/>
      </c>
      <c r="B87" s="3">
        <f>'Historical Data'!B84</f>
        <v/>
      </c>
      <c r="C87" s="3">
        <f>'Historical Data'!D84</f>
        <v/>
      </c>
      <c r="D87" s="23">
        <f>'Historical Data'!E84</f>
        <v/>
      </c>
      <c r="E87" s="3">
        <f>'Historical Data'!G84</f>
        <v/>
      </c>
      <c r="F87" s="3">
        <f>'Historical Data'!Y84</f>
        <v/>
      </c>
      <c r="G87" s="3">
        <f>'Historical Data'!K84</f>
        <v/>
      </c>
      <c r="H87" s="3">
        <f>'Historical Data'!L84</f>
        <v/>
      </c>
      <c r="I87" s="26">
        <f>'Historical Data'!M84</f>
        <v/>
      </c>
      <c r="J87" s="28">
        <f>'Historical Data'!N84</f>
        <v/>
      </c>
      <c r="K87" s="28">
        <f>'Historical Data'!Q84</f>
        <v/>
      </c>
      <c r="L87" s="30">
        <f>'Historical Data'!S84</f>
        <v/>
      </c>
      <c r="M87" s="28">
        <f>'Historical Data'!AJ84</f>
        <v/>
      </c>
      <c r="N87" s="28">
        <f>'Historical Data'!AK84</f>
        <v/>
      </c>
      <c r="O87" s="3">
        <f>'Historical Data'!AA84</f>
        <v/>
      </c>
      <c r="P87" s="3">
        <f>'Historical Data'!AB84</f>
        <v/>
      </c>
      <c r="Q87" s="3">
        <f>'Historical Data'!AN84</f>
        <v/>
      </c>
      <c r="R87" s="3">
        <f>'Historical Data'!AC84</f>
        <v/>
      </c>
      <c r="S87" s="3">
        <f>'Historical Data'!AE84</f>
        <v/>
      </c>
      <c r="T87" s="3">
        <f>'Historical Data'!AH84</f>
        <v/>
      </c>
      <c r="U87" s="3">
        <f>'Historical Data'!BA84</f>
        <v/>
      </c>
      <c r="V87" s="3" t="n"/>
      <c r="W87" s="3" t="n"/>
      <c r="X87" s="3" t="n"/>
      <c r="Y87" s="3" t="n"/>
      <c r="Z87" s="3" t="n"/>
    </row>
    <row r="88" ht="15.75" customHeight="1" s="174">
      <c r="A88" s="3">
        <f>'Historical Data'!A85</f>
        <v/>
      </c>
      <c r="B88" s="3">
        <f>'Historical Data'!B85</f>
        <v/>
      </c>
      <c r="C88" s="3">
        <f>'Historical Data'!D85</f>
        <v/>
      </c>
      <c r="D88" s="23">
        <f>'Historical Data'!E85</f>
        <v/>
      </c>
      <c r="E88" s="3">
        <f>'Historical Data'!G85</f>
        <v/>
      </c>
      <c r="F88" s="3">
        <f>'Historical Data'!Y85</f>
        <v/>
      </c>
      <c r="G88" s="3">
        <f>'Historical Data'!K85</f>
        <v/>
      </c>
      <c r="H88" s="3">
        <f>'Historical Data'!L85</f>
        <v/>
      </c>
      <c r="I88" s="26">
        <f>'Historical Data'!M85</f>
        <v/>
      </c>
      <c r="J88" s="28">
        <f>'Historical Data'!N85</f>
        <v/>
      </c>
      <c r="K88" s="28">
        <f>'Historical Data'!Q85</f>
        <v/>
      </c>
      <c r="L88" s="30">
        <f>'Historical Data'!S85</f>
        <v/>
      </c>
      <c r="M88" s="28">
        <f>'Historical Data'!AJ85</f>
        <v/>
      </c>
      <c r="N88" s="28">
        <f>'Historical Data'!AK85</f>
        <v/>
      </c>
      <c r="O88" s="3">
        <f>'Historical Data'!AA85</f>
        <v/>
      </c>
      <c r="P88" s="3">
        <f>'Historical Data'!AB85</f>
        <v/>
      </c>
      <c r="Q88" s="3">
        <f>'Historical Data'!AN85</f>
        <v/>
      </c>
      <c r="R88" s="3">
        <f>'Historical Data'!AC85</f>
        <v/>
      </c>
      <c r="S88" s="3">
        <f>'Historical Data'!AE85</f>
        <v/>
      </c>
      <c r="T88" s="3">
        <f>'Historical Data'!AH85</f>
        <v/>
      </c>
      <c r="U88" s="3">
        <f>'Historical Data'!BA85</f>
        <v/>
      </c>
      <c r="V88" s="3" t="n"/>
      <c r="W88" s="3" t="n"/>
      <c r="X88" s="3" t="n"/>
      <c r="Y88" s="3" t="n"/>
      <c r="Z88" s="3" t="n"/>
    </row>
    <row r="89" hidden="1" ht="15.75" customHeight="1" s="174">
      <c r="A89" s="3">
        <f>'Historical Data'!A86</f>
        <v/>
      </c>
      <c r="B89" s="3">
        <f>'Historical Data'!B86</f>
        <v/>
      </c>
      <c r="C89" s="3">
        <f>'Historical Data'!D86</f>
        <v/>
      </c>
      <c r="D89" s="23">
        <f>'Historical Data'!E86</f>
        <v/>
      </c>
      <c r="E89" s="3">
        <f>'Historical Data'!G86</f>
        <v/>
      </c>
      <c r="F89" s="3">
        <f>'Historical Data'!Y86</f>
        <v/>
      </c>
      <c r="G89" s="3">
        <f>'Historical Data'!K86</f>
        <v/>
      </c>
      <c r="H89" s="3">
        <f>'Historical Data'!L86</f>
        <v/>
      </c>
      <c r="I89" s="26">
        <f>'Historical Data'!M86</f>
        <v/>
      </c>
      <c r="J89" s="28">
        <f>'Historical Data'!N86</f>
        <v/>
      </c>
      <c r="K89" s="28">
        <f>'Historical Data'!Q86</f>
        <v/>
      </c>
      <c r="L89" s="30">
        <f>'Historical Data'!S86</f>
        <v/>
      </c>
      <c r="M89" s="28">
        <f>'Historical Data'!AJ86</f>
        <v/>
      </c>
      <c r="N89" s="28">
        <f>'Historical Data'!AK86</f>
        <v/>
      </c>
      <c r="O89" s="3">
        <f>'Historical Data'!AA86</f>
        <v/>
      </c>
      <c r="P89" s="3">
        <f>'Historical Data'!AB86</f>
        <v/>
      </c>
      <c r="Q89" s="3">
        <f>'Historical Data'!AN86</f>
        <v/>
      </c>
      <c r="R89" s="3">
        <f>'Historical Data'!AC86</f>
        <v/>
      </c>
      <c r="S89" s="3">
        <f>'Historical Data'!AE86</f>
        <v/>
      </c>
      <c r="T89" s="3">
        <f>'Historical Data'!AH86</f>
        <v/>
      </c>
      <c r="U89" s="3">
        <f>'Historical Data'!BA86</f>
        <v/>
      </c>
      <c r="V89" s="3" t="n"/>
      <c r="W89" s="3" t="n"/>
      <c r="X89" s="3" t="n"/>
      <c r="Y89" s="3" t="n"/>
      <c r="Z89" s="3" t="n"/>
    </row>
    <row r="90" hidden="1" ht="15.75" customHeight="1" s="174">
      <c r="A90" s="3">
        <f>'Historical Data'!A87</f>
        <v/>
      </c>
      <c r="B90" s="3">
        <f>'Historical Data'!B87</f>
        <v/>
      </c>
      <c r="C90" s="3">
        <f>'Historical Data'!D87</f>
        <v/>
      </c>
      <c r="D90" s="23">
        <f>'Historical Data'!E87</f>
        <v/>
      </c>
      <c r="E90" s="3">
        <f>'Historical Data'!G87</f>
        <v/>
      </c>
      <c r="F90" s="3">
        <f>'Historical Data'!Y87</f>
        <v/>
      </c>
      <c r="G90" s="3">
        <f>'Historical Data'!K87</f>
        <v/>
      </c>
      <c r="H90" s="3">
        <f>'Historical Data'!L87</f>
        <v/>
      </c>
      <c r="I90" s="26">
        <f>'Historical Data'!M87</f>
        <v/>
      </c>
      <c r="J90" s="28">
        <f>'Historical Data'!N87</f>
        <v/>
      </c>
      <c r="K90" s="28">
        <f>'Historical Data'!Q87</f>
        <v/>
      </c>
      <c r="L90" s="30">
        <f>'Historical Data'!S87</f>
        <v/>
      </c>
      <c r="M90" s="28">
        <f>'Historical Data'!AJ87</f>
        <v/>
      </c>
      <c r="N90" s="28">
        <f>'Historical Data'!AK87</f>
        <v/>
      </c>
      <c r="O90" s="3">
        <f>'Historical Data'!AA87</f>
        <v/>
      </c>
      <c r="P90" s="3">
        <f>'Historical Data'!AB87</f>
        <v/>
      </c>
      <c r="Q90" s="3">
        <f>'Historical Data'!AN87</f>
        <v/>
      </c>
      <c r="R90" s="3">
        <f>'Historical Data'!AC87</f>
        <v/>
      </c>
      <c r="S90" s="3">
        <f>'Historical Data'!AE87</f>
        <v/>
      </c>
      <c r="T90" s="3">
        <f>'Historical Data'!AH87</f>
        <v/>
      </c>
      <c r="U90" s="3">
        <f>'Historical Data'!BA87</f>
        <v/>
      </c>
      <c r="V90" s="3" t="n"/>
      <c r="W90" s="3" t="n"/>
      <c r="X90" s="3" t="n"/>
      <c r="Y90" s="3" t="n"/>
      <c r="Z90" s="3" t="n"/>
    </row>
    <row r="91" hidden="1" ht="15.75" customHeight="1" s="174">
      <c r="A91" s="3">
        <f>'Historical Data'!A88</f>
        <v/>
      </c>
      <c r="B91" s="3">
        <f>'Historical Data'!B88</f>
        <v/>
      </c>
      <c r="C91" s="3">
        <f>'Historical Data'!D88</f>
        <v/>
      </c>
      <c r="D91" s="23">
        <f>'Historical Data'!E88</f>
        <v/>
      </c>
      <c r="E91" s="3">
        <f>'Historical Data'!G88</f>
        <v/>
      </c>
      <c r="F91" s="3">
        <f>'Historical Data'!Y88</f>
        <v/>
      </c>
      <c r="G91" s="3">
        <f>'Historical Data'!K88</f>
        <v/>
      </c>
      <c r="H91" s="3">
        <f>'Historical Data'!L88</f>
        <v/>
      </c>
      <c r="I91" s="26">
        <f>'Historical Data'!M88</f>
        <v/>
      </c>
      <c r="J91" s="28">
        <f>'Historical Data'!N88</f>
        <v/>
      </c>
      <c r="K91" s="28">
        <f>'Historical Data'!Q88</f>
        <v/>
      </c>
      <c r="L91" s="30">
        <f>'Historical Data'!S88</f>
        <v/>
      </c>
      <c r="M91" s="28">
        <f>'Historical Data'!AJ88</f>
        <v/>
      </c>
      <c r="N91" s="28">
        <f>'Historical Data'!AK88</f>
        <v/>
      </c>
      <c r="O91" s="3">
        <f>'Historical Data'!AA88</f>
        <v/>
      </c>
      <c r="P91" s="3">
        <f>'Historical Data'!AB88</f>
        <v/>
      </c>
      <c r="Q91" s="3">
        <f>'Historical Data'!AN88</f>
        <v/>
      </c>
      <c r="R91" s="3">
        <f>'Historical Data'!AC88</f>
        <v/>
      </c>
      <c r="S91" s="3">
        <f>'Historical Data'!AE88</f>
        <v/>
      </c>
      <c r="T91" s="3">
        <f>'Historical Data'!AH88</f>
        <v/>
      </c>
      <c r="U91" s="3">
        <f>'Historical Data'!BA88</f>
        <v/>
      </c>
      <c r="V91" s="3" t="n"/>
      <c r="W91" s="3" t="n"/>
      <c r="X91" s="3" t="n"/>
      <c r="Y91" s="3" t="n"/>
      <c r="Z91" s="3" t="n"/>
    </row>
    <row r="92" hidden="1" ht="15.75" customHeight="1" s="174">
      <c r="A92" s="3">
        <f>'Historical Data'!A89</f>
        <v/>
      </c>
      <c r="B92" s="3">
        <f>'Historical Data'!B89</f>
        <v/>
      </c>
      <c r="C92" s="3">
        <f>'Historical Data'!D89</f>
        <v/>
      </c>
      <c r="D92" s="23">
        <f>'Historical Data'!E89</f>
        <v/>
      </c>
      <c r="E92" s="3">
        <f>'Historical Data'!G89</f>
        <v/>
      </c>
      <c r="F92" s="3">
        <f>'Historical Data'!Y89</f>
        <v/>
      </c>
      <c r="G92" s="3">
        <f>'Historical Data'!K89</f>
        <v/>
      </c>
      <c r="H92" s="3">
        <f>'Historical Data'!L89</f>
        <v/>
      </c>
      <c r="I92" s="26">
        <f>'Historical Data'!M89</f>
        <v/>
      </c>
      <c r="J92" s="28">
        <f>'Historical Data'!N89</f>
        <v/>
      </c>
      <c r="K92" s="28">
        <f>'Historical Data'!Q89</f>
        <v/>
      </c>
      <c r="L92" s="30">
        <f>'Historical Data'!S89</f>
        <v/>
      </c>
      <c r="M92" s="28">
        <f>'Historical Data'!AJ89</f>
        <v/>
      </c>
      <c r="N92" s="28">
        <f>'Historical Data'!AK89</f>
        <v/>
      </c>
      <c r="O92" s="3">
        <f>'Historical Data'!AA89</f>
        <v/>
      </c>
      <c r="P92" s="3">
        <f>'Historical Data'!AB89</f>
        <v/>
      </c>
      <c r="Q92" s="3">
        <f>'Historical Data'!AN89</f>
        <v/>
      </c>
      <c r="R92" s="3">
        <f>'Historical Data'!AC89</f>
        <v/>
      </c>
      <c r="S92" s="3">
        <f>'Historical Data'!AE89</f>
        <v/>
      </c>
      <c r="T92" s="3">
        <f>'Historical Data'!AH89</f>
        <v/>
      </c>
      <c r="U92" s="3">
        <f>'Historical Data'!BA89</f>
        <v/>
      </c>
      <c r="V92" s="3" t="n"/>
      <c r="W92" s="3" t="n"/>
      <c r="X92" s="3" t="n"/>
      <c r="Y92" s="3" t="n"/>
      <c r="Z92" s="3" t="n"/>
    </row>
    <row r="93" hidden="1" ht="15.75" customHeight="1" s="174">
      <c r="A93" s="3">
        <f>'Historical Data'!A90</f>
        <v/>
      </c>
      <c r="B93" s="3">
        <f>'Historical Data'!B90</f>
        <v/>
      </c>
      <c r="C93" s="3">
        <f>'Historical Data'!D90</f>
        <v/>
      </c>
      <c r="D93" s="23">
        <f>'Historical Data'!E90</f>
        <v/>
      </c>
      <c r="E93" s="3">
        <f>'Historical Data'!G90</f>
        <v/>
      </c>
      <c r="F93" s="3">
        <f>'Historical Data'!Y90</f>
        <v/>
      </c>
      <c r="G93" s="3">
        <f>'Historical Data'!K90</f>
        <v/>
      </c>
      <c r="H93" s="3">
        <f>'Historical Data'!L90</f>
        <v/>
      </c>
      <c r="I93" s="26">
        <f>'Historical Data'!M90</f>
        <v/>
      </c>
      <c r="J93" s="28">
        <f>'Historical Data'!N90</f>
        <v/>
      </c>
      <c r="K93" s="28">
        <f>'Historical Data'!Q90</f>
        <v/>
      </c>
      <c r="L93" s="30">
        <f>'Historical Data'!S90</f>
        <v/>
      </c>
      <c r="M93" s="28">
        <f>'Historical Data'!AJ90</f>
        <v/>
      </c>
      <c r="N93" s="28">
        <f>'Historical Data'!AK90</f>
        <v/>
      </c>
      <c r="O93" s="3">
        <f>'Historical Data'!AA90</f>
        <v/>
      </c>
      <c r="P93" s="3">
        <f>'Historical Data'!AB90</f>
        <v/>
      </c>
      <c r="Q93" s="3">
        <f>'Historical Data'!AN90</f>
        <v/>
      </c>
      <c r="R93" s="3">
        <f>'Historical Data'!AC90</f>
        <v/>
      </c>
      <c r="S93" s="3">
        <f>'Historical Data'!AE90</f>
        <v/>
      </c>
      <c r="T93" s="3">
        <f>'Historical Data'!AH90</f>
        <v/>
      </c>
      <c r="U93" s="3">
        <f>'Historical Data'!BA90</f>
        <v/>
      </c>
      <c r="V93" s="3" t="n"/>
      <c r="W93" s="3" t="n"/>
      <c r="X93" s="3" t="n"/>
      <c r="Y93" s="3" t="n"/>
      <c r="Z93" s="3" t="n"/>
    </row>
    <row r="94" hidden="1" ht="15.75" customHeight="1" s="174">
      <c r="A94" s="3">
        <f>'Historical Data'!A91</f>
        <v/>
      </c>
      <c r="B94" s="3">
        <f>'Historical Data'!B91</f>
        <v/>
      </c>
      <c r="C94" s="3">
        <f>'Historical Data'!D91</f>
        <v/>
      </c>
      <c r="D94" s="23">
        <f>'Historical Data'!E91</f>
        <v/>
      </c>
      <c r="E94" s="3">
        <f>'Historical Data'!G91</f>
        <v/>
      </c>
      <c r="F94" s="3">
        <f>'Historical Data'!Y91</f>
        <v/>
      </c>
      <c r="G94" s="3">
        <f>'Historical Data'!K91</f>
        <v/>
      </c>
      <c r="H94" s="3">
        <f>'Historical Data'!L91</f>
        <v/>
      </c>
      <c r="I94" s="26">
        <f>'Historical Data'!M91</f>
        <v/>
      </c>
      <c r="J94" s="28">
        <f>'Historical Data'!N91</f>
        <v/>
      </c>
      <c r="K94" s="28">
        <f>'Historical Data'!Q91</f>
        <v/>
      </c>
      <c r="L94" s="30">
        <f>'Historical Data'!S91</f>
        <v/>
      </c>
      <c r="M94" s="28">
        <f>'Historical Data'!AJ91</f>
        <v/>
      </c>
      <c r="N94" s="28">
        <f>'Historical Data'!AK91</f>
        <v/>
      </c>
      <c r="O94" s="3">
        <f>'Historical Data'!AA91</f>
        <v/>
      </c>
      <c r="P94" s="3">
        <f>'Historical Data'!AB91</f>
        <v/>
      </c>
      <c r="Q94" s="3">
        <f>'Historical Data'!AN91</f>
        <v/>
      </c>
      <c r="R94" s="3">
        <f>'Historical Data'!AC91</f>
        <v/>
      </c>
      <c r="S94" s="3">
        <f>'Historical Data'!AE91</f>
        <v/>
      </c>
      <c r="T94" s="3">
        <f>'Historical Data'!AH91</f>
        <v/>
      </c>
      <c r="U94" s="3">
        <f>'Historical Data'!BA91</f>
        <v/>
      </c>
      <c r="V94" s="3" t="n"/>
      <c r="W94" s="3" t="n"/>
      <c r="X94" s="3" t="n"/>
      <c r="Y94" s="3" t="n"/>
      <c r="Z94" s="3" t="n"/>
    </row>
    <row r="95" hidden="1" ht="15.75" customHeight="1" s="174">
      <c r="A95" s="3">
        <f>'Historical Data'!A92</f>
        <v/>
      </c>
      <c r="B95" s="3">
        <f>'Historical Data'!B92</f>
        <v/>
      </c>
      <c r="C95" s="3">
        <f>'Historical Data'!D92</f>
        <v/>
      </c>
      <c r="D95" s="23">
        <f>'Historical Data'!E92</f>
        <v/>
      </c>
      <c r="E95" s="3">
        <f>'Historical Data'!G92</f>
        <v/>
      </c>
      <c r="F95" s="3">
        <f>'Historical Data'!Y92</f>
        <v/>
      </c>
      <c r="G95" s="3">
        <f>'Historical Data'!K92</f>
        <v/>
      </c>
      <c r="H95" s="3">
        <f>'Historical Data'!L92</f>
        <v/>
      </c>
      <c r="I95" s="26">
        <f>'Historical Data'!M92</f>
        <v/>
      </c>
      <c r="J95" s="28">
        <f>'Historical Data'!N92</f>
        <v/>
      </c>
      <c r="K95" s="28">
        <f>'Historical Data'!Q92</f>
        <v/>
      </c>
      <c r="L95" s="30">
        <f>'Historical Data'!S92</f>
        <v/>
      </c>
      <c r="M95" s="28">
        <f>'Historical Data'!AJ92</f>
        <v/>
      </c>
      <c r="N95" s="28">
        <f>'Historical Data'!AK92</f>
        <v/>
      </c>
      <c r="O95" s="3">
        <f>'Historical Data'!AA92</f>
        <v/>
      </c>
      <c r="P95" s="3">
        <f>'Historical Data'!AB92</f>
        <v/>
      </c>
      <c r="Q95" s="3">
        <f>'Historical Data'!AN92</f>
        <v/>
      </c>
      <c r="R95" s="3">
        <f>'Historical Data'!AC92</f>
        <v/>
      </c>
      <c r="S95" s="3">
        <f>'Historical Data'!AE92</f>
        <v/>
      </c>
      <c r="T95" s="3">
        <f>'Historical Data'!AH92</f>
        <v/>
      </c>
      <c r="U95" s="3">
        <f>'Historical Data'!BA92</f>
        <v/>
      </c>
      <c r="V95" s="3" t="n"/>
      <c r="W95" s="3" t="n"/>
      <c r="X95" s="3" t="n"/>
      <c r="Y95" s="3" t="n"/>
      <c r="Z95" s="3" t="n"/>
    </row>
    <row r="96" hidden="1" ht="15.75" customHeight="1" s="174">
      <c r="A96" s="3">
        <f>'Historical Data'!A93</f>
        <v/>
      </c>
      <c r="B96" s="3">
        <f>'Historical Data'!B93</f>
        <v/>
      </c>
      <c r="C96" s="3">
        <f>'Historical Data'!D93</f>
        <v/>
      </c>
      <c r="D96" s="23">
        <f>'Historical Data'!E93</f>
        <v/>
      </c>
      <c r="E96" s="3">
        <f>'Historical Data'!G93</f>
        <v/>
      </c>
      <c r="F96" s="3">
        <f>'Historical Data'!Y93</f>
        <v/>
      </c>
      <c r="G96" s="3">
        <f>'Historical Data'!K93</f>
        <v/>
      </c>
      <c r="H96" s="3">
        <f>'Historical Data'!L93</f>
        <v/>
      </c>
      <c r="I96" s="26">
        <f>'Historical Data'!M93</f>
        <v/>
      </c>
      <c r="J96" s="28">
        <f>'Historical Data'!N93</f>
        <v/>
      </c>
      <c r="K96" s="28">
        <f>'Historical Data'!Q93</f>
        <v/>
      </c>
      <c r="L96" s="30">
        <f>'Historical Data'!S93</f>
        <v/>
      </c>
      <c r="M96" s="28">
        <f>'Historical Data'!AJ93</f>
        <v/>
      </c>
      <c r="N96" s="28">
        <f>'Historical Data'!AK93</f>
        <v/>
      </c>
      <c r="O96" s="3">
        <f>'Historical Data'!AA93</f>
        <v/>
      </c>
      <c r="P96" s="3">
        <f>'Historical Data'!AB93</f>
        <v/>
      </c>
      <c r="Q96" s="3">
        <f>'Historical Data'!AN93</f>
        <v/>
      </c>
      <c r="R96" s="3">
        <f>'Historical Data'!AC93</f>
        <v/>
      </c>
      <c r="S96" s="3">
        <f>'Historical Data'!AE93</f>
        <v/>
      </c>
      <c r="T96" s="3">
        <f>'Historical Data'!AH93</f>
        <v/>
      </c>
      <c r="U96" s="3">
        <f>'Historical Data'!BA93</f>
        <v/>
      </c>
      <c r="V96" s="3" t="n"/>
      <c r="W96" s="3" t="n"/>
      <c r="X96" s="3" t="n"/>
      <c r="Y96" s="3" t="n"/>
      <c r="Z96" s="3" t="n"/>
    </row>
    <row r="97" ht="15.75" customHeight="1" s="174">
      <c r="A97" s="3">
        <f>'Historical Data'!A94</f>
        <v/>
      </c>
      <c r="B97" s="3">
        <f>'Historical Data'!B94</f>
        <v/>
      </c>
      <c r="C97" s="3">
        <f>'Historical Data'!D94</f>
        <v/>
      </c>
      <c r="D97" s="23">
        <f>'Historical Data'!E94</f>
        <v/>
      </c>
      <c r="E97" s="3">
        <f>'Historical Data'!G94</f>
        <v/>
      </c>
      <c r="F97" s="3">
        <f>'Historical Data'!Y94</f>
        <v/>
      </c>
      <c r="G97" s="3">
        <f>'Historical Data'!K94</f>
        <v/>
      </c>
      <c r="H97" s="3">
        <f>'Historical Data'!L94</f>
        <v/>
      </c>
      <c r="I97" s="26">
        <f>'Historical Data'!M94</f>
        <v/>
      </c>
      <c r="J97" s="28">
        <f>'Historical Data'!N94</f>
        <v/>
      </c>
      <c r="K97" s="28">
        <f>'Historical Data'!Q94</f>
        <v/>
      </c>
      <c r="L97" s="30">
        <f>'Historical Data'!S94</f>
        <v/>
      </c>
      <c r="M97" s="28">
        <f>'Historical Data'!AJ94</f>
        <v/>
      </c>
      <c r="N97" s="28">
        <f>'Historical Data'!AK94</f>
        <v/>
      </c>
      <c r="O97" s="3">
        <f>'Historical Data'!AA94</f>
        <v/>
      </c>
      <c r="P97" s="3">
        <f>'Historical Data'!AB94</f>
        <v/>
      </c>
      <c r="Q97" s="3">
        <f>'Historical Data'!AN94</f>
        <v/>
      </c>
      <c r="R97" s="3">
        <f>'Historical Data'!AC94</f>
        <v/>
      </c>
      <c r="S97" s="3">
        <f>'Historical Data'!AE94</f>
        <v/>
      </c>
      <c r="T97" s="3">
        <f>'Historical Data'!AH94</f>
        <v/>
      </c>
      <c r="U97" s="3">
        <f>'Historical Data'!BA94</f>
        <v/>
      </c>
      <c r="V97" s="3" t="n"/>
      <c r="W97" s="3" t="n"/>
      <c r="X97" s="3" t="n"/>
      <c r="Y97" s="3" t="n"/>
      <c r="Z97" s="3" t="n"/>
    </row>
    <row r="98" hidden="1" ht="15.75" customHeight="1" s="174">
      <c r="A98" s="3">
        <f>'Historical Data'!A95</f>
        <v/>
      </c>
      <c r="B98" s="3">
        <f>'Historical Data'!B95</f>
        <v/>
      </c>
      <c r="C98" s="3">
        <f>'Historical Data'!D95</f>
        <v/>
      </c>
      <c r="D98" s="23">
        <f>'Historical Data'!E95</f>
        <v/>
      </c>
      <c r="E98" s="3">
        <f>'Historical Data'!G95</f>
        <v/>
      </c>
      <c r="F98" s="3">
        <f>'Historical Data'!Y95</f>
        <v/>
      </c>
      <c r="G98" s="3">
        <f>'Historical Data'!K95</f>
        <v/>
      </c>
      <c r="H98" s="3">
        <f>'Historical Data'!L95</f>
        <v/>
      </c>
      <c r="I98" s="26">
        <f>'Historical Data'!M95</f>
        <v/>
      </c>
      <c r="J98" s="28">
        <f>'Historical Data'!N95</f>
        <v/>
      </c>
      <c r="K98" s="28">
        <f>'Historical Data'!Q95</f>
        <v/>
      </c>
      <c r="L98" s="30">
        <f>'Historical Data'!S95</f>
        <v/>
      </c>
      <c r="M98" s="28">
        <f>'Historical Data'!AJ95</f>
        <v/>
      </c>
      <c r="N98" s="28">
        <f>'Historical Data'!AK95</f>
        <v/>
      </c>
      <c r="O98" s="3">
        <f>'Historical Data'!AA95</f>
        <v/>
      </c>
      <c r="P98" s="3">
        <f>'Historical Data'!AB95</f>
        <v/>
      </c>
      <c r="Q98" s="3">
        <f>'Historical Data'!AN95</f>
        <v/>
      </c>
      <c r="R98" s="3">
        <f>'Historical Data'!AC95</f>
        <v/>
      </c>
      <c r="S98" s="3">
        <f>'Historical Data'!AE95</f>
        <v/>
      </c>
      <c r="T98" s="3">
        <f>'Historical Data'!AH95</f>
        <v/>
      </c>
      <c r="U98" s="3">
        <f>'Historical Data'!BA95</f>
        <v/>
      </c>
      <c r="V98" s="3" t="n"/>
      <c r="W98" s="3" t="n"/>
      <c r="X98" s="3" t="n"/>
      <c r="Y98" s="3" t="n"/>
      <c r="Z98" s="3" t="n"/>
    </row>
    <row r="99" hidden="1" ht="15.75" customHeight="1" s="174">
      <c r="A99" s="3">
        <f>'Historical Data'!A96</f>
        <v/>
      </c>
      <c r="B99" s="3">
        <f>'Historical Data'!B96</f>
        <v/>
      </c>
      <c r="C99" s="3">
        <f>'Historical Data'!D96</f>
        <v/>
      </c>
      <c r="D99" s="23">
        <f>'Historical Data'!E96</f>
        <v/>
      </c>
      <c r="E99" s="3">
        <f>'Historical Data'!G96</f>
        <v/>
      </c>
      <c r="F99" s="3">
        <f>'Historical Data'!Y96</f>
        <v/>
      </c>
      <c r="G99" s="3">
        <f>'Historical Data'!K96</f>
        <v/>
      </c>
      <c r="H99" s="3">
        <f>'Historical Data'!L96</f>
        <v/>
      </c>
      <c r="I99" s="26">
        <f>'Historical Data'!M96</f>
        <v/>
      </c>
      <c r="J99" s="28">
        <f>'Historical Data'!N96</f>
        <v/>
      </c>
      <c r="K99" s="28">
        <f>'Historical Data'!Q96</f>
        <v/>
      </c>
      <c r="L99" s="30">
        <f>'Historical Data'!S96</f>
        <v/>
      </c>
      <c r="M99" s="28">
        <f>'Historical Data'!AJ96</f>
        <v/>
      </c>
      <c r="N99" s="28">
        <f>'Historical Data'!AK96</f>
        <v/>
      </c>
      <c r="O99" s="3">
        <f>'Historical Data'!AA96</f>
        <v/>
      </c>
      <c r="P99" s="3">
        <f>'Historical Data'!AB96</f>
        <v/>
      </c>
      <c r="Q99" s="3">
        <f>'Historical Data'!AN96</f>
        <v/>
      </c>
      <c r="R99" s="3">
        <f>'Historical Data'!AC96</f>
        <v/>
      </c>
      <c r="S99" s="3">
        <f>'Historical Data'!AE96</f>
        <v/>
      </c>
      <c r="T99" s="3">
        <f>'Historical Data'!AH96</f>
        <v/>
      </c>
      <c r="U99" s="3">
        <f>'Historical Data'!BA96</f>
        <v/>
      </c>
      <c r="V99" s="3" t="n"/>
      <c r="W99" s="3" t="n"/>
      <c r="X99" s="3" t="n"/>
      <c r="Y99" s="3" t="n"/>
      <c r="Z99" s="3" t="n"/>
    </row>
    <row r="100" hidden="1" ht="15.75" customHeight="1" s="174">
      <c r="A100" s="3">
        <f>'Historical Data'!A97</f>
        <v/>
      </c>
      <c r="B100" s="3">
        <f>'Historical Data'!B97</f>
        <v/>
      </c>
      <c r="C100" s="3">
        <f>'Historical Data'!D97</f>
        <v/>
      </c>
      <c r="D100" s="23">
        <f>'Historical Data'!E97</f>
        <v/>
      </c>
      <c r="E100" s="3">
        <f>'Historical Data'!G97</f>
        <v/>
      </c>
      <c r="F100" s="3">
        <f>'Historical Data'!Y97</f>
        <v/>
      </c>
      <c r="G100" s="3">
        <f>'Historical Data'!K97</f>
        <v/>
      </c>
      <c r="H100" s="3">
        <f>'Historical Data'!L97</f>
        <v/>
      </c>
      <c r="I100" s="26">
        <f>'Historical Data'!M97</f>
        <v/>
      </c>
      <c r="J100" s="28">
        <f>'Historical Data'!N97</f>
        <v/>
      </c>
      <c r="K100" s="28">
        <f>'Historical Data'!Q97</f>
        <v/>
      </c>
      <c r="L100" s="30">
        <f>'Historical Data'!S97</f>
        <v/>
      </c>
      <c r="M100" s="28">
        <f>'Historical Data'!AJ97</f>
        <v/>
      </c>
      <c r="N100" s="28">
        <f>'Historical Data'!AK97</f>
        <v/>
      </c>
      <c r="O100" s="3">
        <f>'Historical Data'!AA97</f>
        <v/>
      </c>
      <c r="P100" s="3">
        <f>'Historical Data'!AB97</f>
        <v/>
      </c>
      <c r="Q100" s="3">
        <f>'Historical Data'!AN97</f>
        <v/>
      </c>
      <c r="R100" s="3">
        <f>'Historical Data'!AC97</f>
        <v/>
      </c>
      <c r="S100" s="3">
        <f>'Historical Data'!AE97</f>
        <v/>
      </c>
      <c r="T100" s="3">
        <f>'Historical Data'!AH97</f>
        <v/>
      </c>
      <c r="U100" s="3">
        <f>'Historical Data'!BA97</f>
        <v/>
      </c>
      <c r="V100" s="3" t="n"/>
      <c r="W100" s="3" t="n"/>
      <c r="X100" s="3" t="n"/>
      <c r="Y100" s="3" t="n"/>
      <c r="Z100" s="3" t="n"/>
    </row>
    <row r="101" hidden="1" ht="15.75" customHeight="1" s="174">
      <c r="A101" s="3">
        <f>'Historical Data'!A98</f>
        <v/>
      </c>
      <c r="B101" s="3">
        <f>'Historical Data'!B98</f>
        <v/>
      </c>
      <c r="C101" s="3">
        <f>'Historical Data'!D98</f>
        <v/>
      </c>
      <c r="D101" s="23">
        <f>'Historical Data'!E98</f>
        <v/>
      </c>
      <c r="E101" s="3">
        <f>'Historical Data'!G98</f>
        <v/>
      </c>
      <c r="F101" s="3">
        <f>'Historical Data'!Y98</f>
        <v/>
      </c>
      <c r="G101" s="3">
        <f>'Historical Data'!K98</f>
        <v/>
      </c>
      <c r="H101" s="3">
        <f>'Historical Data'!L98</f>
        <v/>
      </c>
      <c r="I101" s="26">
        <f>'Historical Data'!M98</f>
        <v/>
      </c>
      <c r="J101" s="28">
        <f>'Historical Data'!N98</f>
        <v/>
      </c>
      <c r="K101" s="28">
        <f>'Historical Data'!Q98</f>
        <v/>
      </c>
      <c r="L101" s="30">
        <f>'Historical Data'!S98</f>
        <v/>
      </c>
      <c r="M101" s="28">
        <f>'Historical Data'!AJ98</f>
        <v/>
      </c>
      <c r="N101" s="28">
        <f>'Historical Data'!AK98</f>
        <v/>
      </c>
      <c r="O101" s="3">
        <f>'Historical Data'!AA98</f>
        <v/>
      </c>
      <c r="P101" s="3">
        <f>'Historical Data'!AB98</f>
        <v/>
      </c>
      <c r="Q101" s="3">
        <f>'Historical Data'!AN98</f>
        <v/>
      </c>
      <c r="R101" s="3">
        <f>'Historical Data'!AC98</f>
        <v/>
      </c>
      <c r="S101" s="3">
        <f>'Historical Data'!AE98</f>
        <v/>
      </c>
      <c r="T101" s="3">
        <f>'Historical Data'!AH98</f>
        <v/>
      </c>
      <c r="U101" s="3">
        <f>'Historical Data'!BA98</f>
        <v/>
      </c>
      <c r="V101" s="3" t="n"/>
      <c r="W101" s="3" t="n"/>
      <c r="X101" s="3" t="n"/>
      <c r="Y101" s="3" t="n"/>
      <c r="Z101" s="3" t="n"/>
    </row>
    <row r="102" hidden="1" ht="15.75" customHeight="1" s="174">
      <c r="A102" s="3">
        <f>'Historical Data'!A99</f>
        <v/>
      </c>
      <c r="B102" s="3">
        <f>'Historical Data'!B99</f>
        <v/>
      </c>
      <c r="C102" s="3">
        <f>'Historical Data'!D99</f>
        <v/>
      </c>
      <c r="D102" s="23">
        <f>'Historical Data'!E99</f>
        <v/>
      </c>
      <c r="E102" s="3">
        <f>'Historical Data'!G99</f>
        <v/>
      </c>
      <c r="F102" s="3">
        <f>'Historical Data'!Y99</f>
        <v/>
      </c>
      <c r="G102" s="3">
        <f>'Historical Data'!K99</f>
        <v/>
      </c>
      <c r="H102" s="3">
        <f>'Historical Data'!L99</f>
        <v/>
      </c>
      <c r="I102" s="26">
        <f>'Historical Data'!M99</f>
        <v/>
      </c>
      <c r="J102" s="28">
        <f>'Historical Data'!N99</f>
        <v/>
      </c>
      <c r="K102" s="28">
        <f>'Historical Data'!Q99</f>
        <v/>
      </c>
      <c r="L102" s="30">
        <f>'Historical Data'!S99</f>
        <v/>
      </c>
      <c r="M102" s="28">
        <f>'Historical Data'!AJ99</f>
        <v/>
      </c>
      <c r="N102" s="28">
        <f>'Historical Data'!AK99</f>
        <v/>
      </c>
      <c r="O102" s="3">
        <f>'Historical Data'!AA99</f>
        <v/>
      </c>
      <c r="P102" s="3">
        <f>'Historical Data'!AB99</f>
        <v/>
      </c>
      <c r="Q102" s="3">
        <f>'Historical Data'!AN99</f>
        <v/>
      </c>
      <c r="R102" s="3">
        <f>'Historical Data'!AC99</f>
        <v/>
      </c>
      <c r="S102" s="3">
        <f>'Historical Data'!AE99</f>
        <v/>
      </c>
      <c r="T102" s="3">
        <f>'Historical Data'!AH99</f>
        <v/>
      </c>
      <c r="U102" s="3">
        <f>'Historical Data'!BA99</f>
        <v/>
      </c>
      <c r="V102" s="3" t="n"/>
      <c r="W102" s="3" t="n"/>
      <c r="X102" s="3" t="n"/>
      <c r="Y102" s="3" t="n"/>
      <c r="Z102" s="3" t="n"/>
    </row>
    <row r="103" hidden="1" ht="15.75" customHeight="1" s="174">
      <c r="A103" s="3">
        <f>'Historical Data'!A100</f>
        <v/>
      </c>
      <c r="B103" s="3">
        <f>'Historical Data'!B100</f>
        <v/>
      </c>
      <c r="C103" s="3">
        <f>'Historical Data'!D100</f>
        <v/>
      </c>
      <c r="D103" s="23">
        <f>'Historical Data'!E100</f>
        <v/>
      </c>
      <c r="E103" s="3">
        <f>'Historical Data'!G100</f>
        <v/>
      </c>
      <c r="F103" s="3">
        <f>'Historical Data'!Y100</f>
        <v/>
      </c>
      <c r="G103" s="3">
        <f>'Historical Data'!K100</f>
        <v/>
      </c>
      <c r="H103" s="3">
        <f>'Historical Data'!L100</f>
        <v/>
      </c>
      <c r="I103" s="26">
        <f>'Historical Data'!M100</f>
        <v/>
      </c>
      <c r="J103" s="28">
        <f>'Historical Data'!N100</f>
        <v/>
      </c>
      <c r="K103" s="28">
        <f>'Historical Data'!Q100</f>
        <v/>
      </c>
      <c r="L103" s="30">
        <f>'Historical Data'!S100</f>
        <v/>
      </c>
      <c r="M103" s="28">
        <f>'Historical Data'!AJ100</f>
        <v/>
      </c>
      <c r="N103" s="28">
        <f>'Historical Data'!AK100</f>
        <v/>
      </c>
      <c r="O103" s="3">
        <f>'Historical Data'!AA100</f>
        <v/>
      </c>
      <c r="P103" s="3">
        <f>'Historical Data'!AB100</f>
        <v/>
      </c>
      <c r="Q103" s="3">
        <f>'Historical Data'!AN100</f>
        <v/>
      </c>
      <c r="R103" s="3">
        <f>'Historical Data'!AC100</f>
        <v/>
      </c>
      <c r="S103" s="3">
        <f>'Historical Data'!AE100</f>
        <v/>
      </c>
      <c r="T103" s="3">
        <f>'Historical Data'!AH100</f>
        <v/>
      </c>
      <c r="U103" s="3">
        <f>'Historical Data'!BA100</f>
        <v/>
      </c>
      <c r="V103" s="3" t="n"/>
      <c r="W103" s="3" t="n"/>
      <c r="X103" s="3" t="n"/>
      <c r="Y103" s="3" t="n"/>
      <c r="Z103" s="3" t="n"/>
    </row>
    <row r="104" hidden="1" ht="15.75" customHeight="1" s="174">
      <c r="A104" s="3">
        <f>'Historical Data'!A101</f>
        <v/>
      </c>
      <c r="B104" s="3">
        <f>'Historical Data'!B101</f>
        <v/>
      </c>
      <c r="C104" s="3">
        <f>'Historical Data'!D101</f>
        <v/>
      </c>
      <c r="D104" s="23">
        <f>'Historical Data'!E101</f>
        <v/>
      </c>
      <c r="E104" s="3">
        <f>'Historical Data'!G101</f>
        <v/>
      </c>
      <c r="F104" s="3">
        <f>'Historical Data'!Y101</f>
        <v/>
      </c>
      <c r="G104" s="3">
        <f>'Historical Data'!K101</f>
        <v/>
      </c>
      <c r="H104" s="3">
        <f>'Historical Data'!L101</f>
        <v/>
      </c>
      <c r="I104" s="26">
        <f>'Historical Data'!M101</f>
        <v/>
      </c>
      <c r="J104" s="28">
        <f>'Historical Data'!N101</f>
        <v/>
      </c>
      <c r="K104" s="28">
        <f>'Historical Data'!Q101</f>
        <v/>
      </c>
      <c r="L104" s="30">
        <f>'Historical Data'!S101</f>
        <v/>
      </c>
      <c r="M104" s="28">
        <f>'Historical Data'!AJ101</f>
        <v/>
      </c>
      <c r="N104" s="28">
        <f>'Historical Data'!AK101</f>
        <v/>
      </c>
      <c r="O104" s="3">
        <f>'Historical Data'!AA101</f>
        <v/>
      </c>
      <c r="P104" s="3">
        <f>'Historical Data'!AB101</f>
        <v/>
      </c>
      <c r="Q104" s="3">
        <f>'Historical Data'!AN101</f>
        <v/>
      </c>
      <c r="R104" s="3">
        <f>'Historical Data'!AC101</f>
        <v/>
      </c>
      <c r="S104" s="3">
        <f>'Historical Data'!AE101</f>
        <v/>
      </c>
      <c r="T104" s="3">
        <f>'Historical Data'!AH101</f>
        <v/>
      </c>
      <c r="U104" s="3">
        <f>'Historical Data'!BA101</f>
        <v/>
      </c>
      <c r="V104" s="3" t="n"/>
      <c r="W104" s="3" t="n"/>
      <c r="X104" s="3" t="n"/>
      <c r="Y104" s="3" t="n"/>
      <c r="Z104" s="3" t="n"/>
    </row>
    <row r="105" hidden="1" ht="15.75" customHeight="1" s="174">
      <c r="A105" s="3">
        <f>'Historical Data'!A102</f>
        <v/>
      </c>
      <c r="B105" s="3">
        <f>'Historical Data'!B102</f>
        <v/>
      </c>
      <c r="C105" s="3">
        <f>'Historical Data'!D102</f>
        <v/>
      </c>
      <c r="D105" s="23">
        <f>'Historical Data'!E102</f>
        <v/>
      </c>
      <c r="E105" s="3">
        <f>'Historical Data'!G102</f>
        <v/>
      </c>
      <c r="F105" s="3">
        <f>'Historical Data'!Y102</f>
        <v/>
      </c>
      <c r="G105" s="3">
        <f>'Historical Data'!K102</f>
        <v/>
      </c>
      <c r="H105" s="3">
        <f>'Historical Data'!L102</f>
        <v/>
      </c>
      <c r="I105" s="26">
        <f>'Historical Data'!M102</f>
        <v/>
      </c>
      <c r="J105" s="28">
        <f>'Historical Data'!N102</f>
        <v/>
      </c>
      <c r="K105" s="28">
        <f>'Historical Data'!Q102</f>
        <v/>
      </c>
      <c r="L105" s="30">
        <f>'Historical Data'!S102</f>
        <v/>
      </c>
      <c r="M105" s="28">
        <f>'Historical Data'!AJ102</f>
        <v/>
      </c>
      <c r="N105" s="28">
        <f>'Historical Data'!AK102</f>
        <v/>
      </c>
      <c r="O105" s="3">
        <f>'Historical Data'!AA102</f>
        <v/>
      </c>
      <c r="P105" s="3">
        <f>'Historical Data'!AB102</f>
        <v/>
      </c>
      <c r="Q105" s="3">
        <f>'Historical Data'!AN102</f>
        <v/>
      </c>
      <c r="R105" s="3">
        <f>'Historical Data'!AC102</f>
        <v/>
      </c>
      <c r="S105" s="3">
        <f>'Historical Data'!AE102</f>
        <v/>
      </c>
      <c r="T105" s="3">
        <f>'Historical Data'!AH102</f>
        <v/>
      </c>
      <c r="U105" s="3">
        <f>'Historical Data'!BA102</f>
        <v/>
      </c>
      <c r="V105" s="3" t="n"/>
      <c r="W105" s="3" t="n"/>
      <c r="X105" s="3" t="n"/>
      <c r="Y105" s="3" t="n"/>
      <c r="Z105" s="3" t="n"/>
    </row>
    <row r="106" hidden="1" ht="15.75" customHeight="1" s="174">
      <c r="A106" s="3">
        <f>'Historical Data'!A103</f>
        <v/>
      </c>
      <c r="B106" s="3">
        <f>'Historical Data'!B103</f>
        <v/>
      </c>
      <c r="C106" s="3">
        <f>'Historical Data'!D103</f>
        <v/>
      </c>
      <c r="D106" s="23">
        <f>'Historical Data'!E103</f>
        <v/>
      </c>
      <c r="E106" s="3">
        <f>'Historical Data'!G103</f>
        <v/>
      </c>
      <c r="F106" s="3">
        <f>'Historical Data'!Y103</f>
        <v/>
      </c>
      <c r="G106" s="3">
        <f>'Historical Data'!K103</f>
        <v/>
      </c>
      <c r="H106" s="3">
        <f>'Historical Data'!L103</f>
        <v/>
      </c>
      <c r="I106" s="26">
        <f>'Historical Data'!M103</f>
        <v/>
      </c>
      <c r="J106" s="28">
        <f>'Historical Data'!N103</f>
        <v/>
      </c>
      <c r="K106" s="28">
        <f>'Historical Data'!Q103</f>
        <v/>
      </c>
      <c r="L106" s="30">
        <f>'Historical Data'!S103</f>
        <v/>
      </c>
      <c r="M106" s="28">
        <f>'Historical Data'!AJ103</f>
        <v/>
      </c>
      <c r="N106" s="28">
        <f>'Historical Data'!AK103</f>
        <v/>
      </c>
      <c r="O106" s="3">
        <f>'Historical Data'!AA103</f>
        <v/>
      </c>
      <c r="P106" s="3">
        <f>'Historical Data'!AB103</f>
        <v/>
      </c>
      <c r="Q106" s="3">
        <f>'Historical Data'!AN103</f>
        <v/>
      </c>
      <c r="R106" s="3">
        <f>'Historical Data'!AC103</f>
        <v/>
      </c>
      <c r="S106" s="3">
        <f>'Historical Data'!AE103</f>
        <v/>
      </c>
      <c r="T106" s="3">
        <f>'Historical Data'!AH103</f>
        <v/>
      </c>
      <c r="U106" s="3">
        <f>'Historical Data'!BA103</f>
        <v/>
      </c>
      <c r="V106" s="3" t="n"/>
      <c r="W106" s="3" t="n"/>
      <c r="X106" s="3" t="n"/>
      <c r="Y106" s="3" t="n"/>
      <c r="Z106" s="3" t="n"/>
    </row>
    <row r="107" hidden="1" ht="15.75" customHeight="1" s="174">
      <c r="A107" s="3">
        <f>'Historical Data'!A104</f>
        <v/>
      </c>
      <c r="B107" s="3">
        <f>'Historical Data'!B104</f>
        <v/>
      </c>
      <c r="C107" s="3">
        <f>'Historical Data'!D104</f>
        <v/>
      </c>
      <c r="D107" s="23">
        <f>'Historical Data'!E104</f>
        <v/>
      </c>
      <c r="E107" s="3">
        <f>'Historical Data'!G104</f>
        <v/>
      </c>
      <c r="F107" s="3">
        <f>'Historical Data'!Y104</f>
        <v/>
      </c>
      <c r="G107" s="3">
        <f>'Historical Data'!K104</f>
        <v/>
      </c>
      <c r="H107" s="3">
        <f>'Historical Data'!L104</f>
        <v/>
      </c>
      <c r="I107" s="26">
        <f>'Historical Data'!M104</f>
        <v/>
      </c>
      <c r="J107" s="28">
        <f>'Historical Data'!N104</f>
        <v/>
      </c>
      <c r="K107" s="28">
        <f>'Historical Data'!Q104</f>
        <v/>
      </c>
      <c r="L107" s="30">
        <f>'Historical Data'!S104</f>
        <v/>
      </c>
      <c r="M107" s="28">
        <f>'Historical Data'!AJ104</f>
        <v/>
      </c>
      <c r="N107" s="28">
        <f>'Historical Data'!AK104</f>
        <v/>
      </c>
      <c r="O107" s="3">
        <f>'Historical Data'!AA104</f>
        <v/>
      </c>
      <c r="P107" s="3">
        <f>'Historical Data'!AB104</f>
        <v/>
      </c>
      <c r="Q107" s="3">
        <f>'Historical Data'!AN104</f>
        <v/>
      </c>
      <c r="R107" s="3">
        <f>'Historical Data'!AC104</f>
        <v/>
      </c>
      <c r="S107" s="3">
        <f>'Historical Data'!AE104</f>
        <v/>
      </c>
      <c r="T107" s="3">
        <f>'Historical Data'!AH104</f>
        <v/>
      </c>
      <c r="U107" s="3">
        <f>'Historical Data'!BA104</f>
        <v/>
      </c>
      <c r="V107" s="3" t="n"/>
      <c r="W107" s="3" t="n"/>
      <c r="X107" s="3" t="n"/>
      <c r="Y107" s="3" t="n"/>
      <c r="Z107" s="3" t="n"/>
    </row>
    <row r="108" hidden="1" ht="15.75" customHeight="1" s="174">
      <c r="A108" s="3">
        <f>'Historical Data'!A105</f>
        <v/>
      </c>
      <c r="B108" s="3">
        <f>'Historical Data'!B105</f>
        <v/>
      </c>
      <c r="C108" s="3">
        <f>'Historical Data'!D105</f>
        <v/>
      </c>
      <c r="D108" s="23">
        <f>'Historical Data'!E105</f>
        <v/>
      </c>
      <c r="E108" s="3">
        <f>'Historical Data'!G105</f>
        <v/>
      </c>
      <c r="F108" s="3">
        <f>'Historical Data'!Y105</f>
        <v/>
      </c>
      <c r="G108" s="3">
        <f>'Historical Data'!K105</f>
        <v/>
      </c>
      <c r="H108" s="3">
        <f>'Historical Data'!L105</f>
        <v/>
      </c>
      <c r="I108" s="26">
        <f>'Historical Data'!M105</f>
        <v/>
      </c>
      <c r="J108" s="28">
        <f>'Historical Data'!N105</f>
        <v/>
      </c>
      <c r="K108" s="28">
        <f>'Historical Data'!Q105</f>
        <v/>
      </c>
      <c r="L108" s="30">
        <f>'Historical Data'!S105</f>
        <v/>
      </c>
      <c r="M108" s="28">
        <f>'Historical Data'!AJ105</f>
        <v/>
      </c>
      <c r="N108" s="28">
        <f>'Historical Data'!AK105</f>
        <v/>
      </c>
      <c r="O108" s="3">
        <f>'Historical Data'!AA105</f>
        <v/>
      </c>
      <c r="P108" s="3">
        <f>'Historical Data'!AB105</f>
        <v/>
      </c>
      <c r="Q108" s="3">
        <f>'Historical Data'!AN105</f>
        <v/>
      </c>
      <c r="R108" s="3">
        <f>'Historical Data'!AC105</f>
        <v/>
      </c>
      <c r="S108" s="3">
        <f>'Historical Data'!AE105</f>
        <v/>
      </c>
      <c r="T108" s="3">
        <f>'Historical Data'!AH105</f>
        <v/>
      </c>
      <c r="U108" s="3">
        <f>'Historical Data'!BA105</f>
        <v/>
      </c>
      <c r="V108" s="3" t="n"/>
      <c r="W108" s="3" t="n"/>
      <c r="X108" s="3" t="n"/>
      <c r="Y108" s="3" t="n"/>
      <c r="Z108" s="3" t="n"/>
    </row>
    <row r="109" hidden="1" ht="15.75" customHeight="1" s="174">
      <c r="A109" s="3">
        <f>'Historical Data'!A106</f>
        <v/>
      </c>
      <c r="B109" s="3">
        <f>'Historical Data'!B106</f>
        <v/>
      </c>
      <c r="C109" s="3">
        <f>'Historical Data'!D106</f>
        <v/>
      </c>
      <c r="D109" s="23">
        <f>'Historical Data'!E106</f>
        <v/>
      </c>
      <c r="E109" s="3">
        <f>'Historical Data'!G106</f>
        <v/>
      </c>
      <c r="F109" s="3">
        <f>'Historical Data'!Y106</f>
        <v/>
      </c>
      <c r="G109" s="3">
        <f>'Historical Data'!K106</f>
        <v/>
      </c>
      <c r="H109" s="3">
        <f>'Historical Data'!L106</f>
        <v/>
      </c>
      <c r="I109" s="26">
        <f>'Historical Data'!M106</f>
        <v/>
      </c>
      <c r="J109" s="28">
        <f>'Historical Data'!N106</f>
        <v/>
      </c>
      <c r="K109" s="28">
        <f>'Historical Data'!Q106</f>
        <v/>
      </c>
      <c r="L109" s="30">
        <f>'Historical Data'!S106</f>
        <v/>
      </c>
      <c r="M109" s="28">
        <f>'Historical Data'!AJ106</f>
        <v/>
      </c>
      <c r="N109" s="28">
        <f>'Historical Data'!AK106</f>
        <v/>
      </c>
      <c r="O109" s="3">
        <f>'Historical Data'!AA106</f>
        <v/>
      </c>
      <c r="P109" s="3">
        <f>'Historical Data'!AB106</f>
        <v/>
      </c>
      <c r="Q109" s="3">
        <f>'Historical Data'!AN106</f>
        <v/>
      </c>
      <c r="R109" s="3">
        <f>'Historical Data'!AC106</f>
        <v/>
      </c>
      <c r="S109" s="3">
        <f>'Historical Data'!AE106</f>
        <v/>
      </c>
      <c r="T109" s="3">
        <f>'Historical Data'!AH106</f>
        <v/>
      </c>
      <c r="U109" s="3">
        <f>'Historical Data'!BA106</f>
        <v/>
      </c>
      <c r="V109" s="3" t="n"/>
      <c r="W109" s="3" t="n"/>
      <c r="X109" s="3" t="n"/>
      <c r="Y109" s="3" t="n"/>
      <c r="Z109" s="3" t="n"/>
    </row>
    <row r="110" hidden="1" ht="15.75" customHeight="1" s="174">
      <c r="A110" s="3">
        <f>'Historical Data'!A107</f>
        <v/>
      </c>
      <c r="B110" s="3">
        <f>'Historical Data'!B107</f>
        <v/>
      </c>
      <c r="C110" s="3">
        <f>'Historical Data'!D107</f>
        <v/>
      </c>
      <c r="D110" s="23">
        <f>'Historical Data'!E107</f>
        <v/>
      </c>
      <c r="E110" s="3">
        <f>'Historical Data'!G107</f>
        <v/>
      </c>
      <c r="F110" s="3">
        <f>'Historical Data'!Y107</f>
        <v/>
      </c>
      <c r="G110" s="3">
        <f>'Historical Data'!K107</f>
        <v/>
      </c>
      <c r="H110" s="3">
        <f>'Historical Data'!L107</f>
        <v/>
      </c>
      <c r="I110" s="26">
        <f>'Historical Data'!M107</f>
        <v/>
      </c>
      <c r="J110" s="28">
        <f>'Historical Data'!N107</f>
        <v/>
      </c>
      <c r="K110" s="28">
        <f>'Historical Data'!Q107</f>
        <v/>
      </c>
      <c r="L110" s="30">
        <f>'Historical Data'!S107</f>
        <v/>
      </c>
      <c r="M110" s="28">
        <f>'Historical Data'!AJ107</f>
        <v/>
      </c>
      <c r="N110" s="28">
        <f>'Historical Data'!AK107</f>
        <v/>
      </c>
      <c r="O110" s="3">
        <f>'Historical Data'!AA107</f>
        <v/>
      </c>
      <c r="P110" s="3">
        <f>'Historical Data'!AB107</f>
        <v/>
      </c>
      <c r="Q110" s="3">
        <f>'Historical Data'!AN107</f>
        <v/>
      </c>
      <c r="R110" s="3">
        <f>'Historical Data'!AC107</f>
        <v/>
      </c>
      <c r="S110" s="3">
        <f>'Historical Data'!AE107</f>
        <v/>
      </c>
      <c r="T110" s="3">
        <f>'Historical Data'!AH107</f>
        <v/>
      </c>
      <c r="U110" s="3">
        <f>'Historical Data'!BA107</f>
        <v/>
      </c>
      <c r="V110" s="3" t="n"/>
      <c r="W110" s="3" t="n"/>
      <c r="X110" s="3" t="n"/>
      <c r="Y110" s="3" t="n"/>
      <c r="Z110" s="3" t="n"/>
    </row>
    <row r="111" hidden="1" ht="15.75" customHeight="1" s="174">
      <c r="A111" s="3">
        <f>'Historical Data'!A108</f>
        <v/>
      </c>
      <c r="B111" s="3">
        <f>'Historical Data'!B108</f>
        <v/>
      </c>
      <c r="C111" s="3">
        <f>'Historical Data'!D108</f>
        <v/>
      </c>
      <c r="D111" s="23">
        <f>'Historical Data'!E108</f>
        <v/>
      </c>
      <c r="E111" s="3">
        <f>'Historical Data'!G108</f>
        <v/>
      </c>
      <c r="F111" s="3">
        <f>'Historical Data'!Y108</f>
        <v/>
      </c>
      <c r="G111" s="3">
        <f>'Historical Data'!K108</f>
        <v/>
      </c>
      <c r="H111" s="3">
        <f>'Historical Data'!L108</f>
        <v/>
      </c>
      <c r="I111" s="26">
        <f>'Historical Data'!M108</f>
        <v/>
      </c>
      <c r="J111" s="28">
        <f>'Historical Data'!N108</f>
        <v/>
      </c>
      <c r="K111" s="28">
        <f>'Historical Data'!Q108</f>
        <v/>
      </c>
      <c r="L111" s="30">
        <f>'Historical Data'!S108</f>
        <v/>
      </c>
      <c r="M111" s="28">
        <f>'Historical Data'!AJ108</f>
        <v/>
      </c>
      <c r="N111" s="28">
        <f>'Historical Data'!AK108</f>
        <v/>
      </c>
      <c r="O111" s="3">
        <f>'Historical Data'!AA108</f>
        <v/>
      </c>
      <c r="P111" s="3">
        <f>'Historical Data'!AB108</f>
        <v/>
      </c>
      <c r="Q111" s="3">
        <f>'Historical Data'!AN108</f>
        <v/>
      </c>
      <c r="R111" s="3">
        <f>'Historical Data'!AC108</f>
        <v/>
      </c>
      <c r="S111" s="3">
        <f>'Historical Data'!AE108</f>
        <v/>
      </c>
      <c r="T111" s="3">
        <f>'Historical Data'!AH108</f>
        <v/>
      </c>
      <c r="U111" s="3">
        <f>'Historical Data'!BA108</f>
        <v/>
      </c>
      <c r="V111" s="3" t="n"/>
      <c r="W111" s="3" t="n"/>
      <c r="X111" s="3" t="n"/>
      <c r="Y111" s="3" t="n"/>
      <c r="Z111" s="3" t="n"/>
    </row>
    <row r="112" hidden="1" ht="15.75" customHeight="1" s="174">
      <c r="A112" s="3">
        <f>'Historical Data'!A109</f>
        <v/>
      </c>
      <c r="B112" s="3">
        <f>'Historical Data'!B109</f>
        <v/>
      </c>
      <c r="C112" s="3">
        <f>'Historical Data'!D109</f>
        <v/>
      </c>
      <c r="D112" s="23">
        <f>'Historical Data'!E109</f>
        <v/>
      </c>
      <c r="E112" s="3">
        <f>'Historical Data'!G109</f>
        <v/>
      </c>
      <c r="F112" s="3">
        <f>'Historical Data'!Y109</f>
        <v/>
      </c>
      <c r="G112" s="3">
        <f>'Historical Data'!K109</f>
        <v/>
      </c>
      <c r="H112" s="3">
        <f>'Historical Data'!L109</f>
        <v/>
      </c>
      <c r="I112" s="26">
        <f>'Historical Data'!M109</f>
        <v/>
      </c>
      <c r="J112" s="28">
        <f>'Historical Data'!N109</f>
        <v/>
      </c>
      <c r="K112" s="28">
        <f>'Historical Data'!Q109</f>
        <v/>
      </c>
      <c r="L112" s="30">
        <f>'Historical Data'!S109</f>
        <v/>
      </c>
      <c r="M112" s="28">
        <f>'Historical Data'!AJ109</f>
        <v/>
      </c>
      <c r="N112" s="28">
        <f>'Historical Data'!AK109</f>
        <v/>
      </c>
      <c r="O112" s="3">
        <f>'Historical Data'!AA109</f>
        <v/>
      </c>
      <c r="P112" s="3">
        <f>'Historical Data'!AB109</f>
        <v/>
      </c>
      <c r="Q112" s="3">
        <f>'Historical Data'!AN109</f>
        <v/>
      </c>
      <c r="R112" s="3">
        <f>'Historical Data'!AC109</f>
        <v/>
      </c>
      <c r="S112" s="3">
        <f>'Historical Data'!AE109</f>
        <v/>
      </c>
      <c r="T112" s="3">
        <f>'Historical Data'!AH109</f>
        <v/>
      </c>
      <c r="U112" s="3">
        <f>'Historical Data'!BA109</f>
        <v/>
      </c>
      <c r="V112" s="3" t="n"/>
      <c r="W112" s="3" t="n"/>
      <c r="X112" s="3" t="n"/>
      <c r="Y112" s="3" t="n"/>
      <c r="Z112" s="3" t="n"/>
    </row>
    <row r="113" hidden="1" ht="15.75" customHeight="1" s="174">
      <c r="A113" s="3">
        <f>'Historical Data'!A110</f>
        <v/>
      </c>
      <c r="B113" s="3">
        <f>'Historical Data'!B110</f>
        <v/>
      </c>
      <c r="C113" s="3">
        <f>'Historical Data'!D110</f>
        <v/>
      </c>
      <c r="D113" s="23">
        <f>'Historical Data'!E110</f>
        <v/>
      </c>
      <c r="E113" s="3">
        <f>'Historical Data'!G110</f>
        <v/>
      </c>
      <c r="F113" s="3">
        <f>'Historical Data'!Y110</f>
        <v/>
      </c>
      <c r="G113" s="3">
        <f>'Historical Data'!K110</f>
        <v/>
      </c>
      <c r="H113" s="3">
        <f>'Historical Data'!L110</f>
        <v/>
      </c>
      <c r="I113" s="26">
        <f>'Historical Data'!M110</f>
        <v/>
      </c>
      <c r="J113" s="28">
        <f>'Historical Data'!N110</f>
        <v/>
      </c>
      <c r="K113" s="28">
        <f>'Historical Data'!Q110</f>
        <v/>
      </c>
      <c r="L113" s="30">
        <f>'Historical Data'!S110</f>
        <v/>
      </c>
      <c r="M113" s="28">
        <f>'Historical Data'!AJ110</f>
        <v/>
      </c>
      <c r="N113" s="28">
        <f>'Historical Data'!AK110</f>
        <v/>
      </c>
      <c r="O113" s="3">
        <f>'Historical Data'!AA110</f>
        <v/>
      </c>
      <c r="P113" s="3">
        <f>'Historical Data'!AB110</f>
        <v/>
      </c>
      <c r="Q113" s="3">
        <f>'Historical Data'!AN110</f>
        <v/>
      </c>
      <c r="R113" s="3">
        <f>'Historical Data'!AC110</f>
        <v/>
      </c>
      <c r="S113" s="3">
        <f>'Historical Data'!AE110</f>
        <v/>
      </c>
      <c r="T113" s="3">
        <f>'Historical Data'!AH110</f>
        <v/>
      </c>
      <c r="U113" s="3">
        <f>'Historical Data'!BA110</f>
        <v/>
      </c>
      <c r="V113" s="3" t="n"/>
      <c r="W113" s="3" t="n"/>
      <c r="X113" s="3" t="n"/>
      <c r="Y113" s="3" t="n"/>
      <c r="Z113" s="3" t="n"/>
    </row>
    <row r="114" hidden="1" ht="15.75" customHeight="1" s="174">
      <c r="A114" s="3">
        <f>'Historical Data'!A111</f>
        <v/>
      </c>
      <c r="B114" s="3">
        <f>'Historical Data'!B111</f>
        <v/>
      </c>
      <c r="C114" s="3">
        <f>'Historical Data'!D111</f>
        <v/>
      </c>
      <c r="D114" s="23">
        <f>'Historical Data'!E111</f>
        <v/>
      </c>
      <c r="E114" s="3">
        <f>'Historical Data'!G111</f>
        <v/>
      </c>
      <c r="F114" s="3">
        <f>'Historical Data'!Y111</f>
        <v/>
      </c>
      <c r="G114" s="3">
        <f>'Historical Data'!K111</f>
        <v/>
      </c>
      <c r="H114" s="3">
        <f>'Historical Data'!L111</f>
        <v/>
      </c>
      <c r="I114" s="26">
        <f>'Historical Data'!M111</f>
        <v/>
      </c>
      <c r="J114" s="28">
        <f>'Historical Data'!N111</f>
        <v/>
      </c>
      <c r="K114" s="28">
        <f>'Historical Data'!Q111</f>
        <v/>
      </c>
      <c r="L114" s="30">
        <f>'Historical Data'!S111</f>
        <v/>
      </c>
      <c r="M114" s="28">
        <f>'Historical Data'!AJ111</f>
        <v/>
      </c>
      <c r="N114" s="28">
        <f>'Historical Data'!AK111</f>
        <v/>
      </c>
      <c r="O114" s="3">
        <f>'Historical Data'!AA111</f>
        <v/>
      </c>
      <c r="P114" s="3">
        <f>'Historical Data'!AB111</f>
        <v/>
      </c>
      <c r="Q114" s="3">
        <f>'Historical Data'!AN111</f>
        <v/>
      </c>
      <c r="R114" s="3">
        <f>'Historical Data'!AC111</f>
        <v/>
      </c>
      <c r="S114" s="3">
        <f>'Historical Data'!AE111</f>
        <v/>
      </c>
      <c r="T114" s="3">
        <f>'Historical Data'!AH111</f>
        <v/>
      </c>
      <c r="U114" s="3">
        <f>'Historical Data'!BA111</f>
        <v/>
      </c>
      <c r="V114" s="3" t="n"/>
      <c r="W114" s="3" t="n"/>
      <c r="X114" s="3" t="n"/>
      <c r="Y114" s="3" t="n"/>
      <c r="Z114" s="3" t="n"/>
    </row>
    <row r="115" hidden="1" ht="15.75" customHeight="1" s="174">
      <c r="A115" s="3">
        <f>'Historical Data'!A112</f>
        <v/>
      </c>
      <c r="B115" s="3">
        <f>'Historical Data'!B112</f>
        <v/>
      </c>
      <c r="C115" s="3">
        <f>'Historical Data'!D112</f>
        <v/>
      </c>
      <c r="D115" s="23">
        <f>'Historical Data'!E112</f>
        <v/>
      </c>
      <c r="E115" s="3">
        <f>'Historical Data'!G112</f>
        <v/>
      </c>
      <c r="F115" s="3">
        <f>'Historical Data'!Y112</f>
        <v/>
      </c>
      <c r="G115" s="3">
        <f>'Historical Data'!K112</f>
        <v/>
      </c>
      <c r="H115" s="3">
        <f>'Historical Data'!L112</f>
        <v/>
      </c>
      <c r="I115" s="26">
        <f>'Historical Data'!M112</f>
        <v/>
      </c>
      <c r="J115" s="28">
        <f>'Historical Data'!N112</f>
        <v/>
      </c>
      <c r="K115" s="28">
        <f>'Historical Data'!Q112</f>
        <v/>
      </c>
      <c r="L115" s="30">
        <f>'Historical Data'!S112</f>
        <v/>
      </c>
      <c r="M115" s="28">
        <f>'Historical Data'!AJ112</f>
        <v/>
      </c>
      <c r="N115" s="28">
        <f>'Historical Data'!AK112</f>
        <v/>
      </c>
      <c r="O115" s="3">
        <f>'Historical Data'!AA112</f>
        <v/>
      </c>
      <c r="P115" s="3">
        <f>'Historical Data'!AB112</f>
        <v/>
      </c>
      <c r="Q115" s="3">
        <f>'Historical Data'!AN112</f>
        <v/>
      </c>
      <c r="R115" s="3">
        <f>'Historical Data'!AC112</f>
        <v/>
      </c>
      <c r="S115" s="3">
        <f>'Historical Data'!AE112</f>
        <v/>
      </c>
      <c r="T115" s="3">
        <f>'Historical Data'!AH112</f>
        <v/>
      </c>
      <c r="U115" s="3">
        <f>'Historical Data'!BA112</f>
        <v/>
      </c>
      <c r="V115" s="3" t="n"/>
      <c r="W115" s="3" t="n"/>
      <c r="X115" s="3" t="n"/>
      <c r="Y115" s="3" t="n"/>
      <c r="Z115" s="3" t="n"/>
    </row>
    <row r="116" hidden="1" ht="15.75" customHeight="1" s="174">
      <c r="A116" s="3">
        <f>'Historical Data'!A113</f>
        <v/>
      </c>
      <c r="B116" s="3">
        <f>'Historical Data'!B113</f>
        <v/>
      </c>
      <c r="C116" s="3">
        <f>'Historical Data'!D113</f>
        <v/>
      </c>
      <c r="D116" s="23">
        <f>'Historical Data'!E113</f>
        <v/>
      </c>
      <c r="E116" s="3">
        <f>'Historical Data'!G113</f>
        <v/>
      </c>
      <c r="F116" s="3">
        <f>'Historical Data'!Y113</f>
        <v/>
      </c>
      <c r="G116" s="3">
        <f>'Historical Data'!K113</f>
        <v/>
      </c>
      <c r="H116" s="3">
        <f>'Historical Data'!L113</f>
        <v/>
      </c>
      <c r="I116" s="26">
        <f>'Historical Data'!M113</f>
        <v/>
      </c>
      <c r="J116" s="28">
        <f>'Historical Data'!N113</f>
        <v/>
      </c>
      <c r="K116" s="28">
        <f>'Historical Data'!Q113</f>
        <v/>
      </c>
      <c r="L116" s="30">
        <f>'Historical Data'!S113</f>
        <v/>
      </c>
      <c r="M116" s="28">
        <f>'Historical Data'!AJ113</f>
        <v/>
      </c>
      <c r="N116" s="28">
        <f>'Historical Data'!AK113</f>
        <v/>
      </c>
      <c r="O116" s="3">
        <f>'Historical Data'!AA113</f>
        <v/>
      </c>
      <c r="P116" s="3">
        <f>'Historical Data'!AB113</f>
        <v/>
      </c>
      <c r="Q116" s="3">
        <f>'Historical Data'!AN113</f>
        <v/>
      </c>
      <c r="R116" s="3">
        <f>'Historical Data'!AC113</f>
        <v/>
      </c>
      <c r="S116" s="3">
        <f>'Historical Data'!AE113</f>
        <v/>
      </c>
      <c r="T116" s="3">
        <f>'Historical Data'!AH113</f>
        <v/>
      </c>
      <c r="U116" s="3">
        <f>'Historical Data'!BA113</f>
        <v/>
      </c>
      <c r="V116" s="3" t="n"/>
      <c r="W116" s="3" t="n"/>
      <c r="X116" s="3" t="n"/>
      <c r="Y116" s="3" t="n"/>
      <c r="Z116" s="3" t="n"/>
    </row>
    <row r="117" hidden="1" ht="15.75" customHeight="1" s="174">
      <c r="A117" s="3">
        <f>'Historical Data'!A114</f>
        <v/>
      </c>
      <c r="B117" s="3">
        <f>'Historical Data'!B114</f>
        <v/>
      </c>
      <c r="C117" s="3">
        <f>'Historical Data'!D114</f>
        <v/>
      </c>
      <c r="D117" s="23">
        <f>'Historical Data'!E114</f>
        <v/>
      </c>
      <c r="E117" s="3">
        <f>'Historical Data'!G114</f>
        <v/>
      </c>
      <c r="F117" s="3">
        <f>'Historical Data'!Y114</f>
        <v/>
      </c>
      <c r="G117" s="3">
        <f>'Historical Data'!K114</f>
        <v/>
      </c>
      <c r="H117" s="3">
        <f>'Historical Data'!L114</f>
        <v/>
      </c>
      <c r="I117" s="26">
        <f>'Historical Data'!M114</f>
        <v/>
      </c>
      <c r="J117" s="28">
        <f>'Historical Data'!N114</f>
        <v/>
      </c>
      <c r="K117" s="28">
        <f>'Historical Data'!Q114</f>
        <v/>
      </c>
      <c r="L117" s="30">
        <f>'Historical Data'!S114</f>
        <v/>
      </c>
      <c r="M117" s="28">
        <f>'Historical Data'!AJ114</f>
        <v/>
      </c>
      <c r="N117" s="28">
        <f>'Historical Data'!AK114</f>
        <v/>
      </c>
      <c r="O117" s="3">
        <f>'Historical Data'!AA114</f>
        <v/>
      </c>
      <c r="P117" s="3">
        <f>'Historical Data'!AB114</f>
        <v/>
      </c>
      <c r="Q117" s="3">
        <f>'Historical Data'!AN114</f>
        <v/>
      </c>
      <c r="R117" s="3">
        <f>'Historical Data'!AC114</f>
        <v/>
      </c>
      <c r="S117" s="3">
        <f>'Historical Data'!AE114</f>
        <v/>
      </c>
      <c r="T117" s="3">
        <f>'Historical Data'!AH114</f>
        <v/>
      </c>
      <c r="U117" s="3">
        <f>'Historical Data'!BA114</f>
        <v/>
      </c>
      <c r="V117" s="3" t="n"/>
      <c r="W117" s="3" t="n"/>
      <c r="X117" s="3" t="n"/>
      <c r="Y117" s="3" t="n"/>
      <c r="Z117" s="3" t="n"/>
    </row>
    <row r="118" hidden="1" ht="15.75" customHeight="1" s="174">
      <c r="A118" s="3">
        <f>'Historical Data'!A115</f>
        <v/>
      </c>
      <c r="B118" s="3">
        <f>'Historical Data'!B115</f>
        <v/>
      </c>
      <c r="C118" s="3">
        <f>'Historical Data'!D115</f>
        <v/>
      </c>
      <c r="D118" s="23">
        <f>'Historical Data'!E115</f>
        <v/>
      </c>
      <c r="E118" s="3">
        <f>'Historical Data'!G115</f>
        <v/>
      </c>
      <c r="F118" s="3">
        <f>'Historical Data'!Y115</f>
        <v/>
      </c>
      <c r="G118" s="3">
        <f>'Historical Data'!K115</f>
        <v/>
      </c>
      <c r="H118" s="3">
        <f>'Historical Data'!L115</f>
        <v/>
      </c>
      <c r="I118" s="26">
        <f>'Historical Data'!M115</f>
        <v/>
      </c>
      <c r="J118" s="28">
        <f>'Historical Data'!N115</f>
        <v/>
      </c>
      <c r="K118" s="28">
        <f>'Historical Data'!Q115</f>
        <v/>
      </c>
      <c r="L118" s="30">
        <f>'Historical Data'!S115</f>
        <v/>
      </c>
      <c r="M118" s="28">
        <f>'Historical Data'!AJ115</f>
        <v/>
      </c>
      <c r="N118" s="28">
        <f>'Historical Data'!AK115</f>
        <v/>
      </c>
      <c r="O118" s="3">
        <f>'Historical Data'!AA115</f>
        <v/>
      </c>
      <c r="P118" s="3">
        <f>'Historical Data'!AB115</f>
        <v/>
      </c>
      <c r="Q118" s="3">
        <f>'Historical Data'!AN115</f>
        <v/>
      </c>
      <c r="R118" s="3">
        <f>'Historical Data'!AC115</f>
        <v/>
      </c>
      <c r="S118" s="3">
        <f>'Historical Data'!AE115</f>
        <v/>
      </c>
      <c r="T118" s="3">
        <f>'Historical Data'!AH115</f>
        <v/>
      </c>
      <c r="U118" s="3">
        <f>'Historical Data'!BA115</f>
        <v/>
      </c>
      <c r="V118" s="3" t="n"/>
      <c r="W118" s="3" t="n"/>
      <c r="X118" s="3" t="n"/>
      <c r="Y118" s="3" t="n"/>
      <c r="Z118" s="3" t="n"/>
    </row>
    <row r="119" hidden="1" ht="15.75" customHeight="1" s="174">
      <c r="A119" s="3">
        <f>'Historical Data'!A116</f>
        <v/>
      </c>
      <c r="B119" s="3">
        <f>'Historical Data'!B116</f>
        <v/>
      </c>
      <c r="C119" s="3">
        <f>'Historical Data'!D116</f>
        <v/>
      </c>
      <c r="D119" s="23">
        <f>'Historical Data'!E116</f>
        <v/>
      </c>
      <c r="E119" s="3">
        <f>'Historical Data'!G116</f>
        <v/>
      </c>
      <c r="F119" s="3">
        <f>'Historical Data'!Y116</f>
        <v/>
      </c>
      <c r="G119" s="3">
        <f>'Historical Data'!K116</f>
        <v/>
      </c>
      <c r="H119" s="3">
        <f>'Historical Data'!L116</f>
        <v/>
      </c>
      <c r="I119" s="26">
        <f>'Historical Data'!M116</f>
        <v/>
      </c>
      <c r="J119" s="28">
        <f>'Historical Data'!N116</f>
        <v/>
      </c>
      <c r="K119" s="28">
        <f>'Historical Data'!Q116</f>
        <v/>
      </c>
      <c r="L119" s="30">
        <f>'Historical Data'!S116</f>
        <v/>
      </c>
      <c r="M119" s="28">
        <f>'Historical Data'!AJ116</f>
        <v/>
      </c>
      <c r="N119" s="28">
        <f>'Historical Data'!AK116</f>
        <v/>
      </c>
      <c r="O119" s="3">
        <f>'Historical Data'!AA116</f>
        <v/>
      </c>
      <c r="P119" s="3">
        <f>'Historical Data'!AB116</f>
        <v/>
      </c>
      <c r="Q119" s="3">
        <f>'Historical Data'!AN116</f>
        <v/>
      </c>
      <c r="R119" s="3">
        <f>'Historical Data'!AC116</f>
        <v/>
      </c>
      <c r="S119" s="3">
        <f>'Historical Data'!AE116</f>
        <v/>
      </c>
      <c r="T119" s="3">
        <f>'Historical Data'!AH116</f>
        <v/>
      </c>
      <c r="U119" s="3">
        <f>'Historical Data'!BA116</f>
        <v/>
      </c>
      <c r="V119" s="3" t="n"/>
      <c r="W119" s="3" t="n"/>
      <c r="X119" s="3" t="n"/>
      <c r="Y119" s="3" t="n"/>
      <c r="Z119" s="3" t="n"/>
    </row>
    <row r="120" hidden="1" ht="15.75" customHeight="1" s="174">
      <c r="A120" s="3">
        <f>'Historical Data'!A117</f>
        <v/>
      </c>
      <c r="B120" s="3">
        <f>'Historical Data'!B117</f>
        <v/>
      </c>
      <c r="C120" s="3">
        <f>'Historical Data'!D117</f>
        <v/>
      </c>
      <c r="D120" s="23">
        <f>'Historical Data'!E117</f>
        <v/>
      </c>
      <c r="E120" s="3">
        <f>'Historical Data'!G117</f>
        <v/>
      </c>
      <c r="F120" s="3">
        <f>'Historical Data'!Y117</f>
        <v/>
      </c>
      <c r="G120" s="3">
        <f>'Historical Data'!K117</f>
        <v/>
      </c>
      <c r="H120" s="3">
        <f>'Historical Data'!L117</f>
        <v/>
      </c>
      <c r="I120" s="26">
        <f>'Historical Data'!M117</f>
        <v/>
      </c>
      <c r="J120" s="28">
        <f>'Historical Data'!N117</f>
        <v/>
      </c>
      <c r="K120" s="28">
        <f>'Historical Data'!Q117</f>
        <v/>
      </c>
      <c r="L120" s="30">
        <f>'Historical Data'!S117</f>
        <v/>
      </c>
      <c r="M120" s="28">
        <f>'Historical Data'!AJ117</f>
        <v/>
      </c>
      <c r="N120" s="28">
        <f>'Historical Data'!AK117</f>
        <v/>
      </c>
      <c r="O120" s="3">
        <f>'Historical Data'!AA117</f>
        <v/>
      </c>
      <c r="P120" s="3">
        <f>'Historical Data'!AB117</f>
        <v/>
      </c>
      <c r="Q120" s="3">
        <f>'Historical Data'!AN117</f>
        <v/>
      </c>
      <c r="R120" s="3">
        <f>'Historical Data'!AC117</f>
        <v/>
      </c>
      <c r="S120" s="3">
        <f>'Historical Data'!AE117</f>
        <v/>
      </c>
      <c r="T120" s="3">
        <f>'Historical Data'!AH117</f>
        <v/>
      </c>
      <c r="U120" s="3">
        <f>'Historical Data'!BA117</f>
        <v/>
      </c>
      <c r="V120" s="3" t="n"/>
      <c r="W120" s="3" t="n"/>
      <c r="X120" s="3" t="n"/>
      <c r="Y120" s="3" t="n"/>
      <c r="Z120" s="3" t="n"/>
    </row>
    <row r="121" hidden="1" ht="15.75" customHeight="1" s="174">
      <c r="A121" s="3">
        <f>'Historical Data'!A118</f>
        <v/>
      </c>
      <c r="B121" s="3">
        <f>'Historical Data'!B118</f>
        <v/>
      </c>
      <c r="C121" s="3">
        <f>'Historical Data'!D118</f>
        <v/>
      </c>
      <c r="D121" s="23">
        <f>'Historical Data'!E118</f>
        <v/>
      </c>
      <c r="E121" s="3">
        <f>'Historical Data'!G118</f>
        <v/>
      </c>
      <c r="F121" s="3">
        <f>'Historical Data'!Y118</f>
        <v/>
      </c>
      <c r="G121" s="3">
        <f>'Historical Data'!K118</f>
        <v/>
      </c>
      <c r="H121" s="3">
        <f>'Historical Data'!L118</f>
        <v/>
      </c>
      <c r="I121" s="26">
        <f>'Historical Data'!M118</f>
        <v/>
      </c>
      <c r="J121" s="28">
        <f>'Historical Data'!N118</f>
        <v/>
      </c>
      <c r="K121" s="28">
        <f>'Historical Data'!Q118</f>
        <v/>
      </c>
      <c r="L121" s="30">
        <f>'Historical Data'!S118</f>
        <v/>
      </c>
      <c r="M121" s="28">
        <f>'Historical Data'!AJ118</f>
        <v/>
      </c>
      <c r="N121" s="28">
        <f>'Historical Data'!AK118</f>
        <v/>
      </c>
      <c r="O121" s="3">
        <f>'Historical Data'!AA118</f>
        <v/>
      </c>
      <c r="P121" s="3">
        <f>'Historical Data'!AB118</f>
        <v/>
      </c>
      <c r="Q121" s="3">
        <f>'Historical Data'!AN118</f>
        <v/>
      </c>
      <c r="R121" s="3">
        <f>'Historical Data'!AC118</f>
        <v/>
      </c>
      <c r="S121" s="3">
        <f>'Historical Data'!AE118</f>
        <v/>
      </c>
      <c r="T121" s="3">
        <f>'Historical Data'!AH118</f>
        <v/>
      </c>
      <c r="U121" s="3">
        <f>'Historical Data'!BA118</f>
        <v/>
      </c>
      <c r="V121" s="3" t="n"/>
      <c r="W121" s="3" t="n"/>
      <c r="X121" s="3" t="n"/>
      <c r="Y121" s="3" t="n"/>
      <c r="Z121" s="3" t="n"/>
    </row>
    <row r="122" hidden="1" ht="15.75" customHeight="1" s="174">
      <c r="A122" s="3">
        <f>'Historical Data'!A119</f>
        <v/>
      </c>
      <c r="B122" s="3">
        <f>'Historical Data'!B119</f>
        <v/>
      </c>
      <c r="C122" s="3">
        <f>'Historical Data'!D119</f>
        <v/>
      </c>
      <c r="D122" s="23">
        <f>'Historical Data'!E119</f>
        <v/>
      </c>
      <c r="E122" s="3">
        <f>'Historical Data'!G119</f>
        <v/>
      </c>
      <c r="F122" s="3">
        <f>'Historical Data'!Y119</f>
        <v/>
      </c>
      <c r="G122" s="3">
        <f>'Historical Data'!K119</f>
        <v/>
      </c>
      <c r="H122" s="3">
        <f>'Historical Data'!L119</f>
        <v/>
      </c>
      <c r="I122" s="26">
        <f>'Historical Data'!M119</f>
        <v/>
      </c>
      <c r="J122" s="28">
        <f>'Historical Data'!N119</f>
        <v/>
      </c>
      <c r="K122" s="28">
        <f>'Historical Data'!Q119</f>
        <v/>
      </c>
      <c r="L122" s="30">
        <f>'Historical Data'!S119</f>
        <v/>
      </c>
      <c r="M122" s="28">
        <f>'Historical Data'!AJ119</f>
        <v/>
      </c>
      <c r="N122" s="28">
        <f>'Historical Data'!AK119</f>
        <v/>
      </c>
      <c r="O122" s="3">
        <f>'Historical Data'!AA119</f>
        <v/>
      </c>
      <c r="P122" s="3">
        <f>'Historical Data'!AB119</f>
        <v/>
      </c>
      <c r="Q122" s="3">
        <f>'Historical Data'!AN119</f>
        <v/>
      </c>
      <c r="R122" s="3">
        <f>'Historical Data'!AC119</f>
        <v/>
      </c>
      <c r="S122" s="3">
        <f>'Historical Data'!AE119</f>
        <v/>
      </c>
      <c r="T122" s="3">
        <f>'Historical Data'!AH119</f>
        <v/>
      </c>
      <c r="U122" s="3">
        <f>'Historical Data'!BA119</f>
        <v/>
      </c>
      <c r="V122" s="3" t="n"/>
      <c r="W122" s="3" t="n"/>
      <c r="X122" s="3" t="n"/>
      <c r="Y122" s="3" t="n"/>
      <c r="Z122" s="3" t="n"/>
    </row>
    <row r="123" hidden="1" ht="15.75" customHeight="1" s="174">
      <c r="A123" s="3">
        <f>'Historical Data'!A120</f>
        <v/>
      </c>
      <c r="B123" s="3">
        <f>'Historical Data'!B120</f>
        <v/>
      </c>
      <c r="C123" s="3">
        <f>'Historical Data'!D120</f>
        <v/>
      </c>
      <c r="D123" s="23">
        <f>'Historical Data'!E120</f>
        <v/>
      </c>
      <c r="E123" s="3">
        <f>'Historical Data'!G120</f>
        <v/>
      </c>
      <c r="F123" s="3">
        <f>'Historical Data'!Y120</f>
        <v/>
      </c>
      <c r="G123" s="3">
        <f>'Historical Data'!K120</f>
        <v/>
      </c>
      <c r="H123" s="3">
        <f>'Historical Data'!L120</f>
        <v/>
      </c>
      <c r="I123" s="26">
        <f>'Historical Data'!M120</f>
        <v/>
      </c>
      <c r="J123" s="28">
        <f>'Historical Data'!N120</f>
        <v/>
      </c>
      <c r="K123" s="28">
        <f>'Historical Data'!Q120</f>
        <v/>
      </c>
      <c r="L123" s="30">
        <f>'Historical Data'!S120</f>
        <v/>
      </c>
      <c r="M123" s="28">
        <f>'Historical Data'!AJ120</f>
        <v/>
      </c>
      <c r="N123" s="28">
        <f>'Historical Data'!AK120</f>
        <v/>
      </c>
      <c r="O123" s="3">
        <f>'Historical Data'!AA120</f>
        <v/>
      </c>
      <c r="P123" s="3">
        <f>'Historical Data'!AB120</f>
        <v/>
      </c>
      <c r="Q123" s="3">
        <f>'Historical Data'!AN120</f>
        <v/>
      </c>
      <c r="R123" s="3">
        <f>'Historical Data'!AC120</f>
        <v/>
      </c>
      <c r="S123" s="3">
        <f>'Historical Data'!AE120</f>
        <v/>
      </c>
      <c r="T123" s="3">
        <f>'Historical Data'!AH120</f>
        <v/>
      </c>
      <c r="U123" s="3">
        <f>'Historical Data'!BA120</f>
        <v/>
      </c>
      <c r="V123" s="3" t="n"/>
      <c r="W123" s="3" t="n"/>
      <c r="X123" s="3" t="n"/>
      <c r="Y123" s="3" t="n"/>
      <c r="Z123" s="3" t="n"/>
    </row>
    <row r="124" hidden="1" ht="15.75" customHeight="1" s="174">
      <c r="A124" s="3">
        <f>'Historical Data'!A121</f>
        <v/>
      </c>
      <c r="B124" s="3">
        <f>'Historical Data'!B121</f>
        <v/>
      </c>
      <c r="C124" s="3">
        <f>'Historical Data'!D121</f>
        <v/>
      </c>
      <c r="D124" s="23">
        <f>'Historical Data'!E121</f>
        <v/>
      </c>
      <c r="E124" s="3">
        <f>'Historical Data'!G121</f>
        <v/>
      </c>
      <c r="F124" s="3">
        <f>'Historical Data'!Y121</f>
        <v/>
      </c>
      <c r="G124" s="3">
        <f>'Historical Data'!K121</f>
        <v/>
      </c>
      <c r="H124" s="3">
        <f>'Historical Data'!L121</f>
        <v/>
      </c>
      <c r="I124" s="26">
        <f>'Historical Data'!M121</f>
        <v/>
      </c>
      <c r="J124" s="28">
        <f>'Historical Data'!N121</f>
        <v/>
      </c>
      <c r="K124" s="28">
        <f>'Historical Data'!Q121</f>
        <v/>
      </c>
      <c r="L124" s="30">
        <f>'Historical Data'!S121</f>
        <v/>
      </c>
      <c r="M124" s="28">
        <f>'Historical Data'!AJ121</f>
        <v/>
      </c>
      <c r="N124" s="28">
        <f>'Historical Data'!AK121</f>
        <v/>
      </c>
      <c r="O124" s="3">
        <f>'Historical Data'!AA121</f>
        <v/>
      </c>
      <c r="P124" s="3">
        <f>'Historical Data'!AB121</f>
        <v/>
      </c>
      <c r="Q124" s="3">
        <f>'Historical Data'!AN121</f>
        <v/>
      </c>
      <c r="R124" s="3">
        <f>'Historical Data'!AC121</f>
        <v/>
      </c>
      <c r="S124" s="3">
        <f>'Historical Data'!AE121</f>
        <v/>
      </c>
      <c r="T124" s="3">
        <f>'Historical Data'!AH121</f>
        <v/>
      </c>
      <c r="U124" s="3">
        <f>'Historical Data'!BA121</f>
        <v/>
      </c>
      <c r="V124" s="3" t="n"/>
      <c r="W124" s="3" t="n"/>
      <c r="X124" s="3" t="n"/>
      <c r="Y124" s="3" t="n"/>
      <c r="Z124" s="3" t="n"/>
    </row>
    <row r="125" hidden="1" ht="15.75" customHeight="1" s="174">
      <c r="A125" s="3">
        <f>'Historical Data'!A122</f>
        <v/>
      </c>
      <c r="B125" s="3">
        <f>'Historical Data'!B122</f>
        <v/>
      </c>
      <c r="C125" s="3">
        <f>'Historical Data'!D122</f>
        <v/>
      </c>
      <c r="D125" s="23">
        <f>'Historical Data'!E122</f>
        <v/>
      </c>
      <c r="E125" s="3">
        <f>'Historical Data'!G122</f>
        <v/>
      </c>
      <c r="F125" s="3">
        <f>'Historical Data'!Y122</f>
        <v/>
      </c>
      <c r="G125" s="3">
        <f>'Historical Data'!K122</f>
        <v/>
      </c>
      <c r="H125" s="3">
        <f>'Historical Data'!L122</f>
        <v/>
      </c>
      <c r="I125" s="26">
        <f>'Historical Data'!M122</f>
        <v/>
      </c>
      <c r="J125" s="28">
        <f>'Historical Data'!N122</f>
        <v/>
      </c>
      <c r="K125" s="28">
        <f>'Historical Data'!Q122</f>
        <v/>
      </c>
      <c r="L125" s="30">
        <f>'Historical Data'!S122</f>
        <v/>
      </c>
      <c r="M125" s="28">
        <f>'Historical Data'!AJ122</f>
        <v/>
      </c>
      <c r="N125" s="28">
        <f>'Historical Data'!AK122</f>
        <v/>
      </c>
      <c r="O125" s="3">
        <f>'Historical Data'!AA122</f>
        <v/>
      </c>
      <c r="P125" s="3">
        <f>'Historical Data'!AB122</f>
        <v/>
      </c>
      <c r="Q125" s="3">
        <f>'Historical Data'!AN122</f>
        <v/>
      </c>
      <c r="R125" s="3">
        <f>'Historical Data'!AC122</f>
        <v/>
      </c>
      <c r="S125" s="3">
        <f>'Historical Data'!AE122</f>
        <v/>
      </c>
      <c r="T125" s="3">
        <f>'Historical Data'!AH122</f>
        <v/>
      </c>
      <c r="U125" s="3">
        <f>'Historical Data'!BA122</f>
        <v/>
      </c>
      <c r="V125" s="3" t="n"/>
      <c r="W125" s="3" t="n"/>
      <c r="X125" s="3" t="n"/>
      <c r="Y125" s="3" t="n"/>
      <c r="Z125" s="3" t="n"/>
    </row>
    <row r="126" hidden="1" ht="15.75" customHeight="1" s="174">
      <c r="A126" s="3">
        <f>'Historical Data'!A123</f>
        <v/>
      </c>
      <c r="B126" s="3">
        <f>'Historical Data'!B123</f>
        <v/>
      </c>
      <c r="C126" s="3">
        <f>'Historical Data'!D123</f>
        <v/>
      </c>
      <c r="D126" s="23">
        <f>'Historical Data'!E123</f>
        <v/>
      </c>
      <c r="E126" s="3">
        <f>'Historical Data'!G123</f>
        <v/>
      </c>
      <c r="F126" s="3">
        <f>'Historical Data'!Y123</f>
        <v/>
      </c>
      <c r="G126" s="3">
        <f>'Historical Data'!K123</f>
        <v/>
      </c>
      <c r="H126" s="3">
        <f>'Historical Data'!L123</f>
        <v/>
      </c>
      <c r="I126" s="26">
        <f>'Historical Data'!M123</f>
        <v/>
      </c>
      <c r="J126" s="28">
        <f>'Historical Data'!N123</f>
        <v/>
      </c>
      <c r="K126" s="28">
        <f>'Historical Data'!Q123</f>
        <v/>
      </c>
      <c r="L126" s="30">
        <f>'Historical Data'!S123</f>
        <v/>
      </c>
      <c r="M126" s="28">
        <f>'Historical Data'!AJ123</f>
        <v/>
      </c>
      <c r="N126" s="28">
        <f>'Historical Data'!AK123</f>
        <v/>
      </c>
      <c r="O126" s="3">
        <f>'Historical Data'!AA123</f>
        <v/>
      </c>
      <c r="P126" s="3">
        <f>'Historical Data'!AB123</f>
        <v/>
      </c>
      <c r="Q126" s="3">
        <f>'Historical Data'!AN123</f>
        <v/>
      </c>
      <c r="R126" s="3">
        <f>'Historical Data'!AC123</f>
        <v/>
      </c>
      <c r="S126" s="3">
        <f>'Historical Data'!AE123</f>
        <v/>
      </c>
      <c r="T126" s="3">
        <f>'Historical Data'!AH123</f>
        <v/>
      </c>
      <c r="U126" s="3">
        <f>'Historical Data'!BA123</f>
        <v/>
      </c>
      <c r="V126" s="3" t="n"/>
      <c r="W126" s="3" t="n"/>
      <c r="X126" s="3" t="n"/>
      <c r="Y126" s="3" t="n"/>
      <c r="Z126" s="3" t="n"/>
    </row>
    <row r="127" hidden="1" ht="15.75" customHeight="1" s="174">
      <c r="A127" s="3">
        <f>'Historical Data'!A124</f>
        <v/>
      </c>
      <c r="B127" s="3">
        <f>'Historical Data'!B124</f>
        <v/>
      </c>
      <c r="C127" s="3">
        <f>'Historical Data'!D124</f>
        <v/>
      </c>
      <c r="D127" s="23">
        <f>'Historical Data'!E124</f>
        <v/>
      </c>
      <c r="E127" s="3">
        <f>'Historical Data'!G124</f>
        <v/>
      </c>
      <c r="F127" s="3">
        <f>'Historical Data'!Y124</f>
        <v/>
      </c>
      <c r="G127" s="3">
        <f>'Historical Data'!K124</f>
        <v/>
      </c>
      <c r="H127" s="3">
        <f>'Historical Data'!L124</f>
        <v/>
      </c>
      <c r="I127" s="26">
        <f>'Historical Data'!M124</f>
        <v/>
      </c>
      <c r="J127" s="28">
        <f>'Historical Data'!N124</f>
        <v/>
      </c>
      <c r="K127" s="28">
        <f>'Historical Data'!Q124</f>
        <v/>
      </c>
      <c r="L127" s="30">
        <f>'Historical Data'!S124</f>
        <v/>
      </c>
      <c r="M127" s="28">
        <f>'Historical Data'!AJ124</f>
        <v/>
      </c>
      <c r="N127" s="28">
        <f>'Historical Data'!AK124</f>
        <v/>
      </c>
      <c r="O127" s="3">
        <f>'Historical Data'!AA124</f>
        <v/>
      </c>
      <c r="P127" s="3">
        <f>'Historical Data'!AB124</f>
        <v/>
      </c>
      <c r="Q127" s="3">
        <f>'Historical Data'!AN124</f>
        <v/>
      </c>
      <c r="R127" s="3">
        <f>'Historical Data'!AC124</f>
        <v/>
      </c>
      <c r="S127" s="3">
        <f>'Historical Data'!AE124</f>
        <v/>
      </c>
      <c r="T127" s="3">
        <f>'Historical Data'!AH124</f>
        <v/>
      </c>
      <c r="U127" s="3">
        <f>'Historical Data'!BA124</f>
        <v/>
      </c>
      <c r="V127" s="3" t="n"/>
      <c r="W127" s="3" t="n"/>
      <c r="X127" s="3" t="n"/>
      <c r="Y127" s="3" t="n"/>
      <c r="Z127" s="3" t="n"/>
    </row>
    <row r="128" hidden="1" ht="15.75" customHeight="1" s="174">
      <c r="A128" s="3">
        <f>'Historical Data'!A125</f>
        <v/>
      </c>
      <c r="B128" s="3">
        <f>'Historical Data'!B125</f>
        <v/>
      </c>
      <c r="C128" s="3">
        <f>'Historical Data'!D125</f>
        <v/>
      </c>
      <c r="D128" s="23">
        <f>'Historical Data'!E125</f>
        <v/>
      </c>
      <c r="E128" s="3">
        <f>'Historical Data'!G125</f>
        <v/>
      </c>
      <c r="F128" s="3">
        <f>'Historical Data'!Y125</f>
        <v/>
      </c>
      <c r="G128" s="3">
        <f>'Historical Data'!K125</f>
        <v/>
      </c>
      <c r="H128" s="3">
        <f>'Historical Data'!L125</f>
        <v/>
      </c>
      <c r="I128" s="26">
        <f>'Historical Data'!M125</f>
        <v/>
      </c>
      <c r="J128" s="28">
        <f>'Historical Data'!N125</f>
        <v/>
      </c>
      <c r="K128" s="28">
        <f>'Historical Data'!Q125</f>
        <v/>
      </c>
      <c r="L128" s="30">
        <f>'Historical Data'!S125</f>
        <v/>
      </c>
      <c r="M128" s="28">
        <f>'Historical Data'!AJ125</f>
        <v/>
      </c>
      <c r="N128" s="28">
        <f>'Historical Data'!AK125</f>
        <v/>
      </c>
      <c r="O128" s="3">
        <f>'Historical Data'!AA125</f>
        <v/>
      </c>
      <c r="P128" s="3">
        <f>'Historical Data'!AB125</f>
        <v/>
      </c>
      <c r="Q128" s="3">
        <f>'Historical Data'!AN125</f>
        <v/>
      </c>
      <c r="R128" s="3">
        <f>'Historical Data'!AC125</f>
        <v/>
      </c>
      <c r="S128" s="3">
        <f>'Historical Data'!AE125</f>
        <v/>
      </c>
      <c r="T128" s="3">
        <f>'Historical Data'!AH125</f>
        <v/>
      </c>
      <c r="U128" s="3">
        <f>'Historical Data'!BA125</f>
        <v/>
      </c>
      <c r="V128" s="3" t="n"/>
      <c r="W128" s="3" t="n"/>
      <c r="X128" s="3" t="n"/>
      <c r="Y128" s="3" t="n"/>
      <c r="Z128" s="3" t="n"/>
    </row>
    <row r="129" hidden="1" ht="15.75" customHeight="1" s="174">
      <c r="A129" s="3">
        <f>'Historical Data'!A126</f>
        <v/>
      </c>
      <c r="B129" s="3">
        <f>'Historical Data'!B126</f>
        <v/>
      </c>
      <c r="C129" s="3">
        <f>'Historical Data'!D126</f>
        <v/>
      </c>
      <c r="D129" s="23">
        <f>'Historical Data'!E126</f>
        <v/>
      </c>
      <c r="E129" s="3">
        <f>'Historical Data'!G126</f>
        <v/>
      </c>
      <c r="F129" s="3">
        <f>'Historical Data'!Y126</f>
        <v/>
      </c>
      <c r="G129" s="3">
        <f>'Historical Data'!K126</f>
        <v/>
      </c>
      <c r="H129" s="3">
        <f>'Historical Data'!L126</f>
        <v/>
      </c>
      <c r="I129" s="26">
        <f>'Historical Data'!M126</f>
        <v/>
      </c>
      <c r="J129" s="28">
        <f>'Historical Data'!N126</f>
        <v/>
      </c>
      <c r="K129" s="28">
        <f>'Historical Data'!Q126</f>
        <v/>
      </c>
      <c r="L129" s="30">
        <f>'Historical Data'!S126</f>
        <v/>
      </c>
      <c r="M129" s="28">
        <f>'Historical Data'!AJ126</f>
        <v/>
      </c>
      <c r="N129" s="28">
        <f>'Historical Data'!AK126</f>
        <v/>
      </c>
      <c r="O129" s="3">
        <f>'Historical Data'!AA126</f>
        <v/>
      </c>
      <c r="P129" s="3">
        <f>'Historical Data'!AB126</f>
        <v/>
      </c>
      <c r="Q129" s="3">
        <f>'Historical Data'!AN126</f>
        <v/>
      </c>
      <c r="R129" s="3">
        <f>'Historical Data'!AC126</f>
        <v/>
      </c>
      <c r="S129" s="3">
        <f>'Historical Data'!AE126</f>
        <v/>
      </c>
      <c r="T129" s="3">
        <f>'Historical Data'!AH126</f>
        <v/>
      </c>
      <c r="U129" s="3">
        <f>'Historical Data'!BA126</f>
        <v/>
      </c>
      <c r="V129" s="3" t="n"/>
      <c r="W129" s="3" t="n"/>
      <c r="X129" s="3" t="n"/>
      <c r="Y129" s="3" t="n"/>
      <c r="Z129" s="3" t="n"/>
    </row>
    <row r="130" hidden="1" ht="15.75" customHeight="1" s="174">
      <c r="A130" s="3">
        <f>'Historical Data'!A127</f>
        <v/>
      </c>
      <c r="B130" s="3">
        <f>'Historical Data'!B127</f>
        <v/>
      </c>
      <c r="C130" s="3">
        <f>'Historical Data'!D127</f>
        <v/>
      </c>
      <c r="D130" s="23">
        <f>'Historical Data'!E127</f>
        <v/>
      </c>
      <c r="E130" s="3">
        <f>'Historical Data'!G127</f>
        <v/>
      </c>
      <c r="F130" s="3">
        <f>'Historical Data'!Y127</f>
        <v/>
      </c>
      <c r="G130" s="3">
        <f>'Historical Data'!K127</f>
        <v/>
      </c>
      <c r="H130" s="3">
        <f>'Historical Data'!L127</f>
        <v/>
      </c>
      <c r="I130" s="26">
        <f>'Historical Data'!M127</f>
        <v/>
      </c>
      <c r="J130" s="28">
        <f>'Historical Data'!N127</f>
        <v/>
      </c>
      <c r="K130" s="28">
        <f>'Historical Data'!Q127</f>
        <v/>
      </c>
      <c r="L130" s="30">
        <f>'Historical Data'!S127</f>
        <v/>
      </c>
      <c r="M130" s="28">
        <f>'Historical Data'!AJ127</f>
        <v/>
      </c>
      <c r="N130" s="28">
        <f>'Historical Data'!AK127</f>
        <v/>
      </c>
      <c r="O130" s="3">
        <f>'Historical Data'!AA127</f>
        <v/>
      </c>
      <c r="P130" s="3">
        <f>'Historical Data'!AB127</f>
        <v/>
      </c>
      <c r="Q130" s="3">
        <f>'Historical Data'!AN127</f>
        <v/>
      </c>
      <c r="R130" s="3">
        <f>'Historical Data'!AC127</f>
        <v/>
      </c>
      <c r="S130" s="3">
        <f>'Historical Data'!AE127</f>
        <v/>
      </c>
      <c r="T130" s="3">
        <f>'Historical Data'!AH127</f>
        <v/>
      </c>
      <c r="U130" s="3">
        <f>'Historical Data'!BA127</f>
        <v/>
      </c>
      <c r="V130" s="3" t="n"/>
      <c r="W130" s="3" t="n"/>
      <c r="X130" s="3" t="n"/>
      <c r="Y130" s="3" t="n"/>
      <c r="Z130" s="3" t="n"/>
    </row>
    <row r="131" hidden="1" ht="15.75" customHeight="1" s="174">
      <c r="A131" s="3">
        <f>'Historical Data'!A128</f>
        <v/>
      </c>
      <c r="B131" s="3">
        <f>'Historical Data'!B128</f>
        <v/>
      </c>
      <c r="C131" s="3">
        <f>'Historical Data'!D128</f>
        <v/>
      </c>
      <c r="D131" s="23">
        <f>'Historical Data'!E128</f>
        <v/>
      </c>
      <c r="E131" s="3">
        <f>'Historical Data'!G128</f>
        <v/>
      </c>
      <c r="F131" s="3">
        <f>'Historical Data'!Y128</f>
        <v/>
      </c>
      <c r="G131" s="3">
        <f>'Historical Data'!K128</f>
        <v/>
      </c>
      <c r="H131" s="3">
        <f>'Historical Data'!L128</f>
        <v/>
      </c>
      <c r="I131" s="26">
        <f>'Historical Data'!M128</f>
        <v/>
      </c>
      <c r="J131" s="28">
        <f>'Historical Data'!N128</f>
        <v/>
      </c>
      <c r="K131" s="28">
        <f>'Historical Data'!Q128</f>
        <v/>
      </c>
      <c r="L131" s="30">
        <f>'Historical Data'!S128</f>
        <v/>
      </c>
      <c r="M131" s="28">
        <f>'Historical Data'!AJ128</f>
        <v/>
      </c>
      <c r="N131" s="28">
        <f>'Historical Data'!AK128</f>
        <v/>
      </c>
      <c r="O131" s="3">
        <f>'Historical Data'!AA128</f>
        <v/>
      </c>
      <c r="P131" s="3">
        <f>'Historical Data'!AB128</f>
        <v/>
      </c>
      <c r="Q131" s="3">
        <f>'Historical Data'!AN128</f>
        <v/>
      </c>
      <c r="R131" s="3">
        <f>'Historical Data'!AC128</f>
        <v/>
      </c>
      <c r="S131" s="3">
        <f>'Historical Data'!AE128</f>
        <v/>
      </c>
      <c r="T131" s="3">
        <f>'Historical Data'!AH128</f>
        <v/>
      </c>
      <c r="U131" s="3">
        <f>'Historical Data'!BA128</f>
        <v/>
      </c>
      <c r="V131" s="3" t="n"/>
      <c r="W131" s="3" t="n"/>
      <c r="X131" s="3" t="n"/>
      <c r="Y131" s="3" t="n"/>
      <c r="Z131" s="3" t="n"/>
    </row>
    <row r="132" hidden="1" ht="15.75" customHeight="1" s="174">
      <c r="A132" s="3">
        <f>'Historical Data'!A129</f>
        <v/>
      </c>
      <c r="B132" s="3">
        <f>'Historical Data'!B129</f>
        <v/>
      </c>
      <c r="C132" s="3">
        <f>'Historical Data'!D129</f>
        <v/>
      </c>
      <c r="D132" s="23">
        <f>'Historical Data'!E129</f>
        <v/>
      </c>
      <c r="E132" s="3">
        <f>'Historical Data'!G129</f>
        <v/>
      </c>
      <c r="F132" s="3">
        <f>'Historical Data'!Y129</f>
        <v/>
      </c>
      <c r="G132" s="3">
        <f>'Historical Data'!K129</f>
        <v/>
      </c>
      <c r="H132" s="3">
        <f>'Historical Data'!L129</f>
        <v/>
      </c>
      <c r="I132" s="26">
        <f>'Historical Data'!M129</f>
        <v/>
      </c>
      <c r="J132" s="28">
        <f>'Historical Data'!N129</f>
        <v/>
      </c>
      <c r="K132" s="28">
        <f>'Historical Data'!Q129</f>
        <v/>
      </c>
      <c r="L132" s="30">
        <f>'Historical Data'!S129</f>
        <v/>
      </c>
      <c r="M132" s="28">
        <f>'Historical Data'!AJ129</f>
        <v/>
      </c>
      <c r="N132" s="28">
        <f>'Historical Data'!AK129</f>
        <v/>
      </c>
      <c r="O132" s="3">
        <f>'Historical Data'!AA129</f>
        <v/>
      </c>
      <c r="P132" s="3">
        <f>'Historical Data'!AB129</f>
        <v/>
      </c>
      <c r="Q132" s="3">
        <f>'Historical Data'!AN129</f>
        <v/>
      </c>
      <c r="R132" s="3">
        <f>'Historical Data'!AC129</f>
        <v/>
      </c>
      <c r="S132" s="3">
        <f>'Historical Data'!AE129</f>
        <v/>
      </c>
      <c r="T132" s="3">
        <f>'Historical Data'!AH129</f>
        <v/>
      </c>
      <c r="U132" s="3">
        <f>'Historical Data'!BA129</f>
        <v/>
      </c>
      <c r="V132" s="3" t="n"/>
      <c r="W132" s="3" t="n"/>
      <c r="X132" s="3" t="n"/>
      <c r="Y132" s="3" t="n"/>
      <c r="Z132" s="3" t="n"/>
    </row>
    <row r="133" hidden="1" ht="15.75" customHeight="1" s="174">
      <c r="A133" s="3">
        <f>'Historical Data'!A130</f>
        <v/>
      </c>
      <c r="B133" s="3">
        <f>'Historical Data'!B130</f>
        <v/>
      </c>
      <c r="C133" s="3">
        <f>'Historical Data'!D130</f>
        <v/>
      </c>
      <c r="D133" s="23">
        <f>'Historical Data'!E130</f>
        <v/>
      </c>
      <c r="E133" s="3">
        <f>'Historical Data'!G130</f>
        <v/>
      </c>
      <c r="F133" s="3">
        <f>'Historical Data'!Y130</f>
        <v/>
      </c>
      <c r="G133" s="3">
        <f>'Historical Data'!K130</f>
        <v/>
      </c>
      <c r="H133" s="3">
        <f>'Historical Data'!L130</f>
        <v/>
      </c>
      <c r="I133" s="26">
        <f>'Historical Data'!M130</f>
        <v/>
      </c>
      <c r="J133" s="28">
        <f>'Historical Data'!N130</f>
        <v/>
      </c>
      <c r="K133" s="28">
        <f>'Historical Data'!Q130</f>
        <v/>
      </c>
      <c r="L133" s="30">
        <f>'Historical Data'!S130</f>
        <v/>
      </c>
      <c r="M133" s="28">
        <f>'Historical Data'!AJ130</f>
        <v/>
      </c>
      <c r="N133" s="28">
        <f>'Historical Data'!AK130</f>
        <v/>
      </c>
      <c r="O133" s="3">
        <f>'Historical Data'!AA130</f>
        <v/>
      </c>
      <c r="P133" s="3">
        <f>'Historical Data'!AB130</f>
        <v/>
      </c>
      <c r="Q133" s="3">
        <f>'Historical Data'!AN130</f>
        <v/>
      </c>
      <c r="R133" s="3">
        <f>'Historical Data'!AC130</f>
        <v/>
      </c>
      <c r="S133" s="3">
        <f>'Historical Data'!AE130</f>
        <v/>
      </c>
      <c r="T133" s="3">
        <f>'Historical Data'!AH130</f>
        <v/>
      </c>
      <c r="U133" s="3">
        <f>'Historical Data'!BA130</f>
        <v/>
      </c>
      <c r="V133" s="3" t="n"/>
      <c r="W133" s="3" t="n"/>
      <c r="X133" s="3" t="n"/>
      <c r="Y133" s="3" t="n"/>
      <c r="Z133" s="3" t="n"/>
    </row>
    <row r="134" hidden="1" ht="15.75" customHeight="1" s="174">
      <c r="A134" s="3">
        <f>'Historical Data'!A131</f>
        <v/>
      </c>
      <c r="B134" s="3">
        <f>'Historical Data'!B131</f>
        <v/>
      </c>
      <c r="C134" s="3">
        <f>'Historical Data'!D131</f>
        <v/>
      </c>
      <c r="D134" s="23">
        <f>'Historical Data'!E131</f>
        <v/>
      </c>
      <c r="E134" s="3">
        <f>'Historical Data'!G131</f>
        <v/>
      </c>
      <c r="F134" s="3">
        <f>'Historical Data'!Y131</f>
        <v/>
      </c>
      <c r="G134" s="3">
        <f>'Historical Data'!K131</f>
        <v/>
      </c>
      <c r="H134" s="3">
        <f>'Historical Data'!L131</f>
        <v/>
      </c>
      <c r="I134" s="26">
        <f>'Historical Data'!M131</f>
        <v/>
      </c>
      <c r="J134" s="28">
        <f>'Historical Data'!N131</f>
        <v/>
      </c>
      <c r="K134" s="28">
        <f>'Historical Data'!Q131</f>
        <v/>
      </c>
      <c r="L134" s="30">
        <f>'Historical Data'!S131</f>
        <v/>
      </c>
      <c r="M134" s="28">
        <f>'Historical Data'!AJ131</f>
        <v/>
      </c>
      <c r="N134" s="28">
        <f>'Historical Data'!AK131</f>
        <v/>
      </c>
      <c r="O134" s="3">
        <f>'Historical Data'!AA131</f>
        <v/>
      </c>
      <c r="P134" s="3">
        <f>'Historical Data'!AB131</f>
        <v/>
      </c>
      <c r="Q134" s="3">
        <f>'Historical Data'!AN131</f>
        <v/>
      </c>
      <c r="R134" s="3">
        <f>'Historical Data'!AC131</f>
        <v/>
      </c>
      <c r="S134" s="3">
        <f>'Historical Data'!AE131</f>
        <v/>
      </c>
      <c r="T134" s="3">
        <f>'Historical Data'!AH131</f>
        <v/>
      </c>
      <c r="U134" s="3">
        <f>'Historical Data'!BA131</f>
        <v/>
      </c>
      <c r="V134" s="3" t="n"/>
      <c r="W134" s="3" t="n"/>
      <c r="X134" s="3" t="n"/>
      <c r="Y134" s="3" t="n"/>
      <c r="Z134" s="3" t="n"/>
    </row>
    <row r="135" hidden="1" ht="15.75" customHeight="1" s="174">
      <c r="A135" s="3">
        <f>'Historical Data'!A132</f>
        <v/>
      </c>
      <c r="B135" s="3">
        <f>'Historical Data'!B132</f>
        <v/>
      </c>
      <c r="C135" s="3">
        <f>'Historical Data'!D132</f>
        <v/>
      </c>
      <c r="D135" s="23">
        <f>'Historical Data'!E132</f>
        <v/>
      </c>
      <c r="E135" s="3">
        <f>'Historical Data'!G132</f>
        <v/>
      </c>
      <c r="F135" s="3">
        <f>'Historical Data'!Y132</f>
        <v/>
      </c>
      <c r="G135" s="3">
        <f>'Historical Data'!K132</f>
        <v/>
      </c>
      <c r="H135" s="3">
        <f>'Historical Data'!L132</f>
        <v/>
      </c>
      <c r="I135" s="26">
        <f>'Historical Data'!M132</f>
        <v/>
      </c>
      <c r="J135" s="28">
        <f>'Historical Data'!N132</f>
        <v/>
      </c>
      <c r="K135" s="28">
        <f>'Historical Data'!Q132</f>
        <v/>
      </c>
      <c r="L135" s="30">
        <f>'Historical Data'!S132</f>
        <v/>
      </c>
      <c r="M135" s="28">
        <f>'Historical Data'!AJ132</f>
        <v/>
      </c>
      <c r="N135" s="28">
        <f>'Historical Data'!AK132</f>
        <v/>
      </c>
      <c r="O135" s="3">
        <f>'Historical Data'!AA132</f>
        <v/>
      </c>
      <c r="P135" s="3">
        <f>'Historical Data'!AB132</f>
        <v/>
      </c>
      <c r="Q135" s="3">
        <f>'Historical Data'!AN132</f>
        <v/>
      </c>
      <c r="R135" s="3">
        <f>'Historical Data'!AC132</f>
        <v/>
      </c>
      <c r="S135" s="3">
        <f>'Historical Data'!AE132</f>
        <v/>
      </c>
      <c r="T135" s="3">
        <f>'Historical Data'!AH132</f>
        <v/>
      </c>
      <c r="U135" s="3">
        <f>'Historical Data'!BA132</f>
        <v/>
      </c>
      <c r="V135" s="3" t="n"/>
      <c r="W135" s="3" t="n"/>
      <c r="X135" s="3" t="n"/>
      <c r="Y135" s="3" t="n"/>
      <c r="Z135" s="3" t="n"/>
    </row>
    <row r="136" hidden="1" ht="15.75" customHeight="1" s="174">
      <c r="A136" s="3">
        <f>'Historical Data'!A133</f>
        <v/>
      </c>
      <c r="B136" s="3">
        <f>'Historical Data'!B133</f>
        <v/>
      </c>
      <c r="C136" s="3">
        <f>'Historical Data'!D133</f>
        <v/>
      </c>
      <c r="D136" s="23">
        <f>'Historical Data'!E133</f>
        <v/>
      </c>
      <c r="E136" s="3">
        <f>'Historical Data'!G133</f>
        <v/>
      </c>
      <c r="F136" s="3">
        <f>'Historical Data'!Y133</f>
        <v/>
      </c>
      <c r="G136" s="3">
        <f>'Historical Data'!K133</f>
        <v/>
      </c>
      <c r="H136" s="3">
        <f>'Historical Data'!L133</f>
        <v/>
      </c>
      <c r="I136" s="26">
        <f>'Historical Data'!M133</f>
        <v/>
      </c>
      <c r="J136" s="28">
        <f>'Historical Data'!N133</f>
        <v/>
      </c>
      <c r="K136" s="28">
        <f>'Historical Data'!Q133</f>
        <v/>
      </c>
      <c r="L136" s="30">
        <f>'Historical Data'!S133</f>
        <v/>
      </c>
      <c r="M136" s="28">
        <f>'Historical Data'!AJ133</f>
        <v/>
      </c>
      <c r="N136" s="28">
        <f>'Historical Data'!AK133</f>
        <v/>
      </c>
      <c r="O136" s="3">
        <f>'Historical Data'!AA133</f>
        <v/>
      </c>
      <c r="P136" s="3">
        <f>'Historical Data'!AB133</f>
        <v/>
      </c>
      <c r="Q136" s="3">
        <f>'Historical Data'!AN133</f>
        <v/>
      </c>
      <c r="R136" s="3">
        <f>'Historical Data'!AC133</f>
        <v/>
      </c>
      <c r="S136" s="3">
        <f>'Historical Data'!AE133</f>
        <v/>
      </c>
      <c r="T136" s="3">
        <f>'Historical Data'!AH133</f>
        <v/>
      </c>
      <c r="U136" s="3">
        <f>'Historical Data'!BA133</f>
        <v/>
      </c>
      <c r="V136" s="3" t="n"/>
      <c r="W136" s="3" t="n"/>
      <c r="X136" s="3" t="n"/>
      <c r="Y136" s="3" t="n"/>
      <c r="Z136" s="3" t="n"/>
    </row>
    <row r="137" hidden="1" ht="15.75" customHeight="1" s="174">
      <c r="A137" s="3">
        <f>'Historical Data'!A134</f>
        <v/>
      </c>
      <c r="B137" s="3">
        <f>'Historical Data'!B134</f>
        <v/>
      </c>
      <c r="C137" s="3">
        <f>'Historical Data'!D134</f>
        <v/>
      </c>
      <c r="D137" s="23">
        <f>'Historical Data'!E134</f>
        <v/>
      </c>
      <c r="E137" s="3">
        <f>'Historical Data'!G134</f>
        <v/>
      </c>
      <c r="F137" s="3">
        <f>'Historical Data'!Y134</f>
        <v/>
      </c>
      <c r="G137" s="3">
        <f>'Historical Data'!K134</f>
        <v/>
      </c>
      <c r="H137" s="3">
        <f>'Historical Data'!L134</f>
        <v/>
      </c>
      <c r="I137" s="26">
        <f>'Historical Data'!M134</f>
        <v/>
      </c>
      <c r="J137" s="28">
        <f>'Historical Data'!N134</f>
        <v/>
      </c>
      <c r="K137" s="28">
        <f>'Historical Data'!Q134</f>
        <v/>
      </c>
      <c r="L137" s="30">
        <f>'Historical Data'!S134</f>
        <v/>
      </c>
      <c r="M137" s="28">
        <f>'Historical Data'!AJ134</f>
        <v/>
      </c>
      <c r="N137" s="28">
        <f>'Historical Data'!AK134</f>
        <v/>
      </c>
      <c r="O137" s="3">
        <f>'Historical Data'!AA134</f>
        <v/>
      </c>
      <c r="P137" s="3">
        <f>'Historical Data'!AB134</f>
        <v/>
      </c>
      <c r="Q137" s="3">
        <f>'Historical Data'!AN134</f>
        <v/>
      </c>
      <c r="R137" s="3">
        <f>'Historical Data'!AC134</f>
        <v/>
      </c>
      <c r="S137" s="3">
        <f>'Historical Data'!AE134</f>
        <v/>
      </c>
      <c r="T137" s="3">
        <f>'Historical Data'!AH134</f>
        <v/>
      </c>
      <c r="U137" s="3">
        <f>'Historical Data'!BA134</f>
        <v/>
      </c>
      <c r="V137" s="3" t="n"/>
      <c r="W137" s="3" t="n"/>
      <c r="X137" s="3" t="n"/>
      <c r="Y137" s="3" t="n"/>
      <c r="Z137" s="3" t="n"/>
    </row>
    <row r="138" hidden="1" ht="15.75" customHeight="1" s="174">
      <c r="A138" s="3">
        <f>'Historical Data'!A135</f>
        <v/>
      </c>
      <c r="B138" s="3">
        <f>'Historical Data'!B135</f>
        <v/>
      </c>
      <c r="C138" s="3">
        <f>'Historical Data'!D135</f>
        <v/>
      </c>
      <c r="D138" s="23">
        <f>'Historical Data'!E135</f>
        <v/>
      </c>
      <c r="E138" s="3">
        <f>'Historical Data'!G135</f>
        <v/>
      </c>
      <c r="F138" s="3">
        <f>'Historical Data'!Y135</f>
        <v/>
      </c>
      <c r="G138" s="3">
        <f>'Historical Data'!K135</f>
        <v/>
      </c>
      <c r="H138" s="3">
        <f>'Historical Data'!L135</f>
        <v/>
      </c>
      <c r="I138" s="26">
        <f>'Historical Data'!M135</f>
        <v/>
      </c>
      <c r="J138" s="28">
        <f>'Historical Data'!N135</f>
        <v/>
      </c>
      <c r="K138" s="28">
        <f>'Historical Data'!Q135</f>
        <v/>
      </c>
      <c r="L138" s="30">
        <f>'Historical Data'!S135</f>
        <v/>
      </c>
      <c r="M138" s="28">
        <f>'Historical Data'!AJ135</f>
        <v/>
      </c>
      <c r="N138" s="28">
        <f>'Historical Data'!AK135</f>
        <v/>
      </c>
      <c r="O138" s="3">
        <f>'Historical Data'!AA135</f>
        <v/>
      </c>
      <c r="P138" s="3">
        <f>'Historical Data'!AB135</f>
        <v/>
      </c>
      <c r="Q138" s="3">
        <f>'Historical Data'!AN135</f>
        <v/>
      </c>
      <c r="R138" s="3">
        <f>'Historical Data'!AC135</f>
        <v/>
      </c>
      <c r="S138" s="3">
        <f>'Historical Data'!AE135</f>
        <v/>
      </c>
      <c r="T138" s="3">
        <f>'Historical Data'!AH135</f>
        <v/>
      </c>
      <c r="U138" s="3">
        <f>'Historical Data'!BA135</f>
        <v/>
      </c>
      <c r="V138" s="3" t="n"/>
      <c r="W138" s="3" t="n"/>
      <c r="X138" s="3" t="n"/>
      <c r="Y138" s="3" t="n"/>
      <c r="Z138" s="3" t="n"/>
    </row>
    <row r="139" hidden="1" ht="15.75" customHeight="1" s="174">
      <c r="A139" s="3">
        <f>'Historical Data'!A136</f>
        <v/>
      </c>
      <c r="B139" s="3">
        <f>'Historical Data'!B136</f>
        <v/>
      </c>
      <c r="C139" s="3">
        <f>'Historical Data'!D136</f>
        <v/>
      </c>
      <c r="D139" s="23">
        <f>'Historical Data'!E136</f>
        <v/>
      </c>
      <c r="E139" s="3">
        <f>'Historical Data'!G136</f>
        <v/>
      </c>
      <c r="F139" s="3">
        <f>'Historical Data'!Y136</f>
        <v/>
      </c>
      <c r="G139" s="3">
        <f>'Historical Data'!K136</f>
        <v/>
      </c>
      <c r="H139" s="3">
        <f>'Historical Data'!L136</f>
        <v/>
      </c>
      <c r="I139" s="26">
        <f>'Historical Data'!M136</f>
        <v/>
      </c>
      <c r="J139" s="28">
        <f>'Historical Data'!N136</f>
        <v/>
      </c>
      <c r="K139" s="28">
        <f>'Historical Data'!Q136</f>
        <v/>
      </c>
      <c r="L139" s="30">
        <f>'Historical Data'!S136</f>
        <v/>
      </c>
      <c r="M139" s="28">
        <f>'Historical Data'!AJ136</f>
        <v/>
      </c>
      <c r="N139" s="28">
        <f>'Historical Data'!AK136</f>
        <v/>
      </c>
      <c r="O139" s="3">
        <f>'Historical Data'!AA136</f>
        <v/>
      </c>
      <c r="P139" s="3">
        <f>'Historical Data'!AB136</f>
        <v/>
      </c>
      <c r="Q139" s="3">
        <f>'Historical Data'!AN136</f>
        <v/>
      </c>
      <c r="R139" s="3">
        <f>'Historical Data'!AC136</f>
        <v/>
      </c>
      <c r="S139" s="3">
        <f>'Historical Data'!AE136</f>
        <v/>
      </c>
      <c r="T139" s="3">
        <f>'Historical Data'!AH136</f>
        <v/>
      </c>
      <c r="U139" s="3">
        <f>'Historical Data'!BA136</f>
        <v/>
      </c>
      <c r="V139" s="3" t="n"/>
      <c r="W139" s="3" t="n"/>
      <c r="X139" s="3" t="n"/>
      <c r="Y139" s="3" t="n"/>
      <c r="Z139" s="3" t="n"/>
    </row>
    <row r="140" hidden="1" ht="15.75" customHeight="1" s="174">
      <c r="A140" s="3">
        <f>'Historical Data'!A137</f>
        <v/>
      </c>
      <c r="B140" s="3">
        <f>'Historical Data'!B137</f>
        <v/>
      </c>
      <c r="C140" s="3">
        <f>'Historical Data'!D137</f>
        <v/>
      </c>
      <c r="D140" s="23">
        <f>'Historical Data'!E137</f>
        <v/>
      </c>
      <c r="E140" s="3">
        <f>'Historical Data'!G137</f>
        <v/>
      </c>
      <c r="F140" s="3">
        <f>'Historical Data'!Y137</f>
        <v/>
      </c>
      <c r="G140" s="3">
        <f>'Historical Data'!K137</f>
        <v/>
      </c>
      <c r="H140" s="3">
        <f>'Historical Data'!L137</f>
        <v/>
      </c>
      <c r="I140" s="26">
        <f>'Historical Data'!M137</f>
        <v/>
      </c>
      <c r="J140" s="28">
        <f>'Historical Data'!N137</f>
        <v/>
      </c>
      <c r="K140" s="28">
        <f>'Historical Data'!Q137</f>
        <v/>
      </c>
      <c r="L140" s="30">
        <f>'Historical Data'!S137</f>
        <v/>
      </c>
      <c r="M140" s="28">
        <f>'Historical Data'!AJ137</f>
        <v/>
      </c>
      <c r="N140" s="28">
        <f>'Historical Data'!AK137</f>
        <v/>
      </c>
      <c r="O140" s="3">
        <f>'Historical Data'!AA137</f>
        <v/>
      </c>
      <c r="P140" s="3">
        <f>'Historical Data'!AB137</f>
        <v/>
      </c>
      <c r="Q140" s="3">
        <f>'Historical Data'!AN137</f>
        <v/>
      </c>
      <c r="R140" s="3">
        <f>'Historical Data'!AC137</f>
        <v/>
      </c>
      <c r="S140" s="3">
        <f>'Historical Data'!AE137</f>
        <v/>
      </c>
      <c r="T140" s="3">
        <f>'Historical Data'!AH137</f>
        <v/>
      </c>
      <c r="U140" s="3">
        <f>'Historical Data'!BA137</f>
        <v/>
      </c>
      <c r="V140" s="3" t="n"/>
      <c r="W140" s="3" t="n"/>
      <c r="X140" s="3" t="n"/>
      <c r="Y140" s="3" t="n"/>
      <c r="Z140" s="3" t="n"/>
    </row>
    <row r="141" hidden="1" ht="15.75" customHeight="1" s="174">
      <c r="A141" s="3">
        <f>'Historical Data'!A138</f>
        <v/>
      </c>
      <c r="B141" s="3">
        <f>'Historical Data'!B138</f>
        <v/>
      </c>
      <c r="C141" s="3">
        <f>'Historical Data'!D138</f>
        <v/>
      </c>
      <c r="D141" s="23">
        <f>'Historical Data'!E138</f>
        <v/>
      </c>
      <c r="E141" s="3">
        <f>'Historical Data'!G138</f>
        <v/>
      </c>
      <c r="F141" s="3">
        <f>'Historical Data'!Y138</f>
        <v/>
      </c>
      <c r="G141" s="3">
        <f>'Historical Data'!K138</f>
        <v/>
      </c>
      <c r="H141" s="3">
        <f>'Historical Data'!L138</f>
        <v/>
      </c>
      <c r="I141" s="26">
        <f>'Historical Data'!M138</f>
        <v/>
      </c>
      <c r="J141" s="28">
        <f>'Historical Data'!N138</f>
        <v/>
      </c>
      <c r="K141" s="28">
        <f>'Historical Data'!Q138</f>
        <v/>
      </c>
      <c r="L141" s="30">
        <f>'Historical Data'!S138</f>
        <v/>
      </c>
      <c r="M141" s="28">
        <f>'Historical Data'!AJ138</f>
        <v/>
      </c>
      <c r="N141" s="28">
        <f>'Historical Data'!AK138</f>
        <v/>
      </c>
      <c r="O141" s="3">
        <f>'Historical Data'!AA138</f>
        <v/>
      </c>
      <c r="P141" s="3">
        <f>'Historical Data'!AB138</f>
        <v/>
      </c>
      <c r="Q141" s="3">
        <f>'Historical Data'!AN138</f>
        <v/>
      </c>
      <c r="R141" s="3">
        <f>'Historical Data'!AC138</f>
        <v/>
      </c>
      <c r="S141" s="3">
        <f>'Historical Data'!AE138</f>
        <v/>
      </c>
      <c r="T141" s="3">
        <f>'Historical Data'!AH138</f>
        <v/>
      </c>
      <c r="U141" s="3">
        <f>'Historical Data'!BA138</f>
        <v/>
      </c>
      <c r="V141" s="3" t="n"/>
      <c r="W141" s="3" t="n"/>
      <c r="X141" s="3" t="n"/>
      <c r="Y141" s="3" t="n"/>
      <c r="Z141" s="3" t="n"/>
    </row>
    <row r="142" hidden="1" ht="15.75" customHeight="1" s="174">
      <c r="A142" s="3">
        <f>'Historical Data'!A139</f>
        <v/>
      </c>
      <c r="B142" s="3">
        <f>'Historical Data'!B139</f>
        <v/>
      </c>
      <c r="C142" s="3">
        <f>'Historical Data'!D139</f>
        <v/>
      </c>
      <c r="D142" s="23">
        <f>'Historical Data'!E139</f>
        <v/>
      </c>
      <c r="E142" s="3">
        <f>'Historical Data'!G139</f>
        <v/>
      </c>
      <c r="F142" s="3">
        <f>'Historical Data'!Y139</f>
        <v/>
      </c>
      <c r="G142" s="3">
        <f>'Historical Data'!K139</f>
        <v/>
      </c>
      <c r="H142" s="3">
        <f>'Historical Data'!L139</f>
        <v/>
      </c>
      <c r="I142" s="26">
        <f>'Historical Data'!M139</f>
        <v/>
      </c>
      <c r="J142" s="28">
        <f>'Historical Data'!N139</f>
        <v/>
      </c>
      <c r="K142" s="28">
        <f>'Historical Data'!Q139</f>
        <v/>
      </c>
      <c r="L142" s="30">
        <f>'Historical Data'!S139</f>
        <v/>
      </c>
      <c r="M142" s="28">
        <f>'Historical Data'!AJ139</f>
        <v/>
      </c>
      <c r="N142" s="28">
        <f>'Historical Data'!AK139</f>
        <v/>
      </c>
      <c r="O142" s="3">
        <f>'Historical Data'!AA139</f>
        <v/>
      </c>
      <c r="P142" s="3">
        <f>'Historical Data'!AB139</f>
        <v/>
      </c>
      <c r="Q142" s="3">
        <f>'Historical Data'!AN139</f>
        <v/>
      </c>
      <c r="R142" s="3">
        <f>'Historical Data'!AC139</f>
        <v/>
      </c>
      <c r="S142" s="3">
        <f>'Historical Data'!AE139</f>
        <v/>
      </c>
      <c r="T142" s="3">
        <f>'Historical Data'!AH139</f>
        <v/>
      </c>
      <c r="U142" s="3">
        <f>'Historical Data'!BA139</f>
        <v/>
      </c>
      <c r="V142" s="3" t="n"/>
      <c r="W142" s="3" t="n"/>
      <c r="X142" s="3" t="n"/>
      <c r="Y142" s="3" t="n"/>
      <c r="Z142" s="3" t="n"/>
    </row>
    <row r="143" hidden="1" ht="15.75" customHeight="1" s="174">
      <c r="A143" s="3">
        <f>'Historical Data'!A140</f>
        <v/>
      </c>
      <c r="B143" s="3">
        <f>'Historical Data'!B140</f>
        <v/>
      </c>
      <c r="C143" s="3">
        <f>'Historical Data'!D140</f>
        <v/>
      </c>
      <c r="D143" s="23">
        <f>'Historical Data'!E140</f>
        <v/>
      </c>
      <c r="E143" s="3">
        <f>'Historical Data'!G140</f>
        <v/>
      </c>
      <c r="F143" s="3">
        <f>'Historical Data'!Y140</f>
        <v/>
      </c>
      <c r="G143" s="3">
        <f>'Historical Data'!K140</f>
        <v/>
      </c>
      <c r="H143" s="3">
        <f>'Historical Data'!L140</f>
        <v/>
      </c>
      <c r="I143" s="26">
        <f>'Historical Data'!M140</f>
        <v/>
      </c>
      <c r="J143" s="28">
        <f>'Historical Data'!N140</f>
        <v/>
      </c>
      <c r="K143" s="28">
        <f>'Historical Data'!Q140</f>
        <v/>
      </c>
      <c r="L143" s="30">
        <f>'Historical Data'!S140</f>
        <v/>
      </c>
      <c r="M143" s="28">
        <f>'Historical Data'!AJ140</f>
        <v/>
      </c>
      <c r="N143" s="28">
        <f>'Historical Data'!AK140</f>
        <v/>
      </c>
      <c r="O143" s="3">
        <f>'Historical Data'!AA140</f>
        <v/>
      </c>
      <c r="P143" s="3">
        <f>'Historical Data'!AB140</f>
        <v/>
      </c>
      <c r="Q143" s="3">
        <f>'Historical Data'!AN140</f>
        <v/>
      </c>
      <c r="R143" s="3">
        <f>'Historical Data'!AC140</f>
        <v/>
      </c>
      <c r="S143" s="3">
        <f>'Historical Data'!AE140</f>
        <v/>
      </c>
      <c r="T143" s="3">
        <f>'Historical Data'!AH140</f>
        <v/>
      </c>
      <c r="U143" s="3">
        <f>'Historical Data'!BA140</f>
        <v/>
      </c>
      <c r="V143" s="3" t="n"/>
      <c r="W143" s="3" t="n"/>
      <c r="X143" s="3" t="n"/>
      <c r="Y143" s="3" t="n"/>
      <c r="Z143" s="3" t="n"/>
    </row>
    <row r="144" hidden="1" ht="15.75" customHeight="1" s="174">
      <c r="A144" s="3">
        <f>'Historical Data'!A141</f>
        <v/>
      </c>
      <c r="B144" s="3">
        <f>'Historical Data'!B141</f>
        <v/>
      </c>
      <c r="C144" s="3">
        <f>'Historical Data'!D141</f>
        <v/>
      </c>
      <c r="D144" s="23">
        <f>'Historical Data'!E141</f>
        <v/>
      </c>
      <c r="E144" s="3">
        <f>'Historical Data'!G141</f>
        <v/>
      </c>
      <c r="F144" s="3">
        <f>'Historical Data'!Y141</f>
        <v/>
      </c>
      <c r="G144" s="3">
        <f>'Historical Data'!K141</f>
        <v/>
      </c>
      <c r="H144" s="3">
        <f>'Historical Data'!L141</f>
        <v/>
      </c>
      <c r="I144" s="26">
        <f>'Historical Data'!M141</f>
        <v/>
      </c>
      <c r="J144" s="28">
        <f>'Historical Data'!N141</f>
        <v/>
      </c>
      <c r="K144" s="28">
        <f>'Historical Data'!Q141</f>
        <v/>
      </c>
      <c r="L144" s="30">
        <f>'Historical Data'!S141</f>
        <v/>
      </c>
      <c r="M144" s="28">
        <f>'Historical Data'!AJ141</f>
        <v/>
      </c>
      <c r="N144" s="28">
        <f>'Historical Data'!AK141</f>
        <v/>
      </c>
      <c r="O144" s="3">
        <f>'Historical Data'!AA141</f>
        <v/>
      </c>
      <c r="P144" s="3">
        <f>'Historical Data'!AB141</f>
        <v/>
      </c>
      <c r="Q144" s="3">
        <f>'Historical Data'!AN141</f>
        <v/>
      </c>
      <c r="R144" s="3">
        <f>'Historical Data'!AC141</f>
        <v/>
      </c>
      <c r="S144" s="3">
        <f>'Historical Data'!AE141</f>
        <v/>
      </c>
      <c r="T144" s="3">
        <f>'Historical Data'!AH141</f>
        <v/>
      </c>
      <c r="U144" s="3">
        <f>'Historical Data'!BA141</f>
        <v/>
      </c>
      <c r="V144" s="3" t="n"/>
      <c r="W144" s="3" t="n"/>
      <c r="X144" s="3" t="n"/>
      <c r="Y144" s="3" t="n"/>
      <c r="Z144" s="3" t="n"/>
    </row>
    <row r="145" hidden="1" ht="15.75" customHeight="1" s="174">
      <c r="A145" s="3">
        <f>'Historical Data'!A142</f>
        <v/>
      </c>
      <c r="B145" s="3">
        <f>'Historical Data'!B142</f>
        <v/>
      </c>
      <c r="C145" s="3">
        <f>'Historical Data'!D142</f>
        <v/>
      </c>
      <c r="D145" s="23">
        <f>'Historical Data'!E142</f>
        <v/>
      </c>
      <c r="E145" s="3">
        <f>'Historical Data'!G142</f>
        <v/>
      </c>
      <c r="F145" s="3">
        <f>'Historical Data'!Y142</f>
        <v/>
      </c>
      <c r="G145" s="3">
        <f>'Historical Data'!K142</f>
        <v/>
      </c>
      <c r="H145" s="3">
        <f>'Historical Data'!L142</f>
        <v/>
      </c>
      <c r="I145" s="26">
        <f>'Historical Data'!M142</f>
        <v/>
      </c>
      <c r="J145" s="28">
        <f>'Historical Data'!N142</f>
        <v/>
      </c>
      <c r="K145" s="28">
        <f>'Historical Data'!Q142</f>
        <v/>
      </c>
      <c r="L145" s="30">
        <f>'Historical Data'!S142</f>
        <v/>
      </c>
      <c r="M145" s="28">
        <f>'Historical Data'!AJ142</f>
        <v/>
      </c>
      <c r="N145" s="28">
        <f>'Historical Data'!AK142</f>
        <v/>
      </c>
      <c r="O145" s="3">
        <f>'Historical Data'!AA142</f>
        <v/>
      </c>
      <c r="P145" s="3">
        <f>'Historical Data'!AB142</f>
        <v/>
      </c>
      <c r="Q145" s="3">
        <f>'Historical Data'!AN142</f>
        <v/>
      </c>
      <c r="R145" s="3">
        <f>'Historical Data'!AC142</f>
        <v/>
      </c>
      <c r="S145" s="3">
        <f>'Historical Data'!AE142</f>
        <v/>
      </c>
      <c r="T145" s="3">
        <f>'Historical Data'!AH142</f>
        <v/>
      </c>
      <c r="U145" s="3">
        <f>'Historical Data'!BA142</f>
        <v/>
      </c>
      <c r="V145" s="3" t="n"/>
      <c r="W145" s="3" t="n"/>
      <c r="X145" s="3" t="n"/>
      <c r="Y145" s="3" t="n"/>
      <c r="Z145" s="3" t="n"/>
    </row>
    <row r="146" hidden="1" ht="15.75" customHeight="1" s="174">
      <c r="A146" s="3">
        <f>'Historical Data'!A143</f>
        <v/>
      </c>
      <c r="B146" s="3">
        <f>'Historical Data'!B143</f>
        <v/>
      </c>
      <c r="C146" s="3">
        <f>'Historical Data'!D143</f>
        <v/>
      </c>
      <c r="D146" s="23">
        <f>'Historical Data'!E143</f>
        <v/>
      </c>
      <c r="E146" s="3">
        <f>'Historical Data'!G143</f>
        <v/>
      </c>
      <c r="F146" s="3">
        <f>'Historical Data'!Y143</f>
        <v/>
      </c>
      <c r="G146" s="3">
        <f>'Historical Data'!K143</f>
        <v/>
      </c>
      <c r="H146" s="3">
        <f>'Historical Data'!L143</f>
        <v/>
      </c>
      <c r="I146" s="26">
        <f>'Historical Data'!M143</f>
        <v/>
      </c>
      <c r="J146" s="28">
        <f>'Historical Data'!N143</f>
        <v/>
      </c>
      <c r="K146" s="28">
        <f>'Historical Data'!Q143</f>
        <v/>
      </c>
      <c r="L146" s="30">
        <f>'Historical Data'!S143</f>
        <v/>
      </c>
      <c r="M146" s="28">
        <f>'Historical Data'!AJ143</f>
        <v/>
      </c>
      <c r="N146" s="28">
        <f>'Historical Data'!AK143</f>
        <v/>
      </c>
      <c r="O146" s="3">
        <f>'Historical Data'!AA143</f>
        <v/>
      </c>
      <c r="P146" s="3">
        <f>'Historical Data'!AB143</f>
        <v/>
      </c>
      <c r="Q146" s="3">
        <f>'Historical Data'!AN143</f>
        <v/>
      </c>
      <c r="R146" s="3">
        <f>'Historical Data'!AC143</f>
        <v/>
      </c>
      <c r="S146" s="3">
        <f>'Historical Data'!AE143</f>
        <v/>
      </c>
      <c r="T146" s="3">
        <f>'Historical Data'!AH143</f>
        <v/>
      </c>
      <c r="U146" s="3">
        <f>'Historical Data'!BA143</f>
        <v/>
      </c>
      <c r="V146" s="3" t="n"/>
      <c r="W146" s="3" t="n"/>
      <c r="X146" s="3" t="n"/>
      <c r="Y146" s="3" t="n"/>
      <c r="Z146" s="3" t="n"/>
    </row>
    <row r="147" hidden="1" ht="15.75" customHeight="1" s="174">
      <c r="A147" s="3">
        <f>'Historical Data'!A144</f>
        <v/>
      </c>
      <c r="B147" s="3">
        <f>'Historical Data'!B144</f>
        <v/>
      </c>
      <c r="C147" s="3">
        <f>'Historical Data'!D144</f>
        <v/>
      </c>
      <c r="D147" s="23">
        <f>'Historical Data'!E144</f>
        <v/>
      </c>
      <c r="E147" s="3">
        <f>'Historical Data'!G144</f>
        <v/>
      </c>
      <c r="F147" s="3">
        <f>'Historical Data'!Y144</f>
        <v/>
      </c>
      <c r="G147" s="3">
        <f>'Historical Data'!K144</f>
        <v/>
      </c>
      <c r="H147" s="3">
        <f>'Historical Data'!L144</f>
        <v/>
      </c>
      <c r="I147" s="26">
        <f>'Historical Data'!M144</f>
        <v/>
      </c>
      <c r="J147" s="28">
        <f>'Historical Data'!N144</f>
        <v/>
      </c>
      <c r="K147" s="28">
        <f>'Historical Data'!Q144</f>
        <v/>
      </c>
      <c r="L147" s="30">
        <f>'Historical Data'!S144</f>
        <v/>
      </c>
      <c r="M147" s="28">
        <f>'Historical Data'!AJ144</f>
        <v/>
      </c>
      <c r="N147" s="28">
        <f>'Historical Data'!AK144</f>
        <v/>
      </c>
      <c r="O147" s="3">
        <f>'Historical Data'!AA144</f>
        <v/>
      </c>
      <c r="P147" s="3">
        <f>'Historical Data'!AB144</f>
        <v/>
      </c>
      <c r="Q147" s="3">
        <f>'Historical Data'!AN144</f>
        <v/>
      </c>
      <c r="R147" s="3">
        <f>'Historical Data'!AC144</f>
        <v/>
      </c>
      <c r="S147" s="3">
        <f>'Historical Data'!AE144</f>
        <v/>
      </c>
      <c r="T147" s="3">
        <f>'Historical Data'!AH144</f>
        <v/>
      </c>
      <c r="U147" s="3">
        <f>'Historical Data'!BA144</f>
        <v/>
      </c>
      <c r="V147" s="3" t="n"/>
      <c r="W147" s="3" t="n"/>
      <c r="X147" s="3" t="n"/>
      <c r="Y147" s="3" t="n"/>
      <c r="Z147" s="3" t="n"/>
    </row>
    <row r="148" hidden="1" ht="15.75" customHeight="1" s="174">
      <c r="A148" s="3">
        <f>'Historical Data'!A145</f>
        <v/>
      </c>
      <c r="B148" s="3">
        <f>'Historical Data'!B145</f>
        <v/>
      </c>
      <c r="C148" s="3">
        <f>'Historical Data'!D145</f>
        <v/>
      </c>
      <c r="D148" s="23">
        <f>'Historical Data'!E145</f>
        <v/>
      </c>
      <c r="E148" s="3">
        <f>'Historical Data'!G145</f>
        <v/>
      </c>
      <c r="F148" s="3">
        <f>'Historical Data'!Y145</f>
        <v/>
      </c>
      <c r="G148" s="3">
        <f>'Historical Data'!K145</f>
        <v/>
      </c>
      <c r="H148" s="3">
        <f>'Historical Data'!L145</f>
        <v/>
      </c>
      <c r="I148" s="26">
        <f>'Historical Data'!M145</f>
        <v/>
      </c>
      <c r="J148" s="28">
        <f>'Historical Data'!N145</f>
        <v/>
      </c>
      <c r="K148" s="28">
        <f>'Historical Data'!Q145</f>
        <v/>
      </c>
      <c r="L148" s="30">
        <f>'Historical Data'!S145</f>
        <v/>
      </c>
      <c r="M148" s="28">
        <f>'Historical Data'!AJ145</f>
        <v/>
      </c>
      <c r="N148" s="28">
        <f>'Historical Data'!AK145</f>
        <v/>
      </c>
      <c r="O148" s="3">
        <f>'Historical Data'!AA145</f>
        <v/>
      </c>
      <c r="P148" s="3">
        <f>'Historical Data'!AB145</f>
        <v/>
      </c>
      <c r="Q148" s="3">
        <f>'Historical Data'!AN145</f>
        <v/>
      </c>
      <c r="R148" s="3">
        <f>'Historical Data'!AC145</f>
        <v/>
      </c>
      <c r="S148" s="3">
        <f>'Historical Data'!AE145</f>
        <v/>
      </c>
      <c r="T148" s="3">
        <f>'Historical Data'!AH145</f>
        <v/>
      </c>
      <c r="U148" s="3">
        <f>'Historical Data'!BA145</f>
        <v/>
      </c>
      <c r="V148" s="3" t="n"/>
      <c r="W148" s="3" t="n"/>
      <c r="X148" s="3" t="n"/>
      <c r="Y148" s="3" t="n"/>
      <c r="Z148" s="3" t="n"/>
    </row>
    <row r="149" hidden="1" ht="15.75" customHeight="1" s="174">
      <c r="A149" s="3">
        <f>'Historical Data'!A146</f>
        <v/>
      </c>
      <c r="B149" s="3">
        <f>'Historical Data'!B146</f>
        <v/>
      </c>
      <c r="C149" s="3">
        <f>'Historical Data'!D146</f>
        <v/>
      </c>
      <c r="D149" s="23">
        <f>'Historical Data'!E146</f>
        <v/>
      </c>
      <c r="E149" s="3">
        <f>'Historical Data'!G146</f>
        <v/>
      </c>
      <c r="F149" s="3">
        <f>'Historical Data'!Y146</f>
        <v/>
      </c>
      <c r="G149" s="3">
        <f>'Historical Data'!K146</f>
        <v/>
      </c>
      <c r="H149" s="3">
        <f>'Historical Data'!L146</f>
        <v/>
      </c>
      <c r="I149" s="26">
        <f>'Historical Data'!M146</f>
        <v/>
      </c>
      <c r="J149" s="28">
        <f>'Historical Data'!N146</f>
        <v/>
      </c>
      <c r="K149" s="28">
        <f>'Historical Data'!Q146</f>
        <v/>
      </c>
      <c r="L149" s="30">
        <f>'Historical Data'!S146</f>
        <v/>
      </c>
      <c r="M149" s="28">
        <f>'Historical Data'!AJ146</f>
        <v/>
      </c>
      <c r="N149" s="28">
        <f>'Historical Data'!AK146</f>
        <v/>
      </c>
      <c r="O149" s="3">
        <f>'Historical Data'!AA146</f>
        <v/>
      </c>
      <c r="P149" s="3">
        <f>'Historical Data'!AB146</f>
        <v/>
      </c>
      <c r="Q149" s="3">
        <f>'Historical Data'!AN146</f>
        <v/>
      </c>
      <c r="R149" s="3">
        <f>'Historical Data'!AC146</f>
        <v/>
      </c>
      <c r="S149" s="3">
        <f>'Historical Data'!AE146</f>
        <v/>
      </c>
      <c r="T149" s="3">
        <f>'Historical Data'!AH146</f>
        <v/>
      </c>
      <c r="U149" s="3">
        <f>'Historical Data'!BA146</f>
        <v/>
      </c>
      <c r="V149" s="3" t="n"/>
      <c r="W149" s="3" t="n"/>
      <c r="X149" s="3" t="n"/>
      <c r="Y149" s="3" t="n"/>
      <c r="Z149" s="3" t="n"/>
    </row>
    <row r="150" hidden="1" ht="15.75" customHeight="1" s="174">
      <c r="A150" s="3">
        <f>'Historical Data'!A147</f>
        <v/>
      </c>
      <c r="B150" s="3">
        <f>'Historical Data'!B147</f>
        <v/>
      </c>
      <c r="C150" s="3">
        <f>'Historical Data'!D147</f>
        <v/>
      </c>
      <c r="D150" s="23">
        <f>'Historical Data'!E147</f>
        <v/>
      </c>
      <c r="E150" s="3">
        <f>'Historical Data'!G147</f>
        <v/>
      </c>
      <c r="F150" s="3">
        <f>'Historical Data'!Y147</f>
        <v/>
      </c>
      <c r="G150" s="3">
        <f>'Historical Data'!K147</f>
        <v/>
      </c>
      <c r="H150" s="3">
        <f>'Historical Data'!L147</f>
        <v/>
      </c>
      <c r="I150" s="26">
        <f>'Historical Data'!M147</f>
        <v/>
      </c>
      <c r="J150" s="28">
        <f>'Historical Data'!N147</f>
        <v/>
      </c>
      <c r="K150" s="28">
        <f>'Historical Data'!Q147</f>
        <v/>
      </c>
      <c r="L150" s="30">
        <f>'Historical Data'!S147</f>
        <v/>
      </c>
      <c r="M150" s="28">
        <f>'Historical Data'!AJ147</f>
        <v/>
      </c>
      <c r="N150" s="28">
        <f>'Historical Data'!AK147</f>
        <v/>
      </c>
      <c r="O150" s="3">
        <f>'Historical Data'!AA147</f>
        <v/>
      </c>
      <c r="P150" s="3">
        <f>'Historical Data'!AB147</f>
        <v/>
      </c>
      <c r="Q150" s="3">
        <f>'Historical Data'!AN147</f>
        <v/>
      </c>
      <c r="R150" s="3">
        <f>'Historical Data'!AC147</f>
        <v/>
      </c>
      <c r="S150" s="3">
        <f>'Historical Data'!AE147</f>
        <v/>
      </c>
      <c r="T150" s="3">
        <f>'Historical Data'!AH147</f>
        <v/>
      </c>
      <c r="U150" s="3">
        <f>'Historical Data'!BA147</f>
        <v/>
      </c>
      <c r="V150" s="3" t="n"/>
      <c r="W150" s="3" t="n"/>
      <c r="X150" s="3" t="n"/>
      <c r="Y150" s="3" t="n"/>
      <c r="Z150" s="3" t="n"/>
    </row>
    <row r="151" hidden="1" ht="15.75" customHeight="1" s="174">
      <c r="A151" s="3">
        <f>'Historical Data'!A148</f>
        <v/>
      </c>
      <c r="B151" s="3">
        <f>'Historical Data'!B148</f>
        <v/>
      </c>
      <c r="C151" s="3">
        <f>'Historical Data'!D148</f>
        <v/>
      </c>
      <c r="D151" s="23">
        <f>'Historical Data'!E148</f>
        <v/>
      </c>
      <c r="E151" s="3">
        <f>'Historical Data'!G148</f>
        <v/>
      </c>
      <c r="F151" s="3">
        <f>'Historical Data'!Y148</f>
        <v/>
      </c>
      <c r="G151" s="3">
        <f>'Historical Data'!K148</f>
        <v/>
      </c>
      <c r="H151" s="3">
        <f>'Historical Data'!L148</f>
        <v/>
      </c>
      <c r="I151" s="26">
        <f>'Historical Data'!M148</f>
        <v/>
      </c>
      <c r="J151" s="28">
        <f>'Historical Data'!N148</f>
        <v/>
      </c>
      <c r="K151" s="28">
        <f>'Historical Data'!Q148</f>
        <v/>
      </c>
      <c r="L151" s="30">
        <f>'Historical Data'!S148</f>
        <v/>
      </c>
      <c r="M151" s="28">
        <f>'Historical Data'!AJ148</f>
        <v/>
      </c>
      <c r="N151" s="28">
        <f>'Historical Data'!AK148</f>
        <v/>
      </c>
      <c r="O151" s="3">
        <f>'Historical Data'!AA148</f>
        <v/>
      </c>
      <c r="P151" s="3">
        <f>'Historical Data'!AB148</f>
        <v/>
      </c>
      <c r="Q151" s="3">
        <f>'Historical Data'!AN148</f>
        <v/>
      </c>
      <c r="R151" s="3">
        <f>'Historical Data'!AC148</f>
        <v/>
      </c>
      <c r="S151" s="3">
        <f>'Historical Data'!AE148</f>
        <v/>
      </c>
      <c r="T151" s="3">
        <f>'Historical Data'!AH148</f>
        <v/>
      </c>
      <c r="U151" s="3">
        <f>'Historical Data'!BA148</f>
        <v/>
      </c>
      <c r="V151" s="3" t="n"/>
      <c r="W151" s="3" t="n"/>
      <c r="X151" s="3" t="n"/>
      <c r="Y151" s="3" t="n"/>
      <c r="Z151" s="3" t="n"/>
    </row>
    <row r="152" hidden="1" ht="15.75" customHeight="1" s="174">
      <c r="A152" s="3">
        <f>'Historical Data'!A149</f>
        <v/>
      </c>
      <c r="B152" s="3">
        <f>'Historical Data'!B149</f>
        <v/>
      </c>
      <c r="C152" s="3">
        <f>'Historical Data'!D149</f>
        <v/>
      </c>
      <c r="D152" s="23">
        <f>'Historical Data'!E149</f>
        <v/>
      </c>
      <c r="E152" s="3">
        <f>'Historical Data'!G149</f>
        <v/>
      </c>
      <c r="F152" s="3">
        <f>'Historical Data'!Y149</f>
        <v/>
      </c>
      <c r="G152" s="3">
        <f>'Historical Data'!K149</f>
        <v/>
      </c>
      <c r="H152" s="3">
        <f>'Historical Data'!L149</f>
        <v/>
      </c>
      <c r="I152" s="26">
        <f>'Historical Data'!M149</f>
        <v/>
      </c>
      <c r="J152" s="28">
        <f>'Historical Data'!N149</f>
        <v/>
      </c>
      <c r="K152" s="28">
        <f>'Historical Data'!Q149</f>
        <v/>
      </c>
      <c r="L152" s="30">
        <f>'Historical Data'!S149</f>
        <v/>
      </c>
      <c r="M152" s="28">
        <f>'Historical Data'!AJ149</f>
        <v/>
      </c>
      <c r="N152" s="28">
        <f>'Historical Data'!AK149</f>
        <v/>
      </c>
      <c r="O152" s="3">
        <f>'Historical Data'!AA149</f>
        <v/>
      </c>
      <c r="P152" s="3">
        <f>'Historical Data'!AB149</f>
        <v/>
      </c>
      <c r="Q152" s="3">
        <f>'Historical Data'!AN149</f>
        <v/>
      </c>
      <c r="R152" s="3">
        <f>'Historical Data'!AC149</f>
        <v/>
      </c>
      <c r="S152" s="3">
        <f>'Historical Data'!AE149</f>
        <v/>
      </c>
      <c r="T152" s="3">
        <f>'Historical Data'!AH149</f>
        <v/>
      </c>
      <c r="U152" s="3">
        <f>'Historical Data'!BA149</f>
        <v/>
      </c>
      <c r="V152" s="3" t="n"/>
      <c r="W152" s="3" t="n"/>
      <c r="X152" s="3" t="n"/>
      <c r="Y152" s="3" t="n"/>
      <c r="Z152" s="3" t="n"/>
    </row>
    <row r="153" hidden="1" ht="15.75" customHeight="1" s="174">
      <c r="A153" s="3">
        <f>'Historical Data'!A150</f>
        <v/>
      </c>
      <c r="B153" s="3">
        <f>'Historical Data'!B150</f>
        <v/>
      </c>
      <c r="C153" s="3">
        <f>'Historical Data'!D150</f>
        <v/>
      </c>
      <c r="D153" s="23">
        <f>'Historical Data'!E150</f>
        <v/>
      </c>
      <c r="E153" s="3">
        <f>'Historical Data'!G150</f>
        <v/>
      </c>
      <c r="F153" s="3">
        <f>'Historical Data'!Y150</f>
        <v/>
      </c>
      <c r="G153" s="3">
        <f>'Historical Data'!K150</f>
        <v/>
      </c>
      <c r="H153" s="3">
        <f>'Historical Data'!L150</f>
        <v/>
      </c>
      <c r="I153" s="26">
        <f>'Historical Data'!M150</f>
        <v/>
      </c>
      <c r="J153" s="28">
        <f>'Historical Data'!N150</f>
        <v/>
      </c>
      <c r="K153" s="28">
        <f>'Historical Data'!Q150</f>
        <v/>
      </c>
      <c r="L153" s="30">
        <f>'Historical Data'!S150</f>
        <v/>
      </c>
      <c r="M153" s="28">
        <f>'Historical Data'!AJ150</f>
        <v/>
      </c>
      <c r="N153" s="28">
        <f>'Historical Data'!AK150</f>
        <v/>
      </c>
      <c r="O153" s="3">
        <f>'Historical Data'!AA150</f>
        <v/>
      </c>
      <c r="P153" s="3">
        <f>'Historical Data'!AB150</f>
        <v/>
      </c>
      <c r="Q153" s="3">
        <f>'Historical Data'!AN150</f>
        <v/>
      </c>
      <c r="R153" s="3">
        <f>'Historical Data'!AC150</f>
        <v/>
      </c>
      <c r="S153" s="3">
        <f>'Historical Data'!AE150</f>
        <v/>
      </c>
      <c r="T153" s="3">
        <f>'Historical Data'!AH150</f>
        <v/>
      </c>
      <c r="U153" s="3">
        <f>'Historical Data'!BA150</f>
        <v/>
      </c>
      <c r="V153" s="3" t="n"/>
      <c r="W153" s="3" t="n"/>
      <c r="X153" s="3" t="n"/>
      <c r="Y153" s="3" t="n"/>
      <c r="Z153" s="3" t="n"/>
    </row>
    <row r="154" hidden="1" ht="15.75" customHeight="1" s="174">
      <c r="A154" s="3">
        <f>'Historical Data'!A151</f>
        <v/>
      </c>
      <c r="B154" s="3">
        <f>'Historical Data'!B151</f>
        <v/>
      </c>
      <c r="C154" s="3">
        <f>'Historical Data'!D151</f>
        <v/>
      </c>
      <c r="D154" s="23">
        <f>'Historical Data'!E151</f>
        <v/>
      </c>
      <c r="E154" s="3">
        <f>'Historical Data'!G151</f>
        <v/>
      </c>
      <c r="F154" s="3">
        <f>'Historical Data'!Y151</f>
        <v/>
      </c>
      <c r="G154" s="3">
        <f>'Historical Data'!K151</f>
        <v/>
      </c>
      <c r="H154" s="3">
        <f>'Historical Data'!L151</f>
        <v/>
      </c>
      <c r="I154" s="26">
        <f>'Historical Data'!M151</f>
        <v/>
      </c>
      <c r="J154" s="28">
        <f>'Historical Data'!N151</f>
        <v/>
      </c>
      <c r="K154" s="28">
        <f>'Historical Data'!Q151</f>
        <v/>
      </c>
      <c r="L154" s="30">
        <f>'Historical Data'!S151</f>
        <v/>
      </c>
      <c r="M154" s="28">
        <f>'Historical Data'!AJ151</f>
        <v/>
      </c>
      <c r="N154" s="28">
        <f>'Historical Data'!AK151</f>
        <v/>
      </c>
      <c r="O154" s="3">
        <f>'Historical Data'!AA151</f>
        <v/>
      </c>
      <c r="P154" s="3">
        <f>'Historical Data'!AB151</f>
        <v/>
      </c>
      <c r="Q154" s="3">
        <f>'Historical Data'!AN151</f>
        <v/>
      </c>
      <c r="R154" s="3">
        <f>'Historical Data'!AC151</f>
        <v/>
      </c>
      <c r="S154" s="3">
        <f>'Historical Data'!AE151</f>
        <v/>
      </c>
      <c r="T154" s="3">
        <f>'Historical Data'!AH151</f>
        <v/>
      </c>
      <c r="U154" s="3">
        <f>'Historical Data'!BA151</f>
        <v/>
      </c>
      <c r="V154" s="3" t="n"/>
      <c r="W154" s="3" t="n"/>
      <c r="X154" s="3" t="n"/>
      <c r="Y154" s="3" t="n"/>
      <c r="Z154" s="3" t="n"/>
    </row>
    <row r="155" hidden="1" ht="15.75" customHeight="1" s="174">
      <c r="A155" s="3">
        <f>'Historical Data'!A152</f>
        <v/>
      </c>
      <c r="B155" s="3">
        <f>'Historical Data'!B152</f>
        <v/>
      </c>
      <c r="C155" s="3">
        <f>'Historical Data'!D152</f>
        <v/>
      </c>
      <c r="D155" s="23">
        <f>'Historical Data'!E152</f>
        <v/>
      </c>
      <c r="E155" s="3">
        <f>'Historical Data'!G152</f>
        <v/>
      </c>
      <c r="F155" s="3">
        <f>'Historical Data'!Y152</f>
        <v/>
      </c>
      <c r="G155" s="3">
        <f>'Historical Data'!K152</f>
        <v/>
      </c>
      <c r="H155" s="3">
        <f>'Historical Data'!L152</f>
        <v/>
      </c>
      <c r="I155" s="26">
        <f>'Historical Data'!M152</f>
        <v/>
      </c>
      <c r="J155" s="28">
        <f>'Historical Data'!N152</f>
        <v/>
      </c>
      <c r="K155" s="28">
        <f>'Historical Data'!Q152</f>
        <v/>
      </c>
      <c r="L155" s="30">
        <f>'Historical Data'!S152</f>
        <v/>
      </c>
      <c r="M155" s="28">
        <f>'Historical Data'!AJ152</f>
        <v/>
      </c>
      <c r="N155" s="28">
        <f>'Historical Data'!AK152</f>
        <v/>
      </c>
      <c r="O155" s="3">
        <f>'Historical Data'!AA152</f>
        <v/>
      </c>
      <c r="P155" s="3">
        <f>'Historical Data'!AB152</f>
        <v/>
      </c>
      <c r="Q155" s="3">
        <f>'Historical Data'!AN152</f>
        <v/>
      </c>
      <c r="R155" s="3">
        <f>'Historical Data'!AC152</f>
        <v/>
      </c>
      <c r="S155" s="3">
        <f>'Historical Data'!AE152</f>
        <v/>
      </c>
      <c r="T155" s="3">
        <f>'Historical Data'!AH152</f>
        <v/>
      </c>
      <c r="U155" s="3">
        <f>'Historical Data'!BA152</f>
        <v/>
      </c>
      <c r="V155" s="3" t="n"/>
      <c r="W155" s="3" t="n"/>
      <c r="X155" s="3" t="n"/>
      <c r="Y155" s="3" t="n"/>
      <c r="Z155" s="3" t="n"/>
    </row>
    <row r="156" hidden="1" ht="15.75" customHeight="1" s="174">
      <c r="A156" s="3">
        <f>'Historical Data'!A153</f>
        <v/>
      </c>
      <c r="B156" s="3">
        <f>'Historical Data'!B153</f>
        <v/>
      </c>
      <c r="C156" s="3">
        <f>'Historical Data'!D153</f>
        <v/>
      </c>
      <c r="D156" s="23">
        <f>'Historical Data'!E153</f>
        <v/>
      </c>
      <c r="E156" s="3">
        <f>'Historical Data'!G153</f>
        <v/>
      </c>
      <c r="F156" s="3">
        <f>'Historical Data'!Y153</f>
        <v/>
      </c>
      <c r="G156" s="3">
        <f>'Historical Data'!K153</f>
        <v/>
      </c>
      <c r="H156" s="3">
        <f>'Historical Data'!L153</f>
        <v/>
      </c>
      <c r="I156" s="26">
        <f>'Historical Data'!M153</f>
        <v/>
      </c>
      <c r="J156" s="28">
        <f>'Historical Data'!N153</f>
        <v/>
      </c>
      <c r="K156" s="28">
        <f>'Historical Data'!Q153</f>
        <v/>
      </c>
      <c r="L156" s="30">
        <f>'Historical Data'!S153</f>
        <v/>
      </c>
      <c r="M156" s="28">
        <f>'Historical Data'!AJ153</f>
        <v/>
      </c>
      <c r="N156" s="28">
        <f>'Historical Data'!AK153</f>
        <v/>
      </c>
      <c r="O156" s="3">
        <f>'Historical Data'!AA153</f>
        <v/>
      </c>
      <c r="P156" s="3">
        <f>'Historical Data'!AB153</f>
        <v/>
      </c>
      <c r="Q156" s="3">
        <f>'Historical Data'!AN153</f>
        <v/>
      </c>
      <c r="R156" s="3">
        <f>'Historical Data'!AC153</f>
        <v/>
      </c>
      <c r="S156" s="3">
        <f>'Historical Data'!AE153</f>
        <v/>
      </c>
      <c r="T156" s="3">
        <f>'Historical Data'!AH153</f>
        <v/>
      </c>
      <c r="U156" s="3">
        <f>'Historical Data'!BA153</f>
        <v/>
      </c>
      <c r="V156" s="3" t="n"/>
      <c r="W156" s="3" t="n"/>
      <c r="X156" s="3" t="n"/>
      <c r="Y156" s="3" t="n"/>
      <c r="Z156" s="3" t="n"/>
    </row>
    <row r="157" hidden="1" ht="15.75" customHeight="1" s="174">
      <c r="A157" s="3">
        <f>'Historical Data'!A154</f>
        <v/>
      </c>
      <c r="B157" s="3">
        <f>'Historical Data'!B154</f>
        <v/>
      </c>
      <c r="C157" s="3">
        <f>'Historical Data'!D154</f>
        <v/>
      </c>
      <c r="D157" s="23">
        <f>'Historical Data'!E154</f>
        <v/>
      </c>
      <c r="E157" s="3">
        <f>'Historical Data'!G154</f>
        <v/>
      </c>
      <c r="F157" s="3">
        <f>'Historical Data'!Y154</f>
        <v/>
      </c>
      <c r="G157" s="3">
        <f>'Historical Data'!K154</f>
        <v/>
      </c>
      <c r="H157" s="3">
        <f>'Historical Data'!L154</f>
        <v/>
      </c>
      <c r="I157" s="26">
        <f>'Historical Data'!M154</f>
        <v/>
      </c>
      <c r="J157" s="28">
        <f>'Historical Data'!N154</f>
        <v/>
      </c>
      <c r="K157" s="28">
        <f>'Historical Data'!Q154</f>
        <v/>
      </c>
      <c r="L157" s="30">
        <f>'Historical Data'!S154</f>
        <v/>
      </c>
      <c r="M157" s="28">
        <f>'Historical Data'!AJ154</f>
        <v/>
      </c>
      <c r="N157" s="28">
        <f>'Historical Data'!AK154</f>
        <v/>
      </c>
      <c r="O157" s="3">
        <f>'Historical Data'!AA154</f>
        <v/>
      </c>
      <c r="P157" s="3">
        <f>'Historical Data'!AB154</f>
        <v/>
      </c>
      <c r="Q157" s="3">
        <f>'Historical Data'!AN154</f>
        <v/>
      </c>
      <c r="R157" s="3">
        <f>'Historical Data'!AC154</f>
        <v/>
      </c>
      <c r="S157" s="3">
        <f>'Historical Data'!AE154</f>
        <v/>
      </c>
      <c r="T157" s="3">
        <f>'Historical Data'!AH154</f>
        <v/>
      </c>
      <c r="U157" s="3">
        <f>'Historical Data'!BA154</f>
        <v/>
      </c>
      <c r="V157" s="3" t="n"/>
      <c r="W157" s="3" t="n"/>
      <c r="X157" s="3" t="n"/>
      <c r="Y157" s="3" t="n"/>
      <c r="Z157" s="3" t="n"/>
    </row>
    <row r="158" hidden="1" ht="15.75" customHeight="1" s="174">
      <c r="A158" s="3">
        <f>'Historical Data'!A155</f>
        <v/>
      </c>
      <c r="B158" s="3">
        <f>'Historical Data'!B155</f>
        <v/>
      </c>
      <c r="C158" s="3">
        <f>'Historical Data'!D155</f>
        <v/>
      </c>
      <c r="D158" s="23">
        <f>'Historical Data'!E155</f>
        <v/>
      </c>
      <c r="E158" s="3">
        <f>'Historical Data'!G155</f>
        <v/>
      </c>
      <c r="F158" s="3">
        <f>'Historical Data'!Y155</f>
        <v/>
      </c>
      <c r="G158" s="3">
        <f>'Historical Data'!K155</f>
        <v/>
      </c>
      <c r="H158" s="3">
        <f>'Historical Data'!L155</f>
        <v/>
      </c>
      <c r="I158" s="26">
        <f>'Historical Data'!M155</f>
        <v/>
      </c>
      <c r="J158" s="28">
        <f>'Historical Data'!N155</f>
        <v/>
      </c>
      <c r="K158" s="28">
        <f>'Historical Data'!Q155</f>
        <v/>
      </c>
      <c r="L158" s="30">
        <f>'Historical Data'!S155</f>
        <v/>
      </c>
      <c r="M158" s="28">
        <f>'Historical Data'!AJ155</f>
        <v/>
      </c>
      <c r="N158" s="28">
        <f>'Historical Data'!AK155</f>
        <v/>
      </c>
      <c r="O158" s="3">
        <f>'Historical Data'!AA155</f>
        <v/>
      </c>
      <c r="P158" s="3">
        <f>'Historical Data'!AB155</f>
        <v/>
      </c>
      <c r="Q158" s="3">
        <f>'Historical Data'!AN155</f>
        <v/>
      </c>
      <c r="R158" s="3">
        <f>'Historical Data'!AC155</f>
        <v/>
      </c>
      <c r="S158" s="3">
        <f>'Historical Data'!AE155</f>
        <v/>
      </c>
      <c r="T158" s="3">
        <f>'Historical Data'!AH155</f>
        <v/>
      </c>
      <c r="U158" s="3">
        <f>'Historical Data'!BA155</f>
        <v/>
      </c>
      <c r="V158" s="3" t="n"/>
      <c r="W158" s="3" t="n"/>
      <c r="X158" s="3" t="n"/>
      <c r="Y158" s="3" t="n"/>
      <c r="Z158" s="3" t="n"/>
    </row>
    <row r="159" hidden="1" ht="15.75" customHeight="1" s="174">
      <c r="A159" s="3">
        <f>'Historical Data'!A156</f>
        <v/>
      </c>
      <c r="B159" s="3">
        <f>'Historical Data'!B156</f>
        <v/>
      </c>
      <c r="C159" s="3">
        <f>'Historical Data'!D156</f>
        <v/>
      </c>
      <c r="D159" s="23">
        <f>'Historical Data'!E156</f>
        <v/>
      </c>
      <c r="E159" s="3">
        <f>'Historical Data'!G156</f>
        <v/>
      </c>
      <c r="F159" s="3">
        <f>'Historical Data'!Y156</f>
        <v/>
      </c>
      <c r="G159" s="3">
        <f>'Historical Data'!K156</f>
        <v/>
      </c>
      <c r="H159" s="3">
        <f>'Historical Data'!L156</f>
        <v/>
      </c>
      <c r="I159" s="26">
        <f>'Historical Data'!M156</f>
        <v/>
      </c>
      <c r="J159" s="28">
        <f>'Historical Data'!N156</f>
        <v/>
      </c>
      <c r="K159" s="28">
        <f>'Historical Data'!Q156</f>
        <v/>
      </c>
      <c r="L159" s="30">
        <f>'Historical Data'!S156</f>
        <v/>
      </c>
      <c r="M159" s="28">
        <f>'Historical Data'!AJ156</f>
        <v/>
      </c>
      <c r="N159" s="28">
        <f>'Historical Data'!AK156</f>
        <v/>
      </c>
      <c r="O159" s="3">
        <f>'Historical Data'!AA156</f>
        <v/>
      </c>
      <c r="P159" s="3">
        <f>'Historical Data'!AB156</f>
        <v/>
      </c>
      <c r="Q159" s="3">
        <f>'Historical Data'!AN156</f>
        <v/>
      </c>
      <c r="R159" s="3">
        <f>'Historical Data'!AC156</f>
        <v/>
      </c>
      <c r="S159" s="3">
        <f>'Historical Data'!AE156</f>
        <v/>
      </c>
      <c r="T159" s="3">
        <f>'Historical Data'!AH156</f>
        <v/>
      </c>
      <c r="U159" s="3">
        <f>'Historical Data'!BA156</f>
        <v/>
      </c>
      <c r="V159" s="3" t="n"/>
      <c r="W159" s="3" t="n"/>
      <c r="X159" s="3" t="n"/>
      <c r="Y159" s="3" t="n"/>
      <c r="Z159" s="3" t="n"/>
    </row>
    <row r="160" hidden="1" ht="15.75" customHeight="1" s="174">
      <c r="A160" s="3">
        <f>'Historical Data'!A157</f>
        <v/>
      </c>
      <c r="B160" s="3">
        <f>'Historical Data'!B157</f>
        <v/>
      </c>
      <c r="C160" s="3">
        <f>'Historical Data'!D157</f>
        <v/>
      </c>
      <c r="D160" s="23">
        <f>'Historical Data'!E157</f>
        <v/>
      </c>
      <c r="E160" s="3">
        <f>'Historical Data'!G157</f>
        <v/>
      </c>
      <c r="F160" s="3">
        <f>'Historical Data'!Y157</f>
        <v/>
      </c>
      <c r="G160" s="3">
        <f>'Historical Data'!K157</f>
        <v/>
      </c>
      <c r="H160" s="3">
        <f>'Historical Data'!L157</f>
        <v/>
      </c>
      <c r="I160" s="26">
        <f>'Historical Data'!M157</f>
        <v/>
      </c>
      <c r="J160" s="28">
        <f>'Historical Data'!N157</f>
        <v/>
      </c>
      <c r="K160" s="28">
        <f>'Historical Data'!Q157</f>
        <v/>
      </c>
      <c r="L160" s="30">
        <f>'Historical Data'!S157</f>
        <v/>
      </c>
      <c r="M160" s="28">
        <f>'Historical Data'!AJ157</f>
        <v/>
      </c>
      <c r="N160" s="28">
        <f>'Historical Data'!AK157</f>
        <v/>
      </c>
      <c r="O160" s="3">
        <f>'Historical Data'!AA157</f>
        <v/>
      </c>
      <c r="P160" s="3">
        <f>'Historical Data'!AB157</f>
        <v/>
      </c>
      <c r="Q160" s="3">
        <f>'Historical Data'!AN157</f>
        <v/>
      </c>
      <c r="R160" s="3">
        <f>'Historical Data'!AC157</f>
        <v/>
      </c>
      <c r="S160" s="3">
        <f>'Historical Data'!AE157</f>
        <v/>
      </c>
      <c r="T160" s="3">
        <f>'Historical Data'!AH157</f>
        <v/>
      </c>
      <c r="U160" s="3">
        <f>'Historical Data'!BA157</f>
        <v/>
      </c>
      <c r="V160" s="3" t="n"/>
      <c r="W160" s="3" t="n"/>
      <c r="X160" s="3" t="n"/>
      <c r="Y160" s="3" t="n"/>
      <c r="Z160" s="3" t="n"/>
    </row>
    <row r="161" hidden="1" ht="15.75" customHeight="1" s="174">
      <c r="A161" s="3">
        <f>'Historical Data'!A158</f>
        <v/>
      </c>
      <c r="B161" s="3">
        <f>'Historical Data'!B158</f>
        <v/>
      </c>
      <c r="C161" s="3">
        <f>'Historical Data'!D158</f>
        <v/>
      </c>
      <c r="D161" s="23">
        <f>'Historical Data'!E158</f>
        <v/>
      </c>
      <c r="E161" s="3">
        <f>'Historical Data'!G158</f>
        <v/>
      </c>
      <c r="F161" s="3">
        <f>'Historical Data'!Y158</f>
        <v/>
      </c>
      <c r="G161" s="3">
        <f>'Historical Data'!K158</f>
        <v/>
      </c>
      <c r="H161" s="3">
        <f>'Historical Data'!L158</f>
        <v/>
      </c>
      <c r="I161" s="26">
        <f>'Historical Data'!M158</f>
        <v/>
      </c>
      <c r="J161" s="28">
        <f>'Historical Data'!N158</f>
        <v/>
      </c>
      <c r="K161" s="28">
        <f>'Historical Data'!Q158</f>
        <v/>
      </c>
      <c r="L161" s="30">
        <f>'Historical Data'!S158</f>
        <v/>
      </c>
      <c r="M161" s="28">
        <f>'Historical Data'!AJ158</f>
        <v/>
      </c>
      <c r="N161" s="28">
        <f>'Historical Data'!AK158</f>
        <v/>
      </c>
      <c r="O161" s="3">
        <f>'Historical Data'!AA158</f>
        <v/>
      </c>
      <c r="P161" s="3">
        <f>'Historical Data'!AB158</f>
        <v/>
      </c>
      <c r="Q161" s="3">
        <f>'Historical Data'!AN158</f>
        <v/>
      </c>
      <c r="R161" s="3">
        <f>'Historical Data'!AC158</f>
        <v/>
      </c>
      <c r="S161" s="3">
        <f>'Historical Data'!AE158</f>
        <v/>
      </c>
      <c r="T161" s="3">
        <f>'Historical Data'!AH158</f>
        <v/>
      </c>
      <c r="U161" s="3">
        <f>'Historical Data'!BA158</f>
        <v/>
      </c>
      <c r="V161" s="3" t="n"/>
      <c r="W161" s="3" t="n"/>
      <c r="X161" s="3" t="n"/>
      <c r="Y161" s="3" t="n"/>
      <c r="Z161" s="3" t="n"/>
    </row>
    <row r="162" hidden="1" ht="15.75" customHeight="1" s="174">
      <c r="A162" s="3">
        <f>'Historical Data'!A159</f>
        <v/>
      </c>
      <c r="B162" s="3">
        <f>'Historical Data'!B159</f>
        <v/>
      </c>
      <c r="C162" s="3">
        <f>'Historical Data'!D159</f>
        <v/>
      </c>
      <c r="D162" s="23">
        <f>'Historical Data'!E159</f>
        <v/>
      </c>
      <c r="E162" s="3">
        <f>'Historical Data'!G159</f>
        <v/>
      </c>
      <c r="F162" s="3">
        <f>'Historical Data'!Y159</f>
        <v/>
      </c>
      <c r="G162" s="3">
        <f>'Historical Data'!K159</f>
        <v/>
      </c>
      <c r="H162" s="3">
        <f>'Historical Data'!L159</f>
        <v/>
      </c>
      <c r="I162" s="26">
        <f>'Historical Data'!M159</f>
        <v/>
      </c>
      <c r="J162" s="28">
        <f>'Historical Data'!N159</f>
        <v/>
      </c>
      <c r="K162" s="28">
        <f>'Historical Data'!Q159</f>
        <v/>
      </c>
      <c r="L162" s="30">
        <f>'Historical Data'!S159</f>
        <v/>
      </c>
      <c r="M162" s="28">
        <f>'Historical Data'!AJ159</f>
        <v/>
      </c>
      <c r="N162" s="28">
        <f>'Historical Data'!AK159</f>
        <v/>
      </c>
      <c r="O162" s="3">
        <f>'Historical Data'!AA159</f>
        <v/>
      </c>
      <c r="P162" s="3">
        <f>'Historical Data'!AB159</f>
        <v/>
      </c>
      <c r="Q162" s="3">
        <f>'Historical Data'!AN159</f>
        <v/>
      </c>
      <c r="R162" s="3">
        <f>'Historical Data'!AC159</f>
        <v/>
      </c>
      <c r="S162" s="3">
        <f>'Historical Data'!AE159</f>
        <v/>
      </c>
      <c r="T162" s="3">
        <f>'Historical Data'!AH159</f>
        <v/>
      </c>
      <c r="U162" s="3">
        <f>'Historical Data'!BA159</f>
        <v/>
      </c>
      <c r="V162" s="3" t="n"/>
      <c r="W162" s="3" t="n"/>
      <c r="X162" s="3" t="n"/>
      <c r="Y162" s="3" t="n"/>
      <c r="Z162" s="3" t="n"/>
    </row>
    <row r="163" hidden="1" ht="15.75" customHeight="1" s="174">
      <c r="A163" s="3">
        <f>'Historical Data'!A160</f>
        <v/>
      </c>
      <c r="B163" s="3">
        <f>'Historical Data'!B160</f>
        <v/>
      </c>
      <c r="C163" s="3">
        <f>'Historical Data'!D160</f>
        <v/>
      </c>
      <c r="D163" s="23">
        <f>'Historical Data'!E160</f>
        <v/>
      </c>
      <c r="E163" s="3">
        <f>'Historical Data'!G160</f>
        <v/>
      </c>
      <c r="F163" s="3">
        <f>'Historical Data'!Y160</f>
        <v/>
      </c>
      <c r="G163" s="3">
        <f>'Historical Data'!K160</f>
        <v/>
      </c>
      <c r="H163" s="3">
        <f>'Historical Data'!L160</f>
        <v/>
      </c>
      <c r="I163" s="26">
        <f>'Historical Data'!M160</f>
        <v/>
      </c>
      <c r="J163" s="28">
        <f>'Historical Data'!N160</f>
        <v/>
      </c>
      <c r="K163" s="28">
        <f>'Historical Data'!Q160</f>
        <v/>
      </c>
      <c r="L163" s="30">
        <f>'Historical Data'!S160</f>
        <v/>
      </c>
      <c r="M163" s="28">
        <f>'Historical Data'!AJ160</f>
        <v/>
      </c>
      <c r="N163" s="28">
        <f>'Historical Data'!AK160</f>
        <v/>
      </c>
      <c r="O163" s="3">
        <f>'Historical Data'!AA160</f>
        <v/>
      </c>
      <c r="P163" s="3">
        <f>'Historical Data'!AB160</f>
        <v/>
      </c>
      <c r="Q163" s="3">
        <f>'Historical Data'!AN160</f>
        <v/>
      </c>
      <c r="R163" s="3">
        <f>'Historical Data'!AC160</f>
        <v/>
      </c>
      <c r="S163" s="3">
        <f>'Historical Data'!AE160</f>
        <v/>
      </c>
      <c r="T163" s="3">
        <f>'Historical Data'!AH160</f>
        <v/>
      </c>
      <c r="U163" s="3">
        <f>'Historical Data'!BA160</f>
        <v/>
      </c>
      <c r="V163" s="3" t="n"/>
      <c r="W163" s="3" t="n"/>
      <c r="X163" s="3" t="n"/>
      <c r="Y163" s="3" t="n"/>
      <c r="Z163" s="3" t="n"/>
    </row>
    <row r="164" hidden="1" ht="15.75" customHeight="1" s="174">
      <c r="A164" s="3">
        <f>'Historical Data'!A161</f>
        <v/>
      </c>
      <c r="B164" s="3">
        <f>'Historical Data'!B161</f>
        <v/>
      </c>
      <c r="C164" s="3">
        <f>'Historical Data'!D161</f>
        <v/>
      </c>
      <c r="D164" s="23">
        <f>'Historical Data'!E161</f>
        <v/>
      </c>
      <c r="E164" s="3">
        <f>'Historical Data'!G161</f>
        <v/>
      </c>
      <c r="F164" s="3">
        <f>'Historical Data'!Y161</f>
        <v/>
      </c>
      <c r="G164" s="3">
        <f>'Historical Data'!K161</f>
        <v/>
      </c>
      <c r="H164" s="3">
        <f>'Historical Data'!L161</f>
        <v/>
      </c>
      <c r="I164" s="26">
        <f>'Historical Data'!M161</f>
        <v/>
      </c>
      <c r="J164" s="28">
        <f>'Historical Data'!N161</f>
        <v/>
      </c>
      <c r="K164" s="28">
        <f>'Historical Data'!Q161</f>
        <v/>
      </c>
      <c r="L164" s="30">
        <f>'Historical Data'!S161</f>
        <v/>
      </c>
      <c r="M164" s="28">
        <f>'Historical Data'!AJ161</f>
        <v/>
      </c>
      <c r="N164" s="28">
        <f>'Historical Data'!AK161</f>
        <v/>
      </c>
      <c r="O164" s="3">
        <f>'Historical Data'!AA161</f>
        <v/>
      </c>
      <c r="P164" s="3">
        <f>'Historical Data'!AB161</f>
        <v/>
      </c>
      <c r="Q164" s="3">
        <f>'Historical Data'!AN161</f>
        <v/>
      </c>
      <c r="R164" s="3">
        <f>'Historical Data'!AC161</f>
        <v/>
      </c>
      <c r="S164" s="3">
        <f>'Historical Data'!AE161</f>
        <v/>
      </c>
      <c r="T164" s="3">
        <f>'Historical Data'!AH161</f>
        <v/>
      </c>
      <c r="U164" s="3">
        <f>'Historical Data'!BA161</f>
        <v/>
      </c>
      <c r="V164" s="3" t="n"/>
      <c r="W164" s="3" t="n"/>
      <c r="X164" s="3" t="n"/>
      <c r="Y164" s="3" t="n"/>
      <c r="Z164" s="3" t="n"/>
    </row>
    <row r="165" hidden="1" ht="15.75" customHeight="1" s="174">
      <c r="A165" s="3">
        <f>'Historical Data'!A162</f>
        <v/>
      </c>
      <c r="B165" s="3">
        <f>'Historical Data'!B162</f>
        <v/>
      </c>
      <c r="C165" s="3">
        <f>'Historical Data'!D162</f>
        <v/>
      </c>
      <c r="D165" s="23">
        <f>'Historical Data'!E162</f>
        <v/>
      </c>
      <c r="E165" s="3">
        <f>'Historical Data'!G162</f>
        <v/>
      </c>
      <c r="F165" s="3">
        <f>'Historical Data'!Y162</f>
        <v/>
      </c>
      <c r="G165" s="3">
        <f>'Historical Data'!K162</f>
        <v/>
      </c>
      <c r="H165" s="3">
        <f>'Historical Data'!L162</f>
        <v/>
      </c>
      <c r="I165" s="26">
        <f>'Historical Data'!M162</f>
        <v/>
      </c>
      <c r="J165" s="28">
        <f>'Historical Data'!N162</f>
        <v/>
      </c>
      <c r="K165" s="28">
        <f>'Historical Data'!Q162</f>
        <v/>
      </c>
      <c r="L165" s="30">
        <f>'Historical Data'!S162</f>
        <v/>
      </c>
      <c r="M165" s="28">
        <f>'Historical Data'!AJ162</f>
        <v/>
      </c>
      <c r="N165" s="28">
        <f>'Historical Data'!AK162</f>
        <v/>
      </c>
      <c r="O165" s="3">
        <f>'Historical Data'!AA162</f>
        <v/>
      </c>
      <c r="P165" s="3">
        <f>'Historical Data'!AB162</f>
        <v/>
      </c>
      <c r="Q165" s="3">
        <f>'Historical Data'!AN162</f>
        <v/>
      </c>
      <c r="R165" s="3">
        <f>'Historical Data'!AC162</f>
        <v/>
      </c>
      <c r="S165" s="3">
        <f>'Historical Data'!AE162</f>
        <v/>
      </c>
      <c r="T165" s="3">
        <f>'Historical Data'!AH162</f>
        <v/>
      </c>
      <c r="U165" s="3">
        <f>'Historical Data'!BA162</f>
        <v/>
      </c>
      <c r="V165" s="3" t="n"/>
      <c r="W165" s="3" t="n"/>
      <c r="X165" s="3" t="n"/>
      <c r="Y165" s="3" t="n"/>
      <c r="Z165" s="3" t="n"/>
    </row>
    <row r="166" hidden="1" ht="15.75" customHeight="1" s="174">
      <c r="A166" s="3">
        <f>'Historical Data'!A163</f>
        <v/>
      </c>
      <c r="B166" s="3">
        <f>'Historical Data'!B163</f>
        <v/>
      </c>
      <c r="C166" s="3">
        <f>'Historical Data'!D163</f>
        <v/>
      </c>
      <c r="D166" s="23">
        <f>'Historical Data'!E163</f>
        <v/>
      </c>
      <c r="E166" s="3">
        <f>'Historical Data'!G163</f>
        <v/>
      </c>
      <c r="F166" s="3">
        <f>'Historical Data'!Y163</f>
        <v/>
      </c>
      <c r="G166" s="3">
        <f>'Historical Data'!K163</f>
        <v/>
      </c>
      <c r="H166" s="3">
        <f>'Historical Data'!L163</f>
        <v/>
      </c>
      <c r="I166" s="26">
        <f>'Historical Data'!M163</f>
        <v/>
      </c>
      <c r="J166" s="28">
        <f>'Historical Data'!N163</f>
        <v/>
      </c>
      <c r="K166" s="28">
        <f>'Historical Data'!Q163</f>
        <v/>
      </c>
      <c r="L166" s="30">
        <f>'Historical Data'!S163</f>
        <v/>
      </c>
      <c r="M166" s="28">
        <f>'Historical Data'!AJ163</f>
        <v/>
      </c>
      <c r="N166" s="28">
        <f>'Historical Data'!AK163</f>
        <v/>
      </c>
      <c r="O166" s="3">
        <f>'Historical Data'!AA163</f>
        <v/>
      </c>
      <c r="P166" s="3">
        <f>'Historical Data'!AB163</f>
        <v/>
      </c>
      <c r="Q166" s="3">
        <f>'Historical Data'!AN163</f>
        <v/>
      </c>
      <c r="R166" s="3">
        <f>'Historical Data'!AC163</f>
        <v/>
      </c>
      <c r="S166" s="3">
        <f>'Historical Data'!AE163</f>
        <v/>
      </c>
      <c r="T166" s="3">
        <f>'Historical Data'!AH163</f>
        <v/>
      </c>
      <c r="U166" s="3">
        <f>'Historical Data'!BA163</f>
        <v/>
      </c>
      <c r="V166" s="3" t="n"/>
      <c r="W166" s="3" t="n"/>
      <c r="X166" s="3" t="n"/>
      <c r="Y166" s="3" t="n"/>
      <c r="Z166" s="3" t="n"/>
    </row>
    <row r="167" hidden="1" ht="15.75" customHeight="1" s="174">
      <c r="A167" s="3">
        <f>'Historical Data'!A164</f>
        <v/>
      </c>
      <c r="B167" s="3">
        <f>'Historical Data'!B164</f>
        <v/>
      </c>
      <c r="C167" s="3">
        <f>'Historical Data'!D164</f>
        <v/>
      </c>
      <c r="D167" s="23">
        <f>'Historical Data'!E164</f>
        <v/>
      </c>
      <c r="E167" s="3">
        <f>'Historical Data'!G164</f>
        <v/>
      </c>
      <c r="F167" s="3">
        <f>'Historical Data'!Y164</f>
        <v/>
      </c>
      <c r="G167" s="3">
        <f>'Historical Data'!K164</f>
        <v/>
      </c>
      <c r="H167" s="3">
        <f>'Historical Data'!L164</f>
        <v/>
      </c>
      <c r="I167" s="26">
        <f>'Historical Data'!M164</f>
        <v/>
      </c>
      <c r="J167" s="28">
        <f>'Historical Data'!N164</f>
        <v/>
      </c>
      <c r="K167" s="28">
        <f>'Historical Data'!Q164</f>
        <v/>
      </c>
      <c r="L167" s="30">
        <f>'Historical Data'!S164</f>
        <v/>
      </c>
      <c r="M167" s="28">
        <f>'Historical Data'!AJ164</f>
        <v/>
      </c>
      <c r="N167" s="28">
        <f>'Historical Data'!AK164</f>
        <v/>
      </c>
      <c r="O167" s="3">
        <f>'Historical Data'!AA164</f>
        <v/>
      </c>
      <c r="P167" s="3">
        <f>'Historical Data'!AB164</f>
        <v/>
      </c>
      <c r="Q167" s="3">
        <f>'Historical Data'!AN164</f>
        <v/>
      </c>
      <c r="R167" s="3">
        <f>'Historical Data'!AC164</f>
        <v/>
      </c>
      <c r="S167" s="3">
        <f>'Historical Data'!AE164</f>
        <v/>
      </c>
      <c r="T167" s="3">
        <f>'Historical Data'!AH164</f>
        <v/>
      </c>
      <c r="U167" s="3">
        <f>'Historical Data'!BA164</f>
        <v/>
      </c>
      <c r="V167" s="3" t="n"/>
      <c r="W167" s="3" t="n"/>
      <c r="X167" s="3" t="n"/>
      <c r="Y167" s="3" t="n"/>
      <c r="Z167" s="3" t="n"/>
    </row>
    <row r="168" hidden="1" ht="15.75" customHeight="1" s="174">
      <c r="A168" s="3">
        <f>'Historical Data'!A165</f>
        <v/>
      </c>
      <c r="B168" s="3">
        <f>'Historical Data'!B165</f>
        <v/>
      </c>
      <c r="C168" s="3">
        <f>'Historical Data'!D165</f>
        <v/>
      </c>
      <c r="D168" s="23">
        <f>'Historical Data'!E165</f>
        <v/>
      </c>
      <c r="E168" s="3">
        <f>'Historical Data'!G165</f>
        <v/>
      </c>
      <c r="F168" s="3">
        <f>'Historical Data'!Y165</f>
        <v/>
      </c>
      <c r="G168" s="3">
        <f>'Historical Data'!K165</f>
        <v/>
      </c>
      <c r="H168" s="3">
        <f>'Historical Data'!L165</f>
        <v/>
      </c>
      <c r="I168" s="26">
        <f>'Historical Data'!M165</f>
        <v/>
      </c>
      <c r="J168" s="28">
        <f>'Historical Data'!N165</f>
        <v/>
      </c>
      <c r="K168" s="28">
        <f>'Historical Data'!Q165</f>
        <v/>
      </c>
      <c r="L168" s="30">
        <f>'Historical Data'!S165</f>
        <v/>
      </c>
      <c r="M168" s="28">
        <f>'Historical Data'!AJ165</f>
        <v/>
      </c>
      <c r="N168" s="28">
        <f>'Historical Data'!AK165</f>
        <v/>
      </c>
      <c r="O168" s="3">
        <f>'Historical Data'!AA165</f>
        <v/>
      </c>
      <c r="P168" s="3">
        <f>'Historical Data'!AB165</f>
        <v/>
      </c>
      <c r="Q168" s="3">
        <f>'Historical Data'!AN165</f>
        <v/>
      </c>
      <c r="R168" s="3">
        <f>'Historical Data'!AC165</f>
        <v/>
      </c>
      <c r="S168" s="3">
        <f>'Historical Data'!AE165</f>
        <v/>
      </c>
      <c r="T168" s="3">
        <f>'Historical Data'!AH165</f>
        <v/>
      </c>
      <c r="U168" s="3">
        <f>'Historical Data'!BA165</f>
        <v/>
      </c>
      <c r="V168" s="3" t="n"/>
      <c r="W168" s="3" t="n"/>
      <c r="X168" s="3" t="n"/>
      <c r="Y168" s="3" t="n"/>
      <c r="Z168" s="3" t="n"/>
    </row>
    <row r="169" hidden="1" ht="15.75" customHeight="1" s="174">
      <c r="A169" s="3">
        <f>'Historical Data'!A166</f>
        <v/>
      </c>
      <c r="B169" s="3">
        <f>'Historical Data'!B166</f>
        <v/>
      </c>
      <c r="C169" s="3">
        <f>'Historical Data'!D166</f>
        <v/>
      </c>
      <c r="D169" s="23">
        <f>'Historical Data'!E166</f>
        <v/>
      </c>
      <c r="E169" s="3">
        <f>'Historical Data'!G166</f>
        <v/>
      </c>
      <c r="F169" s="3">
        <f>'Historical Data'!Y166</f>
        <v/>
      </c>
      <c r="G169" s="3">
        <f>'Historical Data'!K166</f>
        <v/>
      </c>
      <c r="H169" s="3">
        <f>'Historical Data'!L166</f>
        <v/>
      </c>
      <c r="I169" s="26">
        <f>'Historical Data'!M166</f>
        <v/>
      </c>
      <c r="J169" s="28">
        <f>'Historical Data'!N166</f>
        <v/>
      </c>
      <c r="K169" s="28">
        <f>'Historical Data'!Q166</f>
        <v/>
      </c>
      <c r="L169" s="30">
        <f>'Historical Data'!S166</f>
        <v/>
      </c>
      <c r="M169" s="28">
        <f>'Historical Data'!AJ166</f>
        <v/>
      </c>
      <c r="N169" s="28">
        <f>'Historical Data'!AK166</f>
        <v/>
      </c>
      <c r="O169" s="3">
        <f>'Historical Data'!AA166</f>
        <v/>
      </c>
      <c r="P169" s="3">
        <f>'Historical Data'!AB166</f>
        <v/>
      </c>
      <c r="Q169" s="3">
        <f>'Historical Data'!AN166</f>
        <v/>
      </c>
      <c r="R169" s="3">
        <f>'Historical Data'!AC166</f>
        <v/>
      </c>
      <c r="S169" s="3">
        <f>'Historical Data'!AE166</f>
        <v/>
      </c>
      <c r="T169" s="3">
        <f>'Historical Data'!AH166</f>
        <v/>
      </c>
      <c r="U169" s="3">
        <f>'Historical Data'!BA166</f>
        <v/>
      </c>
      <c r="V169" s="3" t="n"/>
      <c r="W169" s="3" t="n"/>
      <c r="X169" s="3" t="n"/>
      <c r="Y169" s="3" t="n"/>
      <c r="Z169" s="3" t="n"/>
    </row>
    <row r="170" hidden="1" ht="15.75" customHeight="1" s="174">
      <c r="A170" s="3">
        <f>'Historical Data'!A167</f>
        <v/>
      </c>
      <c r="B170" s="3">
        <f>'Historical Data'!B167</f>
        <v/>
      </c>
      <c r="C170" s="3">
        <f>'Historical Data'!D167</f>
        <v/>
      </c>
      <c r="D170" s="23">
        <f>'Historical Data'!E167</f>
        <v/>
      </c>
      <c r="E170" s="3">
        <f>'Historical Data'!G167</f>
        <v/>
      </c>
      <c r="F170" s="3">
        <f>'Historical Data'!Y167</f>
        <v/>
      </c>
      <c r="G170" s="3">
        <f>'Historical Data'!K167</f>
        <v/>
      </c>
      <c r="H170" s="3">
        <f>'Historical Data'!L167</f>
        <v/>
      </c>
      <c r="I170" s="26">
        <f>'Historical Data'!M167</f>
        <v/>
      </c>
      <c r="J170" s="28">
        <f>'Historical Data'!N167</f>
        <v/>
      </c>
      <c r="K170" s="28">
        <f>'Historical Data'!Q167</f>
        <v/>
      </c>
      <c r="L170" s="30">
        <f>'Historical Data'!S167</f>
        <v/>
      </c>
      <c r="M170" s="28">
        <f>'Historical Data'!AJ167</f>
        <v/>
      </c>
      <c r="N170" s="28">
        <f>'Historical Data'!AK167</f>
        <v/>
      </c>
      <c r="O170" s="3">
        <f>'Historical Data'!AA167</f>
        <v/>
      </c>
      <c r="P170" s="3">
        <f>'Historical Data'!AB167</f>
        <v/>
      </c>
      <c r="Q170" s="3">
        <f>'Historical Data'!AN167</f>
        <v/>
      </c>
      <c r="R170" s="3">
        <f>'Historical Data'!AC167</f>
        <v/>
      </c>
      <c r="S170" s="3">
        <f>'Historical Data'!AE167</f>
        <v/>
      </c>
      <c r="T170" s="3">
        <f>'Historical Data'!AH167</f>
        <v/>
      </c>
      <c r="U170" s="3">
        <f>'Historical Data'!BA167</f>
        <v/>
      </c>
      <c r="V170" s="3" t="n"/>
      <c r="W170" s="3" t="n"/>
      <c r="X170" s="3" t="n"/>
      <c r="Y170" s="3" t="n"/>
      <c r="Z170" s="3" t="n"/>
    </row>
    <row r="171" hidden="1" ht="15.75" customHeight="1" s="174">
      <c r="A171" s="3">
        <f>'Historical Data'!A168</f>
        <v/>
      </c>
      <c r="B171" s="3">
        <f>'Historical Data'!B168</f>
        <v/>
      </c>
      <c r="C171" s="3">
        <f>'Historical Data'!D168</f>
        <v/>
      </c>
      <c r="D171" s="23">
        <f>'Historical Data'!E168</f>
        <v/>
      </c>
      <c r="E171" s="3">
        <f>'Historical Data'!G168</f>
        <v/>
      </c>
      <c r="F171" s="3">
        <f>'Historical Data'!Y168</f>
        <v/>
      </c>
      <c r="G171" s="3">
        <f>'Historical Data'!K168</f>
        <v/>
      </c>
      <c r="H171" s="3">
        <f>'Historical Data'!L168</f>
        <v/>
      </c>
      <c r="I171" s="26">
        <f>'Historical Data'!M168</f>
        <v/>
      </c>
      <c r="J171" s="28">
        <f>'Historical Data'!N168</f>
        <v/>
      </c>
      <c r="K171" s="28">
        <f>'Historical Data'!Q168</f>
        <v/>
      </c>
      <c r="L171" s="30">
        <f>'Historical Data'!S168</f>
        <v/>
      </c>
      <c r="M171" s="28">
        <f>'Historical Data'!AJ168</f>
        <v/>
      </c>
      <c r="N171" s="28">
        <f>'Historical Data'!AK168</f>
        <v/>
      </c>
      <c r="O171" s="3">
        <f>'Historical Data'!AA168</f>
        <v/>
      </c>
      <c r="P171" s="3">
        <f>'Historical Data'!AB168</f>
        <v/>
      </c>
      <c r="Q171" s="3">
        <f>'Historical Data'!AN168</f>
        <v/>
      </c>
      <c r="R171" s="3">
        <f>'Historical Data'!AC168</f>
        <v/>
      </c>
      <c r="S171" s="3">
        <f>'Historical Data'!AE168</f>
        <v/>
      </c>
      <c r="T171" s="3">
        <f>'Historical Data'!AH168</f>
        <v/>
      </c>
      <c r="U171" s="3">
        <f>'Historical Data'!BA168</f>
        <v/>
      </c>
      <c r="V171" s="3" t="n"/>
      <c r="W171" s="3" t="n"/>
      <c r="X171" s="3" t="n"/>
      <c r="Y171" s="3" t="n"/>
      <c r="Z171" s="3" t="n"/>
    </row>
    <row r="172" hidden="1" ht="15.75" customHeight="1" s="174">
      <c r="A172" s="3">
        <f>'Historical Data'!A169</f>
        <v/>
      </c>
      <c r="B172" s="3">
        <f>'Historical Data'!B169</f>
        <v/>
      </c>
      <c r="C172" s="3">
        <f>'Historical Data'!D169</f>
        <v/>
      </c>
      <c r="D172" s="23">
        <f>'Historical Data'!E169</f>
        <v/>
      </c>
      <c r="E172" s="3">
        <f>'Historical Data'!G169</f>
        <v/>
      </c>
      <c r="F172" s="3">
        <f>'Historical Data'!Y169</f>
        <v/>
      </c>
      <c r="G172" s="3">
        <f>'Historical Data'!K169</f>
        <v/>
      </c>
      <c r="H172" s="3">
        <f>'Historical Data'!L169</f>
        <v/>
      </c>
      <c r="I172" s="26">
        <f>'Historical Data'!M169</f>
        <v/>
      </c>
      <c r="J172" s="28">
        <f>'Historical Data'!N169</f>
        <v/>
      </c>
      <c r="K172" s="28">
        <f>'Historical Data'!Q169</f>
        <v/>
      </c>
      <c r="L172" s="30">
        <f>'Historical Data'!S169</f>
        <v/>
      </c>
      <c r="M172" s="28">
        <f>'Historical Data'!AJ169</f>
        <v/>
      </c>
      <c r="N172" s="28">
        <f>'Historical Data'!AK169</f>
        <v/>
      </c>
      <c r="O172" s="3">
        <f>'Historical Data'!AA169</f>
        <v/>
      </c>
      <c r="P172" s="3">
        <f>'Historical Data'!AB169</f>
        <v/>
      </c>
      <c r="Q172" s="3">
        <f>'Historical Data'!AN169</f>
        <v/>
      </c>
      <c r="R172" s="3">
        <f>'Historical Data'!AC169</f>
        <v/>
      </c>
      <c r="S172" s="3">
        <f>'Historical Data'!AE169</f>
        <v/>
      </c>
      <c r="T172" s="3">
        <f>'Historical Data'!AH169</f>
        <v/>
      </c>
      <c r="U172" s="3">
        <f>'Historical Data'!BA169</f>
        <v/>
      </c>
      <c r="V172" s="3" t="n"/>
      <c r="W172" s="3" t="n"/>
      <c r="X172" s="3" t="n"/>
      <c r="Y172" s="3" t="n"/>
      <c r="Z172" s="3" t="n"/>
    </row>
    <row r="173" hidden="1" ht="15.75" customHeight="1" s="174">
      <c r="A173" s="3">
        <f>'Historical Data'!A170</f>
        <v/>
      </c>
      <c r="B173" s="3">
        <f>'Historical Data'!B170</f>
        <v/>
      </c>
      <c r="C173" s="3">
        <f>'Historical Data'!D170</f>
        <v/>
      </c>
      <c r="D173" s="23">
        <f>'Historical Data'!E170</f>
        <v/>
      </c>
      <c r="E173" s="3">
        <f>'Historical Data'!G170</f>
        <v/>
      </c>
      <c r="F173" s="3">
        <f>'Historical Data'!Y170</f>
        <v/>
      </c>
      <c r="G173" s="3">
        <f>'Historical Data'!K170</f>
        <v/>
      </c>
      <c r="H173" s="3">
        <f>'Historical Data'!L170</f>
        <v/>
      </c>
      <c r="I173" s="26">
        <f>'Historical Data'!M170</f>
        <v/>
      </c>
      <c r="J173" s="28">
        <f>'Historical Data'!N170</f>
        <v/>
      </c>
      <c r="K173" s="28">
        <f>'Historical Data'!Q170</f>
        <v/>
      </c>
      <c r="L173" s="30">
        <f>'Historical Data'!S170</f>
        <v/>
      </c>
      <c r="M173" s="28">
        <f>'Historical Data'!AJ170</f>
        <v/>
      </c>
      <c r="N173" s="28">
        <f>'Historical Data'!AK170</f>
        <v/>
      </c>
      <c r="O173" s="3">
        <f>'Historical Data'!AA170</f>
        <v/>
      </c>
      <c r="P173" s="3">
        <f>'Historical Data'!AB170</f>
        <v/>
      </c>
      <c r="Q173" s="3">
        <f>'Historical Data'!AN170</f>
        <v/>
      </c>
      <c r="R173" s="3">
        <f>'Historical Data'!AC170</f>
        <v/>
      </c>
      <c r="S173" s="3">
        <f>'Historical Data'!AE170</f>
        <v/>
      </c>
      <c r="T173" s="3">
        <f>'Historical Data'!AH170</f>
        <v/>
      </c>
      <c r="U173" s="3">
        <f>'Historical Data'!BA170</f>
        <v/>
      </c>
      <c r="V173" s="3" t="n"/>
      <c r="W173" s="3" t="n"/>
      <c r="X173" s="3" t="n"/>
      <c r="Y173" s="3" t="n"/>
      <c r="Z173" s="3" t="n"/>
    </row>
    <row r="174" hidden="1" ht="15.75" customHeight="1" s="174">
      <c r="A174" s="3">
        <f>'Historical Data'!A171</f>
        <v/>
      </c>
      <c r="B174" s="3">
        <f>'Historical Data'!B171</f>
        <v/>
      </c>
      <c r="C174" s="3">
        <f>'Historical Data'!D171</f>
        <v/>
      </c>
      <c r="D174" s="23">
        <f>'Historical Data'!E171</f>
        <v/>
      </c>
      <c r="E174" s="3">
        <f>'Historical Data'!G171</f>
        <v/>
      </c>
      <c r="F174" s="3">
        <f>'Historical Data'!Y171</f>
        <v/>
      </c>
      <c r="G174" s="3">
        <f>'Historical Data'!K171</f>
        <v/>
      </c>
      <c r="H174" s="3">
        <f>'Historical Data'!L171</f>
        <v/>
      </c>
      <c r="I174" s="26">
        <f>'Historical Data'!M171</f>
        <v/>
      </c>
      <c r="J174" s="28">
        <f>'Historical Data'!N171</f>
        <v/>
      </c>
      <c r="K174" s="28">
        <f>'Historical Data'!Q171</f>
        <v/>
      </c>
      <c r="L174" s="30">
        <f>'Historical Data'!S171</f>
        <v/>
      </c>
      <c r="M174" s="28">
        <f>'Historical Data'!AJ171</f>
        <v/>
      </c>
      <c r="N174" s="28">
        <f>'Historical Data'!AK171</f>
        <v/>
      </c>
      <c r="O174" s="3">
        <f>'Historical Data'!AA171</f>
        <v/>
      </c>
      <c r="P174" s="3">
        <f>'Historical Data'!AB171</f>
        <v/>
      </c>
      <c r="Q174" s="3">
        <f>'Historical Data'!AN171</f>
        <v/>
      </c>
      <c r="R174" s="3">
        <f>'Historical Data'!AC171</f>
        <v/>
      </c>
      <c r="S174" s="3">
        <f>'Historical Data'!AE171</f>
        <v/>
      </c>
      <c r="T174" s="3">
        <f>'Historical Data'!AH171</f>
        <v/>
      </c>
      <c r="U174" s="3">
        <f>'Historical Data'!BA171</f>
        <v/>
      </c>
      <c r="V174" s="3" t="n"/>
      <c r="W174" s="3" t="n"/>
      <c r="X174" s="3" t="n"/>
      <c r="Y174" s="3" t="n"/>
      <c r="Z174" s="3" t="n"/>
    </row>
    <row r="175" hidden="1" ht="15.75" customHeight="1" s="174">
      <c r="A175" s="3">
        <f>'Historical Data'!A172</f>
        <v/>
      </c>
      <c r="B175" s="3">
        <f>'Historical Data'!B172</f>
        <v/>
      </c>
      <c r="C175" s="3">
        <f>'Historical Data'!D172</f>
        <v/>
      </c>
      <c r="D175" s="23">
        <f>'Historical Data'!E172</f>
        <v/>
      </c>
      <c r="E175" s="3">
        <f>'Historical Data'!G172</f>
        <v/>
      </c>
      <c r="F175" s="3">
        <f>'Historical Data'!Y172</f>
        <v/>
      </c>
      <c r="G175" s="3">
        <f>'Historical Data'!K172</f>
        <v/>
      </c>
      <c r="H175" s="3">
        <f>'Historical Data'!L172</f>
        <v/>
      </c>
      <c r="I175" s="26">
        <f>'Historical Data'!M172</f>
        <v/>
      </c>
      <c r="J175" s="28">
        <f>'Historical Data'!N172</f>
        <v/>
      </c>
      <c r="K175" s="28">
        <f>'Historical Data'!Q172</f>
        <v/>
      </c>
      <c r="L175" s="30">
        <f>'Historical Data'!S172</f>
        <v/>
      </c>
      <c r="M175" s="28">
        <f>'Historical Data'!AJ172</f>
        <v/>
      </c>
      <c r="N175" s="28">
        <f>'Historical Data'!AK172</f>
        <v/>
      </c>
      <c r="O175" s="3">
        <f>'Historical Data'!AA172</f>
        <v/>
      </c>
      <c r="P175" s="3">
        <f>'Historical Data'!AB172</f>
        <v/>
      </c>
      <c r="Q175" s="3">
        <f>'Historical Data'!AN172</f>
        <v/>
      </c>
      <c r="R175" s="3">
        <f>'Historical Data'!AC172</f>
        <v/>
      </c>
      <c r="S175" s="3">
        <f>'Historical Data'!AE172</f>
        <v/>
      </c>
      <c r="T175" s="3">
        <f>'Historical Data'!AH172</f>
        <v/>
      </c>
      <c r="U175" s="3">
        <f>'Historical Data'!BA172</f>
        <v/>
      </c>
      <c r="V175" s="3" t="n"/>
      <c r="W175" s="3" t="n"/>
      <c r="X175" s="3" t="n"/>
      <c r="Y175" s="3" t="n"/>
      <c r="Z175" s="3" t="n"/>
    </row>
    <row r="176" hidden="1" ht="15.75" customHeight="1" s="174">
      <c r="A176" s="3">
        <f>'Historical Data'!A173</f>
        <v/>
      </c>
      <c r="B176" s="3">
        <f>'Historical Data'!B173</f>
        <v/>
      </c>
      <c r="C176" s="3">
        <f>'Historical Data'!D173</f>
        <v/>
      </c>
      <c r="D176" s="23">
        <f>'Historical Data'!E173</f>
        <v/>
      </c>
      <c r="E176" s="3">
        <f>'Historical Data'!G173</f>
        <v/>
      </c>
      <c r="F176" s="3">
        <f>'Historical Data'!Y173</f>
        <v/>
      </c>
      <c r="G176" s="3">
        <f>'Historical Data'!K173</f>
        <v/>
      </c>
      <c r="H176" s="3">
        <f>'Historical Data'!L173</f>
        <v/>
      </c>
      <c r="I176" s="26">
        <f>'Historical Data'!M173</f>
        <v/>
      </c>
      <c r="J176" s="28">
        <f>'Historical Data'!N173</f>
        <v/>
      </c>
      <c r="K176" s="28">
        <f>'Historical Data'!Q173</f>
        <v/>
      </c>
      <c r="L176" s="30">
        <f>'Historical Data'!S173</f>
        <v/>
      </c>
      <c r="M176" s="28">
        <f>'Historical Data'!AJ173</f>
        <v/>
      </c>
      <c r="N176" s="28">
        <f>'Historical Data'!AK173</f>
        <v/>
      </c>
      <c r="O176" s="3">
        <f>'Historical Data'!AA173</f>
        <v/>
      </c>
      <c r="P176" s="3">
        <f>'Historical Data'!AB173</f>
        <v/>
      </c>
      <c r="Q176" s="3">
        <f>'Historical Data'!AN173</f>
        <v/>
      </c>
      <c r="R176" s="3">
        <f>'Historical Data'!AC173</f>
        <v/>
      </c>
      <c r="S176" s="3">
        <f>'Historical Data'!AE173</f>
        <v/>
      </c>
      <c r="T176" s="3">
        <f>'Historical Data'!AH173</f>
        <v/>
      </c>
      <c r="U176" s="3">
        <f>'Historical Data'!BA173</f>
        <v/>
      </c>
      <c r="V176" s="3" t="n"/>
      <c r="W176" s="3" t="n"/>
      <c r="X176" s="3" t="n"/>
      <c r="Y176" s="3" t="n"/>
      <c r="Z176" s="3" t="n"/>
    </row>
    <row r="177" hidden="1" ht="15.75" customHeight="1" s="174">
      <c r="A177" s="3">
        <f>'Historical Data'!A174</f>
        <v/>
      </c>
      <c r="B177" s="3">
        <f>'Historical Data'!B174</f>
        <v/>
      </c>
      <c r="C177" s="3">
        <f>'Historical Data'!D174</f>
        <v/>
      </c>
      <c r="D177" s="23">
        <f>'Historical Data'!E174</f>
        <v/>
      </c>
      <c r="E177" s="3">
        <f>'Historical Data'!G174</f>
        <v/>
      </c>
      <c r="F177" s="3">
        <f>'Historical Data'!Y174</f>
        <v/>
      </c>
      <c r="G177" s="3">
        <f>'Historical Data'!K174</f>
        <v/>
      </c>
      <c r="H177" s="3">
        <f>'Historical Data'!L174</f>
        <v/>
      </c>
      <c r="I177" s="26">
        <f>'Historical Data'!M174</f>
        <v/>
      </c>
      <c r="J177" s="28">
        <f>'Historical Data'!N174</f>
        <v/>
      </c>
      <c r="K177" s="28">
        <f>'Historical Data'!Q174</f>
        <v/>
      </c>
      <c r="L177" s="30">
        <f>'Historical Data'!S174</f>
        <v/>
      </c>
      <c r="M177" s="28">
        <f>'Historical Data'!AJ174</f>
        <v/>
      </c>
      <c r="N177" s="28">
        <f>'Historical Data'!AK174</f>
        <v/>
      </c>
      <c r="O177" s="3">
        <f>'Historical Data'!AA174</f>
        <v/>
      </c>
      <c r="P177" s="3">
        <f>'Historical Data'!AB174</f>
        <v/>
      </c>
      <c r="Q177" s="3">
        <f>'Historical Data'!AN174</f>
        <v/>
      </c>
      <c r="R177" s="3">
        <f>'Historical Data'!AC174</f>
        <v/>
      </c>
      <c r="S177" s="3">
        <f>'Historical Data'!AE174</f>
        <v/>
      </c>
      <c r="T177" s="3">
        <f>'Historical Data'!AH174</f>
        <v/>
      </c>
      <c r="U177" s="3">
        <f>'Historical Data'!BA174</f>
        <v/>
      </c>
      <c r="V177" s="3" t="n"/>
      <c r="W177" s="3" t="n"/>
      <c r="X177" s="3" t="n"/>
      <c r="Y177" s="3" t="n"/>
      <c r="Z177" s="3" t="n"/>
    </row>
    <row r="178" hidden="1" ht="15.75" customHeight="1" s="174">
      <c r="A178" s="3">
        <f>'Historical Data'!A175</f>
        <v/>
      </c>
      <c r="B178" s="3">
        <f>'Historical Data'!B175</f>
        <v/>
      </c>
      <c r="C178" s="3">
        <f>'Historical Data'!D175</f>
        <v/>
      </c>
      <c r="D178" s="23">
        <f>'Historical Data'!E175</f>
        <v/>
      </c>
      <c r="E178" s="3">
        <f>'Historical Data'!G175</f>
        <v/>
      </c>
      <c r="F178" s="3">
        <f>'Historical Data'!Y175</f>
        <v/>
      </c>
      <c r="G178" s="3">
        <f>'Historical Data'!K175</f>
        <v/>
      </c>
      <c r="H178" s="3">
        <f>'Historical Data'!L175</f>
        <v/>
      </c>
      <c r="I178" s="26">
        <f>'Historical Data'!M175</f>
        <v/>
      </c>
      <c r="J178" s="28">
        <f>'Historical Data'!N175</f>
        <v/>
      </c>
      <c r="K178" s="28">
        <f>'Historical Data'!Q175</f>
        <v/>
      </c>
      <c r="L178" s="30">
        <f>'Historical Data'!S175</f>
        <v/>
      </c>
      <c r="M178" s="28">
        <f>'Historical Data'!AJ175</f>
        <v/>
      </c>
      <c r="N178" s="28">
        <f>'Historical Data'!AK175</f>
        <v/>
      </c>
      <c r="O178" s="3">
        <f>'Historical Data'!AA175</f>
        <v/>
      </c>
      <c r="P178" s="3">
        <f>'Historical Data'!AB175</f>
        <v/>
      </c>
      <c r="Q178" s="3">
        <f>'Historical Data'!AN175</f>
        <v/>
      </c>
      <c r="R178" s="3">
        <f>'Historical Data'!AC175</f>
        <v/>
      </c>
      <c r="S178" s="3">
        <f>'Historical Data'!AE175</f>
        <v/>
      </c>
      <c r="T178" s="3">
        <f>'Historical Data'!AH175</f>
        <v/>
      </c>
      <c r="U178" s="3">
        <f>'Historical Data'!BA175</f>
        <v/>
      </c>
      <c r="V178" s="3" t="n"/>
      <c r="W178" s="3" t="n"/>
      <c r="X178" s="3" t="n"/>
      <c r="Y178" s="3" t="n"/>
      <c r="Z178" s="3" t="n"/>
    </row>
    <row r="179" hidden="1" ht="15.75" customHeight="1" s="174">
      <c r="A179" s="3">
        <f>'Historical Data'!A176</f>
        <v/>
      </c>
      <c r="B179" s="3">
        <f>'Historical Data'!B176</f>
        <v/>
      </c>
      <c r="C179" s="3">
        <f>'Historical Data'!D176</f>
        <v/>
      </c>
      <c r="D179" s="23">
        <f>'Historical Data'!E176</f>
        <v/>
      </c>
      <c r="E179" s="3">
        <f>'Historical Data'!G176</f>
        <v/>
      </c>
      <c r="F179" s="3">
        <f>'Historical Data'!Y176</f>
        <v/>
      </c>
      <c r="G179" s="3">
        <f>'Historical Data'!K176</f>
        <v/>
      </c>
      <c r="H179" s="3">
        <f>'Historical Data'!L176</f>
        <v/>
      </c>
      <c r="I179" s="26">
        <f>'Historical Data'!M176</f>
        <v/>
      </c>
      <c r="J179" s="28">
        <f>'Historical Data'!N176</f>
        <v/>
      </c>
      <c r="K179" s="28">
        <f>'Historical Data'!Q176</f>
        <v/>
      </c>
      <c r="L179" s="30">
        <f>'Historical Data'!S176</f>
        <v/>
      </c>
      <c r="M179" s="28">
        <f>'Historical Data'!AJ176</f>
        <v/>
      </c>
      <c r="N179" s="28">
        <f>'Historical Data'!AK176</f>
        <v/>
      </c>
      <c r="O179" s="3">
        <f>'Historical Data'!AA176</f>
        <v/>
      </c>
      <c r="P179" s="3">
        <f>'Historical Data'!AB176</f>
        <v/>
      </c>
      <c r="Q179" s="3">
        <f>'Historical Data'!AN176</f>
        <v/>
      </c>
      <c r="R179" s="3">
        <f>'Historical Data'!AC176</f>
        <v/>
      </c>
      <c r="S179" s="3">
        <f>'Historical Data'!AE176</f>
        <v/>
      </c>
      <c r="T179" s="3">
        <f>'Historical Data'!AH176</f>
        <v/>
      </c>
      <c r="U179" s="3">
        <f>'Historical Data'!BA176</f>
        <v/>
      </c>
      <c r="V179" s="3" t="n"/>
      <c r="W179" s="3" t="n"/>
      <c r="X179" s="3" t="n"/>
      <c r="Y179" s="3" t="n"/>
      <c r="Z179" s="3" t="n"/>
    </row>
    <row r="180" hidden="1" ht="15.75" customHeight="1" s="174">
      <c r="A180" s="3">
        <f>'Historical Data'!A177</f>
        <v/>
      </c>
      <c r="B180" s="3">
        <f>'Historical Data'!B177</f>
        <v/>
      </c>
      <c r="C180" s="3">
        <f>'Historical Data'!D177</f>
        <v/>
      </c>
      <c r="D180" s="23">
        <f>'Historical Data'!E177</f>
        <v/>
      </c>
      <c r="E180" s="3">
        <f>'Historical Data'!G177</f>
        <v/>
      </c>
      <c r="F180" s="3">
        <f>'Historical Data'!Y177</f>
        <v/>
      </c>
      <c r="G180" s="3">
        <f>'Historical Data'!K177</f>
        <v/>
      </c>
      <c r="H180" s="3">
        <f>'Historical Data'!L177</f>
        <v/>
      </c>
      <c r="I180" s="26">
        <f>'Historical Data'!M177</f>
        <v/>
      </c>
      <c r="J180" s="28">
        <f>'Historical Data'!N177</f>
        <v/>
      </c>
      <c r="K180" s="28">
        <f>'Historical Data'!Q177</f>
        <v/>
      </c>
      <c r="L180" s="30">
        <f>'Historical Data'!S177</f>
        <v/>
      </c>
      <c r="M180" s="28">
        <f>'Historical Data'!AJ177</f>
        <v/>
      </c>
      <c r="N180" s="28">
        <f>'Historical Data'!AK177</f>
        <v/>
      </c>
      <c r="O180" s="3">
        <f>'Historical Data'!AA177</f>
        <v/>
      </c>
      <c r="P180" s="3">
        <f>'Historical Data'!AB177</f>
        <v/>
      </c>
      <c r="Q180" s="3">
        <f>'Historical Data'!AN177</f>
        <v/>
      </c>
      <c r="R180" s="3">
        <f>'Historical Data'!AC177</f>
        <v/>
      </c>
      <c r="S180" s="3">
        <f>'Historical Data'!AE177</f>
        <v/>
      </c>
      <c r="T180" s="3">
        <f>'Historical Data'!AH177</f>
        <v/>
      </c>
      <c r="U180" s="3">
        <f>'Historical Data'!BA177</f>
        <v/>
      </c>
      <c r="V180" s="3" t="n"/>
      <c r="W180" s="3" t="n"/>
      <c r="X180" s="3" t="n"/>
      <c r="Y180" s="3" t="n"/>
      <c r="Z180" s="3" t="n"/>
    </row>
    <row r="181" hidden="1" ht="15.75" customHeight="1" s="174">
      <c r="A181" s="3">
        <f>'Historical Data'!A178</f>
        <v/>
      </c>
      <c r="B181" s="3">
        <f>'Historical Data'!B178</f>
        <v/>
      </c>
      <c r="C181" s="3">
        <f>'Historical Data'!D178</f>
        <v/>
      </c>
      <c r="D181" s="23">
        <f>'Historical Data'!E178</f>
        <v/>
      </c>
      <c r="E181" s="3">
        <f>'Historical Data'!G178</f>
        <v/>
      </c>
      <c r="F181" s="3">
        <f>'Historical Data'!Y178</f>
        <v/>
      </c>
      <c r="G181" s="3">
        <f>'Historical Data'!K178</f>
        <v/>
      </c>
      <c r="H181" s="3">
        <f>'Historical Data'!L178</f>
        <v/>
      </c>
      <c r="I181" s="26">
        <f>'Historical Data'!M178</f>
        <v/>
      </c>
      <c r="J181" s="28">
        <f>'Historical Data'!N178</f>
        <v/>
      </c>
      <c r="K181" s="28">
        <f>'Historical Data'!Q178</f>
        <v/>
      </c>
      <c r="L181" s="30">
        <f>'Historical Data'!S178</f>
        <v/>
      </c>
      <c r="M181" s="28">
        <f>'Historical Data'!AJ178</f>
        <v/>
      </c>
      <c r="N181" s="28">
        <f>'Historical Data'!AK178</f>
        <v/>
      </c>
      <c r="O181" s="3">
        <f>'Historical Data'!AA178</f>
        <v/>
      </c>
      <c r="P181" s="3">
        <f>'Historical Data'!AB178</f>
        <v/>
      </c>
      <c r="Q181" s="3">
        <f>'Historical Data'!AN178</f>
        <v/>
      </c>
      <c r="R181" s="3">
        <f>'Historical Data'!AC178</f>
        <v/>
      </c>
      <c r="S181" s="3">
        <f>'Historical Data'!AE178</f>
        <v/>
      </c>
      <c r="T181" s="3">
        <f>'Historical Data'!AH178</f>
        <v/>
      </c>
      <c r="U181" s="3">
        <f>'Historical Data'!BA178</f>
        <v/>
      </c>
      <c r="V181" s="3" t="n"/>
      <c r="W181" s="3" t="n"/>
      <c r="X181" s="3" t="n"/>
      <c r="Y181" s="3" t="n"/>
      <c r="Z181" s="3" t="n"/>
    </row>
    <row r="182" hidden="1" ht="15.75" customHeight="1" s="174">
      <c r="A182" s="3">
        <f>'Historical Data'!A179</f>
        <v/>
      </c>
      <c r="B182" s="3">
        <f>'Historical Data'!B179</f>
        <v/>
      </c>
      <c r="C182" s="3">
        <f>'Historical Data'!D179</f>
        <v/>
      </c>
      <c r="D182" s="23">
        <f>'Historical Data'!E179</f>
        <v/>
      </c>
      <c r="E182" s="3">
        <f>'Historical Data'!G179</f>
        <v/>
      </c>
      <c r="F182" s="3">
        <f>'Historical Data'!Y179</f>
        <v/>
      </c>
      <c r="G182" s="3">
        <f>'Historical Data'!K179</f>
        <v/>
      </c>
      <c r="H182" s="3">
        <f>'Historical Data'!L179</f>
        <v/>
      </c>
      <c r="I182" s="26">
        <f>'Historical Data'!M179</f>
        <v/>
      </c>
      <c r="J182" s="28">
        <f>'Historical Data'!N179</f>
        <v/>
      </c>
      <c r="K182" s="28">
        <f>'Historical Data'!Q179</f>
        <v/>
      </c>
      <c r="L182" s="30">
        <f>'Historical Data'!S179</f>
        <v/>
      </c>
      <c r="M182" s="28">
        <f>'Historical Data'!AJ179</f>
        <v/>
      </c>
      <c r="N182" s="28">
        <f>'Historical Data'!AK179</f>
        <v/>
      </c>
      <c r="O182" s="3">
        <f>'Historical Data'!AA179</f>
        <v/>
      </c>
      <c r="P182" s="3">
        <f>'Historical Data'!AB179</f>
        <v/>
      </c>
      <c r="Q182" s="3">
        <f>'Historical Data'!AN179</f>
        <v/>
      </c>
      <c r="R182" s="3">
        <f>'Historical Data'!AC179</f>
        <v/>
      </c>
      <c r="S182" s="3">
        <f>'Historical Data'!AE179</f>
        <v/>
      </c>
      <c r="T182" s="3">
        <f>'Historical Data'!AH179</f>
        <v/>
      </c>
      <c r="U182" s="3">
        <f>'Historical Data'!BA179</f>
        <v/>
      </c>
      <c r="V182" s="3" t="n"/>
      <c r="W182" s="3" t="n"/>
      <c r="X182" s="3" t="n"/>
      <c r="Y182" s="3" t="n"/>
      <c r="Z182" s="3" t="n"/>
    </row>
    <row r="183" hidden="1" ht="15.75" customHeight="1" s="174">
      <c r="A183" s="3">
        <f>'Historical Data'!A180</f>
        <v/>
      </c>
      <c r="B183" s="3">
        <f>'Historical Data'!B180</f>
        <v/>
      </c>
      <c r="C183" s="3">
        <f>'Historical Data'!D180</f>
        <v/>
      </c>
      <c r="D183" s="23">
        <f>'Historical Data'!E180</f>
        <v/>
      </c>
      <c r="E183" s="3">
        <f>'Historical Data'!G180</f>
        <v/>
      </c>
      <c r="F183" s="3">
        <f>'Historical Data'!Y180</f>
        <v/>
      </c>
      <c r="G183" s="3">
        <f>'Historical Data'!K180</f>
        <v/>
      </c>
      <c r="H183" s="3">
        <f>'Historical Data'!L180</f>
        <v/>
      </c>
      <c r="I183" s="26">
        <f>'Historical Data'!M180</f>
        <v/>
      </c>
      <c r="J183" s="28">
        <f>'Historical Data'!N180</f>
        <v/>
      </c>
      <c r="K183" s="28">
        <f>'Historical Data'!Q180</f>
        <v/>
      </c>
      <c r="L183" s="30">
        <f>'Historical Data'!S180</f>
        <v/>
      </c>
      <c r="M183" s="28">
        <f>'Historical Data'!AJ180</f>
        <v/>
      </c>
      <c r="N183" s="28">
        <f>'Historical Data'!AK180</f>
        <v/>
      </c>
      <c r="O183" s="3">
        <f>'Historical Data'!AA180</f>
        <v/>
      </c>
      <c r="P183" s="3">
        <f>'Historical Data'!AB180</f>
        <v/>
      </c>
      <c r="Q183" s="3">
        <f>'Historical Data'!AN180</f>
        <v/>
      </c>
      <c r="R183" s="3">
        <f>'Historical Data'!AC180</f>
        <v/>
      </c>
      <c r="S183" s="3">
        <f>'Historical Data'!AE180</f>
        <v/>
      </c>
      <c r="T183" s="3">
        <f>'Historical Data'!AH180</f>
        <v/>
      </c>
      <c r="U183" s="3">
        <f>'Historical Data'!BA180</f>
        <v/>
      </c>
      <c r="V183" s="3" t="n"/>
      <c r="W183" s="3" t="n"/>
      <c r="X183" s="3" t="n"/>
      <c r="Y183" s="3" t="n"/>
      <c r="Z183" s="3" t="n"/>
    </row>
    <row r="184" hidden="1" ht="15.75" customHeight="1" s="174">
      <c r="A184" s="3">
        <f>'Historical Data'!A181</f>
        <v/>
      </c>
      <c r="B184" s="3">
        <f>'Historical Data'!B181</f>
        <v/>
      </c>
      <c r="C184" s="3">
        <f>'Historical Data'!D181</f>
        <v/>
      </c>
      <c r="D184" s="23">
        <f>'Historical Data'!E181</f>
        <v/>
      </c>
      <c r="E184" s="3">
        <f>'Historical Data'!G181</f>
        <v/>
      </c>
      <c r="F184" s="3">
        <f>'Historical Data'!Y181</f>
        <v/>
      </c>
      <c r="G184" s="3">
        <f>'Historical Data'!K181</f>
        <v/>
      </c>
      <c r="H184" s="3">
        <f>'Historical Data'!L181</f>
        <v/>
      </c>
      <c r="I184" s="26">
        <f>'Historical Data'!M181</f>
        <v/>
      </c>
      <c r="J184" s="28">
        <f>'Historical Data'!N181</f>
        <v/>
      </c>
      <c r="K184" s="28">
        <f>'Historical Data'!Q181</f>
        <v/>
      </c>
      <c r="L184" s="30">
        <f>'Historical Data'!S181</f>
        <v/>
      </c>
      <c r="M184" s="28">
        <f>'Historical Data'!AJ181</f>
        <v/>
      </c>
      <c r="N184" s="28">
        <f>'Historical Data'!AK181</f>
        <v/>
      </c>
      <c r="O184" s="3">
        <f>'Historical Data'!AA181</f>
        <v/>
      </c>
      <c r="P184" s="3">
        <f>'Historical Data'!AB181</f>
        <v/>
      </c>
      <c r="Q184" s="3">
        <f>'Historical Data'!AN181</f>
        <v/>
      </c>
      <c r="R184" s="3">
        <f>'Historical Data'!AC181</f>
        <v/>
      </c>
      <c r="S184" s="3">
        <f>'Historical Data'!AE181</f>
        <v/>
      </c>
      <c r="T184" s="3">
        <f>'Historical Data'!AH181</f>
        <v/>
      </c>
      <c r="U184" s="3">
        <f>'Historical Data'!BA181</f>
        <v/>
      </c>
      <c r="V184" s="3" t="n"/>
      <c r="W184" s="3" t="n"/>
      <c r="X184" s="3" t="n"/>
      <c r="Y184" s="3" t="n"/>
      <c r="Z184" s="3" t="n"/>
    </row>
    <row r="185" hidden="1" ht="15.75" customHeight="1" s="174">
      <c r="A185" s="3">
        <f>'Historical Data'!A182</f>
        <v/>
      </c>
      <c r="B185" s="3">
        <f>'Historical Data'!B182</f>
        <v/>
      </c>
      <c r="C185" s="3">
        <f>'Historical Data'!D182</f>
        <v/>
      </c>
      <c r="D185" s="23">
        <f>'Historical Data'!E182</f>
        <v/>
      </c>
      <c r="E185" s="3">
        <f>'Historical Data'!G182</f>
        <v/>
      </c>
      <c r="F185" s="3">
        <f>'Historical Data'!Y182</f>
        <v/>
      </c>
      <c r="G185" s="3">
        <f>'Historical Data'!K182</f>
        <v/>
      </c>
      <c r="H185" s="3">
        <f>'Historical Data'!L182</f>
        <v/>
      </c>
      <c r="I185" s="26">
        <f>'Historical Data'!M182</f>
        <v/>
      </c>
      <c r="J185" s="28">
        <f>'Historical Data'!N182</f>
        <v/>
      </c>
      <c r="K185" s="28">
        <f>'Historical Data'!Q182</f>
        <v/>
      </c>
      <c r="L185" s="30">
        <f>'Historical Data'!S182</f>
        <v/>
      </c>
      <c r="M185" s="28">
        <f>'Historical Data'!AJ182</f>
        <v/>
      </c>
      <c r="N185" s="28">
        <f>'Historical Data'!AK182</f>
        <v/>
      </c>
      <c r="O185" s="3">
        <f>'Historical Data'!AA182</f>
        <v/>
      </c>
      <c r="P185" s="3">
        <f>'Historical Data'!AB182</f>
        <v/>
      </c>
      <c r="Q185" s="3">
        <f>'Historical Data'!AN182</f>
        <v/>
      </c>
      <c r="R185" s="3">
        <f>'Historical Data'!AC182</f>
        <v/>
      </c>
      <c r="S185" s="3">
        <f>'Historical Data'!AE182</f>
        <v/>
      </c>
      <c r="T185" s="3">
        <f>'Historical Data'!AH182</f>
        <v/>
      </c>
      <c r="U185" s="3">
        <f>'Historical Data'!BA182</f>
        <v/>
      </c>
      <c r="V185" s="3" t="n"/>
      <c r="W185" s="3" t="n"/>
      <c r="X185" s="3" t="n"/>
      <c r="Y185" s="3" t="n"/>
      <c r="Z185" s="3" t="n"/>
    </row>
    <row r="186" hidden="1" ht="15.75" customHeight="1" s="174">
      <c r="A186" s="3">
        <f>'Historical Data'!A183</f>
        <v/>
      </c>
      <c r="B186" s="3">
        <f>'Historical Data'!B183</f>
        <v/>
      </c>
      <c r="C186" s="3">
        <f>'Historical Data'!D183</f>
        <v/>
      </c>
      <c r="D186" s="23">
        <f>'Historical Data'!E183</f>
        <v/>
      </c>
      <c r="E186" s="3">
        <f>'Historical Data'!G183</f>
        <v/>
      </c>
      <c r="F186" s="3">
        <f>'Historical Data'!Y183</f>
        <v/>
      </c>
      <c r="G186" s="3">
        <f>'Historical Data'!K183</f>
        <v/>
      </c>
      <c r="H186" s="3">
        <f>'Historical Data'!L183</f>
        <v/>
      </c>
      <c r="I186" s="26">
        <f>'Historical Data'!M183</f>
        <v/>
      </c>
      <c r="J186" s="28">
        <f>'Historical Data'!N183</f>
        <v/>
      </c>
      <c r="K186" s="28">
        <f>'Historical Data'!Q183</f>
        <v/>
      </c>
      <c r="L186" s="30">
        <f>'Historical Data'!S183</f>
        <v/>
      </c>
      <c r="M186" s="28">
        <f>'Historical Data'!AJ183</f>
        <v/>
      </c>
      <c r="N186" s="28">
        <f>'Historical Data'!AK183</f>
        <v/>
      </c>
      <c r="O186" s="3">
        <f>'Historical Data'!AA183</f>
        <v/>
      </c>
      <c r="P186" s="3">
        <f>'Historical Data'!AB183</f>
        <v/>
      </c>
      <c r="Q186" s="3">
        <f>'Historical Data'!AN183</f>
        <v/>
      </c>
      <c r="R186" s="3">
        <f>'Historical Data'!AC183</f>
        <v/>
      </c>
      <c r="S186" s="3">
        <f>'Historical Data'!AE183</f>
        <v/>
      </c>
      <c r="T186" s="3">
        <f>'Historical Data'!AH183</f>
        <v/>
      </c>
      <c r="U186" s="3">
        <f>'Historical Data'!BA183</f>
        <v/>
      </c>
      <c r="V186" s="3" t="n"/>
      <c r="W186" s="3" t="n"/>
      <c r="X186" s="3" t="n"/>
      <c r="Y186" s="3" t="n"/>
      <c r="Z186" s="3" t="n"/>
    </row>
    <row r="187" hidden="1" ht="15.75" customHeight="1" s="174">
      <c r="A187" s="3">
        <f>'Historical Data'!A184</f>
        <v/>
      </c>
      <c r="B187" s="3">
        <f>'Historical Data'!B184</f>
        <v/>
      </c>
      <c r="C187" s="3">
        <f>'Historical Data'!D184</f>
        <v/>
      </c>
      <c r="D187" s="23">
        <f>'Historical Data'!E184</f>
        <v/>
      </c>
      <c r="E187" s="3">
        <f>'Historical Data'!G184</f>
        <v/>
      </c>
      <c r="F187" s="3">
        <f>'Historical Data'!Y184</f>
        <v/>
      </c>
      <c r="G187" s="3">
        <f>'Historical Data'!K184</f>
        <v/>
      </c>
      <c r="H187" s="3">
        <f>'Historical Data'!L184</f>
        <v/>
      </c>
      <c r="I187" s="26">
        <f>'Historical Data'!M184</f>
        <v/>
      </c>
      <c r="J187" s="28">
        <f>'Historical Data'!N184</f>
        <v/>
      </c>
      <c r="K187" s="28">
        <f>'Historical Data'!Q184</f>
        <v/>
      </c>
      <c r="L187" s="30">
        <f>'Historical Data'!S184</f>
        <v/>
      </c>
      <c r="M187" s="28">
        <f>'Historical Data'!AJ184</f>
        <v/>
      </c>
      <c r="N187" s="28">
        <f>'Historical Data'!AK184</f>
        <v/>
      </c>
      <c r="O187" s="3">
        <f>'Historical Data'!AA184</f>
        <v/>
      </c>
      <c r="P187" s="3">
        <f>'Historical Data'!AB184</f>
        <v/>
      </c>
      <c r="Q187" s="3">
        <f>'Historical Data'!AN184</f>
        <v/>
      </c>
      <c r="R187" s="3">
        <f>'Historical Data'!AC184</f>
        <v/>
      </c>
      <c r="S187" s="3">
        <f>'Historical Data'!AE184</f>
        <v/>
      </c>
      <c r="T187" s="3">
        <f>'Historical Data'!AH184</f>
        <v/>
      </c>
      <c r="U187" s="3">
        <f>'Historical Data'!BA184</f>
        <v/>
      </c>
      <c r="V187" s="3" t="n"/>
      <c r="W187" s="3" t="n"/>
      <c r="X187" s="3" t="n"/>
      <c r="Y187" s="3" t="n"/>
      <c r="Z187" s="3" t="n"/>
    </row>
    <row r="188" hidden="1" ht="15.75" customHeight="1" s="174">
      <c r="A188" s="3">
        <f>'Historical Data'!A185</f>
        <v/>
      </c>
      <c r="B188" s="3">
        <f>'Historical Data'!B185</f>
        <v/>
      </c>
      <c r="C188" s="3">
        <f>'Historical Data'!D185</f>
        <v/>
      </c>
      <c r="D188" s="23">
        <f>'Historical Data'!E185</f>
        <v/>
      </c>
      <c r="E188" s="3">
        <f>'Historical Data'!G185</f>
        <v/>
      </c>
      <c r="F188" s="3">
        <f>'Historical Data'!Y185</f>
        <v/>
      </c>
      <c r="G188" s="3">
        <f>'Historical Data'!K185</f>
        <v/>
      </c>
      <c r="H188" s="3">
        <f>'Historical Data'!L185</f>
        <v/>
      </c>
      <c r="I188" s="26">
        <f>'Historical Data'!M185</f>
        <v/>
      </c>
      <c r="J188" s="28">
        <f>'Historical Data'!N185</f>
        <v/>
      </c>
      <c r="K188" s="28">
        <f>'Historical Data'!Q185</f>
        <v/>
      </c>
      <c r="L188" s="30">
        <f>'Historical Data'!S185</f>
        <v/>
      </c>
      <c r="M188" s="28">
        <f>'Historical Data'!AJ185</f>
        <v/>
      </c>
      <c r="N188" s="28">
        <f>'Historical Data'!AK185</f>
        <v/>
      </c>
      <c r="O188" s="3">
        <f>'Historical Data'!AA185</f>
        <v/>
      </c>
      <c r="P188" s="3">
        <f>'Historical Data'!AB185</f>
        <v/>
      </c>
      <c r="Q188" s="3">
        <f>'Historical Data'!AN185</f>
        <v/>
      </c>
      <c r="R188" s="3">
        <f>'Historical Data'!AC185</f>
        <v/>
      </c>
      <c r="S188" s="3">
        <f>'Historical Data'!AE185</f>
        <v/>
      </c>
      <c r="T188" s="3">
        <f>'Historical Data'!AH185</f>
        <v/>
      </c>
      <c r="U188" s="3">
        <f>'Historical Data'!BA185</f>
        <v/>
      </c>
      <c r="V188" s="3" t="n"/>
      <c r="W188" s="3" t="n"/>
      <c r="X188" s="3" t="n"/>
      <c r="Y188" s="3" t="n"/>
      <c r="Z188" s="3" t="n"/>
    </row>
    <row r="189" hidden="1" ht="15.75" customHeight="1" s="174">
      <c r="A189" s="3">
        <f>'Historical Data'!A186</f>
        <v/>
      </c>
      <c r="B189" s="3">
        <f>'Historical Data'!B186</f>
        <v/>
      </c>
      <c r="C189" s="3">
        <f>'Historical Data'!D186</f>
        <v/>
      </c>
      <c r="D189" s="23">
        <f>'Historical Data'!E186</f>
        <v/>
      </c>
      <c r="E189" s="3">
        <f>'Historical Data'!G186</f>
        <v/>
      </c>
      <c r="F189" s="3">
        <f>'Historical Data'!Y186</f>
        <v/>
      </c>
      <c r="G189" s="3">
        <f>'Historical Data'!K186</f>
        <v/>
      </c>
      <c r="H189" s="3">
        <f>'Historical Data'!L186</f>
        <v/>
      </c>
      <c r="I189" s="26">
        <f>'Historical Data'!M186</f>
        <v/>
      </c>
      <c r="J189" s="28">
        <f>'Historical Data'!N186</f>
        <v/>
      </c>
      <c r="K189" s="28">
        <f>'Historical Data'!Q186</f>
        <v/>
      </c>
      <c r="L189" s="30">
        <f>'Historical Data'!S186</f>
        <v/>
      </c>
      <c r="M189" s="28">
        <f>'Historical Data'!AJ186</f>
        <v/>
      </c>
      <c r="N189" s="28">
        <f>'Historical Data'!AK186</f>
        <v/>
      </c>
      <c r="O189" s="3">
        <f>'Historical Data'!AA186</f>
        <v/>
      </c>
      <c r="P189" s="3">
        <f>'Historical Data'!AB186</f>
        <v/>
      </c>
      <c r="Q189" s="3">
        <f>'Historical Data'!AN186</f>
        <v/>
      </c>
      <c r="R189" s="3">
        <f>'Historical Data'!AC186</f>
        <v/>
      </c>
      <c r="S189" s="3">
        <f>'Historical Data'!AE186</f>
        <v/>
      </c>
      <c r="T189" s="3">
        <f>'Historical Data'!AH186</f>
        <v/>
      </c>
      <c r="U189" s="3">
        <f>'Historical Data'!BA186</f>
        <v/>
      </c>
      <c r="V189" s="3" t="n"/>
      <c r="W189" s="3" t="n"/>
      <c r="X189" s="3" t="n"/>
      <c r="Y189" s="3" t="n"/>
      <c r="Z189" s="3" t="n"/>
    </row>
    <row r="190" hidden="1" ht="15.75" customHeight="1" s="174">
      <c r="A190" s="3">
        <f>'Historical Data'!A187</f>
        <v/>
      </c>
      <c r="B190" s="3">
        <f>'Historical Data'!B187</f>
        <v/>
      </c>
      <c r="C190" s="3">
        <f>'Historical Data'!D187</f>
        <v/>
      </c>
      <c r="D190" s="23">
        <f>'Historical Data'!E187</f>
        <v/>
      </c>
      <c r="E190" s="3">
        <f>'Historical Data'!G187</f>
        <v/>
      </c>
      <c r="F190" s="3">
        <f>'Historical Data'!Y187</f>
        <v/>
      </c>
      <c r="G190" s="3">
        <f>'Historical Data'!K187</f>
        <v/>
      </c>
      <c r="H190" s="3">
        <f>'Historical Data'!L187</f>
        <v/>
      </c>
      <c r="I190" s="26">
        <f>'Historical Data'!M187</f>
        <v/>
      </c>
      <c r="J190" s="28">
        <f>'Historical Data'!N187</f>
        <v/>
      </c>
      <c r="K190" s="28">
        <f>'Historical Data'!Q187</f>
        <v/>
      </c>
      <c r="L190" s="30">
        <f>'Historical Data'!S187</f>
        <v/>
      </c>
      <c r="M190" s="28">
        <f>'Historical Data'!AJ187</f>
        <v/>
      </c>
      <c r="N190" s="28">
        <f>'Historical Data'!AK187</f>
        <v/>
      </c>
      <c r="O190" s="3">
        <f>'Historical Data'!AA187</f>
        <v/>
      </c>
      <c r="P190" s="3">
        <f>'Historical Data'!AB187</f>
        <v/>
      </c>
      <c r="Q190" s="3">
        <f>'Historical Data'!AN187</f>
        <v/>
      </c>
      <c r="R190" s="3">
        <f>'Historical Data'!AC187</f>
        <v/>
      </c>
      <c r="S190" s="3">
        <f>'Historical Data'!AE187</f>
        <v/>
      </c>
      <c r="T190" s="3">
        <f>'Historical Data'!AH187</f>
        <v/>
      </c>
      <c r="U190" s="3">
        <f>'Historical Data'!BA187</f>
        <v/>
      </c>
      <c r="V190" s="3" t="n"/>
      <c r="W190" s="3" t="n"/>
      <c r="X190" s="3" t="n"/>
      <c r="Y190" s="3" t="n"/>
      <c r="Z190" s="3" t="n"/>
    </row>
    <row r="191" hidden="1" ht="15.75" customHeight="1" s="174">
      <c r="A191" s="3">
        <f>'Historical Data'!A188</f>
        <v/>
      </c>
      <c r="B191" s="3">
        <f>'Historical Data'!B188</f>
        <v/>
      </c>
      <c r="C191" s="3">
        <f>'Historical Data'!D188</f>
        <v/>
      </c>
      <c r="D191" s="23">
        <f>'Historical Data'!E188</f>
        <v/>
      </c>
      <c r="E191" s="3">
        <f>'Historical Data'!G188</f>
        <v/>
      </c>
      <c r="F191" s="3">
        <f>'Historical Data'!Y188</f>
        <v/>
      </c>
      <c r="G191" s="3">
        <f>'Historical Data'!K188</f>
        <v/>
      </c>
      <c r="H191" s="3">
        <f>'Historical Data'!L188</f>
        <v/>
      </c>
      <c r="I191" s="26">
        <f>'Historical Data'!M188</f>
        <v/>
      </c>
      <c r="J191" s="28">
        <f>'Historical Data'!N188</f>
        <v/>
      </c>
      <c r="K191" s="28">
        <f>'Historical Data'!Q188</f>
        <v/>
      </c>
      <c r="L191" s="30">
        <f>'Historical Data'!S188</f>
        <v/>
      </c>
      <c r="M191" s="28">
        <f>'Historical Data'!AJ188</f>
        <v/>
      </c>
      <c r="N191" s="28">
        <f>'Historical Data'!AK188</f>
        <v/>
      </c>
      <c r="O191" s="3">
        <f>'Historical Data'!AA188</f>
        <v/>
      </c>
      <c r="P191" s="3">
        <f>'Historical Data'!AB188</f>
        <v/>
      </c>
      <c r="Q191" s="3">
        <f>'Historical Data'!AN188</f>
        <v/>
      </c>
      <c r="R191" s="3">
        <f>'Historical Data'!AC188</f>
        <v/>
      </c>
      <c r="S191" s="3">
        <f>'Historical Data'!AE188</f>
        <v/>
      </c>
      <c r="T191" s="3">
        <f>'Historical Data'!AH188</f>
        <v/>
      </c>
      <c r="U191" s="3">
        <f>'Historical Data'!BA188</f>
        <v/>
      </c>
      <c r="V191" s="3" t="n"/>
      <c r="W191" s="3" t="n"/>
      <c r="X191" s="3" t="n"/>
      <c r="Y191" s="3" t="n"/>
      <c r="Z191" s="3" t="n"/>
    </row>
    <row r="192" hidden="1" ht="15.75" customHeight="1" s="174">
      <c r="A192" s="3">
        <f>'Historical Data'!A189</f>
        <v/>
      </c>
      <c r="B192" s="3">
        <f>'Historical Data'!B189</f>
        <v/>
      </c>
      <c r="C192" s="3">
        <f>'Historical Data'!D189</f>
        <v/>
      </c>
      <c r="D192" s="23">
        <f>'Historical Data'!E189</f>
        <v/>
      </c>
      <c r="E192" s="3">
        <f>'Historical Data'!G189</f>
        <v/>
      </c>
      <c r="F192" s="3">
        <f>'Historical Data'!Y189</f>
        <v/>
      </c>
      <c r="G192" s="3">
        <f>'Historical Data'!K189</f>
        <v/>
      </c>
      <c r="H192" s="3">
        <f>'Historical Data'!L189</f>
        <v/>
      </c>
      <c r="I192" s="26">
        <f>'Historical Data'!M189</f>
        <v/>
      </c>
      <c r="J192" s="28">
        <f>'Historical Data'!N189</f>
        <v/>
      </c>
      <c r="K192" s="28">
        <f>'Historical Data'!Q189</f>
        <v/>
      </c>
      <c r="L192" s="30">
        <f>'Historical Data'!S189</f>
        <v/>
      </c>
      <c r="M192" s="28">
        <f>'Historical Data'!AJ189</f>
        <v/>
      </c>
      <c r="N192" s="28">
        <f>'Historical Data'!AK189</f>
        <v/>
      </c>
      <c r="O192" s="3">
        <f>'Historical Data'!AA189</f>
        <v/>
      </c>
      <c r="P192" s="3">
        <f>'Historical Data'!AB189</f>
        <v/>
      </c>
      <c r="Q192" s="3">
        <f>'Historical Data'!AN189</f>
        <v/>
      </c>
      <c r="R192" s="3">
        <f>'Historical Data'!AC189</f>
        <v/>
      </c>
      <c r="S192" s="3">
        <f>'Historical Data'!AE189</f>
        <v/>
      </c>
      <c r="T192" s="3">
        <f>'Historical Data'!AH189</f>
        <v/>
      </c>
      <c r="U192" s="3">
        <f>'Historical Data'!BA189</f>
        <v/>
      </c>
      <c r="V192" s="3" t="n"/>
      <c r="W192" s="3" t="n"/>
      <c r="X192" s="3" t="n"/>
      <c r="Y192" s="3" t="n"/>
      <c r="Z192" s="3" t="n"/>
    </row>
    <row r="193" hidden="1" ht="15.75" customHeight="1" s="174">
      <c r="A193" s="3">
        <f>'Historical Data'!A190</f>
        <v/>
      </c>
      <c r="B193" s="3">
        <f>'Historical Data'!B190</f>
        <v/>
      </c>
      <c r="C193" s="3">
        <f>'Historical Data'!D190</f>
        <v/>
      </c>
      <c r="D193" s="23">
        <f>'Historical Data'!E190</f>
        <v/>
      </c>
      <c r="E193" s="3">
        <f>'Historical Data'!G190</f>
        <v/>
      </c>
      <c r="F193" s="3">
        <f>'Historical Data'!Y190</f>
        <v/>
      </c>
      <c r="G193" s="3">
        <f>'Historical Data'!K190</f>
        <v/>
      </c>
      <c r="H193" s="3">
        <f>'Historical Data'!L190</f>
        <v/>
      </c>
      <c r="I193" s="26">
        <f>'Historical Data'!M190</f>
        <v/>
      </c>
      <c r="J193" s="28">
        <f>'Historical Data'!N190</f>
        <v/>
      </c>
      <c r="K193" s="28">
        <f>'Historical Data'!Q190</f>
        <v/>
      </c>
      <c r="L193" s="30">
        <f>'Historical Data'!S190</f>
        <v/>
      </c>
      <c r="M193" s="28">
        <f>'Historical Data'!AJ190</f>
        <v/>
      </c>
      <c r="N193" s="28">
        <f>'Historical Data'!AK190</f>
        <v/>
      </c>
      <c r="O193" s="3">
        <f>'Historical Data'!AA190</f>
        <v/>
      </c>
      <c r="P193" s="3">
        <f>'Historical Data'!AB190</f>
        <v/>
      </c>
      <c r="Q193" s="3">
        <f>'Historical Data'!AN190</f>
        <v/>
      </c>
      <c r="R193" s="3">
        <f>'Historical Data'!AC190</f>
        <v/>
      </c>
      <c r="S193" s="3">
        <f>'Historical Data'!AE190</f>
        <v/>
      </c>
      <c r="T193" s="3">
        <f>'Historical Data'!AH190</f>
        <v/>
      </c>
      <c r="U193" s="3">
        <f>'Historical Data'!BA190</f>
        <v/>
      </c>
      <c r="V193" s="3" t="n"/>
      <c r="W193" s="3" t="n"/>
      <c r="X193" s="3" t="n"/>
      <c r="Y193" s="3" t="n"/>
      <c r="Z193" s="3" t="n"/>
    </row>
    <row r="194" hidden="1" ht="15.75" customHeight="1" s="174">
      <c r="A194" s="3">
        <f>'Historical Data'!A191</f>
        <v/>
      </c>
      <c r="B194" s="3">
        <f>'Historical Data'!B191</f>
        <v/>
      </c>
      <c r="C194" s="3">
        <f>'Historical Data'!D191</f>
        <v/>
      </c>
      <c r="D194" s="23">
        <f>'Historical Data'!E191</f>
        <v/>
      </c>
      <c r="E194" s="3">
        <f>'Historical Data'!G191</f>
        <v/>
      </c>
      <c r="F194" s="3">
        <f>'Historical Data'!Y191</f>
        <v/>
      </c>
      <c r="G194" s="3">
        <f>'Historical Data'!K191</f>
        <v/>
      </c>
      <c r="H194" s="3">
        <f>'Historical Data'!L191</f>
        <v/>
      </c>
      <c r="I194" s="26">
        <f>'Historical Data'!M191</f>
        <v/>
      </c>
      <c r="J194" s="28">
        <f>'Historical Data'!N191</f>
        <v/>
      </c>
      <c r="K194" s="28">
        <f>'Historical Data'!Q191</f>
        <v/>
      </c>
      <c r="L194" s="30">
        <f>'Historical Data'!S191</f>
        <v/>
      </c>
      <c r="M194" s="28">
        <f>'Historical Data'!AJ191</f>
        <v/>
      </c>
      <c r="N194" s="28">
        <f>'Historical Data'!AK191</f>
        <v/>
      </c>
      <c r="O194" s="3">
        <f>'Historical Data'!AA191</f>
        <v/>
      </c>
      <c r="P194" s="3">
        <f>'Historical Data'!AB191</f>
        <v/>
      </c>
      <c r="Q194" s="3">
        <f>'Historical Data'!AN191</f>
        <v/>
      </c>
      <c r="R194" s="3">
        <f>'Historical Data'!AC191</f>
        <v/>
      </c>
      <c r="S194" s="3">
        <f>'Historical Data'!AE191</f>
        <v/>
      </c>
      <c r="T194" s="3">
        <f>'Historical Data'!AH191</f>
        <v/>
      </c>
      <c r="U194" s="3">
        <f>'Historical Data'!BA191</f>
        <v/>
      </c>
      <c r="V194" s="3" t="n"/>
      <c r="W194" s="3" t="n"/>
      <c r="X194" s="3" t="n"/>
      <c r="Y194" s="3" t="n"/>
      <c r="Z194" s="3" t="n"/>
    </row>
    <row r="195" hidden="1" ht="15.75" customHeight="1" s="174">
      <c r="A195" s="3">
        <f>'Historical Data'!A192</f>
        <v/>
      </c>
      <c r="B195" s="3">
        <f>'Historical Data'!B192</f>
        <v/>
      </c>
      <c r="C195" s="3">
        <f>'Historical Data'!D192</f>
        <v/>
      </c>
      <c r="D195" s="23">
        <f>'Historical Data'!E192</f>
        <v/>
      </c>
      <c r="E195" s="3">
        <f>'Historical Data'!G192</f>
        <v/>
      </c>
      <c r="F195" s="3">
        <f>'Historical Data'!Y192</f>
        <v/>
      </c>
      <c r="G195" s="3">
        <f>'Historical Data'!K192</f>
        <v/>
      </c>
      <c r="H195" s="3">
        <f>'Historical Data'!L192</f>
        <v/>
      </c>
      <c r="I195" s="26">
        <f>'Historical Data'!M192</f>
        <v/>
      </c>
      <c r="J195" s="28">
        <f>'Historical Data'!N192</f>
        <v/>
      </c>
      <c r="K195" s="28">
        <f>'Historical Data'!Q192</f>
        <v/>
      </c>
      <c r="L195" s="30">
        <f>'Historical Data'!S192</f>
        <v/>
      </c>
      <c r="M195" s="28">
        <f>'Historical Data'!AJ192</f>
        <v/>
      </c>
      <c r="N195" s="28">
        <f>'Historical Data'!AK192</f>
        <v/>
      </c>
      <c r="O195" s="3">
        <f>'Historical Data'!AA192</f>
        <v/>
      </c>
      <c r="P195" s="3">
        <f>'Historical Data'!AB192</f>
        <v/>
      </c>
      <c r="Q195" s="3">
        <f>'Historical Data'!AN192</f>
        <v/>
      </c>
      <c r="R195" s="3">
        <f>'Historical Data'!AC192</f>
        <v/>
      </c>
      <c r="S195" s="3">
        <f>'Historical Data'!AE192</f>
        <v/>
      </c>
      <c r="T195" s="3">
        <f>'Historical Data'!AH192</f>
        <v/>
      </c>
      <c r="U195" s="3">
        <f>'Historical Data'!BA192</f>
        <v/>
      </c>
      <c r="V195" s="3" t="n"/>
      <c r="W195" s="3" t="n"/>
      <c r="X195" s="3" t="n"/>
      <c r="Y195" s="3" t="n"/>
      <c r="Z195" s="3" t="n"/>
    </row>
    <row r="196" hidden="1" ht="15.75" customHeight="1" s="174">
      <c r="A196" s="3">
        <f>'Historical Data'!A193</f>
        <v/>
      </c>
      <c r="B196" s="3">
        <f>'Historical Data'!B193</f>
        <v/>
      </c>
      <c r="C196" s="3">
        <f>'Historical Data'!D193</f>
        <v/>
      </c>
      <c r="D196" s="23">
        <f>'Historical Data'!E193</f>
        <v/>
      </c>
      <c r="E196" s="3">
        <f>'Historical Data'!G193</f>
        <v/>
      </c>
      <c r="F196" s="3">
        <f>'Historical Data'!Y193</f>
        <v/>
      </c>
      <c r="G196" s="3">
        <f>'Historical Data'!K193</f>
        <v/>
      </c>
      <c r="H196" s="3">
        <f>'Historical Data'!L193</f>
        <v/>
      </c>
      <c r="I196" s="26">
        <f>'Historical Data'!M193</f>
        <v/>
      </c>
      <c r="J196" s="28">
        <f>'Historical Data'!N193</f>
        <v/>
      </c>
      <c r="K196" s="28">
        <f>'Historical Data'!Q193</f>
        <v/>
      </c>
      <c r="L196" s="30">
        <f>'Historical Data'!S193</f>
        <v/>
      </c>
      <c r="M196" s="28">
        <f>'Historical Data'!AJ193</f>
        <v/>
      </c>
      <c r="N196" s="28">
        <f>'Historical Data'!AK193</f>
        <v/>
      </c>
      <c r="O196" s="3">
        <f>'Historical Data'!AA193</f>
        <v/>
      </c>
      <c r="P196" s="3">
        <f>'Historical Data'!AB193</f>
        <v/>
      </c>
      <c r="Q196" s="3">
        <f>'Historical Data'!AN193</f>
        <v/>
      </c>
      <c r="R196" s="3">
        <f>'Historical Data'!AC193</f>
        <v/>
      </c>
      <c r="S196" s="3">
        <f>'Historical Data'!AE193</f>
        <v/>
      </c>
      <c r="T196" s="3">
        <f>'Historical Data'!AH193</f>
        <v/>
      </c>
      <c r="U196" s="3">
        <f>'Historical Data'!BA193</f>
        <v/>
      </c>
      <c r="V196" s="3" t="n"/>
      <c r="W196" s="3" t="n"/>
      <c r="X196" s="3" t="n"/>
      <c r="Y196" s="3" t="n"/>
      <c r="Z196" s="3" t="n"/>
    </row>
    <row r="197" hidden="1" ht="15.75" customHeight="1" s="174">
      <c r="A197" s="3">
        <f>'Historical Data'!A194</f>
        <v/>
      </c>
      <c r="B197" s="3">
        <f>'Historical Data'!B194</f>
        <v/>
      </c>
      <c r="C197" s="3">
        <f>'Historical Data'!D194</f>
        <v/>
      </c>
      <c r="D197" s="23">
        <f>'Historical Data'!E194</f>
        <v/>
      </c>
      <c r="E197" s="3">
        <f>'Historical Data'!G194</f>
        <v/>
      </c>
      <c r="F197" s="3">
        <f>'Historical Data'!Y194</f>
        <v/>
      </c>
      <c r="G197" s="3">
        <f>'Historical Data'!K194</f>
        <v/>
      </c>
      <c r="H197" s="3">
        <f>'Historical Data'!L194</f>
        <v/>
      </c>
      <c r="I197" s="26">
        <f>'Historical Data'!M194</f>
        <v/>
      </c>
      <c r="J197" s="28">
        <f>'Historical Data'!N194</f>
        <v/>
      </c>
      <c r="K197" s="28">
        <f>'Historical Data'!Q194</f>
        <v/>
      </c>
      <c r="L197" s="30">
        <f>'Historical Data'!S194</f>
        <v/>
      </c>
      <c r="M197" s="28">
        <f>'Historical Data'!AJ194</f>
        <v/>
      </c>
      <c r="N197" s="28">
        <f>'Historical Data'!AK194</f>
        <v/>
      </c>
      <c r="O197" s="3">
        <f>'Historical Data'!AA194</f>
        <v/>
      </c>
      <c r="P197" s="3">
        <f>'Historical Data'!AB194</f>
        <v/>
      </c>
      <c r="Q197" s="3">
        <f>'Historical Data'!AN194</f>
        <v/>
      </c>
      <c r="R197" s="3">
        <f>'Historical Data'!AC194</f>
        <v/>
      </c>
      <c r="S197" s="3">
        <f>'Historical Data'!AE194</f>
        <v/>
      </c>
      <c r="T197" s="3">
        <f>'Historical Data'!AH194</f>
        <v/>
      </c>
      <c r="U197" s="3">
        <f>'Historical Data'!BA194</f>
        <v/>
      </c>
      <c r="V197" s="3" t="n"/>
      <c r="W197" s="3" t="n"/>
      <c r="X197" s="3" t="n"/>
      <c r="Y197" s="3" t="n"/>
      <c r="Z197" s="3" t="n"/>
    </row>
    <row r="198" hidden="1" ht="15.75" customHeight="1" s="174">
      <c r="A198" s="3">
        <f>'Historical Data'!A195</f>
        <v/>
      </c>
      <c r="B198" s="3">
        <f>'Historical Data'!B195</f>
        <v/>
      </c>
      <c r="C198" s="3">
        <f>'Historical Data'!D195</f>
        <v/>
      </c>
      <c r="D198" s="23">
        <f>'Historical Data'!E195</f>
        <v/>
      </c>
      <c r="E198" s="3">
        <f>'Historical Data'!G195</f>
        <v/>
      </c>
      <c r="F198" s="3">
        <f>'Historical Data'!Y195</f>
        <v/>
      </c>
      <c r="G198" s="3">
        <f>'Historical Data'!K195</f>
        <v/>
      </c>
      <c r="H198" s="3">
        <f>'Historical Data'!L195</f>
        <v/>
      </c>
      <c r="I198" s="26">
        <f>'Historical Data'!M195</f>
        <v/>
      </c>
      <c r="J198" s="28">
        <f>'Historical Data'!N195</f>
        <v/>
      </c>
      <c r="K198" s="28">
        <f>'Historical Data'!Q195</f>
        <v/>
      </c>
      <c r="L198" s="30">
        <f>'Historical Data'!S195</f>
        <v/>
      </c>
      <c r="M198" s="28">
        <f>'Historical Data'!AJ195</f>
        <v/>
      </c>
      <c r="N198" s="28">
        <f>'Historical Data'!AK195</f>
        <v/>
      </c>
      <c r="O198" s="3">
        <f>'Historical Data'!AA195</f>
        <v/>
      </c>
      <c r="P198" s="3">
        <f>'Historical Data'!AB195</f>
        <v/>
      </c>
      <c r="Q198" s="3">
        <f>'Historical Data'!AN195</f>
        <v/>
      </c>
      <c r="R198" s="3">
        <f>'Historical Data'!AC195</f>
        <v/>
      </c>
      <c r="S198" s="3">
        <f>'Historical Data'!AE195</f>
        <v/>
      </c>
      <c r="T198" s="3">
        <f>'Historical Data'!AH195</f>
        <v/>
      </c>
      <c r="U198" s="3">
        <f>'Historical Data'!BA195</f>
        <v/>
      </c>
      <c r="V198" s="3" t="n"/>
      <c r="W198" s="3" t="n"/>
      <c r="X198" s="3" t="n"/>
      <c r="Y198" s="3" t="n"/>
      <c r="Z198" s="3" t="n"/>
    </row>
    <row r="199" hidden="1" ht="15.75" customHeight="1" s="174">
      <c r="A199" s="3">
        <f>'Historical Data'!A196</f>
        <v/>
      </c>
      <c r="B199" s="3">
        <f>'Historical Data'!B196</f>
        <v/>
      </c>
      <c r="C199" s="3">
        <f>'Historical Data'!D196</f>
        <v/>
      </c>
      <c r="D199" s="23">
        <f>'Historical Data'!E196</f>
        <v/>
      </c>
      <c r="E199" s="3">
        <f>'Historical Data'!G196</f>
        <v/>
      </c>
      <c r="F199" s="3">
        <f>'Historical Data'!Y196</f>
        <v/>
      </c>
      <c r="G199" s="3">
        <f>'Historical Data'!K196</f>
        <v/>
      </c>
      <c r="H199" s="3">
        <f>'Historical Data'!L196</f>
        <v/>
      </c>
      <c r="I199" s="26">
        <f>'Historical Data'!M196</f>
        <v/>
      </c>
      <c r="J199" s="28">
        <f>'Historical Data'!N196</f>
        <v/>
      </c>
      <c r="K199" s="28">
        <f>'Historical Data'!Q196</f>
        <v/>
      </c>
      <c r="L199" s="30">
        <f>'Historical Data'!S196</f>
        <v/>
      </c>
      <c r="M199" s="28">
        <f>'Historical Data'!AJ196</f>
        <v/>
      </c>
      <c r="N199" s="28">
        <f>'Historical Data'!AK196</f>
        <v/>
      </c>
      <c r="O199" s="3">
        <f>'Historical Data'!AA196</f>
        <v/>
      </c>
      <c r="P199" s="3">
        <f>'Historical Data'!AB196</f>
        <v/>
      </c>
      <c r="Q199" s="3">
        <f>'Historical Data'!AN196</f>
        <v/>
      </c>
      <c r="R199" s="3">
        <f>'Historical Data'!AC196</f>
        <v/>
      </c>
      <c r="S199" s="3">
        <f>'Historical Data'!AE196</f>
        <v/>
      </c>
      <c r="T199" s="3">
        <f>'Historical Data'!AH196</f>
        <v/>
      </c>
      <c r="U199" s="3">
        <f>'Historical Data'!BA196</f>
        <v/>
      </c>
      <c r="V199" s="3" t="n"/>
      <c r="W199" s="3" t="n"/>
      <c r="X199" s="3" t="n"/>
      <c r="Y199" s="3" t="n"/>
      <c r="Z199" s="3" t="n"/>
    </row>
    <row r="200" hidden="1" ht="15.75" customHeight="1" s="174">
      <c r="A200" s="3">
        <f>'Historical Data'!A197</f>
        <v/>
      </c>
      <c r="B200" s="3">
        <f>'Historical Data'!B197</f>
        <v/>
      </c>
      <c r="C200" s="3">
        <f>'Historical Data'!D197</f>
        <v/>
      </c>
      <c r="D200" s="23">
        <f>'Historical Data'!E197</f>
        <v/>
      </c>
      <c r="E200" s="3">
        <f>'Historical Data'!G197</f>
        <v/>
      </c>
      <c r="F200" s="3">
        <f>'Historical Data'!Y197</f>
        <v/>
      </c>
      <c r="G200" s="3">
        <f>'Historical Data'!K197</f>
        <v/>
      </c>
      <c r="H200" s="3">
        <f>'Historical Data'!L197</f>
        <v/>
      </c>
      <c r="I200" s="26">
        <f>'Historical Data'!M197</f>
        <v/>
      </c>
      <c r="J200" s="28">
        <f>'Historical Data'!N197</f>
        <v/>
      </c>
      <c r="K200" s="28">
        <f>'Historical Data'!Q197</f>
        <v/>
      </c>
      <c r="L200" s="30">
        <f>'Historical Data'!S197</f>
        <v/>
      </c>
      <c r="M200" s="28">
        <f>'Historical Data'!AJ197</f>
        <v/>
      </c>
      <c r="N200" s="28">
        <f>'Historical Data'!AK197</f>
        <v/>
      </c>
      <c r="O200" s="3">
        <f>'Historical Data'!AA197</f>
        <v/>
      </c>
      <c r="P200" s="3">
        <f>'Historical Data'!AB197</f>
        <v/>
      </c>
      <c r="Q200" s="3">
        <f>'Historical Data'!AN197</f>
        <v/>
      </c>
      <c r="R200" s="3">
        <f>'Historical Data'!AC197</f>
        <v/>
      </c>
      <c r="S200" s="3">
        <f>'Historical Data'!AE197</f>
        <v/>
      </c>
      <c r="T200" s="3">
        <f>'Historical Data'!AH197</f>
        <v/>
      </c>
      <c r="U200" s="3">
        <f>'Historical Data'!BA197</f>
        <v/>
      </c>
      <c r="V200" s="3" t="n"/>
      <c r="W200" s="3" t="n"/>
      <c r="X200" s="3" t="n"/>
      <c r="Y200" s="3" t="n"/>
      <c r="Z200" s="3" t="n"/>
    </row>
    <row r="201" hidden="1" ht="15.75" customHeight="1" s="174">
      <c r="A201" s="3">
        <f>'Historical Data'!A198</f>
        <v/>
      </c>
      <c r="B201" s="3">
        <f>'Historical Data'!B198</f>
        <v/>
      </c>
      <c r="C201" s="3">
        <f>'Historical Data'!D198</f>
        <v/>
      </c>
      <c r="D201" s="23">
        <f>'Historical Data'!E198</f>
        <v/>
      </c>
      <c r="E201" s="3">
        <f>'Historical Data'!G198</f>
        <v/>
      </c>
      <c r="F201" s="3">
        <f>'Historical Data'!Y198</f>
        <v/>
      </c>
      <c r="G201" s="3">
        <f>'Historical Data'!K198</f>
        <v/>
      </c>
      <c r="H201" s="3">
        <f>'Historical Data'!L198</f>
        <v/>
      </c>
      <c r="I201" s="26">
        <f>'Historical Data'!M198</f>
        <v/>
      </c>
      <c r="J201" s="28">
        <f>'Historical Data'!N198</f>
        <v/>
      </c>
      <c r="K201" s="28">
        <f>'Historical Data'!Q198</f>
        <v/>
      </c>
      <c r="L201" s="30">
        <f>'Historical Data'!S198</f>
        <v/>
      </c>
      <c r="M201" s="28">
        <f>'Historical Data'!AJ198</f>
        <v/>
      </c>
      <c r="N201" s="28">
        <f>'Historical Data'!AK198</f>
        <v/>
      </c>
      <c r="O201" s="3">
        <f>'Historical Data'!AA198</f>
        <v/>
      </c>
      <c r="P201" s="3">
        <f>'Historical Data'!AB198</f>
        <v/>
      </c>
      <c r="Q201" s="3">
        <f>'Historical Data'!AN198</f>
        <v/>
      </c>
      <c r="R201" s="3">
        <f>'Historical Data'!AC198</f>
        <v/>
      </c>
      <c r="S201" s="3">
        <f>'Historical Data'!AE198</f>
        <v/>
      </c>
      <c r="T201" s="3">
        <f>'Historical Data'!AH198</f>
        <v/>
      </c>
      <c r="U201" s="3">
        <f>'Historical Data'!BA198</f>
        <v/>
      </c>
      <c r="V201" s="3" t="n"/>
      <c r="W201" s="3" t="n"/>
      <c r="X201" s="3" t="n"/>
      <c r="Y201" s="3" t="n"/>
      <c r="Z201" s="3" t="n"/>
    </row>
    <row r="202" hidden="1" ht="15.75" customHeight="1" s="174">
      <c r="A202" s="3">
        <f>'Historical Data'!A199</f>
        <v/>
      </c>
      <c r="B202" s="3">
        <f>'Historical Data'!B199</f>
        <v/>
      </c>
      <c r="C202" s="3">
        <f>'Historical Data'!D199</f>
        <v/>
      </c>
      <c r="D202" s="23">
        <f>'Historical Data'!E199</f>
        <v/>
      </c>
      <c r="E202" s="3">
        <f>'Historical Data'!G199</f>
        <v/>
      </c>
      <c r="F202" s="3">
        <f>'Historical Data'!Y199</f>
        <v/>
      </c>
      <c r="G202" s="3">
        <f>'Historical Data'!K199</f>
        <v/>
      </c>
      <c r="H202" s="3">
        <f>'Historical Data'!L199</f>
        <v/>
      </c>
      <c r="I202" s="26">
        <f>'Historical Data'!M199</f>
        <v/>
      </c>
      <c r="J202" s="28">
        <f>'Historical Data'!N199</f>
        <v/>
      </c>
      <c r="K202" s="28">
        <f>'Historical Data'!Q199</f>
        <v/>
      </c>
      <c r="L202" s="30">
        <f>'Historical Data'!S199</f>
        <v/>
      </c>
      <c r="M202" s="28">
        <f>'Historical Data'!AJ199</f>
        <v/>
      </c>
      <c r="N202" s="28">
        <f>'Historical Data'!AK199</f>
        <v/>
      </c>
      <c r="O202" s="3">
        <f>'Historical Data'!AA199</f>
        <v/>
      </c>
      <c r="P202" s="3">
        <f>'Historical Data'!AB199</f>
        <v/>
      </c>
      <c r="Q202" s="3">
        <f>'Historical Data'!AN199</f>
        <v/>
      </c>
      <c r="R202" s="3">
        <f>'Historical Data'!AC199</f>
        <v/>
      </c>
      <c r="S202" s="3">
        <f>'Historical Data'!AE199</f>
        <v/>
      </c>
      <c r="T202" s="3">
        <f>'Historical Data'!AH199</f>
        <v/>
      </c>
      <c r="U202" s="3">
        <f>'Historical Data'!BA199</f>
        <v/>
      </c>
      <c r="V202" s="3" t="n"/>
      <c r="W202" s="3" t="n"/>
      <c r="X202" s="3" t="n"/>
      <c r="Y202" s="3" t="n"/>
      <c r="Z202" s="3" t="n"/>
    </row>
    <row r="203" hidden="1" ht="15.75" customHeight="1" s="174">
      <c r="A203" s="3">
        <f>'Historical Data'!A200</f>
        <v/>
      </c>
      <c r="B203" s="3">
        <f>'Historical Data'!B200</f>
        <v/>
      </c>
      <c r="C203" s="3">
        <f>'Historical Data'!D200</f>
        <v/>
      </c>
      <c r="D203" s="23">
        <f>'Historical Data'!E200</f>
        <v/>
      </c>
      <c r="E203" s="3">
        <f>'Historical Data'!G200</f>
        <v/>
      </c>
      <c r="F203" s="3">
        <f>'Historical Data'!Y200</f>
        <v/>
      </c>
      <c r="G203" s="3">
        <f>'Historical Data'!K200</f>
        <v/>
      </c>
      <c r="H203" s="3">
        <f>'Historical Data'!L200</f>
        <v/>
      </c>
      <c r="I203" s="26">
        <f>'Historical Data'!M200</f>
        <v/>
      </c>
      <c r="J203" s="28">
        <f>'Historical Data'!N200</f>
        <v/>
      </c>
      <c r="K203" s="28">
        <f>'Historical Data'!Q200</f>
        <v/>
      </c>
      <c r="L203" s="30">
        <f>'Historical Data'!S200</f>
        <v/>
      </c>
      <c r="M203" s="28">
        <f>'Historical Data'!AJ200</f>
        <v/>
      </c>
      <c r="N203" s="28">
        <f>'Historical Data'!AK200</f>
        <v/>
      </c>
      <c r="O203" s="3">
        <f>'Historical Data'!AA200</f>
        <v/>
      </c>
      <c r="P203" s="3">
        <f>'Historical Data'!AB200</f>
        <v/>
      </c>
      <c r="Q203" s="3">
        <f>'Historical Data'!AN200</f>
        <v/>
      </c>
      <c r="R203" s="3">
        <f>'Historical Data'!AC200</f>
        <v/>
      </c>
      <c r="S203" s="3">
        <f>'Historical Data'!AE200</f>
        <v/>
      </c>
      <c r="T203" s="3">
        <f>'Historical Data'!AH200</f>
        <v/>
      </c>
      <c r="U203" s="3">
        <f>'Historical Data'!BA200</f>
        <v/>
      </c>
      <c r="V203" s="3" t="n"/>
      <c r="W203" s="3" t="n"/>
      <c r="X203" s="3" t="n"/>
      <c r="Y203" s="3" t="n"/>
      <c r="Z203" s="3" t="n"/>
    </row>
    <row r="204" hidden="1" ht="15.75" customHeight="1" s="174">
      <c r="A204" s="3">
        <f>'Historical Data'!A201</f>
        <v/>
      </c>
      <c r="B204" s="3">
        <f>'Historical Data'!B201</f>
        <v/>
      </c>
      <c r="C204" s="3">
        <f>'Historical Data'!D201</f>
        <v/>
      </c>
      <c r="D204" s="23">
        <f>'Historical Data'!E201</f>
        <v/>
      </c>
      <c r="E204" s="3">
        <f>'Historical Data'!G201</f>
        <v/>
      </c>
      <c r="F204" s="3">
        <f>'Historical Data'!Y201</f>
        <v/>
      </c>
      <c r="G204" s="3">
        <f>'Historical Data'!K201</f>
        <v/>
      </c>
      <c r="H204" s="3">
        <f>'Historical Data'!L201</f>
        <v/>
      </c>
      <c r="I204" s="26">
        <f>'Historical Data'!M201</f>
        <v/>
      </c>
      <c r="J204" s="28">
        <f>'Historical Data'!N201</f>
        <v/>
      </c>
      <c r="K204" s="28">
        <f>'Historical Data'!Q201</f>
        <v/>
      </c>
      <c r="L204" s="30">
        <f>'Historical Data'!S201</f>
        <v/>
      </c>
      <c r="M204" s="28">
        <f>'Historical Data'!AJ201</f>
        <v/>
      </c>
      <c r="N204" s="28">
        <f>'Historical Data'!AK201</f>
        <v/>
      </c>
      <c r="O204" s="3">
        <f>'Historical Data'!AA201</f>
        <v/>
      </c>
      <c r="P204" s="3">
        <f>'Historical Data'!AB201</f>
        <v/>
      </c>
      <c r="Q204" s="3">
        <f>'Historical Data'!AN201</f>
        <v/>
      </c>
      <c r="R204" s="3">
        <f>'Historical Data'!AC201</f>
        <v/>
      </c>
      <c r="S204" s="3">
        <f>'Historical Data'!AE201</f>
        <v/>
      </c>
      <c r="T204" s="3">
        <f>'Historical Data'!AH201</f>
        <v/>
      </c>
      <c r="U204" s="3">
        <f>'Historical Data'!BA201</f>
        <v/>
      </c>
      <c r="V204" s="3" t="n"/>
      <c r="W204" s="3" t="n"/>
      <c r="X204" s="3" t="n"/>
      <c r="Y204" s="3" t="n"/>
      <c r="Z204" s="3" t="n"/>
    </row>
    <row r="205" hidden="1" ht="15.75" customHeight="1" s="174">
      <c r="A205" s="3">
        <f>'Historical Data'!A202</f>
        <v/>
      </c>
      <c r="B205" s="3">
        <f>'Historical Data'!B202</f>
        <v/>
      </c>
      <c r="C205" s="3">
        <f>'Historical Data'!D202</f>
        <v/>
      </c>
      <c r="D205" s="23">
        <f>'Historical Data'!E202</f>
        <v/>
      </c>
      <c r="E205" s="3">
        <f>'Historical Data'!G202</f>
        <v/>
      </c>
      <c r="F205" s="3">
        <f>'Historical Data'!Y202</f>
        <v/>
      </c>
      <c r="G205" s="3">
        <f>'Historical Data'!K202</f>
        <v/>
      </c>
      <c r="H205" s="3">
        <f>'Historical Data'!L202</f>
        <v/>
      </c>
      <c r="I205" s="26">
        <f>'Historical Data'!M202</f>
        <v/>
      </c>
      <c r="J205" s="28">
        <f>'Historical Data'!N202</f>
        <v/>
      </c>
      <c r="K205" s="28">
        <f>'Historical Data'!Q202</f>
        <v/>
      </c>
      <c r="L205" s="30">
        <f>'Historical Data'!S202</f>
        <v/>
      </c>
      <c r="M205" s="28">
        <f>'Historical Data'!AJ202</f>
        <v/>
      </c>
      <c r="N205" s="28">
        <f>'Historical Data'!AK202</f>
        <v/>
      </c>
      <c r="O205" s="3">
        <f>'Historical Data'!AA202</f>
        <v/>
      </c>
      <c r="P205" s="3">
        <f>'Historical Data'!AB202</f>
        <v/>
      </c>
      <c r="Q205" s="3">
        <f>'Historical Data'!AN202</f>
        <v/>
      </c>
      <c r="R205" s="3">
        <f>'Historical Data'!AC202</f>
        <v/>
      </c>
      <c r="S205" s="3">
        <f>'Historical Data'!AE202</f>
        <v/>
      </c>
      <c r="T205" s="3">
        <f>'Historical Data'!AH202</f>
        <v/>
      </c>
      <c r="U205" s="3">
        <f>'Historical Data'!BA202</f>
        <v/>
      </c>
      <c r="V205" s="3" t="n"/>
      <c r="W205" s="3" t="n"/>
      <c r="X205" s="3" t="n"/>
      <c r="Y205" s="3" t="n"/>
      <c r="Z205" s="3" t="n"/>
    </row>
    <row r="206" hidden="1" ht="15.75" customHeight="1" s="174">
      <c r="A206" s="3">
        <f>'Historical Data'!A203</f>
        <v/>
      </c>
      <c r="B206" s="3">
        <f>'Historical Data'!B203</f>
        <v/>
      </c>
      <c r="C206" s="3">
        <f>'Historical Data'!D203</f>
        <v/>
      </c>
      <c r="D206" s="23">
        <f>'Historical Data'!E203</f>
        <v/>
      </c>
      <c r="E206" s="3">
        <f>'Historical Data'!G203</f>
        <v/>
      </c>
      <c r="F206" s="3">
        <f>'Historical Data'!Y203</f>
        <v/>
      </c>
      <c r="G206" s="3">
        <f>'Historical Data'!K203</f>
        <v/>
      </c>
      <c r="H206" s="3">
        <f>'Historical Data'!L203</f>
        <v/>
      </c>
      <c r="I206" s="26">
        <f>'Historical Data'!M203</f>
        <v/>
      </c>
      <c r="J206" s="28">
        <f>'Historical Data'!N203</f>
        <v/>
      </c>
      <c r="K206" s="28">
        <f>'Historical Data'!Q203</f>
        <v/>
      </c>
      <c r="L206" s="30">
        <f>'Historical Data'!S203</f>
        <v/>
      </c>
      <c r="M206" s="28">
        <f>'Historical Data'!AJ203</f>
        <v/>
      </c>
      <c r="N206" s="28">
        <f>'Historical Data'!AK203</f>
        <v/>
      </c>
      <c r="O206" s="3">
        <f>'Historical Data'!AA203</f>
        <v/>
      </c>
      <c r="P206" s="3">
        <f>'Historical Data'!AB203</f>
        <v/>
      </c>
      <c r="Q206" s="3">
        <f>'Historical Data'!AN203</f>
        <v/>
      </c>
      <c r="R206" s="3">
        <f>'Historical Data'!AC203</f>
        <v/>
      </c>
      <c r="S206" s="3">
        <f>'Historical Data'!AE203</f>
        <v/>
      </c>
      <c r="T206" s="3">
        <f>'Historical Data'!AH203</f>
        <v/>
      </c>
      <c r="U206" s="3">
        <f>'Historical Data'!BA203</f>
        <v/>
      </c>
      <c r="V206" s="3" t="n"/>
      <c r="W206" s="3" t="n"/>
      <c r="X206" s="3" t="n"/>
      <c r="Y206" s="3" t="n"/>
      <c r="Z206" s="3" t="n"/>
    </row>
    <row r="207" hidden="1" ht="15.75" customHeight="1" s="174">
      <c r="A207" s="3">
        <f>'Historical Data'!A204</f>
        <v/>
      </c>
      <c r="B207" s="3">
        <f>'Historical Data'!B204</f>
        <v/>
      </c>
      <c r="C207" s="3">
        <f>'Historical Data'!D204</f>
        <v/>
      </c>
      <c r="D207" s="23">
        <f>'Historical Data'!E204</f>
        <v/>
      </c>
      <c r="E207" s="3">
        <f>'Historical Data'!G204</f>
        <v/>
      </c>
      <c r="F207" s="3">
        <f>'Historical Data'!Y204</f>
        <v/>
      </c>
      <c r="G207" s="3">
        <f>'Historical Data'!K204</f>
        <v/>
      </c>
      <c r="H207" s="3">
        <f>'Historical Data'!L204</f>
        <v/>
      </c>
      <c r="I207" s="26">
        <f>'Historical Data'!M204</f>
        <v/>
      </c>
      <c r="J207" s="28">
        <f>'Historical Data'!N204</f>
        <v/>
      </c>
      <c r="K207" s="28">
        <f>'Historical Data'!Q204</f>
        <v/>
      </c>
      <c r="L207" s="30">
        <f>'Historical Data'!S204</f>
        <v/>
      </c>
      <c r="M207" s="28">
        <f>'Historical Data'!AJ204</f>
        <v/>
      </c>
      <c r="N207" s="28">
        <f>'Historical Data'!AK204</f>
        <v/>
      </c>
      <c r="O207" s="3">
        <f>'Historical Data'!AA204</f>
        <v/>
      </c>
      <c r="P207" s="3">
        <f>'Historical Data'!AB204</f>
        <v/>
      </c>
      <c r="Q207" s="3">
        <f>'Historical Data'!AN204</f>
        <v/>
      </c>
      <c r="R207" s="3">
        <f>'Historical Data'!AC204</f>
        <v/>
      </c>
      <c r="S207" s="3">
        <f>'Historical Data'!AE204</f>
        <v/>
      </c>
      <c r="T207" s="3">
        <f>'Historical Data'!AH204</f>
        <v/>
      </c>
      <c r="U207" s="3">
        <f>'Historical Data'!BA204</f>
        <v/>
      </c>
      <c r="V207" s="3" t="n"/>
      <c r="W207" s="3" t="n"/>
      <c r="X207" s="3" t="n"/>
      <c r="Y207" s="3" t="n"/>
      <c r="Z207" s="3" t="n"/>
    </row>
    <row r="208" hidden="1" ht="15.75" customHeight="1" s="174">
      <c r="A208" s="3">
        <f>'Historical Data'!A205</f>
        <v/>
      </c>
      <c r="B208" s="3">
        <f>'Historical Data'!B205</f>
        <v/>
      </c>
      <c r="C208" s="3">
        <f>'Historical Data'!D205</f>
        <v/>
      </c>
      <c r="D208" s="23">
        <f>'Historical Data'!E205</f>
        <v/>
      </c>
      <c r="E208" s="3">
        <f>'Historical Data'!G205</f>
        <v/>
      </c>
      <c r="F208" s="3">
        <f>'Historical Data'!Y205</f>
        <v/>
      </c>
      <c r="G208" s="3">
        <f>'Historical Data'!K205</f>
        <v/>
      </c>
      <c r="H208" s="3">
        <f>'Historical Data'!L205</f>
        <v/>
      </c>
      <c r="I208" s="26">
        <f>'Historical Data'!M205</f>
        <v/>
      </c>
      <c r="J208" s="28">
        <f>'Historical Data'!N205</f>
        <v/>
      </c>
      <c r="K208" s="28">
        <f>'Historical Data'!Q205</f>
        <v/>
      </c>
      <c r="L208" s="30">
        <f>'Historical Data'!S205</f>
        <v/>
      </c>
      <c r="M208" s="28">
        <f>'Historical Data'!AJ205</f>
        <v/>
      </c>
      <c r="N208" s="28">
        <f>'Historical Data'!AK205</f>
        <v/>
      </c>
      <c r="O208" s="3">
        <f>'Historical Data'!AA205</f>
        <v/>
      </c>
      <c r="P208" s="3">
        <f>'Historical Data'!AB205</f>
        <v/>
      </c>
      <c r="Q208" s="3">
        <f>'Historical Data'!AN205</f>
        <v/>
      </c>
      <c r="R208" s="3">
        <f>'Historical Data'!AC205</f>
        <v/>
      </c>
      <c r="S208" s="3">
        <f>'Historical Data'!AE205</f>
        <v/>
      </c>
      <c r="T208" s="3">
        <f>'Historical Data'!AH205</f>
        <v/>
      </c>
      <c r="U208" s="3">
        <f>'Historical Data'!BA205</f>
        <v/>
      </c>
      <c r="V208" s="3" t="n"/>
      <c r="W208" s="3" t="n"/>
      <c r="X208" s="3" t="n"/>
      <c r="Y208" s="3" t="n"/>
      <c r="Z208" s="3" t="n"/>
    </row>
    <row r="209" hidden="1" ht="15.75" customHeight="1" s="174">
      <c r="A209" s="3">
        <f>'Historical Data'!A206</f>
        <v/>
      </c>
      <c r="B209" s="3">
        <f>'Historical Data'!B206</f>
        <v/>
      </c>
      <c r="C209" s="3">
        <f>'Historical Data'!D206</f>
        <v/>
      </c>
      <c r="D209" s="23">
        <f>'Historical Data'!E206</f>
        <v/>
      </c>
      <c r="E209" s="3">
        <f>'Historical Data'!G206</f>
        <v/>
      </c>
      <c r="F209" s="3">
        <f>'Historical Data'!Y206</f>
        <v/>
      </c>
      <c r="G209" s="3">
        <f>'Historical Data'!K206</f>
        <v/>
      </c>
      <c r="H209" s="3">
        <f>'Historical Data'!L206</f>
        <v/>
      </c>
      <c r="I209" s="26">
        <f>'Historical Data'!M206</f>
        <v/>
      </c>
      <c r="J209" s="28">
        <f>'Historical Data'!N206</f>
        <v/>
      </c>
      <c r="K209" s="28">
        <f>'Historical Data'!Q206</f>
        <v/>
      </c>
      <c r="L209" s="30">
        <f>'Historical Data'!S206</f>
        <v/>
      </c>
      <c r="M209" s="28">
        <f>'Historical Data'!AJ206</f>
        <v/>
      </c>
      <c r="N209" s="28">
        <f>'Historical Data'!AK206</f>
        <v/>
      </c>
      <c r="O209" s="3">
        <f>'Historical Data'!AA206</f>
        <v/>
      </c>
      <c r="P209" s="3">
        <f>'Historical Data'!AB206</f>
        <v/>
      </c>
      <c r="Q209" s="3">
        <f>'Historical Data'!AN206</f>
        <v/>
      </c>
      <c r="R209" s="3">
        <f>'Historical Data'!AC206</f>
        <v/>
      </c>
      <c r="S209" s="3">
        <f>'Historical Data'!AE206</f>
        <v/>
      </c>
      <c r="T209" s="3">
        <f>'Historical Data'!AH206</f>
        <v/>
      </c>
      <c r="U209" s="3">
        <f>'Historical Data'!BA206</f>
        <v/>
      </c>
      <c r="V209" s="3" t="n"/>
      <c r="W209" s="3" t="n"/>
      <c r="X209" s="3" t="n"/>
      <c r="Y209" s="3" t="n"/>
      <c r="Z209" s="3" t="n"/>
    </row>
    <row r="210" hidden="1" ht="15.75" customHeight="1" s="174">
      <c r="A210" s="3">
        <f>'Historical Data'!A207</f>
        <v/>
      </c>
      <c r="B210" s="3">
        <f>'Historical Data'!B207</f>
        <v/>
      </c>
      <c r="C210" s="3">
        <f>'Historical Data'!D207</f>
        <v/>
      </c>
      <c r="D210" s="23">
        <f>'Historical Data'!E207</f>
        <v/>
      </c>
      <c r="E210" s="3">
        <f>'Historical Data'!G207</f>
        <v/>
      </c>
      <c r="F210" s="3">
        <f>'Historical Data'!Y207</f>
        <v/>
      </c>
      <c r="G210" s="3">
        <f>'Historical Data'!K207</f>
        <v/>
      </c>
      <c r="H210" s="3">
        <f>'Historical Data'!L207</f>
        <v/>
      </c>
      <c r="I210" s="26">
        <f>'Historical Data'!M207</f>
        <v/>
      </c>
      <c r="J210" s="28">
        <f>'Historical Data'!N207</f>
        <v/>
      </c>
      <c r="K210" s="28">
        <f>'Historical Data'!Q207</f>
        <v/>
      </c>
      <c r="L210" s="30">
        <f>'Historical Data'!S207</f>
        <v/>
      </c>
      <c r="M210" s="28">
        <f>'Historical Data'!AJ207</f>
        <v/>
      </c>
      <c r="N210" s="28">
        <f>'Historical Data'!AK207</f>
        <v/>
      </c>
      <c r="O210" s="3">
        <f>'Historical Data'!AA207</f>
        <v/>
      </c>
      <c r="P210" s="3">
        <f>'Historical Data'!AB207</f>
        <v/>
      </c>
      <c r="Q210" s="3">
        <f>'Historical Data'!AN207</f>
        <v/>
      </c>
      <c r="R210" s="3">
        <f>'Historical Data'!AC207</f>
        <v/>
      </c>
      <c r="S210" s="3">
        <f>'Historical Data'!AE207</f>
        <v/>
      </c>
      <c r="T210" s="3">
        <f>'Historical Data'!AH207</f>
        <v/>
      </c>
      <c r="U210" s="3">
        <f>'Historical Data'!BA207</f>
        <v/>
      </c>
      <c r="V210" s="3" t="n"/>
      <c r="W210" s="3" t="n"/>
      <c r="X210" s="3" t="n"/>
      <c r="Y210" s="3" t="n"/>
      <c r="Z210" s="3" t="n"/>
    </row>
    <row r="211" hidden="1" ht="15.75" customHeight="1" s="174">
      <c r="A211" s="3">
        <f>'Historical Data'!A208</f>
        <v/>
      </c>
      <c r="B211" s="3">
        <f>'Historical Data'!B208</f>
        <v/>
      </c>
      <c r="C211" s="3">
        <f>'Historical Data'!D208</f>
        <v/>
      </c>
      <c r="D211" s="23">
        <f>'Historical Data'!E208</f>
        <v/>
      </c>
      <c r="E211" s="3">
        <f>'Historical Data'!G208</f>
        <v/>
      </c>
      <c r="F211" s="3">
        <f>'Historical Data'!Y208</f>
        <v/>
      </c>
      <c r="G211" s="3">
        <f>'Historical Data'!K208</f>
        <v/>
      </c>
      <c r="H211" s="3">
        <f>'Historical Data'!L208</f>
        <v/>
      </c>
      <c r="I211" s="26">
        <f>'Historical Data'!M208</f>
        <v/>
      </c>
      <c r="J211" s="28">
        <f>'Historical Data'!N208</f>
        <v/>
      </c>
      <c r="K211" s="28">
        <f>'Historical Data'!Q208</f>
        <v/>
      </c>
      <c r="L211" s="30">
        <f>'Historical Data'!S208</f>
        <v/>
      </c>
      <c r="M211" s="28">
        <f>'Historical Data'!AJ208</f>
        <v/>
      </c>
      <c r="N211" s="28">
        <f>'Historical Data'!AK208</f>
        <v/>
      </c>
      <c r="O211" s="3">
        <f>'Historical Data'!AA208</f>
        <v/>
      </c>
      <c r="P211" s="3">
        <f>'Historical Data'!AB208</f>
        <v/>
      </c>
      <c r="Q211" s="3">
        <f>'Historical Data'!AN208</f>
        <v/>
      </c>
      <c r="R211" s="3">
        <f>'Historical Data'!AC208</f>
        <v/>
      </c>
      <c r="S211" s="3">
        <f>'Historical Data'!AE208</f>
        <v/>
      </c>
      <c r="T211" s="3">
        <f>'Historical Data'!AH208</f>
        <v/>
      </c>
      <c r="U211" s="3">
        <f>'Historical Data'!BA208</f>
        <v/>
      </c>
      <c r="V211" s="3" t="n"/>
      <c r="W211" s="3" t="n"/>
      <c r="X211" s="3" t="n"/>
      <c r="Y211" s="3" t="n"/>
      <c r="Z211" s="3" t="n"/>
    </row>
    <row r="212" hidden="1" ht="15.75" customHeight="1" s="174">
      <c r="A212" s="3">
        <f>'Historical Data'!A209</f>
        <v/>
      </c>
      <c r="B212" s="3">
        <f>'Historical Data'!B209</f>
        <v/>
      </c>
      <c r="C212" s="3">
        <f>'Historical Data'!D209</f>
        <v/>
      </c>
      <c r="D212" s="23">
        <f>'Historical Data'!E209</f>
        <v/>
      </c>
      <c r="E212" s="3">
        <f>'Historical Data'!G209</f>
        <v/>
      </c>
      <c r="F212" s="3">
        <f>'Historical Data'!Y209</f>
        <v/>
      </c>
      <c r="G212" s="3">
        <f>'Historical Data'!K209</f>
        <v/>
      </c>
      <c r="H212" s="3">
        <f>'Historical Data'!L209</f>
        <v/>
      </c>
      <c r="I212" s="26">
        <f>'Historical Data'!M209</f>
        <v/>
      </c>
      <c r="J212" s="28">
        <f>'Historical Data'!N209</f>
        <v/>
      </c>
      <c r="K212" s="28">
        <f>'Historical Data'!Q209</f>
        <v/>
      </c>
      <c r="L212" s="30">
        <f>'Historical Data'!S209</f>
        <v/>
      </c>
      <c r="M212" s="28">
        <f>'Historical Data'!AJ209</f>
        <v/>
      </c>
      <c r="N212" s="28">
        <f>'Historical Data'!AK209</f>
        <v/>
      </c>
      <c r="O212" s="3">
        <f>'Historical Data'!AA209</f>
        <v/>
      </c>
      <c r="P212" s="3">
        <f>'Historical Data'!AB209</f>
        <v/>
      </c>
      <c r="Q212" s="3">
        <f>'Historical Data'!AN209</f>
        <v/>
      </c>
      <c r="R212" s="3">
        <f>'Historical Data'!AC209</f>
        <v/>
      </c>
      <c r="S212" s="3">
        <f>'Historical Data'!AE209</f>
        <v/>
      </c>
      <c r="T212" s="3">
        <f>'Historical Data'!AH209</f>
        <v/>
      </c>
      <c r="U212" s="3">
        <f>'Historical Data'!BA209</f>
        <v/>
      </c>
      <c r="V212" s="3" t="n"/>
      <c r="W212" s="3" t="n"/>
      <c r="X212" s="3" t="n"/>
      <c r="Y212" s="3" t="n"/>
      <c r="Z212" s="3" t="n"/>
    </row>
    <row r="213" hidden="1" ht="15.75" customHeight="1" s="174">
      <c r="A213" s="3">
        <f>'Historical Data'!A210</f>
        <v/>
      </c>
      <c r="B213" s="3">
        <f>'Historical Data'!B210</f>
        <v/>
      </c>
      <c r="C213" s="3">
        <f>'Historical Data'!D210</f>
        <v/>
      </c>
      <c r="D213" s="23">
        <f>'Historical Data'!E210</f>
        <v/>
      </c>
      <c r="E213" s="3">
        <f>'Historical Data'!G210</f>
        <v/>
      </c>
      <c r="F213" s="3">
        <f>'Historical Data'!Y210</f>
        <v/>
      </c>
      <c r="G213" s="3">
        <f>'Historical Data'!K210</f>
        <v/>
      </c>
      <c r="H213" s="3">
        <f>'Historical Data'!L210</f>
        <v/>
      </c>
      <c r="I213" s="26">
        <f>'Historical Data'!M210</f>
        <v/>
      </c>
      <c r="J213" s="28">
        <f>'Historical Data'!N210</f>
        <v/>
      </c>
      <c r="K213" s="28">
        <f>'Historical Data'!Q210</f>
        <v/>
      </c>
      <c r="L213" s="30">
        <f>'Historical Data'!S210</f>
        <v/>
      </c>
      <c r="M213" s="28">
        <f>'Historical Data'!AJ210</f>
        <v/>
      </c>
      <c r="N213" s="28">
        <f>'Historical Data'!AK210</f>
        <v/>
      </c>
      <c r="O213" s="3">
        <f>'Historical Data'!AA210</f>
        <v/>
      </c>
      <c r="P213" s="3">
        <f>'Historical Data'!AB210</f>
        <v/>
      </c>
      <c r="Q213" s="3">
        <f>'Historical Data'!AN210</f>
        <v/>
      </c>
      <c r="R213" s="3">
        <f>'Historical Data'!AC210</f>
        <v/>
      </c>
      <c r="S213" s="3">
        <f>'Historical Data'!AE210</f>
        <v/>
      </c>
      <c r="T213" s="3">
        <f>'Historical Data'!AH210</f>
        <v/>
      </c>
      <c r="U213" s="3">
        <f>'Historical Data'!BA210</f>
        <v/>
      </c>
      <c r="V213" s="3" t="n"/>
      <c r="W213" s="3" t="n"/>
      <c r="X213" s="3" t="n"/>
      <c r="Y213" s="3" t="n"/>
      <c r="Z213" s="3" t="n"/>
    </row>
    <row r="214" hidden="1" ht="15.75" customHeight="1" s="174">
      <c r="A214" s="3">
        <f>'Historical Data'!A211</f>
        <v/>
      </c>
      <c r="B214" s="3">
        <f>'Historical Data'!B211</f>
        <v/>
      </c>
      <c r="C214" s="3">
        <f>'Historical Data'!D211</f>
        <v/>
      </c>
      <c r="D214" s="23">
        <f>'Historical Data'!E211</f>
        <v/>
      </c>
      <c r="E214" s="3">
        <f>'Historical Data'!G211</f>
        <v/>
      </c>
      <c r="F214" s="3">
        <f>'Historical Data'!Y211</f>
        <v/>
      </c>
      <c r="G214" s="3">
        <f>'Historical Data'!K211</f>
        <v/>
      </c>
      <c r="H214" s="3">
        <f>'Historical Data'!L211</f>
        <v/>
      </c>
      <c r="I214" s="26">
        <f>'Historical Data'!M211</f>
        <v/>
      </c>
      <c r="J214" s="28">
        <f>'Historical Data'!N211</f>
        <v/>
      </c>
      <c r="K214" s="28">
        <f>'Historical Data'!Q211</f>
        <v/>
      </c>
      <c r="L214" s="30">
        <f>'Historical Data'!S211</f>
        <v/>
      </c>
      <c r="M214" s="28">
        <f>'Historical Data'!AJ211</f>
        <v/>
      </c>
      <c r="N214" s="28">
        <f>'Historical Data'!AK211</f>
        <v/>
      </c>
      <c r="O214" s="3">
        <f>'Historical Data'!AA211</f>
        <v/>
      </c>
      <c r="P214" s="3">
        <f>'Historical Data'!AB211</f>
        <v/>
      </c>
      <c r="Q214" s="3">
        <f>'Historical Data'!AN211</f>
        <v/>
      </c>
      <c r="R214" s="3">
        <f>'Historical Data'!AC211</f>
        <v/>
      </c>
      <c r="S214" s="3">
        <f>'Historical Data'!AE211</f>
        <v/>
      </c>
      <c r="T214" s="3">
        <f>'Historical Data'!AH211</f>
        <v/>
      </c>
      <c r="U214" s="3">
        <f>'Historical Data'!BA211</f>
        <v/>
      </c>
      <c r="V214" s="3" t="n"/>
      <c r="W214" s="3" t="n"/>
      <c r="X214" s="3" t="n"/>
      <c r="Y214" s="3" t="n"/>
      <c r="Z214" s="3" t="n"/>
    </row>
    <row r="215" hidden="1" ht="15.75" customHeight="1" s="174">
      <c r="A215" s="3">
        <f>'Historical Data'!A212</f>
        <v/>
      </c>
      <c r="B215" s="3">
        <f>'Historical Data'!B212</f>
        <v/>
      </c>
      <c r="C215" s="3">
        <f>'Historical Data'!D212</f>
        <v/>
      </c>
      <c r="D215" s="23">
        <f>'Historical Data'!E212</f>
        <v/>
      </c>
      <c r="E215" s="3">
        <f>'Historical Data'!G212</f>
        <v/>
      </c>
      <c r="F215" s="3">
        <f>'Historical Data'!Y212</f>
        <v/>
      </c>
      <c r="G215" s="3">
        <f>'Historical Data'!K212</f>
        <v/>
      </c>
      <c r="H215" s="3">
        <f>'Historical Data'!L212</f>
        <v/>
      </c>
      <c r="I215" s="26">
        <f>'Historical Data'!M212</f>
        <v/>
      </c>
      <c r="J215" s="28">
        <f>'Historical Data'!N212</f>
        <v/>
      </c>
      <c r="K215" s="28">
        <f>'Historical Data'!Q212</f>
        <v/>
      </c>
      <c r="L215" s="30">
        <f>'Historical Data'!S212</f>
        <v/>
      </c>
      <c r="M215" s="28">
        <f>'Historical Data'!AJ212</f>
        <v/>
      </c>
      <c r="N215" s="28">
        <f>'Historical Data'!AK212</f>
        <v/>
      </c>
      <c r="O215" s="3">
        <f>'Historical Data'!AA212</f>
        <v/>
      </c>
      <c r="P215" s="3">
        <f>'Historical Data'!AB212</f>
        <v/>
      </c>
      <c r="Q215" s="3">
        <f>'Historical Data'!AN212</f>
        <v/>
      </c>
      <c r="R215" s="3">
        <f>'Historical Data'!AC212</f>
        <v/>
      </c>
      <c r="S215" s="3">
        <f>'Historical Data'!AE212</f>
        <v/>
      </c>
      <c r="T215" s="3">
        <f>'Historical Data'!AH212</f>
        <v/>
      </c>
      <c r="U215" s="3">
        <f>'Historical Data'!BA212</f>
        <v/>
      </c>
      <c r="V215" s="3" t="n"/>
      <c r="W215" s="3" t="n"/>
      <c r="X215" s="3" t="n"/>
      <c r="Y215" s="3" t="n"/>
      <c r="Z215" s="3" t="n"/>
    </row>
    <row r="216" hidden="1" ht="15.75" customHeight="1" s="174">
      <c r="A216" s="3">
        <f>'Historical Data'!A213</f>
        <v/>
      </c>
      <c r="B216" s="3">
        <f>'Historical Data'!B213</f>
        <v/>
      </c>
      <c r="C216" s="3">
        <f>'Historical Data'!D213</f>
        <v/>
      </c>
      <c r="D216" s="23">
        <f>'Historical Data'!E213</f>
        <v/>
      </c>
      <c r="E216" s="3">
        <f>'Historical Data'!G213</f>
        <v/>
      </c>
      <c r="F216" s="3">
        <f>'Historical Data'!Y213</f>
        <v/>
      </c>
      <c r="G216" s="3">
        <f>'Historical Data'!K213</f>
        <v/>
      </c>
      <c r="H216" s="3">
        <f>'Historical Data'!L213</f>
        <v/>
      </c>
      <c r="I216" s="26">
        <f>'Historical Data'!M213</f>
        <v/>
      </c>
      <c r="J216" s="28">
        <f>'Historical Data'!N213</f>
        <v/>
      </c>
      <c r="K216" s="28">
        <f>'Historical Data'!Q213</f>
        <v/>
      </c>
      <c r="L216" s="30">
        <f>'Historical Data'!S213</f>
        <v/>
      </c>
      <c r="M216" s="28">
        <f>'Historical Data'!AJ213</f>
        <v/>
      </c>
      <c r="N216" s="28">
        <f>'Historical Data'!AK213</f>
        <v/>
      </c>
      <c r="O216" s="3">
        <f>'Historical Data'!AA213</f>
        <v/>
      </c>
      <c r="P216" s="3">
        <f>'Historical Data'!AB213</f>
        <v/>
      </c>
      <c r="Q216" s="3">
        <f>'Historical Data'!AN213</f>
        <v/>
      </c>
      <c r="R216" s="3">
        <f>'Historical Data'!AC213</f>
        <v/>
      </c>
      <c r="S216" s="3">
        <f>'Historical Data'!AE213</f>
        <v/>
      </c>
      <c r="T216" s="3">
        <f>'Historical Data'!AH213</f>
        <v/>
      </c>
      <c r="U216" s="3">
        <f>'Historical Data'!BA213</f>
        <v/>
      </c>
      <c r="V216" s="3" t="n"/>
      <c r="W216" s="3" t="n"/>
      <c r="X216" s="3" t="n"/>
      <c r="Y216" s="3" t="n"/>
      <c r="Z216" s="3" t="n"/>
    </row>
    <row r="217" hidden="1" ht="15.75" customHeight="1" s="174">
      <c r="A217" s="3">
        <f>'Historical Data'!A214</f>
        <v/>
      </c>
      <c r="B217" s="3">
        <f>'Historical Data'!B214</f>
        <v/>
      </c>
      <c r="C217" s="3">
        <f>'Historical Data'!D214</f>
        <v/>
      </c>
      <c r="D217" s="23">
        <f>'Historical Data'!E214</f>
        <v/>
      </c>
      <c r="E217" s="3">
        <f>'Historical Data'!G214</f>
        <v/>
      </c>
      <c r="F217" s="3">
        <f>'Historical Data'!Y214</f>
        <v/>
      </c>
      <c r="G217" s="3">
        <f>'Historical Data'!K214</f>
        <v/>
      </c>
      <c r="H217" s="3">
        <f>'Historical Data'!L214</f>
        <v/>
      </c>
      <c r="I217" s="26">
        <f>'Historical Data'!M214</f>
        <v/>
      </c>
      <c r="J217" s="28">
        <f>'Historical Data'!N214</f>
        <v/>
      </c>
      <c r="K217" s="28">
        <f>'Historical Data'!Q214</f>
        <v/>
      </c>
      <c r="L217" s="30">
        <f>'Historical Data'!S214</f>
        <v/>
      </c>
      <c r="M217" s="28">
        <f>'Historical Data'!AJ214</f>
        <v/>
      </c>
      <c r="N217" s="28">
        <f>'Historical Data'!AK214</f>
        <v/>
      </c>
      <c r="O217" s="3">
        <f>'Historical Data'!AA214</f>
        <v/>
      </c>
      <c r="P217" s="3">
        <f>'Historical Data'!AB214</f>
        <v/>
      </c>
      <c r="Q217" s="3">
        <f>'Historical Data'!AN214</f>
        <v/>
      </c>
      <c r="R217" s="3">
        <f>'Historical Data'!AC214</f>
        <v/>
      </c>
      <c r="S217" s="3">
        <f>'Historical Data'!AE214</f>
        <v/>
      </c>
      <c r="T217" s="3">
        <f>'Historical Data'!AH214</f>
        <v/>
      </c>
      <c r="U217" s="3">
        <f>'Historical Data'!BA214</f>
        <v/>
      </c>
      <c r="V217" s="3" t="n"/>
      <c r="W217" s="3" t="n"/>
      <c r="X217" s="3" t="n"/>
      <c r="Y217" s="3" t="n"/>
      <c r="Z217" s="3" t="n"/>
    </row>
    <row r="218" hidden="1" ht="15.75" customHeight="1" s="174">
      <c r="A218" s="3">
        <f>'Historical Data'!A215</f>
        <v/>
      </c>
      <c r="B218" s="3">
        <f>'Historical Data'!B215</f>
        <v/>
      </c>
      <c r="C218" s="3">
        <f>'Historical Data'!D215</f>
        <v/>
      </c>
      <c r="D218" s="23">
        <f>'Historical Data'!E215</f>
        <v/>
      </c>
      <c r="E218" s="3">
        <f>'Historical Data'!G215</f>
        <v/>
      </c>
      <c r="F218" s="3">
        <f>'Historical Data'!Y215</f>
        <v/>
      </c>
      <c r="G218" s="3">
        <f>'Historical Data'!K215</f>
        <v/>
      </c>
      <c r="H218" s="3">
        <f>'Historical Data'!L215</f>
        <v/>
      </c>
      <c r="I218" s="26">
        <f>'Historical Data'!M215</f>
        <v/>
      </c>
      <c r="J218" s="28">
        <f>'Historical Data'!N215</f>
        <v/>
      </c>
      <c r="K218" s="28">
        <f>'Historical Data'!Q215</f>
        <v/>
      </c>
      <c r="L218" s="30">
        <f>'Historical Data'!S215</f>
        <v/>
      </c>
      <c r="M218" s="28">
        <f>'Historical Data'!AJ215</f>
        <v/>
      </c>
      <c r="N218" s="28">
        <f>'Historical Data'!AK215</f>
        <v/>
      </c>
      <c r="O218" s="3">
        <f>'Historical Data'!AA215</f>
        <v/>
      </c>
      <c r="P218" s="3">
        <f>'Historical Data'!AB215</f>
        <v/>
      </c>
      <c r="Q218" s="3">
        <f>'Historical Data'!AN215</f>
        <v/>
      </c>
      <c r="R218" s="3">
        <f>'Historical Data'!AC215</f>
        <v/>
      </c>
      <c r="S218" s="3">
        <f>'Historical Data'!AE215</f>
        <v/>
      </c>
      <c r="T218" s="3">
        <f>'Historical Data'!AH215</f>
        <v/>
      </c>
      <c r="U218" s="3">
        <f>'Historical Data'!BA215</f>
        <v/>
      </c>
      <c r="V218" s="3" t="n"/>
      <c r="W218" s="3" t="n"/>
      <c r="X218" s="3" t="n"/>
      <c r="Y218" s="3" t="n"/>
      <c r="Z218" s="3" t="n"/>
    </row>
    <row r="219" hidden="1" ht="15.75" customHeight="1" s="174">
      <c r="A219" s="3">
        <f>'Historical Data'!A216</f>
        <v/>
      </c>
      <c r="B219" s="3">
        <f>'Historical Data'!B216</f>
        <v/>
      </c>
      <c r="C219" s="3">
        <f>'Historical Data'!D216</f>
        <v/>
      </c>
      <c r="D219" s="23">
        <f>'Historical Data'!E216</f>
        <v/>
      </c>
      <c r="E219" s="3">
        <f>'Historical Data'!G216</f>
        <v/>
      </c>
      <c r="F219" s="3">
        <f>'Historical Data'!Y216</f>
        <v/>
      </c>
      <c r="G219" s="3">
        <f>'Historical Data'!K216</f>
        <v/>
      </c>
      <c r="H219" s="3">
        <f>'Historical Data'!L216</f>
        <v/>
      </c>
      <c r="I219" s="26">
        <f>'Historical Data'!M216</f>
        <v/>
      </c>
      <c r="J219" s="28">
        <f>'Historical Data'!N216</f>
        <v/>
      </c>
      <c r="K219" s="28">
        <f>'Historical Data'!Q216</f>
        <v/>
      </c>
      <c r="L219" s="30">
        <f>'Historical Data'!S216</f>
        <v/>
      </c>
      <c r="M219" s="28">
        <f>'Historical Data'!AJ216</f>
        <v/>
      </c>
      <c r="N219" s="28">
        <f>'Historical Data'!AK216</f>
        <v/>
      </c>
      <c r="O219" s="3">
        <f>'Historical Data'!AA216</f>
        <v/>
      </c>
      <c r="P219" s="3">
        <f>'Historical Data'!AB216</f>
        <v/>
      </c>
      <c r="Q219" s="3">
        <f>'Historical Data'!AN216</f>
        <v/>
      </c>
      <c r="R219" s="3">
        <f>'Historical Data'!AC216</f>
        <v/>
      </c>
      <c r="S219" s="3">
        <f>'Historical Data'!AE216</f>
        <v/>
      </c>
      <c r="T219" s="3">
        <f>'Historical Data'!AH216</f>
        <v/>
      </c>
      <c r="U219" s="3">
        <f>'Historical Data'!BA216</f>
        <v/>
      </c>
      <c r="V219" s="3" t="n"/>
      <c r="W219" s="3" t="n"/>
      <c r="X219" s="3" t="n"/>
      <c r="Y219" s="3" t="n"/>
      <c r="Z219" s="3" t="n"/>
    </row>
    <row r="220" hidden="1" ht="15.75" customHeight="1" s="174">
      <c r="A220" s="3">
        <f>'Historical Data'!A217</f>
        <v/>
      </c>
      <c r="B220" s="3">
        <f>'Historical Data'!B217</f>
        <v/>
      </c>
      <c r="C220" s="3">
        <f>'Historical Data'!D217</f>
        <v/>
      </c>
      <c r="D220" s="23">
        <f>'Historical Data'!E217</f>
        <v/>
      </c>
      <c r="E220" s="3">
        <f>'Historical Data'!G217</f>
        <v/>
      </c>
      <c r="F220" s="3">
        <f>'Historical Data'!Y217</f>
        <v/>
      </c>
      <c r="G220" s="3">
        <f>'Historical Data'!K217</f>
        <v/>
      </c>
      <c r="H220" s="3">
        <f>'Historical Data'!L217</f>
        <v/>
      </c>
      <c r="I220" s="26">
        <f>'Historical Data'!M217</f>
        <v/>
      </c>
      <c r="J220" s="28">
        <f>'Historical Data'!N217</f>
        <v/>
      </c>
      <c r="K220" s="28">
        <f>'Historical Data'!Q217</f>
        <v/>
      </c>
      <c r="L220" s="30">
        <f>'Historical Data'!S217</f>
        <v/>
      </c>
      <c r="M220" s="28">
        <f>'Historical Data'!AJ217</f>
        <v/>
      </c>
      <c r="N220" s="28">
        <f>'Historical Data'!AK217</f>
        <v/>
      </c>
      <c r="O220" s="3">
        <f>'Historical Data'!AA217</f>
        <v/>
      </c>
      <c r="P220" s="3">
        <f>'Historical Data'!AB217</f>
        <v/>
      </c>
      <c r="Q220" s="3">
        <f>'Historical Data'!AN217</f>
        <v/>
      </c>
      <c r="R220" s="3">
        <f>'Historical Data'!AC217</f>
        <v/>
      </c>
      <c r="S220" s="3">
        <f>'Historical Data'!AE217</f>
        <v/>
      </c>
      <c r="T220" s="3">
        <f>'Historical Data'!AH217</f>
        <v/>
      </c>
      <c r="U220" s="3">
        <f>'Historical Data'!BA217</f>
        <v/>
      </c>
      <c r="V220" s="3" t="n"/>
      <c r="W220" s="3" t="n"/>
      <c r="X220" s="3" t="n"/>
      <c r="Y220" s="3" t="n"/>
      <c r="Z220" s="3" t="n"/>
    </row>
    <row r="221" hidden="1" ht="15.75" customHeight="1" s="174">
      <c r="A221" s="3">
        <f>'Historical Data'!A218</f>
        <v/>
      </c>
      <c r="B221" s="3">
        <f>'Historical Data'!B218</f>
        <v/>
      </c>
      <c r="C221" s="3">
        <f>'Historical Data'!D218</f>
        <v/>
      </c>
      <c r="D221" s="23">
        <f>'Historical Data'!E218</f>
        <v/>
      </c>
      <c r="E221" s="3">
        <f>'Historical Data'!G218</f>
        <v/>
      </c>
      <c r="F221" s="3">
        <f>'Historical Data'!Y218</f>
        <v/>
      </c>
      <c r="G221" s="3">
        <f>'Historical Data'!K218</f>
        <v/>
      </c>
      <c r="H221" s="3">
        <f>'Historical Data'!L218</f>
        <v/>
      </c>
      <c r="I221" s="26">
        <f>'Historical Data'!M218</f>
        <v/>
      </c>
      <c r="J221" s="28">
        <f>'Historical Data'!N218</f>
        <v/>
      </c>
      <c r="K221" s="28">
        <f>'Historical Data'!Q218</f>
        <v/>
      </c>
      <c r="L221" s="30">
        <f>'Historical Data'!S218</f>
        <v/>
      </c>
      <c r="M221" s="28">
        <f>'Historical Data'!AJ218</f>
        <v/>
      </c>
      <c r="N221" s="28">
        <f>'Historical Data'!AK218</f>
        <v/>
      </c>
      <c r="O221" s="3">
        <f>'Historical Data'!AA218</f>
        <v/>
      </c>
      <c r="P221" s="3">
        <f>'Historical Data'!AB218</f>
        <v/>
      </c>
      <c r="Q221" s="3">
        <f>'Historical Data'!AN218</f>
        <v/>
      </c>
      <c r="R221" s="3">
        <f>'Historical Data'!AC218</f>
        <v/>
      </c>
      <c r="S221" s="3">
        <f>'Historical Data'!AE218</f>
        <v/>
      </c>
      <c r="T221" s="3">
        <f>'Historical Data'!AH218</f>
        <v/>
      </c>
      <c r="U221" s="3">
        <f>'Historical Data'!BA218</f>
        <v/>
      </c>
      <c r="V221" s="3" t="n"/>
      <c r="W221" s="3" t="n"/>
      <c r="X221" s="3" t="n"/>
      <c r="Y221" s="3" t="n"/>
      <c r="Z221" s="3" t="n"/>
    </row>
    <row r="222" hidden="1" ht="15.75" customHeight="1" s="174">
      <c r="A222" s="3">
        <f>'Historical Data'!A219</f>
        <v/>
      </c>
      <c r="B222" s="3">
        <f>'Historical Data'!B219</f>
        <v/>
      </c>
      <c r="C222" s="3">
        <f>'Historical Data'!D219</f>
        <v/>
      </c>
      <c r="D222" s="23">
        <f>'Historical Data'!E219</f>
        <v/>
      </c>
      <c r="E222" s="3">
        <f>'Historical Data'!G219</f>
        <v/>
      </c>
      <c r="F222" s="3">
        <f>'Historical Data'!Y219</f>
        <v/>
      </c>
      <c r="G222" s="3">
        <f>'Historical Data'!K219</f>
        <v/>
      </c>
      <c r="H222" s="3">
        <f>'Historical Data'!L219</f>
        <v/>
      </c>
      <c r="I222" s="26">
        <f>'Historical Data'!M219</f>
        <v/>
      </c>
      <c r="J222" s="28">
        <f>'Historical Data'!N219</f>
        <v/>
      </c>
      <c r="K222" s="28">
        <f>'Historical Data'!Q219</f>
        <v/>
      </c>
      <c r="L222" s="30">
        <f>'Historical Data'!S219</f>
        <v/>
      </c>
      <c r="M222" s="28">
        <f>'Historical Data'!AJ219</f>
        <v/>
      </c>
      <c r="N222" s="28">
        <f>'Historical Data'!AK219</f>
        <v/>
      </c>
      <c r="O222" s="3">
        <f>'Historical Data'!AA219</f>
        <v/>
      </c>
      <c r="P222" s="3">
        <f>'Historical Data'!AB219</f>
        <v/>
      </c>
      <c r="Q222" s="3">
        <f>'Historical Data'!AN219</f>
        <v/>
      </c>
      <c r="R222" s="3">
        <f>'Historical Data'!AC219</f>
        <v/>
      </c>
      <c r="S222" s="3">
        <f>'Historical Data'!AE219</f>
        <v/>
      </c>
      <c r="T222" s="3">
        <f>'Historical Data'!AH219</f>
        <v/>
      </c>
      <c r="U222" s="3">
        <f>'Historical Data'!BA219</f>
        <v/>
      </c>
      <c r="V222" s="3" t="n"/>
      <c r="W222" s="3" t="n"/>
      <c r="X222" s="3" t="n"/>
      <c r="Y222" s="3" t="n"/>
      <c r="Z222" s="3" t="n"/>
    </row>
    <row r="223" hidden="1" ht="15.75" customHeight="1" s="174">
      <c r="A223" s="3">
        <f>'Historical Data'!A220</f>
        <v/>
      </c>
      <c r="B223" s="3">
        <f>'Historical Data'!B220</f>
        <v/>
      </c>
      <c r="C223" s="3">
        <f>'Historical Data'!D220</f>
        <v/>
      </c>
      <c r="D223" s="23">
        <f>'Historical Data'!E220</f>
        <v/>
      </c>
      <c r="E223" s="3">
        <f>'Historical Data'!G220</f>
        <v/>
      </c>
      <c r="F223" s="3">
        <f>'Historical Data'!Y220</f>
        <v/>
      </c>
      <c r="G223" s="3">
        <f>'Historical Data'!K220</f>
        <v/>
      </c>
      <c r="H223" s="3">
        <f>'Historical Data'!L220</f>
        <v/>
      </c>
      <c r="I223" s="26">
        <f>'Historical Data'!M220</f>
        <v/>
      </c>
      <c r="J223" s="28">
        <f>'Historical Data'!N220</f>
        <v/>
      </c>
      <c r="K223" s="28">
        <f>'Historical Data'!Q220</f>
        <v/>
      </c>
      <c r="L223" s="30">
        <f>'Historical Data'!S220</f>
        <v/>
      </c>
      <c r="M223" s="28">
        <f>'Historical Data'!AJ220</f>
        <v/>
      </c>
      <c r="N223" s="28">
        <f>'Historical Data'!AK220</f>
        <v/>
      </c>
      <c r="O223" s="3">
        <f>'Historical Data'!AA220</f>
        <v/>
      </c>
      <c r="P223" s="3">
        <f>'Historical Data'!AB220</f>
        <v/>
      </c>
      <c r="Q223" s="3">
        <f>'Historical Data'!AN220</f>
        <v/>
      </c>
      <c r="R223" s="3">
        <f>'Historical Data'!AC220</f>
        <v/>
      </c>
      <c r="S223" s="3">
        <f>'Historical Data'!AE220</f>
        <v/>
      </c>
      <c r="T223" s="3">
        <f>'Historical Data'!AH220</f>
        <v/>
      </c>
      <c r="U223" s="3">
        <f>'Historical Data'!BA220</f>
        <v/>
      </c>
      <c r="V223" s="3" t="n"/>
      <c r="W223" s="3" t="n"/>
      <c r="X223" s="3" t="n"/>
      <c r="Y223" s="3" t="n"/>
      <c r="Z223" s="3" t="n"/>
    </row>
    <row r="224" hidden="1" ht="15.75" customHeight="1" s="174">
      <c r="A224" s="3">
        <f>'Historical Data'!A221</f>
        <v/>
      </c>
      <c r="B224" s="3">
        <f>'Historical Data'!B221</f>
        <v/>
      </c>
      <c r="C224" s="3">
        <f>'Historical Data'!D221</f>
        <v/>
      </c>
      <c r="D224" s="23">
        <f>'Historical Data'!E221</f>
        <v/>
      </c>
      <c r="E224" s="3">
        <f>'Historical Data'!G221</f>
        <v/>
      </c>
      <c r="F224" s="3">
        <f>'Historical Data'!Y221</f>
        <v/>
      </c>
      <c r="G224" s="3">
        <f>'Historical Data'!K221</f>
        <v/>
      </c>
      <c r="H224" s="3">
        <f>'Historical Data'!L221</f>
        <v/>
      </c>
      <c r="I224" s="26">
        <f>'Historical Data'!M221</f>
        <v/>
      </c>
      <c r="J224" s="28">
        <f>'Historical Data'!N221</f>
        <v/>
      </c>
      <c r="K224" s="28">
        <f>'Historical Data'!Q221</f>
        <v/>
      </c>
      <c r="L224" s="30">
        <f>'Historical Data'!S221</f>
        <v/>
      </c>
      <c r="M224" s="28">
        <f>'Historical Data'!AJ221</f>
        <v/>
      </c>
      <c r="N224" s="28">
        <f>'Historical Data'!AK221</f>
        <v/>
      </c>
      <c r="O224" s="3">
        <f>'Historical Data'!AA221</f>
        <v/>
      </c>
      <c r="P224" s="3">
        <f>'Historical Data'!AB221</f>
        <v/>
      </c>
      <c r="Q224" s="3">
        <f>'Historical Data'!AN221</f>
        <v/>
      </c>
      <c r="R224" s="3">
        <f>'Historical Data'!AC221</f>
        <v/>
      </c>
      <c r="S224" s="3">
        <f>'Historical Data'!AE221</f>
        <v/>
      </c>
      <c r="T224" s="3">
        <f>'Historical Data'!AH221</f>
        <v/>
      </c>
      <c r="U224" s="3">
        <f>'Historical Data'!BA221</f>
        <v/>
      </c>
      <c r="V224" s="3" t="n"/>
      <c r="W224" s="3" t="n"/>
      <c r="X224" s="3" t="n"/>
      <c r="Y224" s="3" t="n"/>
      <c r="Z224" s="3" t="n"/>
    </row>
    <row r="225" hidden="1" ht="15.75" customHeight="1" s="174">
      <c r="A225" s="3">
        <f>'Historical Data'!A222</f>
        <v/>
      </c>
      <c r="B225" s="3">
        <f>'Historical Data'!B222</f>
        <v/>
      </c>
      <c r="C225" s="3">
        <f>'Historical Data'!D222</f>
        <v/>
      </c>
      <c r="D225" s="23">
        <f>'Historical Data'!E222</f>
        <v/>
      </c>
      <c r="E225" s="3">
        <f>'Historical Data'!G222</f>
        <v/>
      </c>
      <c r="F225" s="3">
        <f>'Historical Data'!Y222</f>
        <v/>
      </c>
      <c r="G225" s="3">
        <f>'Historical Data'!K222</f>
        <v/>
      </c>
      <c r="H225" s="3">
        <f>'Historical Data'!L222</f>
        <v/>
      </c>
      <c r="I225" s="26">
        <f>'Historical Data'!M222</f>
        <v/>
      </c>
      <c r="J225" s="28">
        <f>'Historical Data'!N222</f>
        <v/>
      </c>
      <c r="K225" s="28">
        <f>'Historical Data'!Q222</f>
        <v/>
      </c>
      <c r="L225" s="30">
        <f>'Historical Data'!S222</f>
        <v/>
      </c>
      <c r="M225" s="28">
        <f>'Historical Data'!AJ222</f>
        <v/>
      </c>
      <c r="N225" s="28">
        <f>'Historical Data'!AK222</f>
        <v/>
      </c>
      <c r="O225" s="3">
        <f>'Historical Data'!AA222</f>
        <v/>
      </c>
      <c r="P225" s="3">
        <f>'Historical Data'!AB222</f>
        <v/>
      </c>
      <c r="Q225" s="3">
        <f>'Historical Data'!AN222</f>
        <v/>
      </c>
      <c r="R225" s="3">
        <f>'Historical Data'!AC222</f>
        <v/>
      </c>
      <c r="S225" s="3">
        <f>'Historical Data'!AE222</f>
        <v/>
      </c>
      <c r="T225" s="3">
        <f>'Historical Data'!AH222</f>
        <v/>
      </c>
      <c r="U225" s="3">
        <f>'Historical Data'!BA222</f>
        <v/>
      </c>
      <c r="V225" s="3" t="n"/>
      <c r="W225" s="3" t="n"/>
      <c r="X225" s="3" t="n"/>
      <c r="Y225" s="3" t="n"/>
      <c r="Z225" s="3" t="n"/>
    </row>
    <row r="226" hidden="1" ht="15.75" customHeight="1" s="174">
      <c r="A226" s="3">
        <f>'Historical Data'!A223</f>
        <v/>
      </c>
      <c r="B226" s="3">
        <f>'Historical Data'!B223</f>
        <v/>
      </c>
      <c r="C226" s="3">
        <f>'Historical Data'!D223</f>
        <v/>
      </c>
      <c r="D226" s="23">
        <f>'Historical Data'!E223</f>
        <v/>
      </c>
      <c r="E226" s="3">
        <f>'Historical Data'!G223</f>
        <v/>
      </c>
      <c r="F226" s="3">
        <f>'Historical Data'!Y223</f>
        <v/>
      </c>
      <c r="G226" s="3">
        <f>'Historical Data'!K223</f>
        <v/>
      </c>
      <c r="H226" s="3">
        <f>'Historical Data'!L223</f>
        <v/>
      </c>
      <c r="I226" s="26">
        <f>'Historical Data'!M223</f>
        <v/>
      </c>
      <c r="J226" s="28">
        <f>'Historical Data'!N223</f>
        <v/>
      </c>
      <c r="K226" s="28">
        <f>'Historical Data'!Q223</f>
        <v/>
      </c>
      <c r="L226" s="30">
        <f>'Historical Data'!S223</f>
        <v/>
      </c>
      <c r="M226" s="28">
        <f>'Historical Data'!AJ223</f>
        <v/>
      </c>
      <c r="N226" s="28">
        <f>'Historical Data'!AK223</f>
        <v/>
      </c>
      <c r="O226" s="3">
        <f>'Historical Data'!AA223</f>
        <v/>
      </c>
      <c r="P226" s="3">
        <f>'Historical Data'!AB223</f>
        <v/>
      </c>
      <c r="Q226" s="3">
        <f>'Historical Data'!AN223</f>
        <v/>
      </c>
      <c r="R226" s="3">
        <f>'Historical Data'!AC223</f>
        <v/>
      </c>
      <c r="S226" s="3">
        <f>'Historical Data'!AE223</f>
        <v/>
      </c>
      <c r="T226" s="3">
        <f>'Historical Data'!AH223</f>
        <v/>
      </c>
      <c r="U226" s="3">
        <f>'Historical Data'!BA223</f>
        <v/>
      </c>
      <c r="V226" s="3" t="n"/>
      <c r="W226" s="3" t="n"/>
      <c r="X226" s="3" t="n"/>
      <c r="Y226" s="3" t="n"/>
      <c r="Z226" s="3" t="n"/>
    </row>
    <row r="227" hidden="1" ht="15.75" customHeight="1" s="174">
      <c r="A227" s="3">
        <f>'Historical Data'!A224</f>
        <v/>
      </c>
      <c r="B227" s="3">
        <f>'Historical Data'!B224</f>
        <v/>
      </c>
      <c r="C227" s="3">
        <f>'Historical Data'!D224</f>
        <v/>
      </c>
      <c r="D227" s="23">
        <f>'Historical Data'!E224</f>
        <v/>
      </c>
      <c r="E227" s="3">
        <f>'Historical Data'!G224</f>
        <v/>
      </c>
      <c r="F227" s="3">
        <f>'Historical Data'!Y224</f>
        <v/>
      </c>
      <c r="G227" s="3">
        <f>'Historical Data'!K224</f>
        <v/>
      </c>
      <c r="H227" s="3">
        <f>'Historical Data'!L224</f>
        <v/>
      </c>
      <c r="I227" s="26">
        <f>'Historical Data'!M224</f>
        <v/>
      </c>
      <c r="J227" s="28">
        <f>'Historical Data'!N224</f>
        <v/>
      </c>
      <c r="K227" s="28">
        <f>'Historical Data'!Q224</f>
        <v/>
      </c>
      <c r="L227" s="30">
        <f>'Historical Data'!S224</f>
        <v/>
      </c>
      <c r="M227" s="28">
        <f>'Historical Data'!AJ224</f>
        <v/>
      </c>
      <c r="N227" s="28">
        <f>'Historical Data'!AK224</f>
        <v/>
      </c>
      <c r="O227" s="3">
        <f>'Historical Data'!AA224</f>
        <v/>
      </c>
      <c r="P227" s="3">
        <f>'Historical Data'!AB224</f>
        <v/>
      </c>
      <c r="Q227" s="3">
        <f>'Historical Data'!AN224</f>
        <v/>
      </c>
      <c r="R227" s="3">
        <f>'Historical Data'!AC224</f>
        <v/>
      </c>
      <c r="S227" s="3">
        <f>'Historical Data'!AE224</f>
        <v/>
      </c>
      <c r="T227" s="3">
        <f>'Historical Data'!AH224</f>
        <v/>
      </c>
      <c r="U227" s="3">
        <f>'Historical Data'!BA224</f>
        <v/>
      </c>
      <c r="V227" s="3" t="n"/>
      <c r="W227" s="3" t="n"/>
      <c r="X227" s="3" t="n"/>
      <c r="Y227" s="3" t="n"/>
      <c r="Z227" s="3" t="n"/>
    </row>
    <row r="228" hidden="1" ht="15.75" customHeight="1" s="174">
      <c r="A228" s="3">
        <f>'Historical Data'!A225</f>
        <v/>
      </c>
      <c r="B228" s="3">
        <f>'Historical Data'!B225</f>
        <v/>
      </c>
      <c r="C228" s="3">
        <f>'Historical Data'!D225</f>
        <v/>
      </c>
      <c r="D228" s="23">
        <f>'Historical Data'!E225</f>
        <v/>
      </c>
      <c r="E228" s="3">
        <f>'Historical Data'!G225</f>
        <v/>
      </c>
      <c r="F228" s="3">
        <f>'Historical Data'!Y225</f>
        <v/>
      </c>
      <c r="G228" s="3">
        <f>'Historical Data'!K225</f>
        <v/>
      </c>
      <c r="H228" s="3">
        <f>'Historical Data'!L225</f>
        <v/>
      </c>
      <c r="I228" s="26">
        <f>'Historical Data'!M225</f>
        <v/>
      </c>
      <c r="J228" s="28">
        <f>'Historical Data'!N225</f>
        <v/>
      </c>
      <c r="K228" s="28">
        <f>'Historical Data'!Q225</f>
        <v/>
      </c>
      <c r="L228" s="30">
        <f>'Historical Data'!S225</f>
        <v/>
      </c>
      <c r="M228" s="28">
        <f>'Historical Data'!AJ225</f>
        <v/>
      </c>
      <c r="N228" s="28">
        <f>'Historical Data'!AK225</f>
        <v/>
      </c>
      <c r="O228" s="3">
        <f>'Historical Data'!AA225</f>
        <v/>
      </c>
      <c r="P228" s="3">
        <f>'Historical Data'!AB225</f>
        <v/>
      </c>
      <c r="Q228" s="3">
        <f>'Historical Data'!AN225</f>
        <v/>
      </c>
      <c r="R228" s="3">
        <f>'Historical Data'!AC225</f>
        <v/>
      </c>
      <c r="S228" s="3">
        <f>'Historical Data'!AE225</f>
        <v/>
      </c>
      <c r="T228" s="3">
        <f>'Historical Data'!AH225</f>
        <v/>
      </c>
      <c r="U228" s="3">
        <f>'Historical Data'!BA225</f>
        <v/>
      </c>
      <c r="V228" s="3" t="n"/>
      <c r="W228" s="3" t="n"/>
      <c r="X228" s="3" t="n"/>
      <c r="Y228" s="3" t="n"/>
      <c r="Z228" s="3" t="n"/>
    </row>
    <row r="229" hidden="1" ht="15.75" customHeight="1" s="174">
      <c r="A229" s="3">
        <f>'Historical Data'!A226</f>
        <v/>
      </c>
      <c r="B229" s="3">
        <f>'Historical Data'!B226</f>
        <v/>
      </c>
      <c r="C229" s="3">
        <f>'Historical Data'!D226</f>
        <v/>
      </c>
      <c r="D229" s="23">
        <f>'Historical Data'!E226</f>
        <v/>
      </c>
      <c r="E229" s="3">
        <f>'Historical Data'!G226</f>
        <v/>
      </c>
      <c r="F229" s="3">
        <f>'Historical Data'!Y226</f>
        <v/>
      </c>
      <c r="G229" s="3">
        <f>'Historical Data'!K226</f>
        <v/>
      </c>
      <c r="H229" s="3">
        <f>'Historical Data'!L226</f>
        <v/>
      </c>
      <c r="I229" s="26">
        <f>'Historical Data'!M226</f>
        <v/>
      </c>
      <c r="J229" s="28">
        <f>'Historical Data'!N226</f>
        <v/>
      </c>
      <c r="K229" s="28">
        <f>'Historical Data'!Q226</f>
        <v/>
      </c>
      <c r="L229" s="30">
        <f>'Historical Data'!S226</f>
        <v/>
      </c>
      <c r="M229" s="28">
        <f>'Historical Data'!AJ226</f>
        <v/>
      </c>
      <c r="N229" s="28">
        <f>'Historical Data'!AK226</f>
        <v/>
      </c>
      <c r="O229" s="3">
        <f>'Historical Data'!AA226</f>
        <v/>
      </c>
      <c r="P229" s="3">
        <f>'Historical Data'!AB226</f>
        <v/>
      </c>
      <c r="Q229" s="3">
        <f>'Historical Data'!AN226</f>
        <v/>
      </c>
      <c r="R229" s="3">
        <f>'Historical Data'!AC226</f>
        <v/>
      </c>
      <c r="S229" s="3">
        <f>'Historical Data'!AE226</f>
        <v/>
      </c>
      <c r="T229" s="3">
        <f>'Historical Data'!AH226</f>
        <v/>
      </c>
      <c r="U229" s="3">
        <f>'Historical Data'!BA226</f>
        <v/>
      </c>
      <c r="V229" s="3" t="n"/>
      <c r="W229" s="3" t="n"/>
      <c r="X229" s="3" t="n"/>
      <c r="Y229" s="3" t="n"/>
      <c r="Z229" s="3" t="n"/>
    </row>
    <row r="230" hidden="1" ht="15.75" customHeight="1" s="174">
      <c r="A230" s="3">
        <f>'Historical Data'!A227</f>
        <v/>
      </c>
      <c r="B230" s="3">
        <f>'Historical Data'!B227</f>
        <v/>
      </c>
      <c r="C230" s="3">
        <f>'Historical Data'!D227</f>
        <v/>
      </c>
      <c r="D230" s="23">
        <f>'Historical Data'!E227</f>
        <v/>
      </c>
      <c r="E230" s="3">
        <f>'Historical Data'!G227</f>
        <v/>
      </c>
      <c r="F230" s="3">
        <f>'Historical Data'!Y227</f>
        <v/>
      </c>
      <c r="G230" s="3">
        <f>'Historical Data'!K227</f>
        <v/>
      </c>
      <c r="H230" s="3">
        <f>'Historical Data'!L227</f>
        <v/>
      </c>
      <c r="I230" s="26">
        <f>'Historical Data'!M227</f>
        <v/>
      </c>
      <c r="J230" s="28">
        <f>'Historical Data'!N227</f>
        <v/>
      </c>
      <c r="K230" s="28">
        <f>'Historical Data'!Q227</f>
        <v/>
      </c>
      <c r="L230" s="30">
        <f>'Historical Data'!S227</f>
        <v/>
      </c>
      <c r="M230" s="28">
        <f>'Historical Data'!AJ227</f>
        <v/>
      </c>
      <c r="N230" s="28">
        <f>'Historical Data'!AK227</f>
        <v/>
      </c>
      <c r="O230" s="3">
        <f>'Historical Data'!AA227</f>
        <v/>
      </c>
      <c r="P230" s="3">
        <f>'Historical Data'!AB227</f>
        <v/>
      </c>
      <c r="Q230" s="3">
        <f>'Historical Data'!AN227</f>
        <v/>
      </c>
      <c r="R230" s="3">
        <f>'Historical Data'!AC227</f>
        <v/>
      </c>
      <c r="S230" s="3">
        <f>'Historical Data'!AE227</f>
        <v/>
      </c>
      <c r="T230" s="3">
        <f>'Historical Data'!AH227</f>
        <v/>
      </c>
      <c r="U230" s="3">
        <f>'Historical Data'!BA227</f>
        <v/>
      </c>
      <c r="V230" s="3" t="n"/>
      <c r="W230" s="3" t="n"/>
      <c r="X230" s="3" t="n"/>
      <c r="Y230" s="3" t="n"/>
      <c r="Z230" s="3" t="n"/>
    </row>
    <row r="231" hidden="1" ht="15.75" customHeight="1" s="174">
      <c r="A231" s="3">
        <f>'Historical Data'!A228</f>
        <v/>
      </c>
      <c r="B231" s="3">
        <f>'Historical Data'!B228</f>
        <v/>
      </c>
      <c r="C231" s="3">
        <f>'Historical Data'!D228</f>
        <v/>
      </c>
      <c r="D231" s="23">
        <f>'Historical Data'!E228</f>
        <v/>
      </c>
      <c r="E231" s="3">
        <f>'Historical Data'!G228</f>
        <v/>
      </c>
      <c r="F231" s="3">
        <f>'Historical Data'!Y228</f>
        <v/>
      </c>
      <c r="G231" s="3">
        <f>'Historical Data'!K228</f>
        <v/>
      </c>
      <c r="H231" s="3">
        <f>'Historical Data'!L228</f>
        <v/>
      </c>
      <c r="I231" s="26">
        <f>'Historical Data'!M228</f>
        <v/>
      </c>
      <c r="J231" s="28">
        <f>'Historical Data'!N228</f>
        <v/>
      </c>
      <c r="K231" s="28">
        <f>'Historical Data'!Q228</f>
        <v/>
      </c>
      <c r="L231" s="30">
        <f>'Historical Data'!S228</f>
        <v/>
      </c>
      <c r="M231" s="28">
        <f>'Historical Data'!AJ228</f>
        <v/>
      </c>
      <c r="N231" s="28">
        <f>'Historical Data'!AK228</f>
        <v/>
      </c>
      <c r="O231" s="3">
        <f>'Historical Data'!AA228</f>
        <v/>
      </c>
      <c r="P231" s="3">
        <f>'Historical Data'!AB228</f>
        <v/>
      </c>
      <c r="Q231" s="3">
        <f>'Historical Data'!AN228</f>
        <v/>
      </c>
      <c r="R231" s="3">
        <f>'Historical Data'!AC228</f>
        <v/>
      </c>
      <c r="S231" s="3">
        <f>'Historical Data'!AE228</f>
        <v/>
      </c>
      <c r="T231" s="3">
        <f>'Historical Data'!AH228</f>
        <v/>
      </c>
      <c r="U231" s="3">
        <f>'Historical Data'!BA228</f>
        <v/>
      </c>
      <c r="V231" s="3" t="n"/>
      <c r="W231" s="3" t="n"/>
      <c r="X231" s="3" t="n"/>
      <c r="Y231" s="3" t="n"/>
      <c r="Z231" s="3" t="n"/>
    </row>
    <row r="232" hidden="1" ht="15.75" customHeight="1" s="174">
      <c r="A232" s="3">
        <f>'Historical Data'!A229</f>
        <v/>
      </c>
      <c r="B232" s="3">
        <f>'Historical Data'!B229</f>
        <v/>
      </c>
      <c r="C232" s="3">
        <f>'Historical Data'!D229</f>
        <v/>
      </c>
      <c r="D232" s="23">
        <f>'Historical Data'!E229</f>
        <v/>
      </c>
      <c r="E232" s="3">
        <f>'Historical Data'!G229</f>
        <v/>
      </c>
      <c r="F232" s="3">
        <f>'Historical Data'!Y229</f>
        <v/>
      </c>
      <c r="G232" s="3">
        <f>'Historical Data'!K229</f>
        <v/>
      </c>
      <c r="H232" s="3">
        <f>'Historical Data'!L229</f>
        <v/>
      </c>
      <c r="I232" s="26">
        <f>'Historical Data'!M229</f>
        <v/>
      </c>
      <c r="J232" s="28">
        <f>'Historical Data'!N229</f>
        <v/>
      </c>
      <c r="K232" s="28">
        <f>'Historical Data'!Q229</f>
        <v/>
      </c>
      <c r="L232" s="30">
        <f>'Historical Data'!S229</f>
        <v/>
      </c>
      <c r="M232" s="28">
        <f>'Historical Data'!AJ229</f>
        <v/>
      </c>
      <c r="N232" s="28">
        <f>'Historical Data'!AK229</f>
        <v/>
      </c>
      <c r="O232" s="3">
        <f>'Historical Data'!AA229</f>
        <v/>
      </c>
      <c r="P232" s="3">
        <f>'Historical Data'!AB229</f>
        <v/>
      </c>
      <c r="Q232" s="3">
        <f>'Historical Data'!AN229</f>
        <v/>
      </c>
      <c r="R232" s="3">
        <f>'Historical Data'!AC229</f>
        <v/>
      </c>
      <c r="S232" s="3">
        <f>'Historical Data'!AE229</f>
        <v/>
      </c>
      <c r="T232" s="3">
        <f>'Historical Data'!AH229</f>
        <v/>
      </c>
      <c r="U232" s="3">
        <f>'Historical Data'!BA229</f>
        <v/>
      </c>
      <c r="V232" s="3" t="n"/>
      <c r="W232" s="3" t="n"/>
      <c r="X232" s="3" t="n"/>
      <c r="Y232" s="3" t="n"/>
      <c r="Z232" s="3" t="n"/>
    </row>
    <row r="233" hidden="1" ht="15.75" customHeight="1" s="174">
      <c r="A233" s="3">
        <f>'Historical Data'!A230</f>
        <v/>
      </c>
      <c r="B233" s="3">
        <f>'Historical Data'!B230</f>
        <v/>
      </c>
      <c r="C233" s="3">
        <f>'Historical Data'!D230</f>
        <v/>
      </c>
      <c r="D233" s="23">
        <f>'Historical Data'!E230</f>
        <v/>
      </c>
      <c r="E233" s="3">
        <f>'Historical Data'!G230</f>
        <v/>
      </c>
      <c r="F233" s="3">
        <f>'Historical Data'!Y230</f>
        <v/>
      </c>
      <c r="G233" s="3">
        <f>'Historical Data'!K230</f>
        <v/>
      </c>
      <c r="H233" s="3">
        <f>'Historical Data'!L230</f>
        <v/>
      </c>
      <c r="I233" s="26">
        <f>'Historical Data'!M230</f>
        <v/>
      </c>
      <c r="J233" s="28">
        <f>'Historical Data'!N230</f>
        <v/>
      </c>
      <c r="K233" s="28">
        <f>'Historical Data'!Q230</f>
        <v/>
      </c>
      <c r="L233" s="30">
        <f>'Historical Data'!S230</f>
        <v/>
      </c>
      <c r="M233" s="28">
        <f>'Historical Data'!AJ230</f>
        <v/>
      </c>
      <c r="N233" s="28">
        <f>'Historical Data'!AK230</f>
        <v/>
      </c>
      <c r="O233" s="3">
        <f>'Historical Data'!AA230</f>
        <v/>
      </c>
      <c r="P233" s="3">
        <f>'Historical Data'!AB230</f>
        <v/>
      </c>
      <c r="Q233" s="3">
        <f>'Historical Data'!AN230</f>
        <v/>
      </c>
      <c r="R233" s="3">
        <f>'Historical Data'!AC230</f>
        <v/>
      </c>
      <c r="S233" s="3">
        <f>'Historical Data'!AE230</f>
        <v/>
      </c>
      <c r="T233" s="3">
        <f>'Historical Data'!AH230</f>
        <v/>
      </c>
      <c r="U233" s="3">
        <f>'Historical Data'!BA230</f>
        <v/>
      </c>
      <c r="V233" s="3" t="n"/>
      <c r="W233" s="3" t="n"/>
      <c r="X233" s="3" t="n"/>
      <c r="Y233" s="3" t="n"/>
      <c r="Z233" s="3" t="n"/>
    </row>
    <row r="234" hidden="1" ht="15.75" customHeight="1" s="174">
      <c r="A234" s="3">
        <f>'Historical Data'!A231</f>
        <v/>
      </c>
      <c r="B234" s="3">
        <f>'Historical Data'!B231</f>
        <v/>
      </c>
      <c r="C234" s="3">
        <f>'Historical Data'!D231</f>
        <v/>
      </c>
      <c r="D234" s="23">
        <f>'Historical Data'!E231</f>
        <v/>
      </c>
      <c r="E234" s="3">
        <f>'Historical Data'!G231</f>
        <v/>
      </c>
      <c r="F234" s="3">
        <f>'Historical Data'!Y231</f>
        <v/>
      </c>
      <c r="G234" s="3">
        <f>'Historical Data'!K231</f>
        <v/>
      </c>
      <c r="H234" s="3">
        <f>'Historical Data'!L231</f>
        <v/>
      </c>
      <c r="I234" s="26">
        <f>'Historical Data'!M231</f>
        <v/>
      </c>
      <c r="J234" s="28">
        <f>'Historical Data'!N231</f>
        <v/>
      </c>
      <c r="K234" s="28">
        <f>'Historical Data'!Q231</f>
        <v/>
      </c>
      <c r="L234" s="30">
        <f>'Historical Data'!S231</f>
        <v/>
      </c>
      <c r="M234" s="28">
        <f>'Historical Data'!AJ231</f>
        <v/>
      </c>
      <c r="N234" s="28">
        <f>'Historical Data'!AK231</f>
        <v/>
      </c>
      <c r="O234" s="3">
        <f>'Historical Data'!AA231</f>
        <v/>
      </c>
      <c r="P234" s="3">
        <f>'Historical Data'!AB231</f>
        <v/>
      </c>
      <c r="Q234" s="3">
        <f>'Historical Data'!AN231</f>
        <v/>
      </c>
      <c r="R234" s="3">
        <f>'Historical Data'!AC231</f>
        <v/>
      </c>
      <c r="S234" s="3">
        <f>'Historical Data'!AE231</f>
        <v/>
      </c>
      <c r="T234" s="3">
        <f>'Historical Data'!AH231</f>
        <v/>
      </c>
      <c r="U234" s="3">
        <f>'Historical Data'!BA231</f>
        <v/>
      </c>
      <c r="V234" s="3" t="n"/>
      <c r="W234" s="3" t="n"/>
      <c r="X234" s="3" t="n"/>
      <c r="Y234" s="3" t="n"/>
      <c r="Z234" s="3" t="n"/>
    </row>
    <row r="235" hidden="1" ht="15.75" customHeight="1" s="174">
      <c r="A235" s="3">
        <f>'Historical Data'!A232</f>
        <v/>
      </c>
      <c r="B235" s="3">
        <f>'Historical Data'!B232</f>
        <v/>
      </c>
      <c r="C235" s="3">
        <f>'Historical Data'!D232</f>
        <v/>
      </c>
      <c r="D235" s="23">
        <f>'Historical Data'!E232</f>
        <v/>
      </c>
      <c r="E235" s="3">
        <f>'Historical Data'!G232</f>
        <v/>
      </c>
      <c r="F235" s="3">
        <f>'Historical Data'!Y232</f>
        <v/>
      </c>
      <c r="G235" s="3">
        <f>'Historical Data'!K232</f>
        <v/>
      </c>
      <c r="H235" s="3">
        <f>'Historical Data'!L232</f>
        <v/>
      </c>
      <c r="I235" s="26">
        <f>'Historical Data'!M232</f>
        <v/>
      </c>
      <c r="J235" s="28">
        <f>'Historical Data'!N232</f>
        <v/>
      </c>
      <c r="K235" s="28">
        <f>'Historical Data'!Q232</f>
        <v/>
      </c>
      <c r="L235" s="30">
        <f>'Historical Data'!S232</f>
        <v/>
      </c>
      <c r="M235" s="28">
        <f>'Historical Data'!AJ232</f>
        <v/>
      </c>
      <c r="N235" s="28">
        <f>'Historical Data'!AK232</f>
        <v/>
      </c>
      <c r="O235" s="3">
        <f>'Historical Data'!AA232</f>
        <v/>
      </c>
      <c r="P235" s="3">
        <f>'Historical Data'!AB232</f>
        <v/>
      </c>
      <c r="Q235" s="3">
        <f>'Historical Data'!AN232</f>
        <v/>
      </c>
      <c r="R235" s="3">
        <f>'Historical Data'!AC232</f>
        <v/>
      </c>
      <c r="S235" s="3">
        <f>'Historical Data'!AE232</f>
        <v/>
      </c>
      <c r="T235" s="3">
        <f>'Historical Data'!AH232</f>
        <v/>
      </c>
      <c r="U235" s="3">
        <f>'Historical Data'!BA232</f>
        <v/>
      </c>
      <c r="V235" s="3" t="n"/>
      <c r="W235" s="3" t="n"/>
      <c r="X235" s="3" t="n"/>
      <c r="Y235" s="3" t="n"/>
      <c r="Z235" s="3" t="n"/>
    </row>
    <row r="236" hidden="1" ht="15.75" customHeight="1" s="174">
      <c r="A236" s="3">
        <f>'Historical Data'!A233</f>
        <v/>
      </c>
      <c r="B236" s="3">
        <f>'Historical Data'!B233</f>
        <v/>
      </c>
      <c r="C236" s="3">
        <f>'Historical Data'!D233</f>
        <v/>
      </c>
      <c r="D236" s="23">
        <f>'Historical Data'!E233</f>
        <v/>
      </c>
      <c r="E236" s="3">
        <f>'Historical Data'!G233</f>
        <v/>
      </c>
      <c r="F236" s="3">
        <f>'Historical Data'!Y233</f>
        <v/>
      </c>
      <c r="G236" s="3">
        <f>'Historical Data'!K233</f>
        <v/>
      </c>
      <c r="H236" s="3">
        <f>'Historical Data'!L233</f>
        <v/>
      </c>
      <c r="I236" s="26">
        <f>'Historical Data'!M233</f>
        <v/>
      </c>
      <c r="J236" s="28">
        <f>'Historical Data'!N233</f>
        <v/>
      </c>
      <c r="K236" s="28">
        <f>'Historical Data'!Q233</f>
        <v/>
      </c>
      <c r="L236" s="30">
        <f>'Historical Data'!S233</f>
        <v/>
      </c>
      <c r="M236" s="28">
        <f>'Historical Data'!AJ233</f>
        <v/>
      </c>
      <c r="N236" s="28">
        <f>'Historical Data'!AK233</f>
        <v/>
      </c>
      <c r="O236" s="3">
        <f>'Historical Data'!AA233</f>
        <v/>
      </c>
      <c r="P236" s="3">
        <f>'Historical Data'!AB233</f>
        <v/>
      </c>
      <c r="Q236" s="3">
        <f>'Historical Data'!AN233</f>
        <v/>
      </c>
      <c r="R236" s="3">
        <f>'Historical Data'!AC233</f>
        <v/>
      </c>
      <c r="S236" s="3">
        <f>'Historical Data'!AE233</f>
        <v/>
      </c>
      <c r="T236" s="3">
        <f>'Historical Data'!AH233</f>
        <v/>
      </c>
      <c r="U236" s="3">
        <f>'Historical Data'!BA233</f>
        <v/>
      </c>
      <c r="V236" s="3" t="n"/>
      <c r="W236" s="3" t="n"/>
      <c r="X236" s="3" t="n"/>
      <c r="Y236" s="3" t="n"/>
      <c r="Z236" s="3" t="n"/>
    </row>
    <row r="237" hidden="1" ht="15.75" customHeight="1" s="174">
      <c r="A237" s="3">
        <f>'Historical Data'!A234</f>
        <v/>
      </c>
      <c r="B237" s="3">
        <f>'Historical Data'!B234</f>
        <v/>
      </c>
      <c r="C237" s="3">
        <f>'Historical Data'!D234</f>
        <v/>
      </c>
      <c r="D237" s="23">
        <f>'Historical Data'!E234</f>
        <v/>
      </c>
      <c r="E237" s="3">
        <f>'Historical Data'!G234</f>
        <v/>
      </c>
      <c r="F237" s="3">
        <f>'Historical Data'!Y234</f>
        <v/>
      </c>
      <c r="G237" s="3">
        <f>'Historical Data'!K234</f>
        <v/>
      </c>
      <c r="H237" s="3">
        <f>'Historical Data'!L234</f>
        <v/>
      </c>
      <c r="I237" s="26">
        <f>'Historical Data'!M234</f>
        <v/>
      </c>
      <c r="J237" s="28">
        <f>'Historical Data'!N234</f>
        <v/>
      </c>
      <c r="K237" s="28">
        <f>'Historical Data'!Q234</f>
        <v/>
      </c>
      <c r="L237" s="30">
        <f>'Historical Data'!S234</f>
        <v/>
      </c>
      <c r="M237" s="28">
        <f>'Historical Data'!AJ234</f>
        <v/>
      </c>
      <c r="N237" s="28">
        <f>'Historical Data'!AK234</f>
        <v/>
      </c>
      <c r="O237" s="3">
        <f>'Historical Data'!AA234</f>
        <v/>
      </c>
      <c r="P237" s="3">
        <f>'Historical Data'!AB234</f>
        <v/>
      </c>
      <c r="Q237" s="3">
        <f>'Historical Data'!AN234</f>
        <v/>
      </c>
      <c r="R237" s="3">
        <f>'Historical Data'!AC234</f>
        <v/>
      </c>
      <c r="S237" s="3">
        <f>'Historical Data'!AE234</f>
        <v/>
      </c>
      <c r="T237" s="3">
        <f>'Historical Data'!AH234</f>
        <v/>
      </c>
      <c r="U237" s="3">
        <f>'Historical Data'!BA234</f>
        <v/>
      </c>
      <c r="V237" s="3" t="n"/>
      <c r="W237" s="3" t="n"/>
      <c r="X237" s="3" t="n"/>
      <c r="Y237" s="3" t="n"/>
      <c r="Z237" s="3" t="n"/>
    </row>
    <row r="238" hidden="1" ht="15.75" customHeight="1" s="174">
      <c r="A238" s="3">
        <f>'Historical Data'!A235</f>
        <v/>
      </c>
      <c r="B238" s="3">
        <f>'Historical Data'!B235</f>
        <v/>
      </c>
      <c r="C238" s="3">
        <f>'Historical Data'!D235</f>
        <v/>
      </c>
      <c r="D238" s="23">
        <f>'Historical Data'!E235</f>
        <v/>
      </c>
      <c r="E238" s="3">
        <f>'Historical Data'!G235</f>
        <v/>
      </c>
      <c r="F238" s="3">
        <f>'Historical Data'!Y235</f>
        <v/>
      </c>
      <c r="G238" s="3">
        <f>'Historical Data'!K235</f>
        <v/>
      </c>
      <c r="H238" s="3">
        <f>'Historical Data'!L235</f>
        <v/>
      </c>
      <c r="I238" s="26">
        <f>'Historical Data'!M235</f>
        <v/>
      </c>
      <c r="J238" s="28">
        <f>'Historical Data'!N235</f>
        <v/>
      </c>
      <c r="K238" s="28">
        <f>'Historical Data'!Q235</f>
        <v/>
      </c>
      <c r="L238" s="30">
        <f>'Historical Data'!S235</f>
        <v/>
      </c>
      <c r="M238" s="28">
        <f>'Historical Data'!AJ235</f>
        <v/>
      </c>
      <c r="N238" s="28">
        <f>'Historical Data'!AK235</f>
        <v/>
      </c>
      <c r="O238" s="3">
        <f>'Historical Data'!AA235</f>
        <v/>
      </c>
      <c r="P238" s="3">
        <f>'Historical Data'!AB235</f>
        <v/>
      </c>
      <c r="Q238" s="3">
        <f>'Historical Data'!AN235</f>
        <v/>
      </c>
      <c r="R238" s="3">
        <f>'Historical Data'!AC235</f>
        <v/>
      </c>
      <c r="S238" s="3">
        <f>'Historical Data'!AE235</f>
        <v/>
      </c>
      <c r="T238" s="3">
        <f>'Historical Data'!AH235</f>
        <v/>
      </c>
      <c r="U238" s="3">
        <f>'Historical Data'!BA235</f>
        <v/>
      </c>
      <c r="V238" s="3" t="n"/>
      <c r="W238" s="3" t="n"/>
      <c r="X238" s="3" t="n"/>
      <c r="Y238" s="3" t="n"/>
      <c r="Z238" s="3" t="n"/>
    </row>
    <row r="239" hidden="1" ht="15.75" customHeight="1" s="174">
      <c r="A239" s="3">
        <f>'Historical Data'!A236</f>
        <v/>
      </c>
      <c r="B239" s="3">
        <f>'Historical Data'!B236</f>
        <v/>
      </c>
      <c r="C239" s="3">
        <f>'Historical Data'!D236</f>
        <v/>
      </c>
      <c r="D239" s="23">
        <f>'Historical Data'!E236</f>
        <v/>
      </c>
      <c r="E239" s="3">
        <f>'Historical Data'!G236</f>
        <v/>
      </c>
      <c r="F239" s="3">
        <f>'Historical Data'!Y236</f>
        <v/>
      </c>
      <c r="G239" s="3">
        <f>'Historical Data'!K236</f>
        <v/>
      </c>
      <c r="H239" s="3">
        <f>'Historical Data'!L236</f>
        <v/>
      </c>
      <c r="I239" s="26">
        <f>'Historical Data'!M236</f>
        <v/>
      </c>
      <c r="J239" s="28">
        <f>'Historical Data'!N236</f>
        <v/>
      </c>
      <c r="K239" s="28">
        <f>'Historical Data'!Q236</f>
        <v/>
      </c>
      <c r="L239" s="30">
        <f>'Historical Data'!S236</f>
        <v/>
      </c>
      <c r="M239" s="28">
        <f>'Historical Data'!AJ236</f>
        <v/>
      </c>
      <c r="N239" s="28">
        <f>'Historical Data'!AK236</f>
        <v/>
      </c>
      <c r="O239" s="3">
        <f>'Historical Data'!AA236</f>
        <v/>
      </c>
      <c r="P239" s="3">
        <f>'Historical Data'!AB236</f>
        <v/>
      </c>
      <c r="Q239" s="3">
        <f>'Historical Data'!AN236</f>
        <v/>
      </c>
      <c r="R239" s="3">
        <f>'Historical Data'!AC236</f>
        <v/>
      </c>
      <c r="S239" s="3">
        <f>'Historical Data'!AE236</f>
        <v/>
      </c>
      <c r="T239" s="3">
        <f>'Historical Data'!AH236</f>
        <v/>
      </c>
      <c r="U239" s="3">
        <f>'Historical Data'!BA236</f>
        <v/>
      </c>
      <c r="V239" s="3" t="n"/>
      <c r="W239" s="3" t="n"/>
      <c r="X239" s="3" t="n"/>
      <c r="Y239" s="3" t="n"/>
      <c r="Z239" s="3" t="n"/>
    </row>
    <row r="240" hidden="1" ht="15.75" customHeight="1" s="174">
      <c r="A240" s="3">
        <f>'Historical Data'!A237</f>
        <v/>
      </c>
      <c r="B240" s="3">
        <f>'Historical Data'!B237</f>
        <v/>
      </c>
      <c r="C240" s="3">
        <f>'Historical Data'!D237</f>
        <v/>
      </c>
      <c r="D240" s="23">
        <f>'Historical Data'!E237</f>
        <v/>
      </c>
      <c r="E240" s="3">
        <f>'Historical Data'!G237</f>
        <v/>
      </c>
      <c r="F240" s="3">
        <f>'Historical Data'!Y237</f>
        <v/>
      </c>
      <c r="G240" s="3">
        <f>'Historical Data'!K237</f>
        <v/>
      </c>
      <c r="H240" s="3">
        <f>'Historical Data'!L237</f>
        <v/>
      </c>
      <c r="I240" s="26">
        <f>'Historical Data'!M237</f>
        <v/>
      </c>
      <c r="J240" s="28">
        <f>'Historical Data'!N237</f>
        <v/>
      </c>
      <c r="K240" s="28">
        <f>'Historical Data'!Q237</f>
        <v/>
      </c>
      <c r="L240" s="30">
        <f>'Historical Data'!S237</f>
        <v/>
      </c>
      <c r="M240" s="28">
        <f>'Historical Data'!AJ237</f>
        <v/>
      </c>
      <c r="N240" s="28">
        <f>'Historical Data'!AK237</f>
        <v/>
      </c>
      <c r="O240" s="3">
        <f>'Historical Data'!AA237</f>
        <v/>
      </c>
      <c r="P240" s="3">
        <f>'Historical Data'!AB237</f>
        <v/>
      </c>
      <c r="Q240" s="3">
        <f>'Historical Data'!AN237</f>
        <v/>
      </c>
      <c r="R240" s="3">
        <f>'Historical Data'!AC237</f>
        <v/>
      </c>
      <c r="S240" s="3">
        <f>'Historical Data'!AE237</f>
        <v/>
      </c>
      <c r="T240" s="3">
        <f>'Historical Data'!AH237</f>
        <v/>
      </c>
      <c r="U240" s="3">
        <f>'Historical Data'!BA237</f>
        <v/>
      </c>
      <c r="V240" s="3" t="n"/>
      <c r="W240" s="3" t="n"/>
      <c r="X240" s="3" t="n"/>
      <c r="Y240" s="3" t="n"/>
      <c r="Z240" s="3" t="n"/>
    </row>
    <row r="241" hidden="1" ht="15.75" customHeight="1" s="174">
      <c r="A241" s="3">
        <f>'Historical Data'!A238</f>
        <v/>
      </c>
      <c r="B241" s="3">
        <f>'Historical Data'!B238</f>
        <v/>
      </c>
      <c r="C241" s="3">
        <f>'Historical Data'!D238</f>
        <v/>
      </c>
      <c r="D241" s="23">
        <f>'Historical Data'!E238</f>
        <v/>
      </c>
      <c r="E241" s="3">
        <f>'Historical Data'!G238</f>
        <v/>
      </c>
      <c r="F241" s="3">
        <f>'Historical Data'!Y238</f>
        <v/>
      </c>
      <c r="G241" s="3">
        <f>'Historical Data'!K238</f>
        <v/>
      </c>
      <c r="H241" s="3">
        <f>'Historical Data'!L238</f>
        <v/>
      </c>
      <c r="I241" s="26">
        <f>'Historical Data'!M238</f>
        <v/>
      </c>
      <c r="J241" s="28">
        <f>'Historical Data'!N238</f>
        <v/>
      </c>
      <c r="K241" s="28">
        <f>'Historical Data'!Q238</f>
        <v/>
      </c>
      <c r="L241" s="30">
        <f>'Historical Data'!S238</f>
        <v/>
      </c>
      <c r="M241" s="28">
        <f>'Historical Data'!AJ238</f>
        <v/>
      </c>
      <c r="N241" s="28">
        <f>'Historical Data'!AK238</f>
        <v/>
      </c>
      <c r="O241" s="3">
        <f>'Historical Data'!AA238</f>
        <v/>
      </c>
      <c r="P241" s="3">
        <f>'Historical Data'!AB238</f>
        <v/>
      </c>
      <c r="Q241" s="3">
        <f>'Historical Data'!AN238</f>
        <v/>
      </c>
      <c r="R241" s="3">
        <f>'Historical Data'!AC238</f>
        <v/>
      </c>
      <c r="S241" s="3">
        <f>'Historical Data'!AE238</f>
        <v/>
      </c>
      <c r="T241" s="3">
        <f>'Historical Data'!AH238</f>
        <v/>
      </c>
      <c r="U241" s="3">
        <f>'Historical Data'!BA238</f>
        <v/>
      </c>
      <c r="V241" s="3" t="n"/>
      <c r="W241" s="3" t="n"/>
      <c r="X241" s="3" t="n"/>
      <c r="Y241" s="3" t="n"/>
      <c r="Z241" s="3" t="n"/>
    </row>
    <row r="242" hidden="1" ht="15.75" customHeight="1" s="174">
      <c r="A242" s="3">
        <f>'Historical Data'!A239</f>
        <v/>
      </c>
      <c r="B242" s="3">
        <f>'Historical Data'!B239</f>
        <v/>
      </c>
      <c r="C242" s="3">
        <f>'Historical Data'!D239</f>
        <v/>
      </c>
      <c r="D242" s="23">
        <f>'Historical Data'!E239</f>
        <v/>
      </c>
      <c r="E242" s="3">
        <f>'Historical Data'!G239</f>
        <v/>
      </c>
      <c r="F242" s="3">
        <f>'Historical Data'!Y239</f>
        <v/>
      </c>
      <c r="G242" s="3">
        <f>'Historical Data'!K239</f>
        <v/>
      </c>
      <c r="H242" s="3">
        <f>'Historical Data'!L239</f>
        <v/>
      </c>
      <c r="I242" s="26">
        <f>'Historical Data'!M239</f>
        <v/>
      </c>
      <c r="J242" s="28">
        <f>'Historical Data'!N239</f>
        <v/>
      </c>
      <c r="K242" s="28">
        <f>'Historical Data'!Q239</f>
        <v/>
      </c>
      <c r="L242" s="30">
        <f>'Historical Data'!S239</f>
        <v/>
      </c>
      <c r="M242" s="28">
        <f>'Historical Data'!AJ239</f>
        <v/>
      </c>
      <c r="N242" s="28">
        <f>'Historical Data'!AK239</f>
        <v/>
      </c>
      <c r="O242" s="3">
        <f>'Historical Data'!AA239</f>
        <v/>
      </c>
      <c r="P242" s="3">
        <f>'Historical Data'!AB239</f>
        <v/>
      </c>
      <c r="Q242" s="3">
        <f>'Historical Data'!AN239</f>
        <v/>
      </c>
      <c r="R242" s="3">
        <f>'Historical Data'!AC239</f>
        <v/>
      </c>
      <c r="S242" s="3">
        <f>'Historical Data'!AE239</f>
        <v/>
      </c>
      <c r="T242" s="3">
        <f>'Historical Data'!AH239</f>
        <v/>
      </c>
      <c r="U242" s="3">
        <f>'Historical Data'!BA239</f>
        <v/>
      </c>
      <c r="V242" s="3" t="n"/>
      <c r="W242" s="3" t="n"/>
      <c r="X242" s="3" t="n"/>
      <c r="Y242" s="3" t="n"/>
      <c r="Z242" s="3" t="n"/>
    </row>
    <row r="243" hidden="1" ht="15.75" customHeight="1" s="174">
      <c r="A243" s="3">
        <f>'Historical Data'!A240</f>
        <v/>
      </c>
      <c r="B243" s="3">
        <f>'Historical Data'!B240</f>
        <v/>
      </c>
      <c r="C243" s="3">
        <f>'Historical Data'!D240</f>
        <v/>
      </c>
      <c r="D243" s="23">
        <f>'Historical Data'!E240</f>
        <v/>
      </c>
      <c r="E243" s="3">
        <f>'Historical Data'!G240</f>
        <v/>
      </c>
      <c r="F243" s="3">
        <f>'Historical Data'!Y240</f>
        <v/>
      </c>
      <c r="G243" s="3">
        <f>'Historical Data'!K240</f>
        <v/>
      </c>
      <c r="H243" s="3">
        <f>'Historical Data'!L240</f>
        <v/>
      </c>
      <c r="I243" s="26">
        <f>'Historical Data'!M240</f>
        <v/>
      </c>
      <c r="J243" s="28">
        <f>'Historical Data'!N240</f>
        <v/>
      </c>
      <c r="K243" s="28">
        <f>'Historical Data'!Q240</f>
        <v/>
      </c>
      <c r="L243" s="30">
        <f>'Historical Data'!S240</f>
        <v/>
      </c>
      <c r="M243" s="28">
        <f>'Historical Data'!AJ240</f>
        <v/>
      </c>
      <c r="N243" s="28">
        <f>'Historical Data'!AK240</f>
        <v/>
      </c>
      <c r="O243" s="3">
        <f>'Historical Data'!AA240</f>
        <v/>
      </c>
      <c r="P243" s="3">
        <f>'Historical Data'!AB240</f>
        <v/>
      </c>
      <c r="Q243" s="3">
        <f>'Historical Data'!AN240</f>
        <v/>
      </c>
      <c r="R243" s="3">
        <f>'Historical Data'!AC240</f>
        <v/>
      </c>
      <c r="S243" s="3">
        <f>'Historical Data'!AE240</f>
        <v/>
      </c>
      <c r="T243" s="3">
        <f>'Historical Data'!AH240</f>
        <v/>
      </c>
      <c r="U243" s="3">
        <f>'Historical Data'!BA240</f>
        <v/>
      </c>
      <c r="V243" s="3" t="n"/>
      <c r="W243" s="3" t="n"/>
      <c r="X243" s="3" t="n"/>
      <c r="Y243" s="3" t="n"/>
      <c r="Z243" s="3" t="n"/>
    </row>
    <row r="244" hidden="1" ht="15.75" customHeight="1" s="174">
      <c r="A244" s="3">
        <f>'Historical Data'!A241</f>
        <v/>
      </c>
      <c r="B244" s="3">
        <f>'Historical Data'!B241</f>
        <v/>
      </c>
      <c r="C244" s="3">
        <f>'Historical Data'!D241</f>
        <v/>
      </c>
      <c r="D244" s="23">
        <f>'Historical Data'!E241</f>
        <v/>
      </c>
      <c r="E244" s="3">
        <f>'Historical Data'!G241</f>
        <v/>
      </c>
      <c r="F244" s="3">
        <f>'Historical Data'!Y241</f>
        <v/>
      </c>
      <c r="G244" s="3">
        <f>'Historical Data'!K241</f>
        <v/>
      </c>
      <c r="H244" s="3">
        <f>'Historical Data'!L241</f>
        <v/>
      </c>
      <c r="I244" s="26">
        <f>'Historical Data'!M241</f>
        <v/>
      </c>
      <c r="J244" s="28">
        <f>'Historical Data'!N241</f>
        <v/>
      </c>
      <c r="K244" s="28">
        <f>'Historical Data'!Q241</f>
        <v/>
      </c>
      <c r="L244" s="30">
        <f>'Historical Data'!S241</f>
        <v/>
      </c>
      <c r="M244" s="28">
        <f>'Historical Data'!AJ241</f>
        <v/>
      </c>
      <c r="N244" s="28">
        <f>'Historical Data'!AK241</f>
        <v/>
      </c>
      <c r="O244" s="3">
        <f>'Historical Data'!AA241</f>
        <v/>
      </c>
      <c r="P244" s="3">
        <f>'Historical Data'!AB241</f>
        <v/>
      </c>
      <c r="Q244" s="3">
        <f>'Historical Data'!AN241</f>
        <v/>
      </c>
      <c r="R244" s="3">
        <f>'Historical Data'!AC241</f>
        <v/>
      </c>
      <c r="S244" s="3">
        <f>'Historical Data'!AE241</f>
        <v/>
      </c>
      <c r="T244" s="3">
        <f>'Historical Data'!AH241</f>
        <v/>
      </c>
      <c r="U244" s="3">
        <f>'Historical Data'!BA241</f>
        <v/>
      </c>
      <c r="V244" s="3" t="n"/>
      <c r="W244" s="3" t="n"/>
      <c r="X244" s="3" t="n"/>
      <c r="Y244" s="3" t="n"/>
      <c r="Z244" s="3" t="n"/>
    </row>
    <row r="245" hidden="1" ht="15.75" customHeight="1" s="174">
      <c r="A245" s="3">
        <f>'Historical Data'!A242</f>
        <v/>
      </c>
      <c r="B245" s="3">
        <f>'Historical Data'!B242</f>
        <v/>
      </c>
      <c r="C245" s="3">
        <f>'Historical Data'!D242</f>
        <v/>
      </c>
      <c r="D245" s="23">
        <f>'Historical Data'!E242</f>
        <v/>
      </c>
      <c r="E245" s="3">
        <f>'Historical Data'!G242</f>
        <v/>
      </c>
      <c r="F245" s="3">
        <f>'Historical Data'!Y242</f>
        <v/>
      </c>
      <c r="G245" s="3">
        <f>'Historical Data'!K242</f>
        <v/>
      </c>
      <c r="H245" s="3">
        <f>'Historical Data'!L242</f>
        <v/>
      </c>
      <c r="I245" s="26">
        <f>'Historical Data'!M242</f>
        <v/>
      </c>
      <c r="J245" s="28">
        <f>'Historical Data'!N242</f>
        <v/>
      </c>
      <c r="K245" s="28">
        <f>'Historical Data'!Q242</f>
        <v/>
      </c>
      <c r="L245" s="30">
        <f>'Historical Data'!S242</f>
        <v/>
      </c>
      <c r="M245" s="28">
        <f>'Historical Data'!AJ242</f>
        <v/>
      </c>
      <c r="N245" s="28">
        <f>'Historical Data'!AK242</f>
        <v/>
      </c>
      <c r="O245" s="3">
        <f>'Historical Data'!AA242</f>
        <v/>
      </c>
      <c r="P245" s="3">
        <f>'Historical Data'!AB242</f>
        <v/>
      </c>
      <c r="Q245" s="3">
        <f>'Historical Data'!AN242</f>
        <v/>
      </c>
      <c r="R245" s="3">
        <f>'Historical Data'!AC242</f>
        <v/>
      </c>
      <c r="S245" s="3">
        <f>'Historical Data'!AE242</f>
        <v/>
      </c>
      <c r="T245" s="3">
        <f>'Historical Data'!AH242</f>
        <v/>
      </c>
      <c r="U245" s="3">
        <f>'Historical Data'!BA242</f>
        <v/>
      </c>
      <c r="V245" s="3" t="n"/>
      <c r="W245" s="3" t="n"/>
      <c r="X245" s="3" t="n"/>
      <c r="Y245" s="3" t="n"/>
      <c r="Z245" s="3" t="n"/>
    </row>
    <row r="246" hidden="1" ht="15.75" customHeight="1" s="174">
      <c r="A246" s="3">
        <f>'Historical Data'!A243</f>
        <v/>
      </c>
      <c r="B246" s="3">
        <f>'Historical Data'!B243</f>
        <v/>
      </c>
      <c r="C246" s="3">
        <f>'Historical Data'!D243</f>
        <v/>
      </c>
      <c r="D246" s="23">
        <f>'Historical Data'!E243</f>
        <v/>
      </c>
      <c r="E246" s="3">
        <f>'Historical Data'!G243</f>
        <v/>
      </c>
      <c r="F246" s="3">
        <f>'Historical Data'!Y243</f>
        <v/>
      </c>
      <c r="G246" s="3">
        <f>'Historical Data'!K243</f>
        <v/>
      </c>
      <c r="H246" s="3">
        <f>'Historical Data'!L243</f>
        <v/>
      </c>
      <c r="I246" s="26">
        <f>'Historical Data'!M243</f>
        <v/>
      </c>
      <c r="J246" s="28">
        <f>'Historical Data'!N243</f>
        <v/>
      </c>
      <c r="K246" s="28">
        <f>'Historical Data'!Q243</f>
        <v/>
      </c>
      <c r="L246" s="30">
        <f>'Historical Data'!S243</f>
        <v/>
      </c>
      <c r="M246" s="28">
        <f>'Historical Data'!AJ243</f>
        <v/>
      </c>
      <c r="N246" s="28">
        <f>'Historical Data'!AK243</f>
        <v/>
      </c>
      <c r="O246" s="3">
        <f>'Historical Data'!AA243</f>
        <v/>
      </c>
      <c r="P246" s="3">
        <f>'Historical Data'!AB243</f>
        <v/>
      </c>
      <c r="Q246" s="3">
        <f>'Historical Data'!AN243</f>
        <v/>
      </c>
      <c r="R246" s="3">
        <f>'Historical Data'!AC243</f>
        <v/>
      </c>
      <c r="S246" s="3">
        <f>'Historical Data'!AE243</f>
        <v/>
      </c>
      <c r="T246" s="3">
        <f>'Historical Data'!AH243</f>
        <v/>
      </c>
      <c r="U246" s="3">
        <f>'Historical Data'!BA243</f>
        <v/>
      </c>
      <c r="V246" s="3" t="n"/>
      <c r="W246" s="3" t="n"/>
      <c r="X246" s="3" t="n"/>
      <c r="Y246" s="3" t="n"/>
      <c r="Z246" s="3" t="n"/>
    </row>
    <row r="247" hidden="1" ht="15.75" customHeight="1" s="174">
      <c r="A247" s="3">
        <f>'Historical Data'!A244</f>
        <v/>
      </c>
      <c r="B247" s="3">
        <f>'Historical Data'!B244</f>
        <v/>
      </c>
      <c r="C247" s="3">
        <f>'Historical Data'!D244</f>
        <v/>
      </c>
      <c r="D247" s="23">
        <f>'Historical Data'!E244</f>
        <v/>
      </c>
      <c r="E247" s="3">
        <f>'Historical Data'!G244</f>
        <v/>
      </c>
      <c r="F247" s="3">
        <f>'Historical Data'!Y244</f>
        <v/>
      </c>
      <c r="G247" s="3">
        <f>'Historical Data'!K244</f>
        <v/>
      </c>
      <c r="H247" s="3">
        <f>'Historical Data'!L244</f>
        <v/>
      </c>
      <c r="I247" s="26">
        <f>'Historical Data'!M244</f>
        <v/>
      </c>
      <c r="J247" s="28">
        <f>'Historical Data'!N244</f>
        <v/>
      </c>
      <c r="K247" s="28">
        <f>'Historical Data'!Q244</f>
        <v/>
      </c>
      <c r="L247" s="30">
        <f>'Historical Data'!S244</f>
        <v/>
      </c>
      <c r="M247" s="28">
        <f>'Historical Data'!AJ244</f>
        <v/>
      </c>
      <c r="N247" s="28">
        <f>'Historical Data'!AK244</f>
        <v/>
      </c>
      <c r="O247" s="3">
        <f>'Historical Data'!AA244</f>
        <v/>
      </c>
      <c r="P247" s="3">
        <f>'Historical Data'!AB244</f>
        <v/>
      </c>
      <c r="Q247" s="3">
        <f>'Historical Data'!AN244</f>
        <v/>
      </c>
      <c r="R247" s="3">
        <f>'Historical Data'!AC244</f>
        <v/>
      </c>
      <c r="S247" s="3">
        <f>'Historical Data'!AE244</f>
        <v/>
      </c>
      <c r="T247" s="3">
        <f>'Historical Data'!AH244</f>
        <v/>
      </c>
      <c r="U247" s="3">
        <f>'Historical Data'!BA244</f>
        <v/>
      </c>
      <c r="V247" s="3" t="n"/>
      <c r="W247" s="3" t="n"/>
      <c r="X247" s="3" t="n"/>
      <c r="Y247" s="3" t="n"/>
      <c r="Z247" s="3" t="n"/>
    </row>
    <row r="248" hidden="1" ht="15.75" customHeight="1" s="174">
      <c r="A248" s="3">
        <f>'Historical Data'!A245</f>
        <v/>
      </c>
      <c r="B248" s="3">
        <f>'Historical Data'!B245</f>
        <v/>
      </c>
      <c r="C248" s="3">
        <f>'Historical Data'!D245</f>
        <v/>
      </c>
      <c r="D248" s="23">
        <f>'Historical Data'!E245</f>
        <v/>
      </c>
      <c r="E248" s="3">
        <f>'Historical Data'!G245</f>
        <v/>
      </c>
      <c r="F248" s="3">
        <f>'Historical Data'!Y245</f>
        <v/>
      </c>
      <c r="G248" s="3">
        <f>'Historical Data'!K245</f>
        <v/>
      </c>
      <c r="H248" s="3">
        <f>'Historical Data'!L245</f>
        <v/>
      </c>
      <c r="I248" s="26">
        <f>'Historical Data'!M245</f>
        <v/>
      </c>
      <c r="J248" s="28">
        <f>'Historical Data'!N245</f>
        <v/>
      </c>
      <c r="K248" s="28">
        <f>'Historical Data'!Q245</f>
        <v/>
      </c>
      <c r="L248" s="30">
        <f>'Historical Data'!S245</f>
        <v/>
      </c>
      <c r="M248" s="28">
        <f>'Historical Data'!AJ245</f>
        <v/>
      </c>
      <c r="N248" s="28">
        <f>'Historical Data'!AK245</f>
        <v/>
      </c>
      <c r="O248" s="3">
        <f>'Historical Data'!AA245</f>
        <v/>
      </c>
      <c r="P248" s="3">
        <f>'Historical Data'!AB245</f>
        <v/>
      </c>
      <c r="Q248" s="3">
        <f>'Historical Data'!AN245</f>
        <v/>
      </c>
      <c r="R248" s="3">
        <f>'Historical Data'!AC245</f>
        <v/>
      </c>
      <c r="S248" s="3">
        <f>'Historical Data'!AE245</f>
        <v/>
      </c>
      <c r="T248" s="3">
        <f>'Historical Data'!AH245</f>
        <v/>
      </c>
      <c r="U248" s="3">
        <f>'Historical Data'!BA245</f>
        <v/>
      </c>
      <c r="V248" s="3" t="n"/>
      <c r="W248" s="3" t="n"/>
      <c r="X248" s="3" t="n"/>
      <c r="Y248" s="3" t="n"/>
      <c r="Z248" s="3" t="n"/>
    </row>
    <row r="249" hidden="1" ht="15.75" customHeight="1" s="174">
      <c r="A249" s="3">
        <f>'Historical Data'!A246</f>
        <v/>
      </c>
      <c r="B249" s="3">
        <f>'Historical Data'!B246</f>
        <v/>
      </c>
      <c r="C249" s="3">
        <f>'Historical Data'!D246</f>
        <v/>
      </c>
      <c r="D249" s="23">
        <f>'Historical Data'!E246</f>
        <v/>
      </c>
      <c r="E249" s="3">
        <f>'Historical Data'!G246</f>
        <v/>
      </c>
      <c r="F249" s="3">
        <f>'Historical Data'!Y246</f>
        <v/>
      </c>
      <c r="G249" s="3">
        <f>'Historical Data'!K246</f>
        <v/>
      </c>
      <c r="H249" s="3">
        <f>'Historical Data'!L246</f>
        <v/>
      </c>
      <c r="I249" s="26">
        <f>'Historical Data'!M246</f>
        <v/>
      </c>
      <c r="J249" s="28">
        <f>'Historical Data'!N246</f>
        <v/>
      </c>
      <c r="K249" s="28">
        <f>'Historical Data'!Q246</f>
        <v/>
      </c>
      <c r="L249" s="30">
        <f>'Historical Data'!S246</f>
        <v/>
      </c>
      <c r="M249" s="28">
        <f>'Historical Data'!AJ246</f>
        <v/>
      </c>
      <c r="N249" s="28">
        <f>'Historical Data'!AK246</f>
        <v/>
      </c>
      <c r="O249" s="3">
        <f>'Historical Data'!AA246</f>
        <v/>
      </c>
      <c r="P249" s="3">
        <f>'Historical Data'!AB246</f>
        <v/>
      </c>
      <c r="Q249" s="3">
        <f>'Historical Data'!AN246</f>
        <v/>
      </c>
      <c r="R249" s="3">
        <f>'Historical Data'!AC246</f>
        <v/>
      </c>
      <c r="S249" s="3">
        <f>'Historical Data'!AE246</f>
        <v/>
      </c>
      <c r="T249" s="3">
        <f>'Historical Data'!AH246</f>
        <v/>
      </c>
      <c r="U249" s="3">
        <f>'Historical Data'!BA246</f>
        <v/>
      </c>
      <c r="V249" s="3" t="n"/>
      <c r="W249" s="3" t="n"/>
      <c r="X249" s="3" t="n"/>
      <c r="Y249" s="3" t="n"/>
      <c r="Z249" s="3" t="n"/>
    </row>
    <row r="250" hidden="1" ht="15.75" customHeight="1" s="174">
      <c r="A250" s="3">
        <f>'Historical Data'!A247</f>
        <v/>
      </c>
      <c r="B250" s="3">
        <f>'Historical Data'!B247</f>
        <v/>
      </c>
      <c r="C250" s="3">
        <f>'Historical Data'!D247</f>
        <v/>
      </c>
      <c r="D250" s="23">
        <f>'Historical Data'!E247</f>
        <v/>
      </c>
      <c r="E250" s="3">
        <f>'Historical Data'!G247</f>
        <v/>
      </c>
      <c r="F250" s="3">
        <f>'Historical Data'!Y247</f>
        <v/>
      </c>
      <c r="G250" s="3">
        <f>'Historical Data'!K247</f>
        <v/>
      </c>
      <c r="H250" s="3">
        <f>'Historical Data'!L247</f>
        <v/>
      </c>
      <c r="I250" s="26">
        <f>'Historical Data'!M247</f>
        <v/>
      </c>
      <c r="J250" s="28">
        <f>'Historical Data'!N247</f>
        <v/>
      </c>
      <c r="K250" s="28">
        <f>'Historical Data'!Q247</f>
        <v/>
      </c>
      <c r="L250" s="30">
        <f>'Historical Data'!S247</f>
        <v/>
      </c>
      <c r="M250" s="28">
        <f>'Historical Data'!AJ247</f>
        <v/>
      </c>
      <c r="N250" s="28">
        <f>'Historical Data'!AK247</f>
        <v/>
      </c>
      <c r="O250" s="3">
        <f>'Historical Data'!AA247</f>
        <v/>
      </c>
      <c r="P250" s="3">
        <f>'Historical Data'!AB247</f>
        <v/>
      </c>
      <c r="Q250" s="3">
        <f>'Historical Data'!AN247</f>
        <v/>
      </c>
      <c r="R250" s="3">
        <f>'Historical Data'!AC247</f>
        <v/>
      </c>
      <c r="S250" s="3">
        <f>'Historical Data'!AE247</f>
        <v/>
      </c>
      <c r="T250" s="3">
        <f>'Historical Data'!AH247</f>
        <v/>
      </c>
      <c r="U250" s="3">
        <f>'Historical Data'!BA247</f>
        <v/>
      </c>
      <c r="V250" s="3" t="n"/>
      <c r="W250" s="3" t="n"/>
      <c r="X250" s="3" t="n"/>
      <c r="Y250" s="3" t="n"/>
      <c r="Z250" s="3" t="n"/>
    </row>
    <row r="251" hidden="1" ht="15.75" customHeight="1" s="174">
      <c r="A251" s="3">
        <f>'Historical Data'!A248</f>
        <v/>
      </c>
      <c r="B251" s="3">
        <f>'Historical Data'!B248</f>
        <v/>
      </c>
      <c r="C251" s="3">
        <f>'Historical Data'!D248</f>
        <v/>
      </c>
      <c r="D251" s="23">
        <f>'Historical Data'!E248</f>
        <v/>
      </c>
      <c r="E251" s="3">
        <f>'Historical Data'!G248</f>
        <v/>
      </c>
      <c r="F251" s="3">
        <f>'Historical Data'!Y248</f>
        <v/>
      </c>
      <c r="G251" s="3">
        <f>'Historical Data'!K248</f>
        <v/>
      </c>
      <c r="H251" s="3">
        <f>'Historical Data'!L248</f>
        <v/>
      </c>
      <c r="I251" s="26">
        <f>'Historical Data'!M248</f>
        <v/>
      </c>
      <c r="J251" s="28">
        <f>'Historical Data'!N248</f>
        <v/>
      </c>
      <c r="K251" s="28">
        <f>'Historical Data'!Q248</f>
        <v/>
      </c>
      <c r="L251" s="30">
        <f>'Historical Data'!S248</f>
        <v/>
      </c>
      <c r="M251" s="28">
        <f>'Historical Data'!AJ248</f>
        <v/>
      </c>
      <c r="N251" s="28">
        <f>'Historical Data'!AK248</f>
        <v/>
      </c>
      <c r="O251" s="3">
        <f>'Historical Data'!AA248</f>
        <v/>
      </c>
      <c r="P251" s="3">
        <f>'Historical Data'!AB248</f>
        <v/>
      </c>
      <c r="Q251" s="3">
        <f>'Historical Data'!AN248</f>
        <v/>
      </c>
      <c r="R251" s="3">
        <f>'Historical Data'!AC248</f>
        <v/>
      </c>
      <c r="S251" s="3">
        <f>'Historical Data'!AE248</f>
        <v/>
      </c>
      <c r="T251" s="3">
        <f>'Historical Data'!AH248</f>
        <v/>
      </c>
      <c r="U251" s="3">
        <f>'Historical Data'!BA248</f>
        <v/>
      </c>
      <c r="V251" s="3" t="n"/>
      <c r="W251" s="3" t="n"/>
      <c r="X251" s="3" t="n"/>
      <c r="Y251" s="3" t="n"/>
      <c r="Z251" s="3" t="n"/>
    </row>
    <row r="252" hidden="1" ht="15.75" customHeight="1" s="174">
      <c r="A252" s="3">
        <f>'Historical Data'!A249</f>
        <v/>
      </c>
      <c r="B252" s="3">
        <f>'Historical Data'!B249</f>
        <v/>
      </c>
      <c r="C252" s="3">
        <f>'Historical Data'!D249</f>
        <v/>
      </c>
      <c r="D252" s="23">
        <f>'Historical Data'!E249</f>
        <v/>
      </c>
      <c r="E252" s="3">
        <f>'Historical Data'!G249</f>
        <v/>
      </c>
      <c r="F252" s="3">
        <f>'Historical Data'!Y249</f>
        <v/>
      </c>
      <c r="G252" s="3">
        <f>'Historical Data'!K249</f>
        <v/>
      </c>
      <c r="H252" s="3">
        <f>'Historical Data'!L249</f>
        <v/>
      </c>
      <c r="I252" s="26">
        <f>'Historical Data'!M249</f>
        <v/>
      </c>
      <c r="J252" s="28">
        <f>'Historical Data'!N249</f>
        <v/>
      </c>
      <c r="K252" s="28">
        <f>'Historical Data'!Q249</f>
        <v/>
      </c>
      <c r="L252" s="30">
        <f>'Historical Data'!S249</f>
        <v/>
      </c>
      <c r="M252" s="28">
        <f>'Historical Data'!AJ249</f>
        <v/>
      </c>
      <c r="N252" s="28">
        <f>'Historical Data'!AK249</f>
        <v/>
      </c>
      <c r="O252" s="3">
        <f>'Historical Data'!AA249</f>
        <v/>
      </c>
      <c r="P252" s="3">
        <f>'Historical Data'!AB249</f>
        <v/>
      </c>
      <c r="Q252" s="3">
        <f>'Historical Data'!AN249</f>
        <v/>
      </c>
      <c r="R252" s="3">
        <f>'Historical Data'!AC249</f>
        <v/>
      </c>
      <c r="S252" s="3">
        <f>'Historical Data'!AE249</f>
        <v/>
      </c>
      <c r="T252" s="3">
        <f>'Historical Data'!AH249</f>
        <v/>
      </c>
      <c r="U252" s="3">
        <f>'Historical Data'!BA249</f>
        <v/>
      </c>
      <c r="V252" s="3" t="n"/>
      <c r="W252" s="3" t="n"/>
      <c r="X252" s="3" t="n"/>
      <c r="Y252" s="3" t="n"/>
      <c r="Z252" s="3" t="n"/>
    </row>
    <row r="253" hidden="1" ht="15.75" customHeight="1" s="174">
      <c r="A253" s="3">
        <f>'Historical Data'!A250</f>
        <v/>
      </c>
      <c r="B253" s="3">
        <f>'Historical Data'!B250</f>
        <v/>
      </c>
      <c r="C253" s="3">
        <f>'Historical Data'!D250</f>
        <v/>
      </c>
      <c r="D253" s="23">
        <f>'Historical Data'!E250</f>
        <v/>
      </c>
      <c r="E253" s="3">
        <f>'Historical Data'!G250</f>
        <v/>
      </c>
      <c r="F253" s="3">
        <f>'Historical Data'!Y250</f>
        <v/>
      </c>
      <c r="G253" s="3">
        <f>'Historical Data'!K250</f>
        <v/>
      </c>
      <c r="H253" s="3">
        <f>'Historical Data'!L250</f>
        <v/>
      </c>
      <c r="I253" s="26">
        <f>'Historical Data'!M250</f>
        <v/>
      </c>
      <c r="J253" s="28">
        <f>'Historical Data'!N250</f>
        <v/>
      </c>
      <c r="K253" s="28">
        <f>'Historical Data'!Q250</f>
        <v/>
      </c>
      <c r="L253" s="30">
        <f>'Historical Data'!S250</f>
        <v/>
      </c>
      <c r="M253" s="28">
        <f>'Historical Data'!AJ250</f>
        <v/>
      </c>
      <c r="N253" s="28">
        <f>'Historical Data'!AK250</f>
        <v/>
      </c>
      <c r="O253" s="3">
        <f>'Historical Data'!AA250</f>
        <v/>
      </c>
      <c r="P253" s="3">
        <f>'Historical Data'!AB250</f>
        <v/>
      </c>
      <c r="Q253" s="3">
        <f>'Historical Data'!AN250</f>
        <v/>
      </c>
      <c r="R253" s="3">
        <f>'Historical Data'!AC250</f>
        <v/>
      </c>
      <c r="S253" s="3">
        <f>'Historical Data'!AE250</f>
        <v/>
      </c>
      <c r="T253" s="3">
        <f>'Historical Data'!AH250</f>
        <v/>
      </c>
      <c r="U253" s="3">
        <f>'Historical Data'!BA250</f>
        <v/>
      </c>
      <c r="V253" s="3" t="n"/>
      <c r="W253" s="3" t="n"/>
      <c r="X253" s="3" t="n"/>
      <c r="Y253" s="3" t="n"/>
      <c r="Z253" s="3" t="n"/>
    </row>
    <row r="254" hidden="1" ht="15.75" customHeight="1" s="174">
      <c r="A254" s="3">
        <f>'Historical Data'!A251</f>
        <v/>
      </c>
      <c r="B254" s="3">
        <f>'Historical Data'!B251</f>
        <v/>
      </c>
      <c r="C254" s="3">
        <f>'Historical Data'!D251</f>
        <v/>
      </c>
      <c r="D254" s="23">
        <f>'Historical Data'!E251</f>
        <v/>
      </c>
      <c r="E254" s="3">
        <f>'Historical Data'!G251</f>
        <v/>
      </c>
      <c r="F254" s="3">
        <f>'Historical Data'!Y251</f>
        <v/>
      </c>
      <c r="G254" s="3">
        <f>'Historical Data'!K251</f>
        <v/>
      </c>
      <c r="H254" s="3">
        <f>'Historical Data'!L251</f>
        <v/>
      </c>
      <c r="I254" s="26">
        <f>'Historical Data'!M251</f>
        <v/>
      </c>
      <c r="J254" s="28">
        <f>'Historical Data'!N251</f>
        <v/>
      </c>
      <c r="K254" s="28">
        <f>'Historical Data'!Q251</f>
        <v/>
      </c>
      <c r="L254" s="30">
        <f>'Historical Data'!S251</f>
        <v/>
      </c>
      <c r="M254" s="28">
        <f>'Historical Data'!AJ251</f>
        <v/>
      </c>
      <c r="N254" s="28">
        <f>'Historical Data'!AK251</f>
        <v/>
      </c>
      <c r="O254" s="3">
        <f>'Historical Data'!AA251</f>
        <v/>
      </c>
      <c r="P254" s="3">
        <f>'Historical Data'!AB251</f>
        <v/>
      </c>
      <c r="Q254" s="3">
        <f>'Historical Data'!AN251</f>
        <v/>
      </c>
      <c r="R254" s="3">
        <f>'Historical Data'!AC251</f>
        <v/>
      </c>
      <c r="S254" s="3">
        <f>'Historical Data'!AE251</f>
        <v/>
      </c>
      <c r="T254" s="3">
        <f>'Historical Data'!AH251</f>
        <v/>
      </c>
      <c r="U254" s="3">
        <f>'Historical Data'!BA251</f>
        <v/>
      </c>
      <c r="V254" s="3" t="n"/>
      <c r="W254" s="3" t="n"/>
      <c r="X254" s="3" t="n"/>
      <c r="Y254" s="3" t="n"/>
      <c r="Z254" s="3" t="n"/>
    </row>
    <row r="255" hidden="1" ht="15.75" customHeight="1" s="174">
      <c r="A255" s="3">
        <f>'Historical Data'!A252</f>
        <v/>
      </c>
      <c r="B255" s="3">
        <f>'Historical Data'!B252</f>
        <v/>
      </c>
      <c r="C255" s="3">
        <f>'Historical Data'!D252</f>
        <v/>
      </c>
      <c r="D255" s="23">
        <f>'Historical Data'!E252</f>
        <v/>
      </c>
      <c r="E255" s="3">
        <f>'Historical Data'!G252</f>
        <v/>
      </c>
      <c r="F255" s="3">
        <f>'Historical Data'!Y252</f>
        <v/>
      </c>
      <c r="G255" s="3">
        <f>'Historical Data'!K252</f>
        <v/>
      </c>
      <c r="H255" s="3">
        <f>'Historical Data'!L252</f>
        <v/>
      </c>
      <c r="I255" s="26">
        <f>'Historical Data'!M252</f>
        <v/>
      </c>
      <c r="J255" s="28">
        <f>'Historical Data'!N252</f>
        <v/>
      </c>
      <c r="K255" s="28">
        <f>'Historical Data'!Q252</f>
        <v/>
      </c>
      <c r="L255" s="30">
        <f>'Historical Data'!S252</f>
        <v/>
      </c>
      <c r="M255" s="28">
        <f>'Historical Data'!AJ252</f>
        <v/>
      </c>
      <c r="N255" s="28">
        <f>'Historical Data'!AK252</f>
        <v/>
      </c>
      <c r="O255" s="3">
        <f>'Historical Data'!AA252</f>
        <v/>
      </c>
      <c r="P255" s="3">
        <f>'Historical Data'!AB252</f>
        <v/>
      </c>
      <c r="Q255" s="3">
        <f>'Historical Data'!AN252</f>
        <v/>
      </c>
      <c r="R255" s="3">
        <f>'Historical Data'!AC252</f>
        <v/>
      </c>
      <c r="S255" s="3">
        <f>'Historical Data'!AE252</f>
        <v/>
      </c>
      <c r="T255" s="3">
        <f>'Historical Data'!AH252</f>
        <v/>
      </c>
      <c r="U255" s="3">
        <f>'Historical Data'!BA252</f>
        <v/>
      </c>
      <c r="V255" s="3" t="n"/>
      <c r="W255" s="3" t="n"/>
      <c r="X255" s="3" t="n"/>
      <c r="Y255" s="3" t="n"/>
      <c r="Z255" s="3" t="n"/>
    </row>
    <row r="256" hidden="1" ht="15.75" customHeight="1" s="174">
      <c r="A256" s="3">
        <f>'Historical Data'!A253</f>
        <v/>
      </c>
      <c r="B256" s="3">
        <f>'Historical Data'!B253</f>
        <v/>
      </c>
      <c r="C256" s="3">
        <f>'Historical Data'!D253</f>
        <v/>
      </c>
      <c r="D256" s="23">
        <f>'Historical Data'!E253</f>
        <v/>
      </c>
      <c r="E256" s="3">
        <f>'Historical Data'!G253</f>
        <v/>
      </c>
      <c r="F256" s="3">
        <f>'Historical Data'!Y253</f>
        <v/>
      </c>
      <c r="G256" s="3">
        <f>'Historical Data'!K253</f>
        <v/>
      </c>
      <c r="H256" s="3">
        <f>'Historical Data'!L253</f>
        <v/>
      </c>
      <c r="I256" s="26">
        <f>'Historical Data'!M253</f>
        <v/>
      </c>
      <c r="J256" s="28">
        <f>'Historical Data'!N253</f>
        <v/>
      </c>
      <c r="K256" s="28">
        <f>'Historical Data'!Q253</f>
        <v/>
      </c>
      <c r="L256" s="30">
        <f>'Historical Data'!S253</f>
        <v/>
      </c>
      <c r="M256" s="28">
        <f>'Historical Data'!AJ253</f>
        <v/>
      </c>
      <c r="N256" s="28">
        <f>'Historical Data'!AK253</f>
        <v/>
      </c>
      <c r="O256" s="3">
        <f>'Historical Data'!AA253</f>
        <v/>
      </c>
      <c r="P256" s="3">
        <f>'Historical Data'!AB253</f>
        <v/>
      </c>
      <c r="Q256" s="3">
        <f>'Historical Data'!AN253</f>
        <v/>
      </c>
      <c r="R256" s="3">
        <f>'Historical Data'!AC253</f>
        <v/>
      </c>
      <c r="S256" s="3">
        <f>'Historical Data'!AE253</f>
        <v/>
      </c>
      <c r="T256" s="3">
        <f>'Historical Data'!AH253</f>
        <v/>
      </c>
      <c r="U256" s="3">
        <f>'Historical Data'!BA253</f>
        <v/>
      </c>
      <c r="V256" s="3" t="n"/>
      <c r="W256" s="3" t="n"/>
      <c r="X256" s="3" t="n"/>
      <c r="Y256" s="3" t="n"/>
      <c r="Z256" s="3" t="n"/>
    </row>
    <row r="257" hidden="1" ht="15.75" customHeight="1" s="174">
      <c r="A257" s="3">
        <f>'Historical Data'!A254</f>
        <v/>
      </c>
      <c r="B257" s="3">
        <f>'Historical Data'!B254</f>
        <v/>
      </c>
      <c r="C257" s="3">
        <f>'Historical Data'!D254</f>
        <v/>
      </c>
      <c r="D257" s="23">
        <f>'Historical Data'!E254</f>
        <v/>
      </c>
      <c r="E257" s="3">
        <f>'Historical Data'!G254</f>
        <v/>
      </c>
      <c r="F257" s="3">
        <f>'Historical Data'!Y254</f>
        <v/>
      </c>
      <c r="G257" s="3">
        <f>'Historical Data'!K254</f>
        <v/>
      </c>
      <c r="H257" s="3">
        <f>'Historical Data'!L254</f>
        <v/>
      </c>
      <c r="I257" s="26">
        <f>'Historical Data'!M254</f>
        <v/>
      </c>
      <c r="J257" s="28">
        <f>'Historical Data'!N254</f>
        <v/>
      </c>
      <c r="K257" s="28">
        <f>'Historical Data'!Q254</f>
        <v/>
      </c>
      <c r="L257" s="30">
        <f>'Historical Data'!S254</f>
        <v/>
      </c>
      <c r="M257" s="28">
        <f>'Historical Data'!AJ254</f>
        <v/>
      </c>
      <c r="N257" s="28">
        <f>'Historical Data'!AK254</f>
        <v/>
      </c>
      <c r="O257" s="3">
        <f>'Historical Data'!AA254</f>
        <v/>
      </c>
      <c r="P257" s="3">
        <f>'Historical Data'!AB254</f>
        <v/>
      </c>
      <c r="Q257" s="3">
        <f>'Historical Data'!AN254</f>
        <v/>
      </c>
      <c r="R257" s="3">
        <f>'Historical Data'!AC254</f>
        <v/>
      </c>
      <c r="S257" s="3">
        <f>'Historical Data'!AE254</f>
        <v/>
      </c>
      <c r="T257" s="3">
        <f>'Historical Data'!AH254</f>
        <v/>
      </c>
      <c r="U257" s="3">
        <f>'Historical Data'!BA254</f>
        <v/>
      </c>
      <c r="V257" s="3" t="n"/>
      <c r="W257" s="3" t="n"/>
      <c r="X257" s="3" t="n"/>
      <c r="Y257" s="3" t="n"/>
      <c r="Z257" s="3" t="n"/>
    </row>
    <row r="258" hidden="1" ht="15.75" customHeight="1" s="174">
      <c r="A258" s="3">
        <f>'Historical Data'!A255</f>
        <v/>
      </c>
      <c r="B258" s="3">
        <f>'Historical Data'!B255</f>
        <v/>
      </c>
      <c r="C258" s="3">
        <f>'Historical Data'!D255</f>
        <v/>
      </c>
      <c r="D258" s="23">
        <f>'Historical Data'!E255</f>
        <v/>
      </c>
      <c r="E258" s="3">
        <f>'Historical Data'!G255</f>
        <v/>
      </c>
      <c r="F258" s="3">
        <f>'Historical Data'!Y255</f>
        <v/>
      </c>
      <c r="G258" s="3">
        <f>'Historical Data'!K255</f>
        <v/>
      </c>
      <c r="H258" s="3">
        <f>'Historical Data'!L255</f>
        <v/>
      </c>
      <c r="I258" s="26">
        <f>'Historical Data'!M255</f>
        <v/>
      </c>
      <c r="J258" s="28">
        <f>'Historical Data'!N255</f>
        <v/>
      </c>
      <c r="K258" s="28">
        <f>'Historical Data'!Q255</f>
        <v/>
      </c>
      <c r="L258" s="30">
        <f>'Historical Data'!S255</f>
        <v/>
      </c>
      <c r="M258" s="28">
        <f>'Historical Data'!AJ255</f>
        <v/>
      </c>
      <c r="N258" s="28">
        <f>'Historical Data'!AK255</f>
        <v/>
      </c>
      <c r="O258" s="3">
        <f>'Historical Data'!AA255</f>
        <v/>
      </c>
      <c r="P258" s="3">
        <f>'Historical Data'!AB255</f>
        <v/>
      </c>
      <c r="Q258" s="3">
        <f>'Historical Data'!AN255</f>
        <v/>
      </c>
      <c r="R258" s="3">
        <f>'Historical Data'!AC255</f>
        <v/>
      </c>
      <c r="S258" s="3">
        <f>'Historical Data'!AE255</f>
        <v/>
      </c>
      <c r="T258" s="3">
        <f>'Historical Data'!AH255</f>
        <v/>
      </c>
      <c r="U258" s="3">
        <f>'Historical Data'!BA255</f>
        <v/>
      </c>
      <c r="V258" s="3" t="n"/>
      <c r="W258" s="3" t="n"/>
      <c r="X258" s="3" t="n"/>
      <c r="Y258" s="3" t="n"/>
      <c r="Z258" s="3" t="n"/>
    </row>
    <row r="259" hidden="1" ht="15.75" customHeight="1" s="174">
      <c r="A259" s="3">
        <f>'Historical Data'!A256</f>
        <v/>
      </c>
      <c r="B259" s="3">
        <f>'Historical Data'!B256</f>
        <v/>
      </c>
      <c r="C259" s="3">
        <f>'Historical Data'!D256</f>
        <v/>
      </c>
      <c r="D259" s="23">
        <f>'Historical Data'!E256</f>
        <v/>
      </c>
      <c r="E259" s="3">
        <f>'Historical Data'!G256</f>
        <v/>
      </c>
      <c r="F259" s="3">
        <f>'Historical Data'!Y256</f>
        <v/>
      </c>
      <c r="G259" s="3">
        <f>'Historical Data'!K256</f>
        <v/>
      </c>
      <c r="H259" s="3">
        <f>'Historical Data'!L256</f>
        <v/>
      </c>
      <c r="I259" s="26">
        <f>'Historical Data'!M256</f>
        <v/>
      </c>
      <c r="J259" s="28">
        <f>'Historical Data'!N256</f>
        <v/>
      </c>
      <c r="K259" s="28">
        <f>'Historical Data'!Q256</f>
        <v/>
      </c>
      <c r="L259" s="30">
        <f>'Historical Data'!S256</f>
        <v/>
      </c>
      <c r="M259" s="28">
        <f>'Historical Data'!AJ256</f>
        <v/>
      </c>
      <c r="N259" s="28">
        <f>'Historical Data'!AK256</f>
        <v/>
      </c>
      <c r="O259" s="3">
        <f>'Historical Data'!AA256</f>
        <v/>
      </c>
      <c r="P259" s="3">
        <f>'Historical Data'!AB256</f>
        <v/>
      </c>
      <c r="Q259" s="3">
        <f>'Historical Data'!AN256</f>
        <v/>
      </c>
      <c r="R259" s="3">
        <f>'Historical Data'!AC256</f>
        <v/>
      </c>
      <c r="S259" s="3">
        <f>'Historical Data'!AE256</f>
        <v/>
      </c>
      <c r="T259" s="3">
        <f>'Historical Data'!AH256</f>
        <v/>
      </c>
      <c r="U259" s="3">
        <f>'Historical Data'!BA256</f>
        <v/>
      </c>
      <c r="V259" s="3" t="n"/>
      <c r="W259" s="3" t="n"/>
      <c r="X259" s="3" t="n"/>
      <c r="Y259" s="3" t="n"/>
      <c r="Z259" s="3" t="n"/>
    </row>
    <row r="260" hidden="1" ht="15.75" customHeight="1" s="174">
      <c r="A260" s="3">
        <f>'Historical Data'!A257</f>
        <v/>
      </c>
      <c r="B260" s="3">
        <f>'Historical Data'!B257</f>
        <v/>
      </c>
      <c r="C260" s="3">
        <f>'Historical Data'!D257</f>
        <v/>
      </c>
      <c r="D260" s="23">
        <f>'Historical Data'!E257</f>
        <v/>
      </c>
      <c r="E260" s="3">
        <f>'Historical Data'!G257</f>
        <v/>
      </c>
      <c r="F260" s="3">
        <f>'Historical Data'!Y257</f>
        <v/>
      </c>
      <c r="G260" s="3">
        <f>'Historical Data'!K257</f>
        <v/>
      </c>
      <c r="H260" s="3">
        <f>'Historical Data'!L257</f>
        <v/>
      </c>
      <c r="I260" s="26">
        <f>'Historical Data'!M257</f>
        <v/>
      </c>
      <c r="J260" s="28">
        <f>'Historical Data'!N257</f>
        <v/>
      </c>
      <c r="K260" s="28">
        <f>'Historical Data'!Q257</f>
        <v/>
      </c>
      <c r="L260" s="30">
        <f>'Historical Data'!S257</f>
        <v/>
      </c>
      <c r="M260" s="28">
        <f>'Historical Data'!AJ257</f>
        <v/>
      </c>
      <c r="N260" s="28">
        <f>'Historical Data'!AK257</f>
        <v/>
      </c>
      <c r="O260" s="3">
        <f>'Historical Data'!AA257</f>
        <v/>
      </c>
      <c r="P260" s="3">
        <f>'Historical Data'!AB257</f>
        <v/>
      </c>
      <c r="Q260" s="3">
        <f>'Historical Data'!AN257</f>
        <v/>
      </c>
      <c r="R260" s="3">
        <f>'Historical Data'!AC257</f>
        <v/>
      </c>
      <c r="S260" s="3">
        <f>'Historical Data'!AE257</f>
        <v/>
      </c>
      <c r="T260" s="3">
        <f>'Historical Data'!AH257</f>
        <v/>
      </c>
      <c r="U260" s="3">
        <f>'Historical Data'!BA257</f>
        <v/>
      </c>
      <c r="V260" s="3" t="n"/>
      <c r="W260" s="3" t="n"/>
      <c r="X260" s="3" t="n"/>
      <c r="Y260" s="3" t="n"/>
      <c r="Z260" s="3" t="n"/>
    </row>
    <row r="261" hidden="1" ht="15.75" customHeight="1" s="174">
      <c r="A261" s="3">
        <f>'Historical Data'!A258</f>
        <v/>
      </c>
      <c r="B261" s="3">
        <f>'Historical Data'!B258</f>
        <v/>
      </c>
      <c r="C261" s="3">
        <f>'Historical Data'!D258</f>
        <v/>
      </c>
      <c r="D261" s="23">
        <f>'Historical Data'!E258</f>
        <v/>
      </c>
      <c r="E261" s="3">
        <f>'Historical Data'!G258</f>
        <v/>
      </c>
      <c r="F261" s="3">
        <f>'Historical Data'!Y258</f>
        <v/>
      </c>
      <c r="G261" s="3">
        <f>'Historical Data'!K258</f>
        <v/>
      </c>
      <c r="H261" s="3">
        <f>'Historical Data'!L258</f>
        <v/>
      </c>
      <c r="I261" s="26">
        <f>'Historical Data'!M258</f>
        <v/>
      </c>
      <c r="J261" s="28">
        <f>'Historical Data'!N258</f>
        <v/>
      </c>
      <c r="K261" s="28">
        <f>'Historical Data'!Q258</f>
        <v/>
      </c>
      <c r="L261" s="30">
        <f>'Historical Data'!S258</f>
        <v/>
      </c>
      <c r="M261" s="28">
        <f>'Historical Data'!AJ258</f>
        <v/>
      </c>
      <c r="N261" s="28">
        <f>'Historical Data'!AK258</f>
        <v/>
      </c>
      <c r="O261" s="3">
        <f>'Historical Data'!AA258</f>
        <v/>
      </c>
      <c r="P261" s="3">
        <f>'Historical Data'!AB258</f>
        <v/>
      </c>
      <c r="Q261" s="3">
        <f>'Historical Data'!AN258</f>
        <v/>
      </c>
      <c r="R261" s="3">
        <f>'Historical Data'!AC258</f>
        <v/>
      </c>
      <c r="S261" s="3">
        <f>'Historical Data'!AE258</f>
        <v/>
      </c>
      <c r="T261" s="3">
        <f>'Historical Data'!AH258</f>
        <v/>
      </c>
      <c r="U261" s="3">
        <f>'Historical Data'!BA258</f>
        <v/>
      </c>
      <c r="V261" s="3" t="n"/>
      <c r="W261" s="3" t="n"/>
      <c r="X261" s="3" t="n"/>
      <c r="Y261" s="3" t="n"/>
      <c r="Z261" s="3" t="n"/>
    </row>
    <row r="262" hidden="1" ht="15.75" customHeight="1" s="174">
      <c r="A262" s="3">
        <f>'Historical Data'!A259</f>
        <v/>
      </c>
      <c r="B262" s="3">
        <f>'Historical Data'!B259</f>
        <v/>
      </c>
      <c r="C262" s="3">
        <f>'Historical Data'!D259</f>
        <v/>
      </c>
      <c r="D262" s="23">
        <f>'Historical Data'!E259</f>
        <v/>
      </c>
      <c r="E262" s="3">
        <f>'Historical Data'!G259</f>
        <v/>
      </c>
      <c r="F262" s="3">
        <f>'Historical Data'!Y259</f>
        <v/>
      </c>
      <c r="G262" s="3">
        <f>'Historical Data'!K259</f>
        <v/>
      </c>
      <c r="H262" s="3">
        <f>'Historical Data'!L259</f>
        <v/>
      </c>
      <c r="I262" s="26">
        <f>'Historical Data'!M259</f>
        <v/>
      </c>
      <c r="J262" s="28">
        <f>'Historical Data'!N259</f>
        <v/>
      </c>
      <c r="K262" s="28">
        <f>'Historical Data'!Q259</f>
        <v/>
      </c>
      <c r="L262" s="30">
        <f>'Historical Data'!S259</f>
        <v/>
      </c>
      <c r="M262" s="28">
        <f>'Historical Data'!AJ259</f>
        <v/>
      </c>
      <c r="N262" s="28">
        <f>'Historical Data'!AK259</f>
        <v/>
      </c>
      <c r="O262" s="3">
        <f>'Historical Data'!AA259</f>
        <v/>
      </c>
      <c r="P262" s="3">
        <f>'Historical Data'!AB259</f>
        <v/>
      </c>
      <c r="Q262" s="3">
        <f>'Historical Data'!AN259</f>
        <v/>
      </c>
      <c r="R262" s="3">
        <f>'Historical Data'!AC259</f>
        <v/>
      </c>
      <c r="S262" s="3">
        <f>'Historical Data'!AE259</f>
        <v/>
      </c>
      <c r="T262" s="3">
        <f>'Historical Data'!AH259</f>
        <v/>
      </c>
      <c r="U262" s="3">
        <f>'Historical Data'!BA259</f>
        <v/>
      </c>
      <c r="V262" s="3" t="n"/>
      <c r="W262" s="3" t="n"/>
      <c r="X262" s="3" t="n"/>
      <c r="Y262" s="3" t="n"/>
      <c r="Z262" s="3" t="n"/>
    </row>
    <row r="263" hidden="1" ht="15.75" customHeight="1" s="174">
      <c r="A263" s="3">
        <f>'Historical Data'!A260</f>
        <v/>
      </c>
      <c r="B263" s="3">
        <f>'Historical Data'!B260</f>
        <v/>
      </c>
      <c r="C263" s="3">
        <f>'Historical Data'!D260</f>
        <v/>
      </c>
      <c r="D263" s="23">
        <f>'Historical Data'!E260</f>
        <v/>
      </c>
      <c r="E263" s="3">
        <f>'Historical Data'!G260</f>
        <v/>
      </c>
      <c r="F263" s="3">
        <f>'Historical Data'!Y260</f>
        <v/>
      </c>
      <c r="G263" s="3">
        <f>'Historical Data'!K260</f>
        <v/>
      </c>
      <c r="H263" s="3">
        <f>'Historical Data'!L260</f>
        <v/>
      </c>
      <c r="I263" s="26">
        <f>'Historical Data'!M260</f>
        <v/>
      </c>
      <c r="J263" s="28">
        <f>'Historical Data'!N260</f>
        <v/>
      </c>
      <c r="K263" s="28">
        <f>'Historical Data'!Q260</f>
        <v/>
      </c>
      <c r="L263" s="30">
        <f>'Historical Data'!S260</f>
        <v/>
      </c>
      <c r="M263" s="28">
        <f>'Historical Data'!AJ260</f>
        <v/>
      </c>
      <c r="N263" s="28">
        <f>'Historical Data'!AK260</f>
        <v/>
      </c>
      <c r="O263" s="3">
        <f>'Historical Data'!AA260</f>
        <v/>
      </c>
      <c r="P263" s="3">
        <f>'Historical Data'!AB260</f>
        <v/>
      </c>
      <c r="Q263" s="3">
        <f>'Historical Data'!AN260</f>
        <v/>
      </c>
      <c r="R263" s="3">
        <f>'Historical Data'!AC260</f>
        <v/>
      </c>
      <c r="S263" s="3">
        <f>'Historical Data'!AE260</f>
        <v/>
      </c>
      <c r="T263" s="3">
        <f>'Historical Data'!AH260</f>
        <v/>
      </c>
      <c r="U263" s="3">
        <f>'Historical Data'!BA260</f>
        <v/>
      </c>
      <c r="V263" s="3" t="n"/>
      <c r="W263" s="3" t="n"/>
      <c r="X263" s="3" t="n"/>
      <c r="Y263" s="3" t="n"/>
      <c r="Z263" s="3" t="n"/>
    </row>
    <row r="264" hidden="1" ht="15.75" customHeight="1" s="174">
      <c r="A264" s="3">
        <f>'Historical Data'!A261</f>
        <v/>
      </c>
      <c r="B264" s="3">
        <f>'Historical Data'!B261</f>
        <v/>
      </c>
      <c r="C264" s="3">
        <f>'Historical Data'!D261</f>
        <v/>
      </c>
      <c r="D264" s="23">
        <f>'Historical Data'!E261</f>
        <v/>
      </c>
      <c r="E264" s="3">
        <f>'Historical Data'!G261</f>
        <v/>
      </c>
      <c r="F264" s="3">
        <f>'Historical Data'!Y261</f>
        <v/>
      </c>
      <c r="G264" s="3">
        <f>'Historical Data'!K261</f>
        <v/>
      </c>
      <c r="H264" s="3">
        <f>'Historical Data'!L261</f>
        <v/>
      </c>
      <c r="I264" s="26">
        <f>'Historical Data'!M261</f>
        <v/>
      </c>
      <c r="J264" s="28">
        <f>'Historical Data'!N261</f>
        <v/>
      </c>
      <c r="K264" s="28">
        <f>'Historical Data'!Q261</f>
        <v/>
      </c>
      <c r="L264" s="30">
        <f>'Historical Data'!S261</f>
        <v/>
      </c>
      <c r="M264" s="28">
        <f>'Historical Data'!AJ261</f>
        <v/>
      </c>
      <c r="N264" s="28">
        <f>'Historical Data'!AK261</f>
        <v/>
      </c>
      <c r="O264" s="3">
        <f>'Historical Data'!AA261</f>
        <v/>
      </c>
      <c r="P264" s="3">
        <f>'Historical Data'!AB261</f>
        <v/>
      </c>
      <c r="Q264" s="3">
        <f>'Historical Data'!AN261</f>
        <v/>
      </c>
      <c r="R264" s="3">
        <f>'Historical Data'!AC261</f>
        <v/>
      </c>
      <c r="S264" s="3">
        <f>'Historical Data'!AE261</f>
        <v/>
      </c>
      <c r="T264" s="3">
        <f>'Historical Data'!AH261</f>
        <v/>
      </c>
      <c r="U264" s="3">
        <f>'Historical Data'!BA261</f>
        <v/>
      </c>
      <c r="V264" s="3" t="n"/>
      <c r="W264" s="3" t="n"/>
      <c r="X264" s="3" t="n"/>
      <c r="Y264" s="3" t="n"/>
      <c r="Z264" s="3" t="n"/>
    </row>
    <row r="265" hidden="1" ht="15.75" customHeight="1" s="174">
      <c r="A265" s="3">
        <f>'Historical Data'!A262</f>
        <v/>
      </c>
      <c r="B265" s="3">
        <f>'Historical Data'!B262</f>
        <v/>
      </c>
      <c r="C265" s="3">
        <f>'Historical Data'!D262</f>
        <v/>
      </c>
      <c r="D265" s="23">
        <f>'Historical Data'!E262</f>
        <v/>
      </c>
      <c r="E265" s="3">
        <f>'Historical Data'!G262</f>
        <v/>
      </c>
      <c r="F265" s="3">
        <f>'Historical Data'!Y262</f>
        <v/>
      </c>
      <c r="G265" s="3">
        <f>'Historical Data'!K262</f>
        <v/>
      </c>
      <c r="H265" s="3">
        <f>'Historical Data'!L262</f>
        <v/>
      </c>
      <c r="I265" s="26">
        <f>'Historical Data'!M262</f>
        <v/>
      </c>
      <c r="J265" s="28">
        <f>'Historical Data'!N262</f>
        <v/>
      </c>
      <c r="K265" s="28">
        <f>'Historical Data'!Q262</f>
        <v/>
      </c>
      <c r="L265" s="30">
        <f>'Historical Data'!S262</f>
        <v/>
      </c>
      <c r="M265" s="28">
        <f>'Historical Data'!AJ262</f>
        <v/>
      </c>
      <c r="N265" s="28">
        <f>'Historical Data'!AK262</f>
        <v/>
      </c>
      <c r="O265" s="3">
        <f>'Historical Data'!AA262</f>
        <v/>
      </c>
      <c r="P265" s="3">
        <f>'Historical Data'!AB262</f>
        <v/>
      </c>
      <c r="Q265" s="3">
        <f>'Historical Data'!AN262</f>
        <v/>
      </c>
      <c r="R265" s="3">
        <f>'Historical Data'!AC262</f>
        <v/>
      </c>
      <c r="S265" s="3">
        <f>'Historical Data'!AE262</f>
        <v/>
      </c>
      <c r="T265" s="3">
        <f>'Historical Data'!AH262</f>
        <v/>
      </c>
      <c r="U265" s="3">
        <f>'Historical Data'!BA262</f>
        <v/>
      </c>
      <c r="V265" s="3" t="n"/>
      <c r="W265" s="3" t="n"/>
      <c r="X265" s="3" t="n"/>
      <c r="Y265" s="3" t="n"/>
      <c r="Z265" s="3" t="n"/>
    </row>
    <row r="266" hidden="1" ht="15.75" customHeight="1" s="174">
      <c r="A266" s="3">
        <f>'Historical Data'!A263</f>
        <v/>
      </c>
      <c r="B266" s="3">
        <f>'Historical Data'!B263</f>
        <v/>
      </c>
      <c r="C266" s="3">
        <f>'Historical Data'!D263</f>
        <v/>
      </c>
      <c r="D266" s="23">
        <f>'Historical Data'!E263</f>
        <v/>
      </c>
      <c r="E266" s="3">
        <f>'Historical Data'!G263</f>
        <v/>
      </c>
      <c r="F266" s="3">
        <f>'Historical Data'!Y263</f>
        <v/>
      </c>
      <c r="G266" s="3">
        <f>'Historical Data'!K263</f>
        <v/>
      </c>
      <c r="H266" s="3">
        <f>'Historical Data'!L263</f>
        <v/>
      </c>
      <c r="I266" s="26">
        <f>'Historical Data'!M263</f>
        <v/>
      </c>
      <c r="J266" s="28">
        <f>'Historical Data'!N263</f>
        <v/>
      </c>
      <c r="K266" s="28">
        <f>'Historical Data'!Q263</f>
        <v/>
      </c>
      <c r="L266" s="30">
        <f>'Historical Data'!S263</f>
        <v/>
      </c>
      <c r="M266" s="28">
        <f>'Historical Data'!AJ263</f>
        <v/>
      </c>
      <c r="N266" s="28">
        <f>'Historical Data'!AK263</f>
        <v/>
      </c>
      <c r="O266" s="3">
        <f>'Historical Data'!AA263</f>
        <v/>
      </c>
      <c r="P266" s="3">
        <f>'Historical Data'!AB263</f>
        <v/>
      </c>
      <c r="Q266" s="3">
        <f>'Historical Data'!AN263</f>
        <v/>
      </c>
      <c r="R266" s="3">
        <f>'Historical Data'!AC263</f>
        <v/>
      </c>
      <c r="S266" s="3">
        <f>'Historical Data'!AE263</f>
        <v/>
      </c>
      <c r="T266" s="3">
        <f>'Historical Data'!AH263</f>
        <v/>
      </c>
      <c r="U266" s="3">
        <f>'Historical Data'!BA263</f>
        <v/>
      </c>
      <c r="V266" s="3" t="n"/>
      <c r="W266" s="3" t="n"/>
      <c r="X266" s="3" t="n"/>
      <c r="Y266" s="3" t="n"/>
      <c r="Z266" s="3" t="n"/>
    </row>
    <row r="267" hidden="1" ht="15.75" customHeight="1" s="174">
      <c r="A267" s="3">
        <f>'Historical Data'!A264</f>
        <v/>
      </c>
      <c r="B267" s="3">
        <f>'Historical Data'!B264</f>
        <v/>
      </c>
      <c r="C267" s="3">
        <f>'Historical Data'!D264</f>
        <v/>
      </c>
      <c r="D267" s="23">
        <f>'Historical Data'!E264</f>
        <v/>
      </c>
      <c r="E267" s="3">
        <f>'Historical Data'!G264</f>
        <v/>
      </c>
      <c r="F267" s="3">
        <f>'Historical Data'!Y264</f>
        <v/>
      </c>
      <c r="G267" s="3">
        <f>'Historical Data'!K264</f>
        <v/>
      </c>
      <c r="H267" s="3">
        <f>'Historical Data'!L264</f>
        <v/>
      </c>
      <c r="I267" s="26">
        <f>'Historical Data'!M264</f>
        <v/>
      </c>
      <c r="J267" s="28">
        <f>'Historical Data'!N264</f>
        <v/>
      </c>
      <c r="K267" s="28">
        <f>'Historical Data'!Q264</f>
        <v/>
      </c>
      <c r="L267" s="30">
        <f>'Historical Data'!S264</f>
        <v/>
      </c>
      <c r="M267" s="28">
        <f>'Historical Data'!AJ264</f>
        <v/>
      </c>
      <c r="N267" s="28">
        <f>'Historical Data'!AK264</f>
        <v/>
      </c>
      <c r="O267" s="3">
        <f>'Historical Data'!AA264</f>
        <v/>
      </c>
      <c r="P267" s="3">
        <f>'Historical Data'!AB264</f>
        <v/>
      </c>
      <c r="Q267" s="3">
        <f>'Historical Data'!AN264</f>
        <v/>
      </c>
      <c r="R267" s="3">
        <f>'Historical Data'!AC264</f>
        <v/>
      </c>
      <c r="S267" s="3">
        <f>'Historical Data'!AE264</f>
        <v/>
      </c>
      <c r="T267" s="3">
        <f>'Historical Data'!AH264</f>
        <v/>
      </c>
      <c r="U267" s="3">
        <f>'Historical Data'!BA264</f>
        <v/>
      </c>
      <c r="V267" s="3" t="n"/>
      <c r="W267" s="3" t="n"/>
      <c r="X267" s="3" t="n"/>
      <c r="Y267" s="3" t="n"/>
      <c r="Z267" s="3" t="n"/>
    </row>
    <row r="268" hidden="1" ht="15.75" customHeight="1" s="174">
      <c r="A268" s="3">
        <f>'Historical Data'!A265</f>
        <v/>
      </c>
      <c r="B268" s="3">
        <f>'Historical Data'!B265</f>
        <v/>
      </c>
      <c r="C268" s="3">
        <f>'Historical Data'!D265</f>
        <v/>
      </c>
      <c r="D268" s="23">
        <f>'Historical Data'!E265</f>
        <v/>
      </c>
      <c r="E268" s="3">
        <f>'Historical Data'!G265</f>
        <v/>
      </c>
      <c r="F268" s="3">
        <f>'Historical Data'!Y265</f>
        <v/>
      </c>
      <c r="G268" s="3">
        <f>'Historical Data'!K265</f>
        <v/>
      </c>
      <c r="H268" s="3">
        <f>'Historical Data'!L265</f>
        <v/>
      </c>
      <c r="I268" s="26">
        <f>'Historical Data'!M265</f>
        <v/>
      </c>
      <c r="J268" s="28">
        <f>'Historical Data'!N265</f>
        <v/>
      </c>
      <c r="K268" s="28">
        <f>'Historical Data'!Q265</f>
        <v/>
      </c>
      <c r="L268" s="30">
        <f>'Historical Data'!S265</f>
        <v/>
      </c>
      <c r="M268" s="28">
        <f>'Historical Data'!AJ265</f>
        <v/>
      </c>
      <c r="N268" s="28">
        <f>'Historical Data'!AK265</f>
        <v/>
      </c>
      <c r="O268" s="3">
        <f>'Historical Data'!AA265</f>
        <v/>
      </c>
      <c r="P268" s="3">
        <f>'Historical Data'!AB265</f>
        <v/>
      </c>
      <c r="Q268" s="3">
        <f>'Historical Data'!AN265</f>
        <v/>
      </c>
      <c r="R268" s="3">
        <f>'Historical Data'!AC265</f>
        <v/>
      </c>
      <c r="S268" s="3">
        <f>'Historical Data'!AE265</f>
        <v/>
      </c>
      <c r="T268" s="3">
        <f>'Historical Data'!AH265</f>
        <v/>
      </c>
      <c r="U268" s="3">
        <f>'Historical Data'!BA265</f>
        <v/>
      </c>
      <c r="V268" s="3" t="n"/>
      <c r="W268" s="3" t="n"/>
      <c r="X268" s="3" t="n"/>
      <c r="Y268" s="3" t="n"/>
      <c r="Z268" s="3" t="n"/>
    </row>
    <row r="269" hidden="1" ht="15.75" customHeight="1" s="174">
      <c r="A269" s="3">
        <f>'Historical Data'!A266</f>
        <v/>
      </c>
      <c r="B269" s="3">
        <f>'Historical Data'!B266</f>
        <v/>
      </c>
      <c r="C269" s="3">
        <f>'Historical Data'!D266</f>
        <v/>
      </c>
      <c r="D269" s="23">
        <f>'Historical Data'!E266</f>
        <v/>
      </c>
      <c r="E269" s="3">
        <f>'Historical Data'!G266</f>
        <v/>
      </c>
      <c r="F269" s="3">
        <f>'Historical Data'!Y266</f>
        <v/>
      </c>
      <c r="G269" s="3">
        <f>'Historical Data'!K266</f>
        <v/>
      </c>
      <c r="H269" s="3">
        <f>'Historical Data'!L266</f>
        <v/>
      </c>
      <c r="I269" s="26">
        <f>'Historical Data'!M266</f>
        <v/>
      </c>
      <c r="J269" s="28">
        <f>'Historical Data'!N266</f>
        <v/>
      </c>
      <c r="K269" s="28">
        <f>'Historical Data'!Q266</f>
        <v/>
      </c>
      <c r="L269" s="30">
        <f>'Historical Data'!S266</f>
        <v/>
      </c>
      <c r="M269" s="28">
        <f>'Historical Data'!AJ266</f>
        <v/>
      </c>
      <c r="N269" s="28">
        <f>'Historical Data'!AK266</f>
        <v/>
      </c>
      <c r="O269" s="3">
        <f>'Historical Data'!AA266</f>
        <v/>
      </c>
      <c r="P269" s="3">
        <f>'Historical Data'!AB266</f>
        <v/>
      </c>
      <c r="Q269" s="3">
        <f>'Historical Data'!AN266</f>
        <v/>
      </c>
      <c r="R269" s="3">
        <f>'Historical Data'!AC266</f>
        <v/>
      </c>
      <c r="S269" s="3">
        <f>'Historical Data'!AE266</f>
        <v/>
      </c>
      <c r="T269" s="3">
        <f>'Historical Data'!AH266</f>
        <v/>
      </c>
      <c r="U269" s="3">
        <f>'Historical Data'!BA266</f>
        <v/>
      </c>
      <c r="V269" s="3" t="n"/>
      <c r="W269" s="3" t="n"/>
      <c r="X269" s="3" t="n"/>
      <c r="Y269" s="3" t="n"/>
      <c r="Z269" s="3" t="n"/>
    </row>
    <row r="270" hidden="1" ht="15.75" customHeight="1" s="174">
      <c r="A270" s="3">
        <f>'Historical Data'!A267</f>
        <v/>
      </c>
      <c r="B270" s="3">
        <f>'Historical Data'!B267</f>
        <v/>
      </c>
      <c r="C270" s="3">
        <f>'Historical Data'!D267</f>
        <v/>
      </c>
      <c r="D270" s="23">
        <f>'Historical Data'!E267</f>
        <v/>
      </c>
      <c r="E270" s="3">
        <f>'Historical Data'!G267</f>
        <v/>
      </c>
      <c r="F270" s="3">
        <f>'Historical Data'!Y267</f>
        <v/>
      </c>
      <c r="G270" s="3">
        <f>'Historical Data'!K267</f>
        <v/>
      </c>
      <c r="H270" s="3">
        <f>'Historical Data'!L267</f>
        <v/>
      </c>
      <c r="I270" s="26">
        <f>'Historical Data'!M267</f>
        <v/>
      </c>
      <c r="J270" s="28">
        <f>'Historical Data'!N267</f>
        <v/>
      </c>
      <c r="K270" s="28">
        <f>'Historical Data'!Q267</f>
        <v/>
      </c>
      <c r="L270" s="30">
        <f>'Historical Data'!S267</f>
        <v/>
      </c>
      <c r="M270" s="28">
        <f>'Historical Data'!AJ267</f>
        <v/>
      </c>
      <c r="N270" s="28">
        <f>'Historical Data'!AK267</f>
        <v/>
      </c>
      <c r="O270" s="3">
        <f>'Historical Data'!AA267</f>
        <v/>
      </c>
      <c r="P270" s="3">
        <f>'Historical Data'!AB267</f>
        <v/>
      </c>
      <c r="Q270" s="3">
        <f>'Historical Data'!AN267</f>
        <v/>
      </c>
      <c r="R270" s="3">
        <f>'Historical Data'!AC267</f>
        <v/>
      </c>
      <c r="S270" s="3">
        <f>'Historical Data'!AE267</f>
        <v/>
      </c>
      <c r="T270" s="3">
        <f>'Historical Data'!AH267</f>
        <v/>
      </c>
      <c r="U270" s="3">
        <f>'Historical Data'!BA267</f>
        <v/>
      </c>
      <c r="V270" s="3" t="n"/>
      <c r="W270" s="3" t="n"/>
      <c r="X270" s="3" t="n"/>
      <c r="Y270" s="3" t="n"/>
      <c r="Z270" s="3" t="n"/>
    </row>
    <row r="271" hidden="1" ht="15.75" customHeight="1" s="174">
      <c r="A271" s="3">
        <f>'Historical Data'!A268</f>
        <v/>
      </c>
      <c r="B271" s="3">
        <f>'Historical Data'!B268</f>
        <v/>
      </c>
      <c r="C271" s="3">
        <f>'Historical Data'!D268</f>
        <v/>
      </c>
      <c r="D271" s="23">
        <f>'Historical Data'!E268</f>
        <v/>
      </c>
      <c r="E271" s="3">
        <f>'Historical Data'!G268</f>
        <v/>
      </c>
      <c r="F271" s="3">
        <f>'Historical Data'!Y268</f>
        <v/>
      </c>
      <c r="G271" s="3">
        <f>'Historical Data'!K268</f>
        <v/>
      </c>
      <c r="H271" s="3">
        <f>'Historical Data'!L268</f>
        <v/>
      </c>
      <c r="I271" s="26">
        <f>'Historical Data'!M268</f>
        <v/>
      </c>
      <c r="J271" s="28">
        <f>'Historical Data'!N268</f>
        <v/>
      </c>
      <c r="K271" s="28">
        <f>'Historical Data'!Q268</f>
        <v/>
      </c>
      <c r="L271" s="30">
        <f>'Historical Data'!S268</f>
        <v/>
      </c>
      <c r="M271" s="28">
        <f>'Historical Data'!AJ268</f>
        <v/>
      </c>
      <c r="N271" s="28">
        <f>'Historical Data'!AK268</f>
        <v/>
      </c>
      <c r="O271" s="3">
        <f>'Historical Data'!AA268</f>
        <v/>
      </c>
      <c r="P271" s="3">
        <f>'Historical Data'!AB268</f>
        <v/>
      </c>
      <c r="Q271" s="3">
        <f>'Historical Data'!AN268</f>
        <v/>
      </c>
      <c r="R271" s="3">
        <f>'Historical Data'!AC268</f>
        <v/>
      </c>
      <c r="S271" s="3">
        <f>'Historical Data'!AE268</f>
        <v/>
      </c>
      <c r="T271" s="3">
        <f>'Historical Data'!AH268</f>
        <v/>
      </c>
      <c r="U271" s="3">
        <f>'Historical Data'!BA268</f>
        <v/>
      </c>
      <c r="V271" s="3" t="n"/>
      <c r="W271" s="3" t="n"/>
      <c r="X271" s="3" t="n"/>
      <c r="Y271" s="3" t="n"/>
      <c r="Z271" s="3" t="n"/>
    </row>
    <row r="272" hidden="1" ht="15.75" customHeight="1" s="174">
      <c r="A272" s="3">
        <f>'Historical Data'!A269</f>
        <v/>
      </c>
      <c r="B272" s="3">
        <f>'Historical Data'!B269</f>
        <v/>
      </c>
      <c r="C272" s="3">
        <f>'Historical Data'!D269</f>
        <v/>
      </c>
      <c r="D272" s="23">
        <f>'Historical Data'!E269</f>
        <v/>
      </c>
      <c r="E272" s="3">
        <f>'Historical Data'!G269</f>
        <v/>
      </c>
      <c r="F272" s="3">
        <f>'Historical Data'!Y269</f>
        <v/>
      </c>
      <c r="G272" s="3">
        <f>'Historical Data'!K269</f>
        <v/>
      </c>
      <c r="H272" s="3">
        <f>'Historical Data'!L269</f>
        <v/>
      </c>
      <c r="I272" s="26">
        <f>'Historical Data'!M269</f>
        <v/>
      </c>
      <c r="J272" s="28">
        <f>'Historical Data'!N269</f>
        <v/>
      </c>
      <c r="K272" s="28">
        <f>'Historical Data'!Q269</f>
        <v/>
      </c>
      <c r="L272" s="30">
        <f>'Historical Data'!S269</f>
        <v/>
      </c>
      <c r="M272" s="28">
        <f>'Historical Data'!AJ269</f>
        <v/>
      </c>
      <c r="N272" s="28">
        <f>'Historical Data'!AK269</f>
        <v/>
      </c>
      <c r="O272" s="3">
        <f>'Historical Data'!AA269</f>
        <v/>
      </c>
      <c r="P272" s="3">
        <f>'Historical Data'!AB269</f>
        <v/>
      </c>
      <c r="Q272" s="3">
        <f>'Historical Data'!AN269</f>
        <v/>
      </c>
      <c r="R272" s="3">
        <f>'Historical Data'!AC269</f>
        <v/>
      </c>
      <c r="S272" s="3">
        <f>'Historical Data'!AE269</f>
        <v/>
      </c>
      <c r="T272" s="3">
        <f>'Historical Data'!AH269</f>
        <v/>
      </c>
      <c r="U272" s="3">
        <f>'Historical Data'!BA269</f>
        <v/>
      </c>
      <c r="V272" s="3" t="n"/>
      <c r="W272" s="3" t="n"/>
      <c r="X272" s="3" t="n"/>
      <c r="Y272" s="3" t="n"/>
      <c r="Z272" s="3" t="n"/>
    </row>
    <row r="273" hidden="1" ht="15.75" customHeight="1" s="174">
      <c r="A273" s="3">
        <f>'Historical Data'!A270</f>
        <v/>
      </c>
      <c r="B273" s="3">
        <f>'Historical Data'!B270</f>
        <v/>
      </c>
      <c r="C273" s="3">
        <f>'Historical Data'!D270</f>
        <v/>
      </c>
      <c r="D273" s="23">
        <f>'Historical Data'!E270</f>
        <v/>
      </c>
      <c r="E273" s="3">
        <f>'Historical Data'!G270</f>
        <v/>
      </c>
      <c r="F273" s="3">
        <f>'Historical Data'!Y270</f>
        <v/>
      </c>
      <c r="G273" s="3">
        <f>'Historical Data'!K270</f>
        <v/>
      </c>
      <c r="H273" s="3">
        <f>'Historical Data'!L270</f>
        <v/>
      </c>
      <c r="I273" s="26">
        <f>'Historical Data'!M270</f>
        <v/>
      </c>
      <c r="J273" s="28">
        <f>'Historical Data'!N270</f>
        <v/>
      </c>
      <c r="K273" s="28">
        <f>'Historical Data'!Q270</f>
        <v/>
      </c>
      <c r="L273" s="30">
        <f>'Historical Data'!S270</f>
        <v/>
      </c>
      <c r="M273" s="28">
        <f>'Historical Data'!AJ270</f>
        <v/>
      </c>
      <c r="N273" s="28">
        <f>'Historical Data'!AK270</f>
        <v/>
      </c>
      <c r="O273" s="3">
        <f>'Historical Data'!AA270</f>
        <v/>
      </c>
      <c r="P273" s="3">
        <f>'Historical Data'!AB270</f>
        <v/>
      </c>
      <c r="Q273" s="3">
        <f>'Historical Data'!AN270</f>
        <v/>
      </c>
      <c r="R273" s="3">
        <f>'Historical Data'!AC270</f>
        <v/>
      </c>
      <c r="S273" s="3">
        <f>'Historical Data'!AE270</f>
        <v/>
      </c>
      <c r="T273" s="3">
        <f>'Historical Data'!AH270</f>
        <v/>
      </c>
      <c r="U273" s="3">
        <f>'Historical Data'!BA270</f>
        <v/>
      </c>
      <c r="V273" s="3" t="n"/>
      <c r="W273" s="3" t="n"/>
      <c r="X273" s="3" t="n"/>
      <c r="Y273" s="3" t="n"/>
      <c r="Z273" s="3" t="n"/>
    </row>
    <row r="274" hidden="1" ht="15.75" customHeight="1" s="174">
      <c r="A274" s="3">
        <f>'Historical Data'!A271</f>
        <v/>
      </c>
      <c r="B274" s="3">
        <f>'Historical Data'!B271</f>
        <v/>
      </c>
      <c r="C274" s="3">
        <f>'Historical Data'!D271</f>
        <v/>
      </c>
      <c r="D274" s="23">
        <f>'Historical Data'!E271</f>
        <v/>
      </c>
      <c r="E274" s="3">
        <f>'Historical Data'!G271</f>
        <v/>
      </c>
      <c r="F274" s="3">
        <f>'Historical Data'!Y271</f>
        <v/>
      </c>
      <c r="G274" s="3">
        <f>'Historical Data'!K271</f>
        <v/>
      </c>
      <c r="H274" s="3">
        <f>'Historical Data'!L271</f>
        <v/>
      </c>
      <c r="I274" s="26">
        <f>'Historical Data'!M271</f>
        <v/>
      </c>
      <c r="J274" s="28">
        <f>'Historical Data'!N271</f>
        <v/>
      </c>
      <c r="K274" s="28">
        <f>'Historical Data'!Q271</f>
        <v/>
      </c>
      <c r="L274" s="30">
        <f>'Historical Data'!S271</f>
        <v/>
      </c>
      <c r="M274" s="28">
        <f>'Historical Data'!AJ271</f>
        <v/>
      </c>
      <c r="N274" s="28">
        <f>'Historical Data'!AK271</f>
        <v/>
      </c>
      <c r="O274" s="3">
        <f>'Historical Data'!AA271</f>
        <v/>
      </c>
      <c r="P274" s="3">
        <f>'Historical Data'!AB271</f>
        <v/>
      </c>
      <c r="Q274" s="3">
        <f>'Historical Data'!AN271</f>
        <v/>
      </c>
      <c r="R274" s="3">
        <f>'Historical Data'!AC271</f>
        <v/>
      </c>
      <c r="S274" s="3">
        <f>'Historical Data'!AE271</f>
        <v/>
      </c>
      <c r="T274" s="3">
        <f>'Historical Data'!AH271</f>
        <v/>
      </c>
      <c r="U274" s="3">
        <f>'Historical Data'!BA271</f>
        <v/>
      </c>
      <c r="V274" s="3" t="n"/>
      <c r="W274" s="3" t="n"/>
      <c r="X274" s="3" t="n"/>
      <c r="Y274" s="3" t="n"/>
      <c r="Z274" s="3" t="n"/>
    </row>
    <row r="275" hidden="1" ht="15.75" customHeight="1" s="174">
      <c r="A275" s="3">
        <f>'Historical Data'!A272</f>
        <v/>
      </c>
      <c r="B275" s="3">
        <f>'Historical Data'!B272</f>
        <v/>
      </c>
      <c r="C275" s="3">
        <f>'Historical Data'!D272</f>
        <v/>
      </c>
      <c r="D275" s="23">
        <f>'Historical Data'!E272</f>
        <v/>
      </c>
      <c r="E275" s="3">
        <f>'Historical Data'!G272</f>
        <v/>
      </c>
      <c r="F275" s="3">
        <f>'Historical Data'!Y272</f>
        <v/>
      </c>
      <c r="G275" s="3">
        <f>'Historical Data'!K272</f>
        <v/>
      </c>
      <c r="H275" s="3">
        <f>'Historical Data'!L272</f>
        <v/>
      </c>
      <c r="I275" s="26">
        <f>'Historical Data'!M272</f>
        <v/>
      </c>
      <c r="J275" s="28">
        <f>'Historical Data'!N272</f>
        <v/>
      </c>
      <c r="K275" s="28">
        <f>'Historical Data'!Q272</f>
        <v/>
      </c>
      <c r="L275" s="30">
        <f>'Historical Data'!S272</f>
        <v/>
      </c>
      <c r="M275" s="28">
        <f>'Historical Data'!AJ272</f>
        <v/>
      </c>
      <c r="N275" s="28">
        <f>'Historical Data'!AK272</f>
        <v/>
      </c>
      <c r="O275" s="3">
        <f>'Historical Data'!AA272</f>
        <v/>
      </c>
      <c r="P275" s="3">
        <f>'Historical Data'!AB272</f>
        <v/>
      </c>
      <c r="Q275" s="3">
        <f>'Historical Data'!AN272</f>
        <v/>
      </c>
      <c r="R275" s="3">
        <f>'Historical Data'!AC272</f>
        <v/>
      </c>
      <c r="S275" s="3">
        <f>'Historical Data'!AE272</f>
        <v/>
      </c>
      <c r="T275" s="3">
        <f>'Historical Data'!AH272</f>
        <v/>
      </c>
      <c r="U275" s="3">
        <f>'Historical Data'!BA272</f>
        <v/>
      </c>
      <c r="V275" s="3" t="n"/>
      <c r="W275" s="3" t="n"/>
      <c r="X275" s="3" t="n"/>
      <c r="Y275" s="3" t="n"/>
      <c r="Z275" s="3" t="n"/>
    </row>
    <row r="276" hidden="1" ht="15.75" customHeight="1" s="174">
      <c r="A276" s="3">
        <f>'Historical Data'!A273</f>
        <v/>
      </c>
      <c r="B276" s="3">
        <f>'Historical Data'!B273</f>
        <v/>
      </c>
      <c r="C276" s="3">
        <f>'Historical Data'!D273</f>
        <v/>
      </c>
      <c r="D276" s="23">
        <f>'Historical Data'!E273</f>
        <v/>
      </c>
      <c r="E276" s="3">
        <f>'Historical Data'!G273</f>
        <v/>
      </c>
      <c r="F276" s="3">
        <f>'Historical Data'!Y273</f>
        <v/>
      </c>
      <c r="G276" s="3">
        <f>'Historical Data'!K273</f>
        <v/>
      </c>
      <c r="H276" s="3">
        <f>'Historical Data'!L273</f>
        <v/>
      </c>
      <c r="I276" s="26">
        <f>'Historical Data'!M273</f>
        <v/>
      </c>
      <c r="J276" s="28">
        <f>'Historical Data'!N273</f>
        <v/>
      </c>
      <c r="K276" s="28">
        <f>'Historical Data'!Q273</f>
        <v/>
      </c>
      <c r="L276" s="30">
        <f>'Historical Data'!S273</f>
        <v/>
      </c>
      <c r="M276" s="28">
        <f>'Historical Data'!AJ273</f>
        <v/>
      </c>
      <c r="N276" s="28">
        <f>'Historical Data'!AK273</f>
        <v/>
      </c>
      <c r="O276" s="3">
        <f>'Historical Data'!AA273</f>
        <v/>
      </c>
      <c r="P276" s="3">
        <f>'Historical Data'!AB273</f>
        <v/>
      </c>
      <c r="Q276" s="3">
        <f>'Historical Data'!AN273</f>
        <v/>
      </c>
      <c r="R276" s="3">
        <f>'Historical Data'!AC273</f>
        <v/>
      </c>
      <c r="S276" s="3">
        <f>'Historical Data'!AE273</f>
        <v/>
      </c>
      <c r="T276" s="3">
        <f>'Historical Data'!AH273</f>
        <v/>
      </c>
      <c r="U276" s="3">
        <f>'Historical Data'!BA273</f>
        <v/>
      </c>
      <c r="V276" s="3" t="n"/>
      <c r="W276" s="3" t="n"/>
      <c r="X276" s="3" t="n"/>
      <c r="Y276" s="3" t="n"/>
      <c r="Z276" s="3" t="n"/>
    </row>
    <row r="277" ht="15.75" customHeight="1" s="174">
      <c r="A277" s="3">
        <f>'Historical Data'!A274</f>
        <v/>
      </c>
      <c r="B277" s="3">
        <f>'Historical Data'!B274</f>
        <v/>
      </c>
      <c r="C277" s="3">
        <f>'Historical Data'!D274</f>
        <v/>
      </c>
      <c r="D277" s="23">
        <f>'Historical Data'!E274</f>
        <v/>
      </c>
      <c r="E277" s="3">
        <f>'Historical Data'!G274</f>
        <v/>
      </c>
      <c r="F277" s="3">
        <f>'Historical Data'!Y274</f>
        <v/>
      </c>
      <c r="G277" s="3">
        <f>'Historical Data'!K274</f>
        <v/>
      </c>
      <c r="H277" s="3">
        <f>'Historical Data'!L274</f>
        <v/>
      </c>
      <c r="I277" s="26">
        <f>'Historical Data'!M274</f>
        <v/>
      </c>
      <c r="J277" s="28">
        <f>'Historical Data'!N274</f>
        <v/>
      </c>
      <c r="K277" s="28">
        <f>'Historical Data'!Q274</f>
        <v/>
      </c>
      <c r="L277" s="30">
        <f>'Historical Data'!S274</f>
        <v/>
      </c>
      <c r="M277" s="28">
        <f>'Historical Data'!AJ274</f>
        <v/>
      </c>
      <c r="N277" s="28">
        <f>'Historical Data'!AK274</f>
        <v/>
      </c>
      <c r="O277" s="3">
        <f>'Historical Data'!AA274</f>
        <v/>
      </c>
      <c r="P277" s="3">
        <f>'Historical Data'!AB274</f>
        <v/>
      </c>
      <c r="Q277" s="3">
        <f>'Historical Data'!AN274</f>
        <v/>
      </c>
      <c r="R277" s="3">
        <f>'Historical Data'!AC274</f>
        <v/>
      </c>
      <c r="S277" s="3">
        <f>'Historical Data'!AE274</f>
        <v/>
      </c>
      <c r="T277" s="3">
        <f>'Historical Data'!AH274</f>
        <v/>
      </c>
      <c r="U277" s="3">
        <f>'Historical Data'!BA274</f>
        <v/>
      </c>
      <c r="V277" s="3" t="n"/>
      <c r="W277" s="3" t="n"/>
      <c r="X277" s="3" t="n"/>
      <c r="Y277" s="3" t="n"/>
      <c r="Z277" s="3" t="n"/>
    </row>
    <row r="278" hidden="1" ht="15.75" customHeight="1" s="174">
      <c r="A278" s="3">
        <f>'Historical Data'!A275</f>
        <v/>
      </c>
      <c r="B278" s="3">
        <f>'Historical Data'!B275</f>
        <v/>
      </c>
      <c r="C278" s="3">
        <f>'Historical Data'!D275</f>
        <v/>
      </c>
      <c r="D278" s="23">
        <f>'Historical Data'!E275</f>
        <v/>
      </c>
      <c r="E278" s="3">
        <f>'Historical Data'!G275</f>
        <v/>
      </c>
      <c r="F278" s="3">
        <f>'Historical Data'!Y275</f>
        <v/>
      </c>
      <c r="G278" s="3">
        <f>'Historical Data'!K275</f>
        <v/>
      </c>
      <c r="H278" s="3">
        <f>'Historical Data'!L275</f>
        <v/>
      </c>
      <c r="I278" s="26">
        <f>'Historical Data'!M275</f>
        <v/>
      </c>
      <c r="J278" s="28">
        <f>'Historical Data'!N275</f>
        <v/>
      </c>
      <c r="K278" s="28">
        <f>'Historical Data'!Q275</f>
        <v/>
      </c>
      <c r="L278" s="30">
        <f>'Historical Data'!S275</f>
        <v/>
      </c>
      <c r="M278" s="28">
        <f>'Historical Data'!AJ275</f>
        <v/>
      </c>
      <c r="N278" s="28">
        <f>'Historical Data'!AK275</f>
        <v/>
      </c>
      <c r="O278" s="3">
        <f>'Historical Data'!AA275</f>
        <v/>
      </c>
      <c r="P278" s="3">
        <f>'Historical Data'!AB275</f>
        <v/>
      </c>
      <c r="Q278" s="3">
        <f>'Historical Data'!AN275</f>
        <v/>
      </c>
      <c r="R278" s="3">
        <f>'Historical Data'!AC275</f>
        <v/>
      </c>
      <c r="S278" s="3">
        <f>'Historical Data'!AE275</f>
        <v/>
      </c>
      <c r="T278" s="3">
        <f>'Historical Data'!AH275</f>
        <v/>
      </c>
      <c r="U278" s="3">
        <f>'Historical Data'!BA275</f>
        <v/>
      </c>
      <c r="V278" s="3" t="n"/>
      <c r="W278" s="3" t="n"/>
      <c r="X278" s="3" t="n"/>
      <c r="Y278" s="3" t="n"/>
      <c r="Z278" s="3" t="n"/>
    </row>
    <row r="279" hidden="1" ht="15.75" customHeight="1" s="174">
      <c r="A279" s="3">
        <f>'Historical Data'!A276</f>
        <v/>
      </c>
      <c r="B279" s="3">
        <f>'Historical Data'!B276</f>
        <v/>
      </c>
      <c r="C279" s="3">
        <f>'Historical Data'!D276</f>
        <v/>
      </c>
      <c r="D279" s="23">
        <f>'Historical Data'!E276</f>
        <v/>
      </c>
      <c r="E279" s="3">
        <f>'Historical Data'!G276</f>
        <v/>
      </c>
      <c r="F279" s="3">
        <f>'Historical Data'!Y276</f>
        <v/>
      </c>
      <c r="G279" s="3">
        <f>'Historical Data'!K276</f>
        <v/>
      </c>
      <c r="H279" s="3">
        <f>'Historical Data'!L276</f>
        <v/>
      </c>
      <c r="I279" s="26">
        <f>'Historical Data'!M276</f>
        <v/>
      </c>
      <c r="J279" s="28">
        <f>'Historical Data'!N276</f>
        <v/>
      </c>
      <c r="K279" s="28">
        <f>'Historical Data'!Q276</f>
        <v/>
      </c>
      <c r="L279" s="30">
        <f>'Historical Data'!S276</f>
        <v/>
      </c>
      <c r="M279" s="28">
        <f>'Historical Data'!AJ276</f>
        <v/>
      </c>
      <c r="N279" s="28">
        <f>'Historical Data'!AK276</f>
        <v/>
      </c>
      <c r="O279" s="3">
        <f>'Historical Data'!AA276</f>
        <v/>
      </c>
      <c r="P279" s="3">
        <f>'Historical Data'!AB276</f>
        <v/>
      </c>
      <c r="Q279" s="3">
        <f>'Historical Data'!AN276</f>
        <v/>
      </c>
      <c r="R279" s="3">
        <f>'Historical Data'!AC276</f>
        <v/>
      </c>
      <c r="S279" s="3">
        <f>'Historical Data'!AE276</f>
        <v/>
      </c>
      <c r="T279" s="3">
        <f>'Historical Data'!AH276</f>
        <v/>
      </c>
      <c r="U279" s="3">
        <f>'Historical Data'!BA276</f>
        <v/>
      </c>
      <c r="V279" s="3" t="n"/>
      <c r="W279" s="3" t="n"/>
      <c r="X279" s="3" t="n"/>
      <c r="Y279" s="3" t="n"/>
      <c r="Z279" s="3" t="n"/>
    </row>
    <row r="280" hidden="1" ht="15.75" customHeight="1" s="174">
      <c r="A280" s="3">
        <f>'Historical Data'!A277</f>
        <v/>
      </c>
      <c r="B280" s="3">
        <f>'Historical Data'!B277</f>
        <v/>
      </c>
      <c r="C280" s="3">
        <f>'Historical Data'!D277</f>
        <v/>
      </c>
      <c r="D280" s="23">
        <f>'Historical Data'!E277</f>
        <v/>
      </c>
      <c r="E280" s="3">
        <f>'Historical Data'!G277</f>
        <v/>
      </c>
      <c r="F280" s="3">
        <f>'Historical Data'!Y277</f>
        <v/>
      </c>
      <c r="G280" s="3">
        <f>'Historical Data'!K277</f>
        <v/>
      </c>
      <c r="H280" s="3">
        <f>'Historical Data'!L277</f>
        <v/>
      </c>
      <c r="I280" s="26">
        <f>'Historical Data'!M277</f>
        <v/>
      </c>
      <c r="J280" s="28">
        <f>'Historical Data'!N277</f>
        <v/>
      </c>
      <c r="K280" s="28">
        <f>'Historical Data'!Q277</f>
        <v/>
      </c>
      <c r="L280" s="30">
        <f>'Historical Data'!S277</f>
        <v/>
      </c>
      <c r="M280" s="28">
        <f>'Historical Data'!AJ277</f>
        <v/>
      </c>
      <c r="N280" s="28">
        <f>'Historical Data'!AK277</f>
        <v/>
      </c>
      <c r="O280" s="3">
        <f>'Historical Data'!AA277</f>
        <v/>
      </c>
      <c r="P280" s="3">
        <f>'Historical Data'!AB277</f>
        <v/>
      </c>
      <c r="Q280" s="3">
        <f>'Historical Data'!AN277</f>
        <v/>
      </c>
      <c r="R280" s="3">
        <f>'Historical Data'!AC277</f>
        <v/>
      </c>
      <c r="S280" s="3">
        <f>'Historical Data'!AE277</f>
        <v/>
      </c>
      <c r="T280" s="3">
        <f>'Historical Data'!AH277</f>
        <v/>
      </c>
      <c r="U280" s="3">
        <f>'Historical Data'!BA277</f>
        <v/>
      </c>
      <c r="V280" s="3" t="n"/>
      <c r="W280" s="3" t="n"/>
      <c r="X280" s="3" t="n"/>
      <c r="Y280" s="3" t="n"/>
      <c r="Z280" s="3" t="n"/>
    </row>
    <row r="281" hidden="1" ht="15.75" customHeight="1" s="174">
      <c r="A281" s="3">
        <f>'Historical Data'!A278</f>
        <v/>
      </c>
      <c r="B281" s="3">
        <f>'Historical Data'!B278</f>
        <v/>
      </c>
      <c r="C281" s="3">
        <f>'Historical Data'!D278</f>
        <v/>
      </c>
      <c r="D281" s="23">
        <f>'Historical Data'!E278</f>
        <v/>
      </c>
      <c r="E281" s="3">
        <f>'Historical Data'!G278</f>
        <v/>
      </c>
      <c r="F281" s="3">
        <f>'Historical Data'!Y278</f>
        <v/>
      </c>
      <c r="G281" s="3">
        <f>'Historical Data'!K278</f>
        <v/>
      </c>
      <c r="H281" s="3">
        <f>'Historical Data'!L278</f>
        <v/>
      </c>
      <c r="I281" s="26">
        <f>'Historical Data'!M278</f>
        <v/>
      </c>
      <c r="J281" s="28">
        <f>'Historical Data'!N278</f>
        <v/>
      </c>
      <c r="K281" s="28">
        <f>'Historical Data'!Q278</f>
        <v/>
      </c>
      <c r="L281" s="30">
        <f>'Historical Data'!S278</f>
        <v/>
      </c>
      <c r="M281" s="28">
        <f>'Historical Data'!AJ278</f>
        <v/>
      </c>
      <c r="N281" s="28">
        <f>'Historical Data'!AK278</f>
        <v/>
      </c>
      <c r="O281" s="3">
        <f>'Historical Data'!AA278</f>
        <v/>
      </c>
      <c r="P281" s="3">
        <f>'Historical Data'!AB278</f>
        <v/>
      </c>
      <c r="Q281" s="3">
        <f>'Historical Data'!AN278</f>
        <v/>
      </c>
      <c r="R281" s="3">
        <f>'Historical Data'!AC278</f>
        <v/>
      </c>
      <c r="S281" s="3">
        <f>'Historical Data'!AE278</f>
        <v/>
      </c>
      <c r="T281" s="3">
        <f>'Historical Data'!AH278</f>
        <v/>
      </c>
      <c r="U281" s="3">
        <f>'Historical Data'!BA278</f>
        <v/>
      </c>
      <c r="V281" s="3" t="n"/>
      <c r="W281" s="3" t="n"/>
      <c r="X281" s="3" t="n"/>
      <c r="Y281" s="3" t="n"/>
      <c r="Z281" s="3" t="n"/>
    </row>
    <row r="282" hidden="1" ht="15.75" customHeight="1" s="174">
      <c r="A282" s="3">
        <f>'Historical Data'!A279</f>
        <v/>
      </c>
      <c r="B282" s="3">
        <f>'Historical Data'!B279</f>
        <v/>
      </c>
      <c r="C282" s="3">
        <f>'Historical Data'!D279</f>
        <v/>
      </c>
      <c r="D282" s="23">
        <f>'Historical Data'!E279</f>
        <v/>
      </c>
      <c r="E282" s="3">
        <f>'Historical Data'!G279</f>
        <v/>
      </c>
      <c r="F282" s="3">
        <f>'Historical Data'!Y279</f>
        <v/>
      </c>
      <c r="G282" s="3">
        <f>'Historical Data'!K279</f>
        <v/>
      </c>
      <c r="H282" s="3">
        <f>'Historical Data'!L279</f>
        <v/>
      </c>
      <c r="I282" s="26">
        <f>'Historical Data'!M279</f>
        <v/>
      </c>
      <c r="J282" s="28">
        <f>'Historical Data'!N279</f>
        <v/>
      </c>
      <c r="K282" s="28">
        <f>'Historical Data'!Q279</f>
        <v/>
      </c>
      <c r="L282" s="30">
        <f>'Historical Data'!S279</f>
        <v/>
      </c>
      <c r="M282" s="28">
        <f>'Historical Data'!AJ279</f>
        <v/>
      </c>
      <c r="N282" s="28">
        <f>'Historical Data'!AK279</f>
        <v/>
      </c>
      <c r="O282" s="3">
        <f>'Historical Data'!AA279</f>
        <v/>
      </c>
      <c r="P282" s="3">
        <f>'Historical Data'!AB279</f>
        <v/>
      </c>
      <c r="Q282" s="3">
        <f>'Historical Data'!AN279</f>
        <v/>
      </c>
      <c r="R282" s="3">
        <f>'Historical Data'!AC279</f>
        <v/>
      </c>
      <c r="S282" s="3">
        <f>'Historical Data'!AE279</f>
        <v/>
      </c>
      <c r="T282" s="3">
        <f>'Historical Data'!AH279</f>
        <v/>
      </c>
      <c r="U282" s="3">
        <f>'Historical Data'!BA279</f>
        <v/>
      </c>
      <c r="V282" s="3" t="n"/>
      <c r="W282" s="3" t="n"/>
      <c r="X282" s="3" t="n"/>
      <c r="Y282" s="3" t="n"/>
      <c r="Z282" s="3" t="n"/>
    </row>
    <row r="283" hidden="1" ht="15.75" customHeight="1" s="174">
      <c r="A283" s="3">
        <f>'Historical Data'!A280</f>
        <v/>
      </c>
      <c r="B283" s="3">
        <f>'Historical Data'!B280</f>
        <v/>
      </c>
      <c r="C283" s="3">
        <f>'Historical Data'!D280</f>
        <v/>
      </c>
      <c r="D283" s="23">
        <f>'Historical Data'!E280</f>
        <v/>
      </c>
      <c r="E283" s="3">
        <f>'Historical Data'!G280</f>
        <v/>
      </c>
      <c r="F283" s="3">
        <f>'Historical Data'!Y280</f>
        <v/>
      </c>
      <c r="G283" s="3">
        <f>'Historical Data'!K280</f>
        <v/>
      </c>
      <c r="H283" s="3">
        <f>'Historical Data'!L280</f>
        <v/>
      </c>
      <c r="I283" s="26">
        <f>'Historical Data'!M280</f>
        <v/>
      </c>
      <c r="J283" s="28">
        <f>'Historical Data'!N280</f>
        <v/>
      </c>
      <c r="K283" s="28">
        <f>'Historical Data'!Q280</f>
        <v/>
      </c>
      <c r="L283" s="30">
        <f>'Historical Data'!S280</f>
        <v/>
      </c>
      <c r="M283" s="28">
        <f>'Historical Data'!AJ280</f>
        <v/>
      </c>
      <c r="N283" s="28">
        <f>'Historical Data'!AK280</f>
        <v/>
      </c>
      <c r="O283" s="3">
        <f>'Historical Data'!AA280</f>
        <v/>
      </c>
      <c r="P283" s="3">
        <f>'Historical Data'!AB280</f>
        <v/>
      </c>
      <c r="Q283" s="3">
        <f>'Historical Data'!AN280</f>
        <v/>
      </c>
      <c r="R283" s="3">
        <f>'Historical Data'!AC280</f>
        <v/>
      </c>
      <c r="S283" s="3">
        <f>'Historical Data'!AE280</f>
        <v/>
      </c>
      <c r="T283" s="3">
        <f>'Historical Data'!AH280</f>
        <v/>
      </c>
      <c r="U283" s="3">
        <f>'Historical Data'!BA280</f>
        <v/>
      </c>
      <c r="V283" s="3" t="n"/>
      <c r="W283" s="3" t="n"/>
      <c r="X283" s="3" t="n"/>
      <c r="Y283" s="3" t="n"/>
      <c r="Z283" s="3" t="n"/>
    </row>
    <row r="284" hidden="1" ht="15.75" customHeight="1" s="174">
      <c r="A284" s="3">
        <f>'Historical Data'!A281</f>
        <v/>
      </c>
      <c r="B284" s="3">
        <f>'Historical Data'!B281</f>
        <v/>
      </c>
      <c r="C284" s="3">
        <f>'Historical Data'!D281</f>
        <v/>
      </c>
      <c r="D284" s="23">
        <f>'Historical Data'!E281</f>
        <v/>
      </c>
      <c r="E284" s="3">
        <f>'Historical Data'!G281</f>
        <v/>
      </c>
      <c r="F284" s="3">
        <f>'Historical Data'!Y281</f>
        <v/>
      </c>
      <c r="G284" s="3">
        <f>'Historical Data'!K281</f>
        <v/>
      </c>
      <c r="H284" s="3">
        <f>'Historical Data'!L281</f>
        <v/>
      </c>
      <c r="I284" s="26">
        <f>'Historical Data'!M281</f>
        <v/>
      </c>
      <c r="J284" s="28">
        <f>'Historical Data'!N281</f>
        <v/>
      </c>
      <c r="K284" s="28">
        <f>'Historical Data'!Q281</f>
        <v/>
      </c>
      <c r="L284" s="30">
        <f>'Historical Data'!S281</f>
        <v/>
      </c>
      <c r="M284" s="28">
        <f>'Historical Data'!AJ281</f>
        <v/>
      </c>
      <c r="N284" s="28">
        <f>'Historical Data'!AK281</f>
        <v/>
      </c>
      <c r="O284" s="3">
        <f>'Historical Data'!AA281</f>
        <v/>
      </c>
      <c r="P284" s="3">
        <f>'Historical Data'!AB281</f>
        <v/>
      </c>
      <c r="Q284" s="3">
        <f>'Historical Data'!AN281</f>
        <v/>
      </c>
      <c r="R284" s="3">
        <f>'Historical Data'!AC281</f>
        <v/>
      </c>
      <c r="S284" s="3">
        <f>'Historical Data'!AE281</f>
        <v/>
      </c>
      <c r="T284" s="3">
        <f>'Historical Data'!AH281</f>
        <v/>
      </c>
      <c r="U284" s="3">
        <f>'Historical Data'!BA281</f>
        <v/>
      </c>
      <c r="V284" s="3" t="n"/>
      <c r="W284" s="3" t="n"/>
      <c r="X284" s="3" t="n"/>
      <c r="Y284" s="3" t="n"/>
      <c r="Z284" s="3" t="n"/>
    </row>
    <row r="285" hidden="1" ht="15.75" customHeight="1" s="174">
      <c r="A285" s="3">
        <f>'Historical Data'!A282</f>
        <v/>
      </c>
      <c r="B285" s="3">
        <f>'Historical Data'!B282</f>
        <v/>
      </c>
      <c r="C285" s="3">
        <f>'Historical Data'!D282</f>
        <v/>
      </c>
      <c r="D285" s="23">
        <f>'Historical Data'!E282</f>
        <v/>
      </c>
      <c r="E285" s="3">
        <f>'Historical Data'!G282</f>
        <v/>
      </c>
      <c r="F285" s="3">
        <f>'Historical Data'!Y282</f>
        <v/>
      </c>
      <c r="G285" s="3">
        <f>'Historical Data'!K282</f>
        <v/>
      </c>
      <c r="H285" s="3">
        <f>'Historical Data'!L282</f>
        <v/>
      </c>
      <c r="I285" s="26">
        <f>'Historical Data'!M282</f>
        <v/>
      </c>
      <c r="J285" s="28">
        <f>'Historical Data'!N282</f>
        <v/>
      </c>
      <c r="K285" s="28">
        <f>'Historical Data'!Q282</f>
        <v/>
      </c>
      <c r="L285" s="30">
        <f>'Historical Data'!S282</f>
        <v/>
      </c>
      <c r="M285" s="28">
        <f>'Historical Data'!AJ282</f>
        <v/>
      </c>
      <c r="N285" s="28">
        <f>'Historical Data'!AK282</f>
        <v/>
      </c>
      <c r="O285" s="3">
        <f>'Historical Data'!AA282</f>
        <v/>
      </c>
      <c r="P285" s="3">
        <f>'Historical Data'!AB282</f>
        <v/>
      </c>
      <c r="Q285" s="3">
        <f>'Historical Data'!AN282</f>
        <v/>
      </c>
      <c r="R285" s="3">
        <f>'Historical Data'!AC282</f>
        <v/>
      </c>
      <c r="S285" s="3">
        <f>'Historical Data'!AE282</f>
        <v/>
      </c>
      <c r="T285" s="3">
        <f>'Historical Data'!AH282</f>
        <v/>
      </c>
      <c r="U285" s="3">
        <f>'Historical Data'!BA282</f>
        <v/>
      </c>
      <c r="V285" s="3" t="n"/>
      <c r="W285" s="3" t="n"/>
      <c r="X285" s="3" t="n"/>
      <c r="Y285" s="3" t="n"/>
      <c r="Z285" s="3" t="n"/>
    </row>
    <row r="286" hidden="1" ht="15.75" customHeight="1" s="174">
      <c r="A286" s="3">
        <f>'Historical Data'!A283</f>
        <v/>
      </c>
      <c r="B286" s="3">
        <f>'Historical Data'!B283</f>
        <v/>
      </c>
      <c r="C286" s="3">
        <f>'Historical Data'!D283</f>
        <v/>
      </c>
      <c r="D286" s="23">
        <f>'Historical Data'!E283</f>
        <v/>
      </c>
      <c r="E286" s="3">
        <f>'Historical Data'!G283</f>
        <v/>
      </c>
      <c r="F286" s="3">
        <f>'Historical Data'!Y283</f>
        <v/>
      </c>
      <c r="G286" s="3">
        <f>'Historical Data'!K283</f>
        <v/>
      </c>
      <c r="H286" s="3">
        <f>'Historical Data'!L283</f>
        <v/>
      </c>
      <c r="I286" s="26">
        <f>'Historical Data'!M283</f>
        <v/>
      </c>
      <c r="J286" s="28">
        <f>'Historical Data'!N283</f>
        <v/>
      </c>
      <c r="K286" s="28">
        <f>'Historical Data'!Q283</f>
        <v/>
      </c>
      <c r="L286" s="30">
        <f>'Historical Data'!S283</f>
        <v/>
      </c>
      <c r="M286" s="28">
        <f>'Historical Data'!AJ283</f>
        <v/>
      </c>
      <c r="N286" s="28">
        <f>'Historical Data'!AK283</f>
        <v/>
      </c>
      <c r="O286" s="3">
        <f>'Historical Data'!AA283</f>
        <v/>
      </c>
      <c r="P286" s="3">
        <f>'Historical Data'!AB283</f>
        <v/>
      </c>
      <c r="Q286" s="3">
        <f>'Historical Data'!AN283</f>
        <v/>
      </c>
      <c r="R286" s="3">
        <f>'Historical Data'!AC283</f>
        <v/>
      </c>
      <c r="S286" s="3">
        <f>'Historical Data'!AE283</f>
        <v/>
      </c>
      <c r="T286" s="3">
        <f>'Historical Data'!AH283</f>
        <v/>
      </c>
      <c r="U286" s="3">
        <f>'Historical Data'!BA283</f>
        <v/>
      </c>
      <c r="V286" s="3" t="n"/>
      <c r="W286" s="3" t="n"/>
      <c r="X286" s="3" t="n"/>
      <c r="Y286" s="3" t="n"/>
      <c r="Z286" s="3" t="n"/>
    </row>
    <row r="287" hidden="1" ht="15.75" customHeight="1" s="174">
      <c r="A287" s="3">
        <f>'Historical Data'!A284</f>
        <v/>
      </c>
      <c r="B287" s="3">
        <f>'Historical Data'!B284</f>
        <v/>
      </c>
      <c r="C287" s="3">
        <f>'Historical Data'!D284</f>
        <v/>
      </c>
      <c r="D287" s="23">
        <f>'Historical Data'!E284</f>
        <v/>
      </c>
      <c r="E287" s="3">
        <f>'Historical Data'!G284</f>
        <v/>
      </c>
      <c r="F287" s="3">
        <f>'Historical Data'!Y284</f>
        <v/>
      </c>
      <c r="G287" s="3">
        <f>'Historical Data'!K284</f>
        <v/>
      </c>
      <c r="H287" s="3">
        <f>'Historical Data'!L284</f>
        <v/>
      </c>
      <c r="I287" s="26">
        <f>'Historical Data'!M284</f>
        <v/>
      </c>
      <c r="J287" s="28">
        <f>'Historical Data'!N284</f>
        <v/>
      </c>
      <c r="K287" s="28">
        <f>'Historical Data'!Q284</f>
        <v/>
      </c>
      <c r="L287" s="30">
        <f>'Historical Data'!S284</f>
        <v/>
      </c>
      <c r="M287" s="28">
        <f>'Historical Data'!AJ284</f>
        <v/>
      </c>
      <c r="N287" s="28">
        <f>'Historical Data'!AK284</f>
        <v/>
      </c>
      <c r="O287" s="3">
        <f>'Historical Data'!AA284</f>
        <v/>
      </c>
      <c r="P287" s="3">
        <f>'Historical Data'!AB284</f>
        <v/>
      </c>
      <c r="Q287" s="3">
        <f>'Historical Data'!AN284</f>
        <v/>
      </c>
      <c r="R287" s="3">
        <f>'Historical Data'!AC284</f>
        <v/>
      </c>
      <c r="S287" s="3">
        <f>'Historical Data'!AE284</f>
        <v/>
      </c>
      <c r="T287" s="3">
        <f>'Historical Data'!AH284</f>
        <v/>
      </c>
      <c r="U287" s="3">
        <f>'Historical Data'!BA284</f>
        <v/>
      </c>
      <c r="V287" s="3" t="n"/>
      <c r="W287" s="3" t="n"/>
      <c r="X287" s="3" t="n"/>
      <c r="Y287" s="3" t="n"/>
      <c r="Z287" s="3" t="n"/>
    </row>
    <row r="288" hidden="1" ht="15.75" customHeight="1" s="174">
      <c r="A288" s="3">
        <f>'Historical Data'!A285</f>
        <v/>
      </c>
      <c r="B288" s="3">
        <f>'Historical Data'!B285</f>
        <v/>
      </c>
      <c r="C288" s="3">
        <f>'Historical Data'!D285</f>
        <v/>
      </c>
      <c r="D288" s="23">
        <f>'Historical Data'!E285</f>
        <v/>
      </c>
      <c r="E288" s="3">
        <f>'Historical Data'!G285</f>
        <v/>
      </c>
      <c r="F288" s="3">
        <f>'Historical Data'!Y285</f>
        <v/>
      </c>
      <c r="G288" s="3">
        <f>'Historical Data'!K285</f>
        <v/>
      </c>
      <c r="H288" s="3">
        <f>'Historical Data'!L285</f>
        <v/>
      </c>
      <c r="I288" s="26">
        <f>'Historical Data'!M285</f>
        <v/>
      </c>
      <c r="J288" s="28">
        <f>'Historical Data'!N285</f>
        <v/>
      </c>
      <c r="K288" s="28">
        <f>'Historical Data'!Q285</f>
        <v/>
      </c>
      <c r="L288" s="30">
        <f>'Historical Data'!S285</f>
        <v/>
      </c>
      <c r="M288" s="28">
        <f>'Historical Data'!AJ285</f>
        <v/>
      </c>
      <c r="N288" s="28">
        <f>'Historical Data'!AK285</f>
        <v/>
      </c>
      <c r="O288" s="3">
        <f>'Historical Data'!AA285</f>
        <v/>
      </c>
      <c r="P288" s="3">
        <f>'Historical Data'!AB285</f>
        <v/>
      </c>
      <c r="Q288" s="3">
        <f>'Historical Data'!AN285</f>
        <v/>
      </c>
      <c r="R288" s="3">
        <f>'Historical Data'!AC285</f>
        <v/>
      </c>
      <c r="S288" s="3">
        <f>'Historical Data'!AE285</f>
        <v/>
      </c>
      <c r="T288" s="3">
        <f>'Historical Data'!AH285</f>
        <v/>
      </c>
      <c r="U288" s="3">
        <f>'Historical Data'!BA285</f>
        <v/>
      </c>
      <c r="V288" s="3" t="n"/>
      <c r="W288" s="3" t="n"/>
      <c r="X288" s="3" t="n"/>
      <c r="Y288" s="3" t="n"/>
      <c r="Z288" s="3" t="n"/>
    </row>
    <row r="289" hidden="1" ht="15.75" customHeight="1" s="174">
      <c r="A289" s="3">
        <f>'Historical Data'!A286</f>
        <v/>
      </c>
      <c r="B289" s="3">
        <f>'Historical Data'!B286</f>
        <v/>
      </c>
      <c r="C289" s="3">
        <f>'Historical Data'!D286</f>
        <v/>
      </c>
      <c r="D289" s="23">
        <f>'Historical Data'!E286</f>
        <v/>
      </c>
      <c r="E289" s="3">
        <f>'Historical Data'!G286</f>
        <v/>
      </c>
      <c r="F289" s="3">
        <f>'Historical Data'!Y286</f>
        <v/>
      </c>
      <c r="G289" s="3">
        <f>'Historical Data'!K286</f>
        <v/>
      </c>
      <c r="H289" s="3">
        <f>'Historical Data'!L286</f>
        <v/>
      </c>
      <c r="I289" s="26">
        <f>'Historical Data'!M286</f>
        <v/>
      </c>
      <c r="J289" s="28">
        <f>'Historical Data'!N286</f>
        <v/>
      </c>
      <c r="K289" s="28">
        <f>'Historical Data'!Q286</f>
        <v/>
      </c>
      <c r="L289" s="30">
        <f>'Historical Data'!S286</f>
        <v/>
      </c>
      <c r="M289" s="28">
        <f>'Historical Data'!AJ286</f>
        <v/>
      </c>
      <c r="N289" s="28">
        <f>'Historical Data'!AK286</f>
        <v/>
      </c>
      <c r="O289" s="3">
        <f>'Historical Data'!AA286</f>
        <v/>
      </c>
      <c r="P289" s="3">
        <f>'Historical Data'!AB286</f>
        <v/>
      </c>
      <c r="Q289" s="3">
        <f>'Historical Data'!AN286</f>
        <v/>
      </c>
      <c r="R289" s="3">
        <f>'Historical Data'!AC286</f>
        <v/>
      </c>
      <c r="S289" s="3">
        <f>'Historical Data'!AE286</f>
        <v/>
      </c>
      <c r="T289" s="3">
        <f>'Historical Data'!AH286</f>
        <v/>
      </c>
      <c r="U289" s="3">
        <f>'Historical Data'!BA286</f>
        <v/>
      </c>
      <c r="V289" s="3" t="n"/>
      <c r="W289" s="3" t="n"/>
      <c r="X289" s="3" t="n"/>
      <c r="Y289" s="3" t="n"/>
      <c r="Z289" s="3" t="n"/>
    </row>
    <row r="290" hidden="1" ht="15.75" customHeight="1" s="174">
      <c r="A290" s="3">
        <f>'Historical Data'!A287</f>
        <v/>
      </c>
      <c r="B290" s="3">
        <f>'Historical Data'!B287</f>
        <v/>
      </c>
      <c r="C290" s="3">
        <f>'Historical Data'!D287</f>
        <v/>
      </c>
      <c r="D290" s="23">
        <f>'Historical Data'!E287</f>
        <v/>
      </c>
      <c r="E290" s="3">
        <f>'Historical Data'!G287</f>
        <v/>
      </c>
      <c r="F290" s="3">
        <f>'Historical Data'!Y287</f>
        <v/>
      </c>
      <c r="G290" s="3">
        <f>'Historical Data'!K287</f>
        <v/>
      </c>
      <c r="H290" s="3">
        <f>'Historical Data'!L287</f>
        <v/>
      </c>
      <c r="I290" s="26">
        <f>'Historical Data'!M287</f>
        <v/>
      </c>
      <c r="J290" s="28">
        <f>'Historical Data'!N287</f>
        <v/>
      </c>
      <c r="K290" s="28">
        <f>'Historical Data'!Q287</f>
        <v/>
      </c>
      <c r="L290" s="30">
        <f>'Historical Data'!S287</f>
        <v/>
      </c>
      <c r="M290" s="28">
        <f>'Historical Data'!AJ287</f>
        <v/>
      </c>
      <c r="N290" s="28">
        <f>'Historical Data'!AK287</f>
        <v/>
      </c>
      <c r="O290" s="3">
        <f>'Historical Data'!AA287</f>
        <v/>
      </c>
      <c r="P290" s="3">
        <f>'Historical Data'!AB287</f>
        <v/>
      </c>
      <c r="Q290" s="3">
        <f>'Historical Data'!AN287</f>
        <v/>
      </c>
      <c r="R290" s="3">
        <f>'Historical Data'!AC287</f>
        <v/>
      </c>
      <c r="S290" s="3">
        <f>'Historical Data'!AE287</f>
        <v/>
      </c>
      <c r="T290" s="3">
        <f>'Historical Data'!AH287</f>
        <v/>
      </c>
      <c r="U290" s="3">
        <f>'Historical Data'!BA287</f>
        <v/>
      </c>
      <c r="V290" s="3" t="n"/>
      <c r="W290" s="3" t="n"/>
      <c r="X290" s="3" t="n"/>
      <c r="Y290" s="3" t="n"/>
      <c r="Z290" s="3" t="n"/>
    </row>
    <row r="291" hidden="1" ht="15.75" customHeight="1" s="174">
      <c r="A291" s="3">
        <f>'Historical Data'!A288</f>
        <v/>
      </c>
      <c r="B291" s="3">
        <f>'Historical Data'!B288</f>
        <v/>
      </c>
      <c r="C291" s="3">
        <f>'Historical Data'!D288</f>
        <v/>
      </c>
      <c r="D291" s="23">
        <f>'Historical Data'!E288</f>
        <v/>
      </c>
      <c r="E291" s="3">
        <f>'Historical Data'!G288</f>
        <v/>
      </c>
      <c r="F291" s="3">
        <f>'Historical Data'!Y288</f>
        <v/>
      </c>
      <c r="G291" s="3">
        <f>'Historical Data'!K288</f>
        <v/>
      </c>
      <c r="H291" s="3">
        <f>'Historical Data'!L288</f>
        <v/>
      </c>
      <c r="I291" s="26">
        <f>'Historical Data'!M288</f>
        <v/>
      </c>
      <c r="J291" s="28">
        <f>'Historical Data'!N288</f>
        <v/>
      </c>
      <c r="K291" s="28">
        <f>'Historical Data'!Q288</f>
        <v/>
      </c>
      <c r="L291" s="30">
        <f>'Historical Data'!S288</f>
        <v/>
      </c>
      <c r="M291" s="28">
        <f>'Historical Data'!AJ288</f>
        <v/>
      </c>
      <c r="N291" s="28">
        <f>'Historical Data'!AK288</f>
        <v/>
      </c>
      <c r="O291" s="3">
        <f>'Historical Data'!AA288</f>
        <v/>
      </c>
      <c r="P291" s="3">
        <f>'Historical Data'!AB288</f>
        <v/>
      </c>
      <c r="Q291" s="3">
        <f>'Historical Data'!AN288</f>
        <v/>
      </c>
      <c r="R291" s="3">
        <f>'Historical Data'!AC288</f>
        <v/>
      </c>
      <c r="S291" s="3">
        <f>'Historical Data'!AE288</f>
        <v/>
      </c>
      <c r="T291" s="3">
        <f>'Historical Data'!AH288</f>
        <v/>
      </c>
      <c r="U291" s="3">
        <f>'Historical Data'!BA288</f>
        <v/>
      </c>
      <c r="V291" s="3" t="n"/>
      <c r="W291" s="3" t="n"/>
      <c r="X291" s="3" t="n"/>
      <c r="Y291" s="3" t="n"/>
      <c r="Z291" s="3" t="n"/>
    </row>
    <row r="292" hidden="1" ht="15.75" customHeight="1" s="174">
      <c r="A292" s="3">
        <f>'Historical Data'!A289</f>
        <v/>
      </c>
      <c r="B292" s="3">
        <f>'Historical Data'!B289</f>
        <v/>
      </c>
      <c r="C292" s="3">
        <f>'Historical Data'!D289</f>
        <v/>
      </c>
      <c r="D292" s="23">
        <f>'Historical Data'!E289</f>
        <v/>
      </c>
      <c r="E292" s="3">
        <f>'Historical Data'!G289</f>
        <v/>
      </c>
      <c r="F292" s="3">
        <f>'Historical Data'!Y289</f>
        <v/>
      </c>
      <c r="G292" s="3">
        <f>'Historical Data'!K289</f>
        <v/>
      </c>
      <c r="H292" s="3">
        <f>'Historical Data'!L289</f>
        <v/>
      </c>
      <c r="I292" s="26">
        <f>'Historical Data'!M289</f>
        <v/>
      </c>
      <c r="J292" s="28">
        <f>'Historical Data'!N289</f>
        <v/>
      </c>
      <c r="K292" s="28">
        <f>'Historical Data'!Q289</f>
        <v/>
      </c>
      <c r="L292" s="30">
        <f>'Historical Data'!S289</f>
        <v/>
      </c>
      <c r="M292" s="28">
        <f>'Historical Data'!AJ289</f>
        <v/>
      </c>
      <c r="N292" s="28">
        <f>'Historical Data'!AK289</f>
        <v/>
      </c>
      <c r="O292" s="3">
        <f>'Historical Data'!AA289</f>
        <v/>
      </c>
      <c r="P292" s="3">
        <f>'Historical Data'!AB289</f>
        <v/>
      </c>
      <c r="Q292" s="3">
        <f>'Historical Data'!AN289</f>
        <v/>
      </c>
      <c r="R292" s="3">
        <f>'Historical Data'!AC289</f>
        <v/>
      </c>
      <c r="S292" s="3">
        <f>'Historical Data'!AE289</f>
        <v/>
      </c>
      <c r="T292" s="3">
        <f>'Historical Data'!AH289</f>
        <v/>
      </c>
      <c r="U292" s="3">
        <f>'Historical Data'!BA289</f>
        <v/>
      </c>
      <c r="V292" s="3" t="n"/>
      <c r="W292" s="3" t="n"/>
      <c r="X292" s="3" t="n"/>
      <c r="Y292" s="3" t="n"/>
      <c r="Z292" s="3" t="n"/>
    </row>
    <row r="293" hidden="1" ht="15.75" customHeight="1" s="174">
      <c r="A293" s="3">
        <f>'Historical Data'!A290</f>
        <v/>
      </c>
      <c r="B293" s="3">
        <f>'Historical Data'!B290</f>
        <v/>
      </c>
      <c r="C293" s="3">
        <f>'Historical Data'!D290</f>
        <v/>
      </c>
      <c r="D293" s="23">
        <f>'Historical Data'!E290</f>
        <v/>
      </c>
      <c r="E293" s="3">
        <f>'Historical Data'!G290</f>
        <v/>
      </c>
      <c r="F293" s="3">
        <f>'Historical Data'!Y290</f>
        <v/>
      </c>
      <c r="G293" s="3">
        <f>'Historical Data'!K290</f>
        <v/>
      </c>
      <c r="H293" s="3">
        <f>'Historical Data'!L290</f>
        <v/>
      </c>
      <c r="I293" s="26">
        <f>'Historical Data'!M290</f>
        <v/>
      </c>
      <c r="J293" s="28">
        <f>'Historical Data'!N290</f>
        <v/>
      </c>
      <c r="K293" s="28">
        <f>'Historical Data'!Q290</f>
        <v/>
      </c>
      <c r="L293" s="30">
        <f>'Historical Data'!S290</f>
        <v/>
      </c>
      <c r="M293" s="28">
        <f>'Historical Data'!AJ290</f>
        <v/>
      </c>
      <c r="N293" s="28">
        <f>'Historical Data'!AK290</f>
        <v/>
      </c>
      <c r="O293" s="3">
        <f>'Historical Data'!AA290</f>
        <v/>
      </c>
      <c r="P293" s="3">
        <f>'Historical Data'!AB290</f>
        <v/>
      </c>
      <c r="Q293" s="3">
        <f>'Historical Data'!AN290</f>
        <v/>
      </c>
      <c r="R293" s="3">
        <f>'Historical Data'!AC290</f>
        <v/>
      </c>
      <c r="S293" s="3">
        <f>'Historical Data'!AE290</f>
        <v/>
      </c>
      <c r="T293" s="3">
        <f>'Historical Data'!AH290</f>
        <v/>
      </c>
      <c r="U293" s="3">
        <f>'Historical Data'!BA290</f>
        <v/>
      </c>
      <c r="V293" s="3" t="n"/>
      <c r="W293" s="3" t="n"/>
      <c r="X293" s="3" t="n"/>
      <c r="Y293" s="3" t="n"/>
      <c r="Z293" s="3" t="n"/>
    </row>
    <row r="294" hidden="1" ht="15.75" customHeight="1" s="174">
      <c r="A294" s="3">
        <f>'Historical Data'!A291</f>
        <v/>
      </c>
      <c r="B294" s="3">
        <f>'Historical Data'!B291</f>
        <v/>
      </c>
      <c r="C294" s="3">
        <f>'Historical Data'!D291</f>
        <v/>
      </c>
      <c r="D294" s="23">
        <f>'Historical Data'!E291</f>
        <v/>
      </c>
      <c r="E294" s="3">
        <f>'Historical Data'!G291</f>
        <v/>
      </c>
      <c r="F294" s="3">
        <f>'Historical Data'!Y291</f>
        <v/>
      </c>
      <c r="G294" s="3">
        <f>'Historical Data'!K291</f>
        <v/>
      </c>
      <c r="H294" s="3">
        <f>'Historical Data'!L291</f>
        <v/>
      </c>
      <c r="I294" s="26">
        <f>'Historical Data'!M291</f>
        <v/>
      </c>
      <c r="J294" s="28">
        <f>'Historical Data'!N291</f>
        <v/>
      </c>
      <c r="K294" s="28">
        <f>'Historical Data'!Q291</f>
        <v/>
      </c>
      <c r="L294" s="30">
        <f>'Historical Data'!S291</f>
        <v/>
      </c>
      <c r="M294" s="28">
        <f>'Historical Data'!AJ291</f>
        <v/>
      </c>
      <c r="N294" s="28">
        <f>'Historical Data'!AK291</f>
        <v/>
      </c>
      <c r="O294" s="3">
        <f>'Historical Data'!AA291</f>
        <v/>
      </c>
      <c r="P294" s="3">
        <f>'Historical Data'!AB291</f>
        <v/>
      </c>
      <c r="Q294" s="3">
        <f>'Historical Data'!AN291</f>
        <v/>
      </c>
      <c r="R294" s="3">
        <f>'Historical Data'!AC291</f>
        <v/>
      </c>
      <c r="S294" s="3">
        <f>'Historical Data'!AE291</f>
        <v/>
      </c>
      <c r="T294" s="3">
        <f>'Historical Data'!AH291</f>
        <v/>
      </c>
      <c r="U294" s="3">
        <f>'Historical Data'!BA291</f>
        <v/>
      </c>
      <c r="V294" s="3" t="n"/>
      <c r="W294" s="3" t="n"/>
      <c r="X294" s="3" t="n"/>
      <c r="Y294" s="3" t="n"/>
      <c r="Z294" s="3" t="n"/>
    </row>
    <row r="295" hidden="1" ht="15.75" customHeight="1" s="174">
      <c r="A295" s="3">
        <f>'Historical Data'!A292</f>
        <v/>
      </c>
      <c r="B295" s="3">
        <f>'Historical Data'!B292</f>
        <v/>
      </c>
      <c r="C295" s="3">
        <f>'Historical Data'!D292</f>
        <v/>
      </c>
      <c r="D295" s="23">
        <f>'Historical Data'!E292</f>
        <v/>
      </c>
      <c r="E295" s="3">
        <f>'Historical Data'!G292</f>
        <v/>
      </c>
      <c r="F295" s="3">
        <f>'Historical Data'!Y292</f>
        <v/>
      </c>
      <c r="G295" s="3">
        <f>'Historical Data'!K292</f>
        <v/>
      </c>
      <c r="H295" s="3">
        <f>'Historical Data'!L292</f>
        <v/>
      </c>
      <c r="I295" s="26">
        <f>'Historical Data'!M292</f>
        <v/>
      </c>
      <c r="J295" s="28">
        <f>'Historical Data'!N292</f>
        <v/>
      </c>
      <c r="K295" s="28">
        <f>'Historical Data'!Q292</f>
        <v/>
      </c>
      <c r="L295" s="30">
        <f>'Historical Data'!S292</f>
        <v/>
      </c>
      <c r="M295" s="28">
        <f>'Historical Data'!AJ292</f>
        <v/>
      </c>
      <c r="N295" s="28">
        <f>'Historical Data'!AK292</f>
        <v/>
      </c>
      <c r="O295" s="3">
        <f>'Historical Data'!AA292</f>
        <v/>
      </c>
      <c r="P295" s="3">
        <f>'Historical Data'!AB292</f>
        <v/>
      </c>
      <c r="Q295" s="3">
        <f>'Historical Data'!AN292</f>
        <v/>
      </c>
      <c r="R295" s="3">
        <f>'Historical Data'!AC292</f>
        <v/>
      </c>
      <c r="S295" s="3">
        <f>'Historical Data'!AE292</f>
        <v/>
      </c>
      <c r="T295" s="3">
        <f>'Historical Data'!AH292</f>
        <v/>
      </c>
      <c r="U295" s="3">
        <f>'Historical Data'!BA292</f>
        <v/>
      </c>
      <c r="V295" s="3" t="n"/>
      <c r="W295" s="3" t="n"/>
      <c r="X295" s="3" t="n"/>
      <c r="Y295" s="3" t="n"/>
      <c r="Z295" s="3" t="n"/>
    </row>
    <row r="296" hidden="1" ht="15.75" customHeight="1" s="174">
      <c r="A296" s="3">
        <f>'Historical Data'!A293</f>
        <v/>
      </c>
      <c r="B296" s="3">
        <f>'Historical Data'!B293</f>
        <v/>
      </c>
      <c r="C296" s="3">
        <f>'Historical Data'!D293</f>
        <v/>
      </c>
      <c r="D296" s="23">
        <f>'Historical Data'!E293</f>
        <v/>
      </c>
      <c r="E296" s="3">
        <f>'Historical Data'!G293</f>
        <v/>
      </c>
      <c r="F296" s="3">
        <f>'Historical Data'!Y293</f>
        <v/>
      </c>
      <c r="G296" s="3">
        <f>'Historical Data'!K293</f>
        <v/>
      </c>
      <c r="H296" s="3">
        <f>'Historical Data'!L293</f>
        <v/>
      </c>
      <c r="I296" s="26">
        <f>'Historical Data'!M293</f>
        <v/>
      </c>
      <c r="J296" s="28">
        <f>'Historical Data'!N293</f>
        <v/>
      </c>
      <c r="K296" s="28">
        <f>'Historical Data'!Q293</f>
        <v/>
      </c>
      <c r="L296" s="30">
        <f>'Historical Data'!S293</f>
        <v/>
      </c>
      <c r="M296" s="28">
        <f>'Historical Data'!AJ293</f>
        <v/>
      </c>
      <c r="N296" s="28">
        <f>'Historical Data'!AK293</f>
        <v/>
      </c>
      <c r="O296" s="3">
        <f>'Historical Data'!AA293</f>
        <v/>
      </c>
      <c r="P296" s="3">
        <f>'Historical Data'!AB293</f>
        <v/>
      </c>
      <c r="Q296" s="3">
        <f>'Historical Data'!AN293</f>
        <v/>
      </c>
      <c r="R296" s="3">
        <f>'Historical Data'!AC293</f>
        <v/>
      </c>
      <c r="S296" s="3">
        <f>'Historical Data'!AE293</f>
        <v/>
      </c>
      <c r="T296" s="3">
        <f>'Historical Data'!AH293</f>
        <v/>
      </c>
      <c r="U296" s="3">
        <f>'Historical Data'!BA293</f>
        <v/>
      </c>
      <c r="V296" s="3" t="n"/>
      <c r="W296" s="3" t="n"/>
      <c r="X296" s="3" t="n"/>
      <c r="Y296" s="3" t="n"/>
      <c r="Z296" s="3" t="n"/>
    </row>
    <row r="297" hidden="1" ht="15.75" customHeight="1" s="174">
      <c r="A297" s="3">
        <f>'Historical Data'!A294</f>
        <v/>
      </c>
      <c r="B297" s="3">
        <f>'Historical Data'!B294</f>
        <v/>
      </c>
      <c r="C297" s="3">
        <f>'Historical Data'!D294</f>
        <v/>
      </c>
      <c r="D297" s="23">
        <f>'Historical Data'!E294</f>
        <v/>
      </c>
      <c r="E297" s="3">
        <f>'Historical Data'!G294</f>
        <v/>
      </c>
      <c r="F297" s="3">
        <f>'Historical Data'!Y294</f>
        <v/>
      </c>
      <c r="G297" s="3">
        <f>'Historical Data'!K294</f>
        <v/>
      </c>
      <c r="H297" s="3">
        <f>'Historical Data'!L294</f>
        <v/>
      </c>
      <c r="I297" s="26">
        <f>'Historical Data'!M294</f>
        <v/>
      </c>
      <c r="J297" s="28">
        <f>'Historical Data'!N294</f>
        <v/>
      </c>
      <c r="K297" s="28">
        <f>'Historical Data'!Q294</f>
        <v/>
      </c>
      <c r="L297" s="30">
        <f>'Historical Data'!S294</f>
        <v/>
      </c>
      <c r="M297" s="28">
        <f>'Historical Data'!AJ294</f>
        <v/>
      </c>
      <c r="N297" s="28">
        <f>'Historical Data'!AK294</f>
        <v/>
      </c>
      <c r="O297" s="3">
        <f>'Historical Data'!AA294</f>
        <v/>
      </c>
      <c r="P297" s="3">
        <f>'Historical Data'!AB294</f>
        <v/>
      </c>
      <c r="Q297" s="3">
        <f>'Historical Data'!AN294</f>
        <v/>
      </c>
      <c r="R297" s="3">
        <f>'Historical Data'!AC294</f>
        <v/>
      </c>
      <c r="S297" s="3">
        <f>'Historical Data'!AE294</f>
        <v/>
      </c>
      <c r="T297" s="3">
        <f>'Historical Data'!AH294</f>
        <v/>
      </c>
      <c r="U297" s="3">
        <f>'Historical Data'!BA294</f>
        <v/>
      </c>
      <c r="V297" s="3" t="n"/>
      <c r="W297" s="3" t="n"/>
      <c r="X297" s="3" t="n"/>
      <c r="Y297" s="3" t="n"/>
      <c r="Z297" s="3" t="n"/>
    </row>
    <row r="298" hidden="1" ht="15.75" customHeight="1" s="174">
      <c r="A298" s="3">
        <f>'Historical Data'!A295</f>
        <v/>
      </c>
      <c r="B298" s="3">
        <f>'Historical Data'!B295</f>
        <v/>
      </c>
      <c r="C298" s="3">
        <f>'Historical Data'!D295</f>
        <v/>
      </c>
      <c r="D298" s="23">
        <f>'Historical Data'!E295</f>
        <v/>
      </c>
      <c r="E298" s="3">
        <f>'Historical Data'!G295</f>
        <v/>
      </c>
      <c r="F298" s="3">
        <f>'Historical Data'!Y295</f>
        <v/>
      </c>
      <c r="G298" s="3">
        <f>'Historical Data'!K295</f>
        <v/>
      </c>
      <c r="H298" s="3">
        <f>'Historical Data'!L295</f>
        <v/>
      </c>
      <c r="I298" s="26">
        <f>'Historical Data'!M295</f>
        <v/>
      </c>
      <c r="J298" s="28">
        <f>'Historical Data'!N295</f>
        <v/>
      </c>
      <c r="K298" s="28">
        <f>'Historical Data'!Q295</f>
        <v/>
      </c>
      <c r="L298" s="30">
        <f>'Historical Data'!S295</f>
        <v/>
      </c>
      <c r="M298" s="28">
        <f>'Historical Data'!AJ295</f>
        <v/>
      </c>
      <c r="N298" s="28">
        <f>'Historical Data'!AK295</f>
        <v/>
      </c>
      <c r="O298" s="3">
        <f>'Historical Data'!AA295</f>
        <v/>
      </c>
      <c r="P298" s="3">
        <f>'Historical Data'!AB295</f>
        <v/>
      </c>
      <c r="Q298" s="3">
        <f>'Historical Data'!AN295</f>
        <v/>
      </c>
      <c r="R298" s="3">
        <f>'Historical Data'!AC295</f>
        <v/>
      </c>
      <c r="S298" s="3">
        <f>'Historical Data'!AE295</f>
        <v/>
      </c>
      <c r="T298" s="3">
        <f>'Historical Data'!AH295</f>
        <v/>
      </c>
      <c r="U298" s="3">
        <f>'Historical Data'!BA295</f>
        <v/>
      </c>
      <c r="V298" s="3" t="n"/>
      <c r="W298" s="3" t="n"/>
      <c r="X298" s="3" t="n"/>
      <c r="Y298" s="3" t="n"/>
      <c r="Z298" s="3" t="n"/>
    </row>
    <row r="299" hidden="1" ht="15.75" customHeight="1" s="174">
      <c r="A299" s="3">
        <f>'Historical Data'!A296</f>
        <v/>
      </c>
      <c r="B299" s="3">
        <f>'Historical Data'!B296</f>
        <v/>
      </c>
      <c r="C299" s="3">
        <f>'Historical Data'!D296</f>
        <v/>
      </c>
      <c r="D299" s="23">
        <f>'Historical Data'!E296</f>
        <v/>
      </c>
      <c r="E299" s="3">
        <f>'Historical Data'!G296</f>
        <v/>
      </c>
      <c r="F299" s="3">
        <f>'Historical Data'!Y296</f>
        <v/>
      </c>
      <c r="G299" s="3">
        <f>'Historical Data'!K296</f>
        <v/>
      </c>
      <c r="H299" s="3">
        <f>'Historical Data'!L296</f>
        <v/>
      </c>
      <c r="I299" s="26">
        <f>'Historical Data'!M296</f>
        <v/>
      </c>
      <c r="J299" s="28">
        <f>'Historical Data'!N296</f>
        <v/>
      </c>
      <c r="K299" s="28">
        <f>'Historical Data'!Q296</f>
        <v/>
      </c>
      <c r="L299" s="30">
        <f>'Historical Data'!S296</f>
        <v/>
      </c>
      <c r="M299" s="28">
        <f>'Historical Data'!AJ296</f>
        <v/>
      </c>
      <c r="N299" s="28">
        <f>'Historical Data'!AK296</f>
        <v/>
      </c>
      <c r="O299" s="3">
        <f>'Historical Data'!AA296</f>
        <v/>
      </c>
      <c r="P299" s="3">
        <f>'Historical Data'!AB296</f>
        <v/>
      </c>
      <c r="Q299" s="3">
        <f>'Historical Data'!AN296</f>
        <v/>
      </c>
      <c r="R299" s="3">
        <f>'Historical Data'!AC296</f>
        <v/>
      </c>
      <c r="S299" s="3">
        <f>'Historical Data'!AE296</f>
        <v/>
      </c>
      <c r="T299" s="3">
        <f>'Historical Data'!AH296</f>
        <v/>
      </c>
      <c r="U299" s="3">
        <f>'Historical Data'!BA296</f>
        <v/>
      </c>
      <c r="V299" s="3" t="n"/>
      <c r="W299" s="3" t="n"/>
      <c r="X299" s="3" t="n"/>
      <c r="Y299" s="3" t="n"/>
      <c r="Z299" s="3" t="n"/>
    </row>
    <row r="300" hidden="1" ht="15.75" customHeight="1" s="174">
      <c r="A300" s="3">
        <f>'Historical Data'!A297</f>
        <v/>
      </c>
      <c r="B300" s="3">
        <f>'Historical Data'!B297</f>
        <v/>
      </c>
      <c r="C300" s="3">
        <f>'Historical Data'!D297</f>
        <v/>
      </c>
      <c r="D300" s="23">
        <f>'Historical Data'!E297</f>
        <v/>
      </c>
      <c r="E300" s="3">
        <f>'Historical Data'!G297</f>
        <v/>
      </c>
      <c r="F300" s="3">
        <f>'Historical Data'!Y297</f>
        <v/>
      </c>
      <c r="G300" s="3">
        <f>'Historical Data'!K297</f>
        <v/>
      </c>
      <c r="H300" s="3">
        <f>'Historical Data'!L297</f>
        <v/>
      </c>
      <c r="I300" s="26">
        <f>'Historical Data'!M297</f>
        <v/>
      </c>
      <c r="J300" s="28">
        <f>'Historical Data'!N297</f>
        <v/>
      </c>
      <c r="K300" s="28">
        <f>'Historical Data'!Q297</f>
        <v/>
      </c>
      <c r="L300" s="30">
        <f>'Historical Data'!S297</f>
        <v/>
      </c>
      <c r="M300" s="28">
        <f>'Historical Data'!AJ297</f>
        <v/>
      </c>
      <c r="N300" s="28">
        <f>'Historical Data'!AK297</f>
        <v/>
      </c>
      <c r="O300" s="3">
        <f>'Historical Data'!AA297</f>
        <v/>
      </c>
      <c r="P300" s="3">
        <f>'Historical Data'!AB297</f>
        <v/>
      </c>
      <c r="Q300" s="3">
        <f>'Historical Data'!AN297</f>
        <v/>
      </c>
      <c r="R300" s="3">
        <f>'Historical Data'!AC297</f>
        <v/>
      </c>
      <c r="S300" s="3">
        <f>'Historical Data'!AE297</f>
        <v/>
      </c>
      <c r="T300" s="3">
        <f>'Historical Data'!AH297</f>
        <v/>
      </c>
      <c r="U300" s="3">
        <f>'Historical Data'!BA297</f>
        <v/>
      </c>
      <c r="V300" s="3" t="n"/>
      <c r="W300" s="3" t="n"/>
      <c r="X300" s="3" t="n"/>
      <c r="Y300" s="3" t="n"/>
      <c r="Z300" s="3" t="n"/>
    </row>
    <row r="301" hidden="1" ht="15.75" customHeight="1" s="174">
      <c r="A301" s="3">
        <f>'Historical Data'!A298</f>
        <v/>
      </c>
      <c r="B301" s="3">
        <f>'Historical Data'!B298</f>
        <v/>
      </c>
      <c r="C301" s="3">
        <f>'Historical Data'!D298</f>
        <v/>
      </c>
      <c r="D301" s="23">
        <f>'Historical Data'!E298</f>
        <v/>
      </c>
      <c r="E301" s="3">
        <f>'Historical Data'!G298</f>
        <v/>
      </c>
      <c r="F301" s="3">
        <f>'Historical Data'!Y298</f>
        <v/>
      </c>
      <c r="G301" s="3">
        <f>'Historical Data'!K298</f>
        <v/>
      </c>
      <c r="H301" s="3">
        <f>'Historical Data'!L298</f>
        <v/>
      </c>
      <c r="I301" s="26">
        <f>'Historical Data'!M298</f>
        <v/>
      </c>
      <c r="J301" s="28">
        <f>'Historical Data'!N298</f>
        <v/>
      </c>
      <c r="K301" s="28">
        <f>'Historical Data'!Q298</f>
        <v/>
      </c>
      <c r="L301" s="30">
        <f>'Historical Data'!S298</f>
        <v/>
      </c>
      <c r="M301" s="28">
        <f>'Historical Data'!AJ298</f>
        <v/>
      </c>
      <c r="N301" s="28">
        <f>'Historical Data'!AK298</f>
        <v/>
      </c>
      <c r="O301" s="3">
        <f>'Historical Data'!AA298</f>
        <v/>
      </c>
      <c r="P301" s="3">
        <f>'Historical Data'!AB298</f>
        <v/>
      </c>
      <c r="Q301" s="3">
        <f>'Historical Data'!AN298</f>
        <v/>
      </c>
      <c r="R301" s="3">
        <f>'Historical Data'!AC298</f>
        <v/>
      </c>
      <c r="S301" s="3">
        <f>'Historical Data'!AE298</f>
        <v/>
      </c>
      <c r="T301" s="3">
        <f>'Historical Data'!AH298</f>
        <v/>
      </c>
      <c r="U301" s="3">
        <f>'Historical Data'!BA298</f>
        <v/>
      </c>
      <c r="V301" s="3" t="n"/>
      <c r="W301" s="3" t="n"/>
      <c r="X301" s="3" t="n"/>
      <c r="Y301" s="3" t="n"/>
      <c r="Z301" s="3" t="n"/>
    </row>
    <row r="302" hidden="1" ht="15.75" customHeight="1" s="174">
      <c r="A302" s="3">
        <f>'Historical Data'!A299</f>
        <v/>
      </c>
      <c r="B302" s="3">
        <f>'Historical Data'!B299</f>
        <v/>
      </c>
      <c r="C302" s="3">
        <f>'Historical Data'!D299</f>
        <v/>
      </c>
      <c r="D302" s="23">
        <f>'Historical Data'!E299</f>
        <v/>
      </c>
      <c r="E302" s="3">
        <f>'Historical Data'!G299</f>
        <v/>
      </c>
      <c r="F302" s="3">
        <f>'Historical Data'!Y299</f>
        <v/>
      </c>
      <c r="G302" s="3">
        <f>'Historical Data'!K299</f>
        <v/>
      </c>
      <c r="H302" s="3">
        <f>'Historical Data'!L299</f>
        <v/>
      </c>
      <c r="I302" s="26">
        <f>'Historical Data'!M299</f>
        <v/>
      </c>
      <c r="J302" s="28">
        <f>'Historical Data'!N299</f>
        <v/>
      </c>
      <c r="K302" s="28">
        <f>'Historical Data'!Q299</f>
        <v/>
      </c>
      <c r="L302" s="30">
        <f>'Historical Data'!S299</f>
        <v/>
      </c>
      <c r="M302" s="28">
        <f>'Historical Data'!AJ299</f>
        <v/>
      </c>
      <c r="N302" s="28">
        <f>'Historical Data'!AK299</f>
        <v/>
      </c>
      <c r="O302" s="3">
        <f>'Historical Data'!AA299</f>
        <v/>
      </c>
      <c r="P302" s="3">
        <f>'Historical Data'!AB299</f>
        <v/>
      </c>
      <c r="Q302" s="3">
        <f>'Historical Data'!AN299</f>
        <v/>
      </c>
      <c r="R302" s="3">
        <f>'Historical Data'!AC299</f>
        <v/>
      </c>
      <c r="S302" s="3">
        <f>'Historical Data'!AE299</f>
        <v/>
      </c>
      <c r="T302" s="3">
        <f>'Historical Data'!AH299</f>
        <v/>
      </c>
      <c r="U302" s="3">
        <f>'Historical Data'!BA299</f>
        <v/>
      </c>
      <c r="V302" s="3" t="n"/>
      <c r="W302" s="3" t="n"/>
      <c r="X302" s="3" t="n"/>
      <c r="Y302" s="3" t="n"/>
      <c r="Z302" s="3" t="n"/>
    </row>
    <row r="303" ht="15.75" customHeight="1" s="174">
      <c r="A303" s="3">
        <f>'Historical Data'!A300</f>
        <v/>
      </c>
      <c r="B303" s="3">
        <f>'Historical Data'!B300</f>
        <v/>
      </c>
      <c r="C303" s="3">
        <f>'Historical Data'!D300</f>
        <v/>
      </c>
      <c r="D303" s="23">
        <f>'Historical Data'!E300</f>
        <v/>
      </c>
      <c r="E303" s="3">
        <f>'Historical Data'!G300</f>
        <v/>
      </c>
      <c r="F303" s="3">
        <f>'Historical Data'!Y300</f>
        <v/>
      </c>
      <c r="G303" s="3">
        <f>'Historical Data'!K300</f>
        <v/>
      </c>
      <c r="H303" s="3">
        <f>'Historical Data'!L300</f>
        <v/>
      </c>
      <c r="I303" s="26">
        <f>'Historical Data'!M300</f>
        <v/>
      </c>
      <c r="J303" s="28">
        <f>'Historical Data'!N300</f>
        <v/>
      </c>
      <c r="K303" s="28">
        <f>'Historical Data'!Q300</f>
        <v/>
      </c>
      <c r="L303" s="30">
        <f>'Historical Data'!S300</f>
        <v/>
      </c>
      <c r="M303" s="28">
        <f>'Historical Data'!AJ300</f>
        <v/>
      </c>
      <c r="N303" s="28">
        <f>'Historical Data'!AK300</f>
        <v/>
      </c>
      <c r="O303" s="3">
        <f>'Historical Data'!AA300</f>
        <v/>
      </c>
      <c r="P303" s="3">
        <f>'Historical Data'!AB300</f>
        <v/>
      </c>
      <c r="Q303" s="3">
        <f>'Historical Data'!AN300</f>
        <v/>
      </c>
      <c r="R303" s="3">
        <f>'Historical Data'!AC300</f>
        <v/>
      </c>
      <c r="S303" s="3">
        <f>'Historical Data'!AE300</f>
        <v/>
      </c>
      <c r="T303" s="3">
        <f>'Historical Data'!AH300</f>
        <v/>
      </c>
      <c r="U303" s="3">
        <f>'Historical Data'!BA300</f>
        <v/>
      </c>
      <c r="V303" s="3" t="n"/>
      <c r="W303" s="3" t="n"/>
      <c r="X303" s="3" t="n"/>
      <c r="Y303" s="3" t="n"/>
      <c r="Z303" s="3" t="n"/>
    </row>
    <row r="304" hidden="1" ht="15.75" customHeight="1" s="174">
      <c r="A304" s="3">
        <f>'Historical Data'!A301</f>
        <v/>
      </c>
      <c r="B304" s="3">
        <f>'Historical Data'!B301</f>
        <v/>
      </c>
      <c r="C304" s="3">
        <f>'Historical Data'!D301</f>
        <v/>
      </c>
      <c r="D304" s="23">
        <f>'Historical Data'!E301</f>
        <v/>
      </c>
      <c r="E304" s="3">
        <f>'Historical Data'!G301</f>
        <v/>
      </c>
      <c r="F304" s="3">
        <f>'Historical Data'!Y301</f>
        <v/>
      </c>
      <c r="G304" s="3">
        <f>'Historical Data'!K301</f>
        <v/>
      </c>
      <c r="H304" s="3">
        <f>'Historical Data'!L301</f>
        <v/>
      </c>
      <c r="I304" s="26">
        <f>'Historical Data'!M301</f>
        <v/>
      </c>
      <c r="J304" s="28">
        <f>'Historical Data'!N301</f>
        <v/>
      </c>
      <c r="K304" s="28">
        <f>'Historical Data'!Q301</f>
        <v/>
      </c>
      <c r="L304" s="30">
        <f>'Historical Data'!S301</f>
        <v/>
      </c>
      <c r="M304" s="28">
        <f>'Historical Data'!AJ301</f>
        <v/>
      </c>
      <c r="N304" s="28">
        <f>'Historical Data'!AK301</f>
        <v/>
      </c>
      <c r="O304" s="3">
        <f>'Historical Data'!AA301</f>
        <v/>
      </c>
      <c r="P304" s="3">
        <f>'Historical Data'!AB301</f>
        <v/>
      </c>
      <c r="Q304" s="3">
        <f>'Historical Data'!AN301</f>
        <v/>
      </c>
      <c r="R304" s="3">
        <f>'Historical Data'!AC301</f>
        <v/>
      </c>
      <c r="S304" s="3">
        <f>'Historical Data'!AE301</f>
        <v/>
      </c>
      <c r="T304" s="3">
        <f>'Historical Data'!AH301</f>
        <v/>
      </c>
      <c r="U304" s="3">
        <f>'Historical Data'!BA301</f>
        <v/>
      </c>
      <c r="V304" s="3" t="n"/>
      <c r="W304" s="3" t="n"/>
      <c r="X304" s="3" t="n"/>
      <c r="Y304" s="3" t="n"/>
      <c r="Z304" s="3" t="n"/>
    </row>
    <row r="305" hidden="1" ht="15.75" customHeight="1" s="174">
      <c r="A305" s="3">
        <f>'Historical Data'!A302</f>
        <v/>
      </c>
      <c r="B305" s="3">
        <f>'Historical Data'!B302</f>
        <v/>
      </c>
      <c r="C305" s="3">
        <f>'Historical Data'!D302</f>
        <v/>
      </c>
      <c r="D305" s="23">
        <f>'Historical Data'!E302</f>
        <v/>
      </c>
      <c r="E305" s="3">
        <f>'Historical Data'!G302</f>
        <v/>
      </c>
      <c r="F305" s="3">
        <f>'Historical Data'!Y302</f>
        <v/>
      </c>
      <c r="G305" s="3">
        <f>'Historical Data'!K302</f>
        <v/>
      </c>
      <c r="H305" s="3">
        <f>'Historical Data'!L302</f>
        <v/>
      </c>
      <c r="I305" s="26">
        <f>'Historical Data'!M302</f>
        <v/>
      </c>
      <c r="J305" s="28">
        <f>'Historical Data'!N302</f>
        <v/>
      </c>
      <c r="K305" s="28">
        <f>'Historical Data'!Q302</f>
        <v/>
      </c>
      <c r="L305" s="30">
        <f>'Historical Data'!S302</f>
        <v/>
      </c>
      <c r="M305" s="28">
        <f>'Historical Data'!AJ302</f>
        <v/>
      </c>
      <c r="N305" s="28">
        <f>'Historical Data'!AK302</f>
        <v/>
      </c>
      <c r="O305" s="3">
        <f>'Historical Data'!AA302</f>
        <v/>
      </c>
      <c r="P305" s="3">
        <f>'Historical Data'!AB302</f>
        <v/>
      </c>
      <c r="Q305" s="3">
        <f>'Historical Data'!AN302</f>
        <v/>
      </c>
      <c r="R305" s="3">
        <f>'Historical Data'!AC302</f>
        <v/>
      </c>
      <c r="S305" s="3">
        <f>'Historical Data'!AE302</f>
        <v/>
      </c>
      <c r="T305" s="3">
        <f>'Historical Data'!AH302</f>
        <v/>
      </c>
      <c r="U305" s="3">
        <f>'Historical Data'!BA302</f>
        <v/>
      </c>
      <c r="V305" s="3" t="n"/>
      <c r="W305" s="3" t="n"/>
      <c r="X305" s="3" t="n"/>
      <c r="Y305" s="3" t="n"/>
      <c r="Z305" s="3" t="n"/>
    </row>
    <row r="306" hidden="1" ht="15.75" customHeight="1" s="174">
      <c r="A306" s="3">
        <f>'Historical Data'!A303</f>
        <v/>
      </c>
      <c r="B306" s="3">
        <f>'Historical Data'!B303</f>
        <v/>
      </c>
      <c r="C306" s="3">
        <f>'Historical Data'!D303</f>
        <v/>
      </c>
      <c r="D306" s="23">
        <f>'Historical Data'!E303</f>
        <v/>
      </c>
      <c r="E306" s="3">
        <f>'Historical Data'!G303</f>
        <v/>
      </c>
      <c r="F306" s="3">
        <f>'Historical Data'!Y303</f>
        <v/>
      </c>
      <c r="G306" s="3">
        <f>'Historical Data'!K303</f>
        <v/>
      </c>
      <c r="H306" s="3">
        <f>'Historical Data'!L303</f>
        <v/>
      </c>
      <c r="I306" s="26">
        <f>'Historical Data'!M303</f>
        <v/>
      </c>
      <c r="J306" s="28">
        <f>'Historical Data'!N303</f>
        <v/>
      </c>
      <c r="K306" s="28">
        <f>'Historical Data'!Q303</f>
        <v/>
      </c>
      <c r="L306" s="30">
        <f>'Historical Data'!S303</f>
        <v/>
      </c>
      <c r="M306" s="28">
        <f>'Historical Data'!AJ303</f>
        <v/>
      </c>
      <c r="N306" s="28">
        <f>'Historical Data'!AK303</f>
        <v/>
      </c>
      <c r="O306" s="3">
        <f>'Historical Data'!AA303</f>
        <v/>
      </c>
      <c r="P306" s="3">
        <f>'Historical Data'!AB303</f>
        <v/>
      </c>
      <c r="Q306" s="3">
        <f>'Historical Data'!AN303</f>
        <v/>
      </c>
      <c r="R306" s="3">
        <f>'Historical Data'!AC303</f>
        <v/>
      </c>
      <c r="S306" s="3">
        <f>'Historical Data'!AE303</f>
        <v/>
      </c>
      <c r="T306" s="3">
        <f>'Historical Data'!AH303</f>
        <v/>
      </c>
      <c r="U306" s="3">
        <f>'Historical Data'!BA303</f>
        <v/>
      </c>
      <c r="V306" s="3" t="n"/>
      <c r="W306" s="3" t="n"/>
      <c r="X306" s="3" t="n"/>
      <c r="Y306" s="3" t="n"/>
      <c r="Z306" s="3" t="n"/>
    </row>
    <row r="307" hidden="1" ht="15.75" customHeight="1" s="174">
      <c r="A307" s="3">
        <f>'Historical Data'!A304</f>
        <v/>
      </c>
      <c r="B307" s="3">
        <f>'Historical Data'!B304</f>
        <v/>
      </c>
      <c r="C307" s="3">
        <f>'Historical Data'!D304</f>
        <v/>
      </c>
      <c r="D307" s="23">
        <f>'Historical Data'!E304</f>
        <v/>
      </c>
      <c r="E307" s="3">
        <f>'Historical Data'!G304</f>
        <v/>
      </c>
      <c r="F307" s="3">
        <f>'Historical Data'!Y304</f>
        <v/>
      </c>
      <c r="G307" s="3">
        <f>'Historical Data'!K304</f>
        <v/>
      </c>
      <c r="H307" s="3">
        <f>'Historical Data'!L304</f>
        <v/>
      </c>
      <c r="I307" s="26">
        <f>'Historical Data'!M304</f>
        <v/>
      </c>
      <c r="J307" s="28">
        <f>'Historical Data'!N304</f>
        <v/>
      </c>
      <c r="K307" s="28">
        <f>'Historical Data'!Q304</f>
        <v/>
      </c>
      <c r="L307" s="30">
        <f>'Historical Data'!S304</f>
        <v/>
      </c>
      <c r="M307" s="28">
        <f>'Historical Data'!AJ304</f>
        <v/>
      </c>
      <c r="N307" s="28">
        <f>'Historical Data'!AK304</f>
        <v/>
      </c>
      <c r="O307" s="3">
        <f>'Historical Data'!AA304</f>
        <v/>
      </c>
      <c r="P307" s="3">
        <f>'Historical Data'!AB304</f>
        <v/>
      </c>
      <c r="Q307" s="3">
        <f>'Historical Data'!AN304</f>
        <v/>
      </c>
      <c r="R307" s="3">
        <f>'Historical Data'!AC304</f>
        <v/>
      </c>
      <c r="S307" s="3">
        <f>'Historical Data'!AE304</f>
        <v/>
      </c>
      <c r="T307" s="3">
        <f>'Historical Data'!AH304</f>
        <v/>
      </c>
      <c r="U307" s="3">
        <f>'Historical Data'!BA304</f>
        <v/>
      </c>
      <c r="V307" s="3" t="n"/>
      <c r="W307" s="3" t="n"/>
      <c r="X307" s="3" t="n"/>
      <c r="Y307" s="3" t="n"/>
      <c r="Z307" s="3" t="n"/>
    </row>
    <row r="308" hidden="1" ht="15.75" customHeight="1" s="174">
      <c r="A308" s="3">
        <f>'Historical Data'!A305</f>
        <v/>
      </c>
      <c r="B308" s="3">
        <f>'Historical Data'!B305</f>
        <v/>
      </c>
      <c r="C308" s="3">
        <f>'Historical Data'!D305</f>
        <v/>
      </c>
      <c r="D308" s="23">
        <f>'Historical Data'!E305</f>
        <v/>
      </c>
      <c r="E308" s="3">
        <f>'Historical Data'!G305</f>
        <v/>
      </c>
      <c r="F308" s="3">
        <f>'Historical Data'!Y305</f>
        <v/>
      </c>
      <c r="G308" s="3">
        <f>'Historical Data'!K305</f>
        <v/>
      </c>
      <c r="H308" s="3">
        <f>'Historical Data'!L305</f>
        <v/>
      </c>
      <c r="I308" s="26">
        <f>'Historical Data'!M305</f>
        <v/>
      </c>
      <c r="J308" s="28">
        <f>'Historical Data'!N305</f>
        <v/>
      </c>
      <c r="K308" s="28">
        <f>'Historical Data'!Q305</f>
        <v/>
      </c>
      <c r="L308" s="30">
        <f>'Historical Data'!S305</f>
        <v/>
      </c>
      <c r="M308" s="28">
        <f>'Historical Data'!AJ305</f>
        <v/>
      </c>
      <c r="N308" s="28">
        <f>'Historical Data'!AK305</f>
        <v/>
      </c>
      <c r="O308" s="3">
        <f>'Historical Data'!AA305</f>
        <v/>
      </c>
      <c r="P308" s="3">
        <f>'Historical Data'!AB305</f>
        <v/>
      </c>
      <c r="Q308" s="3">
        <f>'Historical Data'!AN305</f>
        <v/>
      </c>
      <c r="R308" s="3">
        <f>'Historical Data'!AC305</f>
        <v/>
      </c>
      <c r="S308" s="3">
        <f>'Historical Data'!AE305</f>
        <v/>
      </c>
      <c r="T308" s="3">
        <f>'Historical Data'!AH305</f>
        <v/>
      </c>
      <c r="U308" s="3">
        <f>'Historical Data'!BA305</f>
        <v/>
      </c>
      <c r="V308" s="3" t="n"/>
      <c r="W308" s="3" t="n"/>
      <c r="X308" s="3" t="n"/>
      <c r="Y308" s="3" t="n"/>
      <c r="Z308" s="3" t="n"/>
    </row>
    <row r="309" hidden="1" ht="15.75" customHeight="1" s="174">
      <c r="A309" s="3">
        <f>'Historical Data'!A306</f>
        <v/>
      </c>
      <c r="B309" s="3">
        <f>'Historical Data'!B306</f>
        <v/>
      </c>
      <c r="C309" s="3">
        <f>'Historical Data'!D306</f>
        <v/>
      </c>
      <c r="D309" s="23">
        <f>'Historical Data'!E306</f>
        <v/>
      </c>
      <c r="E309" s="3">
        <f>'Historical Data'!G306</f>
        <v/>
      </c>
      <c r="F309" s="3">
        <f>'Historical Data'!Y306</f>
        <v/>
      </c>
      <c r="G309" s="3">
        <f>'Historical Data'!K306</f>
        <v/>
      </c>
      <c r="H309" s="3">
        <f>'Historical Data'!L306</f>
        <v/>
      </c>
      <c r="I309" s="26">
        <f>'Historical Data'!M306</f>
        <v/>
      </c>
      <c r="J309" s="28">
        <f>'Historical Data'!N306</f>
        <v/>
      </c>
      <c r="K309" s="28">
        <f>'Historical Data'!Q306</f>
        <v/>
      </c>
      <c r="L309" s="30">
        <f>'Historical Data'!S306</f>
        <v/>
      </c>
      <c r="M309" s="28">
        <f>'Historical Data'!AJ306</f>
        <v/>
      </c>
      <c r="N309" s="28">
        <f>'Historical Data'!AK306</f>
        <v/>
      </c>
      <c r="O309" s="3">
        <f>'Historical Data'!AA306</f>
        <v/>
      </c>
      <c r="P309" s="3">
        <f>'Historical Data'!AB306</f>
        <v/>
      </c>
      <c r="Q309" s="3">
        <f>'Historical Data'!AN306</f>
        <v/>
      </c>
      <c r="R309" s="3">
        <f>'Historical Data'!AC306</f>
        <v/>
      </c>
      <c r="S309" s="3">
        <f>'Historical Data'!AE306</f>
        <v/>
      </c>
      <c r="T309" s="3">
        <f>'Historical Data'!AH306</f>
        <v/>
      </c>
      <c r="U309" s="3">
        <f>'Historical Data'!BA306</f>
        <v/>
      </c>
      <c r="V309" s="3" t="n"/>
      <c r="W309" s="3" t="n"/>
      <c r="X309" s="3" t="n"/>
      <c r="Y309" s="3" t="n"/>
      <c r="Z309" s="3" t="n"/>
    </row>
    <row r="310" hidden="1" ht="15.75" customHeight="1" s="174">
      <c r="A310" s="3">
        <f>'Historical Data'!A307</f>
        <v/>
      </c>
      <c r="B310" s="3">
        <f>'Historical Data'!B307</f>
        <v/>
      </c>
      <c r="C310" s="3">
        <f>'Historical Data'!D307</f>
        <v/>
      </c>
      <c r="D310" s="23">
        <f>'Historical Data'!E307</f>
        <v/>
      </c>
      <c r="E310" s="3">
        <f>'Historical Data'!G307</f>
        <v/>
      </c>
      <c r="F310" s="3">
        <f>'Historical Data'!Y307</f>
        <v/>
      </c>
      <c r="G310" s="3">
        <f>'Historical Data'!K307</f>
        <v/>
      </c>
      <c r="H310" s="3">
        <f>'Historical Data'!L307</f>
        <v/>
      </c>
      <c r="I310" s="26">
        <f>'Historical Data'!M307</f>
        <v/>
      </c>
      <c r="J310" s="28">
        <f>'Historical Data'!N307</f>
        <v/>
      </c>
      <c r="K310" s="28">
        <f>'Historical Data'!Q307</f>
        <v/>
      </c>
      <c r="L310" s="30">
        <f>'Historical Data'!S307</f>
        <v/>
      </c>
      <c r="M310" s="28">
        <f>'Historical Data'!AJ307</f>
        <v/>
      </c>
      <c r="N310" s="28">
        <f>'Historical Data'!AK307</f>
        <v/>
      </c>
      <c r="O310" s="3">
        <f>'Historical Data'!AA307</f>
        <v/>
      </c>
      <c r="P310" s="3">
        <f>'Historical Data'!AB307</f>
        <v/>
      </c>
      <c r="Q310" s="3">
        <f>'Historical Data'!AN307</f>
        <v/>
      </c>
      <c r="R310" s="3">
        <f>'Historical Data'!AC307</f>
        <v/>
      </c>
      <c r="S310" s="3">
        <f>'Historical Data'!AE307</f>
        <v/>
      </c>
      <c r="T310" s="3">
        <f>'Historical Data'!AH307</f>
        <v/>
      </c>
      <c r="U310" s="3">
        <f>'Historical Data'!BA307</f>
        <v/>
      </c>
      <c r="V310" s="3" t="n"/>
      <c r="W310" s="3" t="n"/>
      <c r="X310" s="3" t="n"/>
      <c r="Y310" s="3" t="n"/>
      <c r="Z310" s="3" t="n"/>
    </row>
    <row r="311" hidden="1" ht="15.75" customHeight="1" s="174">
      <c r="A311" s="3">
        <f>'Historical Data'!A308</f>
        <v/>
      </c>
      <c r="B311" s="3">
        <f>'Historical Data'!B308</f>
        <v/>
      </c>
      <c r="C311" s="3">
        <f>'Historical Data'!D308</f>
        <v/>
      </c>
      <c r="D311" s="23">
        <f>'Historical Data'!E308</f>
        <v/>
      </c>
      <c r="E311" s="3">
        <f>'Historical Data'!G308</f>
        <v/>
      </c>
      <c r="F311" s="3">
        <f>'Historical Data'!Y308</f>
        <v/>
      </c>
      <c r="G311" s="3">
        <f>'Historical Data'!K308</f>
        <v/>
      </c>
      <c r="H311" s="3">
        <f>'Historical Data'!L308</f>
        <v/>
      </c>
      <c r="I311" s="26">
        <f>'Historical Data'!M308</f>
        <v/>
      </c>
      <c r="J311" s="28">
        <f>'Historical Data'!N308</f>
        <v/>
      </c>
      <c r="K311" s="28">
        <f>'Historical Data'!Q308</f>
        <v/>
      </c>
      <c r="L311" s="30">
        <f>'Historical Data'!S308</f>
        <v/>
      </c>
      <c r="M311" s="28">
        <f>'Historical Data'!AJ308</f>
        <v/>
      </c>
      <c r="N311" s="28">
        <f>'Historical Data'!AK308</f>
        <v/>
      </c>
      <c r="O311" s="3">
        <f>'Historical Data'!AA308</f>
        <v/>
      </c>
      <c r="P311" s="3">
        <f>'Historical Data'!AB308</f>
        <v/>
      </c>
      <c r="Q311" s="3">
        <f>'Historical Data'!AN308</f>
        <v/>
      </c>
      <c r="R311" s="3">
        <f>'Historical Data'!AC308</f>
        <v/>
      </c>
      <c r="S311" s="3">
        <f>'Historical Data'!AE308</f>
        <v/>
      </c>
      <c r="T311" s="3">
        <f>'Historical Data'!AH308</f>
        <v/>
      </c>
      <c r="U311" s="3">
        <f>'Historical Data'!BA308</f>
        <v/>
      </c>
      <c r="V311" s="3" t="n"/>
      <c r="W311" s="3" t="n"/>
      <c r="X311" s="3" t="n"/>
      <c r="Y311" s="3" t="n"/>
      <c r="Z311" s="3" t="n"/>
    </row>
    <row r="312" hidden="1" ht="15.75" customHeight="1" s="174">
      <c r="A312" s="3">
        <f>'Historical Data'!A309</f>
        <v/>
      </c>
      <c r="B312" s="3">
        <f>'Historical Data'!B309</f>
        <v/>
      </c>
      <c r="C312" s="3">
        <f>'Historical Data'!D309</f>
        <v/>
      </c>
      <c r="D312" s="23">
        <f>'Historical Data'!E309</f>
        <v/>
      </c>
      <c r="E312" s="3">
        <f>'Historical Data'!G309</f>
        <v/>
      </c>
      <c r="F312" s="3">
        <f>'Historical Data'!Y309</f>
        <v/>
      </c>
      <c r="G312" s="3">
        <f>'Historical Data'!K309</f>
        <v/>
      </c>
      <c r="H312" s="3">
        <f>'Historical Data'!L309</f>
        <v/>
      </c>
      <c r="I312" s="26">
        <f>'Historical Data'!M309</f>
        <v/>
      </c>
      <c r="J312" s="28">
        <f>'Historical Data'!N309</f>
        <v/>
      </c>
      <c r="K312" s="28">
        <f>'Historical Data'!Q309</f>
        <v/>
      </c>
      <c r="L312" s="30">
        <f>'Historical Data'!S309</f>
        <v/>
      </c>
      <c r="M312" s="28">
        <f>'Historical Data'!AJ309</f>
        <v/>
      </c>
      <c r="N312" s="28">
        <f>'Historical Data'!AK309</f>
        <v/>
      </c>
      <c r="O312" s="3">
        <f>'Historical Data'!AA309</f>
        <v/>
      </c>
      <c r="P312" s="3">
        <f>'Historical Data'!AB309</f>
        <v/>
      </c>
      <c r="Q312" s="3">
        <f>'Historical Data'!AN309</f>
        <v/>
      </c>
      <c r="R312" s="3">
        <f>'Historical Data'!AC309</f>
        <v/>
      </c>
      <c r="S312" s="3">
        <f>'Historical Data'!AE309</f>
        <v/>
      </c>
      <c r="T312" s="3">
        <f>'Historical Data'!AH309</f>
        <v/>
      </c>
      <c r="U312" s="3">
        <f>'Historical Data'!BA309</f>
        <v/>
      </c>
      <c r="V312" s="3" t="n"/>
      <c r="W312" s="3" t="n"/>
      <c r="X312" s="3" t="n"/>
      <c r="Y312" s="3" t="n"/>
      <c r="Z312" s="3" t="n"/>
    </row>
    <row r="313" hidden="1" ht="15.75" customHeight="1" s="174">
      <c r="A313" s="3">
        <f>'Historical Data'!A310</f>
        <v/>
      </c>
      <c r="B313" s="3">
        <f>'Historical Data'!B310</f>
        <v/>
      </c>
      <c r="C313" s="3">
        <f>'Historical Data'!D310</f>
        <v/>
      </c>
      <c r="D313" s="23">
        <f>'Historical Data'!E310</f>
        <v/>
      </c>
      <c r="E313" s="3">
        <f>'Historical Data'!G310</f>
        <v/>
      </c>
      <c r="F313" s="3">
        <f>'Historical Data'!Y310</f>
        <v/>
      </c>
      <c r="G313" s="3">
        <f>'Historical Data'!K310</f>
        <v/>
      </c>
      <c r="H313" s="3">
        <f>'Historical Data'!L310</f>
        <v/>
      </c>
      <c r="I313" s="26">
        <f>'Historical Data'!M310</f>
        <v/>
      </c>
      <c r="J313" s="28">
        <f>'Historical Data'!N310</f>
        <v/>
      </c>
      <c r="K313" s="28">
        <f>'Historical Data'!Q310</f>
        <v/>
      </c>
      <c r="L313" s="30">
        <f>'Historical Data'!S310</f>
        <v/>
      </c>
      <c r="M313" s="28">
        <f>'Historical Data'!AJ310</f>
        <v/>
      </c>
      <c r="N313" s="28">
        <f>'Historical Data'!AK310</f>
        <v/>
      </c>
      <c r="O313" s="3">
        <f>'Historical Data'!AA310</f>
        <v/>
      </c>
      <c r="P313" s="3">
        <f>'Historical Data'!AB310</f>
        <v/>
      </c>
      <c r="Q313" s="3">
        <f>'Historical Data'!AN310</f>
        <v/>
      </c>
      <c r="R313" s="3">
        <f>'Historical Data'!AC310</f>
        <v/>
      </c>
      <c r="S313" s="3">
        <f>'Historical Data'!AE310</f>
        <v/>
      </c>
      <c r="T313" s="3">
        <f>'Historical Data'!AH310</f>
        <v/>
      </c>
      <c r="U313" s="3">
        <f>'Historical Data'!BA310</f>
        <v/>
      </c>
      <c r="V313" s="3" t="n"/>
      <c r="W313" s="3" t="n"/>
      <c r="X313" s="3" t="n"/>
      <c r="Y313" s="3" t="n"/>
      <c r="Z313" s="3" t="n"/>
    </row>
    <row r="314" hidden="1" ht="15.75" customHeight="1" s="174">
      <c r="A314" s="3">
        <f>'Historical Data'!A311</f>
        <v/>
      </c>
      <c r="B314" s="3">
        <f>'Historical Data'!B311</f>
        <v/>
      </c>
      <c r="C314" s="3">
        <f>'Historical Data'!D311</f>
        <v/>
      </c>
      <c r="D314" s="23">
        <f>'Historical Data'!E311</f>
        <v/>
      </c>
      <c r="E314" s="3">
        <f>'Historical Data'!G311</f>
        <v/>
      </c>
      <c r="F314" s="3">
        <f>'Historical Data'!Y311</f>
        <v/>
      </c>
      <c r="G314" s="3">
        <f>'Historical Data'!K311</f>
        <v/>
      </c>
      <c r="H314" s="3">
        <f>'Historical Data'!L311</f>
        <v/>
      </c>
      <c r="I314" s="26">
        <f>'Historical Data'!M311</f>
        <v/>
      </c>
      <c r="J314" s="28">
        <f>'Historical Data'!N311</f>
        <v/>
      </c>
      <c r="K314" s="28">
        <f>'Historical Data'!Q311</f>
        <v/>
      </c>
      <c r="L314" s="30">
        <f>'Historical Data'!S311</f>
        <v/>
      </c>
      <c r="M314" s="28">
        <f>'Historical Data'!AJ311</f>
        <v/>
      </c>
      <c r="N314" s="28">
        <f>'Historical Data'!AK311</f>
        <v/>
      </c>
      <c r="O314" s="3">
        <f>'Historical Data'!AA311</f>
        <v/>
      </c>
      <c r="P314" s="3">
        <f>'Historical Data'!AB311</f>
        <v/>
      </c>
      <c r="Q314" s="3">
        <f>'Historical Data'!AN311</f>
        <v/>
      </c>
      <c r="R314" s="3">
        <f>'Historical Data'!AC311</f>
        <v/>
      </c>
      <c r="S314" s="3">
        <f>'Historical Data'!AE311</f>
        <v/>
      </c>
      <c r="T314" s="3">
        <f>'Historical Data'!AH311</f>
        <v/>
      </c>
      <c r="U314" s="3">
        <f>'Historical Data'!BA311</f>
        <v/>
      </c>
      <c r="V314" s="3" t="n"/>
      <c r="W314" s="3" t="n"/>
      <c r="X314" s="3" t="n"/>
      <c r="Y314" s="3" t="n"/>
      <c r="Z314" s="3" t="n"/>
    </row>
    <row r="315" hidden="1" ht="15.75" customHeight="1" s="174">
      <c r="A315" s="3">
        <f>'Historical Data'!A312</f>
        <v/>
      </c>
      <c r="B315" s="3">
        <f>'Historical Data'!B312</f>
        <v/>
      </c>
      <c r="C315" s="3">
        <f>'Historical Data'!D312</f>
        <v/>
      </c>
      <c r="D315" s="23">
        <f>'Historical Data'!E312</f>
        <v/>
      </c>
      <c r="E315" s="3">
        <f>'Historical Data'!G312</f>
        <v/>
      </c>
      <c r="F315" s="3">
        <f>'Historical Data'!Y312</f>
        <v/>
      </c>
      <c r="G315" s="3">
        <f>'Historical Data'!K312</f>
        <v/>
      </c>
      <c r="H315" s="3">
        <f>'Historical Data'!L312</f>
        <v/>
      </c>
      <c r="I315" s="26">
        <f>'Historical Data'!M312</f>
        <v/>
      </c>
      <c r="J315" s="28">
        <f>'Historical Data'!N312</f>
        <v/>
      </c>
      <c r="K315" s="28">
        <f>'Historical Data'!Q312</f>
        <v/>
      </c>
      <c r="L315" s="30">
        <f>'Historical Data'!S312</f>
        <v/>
      </c>
      <c r="M315" s="28">
        <f>'Historical Data'!AJ312</f>
        <v/>
      </c>
      <c r="N315" s="28">
        <f>'Historical Data'!AK312</f>
        <v/>
      </c>
      <c r="O315" s="3">
        <f>'Historical Data'!AA312</f>
        <v/>
      </c>
      <c r="P315" s="3">
        <f>'Historical Data'!AB312</f>
        <v/>
      </c>
      <c r="Q315" s="3">
        <f>'Historical Data'!AN312</f>
        <v/>
      </c>
      <c r="R315" s="3">
        <f>'Historical Data'!AC312</f>
        <v/>
      </c>
      <c r="S315" s="3">
        <f>'Historical Data'!AE312</f>
        <v/>
      </c>
      <c r="T315" s="3">
        <f>'Historical Data'!AH312</f>
        <v/>
      </c>
      <c r="U315" s="3">
        <f>'Historical Data'!BA312</f>
        <v/>
      </c>
      <c r="V315" s="3" t="n"/>
      <c r="W315" s="3" t="n"/>
      <c r="X315" s="3" t="n"/>
      <c r="Y315" s="3" t="n"/>
      <c r="Z315" s="3" t="n"/>
    </row>
    <row r="316" hidden="1" ht="15.75" customHeight="1" s="174">
      <c r="A316" s="3">
        <f>'Historical Data'!A313</f>
        <v/>
      </c>
      <c r="B316" s="3">
        <f>'Historical Data'!B313</f>
        <v/>
      </c>
      <c r="C316" s="3">
        <f>'Historical Data'!D313</f>
        <v/>
      </c>
      <c r="D316" s="23">
        <f>'Historical Data'!E313</f>
        <v/>
      </c>
      <c r="E316" s="3">
        <f>'Historical Data'!G313</f>
        <v/>
      </c>
      <c r="F316" s="3">
        <f>'Historical Data'!Y313</f>
        <v/>
      </c>
      <c r="G316" s="3">
        <f>'Historical Data'!K313</f>
        <v/>
      </c>
      <c r="H316" s="3">
        <f>'Historical Data'!L313</f>
        <v/>
      </c>
      <c r="I316" s="26">
        <f>'Historical Data'!M313</f>
        <v/>
      </c>
      <c r="J316" s="28">
        <f>'Historical Data'!N313</f>
        <v/>
      </c>
      <c r="K316" s="28">
        <f>'Historical Data'!Q313</f>
        <v/>
      </c>
      <c r="L316" s="30">
        <f>'Historical Data'!S313</f>
        <v/>
      </c>
      <c r="M316" s="28">
        <f>'Historical Data'!AJ313</f>
        <v/>
      </c>
      <c r="N316" s="28">
        <f>'Historical Data'!AK313</f>
        <v/>
      </c>
      <c r="O316" s="3">
        <f>'Historical Data'!AA313</f>
        <v/>
      </c>
      <c r="P316" s="3">
        <f>'Historical Data'!AB313</f>
        <v/>
      </c>
      <c r="Q316" s="3">
        <f>'Historical Data'!AN313</f>
        <v/>
      </c>
      <c r="R316" s="3">
        <f>'Historical Data'!AC313</f>
        <v/>
      </c>
      <c r="S316" s="3">
        <f>'Historical Data'!AE313</f>
        <v/>
      </c>
      <c r="T316" s="3">
        <f>'Historical Data'!AH313</f>
        <v/>
      </c>
      <c r="U316" s="3">
        <f>'Historical Data'!BA313</f>
        <v/>
      </c>
      <c r="V316" s="3" t="n"/>
      <c r="W316" s="3" t="n"/>
      <c r="X316" s="3" t="n"/>
      <c r="Y316" s="3" t="n"/>
      <c r="Z316" s="3" t="n"/>
    </row>
    <row r="317" hidden="1" ht="15.75" customHeight="1" s="174">
      <c r="A317" s="3">
        <f>'Historical Data'!A314</f>
        <v/>
      </c>
      <c r="B317" s="3">
        <f>'Historical Data'!B314</f>
        <v/>
      </c>
      <c r="C317" s="3">
        <f>'Historical Data'!D314</f>
        <v/>
      </c>
      <c r="D317" s="23">
        <f>'Historical Data'!E314</f>
        <v/>
      </c>
      <c r="E317" s="3">
        <f>'Historical Data'!G314</f>
        <v/>
      </c>
      <c r="F317" s="3">
        <f>'Historical Data'!Y314</f>
        <v/>
      </c>
      <c r="G317" s="3">
        <f>'Historical Data'!K314</f>
        <v/>
      </c>
      <c r="H317" s="3">
        <f>'Historical Data'!L314</f>
        <v/>
      </c>
      <c r="I317" s="26">
        <f>'Historical Data'!M314</f>
        <v/>
      </c>
      <c r="J317" s="28">
        <f>'Historical Data'!N314</f>
        <v/>
      </c>
      <c r="K317" s="28">
        <f>'Historical Data'!Q314</f>
        <v/>
      </c>
      <c r="L317" s="30">
        <f>'Historical Data'!S314</f>
        <v/>
      </c>
      <c r="M317" s="28">
        <f>'Historical Data'!AJ314</f>
        <v/>
      </c>
      <c r="N317" s="28">
        <f>'Historical Data'!AK314</f>
        <v/>
      </c>
      <c r="O317" s="3">
        <f>'Historical Data'!AA314</f>
        <v/>
      </c>
      <c r="P317" s="3">
        <f>'Historical Data'!AB314</f>
        <v/>
      </c>
      <c r="Q317" s="3">
        <f>'Historical Data'!AN314</f>
        <v/>
      </c>
      <c r="R317" s="3">
        <f>'Historical Data'!AC314</f>
        <v/>
      </c>
      <c r="S317" s="3">
        <f>'Historical Data'!AE314</f>
        <v/>
      </c>
      <c r="T317" s="3">
        <f>'Historical Data'!AH314</f>
        <v/>
      </c>
      <c r="U317" s="3">
        <f>'Historical Data'!BA314</f>
        <v/>
      </c>
      <c r="V317" s="3" t="n"/>
      <c r="W317" s="3" t="n"/>
      <c r="X317" s="3" t="n"/>
      <c r="Y317" s="3" t="n"/>
      <c r="Z317" s="3" t="n"/>
    </row>
    <row r="318" hidden="1" ht="15.75" customHeight="1" s="174">
      <c r="A318" s="3">
        <f>'Historical Data'!A315</f>
        <v/>
      </c>
      <c r="B318" s="3">
        <f>'Historical Data'!B315</f>
        <v/>
      </c>
      <c r="C318" s="3">
        <f>'Historical Data'!D315</f>
        <v/>
      </c>
      <c r="D318" s="23">
        <f>'Historical Data'!E315</f>
        <v/>
      </c>
      <c r="E318" s="3">
        <f>'Historical Data'!G315</f>
        <v/>
      </c>
      <c r="F318" s="3">
        <f>'Historical Data'!Y315</f>
        <v/>
      </c>
      <c r="G318" s="3">
        <f>'Historical Data'!K315</f>
        <v/>
      </c>
      <c r="H318" s="3">
        <f>'Historical Data'!L315</f>
        <v/>
      </c>
      <c r="I318" s="26">
        <f>'Historical Data'!M315</f>
        <v/>
      </c>
      <c r="J318" s="28">
        <f>'Historical Data'!N315</f>
        <v/>
      </c>
      <c r="K318" s="28">
        <f>'Historical Data'!Q315</f>
        <v/>
      </c>
      <c r="L318" s="30">
        <f>'Historical Data'!S315</f>
        <v/>
      </c>
      <c r="M318" s="28">
        <f>'Historical Data'!AJ315</f>
        <v/>
      </c>
      <c r="N318" s="28">
        <f>'Historical Data'!AK315</f>
        <v/>
      </c>
      <c r="O318" s="3">
        <f>'Historical Data'!AA315</f>
        <v/>
      </c>
      <c r="P318" s="3">
        <f>'Historical Data'!AB315</f>
        <v/>
      </c>
      <c r="Q318" s="3">
        <f>'Historical Data'!AN315</f>
        <v/>
      </c>
      <c r="R318" s="3">
        <f>'Historical Data'!AC315</f>
        <v/>
      </c>
      <c r="S318" s="3">
        <f>'Historical Data'!AE315</f>
        <v/>
      </c>
      <c r="T318" s="3">
        <f>'Historical Data'!AH315</f>
        <v/>
      </c>
      <c r="U318" s="3">
        <f>'Historical Data'!BA315</f>
        <v/>
      </c>
      <c r="V318" s="3" t="n"/>
      <c r="W318" s="3" t="n"/>
      <c r="X318" s="3" t="n"/>
      <c r="Y318" s="3" t="n"/>
      <c r="Z318" s="3" t="n"/>
    </row>
    <row r="319" hidden="1" ht="15.75" customHeight="1" s="174">
      <c r="A319" s="3">
        <f>'Historical Data'!A316</f>
        <v/>
      </c>
      <c r="B319" s="3">
        <f>'Historical Data'!B316</f>
        <v/>
      </c>
      <c r="C319" s="3">
        <f>'Historical Data'!D316</f>
        <v/>
      </c>
      <c r="D319" s="23">
        <f>'Historical Data'!E316</f>
        <v/>
      </c>
      <c r="E319" s="3">
        <f>'Historical Data'!G316</f>
        <v/>
      </c>
      <c r="F319" s="3">
        <f>'Historical Data'!Y316</f>
        <v/>
      </c>
      <c r="G319" s="3">
        <f>'Historical Data'!K316</f>
        <v/>
      </c>
      <c r="H319" s="3">
        <f>'Historical Data'!L316</f>
        <v/>
      </c>
      <c r="I319" s="26">
        <f>'Historical Data'!M316</f>
        <v/>
      </c>
      <c r="J319" s="28">
        <f>'Historical Data'!N316</f>
        <v/>
      </c>
      <c r="K319" s="28">
        <f>'Historical Data'!Q316</f>
        <v/>
      </c>
      <c r="L319" s="30">
        <f>'Historical Data'!S316</f>
        <v/>
      </c>
      <c r="M319" s="28">
        <f>'Historical Data'!AJ316</f>
        <v/>
      </c>
      <c r="N319" s="28">
        <f>'Historical Data'!AK316</f>
        <v/>
      </c>
      <c r="O319" s="3">
        <f>'Historical Data'!AA316</f>
        <v/>
      </c>
      <c r="P319" s="3">
        <f>'Historical Data'!AB316</f>
        <v/>
      </c>
      <c r="Q319" s="3">
        <f>'Historical Data'!AN316</f>
        <v/>
      </c>
      <c r="R319" s="3">
        <f>'Historical Data'!AC316</f>
        <v/>
      </c>
      <c r="S319" s="3">
        <f>'Historical Data'!AE316</f>
        <v/>
      </c>
      <c r="T319" s="3">
        <f>'Historical Data'!AH316</f>
        <v/>
      </c>
      <c r="U319" s="3">
        <f>'Historical Data'!BA316</f>
        <v/>
      </c>
      <c r="V319" s="3" t="n"/>
      <c r="W319" s="3" t="n"/>
      <c r="X319" s="3" t="n"/>
      <c r="Y319" s="3" t="n"/>
      <c r="Z319" s="3" t="n"/>
    </row>
    <row r="320" hidden="1" ht="15.75" customHeight="1" s="174">
      <c r="A320" s="3">
        <f>'Historical Data'!A317</f>
        <v/>
      </c>
      <c r="B320" s="3">
        <f>'Historical Data'!B317</f>
        <v/>
      </c>
      <c r="C320" s="3">
        <f>'Historical Data'!D317</f>
        <v/>
      </c>
      <c r="D320" s="23">
        <f>'Historical Data'!E317</f>
        <v/>
      </c>
      <c r="E320" s="3">
        <f>'Historical Data'!G317</f>
        <v/>
      </c>
      <c r="F320" s="3">
        <f>'Historical Data'!Y317</f>
        <v/>
      </c>
      <c r="G320" s="3">
        <f>'Historical Data'!K317</f>
        <v/>
      </c>
      <c r="H320" s="3">
        <f>'Historical Data'!L317</f>
        <v/>
      </c>
      <c r="I320" s="26">
        <f>'Historical Data'!M317</f>
        <v/>
      </c>
      <c r="J320" s="28">
        <f>'Historical Data'!N317</f>
        <v/>
      </c>
      <c r="K320" s="28">
        <f>'Historical Data'!Q317</f>
        <v/>
      </c>
      <c r="L320" s="30">
        <f>'Historical Data'!S317</f>
        <v/>
      </c>
      <c r="M320" s="28">
        <f>'Historical Data'!AJ317</f>
        <v/>
      </c>
      <c r="N320" s="28">
        <f>'Historical Data'!AK317</f>
        <v/>
      </c>
      <c r="O320" s="3">
        <f>'Historical Data'!AA317</f>
        <v/>
      </c>
      <c r="P320" s="3">
        <f>'Historical Data'!AB317</f>
        <v/>
      </c>
      <c r="Q320" s="3">
        <f>'Historical Data'!AN317</f>
        <v/>
      </c>
      <c r="R320" s="3">
        <f>'Historical Data'!AC317</f>
        <v/>
      </c>
      <c r="S320" s="3">
        <f>'Historical Data'!AE317</f>
        <v/>
      </c>
      <c r="T320" s="3">
        <f>'Historical Data'!AH317</f>
        <v/>
      </c>
      <c r="U320" s="3">
        <f>'Historical Data'!BA317</f>
        <v/>
      </c>
      <c r="V320" s="3" t="n"/>
      <c r="W320" s="3" t="n"/>
      <c r="X320" s="3" t="n"/>
      <c r="Y320" s="3" t="n"/>
      <c r="Z320" s="3" t="n"/>
    </row>
    <row r="321" hidden="1" ht="15.75" customHeight="1" s="174">
      <c r="A321" s="3">
        <f>'Historical Data'!A318</f>
        <v/>
      </c>
      <c r="B321" s="3">
        <f>'Historical Data'!B318</f>
        <v/>
      </c>
      <c r="C321" s="3">
        <f>'Historical Data'!D318</f>
        <v/>
      </c>
      <c r="D321" s="23">
        <f>'Historical Data'!E318</f>
        <v/>
      </c>
      <c r="E321" s="3">
        <f>'Historical Data'!G318</f>
        <v/>
      </c>
      <c r="F321" s="3">
        <f>'Historical Data'!Y318</f>
        <v/>
      </c>
      <c r="G321" s="3">
        <f>'Historical Data'!K318</f>
        <v/>
      </c>
      <c r="H321" s="3">
        <f>'Historical Data'!L318</f>
        <v/>
      </c>
      <c r="I321" s="26">
        <f>'Historical Data'!M318</f>
        <v/>
      </c>
      <c r="J321" s="28">
        <f>'Historical Data'!N318</f>
        <v/>
      </c>
      <c r="K321" s="28">
        <f>'Historical Data'!Q318</f>
        <v/>
      </c>
      <c r="L321" s="30">
        <f>'Historical Data'!S318</f>
        <v/>
      </c>
      <c r="M321" s="28">
        <f>'Historical Data'!AJ318</f>
        <v/>
      </c>
      <c r="N321" s="28">
        <f>'Historical Data'!AK318</f>
        <v/>
      </c>
      <c r="O321" s="3">
        <f>'Historical Data'!AA318</f>
        <v/>
      </c>
      <c r="P321" s="3">
        <f>'Historical Data'!AB318</f>
        <v/>
      </c>
      <c r="Q321" s="3">
        <f>'Historical Data'!AN318</f>
        <v/>
      </c>
      <c r="R321" s="3">
        <f>'Historical Data'!AC318</f>
        <v/>
      </c>
      <c r="S321" s="3">
        <f>'Historical Data'!AE318</f>
        <v/>
      </c>
      <c r="T321" s="3">
        <f>'Historical Data'!AH318</f>
        <v/>
      </c>
      <c r="U321" s="3">
        <f>'Historical Data'!BA318</f>
        <v/>
      </c>
      <c r="V321" s="3" t="n"/>
      <c r="W321" s="3" t="n"/>
      <c r="X321" s="3" t="n"/>
      <c r="Y321" s="3" t="n"/>
      <c r="Z321" s="3" t="n"/>
    </row>
    <row r="322" hidden="1" ht="15.75" customHeight="1" s="174">
      <c r="A322" s="3">
        <f>'Historical Data'!A319</f>
        <v/>
      </c>
      <c r="B322" s="3">
        <f>'Historical Data'!B319</f>
        <v/>
      </c>
      <c r="C322" s="3">
        <f>'Historical Data'!D319</f>
        <v/>
      </c>
      <c r="D322" s="23">
        <f>'Historical Data'!E319</f>
        <v/>
      </c>
      <c r="E322" s="3">
        <f>'Historical Data'!G319</f>
        <v/>
      </c>
      <c r="F322" s="3">
        <f>'Historical Data'!Y319</f>
        <v/>
      </c>
      <c r="G322" s="3">
        <f>'Historical Data'!K319</f>
        <v/>
      </c>
      <c r="H322" s="3">
        <f>'Historical Data'!L319</f>
        <v/>
      </c>
      <c r="I322" s="26">
        <f>'Historical Data'!M319</f>
        <v/>
      </c>
      <c r="J322" s="28">
        <f>'Historical Data'!N319</f>
        <v/>
      </c>
      <c r="K322" s="28">
        <f>'Historical Data'!Q319</f>
        <v/>
      </c>
      <c r="L322" s="30">
        <f>'Historical Data'!S319</f>
        <v/>
      </c>
      <c r="M322" s="28">
        <f>'Historical Data'!AJ319</f>
        <v/>
      </c>
      <c r="N322" s="28">
        <f>'Historical Data'!AK319</f>
        <v/>
      </c>
      <c r="O322" s="3">
        <f>'Historical Data'!AA319</f>
        <v/>
      </c>
      <c r="P322" s="3">
        <f>'Historical Data'!AB319</f>
        <v/>
      </c>
      <c r="Q322" s="3">
        <f>'Historical Data'!AN319</f>
        <v/>
      </c>
      <c r="R322" s="3">
        <f>'Historical Data'!AC319</f>
        <v/>
      </c>
      <c r="S322" s="3">
        <f>'Historical Data'!AE319</f>
        <v/>
      </c>
      <c r="T322" s="3">
        <f>'Historical Data'!AH319</f>
        <v/>
      </c>
      <c r="U322" s="3">
        <f>'Historical Data'!BA319</f>
        <v/>
      </c>
      <c r="V322" s="3" t="n"/>
      <c r="W322" s="3" t="n"/>
      <c r="X322" s="3" t="n"/>
      <c r="Y322" s="3" t="n"/>
      <c r="Z322" s="3" t="n"/>
    </row>
    <row r="323" ht="15.75" customHeight="1" s="174">
      <c r="A323" s="3">
        <f>'Historical Data'!A320</f>
        <v/>
      </c>
      <c r="B323" s="3">
        <f>'Historical Data'!B320</f>
        <v/>
      </c>
      <c r="C323" s="3">
        <f>'Historical Data'!D320</f>
        <v/>
      </c>
      <c r="D323" s="23">
        <f>'Historical Data'!E320</f>
        <v/>
      </c>
      <c r="E323" s="3">
        <f>'Historical Data'!G320</f>
        <v/>
      </c>
      <c r="F323" s="3">
        <f>'Historical Data'!Y320</f>
        <v/>
      </c>
      <c r="G323" s="3">
        <f>'Historical Data'!K320</f>
        <v/>
      </c>
      <c r="H323" s="3">
        <f>'Historical Data'!L320</f>
        <v/>
      </c>
      <c r="I323" s="26">
        <f>'Historical Data'!M320</f>
        <v/>
      </c>
      <c r="J323" s="28">
        <f>'Historical Data'!N320</f>
        <v/>
      </c>
      <c r="K323" s="28">
        <f>'Historical Data'!Q320</f>
        <v/>
      </c>
      <c r="L323" s="30">
        <f>'Historical Data'!S320</f>
        <v/>
      </c>
      <c r="M323" s="28">
        <f>'Historical Data'!AJ320</f>
        <v/>
      </c>
      <c r="N323" s="28">
        <f>'Historical Data'!AK320</f>
        <v/>
      </c>
      <c r="O323" s="3">
        <f>'Historical Data'!AA320</f>
        <v/>
      </c>
      <c r="P323" s="3">
        <f>'Historical Data'!AB320</f>
        <v/>
      </c>
      <c r="Q323" s="3">
        <f>'Historical Data'!AN320</f>
        <v/>
      </c>
      <c r="R323" s="3">
        <f>'Historical Data'!AC320</f>
        <v/>
      </c>
      <c r="S323" s="3">
        <f>'Historical Data'!AE320</f>
        <v/>
      </c>
      <c r="T323" s="3">
        <f>'Historical Data'!AH320</f>
        <v/>
      </c>
      <c r="U323" s="3">
        <f>'Historical Data'!BA320</f>
        <v/>
      </c>
      <c r="V323" s="3" t="n"/>
      <c r="W323" s="3" t="n"/>
      <c r="X323" s="3" t="n"/>
      <c r="Y323" s="3" t="n"/>
      <c r="Z323" s="3" t="n"/>
    </row>
    <row r="324" hidden="1" ht="15.75" customHeight="1" s="174">
      <c r="A324" s="3">
        <f>'Historical Data'!A321</f>
        <v/>
      </c>
      <c r="B324" s="3">
        <f>'Historical Data'!B321</f>
        <v/>
      </c>
      <c r="C324" s="3">
        <f>'Historical Data'!D321</f>
        <v/>
      </c>
      <c r="D324" s="23">
        <f>'Historical Data'!E321</f>
        <v/>
      </c>
      <c r="E324" s="3">
        <f>'Historical Data'!G321</f>
        <v/>
      </c>
      <c r="F324" s="3">
        <f>'Historical Data'!Y321</f>
        <v/>
      </c>
      <c r="G324" s="3">
        <f>'Historical Data'!K321</f>
        <v/>
      </c>
      <c r="H324" s="3">
        <f>'Historical Data'!L321</f>
        <v/>
      </c>
      <c r="I324" s="26">
        <f>'Historical Data'!M321</f>
        <v/>
      </c>
      <c r="J324" s="28">
        <f>'Historical Data'!N321</f>
        <v/>
      </c>
      <c r="K324" s="28">
        <f>'Historical Data'!Q321</f>
        <v/>
      </c>
      <c r="L324" s="30">
        <f>'Historical Data'!S321</f>
        <v/>
      </c>
      <c r="M324" s="28">
        <f>'Historical Data'!AJ321</f>
        <v/>
      </c>
      <c r="N324" s="28">
        <f>'Historical Data'!AK321</f>
        <v/>
      </c>
      <c r="O324" s="3">
        <f>'Historical Data'!AA321</f>
        <v/>
      </c>
      <c r="P324" s="3">
        <f>'Historical Data'!AB321</f>
        <v/>
      </c>
      <c r="Q324" s="3">
        <f>'Historical Data'!AN321</f>
        <v/>
      </c>
      <c r="R324" s="3">
        <f>'Historical Data'!AC321</f>
        <v/>
      </c>
      <c r="S324" s="3">
        <f>'Historical Data'!AE321</f>
        <v/>
      </c>
      <c r="T324" s="3">
        <f>'Historical Data'!AH321</f>
        <v/>
      </c>
      <c r="U324" s="3">
        <f>'Historical Data'!BA321</f>
        <v/>
      </c>
      <c r="V324" s="3" t="n"/>
      <c r="W324" s="3" t="n"/>
      <c r="X324" s="3" t="n"/>
      <c r="Y324" s="3" t="n"/>
      <c r="Z324" s="3" t="n"/>
    </row>
    <row r="325" hidden="1" ht="15.75" customHeight="1" s="174">
      <c r="A325" s="3">
        <f>'Historical Data'!A322</f>
        <v/>
      </c>
      <c r="B325" s="3">
        <f>'Historical Data'!B322</f>
        <v/>
      </c>
      <c r="C325" s="3">
        <f>'Historical Data'!D322</f>
        <v/>
      </c>
      <c r="D325" s="23">
        <f>'Historical Data'!E322</f>
        <v/>
      </c>
      <c r="E325" s="3">
        <f>'Historical Data'!G322</f>
        <v/>
      </c>
      <c r="F325" s="3">
        <f>'Historical Data'!Y322</f>
        <v/>
      </c>
      <c r="G325" s="3">
        <f>'Historical Data'!K322</f>
        <v/>
      </c>
      <c r="H325" s="3">
        <f>'Historical Data'!L322</f>
        <v/>
      </c>
      <c r="I325" s="26">
        <f>'Historical Data'!M322</f>
        <v/>
      </c>
      <c r="J325" s="28">
        <f>'Historical Data'!N322</f>
        <v/>
      </c>
      <c r="K325" s="28">
        <f>'Historical Data'!Q322</f>
        <v/>
      </c>
      <c r="L325" s="30">
        <f>'Historical Data'!S322</f>
        <v/>
      </c>
      <c r="M325" s="28">
        <f>'Historical Data'!AJ322</f>
        <v/>
      </c>
      <c r="N325" s="28">
        <f>'Historical Data'!AK322</f>
        <v/>
      </c>
      <c r="O325" s="3">
        <f>'Historical Data'!AA322</f>
        <v/>
      </c>
      <c r="P325" s="3">
        <f>'Historical Data'!AB322</f>
        <v/>
      </c>
      <c r="Q325" s="3">
        <f>'Historical Data'!AN322</f>
        <v/>
      </c>
      <c r="R325" s="3">
        <f>'Historical Data'!AC322</f>
        <v/>
      </c>
      <c r="S325" s="3">
        <f>'Historical Data'!AE322</f>
        <v/>
      </c>
      <c r="T325" s="3">
        <f>'Historical Data'!AH322</f>
        <v/>
      </c>
      <c r="U325" s="3">
        <f>'Historical Data'!BA322</f>
        <v/>
      </c>
      <c r="V325" s="3" t="n"/>
      <c r="W325" s="3" t="n"/>
      <c r="X325" s="3" t="n"/>
      <c r="Y325" s="3" t="n"/>
      <c r="Z325" s="3" t="n"/>
    </row>
    <row r="326" hidden="1" ht="15.75" customHeight="1" s="174">
      <c r="A326" s="3">
        <f>'Historical Data'!A323</f>
        <v/>
      </c>
      <c r="B326" s="3">
        <f>'Historical Data'!B323</f>
        <v/>
      </c>
      <c r="C326" s="3">
        <f>'Historical Data'!D323</f>
        <v/>
      </c>
      <c r="D326" s="23">
        <f>'Historical Data'!E323</f>
        <v/>
      </c>
      <c r="E326" s="3">
        <f>'Historical Data'!G323</f>
        <v/>
      </c>
      <c r="F326" s="3">
        <f>'Historical Data'!Y323</f>
        <v/>
      </c>
      <c r="G326" s="3">
        <f>'Historical Data'!K323</f>
        <v/>
      </c>
      <c r="H326" s="3">
        <f>'Historical Data'!L323</f>
        <v/>
      </c>
      <c r="I326" s="26">
        <f>'Historical Data'!M323</f>
        <v/>
      </c>
      <c r="J326" s="28">
        <f>'Historical Data'!N323</f>
        <v/>
      </c>
      <c r="K326" s="28">
        <f>'Historical Data'!Q323</f>
        <v/>
      </c>
      <c r="L326" s="30">
        <f>'Historical Data'!S323</f>
        <v/>
      </c>
      <c r="M326" s="28">
        <f>'Historical Data'!AJ323</f>
        <v/>
      </c>
      <c r="N326" s="28">
        <f>'Historical Data'!AK323</f>
        <v/>
      </c>
      <c r="O326" s="3">
        <f>'Historical Data'!AA323</f>
        <v/>
      </c>
      <c r="P326" s="3">
        <f>'Historical Data'!AB323</f>
        <v/>
      </c>
      <c r="Q326" s="3">
        <f>'Historical Data'!AN323</f>
        <v/>
      </c>
      <c r="R326" s="3">
        <f>'Historical Data'!AC323</f>
        <v/>
      </c>
      <c r="S326" s="3">
        <f>'Historical Data'!AE323</f>
        <v/>
      </c>
      <c r="T326" s="3">
        <f>'Historical Data'!AH323</f>
        <v/>
      </c>
      <c r="U326" s="3">
        <f>'Historical Data'!BA323</f>
        <v/>
      </c>
      <c r="V326" s="3" t="n"/>
      <c r="W326" s="3" t="n"/>
      <c r="X326" s="3" t="n"/>
      <c r="Y326" s="3" t="n"/>
      <c r="Z326" s="3" t="n"/>
    </row>
    <row r="327" hidden="1" ht="15.75" customHeight="1" s="174">
      <c r="A327" s="3">
        <f>'Historical Data'!A324</f>
        <v/>
      </c>
      <c r="B327" s="3">
        <f>'Historical Data'!B324</f>
        <v/>
      </c>
      <c r="C327" s="3">
        <f>'Historical Data'!D324</f>
        <v/>
      </c>
      <c r="D327" s="23">
        <f>'Historical Data'!E324</f>
        <v/>
      </c>
      <c r="E327" s="3">
        <f>'Historical Data'!G324</f>
        <v/>
      </c>
      <c r="F327" s="3">
        <f>'Historical Data'!Y324</f>
        <v/>
      </c>
      <c r="G327" s="3">
        <f>'Historical Data'!K324</f>
        <v/>
      </c>
      <c r="H327" s="3">
        <f>'Historical Data'!L324</f>
        <v/>
      </c>
      <c r="I327" s="26">
        <f>'Historical Data'!M324</f>
        <v/>
      </c>
      <c r="J327" s="28">
        <f>'Historical Data'!N324</f>
        <v/>
      </c>
      <c r="K327" s="28">
        <f>'Historical Data'!Q324</f>
        <v/>
      </c>
      <c r="L327" s="30">
        <f>'Historical Data'!S324</f>
        <v/>
      </c>
      <c r="M327" s="28">
        <f>'Historical Data'!AJ324</f>
        <v/>
      </c>
      <c r="N327" s="28">
        <f>'Historical Data'!AK324</f>
        <v/>
      </c>
      <c r="O327" s="3">
        <f>'Historical Data'!AA324</f>
        <v/>
      </c>
      <c r="P327" s="3">
        <f>'Historical Data'!AB324</f>
        <v/>
      </c>
      <c r="Q327" s="3">
        <f>'Historical Data'!AN324</f>
        <v/>
      </c>
      <c r="R327" s="3">
        <f>'Historical Data'!AC324</f>
        <v/>
      </c>
      <c r="S327" s="3">
        <f>'Historical Data'!AE324</f>
        <v/>
      </c>
      <c r="T327" s="3">
        <f>'Historical Data'!AH324</f>
        <v/>
      </c>
      <c r="U327" s="3">
        <f>'Historical Data'!BA324</f>
        <v/>
      </c>
      <c r="V327" s="3" t="n"/>
      <c r="W327" s="3" t="n"/>
      <c r="X327" s="3" t="n"/>
      <c r="Y327" s="3" t="n"/>
      <c r="Z327" s="3" t="n"/>
    </row>
    <row r="328" hidden="1" ht="15.75" customHeight="1" s="174">
      <c r="A328" s="3">
        <f>'Historical Data'!A325</f>
        <v/>
      </c>
      <c r="B328" s="3">
        <f>'Historical Data'!B325</f>
        <v/>
      </c>
      <c r="C328" s="3">
        <f>'Historical Data'!D325</f>
        <v/>
      </c>
      <c r="D328" s="23">
        <f>'Historical Data'!E325</f>
        <v/>
      </c>
      <c r="E328" s="3">
        <f>'Historical Data'!G325</f>
        <v/>
      </c>
      <c r="F328" s="3">
        <f>'Historical Data'!Y325</f>
        <v/>
      </c>
      <c r="G328" s="3">
        <f>'Historical Data'!K325</f>
        <v/>
      </c>
      <c r="H328" s="3">
        <f>'Historical Data'!L325</f>
        <v/>
      </c>
      <c r="I328" s="26">
        <f>'Historical Data'!M325</f>
        <v/>
      </c>
      <c r="J328" s="28">
        <f>'Historical Data'!N325</f>
        <v/>
      </c>
      <c r="K328" s="28">
        <f>'Historical Data'!Q325</f>
        <v/>
      </c>
      <c r="L328" s="30">
        <f>'Historical Data'!S325</f>
        <v/>
      </c>
      <c r="M328" s="28">
        <f>'Historical Data'!AJ325</f>
        <v/>
      </c>
      <c r="N328" s="28">
        <f>'Historical Data'!AK325</f>
        <v/>
      </c>
      <c r="O328" s="3">
        <f>'Historical Data'!AA325</f>
        <v/>
      </c>
      <c r="P328" s="3">
        <f>'Historical Data'!AB325</f>
        <v/>
      </c>
      <c r="Q328" s="3">
        <f>'Historical Data'!AN325</f>
        <v/>
      </c>
      <c r="R328" s="3">
        <f>'Historical Data'!AC325</f>
        <v/>
      </c>
      <c r="S328" s="3">
        <f>'Historical Data'!AE325</f>
        <v/>
      </c>
      <c r="T328" s="3">
        <f>'Historical Data'!AH325</f>
        <v/>
      </c>
      <c r="U328" s="3">
        <f>'Historical Data'!BA325</f>
        <v/>
      </c>
      <c r="V328" s="3" t="n"/>
      <c r="W328" s="3" t="n"/>
      <c r="X328" s="3" t="n"/>
      <c r="Y328" s="3" t="n"/>
      <c r="Z328" s="3" t="n"/>
    </row>
    <row r="329" hidden="1" ht="15.75" customHeight="1" s="174">
      <c r="A329" s="3">
        <f>'Historical Data'!A326</f>
        <v/>
      </c>
      <c r="B329" s="3">
        <f>'Historical Data'!B326</f>
        <v/>
      </c>
      <c r="C329" s="3">
        <f>'Historical Data'!D326</f>
        <v/>
      </c>
      <c r="D329" s="23">
        <f>'Historical Data'!E326</f>
        <v/>
      </c>
      <c r="E329" s="3">
        <f>'Historical Data'!G326</f>
        <v/>
      </c>
      <c r="F329" s="3">
        <f>'Historical Data'!Y326</f>
        <v/>
      </c>
      <c r="G329" s="3">
        <f>'Historical Data'!K326</f>
        <v/>
      </c>
      <c r="H329" s="3">
        <f>'Historical Data'!L326</f>
        <v/>
      </c>
      <c r="I329" s="26">
        <f>'Historical Data'!M326</f>
        <v/>
      </c>
      <c r="J329" s="28">
        <f>'Historical Data'!N326</f>
        <v/>
      </c>
      <c r="K329" s="28">
        <f>'Historical Data'!Q326</f>
        <v/>
      </c>
      <c r="L329" s="30">
        <f>'Historical Data'!S326</f>
        <v/>
      </c>
      <c r="M329" s="28">
        <f>'Historical Data'!AJ326</f>
        <v/>
      </c>
      <c r="N329" s="28">
        <f>'Historical Data'!AK326</f>
        <v/>
      </c>
      <c r="O329" s="3">
        <f>'Historical Data'!AA326</f>
        <v/>
      </c>
      <c r="P329" s="3">
        <f>'Historical Data'!AB326</f>
        <v/>
      </c>
      <c r="Q329" s="3">
        <f>'Historical Data'!AN326</f>
        <v/>
      </c>
      <c r="R329" s="3">
        <f>'Historical Data'!AC326</f>
        <v/>
      </c>
      <c r="S329" s="3">
        <f>'Historical Data'!AE326</f>
        <v/>
      </c>
      <c r="T329" s="3">
        <f>'Historical Data'!AH326</f>
        <v/>
      </c>
      <c r="U329" s="3">
        <f>'Historical Data'!BA326</f>
        <v/>
      </c>
      <c r="V329" s="3" t="n"/>
      <c r="W329" s="3" t="n"/>
      <c r="X329" s="3" t="n"/>
      <c r="Y329" s="3" t="n"/>
      <c r="Z329" s="3" t="n"/>
    </row>
    <row r="330" hidden="1" ht="15.75" customHeight="1" s="174">
      <c r="A330" s="3">
        <f>'Historical Data'!A327</f>
        <v/>
      </c>
      <c r="B330" s="3">
        <f>'Historical Data'!B327</f>
        <v/>
      </c>
      <c r="C330" s="3">
        <f>'Historical Data'!D327</f>
        <v/>
      </c>
      <c r="D330" s="23">
        <f>'Historical Data'!E327</f>
        <v/>
      </c>
      <c r="E330" s="3">
        <f>'Historical Data'!G327</f>
        <v/>
      </c>
      <c r="F330" s="3">
        <f>'Historical Data'!Y327</f>
        <v/>
      </c>
      <c r="G330" s="3">
        <f>'Historical Data'!K327</f>
        <v/>
      </c>
      <c r="H330" s="3">
        <f>'Historical Data'!L327</f>
        <v/>
      </c>
      <c r="I330" s="26">
        <f>'Historical Data'!M327</f>
        <v/>
      </c>
      <c r="J330" s="28">
        <f>'Historical Data'!N327</f>
        <v/>
      </c>
      <c r="K330" s="28">
        <f>'Historical Data'!Q327</f>
        <v/>
      </c>
      <c r="L330" s="30">
        <f>'Historical Data'!S327</f>
        <v/>
      </c>
      <c r="M330" s="28">
        <f>'Historical Data'!AJ327</f>
        <v/>
      </c>
      <c r="N330" s="28">
        <f>'Historical Data'!AK327</f>
        <v/>
      </c>
      <c r="O330" s="3">
        <f>'Historical Data'!AA327</f>
        <v/>
      </c>
      <c r="P330" s="3">
        <f>'Historical Data'!AB327</f>
        <v/>
      </c>
      <c r="Q330" s="3">
        <f>'Historical Data'!AN327</f>
        <v/>
      </c>
      <c r="R330" s="3">
        <f>'Historical Data'!AC327</f>
        <v/>
      </c>
      <c r="S330" s="3">
        <f>'Historical Data'!AE327</f>
        <v/>
      </c>
      <c r="T330" s="3">
        <f>'Historical Data'!AH327</f>
        <v/>
      </c>
      <c r="U330" s="3">
        <f>'Historical Data'!BA327</f>
        <v/>
      </c>
      <c r="V330" s="3" t="n"/>
      <c r="W330" s="3" t="n"/>
      <c r="X330" s="3" t="n"/>
      <c r="Y330" s="3" t="n"/>
      <c r="Z330" s="3" t="n"/>
    </row>
    <row r="331" hidden="1" ht="15.75" customHeight="1" s="174">
      <c r="A331" s="3">
        <f>'Historical Data'!A328</f>
        <v/>
      </c>
      <c r="B331" s="3">
        <f>'Historical Data'!B328</f>
        <v/>
      </c>
      <c r="C331" s="3">
        <f>'Historical Data'!D328</f>
        <v/>
      </c>
      <c r="D331" s="23">
        <f>'Historical Data'!E328</f>
        <v/>
      </c>
      <c r="E331" s="3">
        <f>'Historical Data'!G328</f>
        <v/>
      </c>
      <c r="F331" s="3">
        <f>'Historical Data'!Y328</f>
        <v/>
      </c>
      <c r="G331" s="3">
        <f>'Historical Data'!K328</f>
        <v/>
      </c>
      <c r="H331" s="3">
        <f>'Historical Data'!L328</f>
        <v/>
      </c>
      <c r="I331" s="26">
        <f>'Historical Data'!M328</f>
        <v/>
      </c>
      <c r="J331" s="28">
        <f>'Historical Data'!N328</f>
        <v/>
      </c>
      <c r="K331" s="28">
        <f>'Historical Data'!Q328</f>
        <v/>
      </c>
      <c r="L331" s="30">
        <f>'Historical Data'!S328</f>
        <v/>
      </c>
      <c r="M331" s="28">
        <f>'Historical Data'!AJ328</f>
        <v/>
      </c>
      <c r="N331" s="28">
        <f>'Historical Data'!AK328</f>
        <v/>
      </c>
      <c r="O331" s="3">
        <f>'Historical Data'!AA328</f>
        <v/>
      </c>
      <c r="P331" s="3">
        <f>'Historical Data'!AB328</f>
        <v/>
      </c>
      <c r="Q331" s="3">
        <f>'Historical Data'!AN328</f>
        <v/>
      </c>
      <c r="R331" s="3">
        <f>'Historical Data'!AC328</f>
        <v/>
      </c>
      <c r="S331" s="3">
        <f>'Historical Data'!AE328</f>
        <v/>
      </c>
      <c r="T331" s="3">
        <f>'Historical Data'!AH328</f>
        <v/>
      </c>
      <c r="U331" s="3">
        <f>'Historical Data'!BA328</f>
        <v/>
      </c>
      <c r="V331" s="3" t="n"/>
      <c r="W331" s="3" t="n"/>
      <c r="X331" s="3" t="n"/>
      <c r="Y331" s="3" t="n"/>
      <c r="Z331" s="3" t="n"/>
    </row>
    <row r="332" hidden="1" ht="15.75" customHeight="1" s="174">
      <c r="A332" s="3">
        <f>'Historical Data'!A329</f>
        <v/>
      </c>
      <c r="B332" s="3">
        <f>'Historical Data'!B329</f>
        <v/>
      </c>
      <c r="C332" s="3">
        <f>'Historical Data'!D329</f>
        <v/>
      </c>
      <c r="D332" s="23">
        <f>'Historical Data'!E329</f>
        <v/>
      </c>
      <c r="E332" s="3">
        <f>'Historical Data'!G329</f>
        <v/>
      </c>
      <c r="F332" s="3">
        <f>'Historical Data'!Y329</f>
        <v/>
      </c>
      <c r="G332" s="3">
        <f>'Historical Data'!K329</f>
        <v/>
      </c>
      <c r="H332" s="3">
        <f>'Historical Data'!L329</f>
        <v/>
      </c>
      <c r="I332" s="26">
        <f>'Historical Data'!M329</f>
        <v/>
      </c>
      <c r="J332" s="28">
        <f>'Historical Data'!N329</f>
        <v/>
      </c>
      <c r="K332" s="28">
        <f>'Historical Data'!Q329</f>
        <v/>
      </c>
      <c r="L332" s="30">
        <f>'Historical Data'!S329</f>
        <v/>
      </c>
      <c r="M332" s="28">
        <f>'Historical Data'!AJ329</f>
        <v/>
      </c>
      <c r="N332" s="28">
        <f>'Historical Data'!AK329</f>
        <v/>
      </c>
      <c r="O332" s="3">
        <f>'Historical Data'!AA329</f>
        <v/>
      </c>
      <c r="P332" s="3">
        <f>'Historical Data'!AB329</f>
        <v/>
      </c>
      <c r="Q332" s="3">
        <f>'Historical Data'!AN329</f>
        <v/>
      </c>
      <c r="R332" s="3">
        <f>'Historical Data'!AC329</f>
        <v/>
      </c>
      <c r="S332" s="3">
        <f>'Historical Data'!AE329</f>
        <v/>
      </c>
      <c r="T332" s="3">
        <f>'Historical Data'!AH329</f>
        <v/>
      </c>
      <c r="U332" s="3">
        <f>'Historical Data'!BA329</f>
        <v/>
      </c>
      <c r="V332" s="3" t="n"/>
      <c r="W332" s="3" t="n"/>
      <c r="X332" s="3" t="n"/>
      <c r="Y332" s="3" t="n"/>
      <c r="Z332" s="3" t="n"/>
    </row>
    <row r="333" hidden="1" ht="15.75" customHeight="1" s="174">
      <c r="A333" s="3">
        <f>'Historical Data'!A330</f>
        <v/>
      </c>
      <c r="B333" s="3">
        <f>'Historical Data'!B330</f>
        <v/>
      </c>
      <c r="C333" s="3">
        <f>'Historical Data'!D330</f>
        <v/>
      </c>
      <c r="D333" s="23">
        <f>'Historical Data'!E330</f>
        <v/>
      </c>
      <c r="E333" s="3">
        <f>'Historical Data'!G330</f>
        <v/>
      </c>
      <c r="F333" s="3">
        <f>'Historical Data'!Y330</f>
        <v/>
      </c>
      <c r="G333" s="3">
        <f>'Historical Data'!K330</f>
        <v/>
      </c>
      <c r="H333" s="3">
        <f>'Historical Data'!L330</f>
        <v/>
      </c>
      <c r="I333" s="26">
        <f>'Historical Data'!M330</f>
        <v/>
      </c>
      <c r="J333" s="28">
        <f>'Historical Data'!N330</f>
        <v/>
      </c>
      <c r="K333" s="28">
        <f>'Historical Data'!Q330</f>
        <v/>
      </c>
      <c r="L333" s="30">
        <f>'Historical Data'!S330</f>
        <v/>
      </c>
      <c r="M333" s="28">
        <f>'Historical Data'!AJ330</f>
        <v/>
      </c>
      <c r="N333" s="28">
        <f>'Historical Data'!AK330</f>
        <v/>
      </c>
      <c r="O333" s="3">
        <f>'Historical Data'!AA330</f>
        <v/>
      </c>
      <c r="P333" s="3">
        <f>'Historical Data'!AB330</f>
        <v/>
      </c>
      <c r="Q333" s="3">
        <f>'Historical Data'!AN330</f>
        <v/>
      </c>
      <c r="R333" s="3">
        <f>'Historical Data'!AC330</f>
        <v/>
      </c>
      <c r="S333" s="3">
        <f>'Historical Data'!AE330</f>
        <v/>
      </c>
      <c r="T333" s="3">
        <f>'Historical Data'!AH330</f>
        <v/>
      </c>
      <c r="U333" s="3">
        <f>'Historical Data'!BA330</f>
        <v/>
      </c>
      <c r="V333" s="3" t="n"/>
      <c r="W333" s="3" t="n"/>
      <c r="X333" s="3" t="n"/>
      <c r="Y333" s="3" t="n"/>
      <c r="Z333" s="3" t="n"/>
    </row>
    <row r="334" hidden="1" ht="15.75" customHeight="1" s="174">
      <c r="A334" s="3">
        <f>'Historical Data'!A331</f>
        <v/>
      </c>
      <c r="B334" s="3">
        <f>'Historical Data'!B331</f>
        <v/>
      </c>
      <c r="C334" s="3">
        <f>'Historical Data'!D331</f>
        <v/>
      </c>
      <c r="D334" s="23">
        <f>'Historical Data'!E331</f>
        <v/>
      </c>
      <c r="E334" s="3">
        <f>'Historical Data'!G331</f>
        <v/>
      </c>
      <c r="F334" s="3">
        <f>'Historical Data'!Y331</f>
        <v/>
      </c>
      <c r="G334" s="3">
        <f>'Historical Data'!K331</f>
        <v/>
      </c>
      <c r="H334" s="3">
        <f>'Historical Data'!L331</f>
        <v/>
      </c>
      <c r="I334" s="26">
        <f>'Historical Data'!M331</f>
        <v/>
      </c>
      <c r="J334" s="28">
        <f>'Historical Data'!N331</f>
        <v/>
      </c>
      <c r="K334" s="28">
        <f>'Historical Data'!Q331</f>
        <v/>
      </c>
      <c r="L334" s="30">
        <f>'Historical Data'!S331</f>
        <v/>
      </c>
      <c r="M334" s="28">
        <f>'Historical Data'!AJ331</f>
        <v/>
      </c>
      <c r="N334" s="28">
        <f>'Historical Data'!AK331</f>
        <v/>
      </c>
      <c r="O334" s="3">
        <f>'Historical Data'!AA331</f>
        <v/>
      </c>
      <c r="P334" s="3">
        <f>'Historical Data'!AB331</f>
        <v/>
      </c>
      <c r="Q334" s="3">
        <f>'Historical Data'!AN331</f>
        <v/>
      </c>
      <c r="R334" s="3">
        <f>'Historical Data'!AC331</f>
        <v/>
      </c>
      <c r="S334" s="3">
        <f>'Historical Data'!AE331</f>
        <v/>
      </c>
      <c r="T334" s="3">
        <f>'Historical Data'!AH331</f>
        <v/>
      </c>
      <c r="U334" s="3">
        <f>'Historical Data'!BA331</f>
        <v/>
      </c>
      <c r="V334" s="3" t="n"/>
      <c r="W334" s="3" t="n"/>
      <c r="X334" s="3" t="n"/>
      <c r="Y334" s="3" t="n"/>
      <c r="Z334" s="3" t="n"/>
    </row>
    <row r="335" hidden="1" ht="15.75" customHeight="1" s="174">
      <c r="A335" s="3">
        <f>'Historical Data'!A332</f>
        <v/>
      </c>
      <c r="B335" s="3">
        <f>'Historical Data'!B332</f>
        <v/>
      </c>
      <c r="C335" s="3">
        <f>'Historical Data'!D332</f>
        <v/>
      </c>
      <c r="D335" s="23">
        <f>'Historical Data'!E332</f>
        <v/>
      </c>
      <c r="E335" s="3">
        <f>'Historical Data'!G332</f>
        <v/>
      </c>
      <c r="F335" s="3">
        <f>'Historical Data'!Y332</f>
        <v/>
      </c>
      <c r="G335" s="3">
        <f>'Historical Data'!K332</f>
        <v/>
      </c>
      <c r="H335" s="3">
        <f>'Historical Data'!L332</f>
        <v/>
      </c>
      <c r="I335" s="26">
        <f>'Historical Data'!M332</f>
        <v/>
      </c>
      <c r="J335" s="28">
        <f>'Historical Data'!N332</f>
        <v/>
      </c>
      <c r="K335" s="28">
        <f>'Historical Data'!Q332</f>
        <v/>
      </c>
      <c r="L335" s="30">
        <f>'Historical Data'!S332</f>
        <v/>
      </c>
      <c r="M335" s="28">
        <f>'Historical Data'!AJ332</f>
        <v/>
      </c>
      <c r="N335" s="28">
        <f>'Historical Data'!AK332</f>
        <v/>
      </c>
      <c r="O335" s="3">
        <f>'Historical Data'!AA332</f>
        <v/>
      </c>
      <c r="P335" s="3">
        <f>'Historical Data'!AB332</f>
        <v/>
      </c>
      <c r="Q335" s="3">
        <f>'Historical Data'!AN332</f>
        <v/>
      </c>
      <c r="R335" s="3">
        <f>'Historical Data'!AC332</f>
        <v/>
      </c>
      <c r="S335" s="3">
        <f>'Historical Data'!AE332</f>
        <v/>
      </c>
      <c r="T335" s="3">
        <f>'Historical Data'!AH332</f>
        <v/>
      </c>
      <c r="U335" s="3">
        <f>'Historical Data'!BA332</f>
        <v/>
      </c>
      <c r="V335" s="3" t="n"/>
      <c r="W335" s="3" t="n"/>
      <c r="X335" s="3" t="n"/>
      <c r="Y335" s="3" t="n"/>
      <c r="Z335" s="3" t="n"/>
    </row>
    <row r="336" hidden="1" ht="15.75" customHeight="1" s="174">
      <c r="A336" s="3">
        <f>'Historical Data'!A333</f>
        <v/>
      </c>
      <c r="B336" s="3">
        <f>'Historical Data'!B333</f>
        <v/>
      </c>
      <c r="C336" s="3">
        <f>'Historical Data'!D333</f>
        <v/>
      </c>
      <c r="D336" s="23">
        <f>'Historical Data'!E333</f>
        <v/>
      </c>
      <c r="E336" s="3">
        <f>'Historical Data'!G333</f>
        <v/>
      </c>
      <c r="F336" s="3">
        <f>'Historical Data'!Y333</f>
        <v/>
      </c>
      <c r="G336" s="3">
        <f>'Historical Data'!K333</f>
        <v/>
      </c>
      <c r="H336" s="3">
        <f>'Historical Data'!L333</f>
        <v/>
      </c>
      <c r="I336" s="26">
        <f>'Historical Data'!M333</f>
        <v/>
      </c>
      <c r="J336" s="28">
        <f>'Historical Data'!N333</f>
        <v/>
      </c>
      <c r="K336" s="28">
        <f>'Historical Data'!Q333</f>
        <v/>
      </c>
      <c r="L336" s="30">
        <f>'Historical Data'!S333</f>
        <v/>
      </c>
      <c r="M336" s="28">
        <f>'Historical Data'!AJ333</f>
        <v/>
      </c>
      <c r="N336" s="28">
        <f>'Historical Data'!AK333</f>
        <v/>
      </c>
      <c r="O336" s="3">
        <f>'Historical Data'!AA333</f>
        <v/>
      </c>
      <c r="P336" s="3">
        <f>'Historical Data'!AB333</f>
        <v/>
      </c>
      <c r="Q336" s="3">
        <f>'Historical Data'!AN333</f>
        <v/>
      </c>
      <c r="R336" s="3">
        <f>'Historical Data'!AC333</f>
        <v/>
      </c>
      <c r="S336" s="3">
        <f>'Historical Data'!AE333</f>
        <v/>
      </c>
      <c r="T336" s="3">
        <f>'Historical Data'!AH333</f>
        <v/>
      </c>
      <c r="U336" s="3">
        <f>'Historical Data'!BA333</f>
        <v/>
      </c>
      <c r="V336" s="3" t="n"/>
      <c r="W336" s="3" t="n"/>
      <c r="X336" s="3" t="n"/>
      <c r="Y336" s="3" t="n"/>
      <c r="Z336" s="3" t="n"/>
    </row>
    <row r="337" hidden="1" ht="15.75" customHeight="1" s="174">
      <c r="A337" s="3">
        <f>'Historical Data'!A334</f>
        <v/>
      </c>
      <c r="B337" s="3">
        <f>'Historical Data'!B334</f>
        <v/>
      </c>
      <c r="C337" s="3">
        <f>'Historical Data'!D334</f>
        <v/>
      </c>
      <c r="D337" s="23">
        <f>'Historical Data'!E334</f>
        <v/>
      </c>
      <c r="E337" s="3">
        <f>'Historical Data'!G334</f>
        <v/>
      </c>
      <c r="F337" s="3">
        <f>'Historical Data'!Y334</f>
        <v/>
      </c>
      <c r="G337" s="3">
        <f>'Historical Data'!K334</f>
        <v/>
      </c>
      <c r="H337" s="3">
        <f>'Historical Data'!L334</f>
        <v/>
      </c>
      <c r="I337" s="26">
        <f>'Historical Data'!M334</f>
        <v/>
      </c>
      <c r="J337" s="28">
        <f>'Historical Data'!N334</f>
        <v/>
      </c>
      <c r="K337" s="28">
        <f>'Historical Data'!Q334</f>
        <v/>
      </c>
      <c r="L337" s="30">
        <f>'Historical Data'!S334</f>
        <v/>
      </c>
      <c r="M337" s="28">
        <f>'Historical Data'!AJ334</f>
        <v/>
      </c>
      <c r="N337" s="28">
        <f>'Historical Data'!AK334</f>
        <v/>
      </c>
      <c r="O337" s="3">
        <f>'Historical Data'!AA334</f>
        <v/>
      </c>
      <c r="P337" s="3">
        <f>'Historical Data'!AB334</f>
        <v/>
      </c>
      <c r="Q337" s="3">
        <f>'Historical Data'!AN334</f>
        <v/>
      </c>
      <c r="R337" s="3">
        <f>'Historical Data'!AC334</f>
        <v/>
      </c>
      <c r="S337" s="3">
        <f>'Historical Data'!AE334</f>
        <v/>
      </c>
      <c r="T337" s="3">
        <f>'Historical Data'!AH334</f>
        <v/>
      </c>
      <c r="U337" s="3">
        <f>'Historical Data'!BA334</f>
        <v/>
      </c>
      <c r="V337" s="3" t="n"/>
      <c r="W337" s="3" t="n"/>
      <c r="X337" s="3" t="n"/>
      <c r="Y337" s="3" t="n"/>
      <c r="Z337" s="3" t="n"/>
    </row>
    <row r="338" hidden="1" ht="15.75" customHeight="1" s="174">
      <c r="A338" s="3">
        <f>'Historical Data'!A335</f>
        <v/>
      </c>
      <c r="B338" s="3">
        <f>'Historical Data'!B335</f>
        <v/>
      </c>
      <c r="C338" s="3">
        <f>'Historical Data'!D335</f>
        <v/>
      </c>
      <c r="D338" s="23">
        <f>'Historical Data'!E335</f>
        <v/>
      </c>
      <c r="E338" s="3">
        <f>'Historical Data'!G335</f>
        <v/>
      </c>
      <c r="F338" s="3">
        <f>'Historical Data'!Y335</f>
        <v/>
      </c>
      <c r="G338" s="3">
        <f>'Historical Data'!K335</f>
        <v/>
      </c>
      <c r="H338" s="3">
        <f>'Historical Data'!L335</f>
        <v/>
      </c>
      <c r="I338" s="26">
        <f>'Historical Data'!M335</f>
        <v/>
      </c>
      <c r="J338" s="28">
        <f>'Historical Data'!N335</f>
        <v/>
      </c>
      <c r="K338" s="28">
        <f>'Historical Data'!Q335</f>
        <v/>
      </c>
      <c r="L338" s="30">
        <f>'Historical Data'!S335</f>
        <v/>
      </c>
      <c r="M338" s="28">
        <f>'Historical Data'!AJ335</f>
        <v/>
      </c>
      <c r="N338" s="28">
        <f>'Historical Data'!AK335</f>
        <v/>
      </c>
      <c r="O338" s="3">
        <f>'Historical Data'!AA335</f>
        <v/>
      </c>
      <c r="P338" s="3">
        <f>'Historical Data'!AB335</f>
        <v/>
      </c>
      <c r="Q338" s="3">
        <f>'Historical Data'!AN335</f>
        <v/>
      </c>
      <c r="R338" s="3">
        <f>'Historical Data'!AC335</f>
        <v/>
      </c>
      <c r="S338" s="3">
        <f>'Historical Data'!AE335</f>
        <v/>
      </c>
      <c r="T338" s="3">
        <f>'Historical Data'!AH335</f>
        <v/>
      </c>
      <c r="U338" s="3">
        <f>'Historical Data'!BA335</f>
        <v/>
      </c>
      <c r="V338" s="3" t="n"/>
      <c r="W338" s="3" t="n"/>
      <c r="X338" s="3" t="n"/>
      <c r="Y338" s="3" t="n"/>
      <c r="Z338" s="3" t="n"/>
    </row>
    <row r="339" hidden="1" ht="15.75" customHeight="1" s="174">
      <c r="A339" s="3">
        <f>'Historical Data'!A336</f>
        <v/>
      </c>
      <c r="B339" s="3">
        <f>'Historical Data'!B336</f>
        <v/>
      </c>
      <c r="C339" s="3">
        <f>'Historical Data'!D336</f>
        <v/>
      </c>
      <c r="D339" s="23">
        <f>'Historical Data'!E336</f>
        <v/>
      </c>
      <c r="E339" s="3">
        <f>'Historical Data'!G336</f>
        <v/>
      </c>
      <c r="F339" s="3">
        <f>'Historical Data'!Y336</f>
        <v/>
      </c>
      <c r="G339" s="3">
        <f>'Historical Data'!K336</f>
        <v/>
      </c>
      <c r="H339" s="3">
        <f>'Historical Data'!L336</f>
        <v/>
      </c>
      <c r="I339" s="26">
        <f>'Historical Data'!M336</f>
        <v/>
      </c>
      <c r="J339" s="28">
        <f>'Historical Data'!N336</f>
        <v/>
      </c>
      <c r="K339" s="28">
        <f>'Historical Data'!Q336</f>
        <v/>
      </c>
      <c r="L339" s="30">
        <f>'Historical Data'!S336</f>
        <v/>
      </c>
      <c r="M339" s="28">
        <f>'Historical Data'!AJ336</f>
        <v/>
      </c>
      <c r="N339" s="28">
        <f>'Historical Data'!AK336</f>
        <v/>
      </c>
      <c r="O339" s="3">
        <f>'Historical Data'!AA336</f>
        <v/>
      </c>
      <c r="P339" s="3">
        <f>'Historical Data'!AB336</f>
        <v/>
      </c>
      <c r="Q339" s="3">
        <f>'Historical Data'!AN336</f>
        <v/>
      </c>
      <c r="R339" s="3">
        <f>'Historical Data'!AC336</f>
        <v/>
      </c>
      <c r="S339" s="3">
        <f>'Historical Data'!AE336</f>
        <v/>
      </c>
      <c r="T339" s="3">
        <f>'Historical Data'!AH336</f>
        <v/>
      </c>
      <c r="U339" s="3">
        <f>'Historical Data'!BA336</f>
        <v/>
      </c>
      <c r="V339" s="3" t="n"/>
      <c r="W339" s="3" t="n"/>
      <c r="X339" s="3" t="n"/>
      <c r="Y339" s="3" t="n"/>
      <c r="Z339" s="3" t="n"/>
    </row>
    <row r="340" hidden="1" ht="15.75" customHeight="1" s="174">
      <c r="A340" s="3">
        <f>'Historical Data'!A337</f>
        <v/>
      </c>
      <c r="B340" s="3">
        <f>'Historical Data'!B337</f>
        <v/>
      </c>
      <c r="C340" s="3">
        <f>'Historical Data'!D337</f>
        <v/>
      </c>
      <c r="D340" s="23">
        <f>'Historical Data'!E337</f>
        <v/>
      </c>
      <c r="E340" s="3">
        <f>'Historical Data'!G337</f>
        <v/>
      </c>
      <c r="F340" s="3">
        <f>'Historical Data'!Y337</f>
        <v/>
      </c>
      <c r="G340" s="3">
        <f>'Historical Data'!K337</f>
        <v/>
      </c>
      <c r="H340" s="3">
        <f>'Historical Data'!L337</f>
        <v/>
      </c>
      <c r="I340" s="26">
        <f>'Historical Data'!M337</f>
        <v/>
      </c>
      <c r="J340" s="28">
        <f>'Historical Data'!N337</f>
        <v/>
      </c>
      <c r="K340" s="28">
        <f>'Historical Data'!Q337</f>
        <v/>
      </c>
      <c r="L340" s="30">
        <f>'Historical Data'!S337</f>
        <v/>
      </c>
      <c r="M340" s="28">
        <f>'Historical Data'!AJ337</f>
        <v/>
      </c>
      <c r="N340" s="28">
        <f>'Historical Data'!AK337</f>
        <v/>
      </c>
      <c r="O340" s="3">
        <f>'Historical Data'!AA337</f>
        <v/>
      </c>
      <c r="P340" s="3">
        <f>'Historical Data'!AB337</f>
        <v/>
      </c>
      <c r="Q340" s="3">
        <f>'Historical Data'!AN337</f>
        <v/>
      </c>
      <c r="R340" s="3">
        <f>'Historical Data'!AC337</f>
        <v/>
      </c>
      <c r="S340" s="3">
        <f>'Historical Data'!AE337</f>
        <v/>
      </c>
      <c r="T340" s="3">
        <f>'Historical Data'!AH337</f>
        <v/>
      </c>
      <c r="U340" s="3">
        <f>'Historical Data'!BA337</f>
        <v/>
      </c>
      <c r="V340" s="3" t="n"/>
      <c r="W340" s="3" t="n"/>
      <c r="X340" s="3" t="n"/>
      <c r="Y340" s="3" t="n"/>
      <c r="Z340" s="3" t="n"/>
    </row>
    <row r="341" hidden="1" ht="15.75" customHeight="1" s="174">
      <c r="A341" s="3">
        <f>'Historical Data'!A338</f>
        <v/>
      </c>
      <c r="B341" s="3">
        <f>'Historical Data'!B338</f>
        <v/>
      </c>
      <c r="C341" s="3">
        <f>'Historical Data'!D338</f>
        <v/>
      </c>
      <c r="D341" s="23">
        <f>'Historical Data'!E338</f>
        <v/>
      </c>
      <c r="E341" s="3">
        <f>'Historical Data'!G338</f>
        <v/>
      </c>
      <c r="F341" s="3">
        <f>'Historical Data'!Y338</f>
        <v/>
      </c>
      <c r="G341" s="3">
        <f>'Historical Data'!K338</f>
        <v/>
      </c>
      <c r="H341" s="3">
        <f>'Historical Data'!L338</f>
        <v/>
      </c>
      <c r="I341" s="26">
        <f>'Historical Data'!M338</f>
        <v/>
      </c>
      <c r="J341" s="28">
        <f>'Historical Data'!N338</f>
        <v/>
      </c>
      <c r="K341" s="28">
        <f>'Historical Data'!Q338</f>
        <v/>
      </c>
      <c r="L341" s="30">
        <f>'Historical Data'!S338</f>
        <v/>
      </c>
      <c r="M341" s="28">
        <f>'Historical Data'!AJ338</f>
        <v/>
      </c>
      <c r="N341" s="28">
        <f>'Historical Data'!AK338</f>
        <v/>
      </c>
      <c r="O341" s="3">
        <f>'Historical Data'!AA338</f>
        <v/>
      </c>
      <c r="P341" s="3">
        <f>'Historical Data'!AB338</f>
        <v/>
      </c>
      <c r="Q341" s="3">
        <f>'Historical Data'!AN338</f>
        <v/>
      </c>
      <c r="R341" s="3">
        <f>'Historical Data'!AC338</f>
        <v/>
      </c>
      <c r="S341" s="3">
        <f>'Historical Data'!AE338</f>
        <v/>
      </c>
      <c r="T341" s="3">
        <f>'Historical Data'!AH338</f>
        <v/>
      </c>
      <c r="U341" s="3">
        <f>'Historical Data'!BA338</f>
        <v/>
      </c>
      <c r="V341" s="3" t="n"/>
      <c r="W341" s="3" t="n"/>
      <c r="X341" s="3" t="n"/>
      <c r="Y341" s="3" t="n"/>
      <c r="Z341" s="3" t="n"/>
    </row>
    <row r="342" hidden="1" ht="15.75" customHeight="1" s="174">
      <c r="A342" s="3">
        <f>'Historical Data'!A339</f>
        <v/>
      </c>
      <c r="B342" s="3">
        <f>'Historical Data'!B339</f>
        <v/>
      </c>
      <c r="C342" s="3">
        <f>'Historical Data'!D339</f>
        <v/>
      </c>
      <c r="D342" s="23">
        <f>'Historical Data'!E339</f>
        <v/>
      </c>
      <c r="E342" s="3">
        <f>'Historical Data'!G339</f>
        <v/>
      </c>
      <c r="F342" s="3">
        <f>'Historical Data'!Y339</f>
        <v/>
      </c>
      <c r="G342" s="3">
        <f>'Historical Data'!K339</f>
        <v/>
      </c>
      <c r="H342" s="3">
        <f>'Historical Data'!L339</f>
        <v/>
      </c>
      <c r="I342" s="26">
        <f>'Historical Data'!M339</f>
        <v/>
      </c>
      <c r="J342" s="28">
        <f>'Historical Data'!N339</f>
        <v/>
      </c>
      <c r="K342" s="28">
        <f>'Historical Data'!Q339</f>
        <v/>
      </c>
      <c r="L342" s="30">
        <f>'Historical Data'!S339</f>
        <v/>
      </c>
      <c r="M342" s="28">
        <f>'Historical Data'!AJ339</f>
        <v/>
      </c>
      <c r="N342" s="28">
        <f>'Historical Data'!AK339</f>
        <v/>
      </c>
      <c r="O342" s="3">
        <f>'Historical Data'!AA339</f>
        <v/>
      </c>
      <c r="P342" s="3">
        <f>'Historical Data'!AB339</f>
        <v/>
      </c>
      <c r="Q342" s="3">
        <f>'Historical Data'!AN339</f>
        <v/>
      </c>
      <c r="R342" s="3">
        <f>'Historical Data'!AC339</f>
        <v/>
      </c>
      <c r="S342" s="3">
        <f>'Historical Data'!AE339</f>
        <v/>
      </c>
      <c r="T342" s="3">
        <f>'Historical Data'!AH339</f>
        <v/>
      </c>
      <c r="U342" s="3">
        <f>'Historical Data'!BA339</f>
        <v/>
      </c>
      <c r="V342" s="3" t="n"/>
      <c r="W342" s="3" t="n"/>
      <c r="X342" s="3" t="n"/>
      <c r="Y342" s="3" t="n"/>
      <c r="Z342" s="3" t="n"/>
    </row>
    <row r="343" hidden="1" ht="15.75" customHeight="1" s="174">
      <c r="A343" s="3">
        <f>'Historical Data'!A340</f>
        <v/>
      </c>
      <c r="B343" s="3">
        <f>'Historical Data'!B340</f>
        <v/>
      </c>
      <c r="C343" s="3">
        <f>'Historical Data'!D340</f>
        <v/>
      </c>
      <c r="D343" s="23">
        <f>'Historical Data'!E340</f>
        <v/>
      </c>
      <c r="E343" s="3">
        <f>'Historical Data'!G340</f>
        <v/>
      </c>
      <c r="F343" s="3">
        <f>'Historical Data'!Y340</f>
        <v/>
      </c>
      <c r="G343" s="3">
        <f>'Historical Data'!K340</f>
        <v/>
      </c>
      <c r="H343" s="3">
        <f>'Historical Data'!L340</f>
        <v/>
      </c>
      <c r="I343" s="26">
        <f>'Historical Data'!M340</f>
        <v/>
      </c>
      <c r="J343" s="28">
        <f>'Historical Data'!N340</f>
        <v/>
      </c>
      <c r="K343" s="28">
        <f>'Historical Data'!Q340</f>
        <v/>
      </c>
      <c r="L343" s="30">
        <f>'Historical Data'!S340</f>
        <v/>
      </c>
      <c r="M343" s="28">
        <f>'Historical Data'!AJ340</f>
        <v/>
      </c>
      <c r="N343" s="28">
        <f>'Historical Data'!AK340</f>
        <v/>
      </c>
      <c r="O343" s="3">
        <f>'Historical Data'!AA340</f>
        <v/>
      </c>
      <c r="P343" s="3">
        <f>'Historical Data'!AB340</f>
        <v/>
      </c>
      <c r="Q343" s="3">
        <f>'Historical Data'!AN340</f>
        <v/>
      </c>
      <c r="R343" s="3">
        <f>'Historical Data'!AC340</f>
        <v/>
      </c>
      <c r="S343" s="3">
        <f>'Historical Data'!AE340</f>
        <v/>
      </c>
      <c r="T343" s="3">
        <f>'Historical Data'!AH340</f>
        <v/>
      </c>
      <c r="U343" s="3">
        <f>'Historical Data'!BA340</f>
        <v/>
      </c>
      <c r="V343" s="3" t="n"/>
      <c r="W343" s="3" t="n"/>
      <c r="X343" s="3" t="n"/>
      <c r="Y343" s="3" t="n"/>
      <c r="Z343" s="3" t="n"/>
    </row>
    <row r="344" hidden="1" ht="15.75" customHeight="1" s="174">
      <c r="A344" s="3">
        <f>'Historical Data'!A341</f>
        <v/>
      </c>
      <c r="B344" s="3">
        <f>'Historical Data'!B341</f>
        <v/>
      </c>
      <c r="C344" s="3">
        <f>'Historical Data'!D341</f>
        <v/>
      </c>
      <c r="D344" s="23">
        <f>'Historical Data'!E341</f>
        <v/>
      </c>
      <c r="E344" s="3">
        <f>'Historical Data'!G341</f>
        <v/>
      </c>
      <c r="F344" s="3">
        <f>'Historical Data'!Y341</f>
        <v/>
      </c>
      <c r="G344" s="3">
        <f>'Historical Data'!K341</f>
        <v/>
      </c>
      <c r="H344" s="3">
        <f>'Historical Data'!L341</f>
        <v/>
      </c>
      <c r="I344" s="26">
        <f>'Historical Data'!M341</f>
        <v/>
      </c>
      <c r="J344" s="28">
        <f>'Historical Data'!N341</f>
        <v/>
      </c>
      <c r="K344" s="28">
        <f>'Historical Data'!Q341</f>
        <v/>
      </c>
      <c r="L344" s="30">
        <f>'Historical Data'!S341</f>
        <v/>
      </c>
      <c r="M344" s="28">
        <f>'Historical Data'!AJ341</f>
        <v/>
      </c>
      <c r="N344" s="28">
        <f>'Historical Data'!AK341</f>
        <v/>
      </c>
      <c r="O344" s="3">
        <f>'Historical Data'!AA341</f>
        <v/>
      </c>
      <c r="P344" s="3">
        <f>'Historical Data'!AB341</f>
        <v/>
      </c>
      <c r="Q344" s="3">
        <f>'Historical Data'!AN341</f>
        <v/>
      </c>
      <c r="R344" s="3">
        <f>'Historical Data'!AC341</f>
        <v/>
      </c>
      <c r="S344" s="3">
        <f>'Historical Data'!AE341</f>
        <v/>
      </c>
      <c r="T344" s="3">
        <f>'Historical Data'!AH341</f>
        <v/>
      </c>
      <c r="U344" s="3">
        <f>'Historical Data'!BA341</f>
        <v/>
      </c>
      <c r="V344" s="3" t="n"/>
      <c r="W344" s="3" t="n"/>
      <c r="X344" s="3" t="n"/>
      <c r="Y344" s="3" t="n"/>
      <c r="Z344" s="3" t="n"/>
    </row>
    <row r="345" hidden="1" ht="15.75" customHeight="1" s="174">
      <c r="A345" s="3">
        <f>'Historical Data'!A342</f>
        <v/>
      </c>
      <c r="B345" s="3">
        <f>'Historical Data'!B342</f>
        <v/>
      </c>
      <c r="C345" s="3">
        <f>'Historical Data'!D342</f>
        <v/>
      </c>
      <c r="D345" s="23">
        <f>'Historical Data'!E342</f>
        <v/>
      </c>
      <c r="E345" s="3">
        <f>'Historical Data'!G342</f>
        <v/>
      </c>
      <c r="F345" s="3">
        <f>'Historical Data'!Y342</f>
        <v/>
      </c>
      <c r="G345" s="3">
        <f>'Historical Data'!K342</f>
        <v/>
      </c>
      <c r="H345" s="3">
        <f>'Historical Data'!L342</f>
        <v/>
      </c>
      <c r="I345" s="26">
        <f>'Historical Data'!M342</f>
        <v/>
      </c>
      <c r="J345" s="28">
        <f>'Historical Data'!N342</f>
        <v/>
      </c>
      <c r="K345" s="28">
        <f>'Historical Data'!Q342</f>
        <v/>
      </c>
      <c r="L345" s="30">
        <f>'Historical Data'!S342</f>
        <v/>
      </c>
      <c r="M345" s="28">
        <f>'Historical Data'!AJ342</f>
        <v/>
      </c>
      <c r="N345" s="28">
        <f>'Historical Data'!AK342</f>
        <v/>
      </c>
      <c r="O345" s="3">
        <f>'Historical Data'!AA342</f>
        <v/>
      </c>
      <c r="P345" s="3">
        <f>'Historical Data'!AB342</f>
        <v/>
      </c>
      <c r="Q345" s="3">
        <f>'Historical Data'!AN342</f>
        <v/>
      </c>
      <c r="R345" s="3">
        <f>'Historical Data'!AC342</f>
        <v/>
      </c>
      <c r="S345" s="3">
        <f>'Historical Data'!AE342</f>
        <v/>
      </c>
      <c r="T345" s="3">
        <f>'Historical Data'!AH342</f>
        <v/>
      </c>
      <c r="U345" s="3">
        <f>'Historical Data'!BA342</f>
        <v/>
      </c>
      <c r="V345" s="3" t="n"/>
      <c r="W345" s="3" t="n"/>
      <c r="X345" s="3" t="n"/>
      <c r="Y345" s="3" t="n"/>
      <c r="Z345" s="3" t="n"/>
    </row>
    <row r="346" hidden="1" ht="15.75" customHeight="1" s="174">
      <c r="A346" s="3">
        <f>'Historical Data'!A343</f>
        <v/>
      </c>
      <c r="B346" s="3">
        <f>'Historical Data'!B343</f>
        <v/>
      </c>
      <c r="C346" s="3">
        <f>'Historical Data'!D343</f>
        <v/>
      </c>
      <c r="D346" s="23">
        <f>'Historical Data'!E343</f>
        <v/>
      </c>
      <c r="E346" s="3">
        <f>'Historical Data'!G343</f>
        <v/>
      </c>
      <c r="F346" s="3">
        <f>'Historical Data'!Y343</f>
        <v/>
      </c>
      <c r="G346" s="3">
        <f>'Historical Data'!K343</f>
        <v/>
      </c>
      <c r="H346" s="3">
        <f>'Historical Data'!L343</f>
        <v/>
      </c>
      <c r="I346" s="26">
        <f>'Historical Data'!M343</f>
        <v/>
      </c>
      <c r="J346" s="28">
        <f>'Historical Data'!N343</f>
        <v/>
      </c>
      <c r="K346" s="28">
        <f>'Historical Data'!Q343</f>
        <v/>
      </c>
      <c r="L346" s="30">
        <f>'Historical Data'!S343</f>
        <v/>
      </c>
      <c r="M346" s="28">
        <f>'Historical Data'!AJ343</f>
        <v/>
      </c>
      <c r="N346" s="28">
        <f>'Historical Data'!AK343</f>
        <v/>
      </c>
      <c r="O346" s="3">
        <f>'Historical Data'!AA343</f>
        <v/>
      </c>
      <c r="P346" s="3">
        <f>'Historical Data'!AB343</f>
        <v/>
      </c>
      <c r="Q346" s="3">
        <f>'Historical Data'!AN343</f>
        <v/>
      </c>
      <c r="R346" s="3">
        <f>'Historical Data'!AC343</f>
        <v/>
      </c>
      <c r="S346" s="3">
        <f>'Historical Data'!AE343</f>
        <v/>
      </c>
      <c r="T346" s="3">
        <f>'Historical Data'!AH343</f>
        <v/>
      </c>
      <c r="U346" s="3">
        <f>'Historical Data'!BA343</f>
        <v/>
      </c>
      <c r="V346" s="3" t="n"/>
      <c r="W346" s="3" t="n"/>
      <c r="X346" s="3" t="n"/>
      <c r="Y346" s="3" t="n"/>
      <c r="Z346" s="3" t="n"/>
    </row>
    <row r="347" hidden="1" ht="15.75" customHeight="1" s="174">
      <c r="A347" s="3">
        <f>'Historical Data'!A344</f>
        <v/>
      </c>
      <c r="B347" s="3">
        <f>'Historical Data'!B344</f>
        <v/>
      </c>
      <c r="C347" s="3">
        <f>'Historical Data'!D344</f>
        <v/>
      </c>
      <c r="D347" s="23">
        <f>'Historical Data'!E344</f>
        <v/>
      </c>
      <c r="E347" s="3">
        <f>'Historical Data'!G344</f>
        <v/>
      </c>
      <c r="F347" s="3">
        <f>'Historical Data'!Y344</f>
        <v/>
      </c>
      <c r="G347" s="3">
        <f>'Historical Data'!K344</f>
        <v/>
      </c>
      <c r="H347" s="3">
        <f>'Historical Data'!L344</f>
        <v/>
      </c>
      <c r="I347" s="26">
        <f>'Historical Data'!M344</f>
        <v/>
      </c>
      <c r="J347" s="28">
        <f>'Historical Data'!N344</f>
        <v/>
      </c>
      <c r="K347" s="28">
        <f>'Historical Data'!Q344</f>
        <v/>
      </c>
      <c r="L347" s="30">
        <f>'Historical Data'!S344</f>
        <v/>
      </c>
      <c r="M347" s="28">
        <f>'Historical Data'!AJ344</f>
        <v/>
      </c>
      <c r="N347" s="28">
        <f>'Historical Data'!AK344</f>
        <v/>
      </c>
      <c r="O347" s="3">
        <f>'Historical Data'!AA344</f>
        <v/>
      </c>
      <c r="P347" s="3">
        <f>'Historical Data'!AB344</f>
        <v/>
      </c>
      <c r="Q347" s="3">
        <f>'Historical Data'!AN344</f>
        <v/>
      </c>
      <c r="R347" s="3">
        <f>'Historical Data'!AC344</f>
        <v/>
      </c>
      <c r="S347" s="3">
        <f>'Historical Data'!AE344</f>
        <v/>
      </c>
      <c r="T347" s="3">
        <f>'Historical Data'!AH344</f>
        <v/>
      </c>
      <c r="U347" s="3">
        <f>'Historical Data'!BA344</f>
        <v/>
      </c>
      <c r="V347" s="3" t="n"/>
      <c r="W347" s="3" t="n"/>
      <c r="X347" s="3" t="n"/>
      <c r="Y347" s="3" t="n"/>
      <c r="Z347" s="3" t="n"/>
    </row>
    <row r="348" hidden="1" ht="15.75" customHeight="1" s="174">
      <c r="A348" s="3">
        <f>'Historical Data'!A345</f>
        <v/>
      </c>
      <c r="B348" s="3">
        <f>'Historical Data'!B345</f>
        <v/>
      </c>
      <c r="C348" s="3">
        <f>'Historical Data'!D345</f>
        <v/>
      </c>
      <c r="D348" s="23">
        <f>'Historical Data'!E345</f>
        <v/>
      </c>
      <c r="E348" s="3">
        <f>'Historical Data'!G345</f>
        <v/>
      </c>
      <c r="F348" s="3">
        <f>'Historical Data'!Y345</f>
        <v/>
      </c>
      <c r="G348" s="3">
        <f>'Historical Data'!K345</f>
        <v/>
      </c>
      <c r="H348" s="3">
        <f>'Historical Data'!L345</f>
        <v/>
      </c>
      <c r="I348" s="26">
        <f>'Historical Data'!M345</f>
        <v/>
      </c>
      <c r="J348" s="28">
        <f>'Historical Data'!N345</f>
        <v/>
      </c>
      <c r="K348" s="28">
        <f>'Historical Data'!Q345</f>
        <v/>
      </c>
      <c r="L348" s="30">
        <f>'Historical Data'!S345</f>
        <v/>
      </c>
      <c r="M348" s="28">
        <f>'Historical Data'!AJ345</f>
        <v/>
      </c>
      <c r="N348" s="28">
        <f>'Historical Data'!AK345</f>
        <v/>
      </c>
      <c r="O348" s="3">
        <f>'Historical Data'!AA345</f>
        <v/>
      </c>
      <c r="P348" s="3">
        <f>'Historical Data'!AB345</f>
        <v/>
      </c>
      <c r="Q348" s="3">
        <f>'Historical Data'!AN345</f>
        <v/>
      </c>
      <c r="R348" s="3">
        <f>'Historical Data'!AC345</f>
        <v/>
      </c>
      <c r="S348" s="3">
        <f>'Historical Data'!AE345</f>
        <v/>
      </c>
      <c r="T348" s="3">
        <f>'Historical Data'!AH345</f>
        <v/>
      </c>
      <c r="U348" s="3">
        <f>'Historical Data'!BA345</f>
        <v/>
      </c>
      <c r="V348" s="3" t="n"/>
      <c r="W348" s="3" t="n"/>
      <c r="X348" s="3" t="n"/>
      <c r="Y348" s="3" t="n"/>
      <c r="Z348" s="3" t="n"/>
    </row>
    <row r="349" hidden="1" ht="15.75" customHeight="1" s="174">
      <c r="A349" s="3">
        <f>'Historical Data'!A346</f>
        <v/>
      </c>
      <c r="B349" s="3">
        <f>'Historical Data'!B346</f>
        <v/>
      </c>
      <c r="C349" s="3">
        <f>'Historical Data'!D346</f>
        <v/>
      </c>
      <c r="D349" s="23">
        <f>'Historical Data'!E346</f>
        <v/>
      </c>
      <c r="E349" s="3">
        <f>'Historical Data'!G346</f>
        <v/>
      </c>
      <c r="F349" s="3">
        <f>'Historical Data'!Y346</f>
        <v/>
      </c>
      <c r="G349" s="3">
        <f>'Historical Data'!K346</f>
        <v/>
      </c>
      <c r="H349" s="3">
        <f>'Historical Data'!L346</f>
        <v/>
      </c>
      <c r="I349" s="26">
        <f>'Historical Data'!M346</f>
        <v/>
      </c>
      <c r="J349" s="28">
        <f>'Historical Data'!N346</f>
        <v/>
      </c>
      <c r="K349" s="28">
        <f>'Historical Data'!Q346</f>
        <v/>
      </c>
      <c r="L349" s="30">
        <f>'Historical Data'!S346</f>
        <v/>
      </c>
      <c r="M349" s="28">
        <f>'Historical Data'!AJ346</f>
        <v/>
      </c>
      <c r="N349" s="28">
        <f>'Historical Data'!AK346</f>
        <v/>
      </c>
      <c r="O349" s="3">
        <f>'Historical Data'!AA346</f>
        <v/>
      </c>
      <c r="P349" s="3">
        <f>'Historical Data'!AB346</f>
        <v/>
      </c>
      <c r="Q349" s="3">
        <f>'Historical Data'!AN346</f>
        <v/>
      </c>
      <c r="R349" s="3">
        <f>'Historical Data'!AC346</f>
        <v/>
      </c>
      <c r="S349" s="3">
        <f>'Historical Data'!AE346</f>
        <v/>
      </c>
      <c r="T349" s="3">
        <f>'Historical Data'!AH346</f>
        <v/>
      </c>
      <c r="U349" s="3">
        <f>'Historical Data'!BA346</f>
        <v/>
      </c>
      <c r="V349" s="3" t="n"/>
      <c r="W349" s="3" t="n"/>
      <c r="X349" s="3" t="n"/>
      <c r="Y349" s="3" t="n"/>
      <c r="Z349" s="3" t="n"/>
    </row>
    <row r="350" hidden="1" ht="15.75" customHeight="1" s="174">
      <c r="A350" s="3">
        <f>'Historical Data'!A347</f>
        <v/>
      </c>
      <c r="B350" s="3">
        <f>'Historical Data'!B347</f>
        <v/>
      </c>
      <c r="C350" s="3">
        <f>'Historical Data'!D347</f>
        <v/>
      </c>
      <c r="D350" s="23">
        <f>'Historical Data'!E347</f>
        <v/>
      </c>
      <c r="E350" s="3">
        <f>'Historical Data'!G347</f>
        <v/>
      </c>
      <c r="F350" s="3">
        <f>'Historical Data'!Y347</f>
        <v/>
      </c>
      <c r="G350" s="3">
        <f>'Historical Data'!K347</f>
        <v/>
      </c>
      <c r="H350" s="3">
        <f>'Historical Data'!L347</f>
        <v/>
      </c>
      <c r="I350" s="26">
        <f>'Historical Data'!M347</f>
        <v/>
      </c>
      <c r="J350" s="28">
        <f>'Historical Data'!N347</f>
        <v/>
      </c>
      <c r="K350" s="28">
        <f>'Historical Data'!Q347</f>
        <v/>
      </c>
      <c r="L350" s="30">
        <f>'Historical Data'!S347</f>
        <v/>
      </c>
      <c r="M350" s="28">
        <f>'Historical Data'!AJ347</f>
        <v/>
      </c>
      <c r="N350" s="28">
        <f>'Historical Data'!AK347</f>
        <v/>
      </c>
      <c r="O350" s="3">
        <f>'Historical Data'!AA347</f>
        <v/>
      </c>
      <c r="P350" s="3">
        <f>'Historical Data'!AB347</f>
        <v/>
      </c>
      <c r="Q350" s="3">
        <f>'Historical Data'!AN347</f>
        <v/>
      </c>
      <c r="R350" s="3">
        <f>'Historical Data'!AC347</f>
        <v/>
      </c>
      <c r="S350" s="3">
        <f>'Historical Data'!AE347</f>
        <v/>
      </c>
      <c r="T350" s="3">
        <f>'Historical Data'!AH347</f>
        <v/>
      </c>
      <c r="U350" s="3">
        <f>'Historical Data'!BA347</f>
        <v/>
      </c>
      <c r="V350" s="3" t="n"/>
      <c r="W350" s="3" t="n"/>
      <c r="X350" s="3" t="n"/>
      <c r="Y350" s="3" t="n"/>
      <c r="Z350" s="3" t="n"/>
    </row>
    <row r="351" hidden="1" ht="15.75" customHeight="1" s="174">
      <c r="A351" s="3">
        <f>'Historical Data'!A348</f>
        <v/>
      </c>
      <c r="B351" s="3">
        <f>'Historical Data'!B348</f>
        <v/>
      </c>
      <c r="C351" s="3">
        <f>'Historical Data'!D348</f>
        <v/>
      </c>
      <c r="D351" s="23">
        <f>'Historical Data'!E348</f>
        <v/>
      </c>
      <c r="E351" s="3">
        <f>'Historical Data'!G348</f>
        <v/>
      </c>
      <c r="F351" s="3">
        <f>'Historical Data'!Y348</f>
        <v/>
      </c>
      <c r="G351" s="3">
        <f>'Historical Data'!K348</f>
        <v/>
      </c>
      <c r="H351" s="3">
        <f>'Historical Data'!L348</f>
        <v/>
      </c>
      <c r="I351" s="26">
        <f>'Historical Data'!M348</f>
        <v/>
      </c>
      <c r="J351" s="28">
        <f>'Historical Data'!N348</f>
        <v/>
      </c>
      <c r="K351" s="28">
        <f>'Historical Data'!Q348</f>
        <v/>
      </c>
      <c r="L351" s="30">
        <f>'Historical Data'!S348</f>
        <v/>
      </c>
      <c r="M351" s="28">
        <f>'Historical Data'!AJ348</f>
        <v/>
      </c>
      <c r="N351" s="28">
        <f>'Historical Data'!AK348</f>
        <v/>
      </c>
      <c r="O351" s="3">
        <f>'Historical Data'!AA348</f>
        <v/>
      </c>
      <c r="P351" s="3">
        <f>'Historical Data'!AB348</f>
        <v/>
      </c>
      <c r="Q351" s="3">
        <f>'Historical Data'!AN348</f>
        <v/>
      </c>
      <c r="R351" s="3">
        <f>'Historical Data'!AC348</f>
        <v/>
      </c>
      <c r="S351" s="3">
        <f>'Historical Data'!AE348</f>
        <v/>
      </c>
      <c r="T351" s="3">
        <f>'Historical Data'!AH348</f>
        <v/>
      </c>
      <c r="U351" s="3">
        <f>'Historical Data'!BA348</f>
        <v/>
      </c>
      <c r="V351" s="3" t="n"/>
      <c r="W351" s="3" t="n"/>
      <c r="X351" s="3" t="n"/>
      <c r="Y351" s="3" t="n"/>
      <c r="Z351" s="3" t="n"/>
    </row>
    <row r="352" hidden="1" ht="15.75" customHeight="1" s="174">
      <c r="A352" s="3">
        <f>'Historical Data'!A349</f>
        <v/>
      </c>
      <c r="B352" s="3">
        <f>'Historical Data'!B349</f>
        <v/>
      </c>
      <c r="C352" s="3">
        <f>'Historical Data'!D349</f>
        <v/>
      </c>
      <c r="D352" s="23">
        <f>'Historical Data'!E349</f>
        <v/>
      </c>
      <c r="E352" s="3">
        <f>'Historical Data'!G349</f>
        <v/>
      </c>
      <c r="F352" s="3">
        <f>'Historical Data'!Y349</f>
        <v/>
      </c>
      <c r="G352" s="3">
        <f>'Historical Data'!K349</f>
        <v/>
      </c>
      <c r="H352" s="3">
        <f>'Historical Data'!L349</f>
        <v/>
      </c>
      <c r="I352" s="26">
        <f>'Historical Data'!M349</f>
        <v/>
      </c>
      <c r="J352" s="28">
        <f>'Historical Data'!N349</f>
        <v/>
      </c>
      <c r="K352" s="28">
        <f>'Historical Data'!Q349</f>
        <v/>
      </c>
      <c r="L352" s="30">
        <f>'Historical Data'!S349</f>
        <v/>
      </c>
      <c r="M352" s="28">
        <f>'Historical Data'!AJ349</f>
        <v/>
      </c>
      <c r="N352" s="28">
        <f>'Historical Data'!AK349</f>
        <v/>
      </c>
      <c r="O352" s="3">
        <f>'Historical Data'!AA349</f>
        <v/>
      </c>
      <c r="P352" s="3">
        <f>'Historical Data'!AB349</f>
        <v/>
      </c>
      <c r="Q352" s="3">
        <f>'Historical Data'!AN349</f>
        <v/>
      </c>
      <c r="R352" s="3">
        <f>'Historical Data'!AC349</f>
        <v/>
      </c>
      <c r="S352" s="3">
        <f>'Historical Data'!AE349</f>
        <v/>
      </c>
      <c r="T352" s="3">
        <f>'Historical Data'!AH349</f>
        <v/>
      </c>
      <c r="U352" s="3">
        <f>'Historical Data'!BA349</f>
        <v/>
      </c>
      <c r="V352" s="3" t="n"/>
      <c r="W352" s="3" t="n"/>
      <c r="X352" s="3" t="n"/>
      <c r="Y352" s="3" t="n"/>
      <c r="Z352" s="3" t="n"/>
    </row>
    <row r="353" hidden="1" ht="15.75" customHeight="1" s="174">
      <c r="A353" s="3">
        <f>'Historical Data'!A350</f>
        <v/>
      </c>
      <c r="B353" s="3">
        <f>'Historical Data'!B350</f>
        <v/>
      </c>
      <c r="C353" s="3">
        <f>'Historical Data'!D350</f>
        <v/>
      </c>
      <c r="D353" s="23">
        <f>'Historical Data'!E350</f>
        <v/>
      </c>
      <c r="E353" s="3">
        <f>'Historical Data'!G350</f>
        <v/>
      </c>
      <c r="F353" s="3">
        <f>'Historical Data'!Y350</f>
        <v/>
      </c>
      <c r="G353" s="3">
        <f>'Historical Data'!K350</f>
        <v/>
      </c>
      <c r="H353" s="3">
        <f>'Historical Data'!L350</f>
        <v/>
      </c>
      <c r="I353" s="26">
        <f>'Historical Data'!M350</f>
        <v/>
      </c>
      <c r="J353" s="28">
        <f>'Historical Data'!N350</f>
        <v/>
      </c>
      <c r="K353" s="28">
        <f>'Historical Data'!Q350</f>
        <v/>
      </c>
      <c r="L353" s="30">
        <f>'Historical Data'!S350</f>
        <v/>
      </c>
      <c r="M353" s="28">
        <f>'Historical Data'!AJ350</f>
        <v/>
      </c>
      <c r="N353" s="28">
        <f>'Historical Data'!AK350</f>
        <v/>
      </c>
      <c r="O353" s="3">
        <f>'Historical Data'!AA350</f>
        <v/>
      </c>
      <c r="P353" s="3">
        <f>'Historical Data'!AB350</f>
        <v/>
      </c>
      <c r="Q353" s="3">
        <f>'Historical Data'!AN350</f>
        <v/>
      </c>
      <c r="R353" s="3">
        <f>'Historical Data'!AC350</f>
        <v/>
      </c>
      <c r="S353" s="3">
        <f>'Historical Data'!AE350</f>
        <v/>
      </c>
      <c r="T353" s="3">
        <f>'Historical Data'!AH350</f>
        <v/>
      </c>
      <c r="U353" s="3">
        <f>'Historical Data'!BA350</f>
        <v/>
      </c>
      <c r="V353" s="3" t="n"/>
      <c r="W353" s="3" t="n"/>
      <c r="X353" s="3" t="n"/>
      <c r="Y353" s="3" t="n"/>
      <c r="Z353" s="3" t="n"/>
    </row>
    <row r="354" hidden="1" ht="15.75" customHeight="1" s="174">
      <c r="A354" s="3">
        <f>'Historical Data'!A351</f>
        <v/>
      </c>
      <c r="B354" s="3">
        <f>'Historical Data'!B351</f>
        <v/>
      </c>
      <c r="C354" s="3">
        <f>'Historical Data'!D351</f>
        <v/>
      </c>
      <c r="D354" s="23">
        <f>'Historical Data'!E351</f>
        <v/>
      </c>
      <c r="E354" s="3">
        <f>'Historical Data'!G351</f>
        <v/>
      </c>
      <c r="F354" s="3">
        <f>'Historical Data'!Y351</f>
        <v/>
      </c>
      <c r="G354" s="3">
        <f>'Historical Data'!K351</f>
        <v/>
      </c>
      <c r="H354" s="3">
        <f>'Historical Data'!L351</f>
        <v/>
      </c>
      <c r="I354" s="26">
        <f>'Historical Data'!M351</f>
        <v/>
      </c>
      <c r="J354" s="28">
        <f>'Historical Data'!N351</f>
        <v/>
      </c>
      <c r="K354" s="28">
        <f>'Historical Data'!Q351</f>
        <v/>
      </c>
      <c r="L354" s="30">
        <f>'Historical Data'!S351</f>
        <v/>
      </c>
      <c r="M354" s="28">
        <f>'Historical Data'!AJ351</f>
        <v/>
      </c>
      <c r="N354" s="28">
        <f>'Historical Data'!AK351</f>
        <v/>
      </c>
      <c r="O354" s="3">
        <f>'Historical Data'!AA351</f>
        <v/>
      </c>
      <c r="P354" s="3">
        <f>'Historical Data'!AB351</f>
        <v/>
      </c>
      <c r="Q354" s="3">
        <f>'Historical Data'!AN351</f>
        <v/>
      </c>
      <c r="R354" s="3">
        <f>'Historical Data'!AC351</f>
        <v/>
      </c>
      <c r="S354" s="3">
        <f>'Historical Data'!AE351</f>
        <v/>
      </c>
      <c r="T354" s="3">
        <f>'Historical Data'!AH351</f>
        <v/>
      </c>
      <c r="U354" s="3">
        <f>'Historical Data'!BA351</f>
        <v/>
      </c>
      <c r="V354" s="3" t="n"/>
      <c r="W354" s="3" t="n"/>
      <c r="X354" s="3" t="n"/>
      <c r="Y354" s="3" t="n"/>
      <c r="Z354" s="3" t="n"/>
    </row>
    <row r="355" hidden="1" ht="15.75" customHeight="1" s="174">
      <c r="A355" s="3">
        <f>'Historical Data'!A352</f>
        <v/>
      </c>
      <c r="B355" s="3">
        <f>'Historical Data'!B352</f>
        <v/>
      </c>
      <c r="C355" s="3">
        <f>'Historical Data'!D352</f>
        <v/>
      </c>
      <c r="D355" s="23">
        <f>'Historical Data'!E352</f>
        <v/>
      </c>
      <c r="E355" s="3">
        <f>'Historical Data'!G352</f>
        <v/>
      </c>
      <c r="F355" s="3">
        <f>'Historical Data'!Y352</f>
        <v/>
      </c>
      <c r="G355" s="3">
        <f>'Historical Data'!K352</f>
        <v/>
      </c>
      <c r="H355" s="3">
        <f>'Historical Data'!L352</f>
        <v/>
      </c>
      <c r="I355" s="26">
        <f>'Historical Data'!M352</f>
        <v/>
      </c>
      <c r="J355" s="28">
        <f>'Historical Data'!N352</f>
        <v/>
      </c>
      <c r="K355" s="28">
        <f>'Historical Data'!Q352</f>
        <v/>
      </c>
      <c r="L355" s="30">
        <f>'Historical Data'!S352</f>
        <v/>
      </c>
      <c r="M355" s="28">
        <f>'Historical Data'!AJ352</f>
        <v/>
      </c>
      <c r="N355" s="28">
        <f>'Historical Data'!AK352</f>
        <v/>
      </c>
      <c r="O355" s="3">
        <f>'Historical Data'!AA352</f>
        <v/>
      </c>
      <c r="P355" s="3">
        <f>'Historical Data'!AB352</f>
        <v/>
      </c>
      <c r="Q355" s="3">
        <f>'Historical Data'!AN352</f>
        <v/>
      </c>
      <c r="R355" s="3">
        <f>'Historical Data'!AC352</f>
        <v/>
      </c>
      <c r="S355" s="3">
        <f>'Historical Data'!AE352</f>
        <v/>
      </c>
      <c r="T355" s="3">
        <f>'Historical Data'!AH352</f>
        <v/>
      </c>
      <c r="U355" s="3">
        <f>'Historical Data'!BA352</f>
        <v/>
      </c>
      <c r="V355" s="3" t="n"/>
      <c r="W355" s="3" t="n"/>
      <c r="X355" s="3" t="n"/>
      <c r="Y355" s="3" t="n"/>
      <c r="Z355" s="3" t="n"/>
    </row>
    <row r="356" hidden="1" ht="15.75" customHeight="1" s="174">
      <c r="A356" s="3">
        <f>'Historical Data'!A353</f>
        <v/>
      </c>
      <c r="B356" s="3">
        <f>'Historical Data'!B353</f>
        <v/>
      </c>
      <c r="C356" s="3">
        <f>'Historical Data'!D353</f>
        <v/>
      </c>
      <c r="D356" s="23">
        <f>'Historical Data'!E353</f>
        <v/>
      </c>
      <c r="E356" s="3">
        <f>'Historical Data'!G353</f>
        <v/>
      </c>
      <c r="F356" s="3">
        <f>'Historical Data'!Y353</f>
        <v/>
      </c>
      <c r="G356" s="3">
        <f>'Historical Data'!K353</f>
        <v/>
      </c>
      <c r="H356" s="3">
        <f>'Historical Data'!L353</f>
        <v/>
      </c>
      <c r="I356" s="26">
        <f>'Historical Data'!M353</f>
        <v/>
      </c>
      <c r="J356" s="28">
        <f>'Historical Data'!N353</f>
        <v/>
      </c>
      <c r="K356" s="28">
        <f>'Historical Data'!Q353</f>
        <v/>
      </c>
      <c r="L356" s="30">
        <f>'Historical Data'!S353</f>
        <v/>
      </c>
      <c r="M356" s="28">
        <f>'Historical Data'!AJ353</f>
        <v/>
      </c>
      <c r="N356" s="28">
        <f>'Historical Data'!AK353</f>
        <v/>
      </c>
      <c r="O356" s="3">
        <f>'Historical Data'!AA353</f>
        <v/>
      </c>
      <c r="P356" s="3">
        <f>'Historical Data'!AB353</f>
        <v/>
      </c>
      <c r="Q356" s="3">
        <f>'Historical Data'!AN353</f>
        <v/>
      </c>
      <c r="R356" s="3">
        <f>'Historical Data'!AC353</f>
        <v/>
      </c>
      <c r="S356" s="3">
        <f>'Historical Data'!AE353</f>
        <v/>
      </c>
      <c r="T356" s="3">
        <f>'Historical Data'!AH353</f>
        <v/>
      </c>
      <c r="U356" s="3">
        <f>'Historical Data'!BA353</f>
        <v/>
      </c>
      <c r="V356" s="3" t="n"/>
      <c r="W356" s="3" t="n"/>
      <c r="X356" s="3" t="n"/>
      <c r="Y356" s="3" t="n"/>
      <c r="Z356" s="3" t="n"/>
    </row>
    <row r="357" hidden="1" ht="15.75" customHeight="1" s="174">
      <c r="A357" s="3">
        <f>'Historical Data'!A354</f>
        <v/>
      </c>
      <c r="B357" s="3">
        <f>'Historical Data'!B354</f>
        <v/>
      </c>
      <c r="C357" s="3">
        <f>'Historical Data'!D354</f>
        <v/>
      </c>
      <c r="D357" s="23">
        <f>'Historical Data'!E354</f>
        <v/>
      </c>
      <c r="E357" s="3">
        <f>'Historical Data'!G354</f>
        <v/>
      </c>
      <c r="F357" s="3">
        <f>'Historical Data'!Y354</f>
        <v/>
      </c>
      <c r="G357" s="3">
        <f>'Historical Data'!K354</f>
        <v/>
      </c>
      <c r="H357" s="3">
        <f>'Historical Data'!L354</f>
        <v/>
      </c>
      <c r="I357" s="26">
        <f>'Historical Data'!M354</f>
        <v/>
      </c>
      <c r="J357" s="28">
        <f>'Historical Data'!N354</f>
        <v/>
      </c>
      <c r="K357" s="28">
        <f>'Historical Data'!Q354</f>
        <v/>
      </c>
      <c r="L357" s="30">
        <f>'Historical Data'!S354</f>
        <v/>
      </c>
      <c r="M357" s="28">
        <f>'Historical Data'!AJ354</f>
        <v/>
      </c>
      <c r="N357" s="28">
        <f>'Historical Data'!AK354</f>
        <v/>
      </c>
      <c r="O357" s="3">
        <f>'Historical Data'!AA354</f>
        <v/>
      </c>
      <c r="P357" s="3">
        <f>'Historical Data'!AB354</f>
        <v/>
      </c>
      <c r="Q357" s="3">
        <f>'Historical Data'!AN354</f>
        <v/>
      </c>
      <c r="R357" s="3">
        <f>'Historical Data'!AC354</f>
        <v/>
      </c>
      <c r="S357" s="3">
        <f>'Historical Data'!AE354</f>
        <v/>
      </c>
      <c r="T357" s="3">
        <f>'Historical Data'!AH354</f>
        <v/>
      </c>
      <c r="U357" s="3">
        <f>'Historical Data'!BA354</f>
        <v/>
      </c>
      <c r="V357" s="3" t="n"/>
      <c r="W357" s="3" t="n"/>
      <c r="X357" s="3" t="n"/>
      <c r="Y357" s="3" t="n"/>
      <c r="Z357" s="3" t="n"/>
    </row>
    <row r="358" hidden="1" ht="15.75" customHeight="1" s="174">
      <c r="A358" s="3">
        <f>'Historical Data'!A355</f>
        <v/>
      </c>
      <c r="B358" s="3">
        <f>'Historical Data'!B355</f>
        <v/>
      </c>
      <c r="C358" s="3">
        <f>'Historical Data'!D355</f>
        <v/>
      </c>
      <c r="D358" s="23">
        <f>'Historical Data'!E355</f>
        <v/>
      </c>
      <c r="E358" s="3">
        <f>'Historical Data'!G355</f>
        <v/>
      </c>
      <c r="F358" s="3">
        <f>'Historical Data'!Y355</f>
        <v/>
      </c>
      <c r="G358" s="3">
        <f>'Historical Data'!K355</f>
        <v/>
      </c>
      <c r="H358" s="3">
        <f>'Historical Data'!L355</f>
        <v/>
      </c>
      <c r="I358" s="26">
        <f>'Historical Data'!M355</f>
        <v/>
      </c>
      <c r="J358" s="28">
        <f>'Historical Data'!N355</f>
        <v/>
      </c>
      <c r="K358" s="28">
        <f>'Historical Data'!Q355</f>
        <v/>
      </c>
      <c r="L358" s="30">
        <f>'Historical Data'!S355</f>
        <v/>
      </c>
      <c r="M358" s="28">
        <f>'Historical Data'!AJ355</f>
        <v/>
      </c>
      <c r="N358" s="28">
        <f>'Historical Data'!AK355</f>
        <v/>
      </c>
      <c r="O358" s="3">
        <f>'Historical Data'!AA355</f>
        <v/>
      </c>
      <c r="P358" s="3">
        <f>'Historical Data'!AB355</f>
        <v/>
      </c>
      <c r="Q358" s="3">
        <f>'Historical Data'!AN355</f>
        <v/>
      </c>
      <c r="R358" s="3">
        <f>'Historical Data'!AC355</f>
        <v/>
      </c>
      <c r="S358" s="3">
        <f>'Historical Data'!AE355</f>
        <v/>
      </c>
      <c r="T358" s="3">
        <f>'Historical Data'!AH355</f>
        <v/>
      </c>
      <c r="U358" s="3">
        <f>'Historical Data'!BA355</f>
        <v/>
      </c>
      <c r="V358" s="3" t="n"/>
      <c r="W358" s="3" t="n"/>
      <c r="X358" s="3" t="n"/>
      <c r="Y358" s="3" t="n"/>
      <c r="Z358" s="3" t="n"/>
    </row>
    <row r="359" hidden="1" ht="15.75" customHeight="1" s="174">
      <c r="A359" s="3">
        <f>'Historical Data'!A356</f>
        <v/>
      </c>
      <c r="B359" s="3">
        <f>'Historical Data'!B356</f>
        <v/>
      </c>
      <c r="C359" s="3">
        <f>'Historical Data'!D356</f>
        <v/>
      </c>
      <c r="D359" s="23">
        <f>'Historical Data'!E356</f>
        <v/>
      </c>
      <c r="E359" s="3">
        <f>'Historical Data'!G356</f>
        <v/>
      </c>
      <c r="F359" s="3">
        <f>'Historical Data'!Y356</f>
        <v/>
      </c>
      <c r="G359" s="3">
        <f>'Historical Data'!K356</f>
        <v/>
      </c>
      <c r="H359" s="3">
        <f>'Historical Data'!L356</f>
        <v/>
      </c>
      <c r="I359" s="26">
        <f>'Historical Data'!M356</f>
        <v/>
      </c>
      <c r="J359" s="28">
        <f>'Historical Data'!N356</f>
        <v/>
      </c>
      <c r="K359" s="28">
        <f>'Historical Data'!Q356</f>
        <v/>
      </c>
      <c r="L359" s="30">
        <f>'Historical Data'!S356</f>
        <v/>
      </c>
      <c r="M359" s="28">
        <f>'Historical Data'!AJ356</f>
        <v/>
      </c>
      <c r="N359" s="28">
        <f>'Historical Data'!AK356</f>
        <v/>
      </c>
      <c r="O359" s="3">
        <f>'Historical Data'!AA356</f>
        <v/>
      </c>
      <c r="P359" s="3">
        <f>'Historical Data'!AB356</f>
        <v/>
      </c>
      <c r="Q359" s="3">
        <f>'Historical Data'!AN356</f>
        <v/>
      </c>
      <c r="R359" s="3">
        <f>'Historical Data'!AC356</f>
        <v/>
      </c>
      <c r="S359" s="3">
        <f>'Historical Data'!AE356</f>
        <v/>
      </c>
      <c r="T359" s="3">
        <f>'Historical Data'!AH356</f>
        <v/>
      </c>
      <c r="U359" s="3">
        <f>'Historical Data'!BA356</f>
        <v/>
      </c>
      <c r="V359" s="3" t="n"/>
      <c r="W359" s="3" t="n"/>
      <c r="X359" s="3" t="n"/>
      <c r="Y359" s="3" t="n"/>
      <c r="Z359" s="3" t="n"/>
    </row>
    <row r="360" hidden="1" ht="15.75" customHeight="1" s="174">
      <c r="A360" s="3">
        <f>'Historical Data'!A357</f>
        <v/>
      </c>
      <c r="B360" s="3">
        <f>'Historical Data'!B357</f>
        <v/>
      </c>
      <c r="C360" s="3">
        <f>'Historical Data'!D357</f>
        <v/>
      </c>
      <c r="D360" s="23">
        <f>'Historical Data'!E357</f>
        <v/>
      </c>
      <c r="E360" s="3">
        <f>'Historical Data'!G357</f>
        <v/>
      </c>
      <c r="F360" s="3">
        <f>'Historical Data'!Y357</f>
        <v/>
      </c>
      <c r="G360" s="3">
        <f>'Historical Data'!K357</f>
        <v/>
      </c>
      <c r="H360" s="3">
        <f>'Historical Data'!L357</f>
        <v/>
      </c>
      <c r="I360" s="26">
        <f>'Historical Data'!M357</f>
        <v/>
      </c>
      <c r="J360" s="28">
        <f>'Historical Data'!N357</f>
        <v/>
      </c>
      <c r="K360" s="28">
        <f>'Historical Data'!Q357</f>
        <v/>
      </c>
      <c r="L360" s="30">
        <f>'Historical Data'!S357</f>
        <v/>
      </c>
      <c r="M360" s="28">
        <f>'Historical Data'!AJ357</f>
        <v/>
      </c>
      <c r="N360" s="28">
        <f>'Historical Data'!AK357</f>
        <v/>
      </c>
      <c r="O360" s="3">
        <f>'Historical Data'!AA357</f>
        <v/>
      </c>
      <c r="P360" s="3">
        <f>'Historical Data'!AB357</f>
        <v/>
      </c>
      <c r="Q360" s="3">
        <f>'Historical Data'!AN357</f>
        <v/>
      </c>
      <c r="R360" s="3">
        <f>'Historical Data'!AC357</f>
        <v/>
      </c>
      <c r="S360" s="3">
        <f>'Historical Data'!AE357</f>
        <v/>
      </c>
      <c r="T360" s="3">
        <f>'Historical Data'!AH357</f>
        <v/>
      </c>
      <c r="U360" s="3">
        <f>'Historical Data'!BA357</f>
        <v/>
      </c>
      <c r="V360" s="3" t="n"/>
      <c r="W360" s="3" t="n"/>
      <c r="X360" s="3" t="n"/>
      <c r="Y360" s="3" t="n"/>
      <c r="Z360" s="3" t="n"/>
    </row>
    <row r="361" hidden="1" ht="15.75" customHeight="1" s="174">
      <c r="A361" s="3">
        <f>'Historical Data'!A358</f>
        <v/>
      </c>
      <c r="B361" s="3">
        <f>'Historical Data'!B358</f>
        <v/>
      </c>
      <c r="C361" s="3">
        <f>'Historical Data'!D358</f>
        <v/>
      </c>
      <c r="D361" s="23">
        <f>'Historical Data'!E358</f>
        <v/>
      </c>
      <c r="E361" s="3">
        <f>'Historical Data'!G358</f>
        <v/>
      </c>
      <c r="F361" s="3">
        <f>'Historical Data'!Y358</f>
        <v/>
      </c>
      <c r="G361" s="3">
        <f>'Historical Data'!K358</f>
        <v/>
      </c>
      <c r="H361" s="3">
        <f>'Historical Data'!L358</f>
        <v/>
      </c>
      <c r="I361" s="26">
        <f>'Historical Data'!M358</f>
        <v/>
      </c>
      <c r="J361" s="28">
        <f>'Historical Data'!N358</f>
        <v/>
      </c>
      <c r="K361" s="28">
        <f>'Historical Data'!Q358</f>
        <v/>
      </c>
      <c r="L361" s="30">
        <f>'Historical Data'!S358</f>
        <v/>
      </c>
      <c r="M361" s="28">
        <f>'Historical Data'!AJ358</f>
        <v/>
      </c>
      <c r="N361" s="28">
        <f>'Historical Data'!AK358</f>
        <v/>
      </c>
      <c r="O361" s="3">
        <f>'Historical Data'!AA358</f>
        <v/>
      </c>
      <c r="P361" s="3">
        <f>'Historical Data'!AB358</f>
        <v/>
      </c>
      <c r="Q361" s="3">
        <f>'Historical Data'!AN358</f>
        <v/>
      </c>
      <c r="R361" s="3">
        <f>'Historical Data'!AC358</f>
        <v/>
      </c>
      <c r="S361" s="3">
        <f>'Historical Data'!AE358</f>
        <v/>
      </c>
      <c r="T361" s="3">
        <f>'Historical Data'!AH358</f>
        <v/>
      </c>
      <c r="U361" s="3">
        <f>'Historical Data'!BA358</f>
        <v/>
      </c>
      <c r="V361" s="3" t="n"/>
      <c r="W361" s="3" t="n"/>
      <c r="X361" s="3" t="n"/>
      <c r="Y361" s="3" t="n"/>
      <c r="Z361" s="3" t="n"/>
    </row>
    <row r="362" hidden="1" ht="15.75" customHeight="1" s="174">
      <c r="A362" s="3">
        <f>'Historical Data'!A359</f>
        <v/>
      </c>
      <c r="B362" s="3">
        <f>'Historical Data'!B359</f>
        <v/>
      </c>
      <c r="C362" s="3">
        <f>'Historical Data'!D359</f>
        <v/>
      </c>
      <c r="D362" s="23">
        <f>'Historical Data'!E359</f>
        <v/>
      </c>
      <c r="E362" s="3">
        <f>'Historical Data'!G359</f>
        <v/>
      </c>
      <c r="F362" s="3">
        <f>'Historical Data'!Y359</f>
        <v/>
      </c>
      <c r="G362" s="3">
        <f>'Historical Data'!K359</f>
        <v/>
      </c>
      <c r="H362" s="3">
        <f>'Historical Data'!L359</f>
        <v/>
      </c>
      <c r="I362" s="26">
        <f>'Historical Data'!M359</f>
        <v/>
      </c>
      <c r="J362" s="28">
        <f>'Historical Data'!N359</f>
        <v/>
      </c>
      <c r="K362" s="28">
        <f>'Historical Data'!Q359</f>
        <v/>
      </c>
      <c r="L362" s="30">
        <f>'Historical Data'!S359</f>
        <v/>
      </c>
      <c r="M362" s="28">
        <f>'Historical Data'!AJ359</f>
        <v/>
      </c>
      <c r="N362" s="28">
        <f>'Historical Data'!AK359</f>
        <v/>
      </c>
      <c r="O362" s="3">
        <f>'Historical Data'!AA359</f>
        <v/>
      </c>
      <c r="P362" s="3">
        <f>'Historical Data'!AB359</f>
        <v/>
      </c>
      <c r="Q362" s="3">
        <f>'Historical Data'!AN359</f>
        <v/>
      </c>
      <c r="R362" s="3">
        <f>'Historical Data'!AC359</f>
        <v/>
      </c>
      <c r="S362" s="3">
        <f>'Historical Data'!AE359</f>
        <v/>
      </c>
      <c r="T362" s="3">
        <f>'Historical Data'!AH359</f>
        <v/>
      </c>
      <c r="U362" s="3">
        <f>'Historical Data'!BA359</f>
        <v/>
      </c>
      <c r="V362" s="3" t="n"/>
      <c r="W362" s="3" t="n"/>
      <c r="X362" s="3" t="n"/>
      <c r="Y362" s="3" t="n"/>
      <c r="Z362" s="3" t="n"/>
    </row>
    <row r="363" hidden="1" ht="15.75" customHeight="1" s="174">
      <c r="A363" s="3">
        <f>'Historical Data'!A360</f>
        <v/>
      </c>
      <c r="B363" s="3">
        <f>'Historical Data'!B360</f>
        <v/>
      </c>
      <c r="C363" s="3">
        <f>'Historical Data'!D360</f>
        <v/>
      </c>
      <c r="D363" s="23">
        <f>'Historical Data'!E360</f>
        <v/>
      </c>
      <c r="E363" s="3">
        <f>'Historical Data'!G360</f>
        <v/>
      </c>
      <c r="F363" s="3">
        <f>'Historical Data'!Y360</f>
        <v/>
      </c>
      <c r="G363" s="3">
        <f>'Historical Data'!K360</f>
        <v/>
      </c>
      <c r="H363" s="3">
        <f>'Historical Data'!L360</f>
        <v/>
      </c>
      <c r="I363" s="26">
        <f>'Historical Data'!M360</f>
        <v/>
      </c>
      <c r="J363" s="28">
        <f>'Historical Data'!N360</f>
        <v/>
      </c>
      <c r="K363" s="28">
        <f>'Historical Data'!Q360</f>
        <v/>
      </c>
      <c r="L363" s="30">
        <f>'Historical Data'!S360</f>
        <v/>
      </c>
      <c r="M363" s="28">
        <f>'Historical Data'!AJ360</f>
        <v/>
      </c>
      <c r="N363" s="28">
        <f>'Historical Data'!AK360</f>
        <v/>
      </c>
      <c r="O363" s="3">
        <f>'Historical Data'!AA360</f>
        <v/>
      </c>
      <c r="P363" s="3">
        <f>'Historical Data'!AB360</f>
        <v/>
      </c>
      <c r="Q363" s="3">
        <f>'Historical Data'!AN360</f>
        <v/>
      </c>
      <c r="R363" s="3">
        <f>'Historical Data'!AC360</f>
        <v/>
      </c>
      <c r="S363" s="3">
        <f>'Historical Data'!AE360</f>
        <v/>
      </c>
      <c r="T363" s="3">
        <f>'Historical Data'!AH360</f>
        <v/>
      </c>
      <c r="U363" s="3">
        <f>'Historical Data'!BA360</f>
        <v/>
      </c>
      <c r="V363" s="3" t="n"/>
      <c r="W363" s="3" t="n"/>
      <c r="X363" s="3" t="n"/>
      <c r="Y363" s="3" t="n"/>
      <c r="Z363" s="3" t="n"/>
    </row>
    <row r="364" hidden="1" ht="15.75" customHeight="1" s="174">
      <c r="A364" s="3">
        <f>'Historical Data'!A361</f>
        <v/>
      </c>
      <c r="B364" s="3">
        <f>'Historical Data'!B361</f>
        <v/>
      </c>
      <c r="C364" s="3">
        <f>'Historical Data'!D361</f>
        <v/>
      </c>
      <c r="D364" s="23">
        <f>'Historical Data'!E361</f>
        <v/>
      </c>
      <c r="E364" s="3">
        <f>'Historical Data'!G361</f>
        <v/>
      </c>
      <c r="F364" s="3">
        <f>'Historical Data'!Y361</f>
        <v/>
      </c>
      <c r="G364" s="3">
        <f>'Historical Data'!K361</f>
        <v/>
      </c>
      <c r="H364" s="3">
        <f>'Historical Data'!L361</f>
        <v/>
      </c>
      <c r="I364" s="26">
        <f>'Historical Data'!M361</f>
        <v/>
      </c>
      <c r="J364" s="28">
        <f>'Historical Data'!N361</f>
        <v/>
      </c>
      <c r="K364" s="28">
        <f>'Historical Data'!Q361</f>
        <v/>
      </c>
      <c r="L364" s="30">
        <f>'Historical Data'!S361</f>
        <v/>
      </c>
      <c r="M364" s="28">
        <f>'Historical Data'!AJ361</f>
        <v/>
      </c>
      <c r="N364" s="28">
        <f>'Historical Data'!AK361</f>
        <v/>
      </c>
      <c r="O364" s="3">
        <f>'Historical Data'!AA361</f>
        <v/>
      </c>
      <c r="P364" s="3">
        <f>'Historical Data'!AB361</f>
        <v/>
      </c>
      <c r="Q364" s="3">
        <f>'Historical Data'!AN361</f>
        <v/>
      </c>
      <c r="R364" s="3">
        <f>'Historical Data'!AC361</f>
        <v/>
      </c>
      <c r="S364" s="3">
        <f>'Historical Data'!AE361</f>
        <v/>
      </c>
      <c r="T364" s="3">
        <f>'Historical Data'!AH361</f>
        <v/>
      </c>
      <c r="U364" s="3">
        <f>'Historical Data'!BA361</f>
        <v/>
      </c>
      <c r="V364" s="3" t="n"/>
      <c r="W364" s="3" t="n"/>
      <c r="X364" s="3" t="n"/>
      <c r="Y364" s="3" t="n"/>
      <c r="Z364" s="3" t="n"/>
    </row>
    <row r="365" hidden="1" ht="15.75" customHeight="1" s="174">
      <c r="A365" s="3">
        <f>'Historical Data'!A362</f>
        <v/>
      </c>
      <c r="B365" s="3">
        <f>'Historical Data'!B362</f>
        <v/>
      </c>
      <c r="C365" s="3">
        <f>'Historical Data'!D362</f>
        <v/>
      </c>
      <c r="D365" s="23">
        <f>'Historical Data'!E362</f>
        <v/>
      </c>
      <c r="E365" s="3">
        <f>'Historical Data'!G362</f>
        <v/>
      </c>
      <c r="F365" s="3">
        <f>'Historical Data'!Y362</f>
        <v/>
      </c>
      <c r="G365" s="3">
        <f>'Historical Data'!K362</f>
        <v/>
      </c>
      <c r="H365" s="3">
        <f>'Historical Data'!L362</f>
        <v/>
      </c>
      <c r="I365" s="26">
        <f>'Historical Data'!M362</f>
        <v/>
      </c>
      <c r="J365" s="28">
        <f>'Historical Data'!N362</f>
        <v/>
      </c>
      <c r="K365" s="28">
        <f>'Historical Data'!Q362</f>
        <v/>
      </c>
      <c r="L365" s="30">
        <f>'Historical Data'!S362</f>
        <v/>
      </c>
      <c r="M365" s="28">
        <f>'Historical Data'!AJ362</f>
        <v/>
      </c>
      <c r="N365" s="28">
        <f>'Historical Data'!AK362</f>
        <v/>
      </c>
      <c r="O365" s="3">
        <f>'Historical Data'!AA362</f>
        <v/>
      </c>
      <c r="P365" s="3">
        <f>'Historical Data'!AB362</f>
        <v/>
      </c>
      <c r="Q365" s="3">
        <f>'Historical Data'!AN362</f>
        <v/>
      </c>
      <c r="R365" s="3">
        <f>'Historical Data'!AC362</f>
        <v/>
      </c>
      <c r="S365" s="3">
        <f>'Historical Data'!AE362</f>
        <v/>
      </c>
      <c r="T365" s="3">
        <f>'Historical Data'!AH362</f>
        <v/>
      </c>
      <c r="U365" s="3">
        <f>'Historical Data'!BA362</f>
        <v/>
      </c>
      <c r="V365" s="3" t="n"/>
      <c r="W365" s="3" t="n"/>
      <c r="X365" s="3" t="n"/>
      <c r="Y365" s="3" t="n"/>
      <c r="Z365" s="3" t="n"/>
    </row>
    <row r="366" hidden="1" ht="15.75" customHeight="1" s="174">
      <c r="A366" s="3">
        <f>'Historical Data'!A363</f>
        <v/>
      </c>
      <c r="B366" s="3">
        <f>'Historical Data'!B363</f>
        <v/>
      </c>
      <c r="C366" s="3">
        <f>'Historical Data'!D363</f>
        <v/>
      </c>
      <c r="D366" s="23">
        <f>'Historical Data'!E363</f>
        <v/>
      </c>
      <c r="E366" s="3">
        <f>'Historical Data'!G363</f>
        <v/>
      </c>
      <c r="F366" s="3">
        <f>'Historical Data'!Y363</f>
        <v/>
      </c>
      <c r="G366" s="3">
        <f>'Historical Data'!K363</f>
        <v/>
      </c>
      <c r="H366" s="3">
        <f>'Historical Data'!L363</f>
        <v/>
      </c>
      <c r="I366" s="26">
        <f>'Historical Data'!M363</f>
        <v/>
      </c>
      <c r="J366" s="28">
        <f>'Historical Data'!N363</f>
        <v/>
      </c>
      <c r="K366" s="28">
        <f>'Historical Data'!Q363</f>
        <v/>
      </c>
      <c r="L366" s="30">
        <f>'Historical Data'!S363</f>
        <v/>
      </c>
      <c r="M366" s="28">
        <f>'Historical Data'!AJ363</f>
        <v/>
      </c>
      <c r="N366" s="28">
        <f>'Historical Data'!AK363</f>
        <v/>
      </c>
      <c r="O366" s="3">
        <f>'Historical Data'!AA363</f>
        <v/>
      </c>
      <c r="P366" s="3">
        <f>'Historical Data'!AB363</f>
        <v/>
      </c>
      <c r="Q366" s="3">
        <f>'Historical Data'!AN363</f>
        <v/>
      </c>
      <c r="R366" s="3">
        <f>'Historical Data'!AC363</f>
        <v/>
      </c>
      <c r="S366" s="3">
        <f>'Historical Data'!AE363</f>
        <v/>
      </c>
      <c r="T366" s="3">
        <f>'Historical Data'!AH363</f>
        <v/>
      </c>
      <c r="U366" s="3">
        <f>'Historical Data'!BA363</f>
        <v/>
      </c>
      <c r="V366" s="3" t="n"/>
      <c r="W366" s="3" t="n"/>
      <c r="X366" s="3" t="n"/>
      <c r="Y366" s="3" t="n"/>
      <c r="Z366" s="3" t="n"/>
    </row>
    <row r="367" hidden="1" ht="15.75" customHeight="1" s="174">
      <c r="A367" s="3">
        <f>'Historical Data'!A364</f>
        <v/>
      </c>
      <c r="B367" s="3">
        <f>'Historical Data'!B364</f>
        <v/>
      </c>
      <c r="C367" s="3">
        <f>'Historical Data'!D364</f>
        <v/>
      </c>
      <c r="D367" s="23">
        <f>'Historical Data'!E364</f>
        <v/>
      </c>
      <c r="E367" s="3">
        <f>'Historical Data'!G364</f>
        <v/>
      </c>
      <c r="F367" s="3">
        <f>'Historical Data'!Y364</f>
        <v/>
      </c>
      <c r="G367" s="3">
        <f>'Historical Data'!K364</f>
        <v/>
      </c>
      <c r="H367" s="3">
        <f>'Historical Data'!L364</f>
        <v/>
      </c>
      <c r="I367" s="26">
        <f>'Historical Data'!M364</f>
        <v/>
      </c>
      <c r="J367" s="28">
        <f>'Historical Data'!N364</f>
        <v/>
      </c>
      <c r="K367" s="28">
        <f>'Historical Data'!Q364</f>
        <v/>
      </c>
      <c r="L367" s="30">
        <f>'Historical Data'!S364</f>
        <v/>
      </c>
      <c r="M367" s="28">
        <f>'Historical Data'!AJ364</f>
        <v/>
      </c>
      <c r="N367" s="28">
        <f>'Historical Data'!AK364</f>
        <v/>
      </c>
      <c r="O367" s="3">
        <f>'Historical Data'!AA364</f>
        <v/>
      </c>
      <c r="P367" s="3">
        <f>'Historical Data'!AB364</f>
        <v/>
      </c>
      <c r="Q367" s="3">
        <f>'Historical Data'!AN364</f>
        <v/>
      </c>
      <c r="R367" s="3">
        <f>'Historical Data'!AC364</f>
        <v/>
      </c>
      <c r="S367" s="3">
        <f>'Historical Data'!AE364</f>
        <v/>
      </c>
      <c r="T367" s="3">
        <f>'Historical Data'!AH364</f>
        <v/>
      </c>
      <c r="U367" s="3">
        <f>'Historical Data'!BA364</f>
        <v/>
      </c>
      <c r="V367" s="3" t="n"/>
      <c r="W367" s="3" t="n"/>
      <c r="X367" s="3" t="n"/>
      <c r="Y367" s="3" t="n"/>
      <c r="Z367" s="3" t="n"/>
    </row>
    <row r="368" hidden="1" ht="15.75" customHeight="1" s="174">
      <c r="A368" s="3">
        <f>'Historical Data'!A365</f>
        <v/>
      </c>
      <c r="B368" s="3">
        <f>'Historical Data'!B365</f>
        <v/>
      </c>
      <c r="C368" s="3">
        <f>'Historical Data'!D365</f>
        <v/>
      </c>
      <c r="D368" s="23">
        <f>'Historical Data'!E365</f>
        <v/>
      </c>
      <c r="E368" s="3">
        <f>'Historical Data'!G365</f>
        <v/>
      </c>
      <c r="F368" s="3">
        <f>'Historical Data'!Y365</f>
        <v/>
      </c>
      <c r="G368" s="3">
        <f>'Historical Data'!K365</f>
        <v/>
      </c>
      <c r="H368" s="3">
        <f>'Historical Data'!L365</f>
        <v/>
      </c>
      <c r="I368" s="26">
        <f>'Historical Data'!M365</f>
        <v/>
      </c>
      <c r="J368" s="28">
        <f>'Historical Data'!N365</f>
        <v/>
      </c>
      <c r="K368" s="28">
        <f>'Historical Data'!Q365</f>
        <v/>
      </c>
      <c r="L368" s="30">
        <f>'Historical Data'!S365</f>
        <v/>
      </c>
      <c r="M368" s="28">
        <f>'Historical Data'!AJ365</f>
        <v/>
      </c>
      <c r="N368" s="28">
        <f>'Historical Data'!AK365</f>
        <v/>
      </c>
      <c r="O368" s="3">
        <f>'Historical Data'!AA365</f>
        <v/>
      </c>
      <c r="P368" s="3">
        <f>'Historical Data'!AB365</f>
        <v/>
      </c>
      <c r="Q368" s="3">
        <f>'Historical Data'!AN365</f>
        <v/>
      </c>
      <c r="R368" s="3">
        <f>'Historical Data'!AC365</f>
        <v/>
      </c>
      <c r="S368" s="3">
        <f>'Historical Data'!AE365</f>
        <v/>
      </c>
      <c r="T368" s="3">
        <f>'Historical Data'!AH365</f>
        <v/>
      </c>
      <c r="U368" s="3">
        <f>'Historical Data'!BA365</f>
        <v/>
      </c>
      <c r="V368" s="3" t="n"/>
      <c r="W368" s="3" t="n"/>
      <c r="X368" s="3" t="n"/>
      <c r="Y368" s="3" t="n"/>
      <c r="Z368" s="3" t="n"/>
    </row>
    <row r="369" hidden="1" ht="15.75" customHeight="1" s="174">
      <c r="A369" s="3">
        <f>'Historical Data'!A366</f>
        <v/>
      </c>
      <c r="B369" s="3">
        <f>'Historical Data'!B366</f>
        <v/>
      </c>
      <c r="C369" s="3">
        <f>'Historical Data'!D366</f>
        <v/>
      </c>
      <c r="D369" s="23">
        <f>'Historical Data'!E366</f>
        <v/>
      </c>
      <c r="E369" s="3">
        <f>'Historical Data'!G366</f>
        <v/>
      </c>
      <c r="F369" s="3">
        <f>'Historical Data'!Y366</f>
        <v/>
      </c>
      <c r="G369" s="3">
        <f>'Historical Data'!K366</f>
        <v/>
      </c>
      <c r="H369" s="3">
        <f>'Historical Data'!L366</f>
        <v/>
      </c>
      <c r="I369" s="26">
        <f>'Historical Data'!M366</f>
        <v/>
      </c>
      <c r="J369" s="28">
        <f>'Historical Data'!N366</f>
        <v/>
      </c>
      <c r="K369" s="28">
        <f>'Historical Data'!Q366</f>
        <v/>
      </c>
      <c r="L369" s="30">
        <f>'Historical Data'!S366</f>
        <v/>
      </c>
      <c r="M369" s="28">
        <f>'Historical Data'!AJ366</f>
        <v/>
      </c>
      <c r="N369" s="28">
        <f>'Historical Data'!AK366</f>
        <v/>
      </c>
      <c r="O369" s="3">
        <f>'Historical Data'!AA366</f>
        <v/>
      </c>
      <c r="P369" s="3">
        <f>'Historical Data'!AB366</f>
        <v/>
      </c>
      <c r="Q369" s="3">
        <f>'Historical Data'!AN366</f>
        <v/>
      </c>
      <c r="R369" s="3">
        <f>'Historical Data'!AC366</f>
        <v/>
      </c>
      <c r="S369" s="3">
        <f>'Historical Data'!AE366</f>
        <v/>
      </c>
      <c r="T369" s="3">
        <f>'Historical Data'!AH366</f>
        <v/>
      </c>
      <c r="U369" s="3">
        <f>'Historical Data'!BA366</f>
        <v/>
      </c>
      <c r="V369" s="3" t="n"/>
      <c r="W369" s="3" t="n"/>
      <c r="X369" s="3" t="n"/>
      <c r="Y369" s="3" t="n"/>
      <c r="Z369" s="3" t="n"/>
    </row>
    <row r="370" hidden="1" ht="15.75" customHeight="1" s="174">
      <c r="A370" s="3">
        <f>'Historical Data'!A367</f>
        <v/>
      </c>
      <c r="B370" s="3">
        <f>'Historical Data'!B367</f>
        <v/>
      </c>
      <c r="C370" s="3">
        <f>'Historical Data'!D367</f>
        <v/>
      </c>
      <c r="D370" s="23">
        <f>'Historical Data'!E367</f>
        <v/>
      </c>
      <c r="E370" s="3">
        <f>'Historical Data'!G367</f>
        <v/>
      </c>
      <c r="F370" s="3">
        <f>'Historical Data'!Y367</f>
        <v/>
      </c>
      <c r="G370" s="3">
        <f>'Historical Data'!K367</f>
        <v/>
      </c>
      <c r="H370" s="3">
        <f>'Historical Data'!L367</f>
        <v/>
      </c>
      <c r="I370" s="26">
        <f>'Historical Data'!M367</f>
        <v/>
      </c>
      <c r="J370" s="28">
        <f>'Historical Data'!N367</f>
        <v/>
      </c>
      <c r="K370" s="28">
        <f>'Historical Data'!Q367</f>
        <v/>
      </c>
      <c r="L370" s="30">
        <f>'Historical Data'!S367</f>
        <v/>
      </c>
      <c r="M370" s="28">
        <f>'Historical Data'!AJ367</f>
        <v/>
      </c>
      <c r="N370" s="28">
        <f>'Historical Data'!AK367</f>
        <v/>
      </c>
      <c r="O370" s="3">
        <f>'Historical Data'!AA367</f>
        <v/>
      </c>
      <c r="P370" s="3">
        <f>'Historical Data'!AB367</f>
        <v/>
      </c>
      <c r="Q370" s="3">
        <f>'Historical Data'!AN367</f>
        <v/>
      </c>
      <c r="R370" s="3">
        <f>'Historical Data'!AC367</f>
        <v/>
      </c>
      <c r="S370" s="3">
        <f>'Historical Data'!AE367</f>
        <v/>
      </c>
      <c r="T370" s="3">
        <f>'Historical Data'!AH367</f>
        <v/>
      </c>
      <c r="U370" s="3">
        <f>'Historical Data'!BA367</f>
        <v/>
      </c>
      <c r="V370" s="3" t="n"/>
      <c r="W370" s="3" t="n"/>
      <c r="X370" s="3" t="n"/>
      <c r="Y370" s="3" t="n"/>
      <c r="Z370" s="3" t="n"/>
    </row>
    <row r="371" hidden="1" ht="15.75" customHeight="1" s="174">
      <c r="A371" s="3">
        <f>'Historical Data'!A368</f>
        <v/>
      </c>
      <c r="B371" s="3">
        <f>'Historical Data'!B368</f>
        <v/>
      </c>
      <c r="C371" s="3">
        <f>'Historical Data'!D368</f>
        <v/>
      </c>
      <c r="D371" s="23">
        <f>'Historical Data'!E368</f>
        <v/>
      </c>
      <c r="E371" s="3">
        <f>'Historical Data'!G368</f>
        <v/>
      </c>
      <c r="F371" s="3">
        <f>'Historical Data'!Y368</f>
        <v/>
      </c>
      <c r="G371" s="3">
        <f>'Historical Data'!K368</f>
        <v/>
      </c>
      <c r="H371" s="3">
        <f>'Historical Data'!L368</f>
        <v/>
      </c>
      <c r="I371" s="26">
        <f>'Historical Data'!M368</f>
        <v/>
      </c>
      <c r="J371" s="28">
        <f>'Historical Data'!N368</f>
        <v/>
      </c>
      <c r="K371" s="28">
        <f>'Historical Data'!Q368</f>
        <v/>
      </c>
      <c r="L371" s="30">
        <f>'Historical Data'!S368</f>
        <v/>
      </c>
      <c r="M371" s="28">
        <f>'Historical Data'!AJ368</f>
        <v/>
      </c>
      <c r="N371" s="28">
        <f>'Historical Data'!AK368</f>
        <v/>
      </c>
      <c r="O371" s="3">
        <f>'Historical Data'!AA368</f>
        <v/>
      </c>
      <c r="P371" s="3">
        <f>'Historical Data'!AB368</f>
        <v/>
      </c>
      <c r="Q371" s="3">
        <f>'Historical Data'!AN368</f>
        <v/>
      </c>
      <c r="R371" s="3">
        <f>'Historical Data'!AC368</f>
        <v/>
      </c>
      <c r="S371" s="3">
        <f>'Historical Data'!AE368</f>
        <v/>
      </c>
      <c r="T371" s="3">
        <f>'Historical Data'!AH368</f>
        <v/>
      </c>
      <c r="U371" s="3">
        <f>'Historical Data'!BA368</f>
        <v/>
      </c>
      <c r="V371" s="3" t="n"/>
      <c r="W371" s="3" t="n"/>
      <c r="X371" s="3" t="n"/>
      <c r="Y371" s="3" t="n"/>
      <c r="Z371" s="3" t="n"/>
    </row>
    <row r="372" hidden="1" ht="15.75" customHeight="1" s="174">
      <c r="A372" s="3">
        <f>'Historical Data'!A369</f>
        <v/>
      </c>
      <c r="B372" s="3">
        <f>'Historical Data'!B369</f>
        <v/>
      </c>
      <c r="C372" s="3">
        <f>'Historical Data'!D369</f>
        <v/>
      </c>
      <c r="D372" s="23">
        <f>'Historical Data'!E369</f>
        <v/>
      </c>
      <c r="E372" s="3">
        <f>'Historical Data'!G369</f>
        <v/>
      </c>
      <c r="F372" s="3">
        <f>'Historical Data'!Y369</f>
        <v/>
      </c>
      <c r="G372" s="3">
        <f>'Historical Data'!K369</f>
        <v/>
      </c>
      <c r="H372" s="3">
        <f>'Historical Data'!L369</f>
        <v/>
      </c>
      <c r="I372" s="26">
        <f>'Historical Data'!M369</f>
        <v/>
      </c>
      <c r="J372" s="28">
        <f>'Historical Data'!N369</f>
        <v/>
      </c>
      <c r="K372" s="28">
        <f>'Historical Data'!Q369</f>
        <v/>
      </c>
      <c r="L372" s="30">
        <f>'Historical Data'!S369</f>
        <v/>
      </c>
      <c r="M372" s="28">
        <f>'Historical Data'!AJ369</f>
        <v/>
      </c>
      <c r="N372" s="28">
        <f>'Historical Data'!AK369</f>
        <v/>
      </c>
      <c r="O372" s="3">
        <f>'Historical Data'!AA369</f>
        <v/>
      </c>
      <c r="P372" s="3">
        <f>'Historical Data'!AB369</f>
        <v/>
      </c>
      <c r="Q372" s="3">
        <f>'Historical Data'!AN369</f>
        <v/>
      </c>
      <c r="R372" s="3">
        <f>'Historical Data'!AC369</f>
        <v/>
      </c>
      <c r="S372" s="3">
        <f>'Historical Data'!AE369</f>
        <v/>
      </c>
      <c r="T372" s="3">
        <f>'Historical Data'!AH369</f>
        <v/>
      </c>
      <c r="U372" s="3">
        <f>'Historical Data'!BA369</f>
        <v/>
      </c>
      <c r="V372" s="3" t="n"/>
      <c r="W372" s="3" t="n"/>
      <c r="X372" s="3" t="n"/>
      <c r="Y372" s="3" t="n"/>
      <c r="Z372" s="3" t="n"/>
    </row>
    <row r="373" hidden="1" ht="15.75" customHeight="1" s="174">
      <c r="A373" s="3">
        <f>'Historical Data'!A370</f>
        <v/>
      </c>
      <c r="B373" s="3">
        <f>'Historical Data'!B370</f>
        <v/>
      </c>
      <c r="C373" s="3">
        <f>'Historical Data'!D370</f>
        <v/>
      </c>
      <c r="D373" s="23">
        <f>'Historical Data'!E370</f>
        <v/>
      </c>
      <c r="E373" s="3">
        <f>'Historical Data'!G370</f>
        <v/>
      </c>
      <c r="F373" s="3">
        <f>'Historical Data'!Y370</f>
        <v/>
      </c>
      <c r="G373" s="3">
        <f>'Historical Data'!K370</f>
        <v/>
      </c>
      <c r="H373" s="3">
        <f>'Historical Data'!L370</f>
        <v/>
      </c>
      <c r="I373" s="26">
        <f>'Historical Data'!M370</f>
        <v/>
      </c>
      <c r="J373" s="28">
        <f>'Historical Data'!N370</f>
        <v/>
      </c>
      <c r="K373" s="28">
        <f>'Historical Data'!Q370</f>
        <v/>
      </c>
      <c r="L373" s="30">
        <f>'Historical Data'!S370</f>
        <v/>
      </c>
      <c r="M373" s="28">
        <f>'Historical Data'!AJ370</f>
        <v/>
      </c>
      <c r="N373" s="28">
        <f>'Historical Data'!AK370</f>
        <v/>
      </c>
      <c r="O373" s="3">
        <f>'Historical Data'!AA370</f>
        <v/>
      </c>
      <c r="P373" s="3">
        <f>'Historical Data'!AB370</f>
        <v/>
      </c>
      <c r="Q373" s="3">
        <f>'Historical Data'!AN370</f>
        <v/>
      </c>
      <c r="R373" s="3">
        <f>'Historical Data'!AC370</f>
        <v/>
      </c>
      <c r="S373" s="3">
        <f>'Historical Data'!AE370</f>
        <v/>
      </c>
      <c r="T373" s="3">
        <f>'Historical Data'!AH370</f>
        <v/>
      </c>
      <c r="U373" s="3">
        <f>'Historical Data'!BA370</f>
        <v/>
      </c>
      <c r="V373" s="3" t="n"/>
      <c r="W373" s="3" t="n"/>
      <c r="X373" s="3" t="n"/>
      <c r="Y373" s="3" t="n"/>
      <c r="Z373" s="3" t="n"/>
    </row>
    <row r="374" hidden="1" ht="15.75" customHeight="1" s="174">
      <c r="A374" s="3">
        <f>'Historical Data'!A371</f>
        <v/>
      </c>
      <c r="B374" s="3">
        <f>'Historical Data'!B371</f>
        <v/>
      </c>
      <c r="C374" s="3">
        <f>'Historical Data'!D371</f>
        <v/>
      </c>
      <c r="D374" s="23">
        <f>'Historical Data'!E371</f>
        <v/>
      </c>
      <c r="E374" s="3">
        <f>'Historical Data'!G371</f>
        <v/>
      </c>
      <c r="F374" s="3">
        <f>'Historical Data'!Y371</f>
        <v/>
      </c>
      <c r="G374" s="3">
        <f>'Historical Data'!K371</f>
        <v/>
      </c>
      <c r="H374" s="3">
        <f>'Historical Data'!L371</f>
        <v/>
      </c>
      <c r="I374" s="26">
        <f>'Historical Data'!M371</f>
        <v/>
      </c>
      <c r="J374" s="28">
        <f>'Historical Data'!N371</f>
        <v/>
      </c>
      <c r="K374" s="28">
        <f>'Historical Data'!Q371</f>
        <v/>
      </c>
      <c r="L374" s="30">
        <f>'Historical Data'!S371</f>
        <v/>
      </c>
      <c r="M374" s="28">
        <f>'Historical Data'!AJ371</f>
        <v/>
      </c>
      <c r="N374" s="28">
        <f>'Historical Data'!AK371</f>
        <v/>
      </c>
      <c r="O374" s="3">
        <f>'Historical Data'!AA371</f>
        <v/>
      </c>
      <c r="P374" s="3">
        <f>'Historical Data'!AB371</f>
        <v/>
      </c>
      <c r="Q374" s="3">
        <f>'Historical Data'!AN371</f>
        <v/>
      </c>
      <c r="R374" s="3">
        <f>'Historical Data'!AC371</f>
        <v/>
      </c>
      <c r="S374" s="3">
        <f>'Historical Data'!AE371</f>
        <v/>
      </c>
      <c r="T374" s="3">
        <f>'Historical Data'!AH371</f>
        <v/>
      </c>
      <c r="U374" s="3">
        <f>'Historical Data'!BA371</f>
        <v/>
      </c>
      <c r="V374" s="3" t="n"/>
      <c r="W374" s="3" t="n"/>
      <c r="X374" s="3" t="n"/>
      <c r="Y374" s="3" t="n"/>
      <c r="Z374" s="3" t="n"/>
    </row>
    <row r="375" hidden="1" ht="15.75" customHeight="1" s="174">
      <c r="A375" s="3">
        <f>'Historical Data'!A372</f>
        <v/>
      </c>
      <c r="B375" s="3">
        <f>'Historical Data'!B372</f>
        <v/>
      </c>
      <c r="C375" s="3">
        <f>'Historical Data'!D372</f>
        <v/>
      </c>
      <c r="D375" s="23">
        <f>'Historical Data'!E372</f>
        <v/>
      </c>
      <c r="E375" s="3">
        <f>'Historical Data'!G372</f>
        <v/>
      </c>
      <c r="F375" s="3">
        <f>'Historical Data'!Y372</f>
        <v/>
      </c>
      <c r="G375" s="3">
        <f>'Historical Data'!K372</f>
        <v/>
      </c>
      <c r="H375" s="3">
        <f>'Historical Data'!L372</f>
        <v/>
      </c>
      <c r="I375" s="26">
        <f>'Historical Data'!M372</f>
        <v/>
      </c>
      <c r="J375" s="28">
        <f>'Historical Data'!N372</f>
        <v/>
      </c>
      <c r="K375" s="28">
        <f>'Historical Data'!Q372</f>
        <v/>
      </c>
      <c r="L375" s="30">
        <f>'Historical Data'!S372</f>
        <v/>
      </c>
      <c r="M375" s="28">
        <f>'Historical Data'!AJ372</f>
        <v/>
      </c>
      <c r="N375" s="28">
        <f>'Historical Data'!AK372</f>
        <v/>
      </c>
      <c r="O375" s="3">
        <f>'Historical Data'!AA372</f>
        <v/>
      </c>
      <c r="P375" s="3">
        <f>'Historical Data'!AB372</f>
        <v/>
      </c>
      <c r="Q375" s="3">
        <f>'Historical Data'!AN372</f>
        <v/>
      </c>
      <c r="R375" s="3">
        <f>'Historical Data'!AC372</f>
        <v/>
      </c>
      <c r="S375" s="3">
        <f>'Historical Data'!AE372</f>
        <v/>
      </c>
      <c r="T375" s="3">
        <f>'Historical Data'!AH372</f>
        <v/>
      </c>
      <c r="U375" s="3">
        <f>'Historical Data'!BA372</f>
        <v/>
      </c>
      <c r="V375" s="3" t="n"/>
      <c r="W375" s="3" t="n"/>
      <c r="X375" s="3" t="n"/>
      <c r="Y375" s="3" t="n"/>
      <c r="Z375" s="3" t="n"/>
    </row>
    <row r="376" hidden="1" ht="15.75" customHeight="1" s="174">
      <c r="A376" s="3">
        <f>'Historical Data'!A373</f>
        <v/>
      </c>
      <c r="B376" s="3">
        <f>'Historical Data'!B373</f>
        <v/>
      </c>
      <c r="C376" s="3">
        <f>'Historical Data'!D373</f>
        <v/>
      </c>
      <c r="D376" s="23">
        <f>'Historical Data'!E373</f>
        <v/>
      </c>
      <c r="E376" s="3">
        <f>'Historical Data'!G373</f>
        <v/>
      </c>
      <c r="F376" s="3">
        <f>'Historical Data'!Y373</f>
        <v/>
      </c>
      <c r="G376" s="3">
        <f>'Historical Data'!K373</f>
        <v/>
      </c>
      <c r="H376" s="3">
        <f>'Historical Data'!L373</f>
        <v/>
      </c>
      <c r="I376" s="26">
        <f>'Historical Data'!M373</f>
        <v/>
      </c>
      <c r="J376" s="28">
        <f>'Historical Data'!N373</f>
        <v/>
      </c>
      <c r="K376" s="28">
        <f>'Historical Data'!Q373</f>
        <v/>
      </c>
      <c r="L376" s="30">
        <f>'Historical Data'!S373</f>
        <v/>
      </c>
      <c r="M376" s="28">
        <f>'Historical Data'!AJ373</f>
        <v/>
      </c>
      <c r="N376" s="28">
        <f>'Historical Data'!AK373</f>
        <v/>
      </c>
      <c r="O376" s="3">
        <f>'Historical Data'!AA373</f>
        <v/>
      </c>
      <c r="P376" s="3">
        <f>'Historical Data'!AB373</f>
        <v/>
      </c>
      <c r="Q376" s="3">
        <f>'Historical Data'!AN373</f>
        <v/>
      </c>
      <c r="R376" s="3">
        <f>'Historical Data'!AC373</f>
        <v/>
      </c>
      <c r="S376" s="3">
        <f>'Historical Data'!AE373</f>
        <v/>
      </c>
      <c r="T376" s="3">
        <f>'Historical Data'!AH373</f>
        <v/>
      </c>
      <c r="U376" s="3">
        <f>'Historical Data'!BA373</f>
        <v/>
      </c>
      <c r="V376" s="3" t="n"/>
      <c r="W376" s="3" t="n"/>
      <c r="X376" s="3" t="n"/>
      <c r="Y376" s="3" t="n"/>
      <c r="Z376" s="3" t="n"/>
    </row>
    <row r="377" hidden="1" ht="15.75" customHeight="1" s="174">
      <c r="A377" s="3">
        <f>'Historical Data'!A374</f>
        <v/>
      </c>
      <c r="B377" s="3">
        <f>'Historical Data'!B374</f>
        <v/>
      </c>
      <c r="C377" s="3">
        <f>'Historical Data'!D374</f>
        <v/>
      </c>
      <c r="D377" s="23">
        <f>'Historical Data'!E374</f>
        <v/>
      </c>
      <c r="E377" s="3">
        <f>'Historical Data'!G374</f>
        <v/>
      </c>
      <c r="F377" s="3">
        <f>'Historical Data'!Y374</f>
        <v/>
      </c>
      <c r="G377" s="3">
        <f>'Historical Data'!K374</f>
        <v/>
      </c>
      <c r="H377" s="3">
        <f>'Historical Data'!L374</f>
        <v/>
      </c>
      <c r="I377" s="26">
        <f>'Historical Data'!M374</f>
        <v/>
      </c>
      <c r="J377" s="28">
        <f>'Historical Data'!N374</f>
        <v/>
      </c>
      <c r="K377" s="28">
        <f>'Historical Data'!Q374</f>
        <v/>
      </c>
      <c r="L377" s="30">
        <f>'Historical Data'!S374</f>
        <v/>
      </c>
      <c r="M377" s="28">
        <f>'Historical Data'!AJ374</f>
        <v/>
      </c>
      <c r="N377" s="28">
        <f>'Historical Data'!AK374</f>
        <v/>
      </c>
      <c r="O377" s="3">
        <f>'Historical Data'!AA374</f>
        <v/>
      </c>
      <c r="P377" s="3">
        <f>'Historical Data'!AB374</f>
        <v/>
      </c>
      <c r="Q377" s="3">
        <f>'Historical Data'!AN374</f>
        <v/>
      </c>
      <c r="R377" s="3">
        <f>'Historical Data'!AC374</f>
        <v/>
      </c>
      <c r="S377" s="3">
        <f>'Historical Data'!AE374</f>
        <v/>
      </c>
      <c r="T377" s="3">
        <f>'Historical Data'!AH374</f>
        <v/>
      </c>
      <c r="U377" s="3">
        <f>'Historical Data'!BA374</f>
        <v/>
      </c>
      <c r="V377" s="3" t="n"/>
      <c r="W377" s="3" t="n"/>
      <c r="X377" s="3" t="n"/>
      <c r="Y377" s="3" t="n"/>
      <c r="Z377" s="3" t="n"/>
    </row>
    <row r="378" hidden="1" ht="15.75" customHeight="1" s="174">
      <c r="A378" s="3">
        <f>'Historical Data'!A375</f>
        <v/>
      </c>
      <c r="B378" s="3">
        <f>'Historical Data'!B375</f>
        <v/>
      </c>
      <c r="C378" s="3">
        <f>'Historical Data'!D375</f>
        <v/>
      </c>
      <c r="D378" s="23">
        <f>'Historical Data'!E375</f>
        <v/>
      </c>
      <c r="E378" s="3">
        <f>'Historical Data'!G375</f>
        <v/>
      </c>
      <c r="F378" s="3">
        <f>'Historical Data'!Y375</f>
        <v/>
      </c>
      <c r="G378" s="3">
        <f>'Historical Data'!K375</f>
        <v/>
      </c>
      <c r="H378" s="3">
        <f>'Historical Data'!L375</f>
        <v/>
      </c>
      <c r="I378" s="26">
        <f>'Historical Data'!M375</f>
        <v/>
      </c>
      <c r="J378" s="28">
        <f>'Historical Data'!N375</f>
        <v/>
      </c>
      <c r="K378" s="28">
        <f>'Historical Data'!Q375</f>
        <v/>
      </c>
      <c r="L378" s="30">
        <f>'Historical Data'!S375</f>
        <v/>
      </c>
      <c r="M378" s="28">
        <f>'Historical Data'!AJ375</f>
        <v/>
      </c>
      <c r="N378" s="28">
        <f>'Historical Data'!AK375</f>
        <v/>
      </c>
      <c r="O378" s="3">
        <f>'Historical Data'!AA375</f>
        <v/>
      </c>
      <c r="P378" s="3">
        <f>'Historical Data'!AB375</f>
        <v/>
      </c>
      <c r="Q378" s="3">
        <f>'Historical Data'!AN375</f>
        <v/>
      </c>
      <c r="R378" s="3">
        <f>'Historical Data'!AC375</f>
        <v/>
      </c>
      <c r="S378" s="3">
        <f>'Historical Data'!AE375</f>
        <v/>
      </c>
      <c r="T378" s="3">
        <f>'Historical Data'!AH375</f>
        <v/>
      </c>
      <c r="U378" s="3">
        <f>'Historical Data'!BA375</f>
        <v/>
      </c>
      <c r="V378" s="3" t="n"/>
      <c r="W378" s="3" t="n"/>
      <c r="X378" s="3" t="n"/>
      <c r="Y378" s="3" t="n"/>
      <c r="Z378" s="3" t="n"/>
    </row>
    <row r="379" hidden="1" ht="15.75" customHeight="1" s="174">
      <c r="A379" s="3">
        <f>'Historical Data'!A376</f>
        <v/>
      </c>
      <c r="B379" s="3">
        <f>'Historical Data'!B376</f>
        <v/>
      </c>
      <c r="C379" s="3">
        <f>'Historical Data'!D376</f>
        <v/>
      </c>
      <c r="D379" s="23">
        <f>'Historical Data'!E376</f>
        <v/>
      </c>
      <c r="E379" s="3">
        <f>'Historical Data'!G376</f>
        <v/>
      </c>
      <c r="F379" s="3">
        <f>'Historical Data'!Y376</f>
        <v/>
      </c>
      <c r="G379" s="3">
        <f>'Historical Data'!K376</f>
        <v/>
      </c>
      <c r="H379" s="3">
        <f>'Historical Data'!L376</f>
        <v/>
      </c>
      <c r="I379" s="26">
        <f>'Historical Data'!M376</f>
        <v/>
      </c>
      <c r="J379" s="28">
        <f>'Historical Data'!N376</f>
        <v/>
      </c>
      <c r="K379" s="28">
        <f>'Historical Data'!Q376</f>
        <v/>
      </c>
      <c r="L379" s="30">
        <f>'Historical Data'!S376</f>
        <v/>
      </c>
      <c r="M379" s="28">
        <f>'Historical Data'!AJ376</f>
        <v/>
      </c>
      <c r="N379" s="28">
        <f>'Historical Data'!AK376</f>
        <v/>
      </c>
      <c r="O379" s="3">
        <f>'Historical Data'!AA376</f>
        <v/>
      </c>
      <c r="P379" s="3">
        <f>'Historical Data'!AB376</f>
        <v/>
      </c>
      <c r="Q379" s="3">
        <f>'Historical Data'!AN376</f>
        <v/>
      </c>
      <c r="R379" s="3">
        <f>'Historical Data'!AC376</f>
        <v/>
      </c>
      <c r="S379" s="3">
        <f>'Historical Data'!AE376</f>
        <v/>
      </c>
      <c r="T379" s="3">
        <f>'Historical Data'!AH376</f>
        <v/>
      </c>
      <c r="U379" s="3">
        <f>'Historical Data'!BA376</f>
        <v/>
      </c>
      <c r="V379" s="3" t="n"/>
      <c r="W379" s="3" t="n"/>
      <c r="X379" s="3" t="n"/>
      <c r="Y379" s="3" t="n"/>
      <c r="Z379" s="3" t="n"/>
    </row>
    <row r="380" hidden="1" ht="15.75" customHeight="1" s="174">
      <c r="A380" s="3">
        <f>'Historical Data'!A377</f>
        <v/>
      </c>
      <c r="B380" s="3">
        <f>'Historical Data'!B377</f>
        <v/>
      </c>
      <c r="C380" s="3">
        <f>'Historical Data'!D377</f>
        <v/>
      </c>
      <c r="D380" s="23">
        <f>'Historical Data'!E377</f>
        <v/>
      </c>
      <c r="E380" s="3">
        <f>'Historical Data'!G377</f>
        <v/>
      </c>
      <c r="F380" s="3">
        <f>'Historical Data'!Y377</f>
        <v/>
      </c>
      <c r="G380" s="3">
        <f>'Historical Data'!K377</f>
        <v/>
      </c>
      <c r="H380" s="3">
        <f>'Historical Data'!L377</f>
        <v/>
      </c>
      <c r="I380" s="26">
        <f>'Historical Data'!M377</f>
        <v/>
      </c>
      <c r="J380" s="28">
        <f>'Historical Data'!N377</f>
        <v/>
      </c>
      <c r="K380" s="28">
        <f>'Historical Data'!Q377</f>
        <v/>
      </c>
      <c r="L380" s="30">
        <f>'Historical Data'!S377</f>
        <v/>
      </c>
      <c r="M380" s="28">
        <f>'Historical Data'!AJ377</f>
        <v/>
      </c>
      <c r="N380" s="28">
        <f>'Historical Data'!AK377</f>
        <v/>
      </c>
      <c r="O380" s="3">
        <f>'Historical Data'!AA377</f>
        <v/>
      </c>
      <c r="P380" s="3">
        <f>'Historical Data'!AB377</f>
        <v/>
      </c>
      <c r="Q380" s="3">
        <f>'Historical Data'!AN377</f>
        <v/>
      </c>
      <c r="R380" s="3">
        <f>'Historical Data'!AC377</f>
        <v/>
      </c>
      <c r="S380" s="3">
        <f>'Historical Data'!AE377</f>
        <v/>
      </c>
      <c r="T380" s="3">
        <f>'Historical Data'!AH377</f>
        <v/>
      </c>
      <c r="U380" s="3">
        <f>'Historical Data'!BA377</f>
        <v/>
      </c>
      <c r="V380" s="3" t="n"/>
      <c r="W380" s="3" t="n"/>
      <c r="X380" s="3" t="n"/>
      <c r="Y380" s="3" t="n"/>
      <c r="Z380" s="3" t="n"/>
    </row>
    <row r="381" hidden="1" ht="15.75" customHeight="1" s="174">
      <c r="A381" s="3">
        <f>'Historical Data'!A378</f>
        <v/>
      </c>
      <c r="B381" s="3">
        <f>'Historical Data'!B378</f>
        <v/>
      </c>
      <c r="C381" s="3">
        <f>'Historical Data'!D378</f>
        <v/>
      </c>
      <c r="D381" s="23">
        <f>'Historical Data'!E378</f>
        <v/>
      </c>
      <c r="E381" s="3">
        <f>'Historical Data'!G378</f>
        <v/>
      </c>
      <c r="F381" s="3">
        <f>'Historical Data'!Y378</f>
        <v/>
      </c>
      <c r="G381" s="3">
        <f>'Historical Data'!K378</f>
        <v/>
      </c>
      <c r="H381" s="3">
        <f>'Historical Data'!L378</f>
        <v/>
      </c>
      <c r="I381" s="26">
        <f>'Historical Data'!M378</f>
        <v/>
      </c>
      <c r="J381" s="28">
        <f>'Historical Data'!N378</f>
        <v/>
      </c>
      <c r="K381" s="28">
        <f>'Historical Data'!Q378</f>
        <v/>
      </c>
      <c r="L381" s="30">
        <f>'Historical Data'!S378</f>
        <v/>
      </c>
      <c r="M381" s="28">
        <f>'Historical Data'!AJ378</f>
        <v/>
      </c>
      <c r="N381" s="28">
        <f>'Historical Data'!AK378</f>
        <v/>
      </c>
      <c r="O381" s="3">
        <f>'Historical Data'!AA378</f>
        <v/>
      </c>
      <c r="P381" s="3">
        <f>'Historical Data'!AB378</f>
        <v/>
      </c>
      <c r="Q381" s="3">
        <f>'Historical Data'!AN378</f>
        <v/>
      </c>
      <c r="R381" s="3">
        <f>'Historical Data'!AC378</f>
        <v/>
      </c>
      <c r="S381" s="3">
        <f>'Historical Data'!AE378</f>
        <v/>
      </c>
      <c r="T381" s="3">
        <f>'Historical Data'!AH378</f>
        <v/>
      </c>
      <c r="U381" s="3">
        <f>'Historical Data'!BA378</f>
        <v/>
      </c>
      <c r="V381" s="3" t="n"/>
      <c r="W381" s="3" t="n"/>
      <c r="X381" s="3" t="n"/>
      <c r="Y381" s="3" t="n"/>
      <c r="Z381" s="3" t="n"/>
    </row>
    <row r="382" hidden="1" ht="15.75" customHeight="1" s="174">
      <c r="A382" s="3">
        <f>'Historical Data'!A379</f>
        <v/>
      </c>
      <c r="B382" s="3">
        <f>'Historical Data'!B379</f>
        <v/>
      </c>
      <c r="C382" s="3">
        <f>'Historical Data'!D379</f>
        <v/>
      </c>
      <c r="D382" s="23">
        <f>'Historical Data'!E379</f>
        <v/>
      </c>
      <c r="E382" s="3">
        <f>'Historical Data'!G379</f>
        <v/>
      </c>
      <c r="F382" s="3">
        <f>'Historical Data'!Y379</f>
        <v/>
      </c>
      <c r="G382" s="3">
        <f>'Historical Data'!K379</f>
        <v/>
      </c>
      <c r="H382" s="3">
        <f>'Historical Data'!L379</f>
        <v/>
      </c>
      <c r="I382" s="26">
        <f>'Historical Data'!M379</f>
        <v/>
      </c>
      <c r="J382" s="28">
        <f>'Historical Data'!N379</f>
        <v/>
      </c>
      <c r="K382" s="28">
        <f>'Historical Data'!Q379</f>
        <v/>
      </c>
      <c r="L382" s="30">
        <f>'Historical Data'!S379</f>
        <v/>
      </c>
      <c r="M382" s="28">
        <f>'Historical Data'!AJ379</f>
        <v/>
      </c>
      <c r="N382" s="28">
        <f>'Historical Data'!AK379</f>
        <v/>
      </c>
      <c r="O382" s="3">
        <f>'Historical Data'!AA379</f>
        <v/>
      </c>
      <c r="P382" s="3">
        <f>'Historical Data'!AB379</f>
        <v/>
      </c>
      <c r="Q382" s="3">
        <f>'Historical Data'!AN379</f>
        <v/>
      </c>
      <c r="R382" s="3">
        <f>'Historical Data'!AC379</f>
        <v/>
      </c>
      <c r="S382" s="3">
        <f>'Historical Data'!AE379</f>
        <v/>
      </c>
      <c r="T382" s="3">
        <f>'Historical Data'!AH379</f>
        <v/>
      </c>
      <c r="U382" s="3">
        <f>'Historical Data'!BA379</f>
        <v/>
      </c>
      <c r="V382" s="3" t="n"/>
      <c r="W382" s="3" t="n"/>
      <c r="X382" s="3" t="n"/>
      <c r="Y382" s="3" t="n"/>
      <c r="Z382" s="3" t="n"/>
    </row>
    <row r="383" hidden="1" ht="15.75" customHeight="1" s="174">
      <c r="A383" s="3">
        <f>'Historical Data'!A380</f>
        <v/>
      </c>
      <c r="B383" s="3">
        <f>'Historical Data'!B380</f>
        <v/>
      </c>
      <c r="C383" s="3">
        <f>'Historical Data'!D380</f>
        <v/>
      </c>
      <c r="D383" s="23">
        <f>'Historical Data'!E380</f>
        <v/>
      </c>
      <c r="E383" s="3">
        <f>'Historical Data'!G380</f>
        <v/>
      </c>
      <c r="F383" s="3">
        <f>'Historical Data'!Y380</f>
        <v/>
      </c>
      <c r="G383" s="3">
        <f>'Historical Data'!K380</f>
        <v/>
      </c>
      <c r="H383" s="3">
        <f>'Historical Data'!L380</f>
        <v/>
      </c>
      <c r="I383" s="26">
        <f>'Historical Data'!M380</f>
        <v/>
      </c>
      <c r="J383" s="28">
        <f>'Historical Data'!N380</f>
        <v/>
      </c>
      <c r="K383" s="28">
        <f>'Historical Data'!Q380</f>
        <v/>
      </c>
      <c r="L383" s="30">
        <f>'Historical Data'!S380</f>
        <v/>
      </c>
      <c r="M383" s="28">
        <f>'Historical Data'!AJ380</f>
        <v/>
      </c>
      <c r="N383" s="28">
        <f>'Historical Data'!AK380</f>
        <v/>
      </c>
      <c r="O383" s="3">
        <f>'Historical Data'!AA380</f>
        <v/>
      </c>
      <c r="P383" s="3">
        <f>'Historical Data'!AB380</f>
        <v/>
      </c>
      <c r="Q383" s="3">
        <f>'Historical Data'!AN380</f>
        <v/>
      </c>
      <c r="R383" s="3">
        <f>'Historical Data'!AC380</f>
        <v/>
      </c>
      <c r="S383" s="3">
        <f>'Historical Data'!AE380</f>
        <v/>
      </c>
      <c r="T383" s="3">
        <f>'Historical Data'!AH380</f>
        <v/>
      </c>
      <c r="U383" s="3">
        <f>'Historical Data'!BA380</f>
        <v/>
      </c>
      <c r="V383" s="3" t="n"/>
      <c r="W383" s="3" t="n"/>
      <c r="X383" s="3" t="n"/>
      <c r="Y383" s="3" t="n"/>
      <c r="Z383" s="3" t="n"/>
    </row>
    <row r="384" hidden="1" ht="15.75" customHeight="1" s="174">
      <c r="A384" s="3">
        <f>'Historical Data'!A381</f>
        <v/>
      </c>
      <c r="B384" s="3">
        <f>'Historical Data'!B381</f>
        <v/>
      </c>
      <c r="C384" s="3">
        <f>'Historical Data'!D381</f>
        <v/>
      </c>
      <c r="D384" s="23">
        <f>'Historical Data'!E381</f>
        <v/>
      </c>
      <c r="E384" s="3">
        <f>'Historical Data'!G381</f>
        <v/>
      </c>
      <c r="F384" s="3">
        <f>'Historical Data'!Y381</f>
        <v/>
      </c>
      <c r="G384" s="3">
        <f>'Historical Data'!K381</f>
        <v/>
      </c>
      <c r="H384" s="3">
        <f>'Historical Data'!L381</f>
        <v/>
      </c>
      <c r="I384" s="26">
        <f>'Historical Data'!M381</f>
        <v/>
      </c>
      <c r="J384" s="28">
        <f>'Historical Data'!N381</f>
        <v/>
      </c>
      <c r="K384" s="28">
        <f>'Historical Data'!Q381</f>
        <v/>
      </c>
      <c r="L384" s="30">
        <f>'Historical Data'!S381</f>
        <v/>
      </c>
      <c r="M384" s="28">
        <f>'Historical Data'!AJ381</f>
        <v/>
      </c>
      <c r="N384" s="28">
        <f>'Historical Data'!AK381</f>
        <v/>
      </c>
      <c r="O384" s="3">
        <f>'Historical Data'!AA381</f>
        <v/>
      </c>
      <c r="P384" s="3">
        <f>'Historical Data'!AB381</f>
        <v/>
      </c>
      <c r="Q384" s="3">
        <f>'Historical Data'!AN381</f>
        <v/>
      </c>
      <c r="R384" s="3">
        <f>'Historical Data'!AC381</f>
        <v/>
      </c>
      <c r="S384" s="3">
        <f>'Historical Data'!AE381</f>
        <v/>
      </c>
      <c r="T384" s="3">
        <f>'Historical Data'!AH381</f>
        <v/>
      </c>
      <c r="U384" s="3">
        <f>'Historical Data'!BA381</f>
        <v/>
      </c>
      <c r="V384" s="3" t="n"/>
      <c r="W384" s="3" t="n"/>
      <c r="X384" s="3" t="n"/>
      <c r="Y384" s="3" t="n"/>
      <c r="Z384" s="3" t="n"/>
    </row>
    <row r="385" hidden="1" ht="15.75" customHeight="1" s="174">
      <c r="A385" s="3">
        <f>'Historical Data'!A382</f>
        <v/>
      </c>
      <c r="B385" s="173">
        <f>'Historical Data'!B382</f>
        <v/>
      </c>
      <c r="C385" s="3">
        <f>'Historical Data'!D382</f>
        <v/>
      </c>
      <c r="D385" s="23">
        <f>'Historical Data'!E382</f>
        <v/>
      </c>
      <c r="E385" s="3">
        <f>'Historical Data'!G382</f>
        <v/>
      </c>
      <c r="F385" s="3">
        <f>'Historical Data'!Y382</f>
        <v/>
      </c>
      <c r="G385" s="3">
        <f>'Historical Data'!K382</f>
        <v/>
      </c>
      <c r="H385" s="3">
        <f>'Historical Data'!L382</f>
        <v/>
      </c>
      <c r="I385" s="26">
        <f>'Historical Data'!M382</f>
        <v/>
      </c>
      <c r="J385" s="28">
        <f>'Historical Data'!N382</f>
        <v/>
      </c>
      <c r="K385" s="28">
        <f>'Historical Data'!Q382</f>
        <v/>
      </c>
      <c r="L385" s="30">
        <f>'Historical Data'!S382</f>
        <v/>
      </c>
      <c r="M385" s="28">
        <f>'Historical Data'!AJ382</f>
        <v/>
      </c>
      <c r="N385" s="28">
        <f>'Historical Data'!AK382</f>
        <v/>
      </c>
      <c r="O385" s="3">
        <f>'Historical Data'!AA382</f>
        <v/>
      </c>
      <c r="P385" s="3">
        <f>'Historical Data'!AB382</f>
        <v/>
      </c>
      <c r="Q385" s="3">
        <f>'Historical Data'!AN382</f>
        <v/>
      </c>
      <c r="R385" s="3">
        <f>'Historical Data'!AC382</f>
        <v/>
      </c>
      <c r="S385" s="3">
        <f>'Historical Data'!AE382</f>
        <v/>
      </c>
      <c r="T385" s="3">
        <f>'Historical Data'!AH382</f>
        <v/>
      </c>
      <c r="U385" s="3">
        <f>'Historical Data'!BA382</f>
        <v/>
      </c>
      <c r="V385" s="3" t="n"/>
      <c r="W385" s="3" t="n"/>
      <c r="X385" s="3" t="n"/>
      <c r="Y385" s="3" t="n"/>
      <c r="Z385" s="3" t="n"/>
    </row>
    <row r="386" hidden="1" ht="15.75" customHeight="1" s="174">
      <c r="A386" s="3">
        <f>'Historical Data'!A383</f>
        <v/>
      </c>
      <c r="B386" s="3">
        <f>'Historical Data'!B383</f>
        <v/>
      </c>
      <c r="C386" s="3">
        <f>'Historical Data'!D383</f>
        <v/>
      </c>
      <c r="D386" s="23">
        <f>'Historical Data'!E383</f>
        <v/>
      </c>
      <c r="E386" s="3">
        <f>'Historical Data'!G383</f>
        <v/>
      </c>
      <c r="F386" s="3">
        <f>'Historical Data'!Y383</f>
        <v/>
      </c>
      <c r="G386" s="3">
        <f>'Historical Data'!K383</f>
        <v/>
      </c>
      <c r="H386" s="3">
        <f>'Historical Data'!L383</f>
        <v/>
      </c>
      <c r="I386" s="26">
        <f>'Historical Data'!M383</f>
        <v/>
      </c>
      <c r="J386" s="28">
        <f>'Historical Data'!N383</f>
        <v/>
      </c>
      <c r="K386" s="28">
        <f>'Historical Data'!Q383</f>
        <v/>
      </c>
      <c r="L386" s="30">
        <f>'Historical Data'!S383</f>
        <v/>
      </c>
      <c r="M386" s="28">
        <f>'Historical Data'!AJ383</f>
        <v/>
      </c>
      <c r="N386" s="28">
        <f>'Historical Data'!AK383</f>
        <v/>
      </c>
      <c r="O386" s="3">
        <f>'Historical Data'!AA383</f>
        <v/>
      </c>
      <c r="P386" s="3">
        <f>'Historical Data'!AB383</f>
        <v/>
      </c>
      <c r="Q386" s="3">
        <f>'Historical Data'!AN383</f>
        <v/>
      </c>
      <c r="R386" s="3">
        <f>'Historical Data'!AC383</f>
        <v/>
      </c>
      <c r="S386" s="3">
        <f>'Historical Data'!AE383</f>
        <v/>
      </c>
      <c r="T386" s="3">
        <f>'Historical Data'!AH383</f>
        <v/>
      </c>
      <c r="U386" s="3">
        <f>'Historical Data'!BA383</f>
        <v/>
      </c>
      <c r="V386" s="3" t="n"/>
      <c r="W386" s="3" t="n"/>
      <c r="X386" s="3" t="n"/>
      <c r="Y386" s="3" t="n"/>
      <c r="Z386" s="3" t="n"/>
    </row>
    <row r="387" hidden="1" ht="15.75" customHeight="1" s="174">
      <c r="A387" s="3">
        <f>'Historical Data'!A384</f>
        <v/>
      </c>
      <c r="B387" s="3">
        <f>'Historical Data'!B384</f>
        <v/>
      </c>
      <c r="C387" s="3">
        <f>'Historical Data'!D384</f>
        <v/>
      </c>
      <c r="D387" s="23">
        <f>'Historical Data'!E384</f>
        <v/>
      </c>
      <c r="E387" s="3">
        <f>'Historical Data'!G384</f>
        <v/>
      </c>
      <c r="F387" s="3">
        <f>'Historical Data'!Y384</f>
        <v/>
      </c>
      <c r="G387" s="3">
        <f>'Historical Data'!K384</f>
        <v/>
      </c>
      <c r="H387" s="3">
        <f>'Historical Data'!L384</f>
        <v/>
      </c>
      <c r="I387" s="26">
        <f>'Historical Data'!M384</f>
        <v/>
      </c>
      <c r="J387" s="28">
        <f>'Historical Data'!N384</f>
        <v/>
      </c>
      <c r="K387" s="28">
        <f>'Historical Data'!Q384</f>
        <v/>
      </c>
      <c r="L387" s="30">
        <f>'Historical Data'!S384</f>
        <v/>
      </c>
      <c r="M387" s="28">
        <f>'Historical Data'!AJ384</f>
        <v/>
      </c>
      <c r="N387" s="28">
        <f>'Historical Data'!AK384</f>
        <v/>
      </c>
      <c r="O387" s="3">
        <f>'Historical Data'!AA384</f>
        <v/>
      </c>
      <c r="P387" s="3">
        <f>'Historical Data'!AB384</f>
        <v/>
      </c>
      <c r="Q387" s="3">
        <f>'Historical Data'!AN384</f>
        <v/>
      </c>
      <c r="R387" s="3">
        <f>'Historical Data'!AC384</f>
        <v/>
      </c>
      <c r="S387" s="3">
        <f>'Historical Data'!AE384</f>
        <v/>
      </c>
      <c r="T387" s="3">
        <f>'Historical Data'!AH384</f>
        <v/>
      </c>
      <c r="U387" s="3">
        <f>'Historical Data'!BA384</f>
        <v/>
      </c>
      <c r="V387" s="3" t="n"/>
      <c r="W387" s="3" t="n"/>
      <c r="X387" s="3" t="n"/>
      <c r="Y387" s="3" t="n"/>
      <c r="Z387" s="3" t="n"/>
    </row>
    <row r="388" hidden="1" ht="15.75" customHeight="1" s="174">
      <c r="A388" s="3">
        <f>'Historical Data'!A385</f>
        <v/>
      </c>
      <c r="B388" s="3">
        <f>'Historical Data'!B385</f>
        <v/>
      </c>
      <c r="C388" s="3">
        <f>'Historical Data'!D385</f>
        <v/>
      </c>
      <c r="D388" s="23">
        <f>'Historical Data'!E385</f>
        <v/>
      </c>
      <c r="E388" s="3">
        <f>'Historical Data'!G385</f>
        <v/>
      </c>
      <c r="F388" s="3">
        <f>'Historical Data'!Y385</f>
        <v/>
      </c>
      <c r="G388" s="3">
        <f>'Historical Data'!K385</f>
        <v/>
      </c>
      <c r="H388" s="3">
        <f>'Historical Data'!L385</f>
        <v/>
      </c>
      <c r="I388" s="26">
        <f>'Historical Data'!M385</f>
        <v/>
      </c>
      <c r="J388" s="28">
        <f>'Historical Data'!N385</f>
        <v/>
      </c>
      <c r="K388" s="28">
        <f>'Historical Data'!Q385</f>
        <v/>
      </c>
      <c r="L388" s="30">
        <f>'Historical Data'!S385</f>
        <v/>
      </c>
      <c r="M388" s="28">
        <f>'Historical Data'!AJ385</f>
        <v/>
      </c>
      <c r="N388" s="28">
        <f>'Historical Data'!AK385</f>
        <v/>
      </c>
      <c r="O388" s="3">
        <f>'Historical Data'!AA385</f>
        <v/>
      </c>
      <c r="P388" s="3">
        <f>'Historical Data'!AB385</f>
        <v/>
      </c>
      <c r="Q388" s="3">
        <f>'Historical Data'!AN385</f>
        <v/>
      </c>
      <c r="R388" s="3">
        <f>'Historical Data'!AC385</f>
        <v/>
      </c>
      <c r="S388" s="3">
        <f>'Historical Data'!AE385</f>
        <v/>
      </c>
      <c r="T388" s="3">
        <f>'Historical Data'!AH385</f>
        <v/>
      </c>
      <c r="U388" s="3">
        <f>'Historical Data'!BA385</f>
        <v/>
      </c>
      <c r="V388" s="3" t="n"/>
      <c r="W388" s="3" t="n"/>
      <c r="X388" s="3" t="n"/>
      <c r="Y388" s="3" t="n"/>
      <c r="Z388" s="3" t="n"/>
    </row>
    <row r="389" hidden="1" ht="15.75" customHeight="1" s="174">
      <c r="A389" s="3">
        <f>'Historical Data'!A386</f>
        <v/>
      </c>
      <c r="B389" s="3">
        <f>'Historical Data'!B386</f>
        <v/>
      </c>
      <c r="C389" s="3">
        <f>'Historical Data'!D386</f>
        <v/>
      </c>
      <c r="D389" s="23">
        <f>'Historical Data'!E386</f>
        <v/>
      </c>
      <c r="E389" s="3">
        <f>'Historical Data'!G386</f>
        <v/>
      </c>
      <c r="F389" s="3">
        <f>'Historical Data'!Y386</f>
        <v/>
      </c>
      <c r="G389" s="3">
        <f>'Historical Data'!K386</f>
        <v/>
      </c>
      <c r="H389" s="3">
        <f>'Historical Data'!L386</f>
        <v/>
      </c>
      <c r="I389" s="26">
        <f>'Historical Data'!M386</f>
        <v/>
      </c>
      <c r="J389" s="28">
        <f>'Historical Data'!N386</f>
        <v/>
      </c>
      <c r="K389" s="28">
        <f>'Historical Data'!Q386</f>
        <v/>
      </c>
      <c r="L389" s="30">
        <f>'Historical Data'!S386</f>
        <v/>
      </c>
      <c r="M389" s="28">
        <f>'Historical Data'!AJ386</f>
        <v/>
      </c>
      <c r="N389" s="28">
        <f>'Historical Data'!AK386</f>
        <v/>
      </c>
      <c r="O389" s="3">
        <f>'Historical Data'!AA386</f>
        <v/>
      </c>
      <c r="P389" s="3">
        <f>'Historical Data'!AB386</f>
        <v/>
      </c>
      <c r="Q389" s="3">
        <f>'Historical Data'!AN386</f>
        <v/>
      </c>
      <c r="R389" s="3">
        <f>'Historical Data'!AC386</f>
        <v/>
      </c>
      <c r="S389" s="3">
        <f>'Historical Data'!AE386</f>
        <v/>
      </c>
      <c r="T389" s="3">
        <f>'Historical Data'!AH386</f>
        <v/>
      </c>
      <c r="U389" s="3">
        <f>'Historical Data'!BA386</f>
        <v/>
      </c>
      <c r="V389" s="3" t="n"/>
      <c r="W389" s="3" t="n"/>
      <c r="X389" s="3" t="n"/>
      <c r="Y389" s="3" t="n"/>
      <c r="Z389" s="3" t="n"/>
    </row>
    <row r="390" hidden="1" ht="15.75" customHeight="1" s="174">
      <c r="A390" s="3">
        <f>'Historical Data'!A387</f>
        <v/>
      </c>
      <c r="B390" s="3">
        <f>'Historical Data'!B387</f>
        <v/>
      </c>
      <c r="C390" s="3">
        <f>'Historical Data'!D387</f>
        <v/>
      </c>
      <c r="D390" s="23">
        <f>'Historical Data'!E387</f>
        <v/>
      </c>
      <c r="E390" s="3">
        <f>'Historical Data'!G387</f>
        <v/>
      </c>
      <c r="F390" s="3">
        <f>'Historical Data'!Y387</f>
        <v/>
      </c>
      <c r="G390" s="3">
        <f>'Historical Data'!K387</f>
        <v/>
      </c>
      <c r="H390" s="3">
        <f>'Historical Data'!L387</f>
        <v/>
      </c>
      <c r="I390" s="26">
        <f>'Historical Data'!M387</f>
        <v/>
      </c>
      <c r="J390" s="28">
        <f>'Historical Data'!N387</f>
        <v/>
      </c>
      <c r="K390" s="28">
        <f>'Historical Data'!Q387</f>
        <v/>
      </c>
      <c r="L390" s="30">
        <f>'Historical Data'!S387</f>
        <v/>
      </c>
      <c r="M390" s="28">
        <f>'Historical Data'!AJ387</f>
        <v/>
      </c>
      <c r="N390" s="28">
        <f>'Historical Data'!AK387</f>
        <v/>
      </c>
      <c r="O390" s="3">
        <f>'Historical Data'!AA387</f>
        <v/>
      </c>
      <c r="P390" s="3">
        <f>'Historical Data'!AB387</f>
        <v/>
      </c>
      <c r="Q390" s="3">
        <f>'Historical Data'!AN387</f>
        <v/>
      </c>
      <c r="R390" s="3">
        <f>'Historical Data'!AC387</f>
        <v/>
      </c>
      <c r="S390" s="3">
        <f>'Historical Data'!AE387</f>
        <v/>
      </c>
      <c r="T390" s="3">
        <f>'Historical Data'!AH387</f>
        <v/>
      </c>
      <c r="U390" s="3">
        <f>'Historical Data'!BA387</f>
        <v/>
      </c>
      <c r="V390" s="3" t="n"/>
      <c r="W390" s="3" t="n"/>
      <c r="X390" s="3" t="n"/>
      <c r="Y390" s="3" t="n"/>
      <c r="Z390" s="3" t="n"/>
    </row>
    <row r="391" hidden="1" ht="15.75" customHeight="1" s="174">
      <c r="A391" s="3">
        <f>'Historical Data'!A388</f>
        <v/>
      </c>
      <c r="B391" s="3">
        <f>'Historical Data'!B388</f>
        <v/>
      </c>
      <c r="C391" s="3">
        <f>'Historical Data'!D388</f>
        <v/>
      </c>
      <c r="D391" s="23">
        <f>'Historical Data'!E388</f>
        <v/>
      </c>
      <c r="E391" s="3">
        <f>'Historical Data'!G388</f>
        <v/>
      </c>
      <c r="F391" s="3">
        <f>'Historical Data'!Y388</f>
        <v/>
      </c>
      <c r="G391" s="3">
        <f>'Historical Data'!K388</f>
        <v/>
      </c>
      <c r="H391" s="3">
        <f>'Historical Data'!L388</f>
        <v/>
      </c>
      <c r="I391" s="26">
        <f>'Historical Data'!M388</f>
        <v/>
      </c>
      <c r="J391" s="28">
        <f>'Historical Data'!N388</f>
        <v/>
      </c>
      <c r="K391" s="28">
        <f>'Historical Data'!Q388</f>
        <v/>
      </c>
      <c r="L391" s="30">
        <f>'Historical Data'!S388</f>
        <v/>
      </c>
      <c r="M391" s="28">
        <f>'Historical Data'!AJ388</f>
        <v/>
      </c>
      <c r="N391" s="28">
        <f>'Historical Data'!AK388</f>
        <v/>
      </c>
      <c r="O391" s="3">
        <f>'Historical Data'!AA388</f>
        <v/>
      </c>
      <c r="P391" s="3">
        <f>'Historical Data'!AB388</f>
        <v/>
      </c>
      <c r="Q391" s="3">
        <f>'Historical Data'!AN388</f>
        <v/>
      </c>
      <c r="R391" s="3">
        <f>'Historical Data'!AC388</f>
        <v/>
      </c>
      <c r="S391" s="3">
        <f>'Historical Data'!AE388</f>
        <v/>
      </c>
      <c r="T391" s="3">
        <f>'Historical Data'!AH388</f>
        <v/>
      </c>
      <c r="U391" s="3">
        <f>'Historical Data'!BA388</f>
        <v/>
      </c>
      <c r="V391" s="3" t="n"/>
      <c r="W391" s="3" t="n"/>
      <c r="X391" s="3" t="n"/>
      <c r="Y391" s="3" t="n"/>
      <c r="Z391" s="3" t="n"/>
    </row>
    <row r="392" hidden="1" ht="15.75" customHeight="1" s="174">
      <c r="A392" s="3">
        <f>'Historical Data'!A389</f>
        <v/>
      </c>
      <c r="B392" s="3">
        <f>'Historical Data'!B389</f>
        <v/>
      </c>
      <c r="C392" s="3">
        <f>'Historical Data'!D389</f>
        <v/>
      </c>
      <c r="D392" s="23">
        <f>'Historical Data'!E389</f>
        <v/>
      </c>
      <c r="E392" s="3">
        <f>'Historical Data'!G389</f>
        <v/>
      </c>
      <c r="F392" s="3">
        <f>'Historical Data'!Y389</f>
        <v/>
      </c>
      <c r="G392" s="3">
        <f>'Historical Data'!K389</f>
        <v/>
      </c>
      <c r="H392" s="3">
        <f>'Historical Data'!L389</f>
        <v/>
      </c>
      <c r="I392" s="26">
        <f>'Historical Data'!M389</f>
        <v/>
      </c>
      <c r="J392" s="28">
        <f>'Historical Data'!N389</f>
        <v/>
      </c>
      <c r="K392" s="28">
        <f>'Historical Data'!Q389</f>
        <v/>
      </c>
      <c r="L392" s="30">
        <f>'Historical Data'!S389</f>
        <v/>
      </c>
      <c r="M392" s="28">
        <f>'Historical Data'!AJ389</f>
        <v/>
      </c>
      <c r="N392" s="28">
        <f>'Historical Data'!AK389</f>
        <v/>
      </c>
      <c r="O392" s="3">
        <f>'Historical Data'!AA389</f>
        <v/>
      </c>
      <c r="P392" s="3">
        <f>'Historical Data'!AB389</f>
        <v/>
      </c>
      <c r="Q392" s="3">
        <f>'Historical Data'!AN389</f>
        <v/>
      </c>
      <c r="R392" s="3">
        <f>'Historical Data'!AC389</f>
        <v/>
      </c>
      <c r="S392" s="3">
        <f>'Historical Data'!AE389</f>
        <v/>
      </c>
      <c r="T392" s="3">
        <f>'Historical Data'!AH389</f>
        <v/>
      </c>
      <c r="U392" s="3">
        <f>'Historical Data'!BA389</f>
        <v/>
      </c>
      <c r="V392" s="3" t="n"/>
      <c r="W392" s="3" t="n"/>
      <c r="X392" s="3" t="n"/>
      <c r="Y392" s="3" t="n"/>
      <c r="Z392" s="3" t="n"/>
    </row>
    <row r="393" hidden="1" ht="15.75" customHeight="1" s="174">
      <c r="A393" s="3">
        <f>'Historical Data'!A390</f>
        <v/>
      </c>
      <c r="B393" s="3">
        <f>'Historical Data'!B390</f>
        <v/>
      </c>
      <c r="C393" s="3">
        <f>'Historical Data'!D390</f>
        <v/>
      </c>
      <c r="D393" s="23">
        <f>'Historical Data'!E390</f>
        <v/>
      </c>
      <c r="E393" s="3">
        <f>'Historical Data'!G390</f>
        <v/>
      </c>
      <c r="F393" s="3">
        <f>'Historical Data'!Y390</f>
        <v/>
      </c>
      <c r="G393" s="3">
        <f>'Historical Data'!K390</f>
        <v/>
      </c>
      <c r="H393" s="3">
        <f>'Historical Data'!L390</f>
        <v/>
      </c>
      <c r="I393" s="26">
        <f>'Historical Data'!M390</f>
        <v/>
      </c>
      <c r="J393" s="28">
        <f>'Historical Data'!N390</f>
        <v/>
      </c>
      <c r="K393" s="28">
        <f>'Historical Data'!Q390</f>
        <v/>
      </c>
      <c r="L393" s="30">
        <f>'Historical Data'!S390</f>
        <v/>
      </c>
      <c r="M393" s="28">
        <f>'Historical Data'!AJ390</f>
        <v/>
      </c>
      <c r="N393" s="28">
        <f>'Historical Data'!AK390</f>
        <v/>
      </c>
      <c r="O393" s="3">
        <f>'Historical Data'!AA390</f>
        <v/>
      </c>
      <c r="P393" s="3">
        <f>'Historical Data'!AB390</f>
        <v/>
      </c>
      <c r="Q393" s="3">
        <f>'Historical Data'!AN390</f>
        <v/>
      </c>
      <c r="R393" s="3">
        <f>'Historical Data'!AC390</f>
        <v/>
      </c>
      <c r="S393" s="3">
        <f>'Historical Data'!AE390</f>
        <v/>
      </c>
      <c r="T393" s="3">
        <f>'Historical Data'!AH390</f>
        <v/>
      </c>
      <c r="U393" s="3">
        <f>'Historical Data'!BA390</f>
        <v/>
      </c>
      <c r="V393" s="3" t="n"/>
      <c r="W393" s="3" t="n"/>
      <c r="X393" s="3" t="n"/>
      <c r="Y393" s="3" t="n"/>
      <c r="Z393" s="3" t="n"/>
    </row>
    <row r="394" hidden="1" ht="15.75" customHeight="1" s="174">
      <c r="A394" s="3">
        <f>'Historical Data'!A391</f>
        <v/>
      </c>
      <c r="B394" s="3">
        <f>'Historical Data'!B391</f>
        <v/>
      </c>
      <c r="C394" s="3">
        <f>'Historical Data'!D391</f>
        <v/>
      </c>
      <c r="D394" s="23">
        <f>'Historical Data'!E391</f>
        <v/>
      </c>
      <c r="E394" s="3">
        <f>'Historical Data'!G391</f>
        <v/>
      </c>
      <c r="F394" s="3">
        <f>'Historical Data'!Y391</f>
        <v/>
      </c>
      <c r="G394" s="3">
        <f>'Historical Data'!K391</f>
        <v/>
      </c>
      <c r="H394" s="3">
        <f>'Historical Data'!L391</f>
        <v/>
      </c>
      <c r="I394" s="26">
        <f>'Historical Data'!M391</f>
        <v/>
      </c>
      <c r="J394" s="28">
        <f>'Historical Data'!N391</f>
        <v/>
      </c>
      <c r="K394" s="28">
        <f>'Historical Data'!Q391</f>
        <v/>
      </c>
      <c r="L394" s="30">
        <f>'Historical Data'!S391</f>
        <v/>
      </c>
      <c r="M394" s="28">
        <f>'Historical Data'!AJ391</f>
        <v/>
      </c>
      <c r="N394" s="28">
        <f>'Historical Data'!AK391</f>
        <v/>
      </c>
      <c r="O394" s="3">
        <f>'Historical Data'!AA391</f>
        <v/>
      </c>
      <c r="P394" s="3">
        <f>'Historical Data'!AB391</f>
        <v/>
      </c>
      <c r="Q394" s="3">
        <f>'Historical Data'!AN391</f>
        <v/>
      </c>
      <c r="R394" s="3">
        <f>'Historical Data'!AC391</f>
        <v/>
      </c>
      <c r="S394" s="3">
        <f>'Historical Data'!AE391</f>
        <v/>
      </c>
      <c r="T394" s="3">
        <f>'Historical Data'!AH391</f>
        <v/>
      </c>
      <c r="U394" s="3">
        <f>'Historical Data'!BA391</f>
        <v/>
      </c>
      <c r="V394" s="3" t="n"/>
      <c r="W394" s="3" t="n"/>
      <c r="X394" s="3" t="n"/>
      <c r="Y394" s="3" t="n"/>
      <c r="Z394" s="3" t="n"/>
    </row>
    <row r="395" hidden="1" ht="15.75" customHeight="1" s="174">
      <c r="A395" s="3">
        <f>'Historical Data'!A392</f>
        <v/>
      </c>
      <c r="B395" s="3">
        <f>'Historical Data'!B392</f>
        <v/>
      </c>
      <c r="C395" s="3">
        <f>'Historical Data'!D392</f>
        <v/>
      </c>
      <c r="D395" s="23">
        <f>'Historical Data'!E392</f>
        <v/>
      </c>
      <c r="E395" s="3">
        <f>'Historical Data'!G392</f>
        <v/>
      </c>
      <c r="F395" s="3">
        <f>'Historical Data'!Y392</f>
        <v/>
      </c>
      <c r="G395" s="3">
        <f>'Historical Data'!K392</f>
        <v/>
      </c>
      <c r="H395" s="3">
        <f>'Historical Data'!L392</f>
        <v/>
      </c>
      <c r="I395" s="26">
        <f>'Historical Data'!M392</f>
        <v/>
      </c>
      <c r="J395" s="28">
        <f>'Historical Data'!N392</f>
        <v/>
      </c>
      <c r="K395" s="28">
        <f>'Historical Data'!Q392</f>
        <v/>
      </c>
      <c r="L395" s="30">
        <f>'Historical Data'!S392</f>
        <v/>
      </c>
      <c r="M395" s="28">
        <f>'Historical Data'!AJ392</f>
        <v/>
      </c>
      <c r="N395" s="28">
        <f>'Historical Data'!AK392</f>
        <v/>
      </c>
      <c r="O395" s="3">
        <f>'Historical Data'!AA392</f>
        <v/>
      </c>
      <c r="P395" s="3">
        <f>'Historical Data'!AB392</f>
        <v/>
      </c>
      <c r="Q395" s="3">
        <f>'Historical Data'!AN392</f>
        <v/>
      </c>
      <c r="R395" s="3">
        <f>'Historical Data'!AC392</f>
        <v/>
      </c>
      <c r="S395" s="3">
        <f>'Historical Data'!AE392</f>
        <v/>
      </c>
      <c r="T395" s="3">
        <f>'Historical Data'!AH392</f>
        <v/>
      </c>
      <c r="U395" s="3">
        <f>'Historical Data'!BA392</f>
        <v/>
      </c>
      <c r="V395" s="3" t="n"/>
      <c r="W395" s="3" t="n"/>
      <c r="X395" s="3" t="n"/>
      <c r="Y395" s="3" t="n"/>
      <c r="Z395" s="3" t="n"/>
    </row>
    <row r="396" hidden="1" ht="15.75" customHeight="1" s="174">
      <c r="A396" s="3">
        <f>'Historical Data'!A393</f>
        <v/>
      </c>
      <c r="B396" s="3">
        <f>'Historical Data'!B393</f>
        <v/>
      </c>
      <c r="C396" s="3">
        <f>'Historical Data'!D393</f>
        <v/>
      </c>
      <c r="D396" s="23">
        <f>'Historical Data'!E393</f>
        <v/>
      </c>
      <c r="E396" s="3">
        <f>'Historical Data'!G393</f>
        <v/>
      </c>
      <c r="F396" s="3">
        <f>'Historical Data'!Y393</f>
        <v/>
      </c>
      <c r="G396" s="3">
        <f>'Historical Data'!K393</f>
        <v/>
      </c>
      <c r="H396" s="3">
        <f>'Historical Data'!L393</f>
        <v/>
      </c>
      <c r="I396" s="26">
        <f>'Historical Data'!M393</f>
        <v/>
      </c>
      <c r="J396" s="28">
        <f>'Historical Data'!N393</f>
        <v/>
      </c>
      <c r="K396" s="28">
        <f>'Historical Data'!Q393</f>
        <v/>
      </c>
      <c r="L396" s="30">
        <f>'Historical Data'!S393</f>
        <v/>
      </c>
      <c r="M396" s="28">
        <f>'Historical Data'!AJ393</f>
        <v/>
      </c>
      <c r="N396" s="28">
        <f>'Historical Data'!AK393</f>
        <v/>
      </c>
      <c r="O396" s="3">
        <f>'Historical Data'!AA393</f>
        <v/>
      </c>
      <c r="P396" s="3">
        <f>'Historical Data'!AB393</f>
        <v/>
      </c>
      <c r="Q396" s="3">
        <f>'Historical Data'!AN393</f>
        <v/>
      </c>
      <c r="R396" s="3">
        <f>'Historical Data'!AC393</f>
        <v/>
      </c>
      <c r="S396" s="3">
        <f>'Historical Data'!AE393</f>
        <v/>
      </c>
      <c r="T396" s="3">
        <f>'Historical Data'!AH393</f>
        <v/>
      </c>
      <c r="U396" s="3">
        <f>'Historical Data'!BA393</f>
        <v/>
      </c>
      <c r="V396" s="3" t="n"/>
      <c r="W396" s="3" t="n"/>
      <c r="X396" s="3" t="n"/>
      <c r="Y396" s="3" t="n"/>
      <c r="Z396" s="3" t="n"/>
    </row>
    <row r="397" hidden="1" ht="15.75" customHeight="1" s="174">
      <c r="A397" s="3">
        <f>'Historical Data'!A394</f>
        <v/>
      </c>
      <c r="B397" s="3">
        <f>'Historical Data'!B394</f>
        <v/>
      </c>
      <c r="C397" s="3">
        <f>'Historical Data'!D394</f>
        <v/>
      </c>
      <c r="D397" s="23">
        <f>'Historical Data'!E394</f>
        <v/>
      </c>
      <c r="E397" s="3">
        <f>'Historical Data'!G394</f>
        <v/>
      </c>
      <c r="F397" s="3">
        <f>'Historical Data'!Y394</f>
        <v/>
      </c>
      <c r="G397" s="3">
        <f>'Historical Data'!K394</f>
        <v/>
      </c>
      <c r="H397" s="3">
        <f>'Historical Data'!L394</f>
        <v/>
      </c>
      <c r="I397" s="26">
        <f>'Historical Data'!M394</f>
        <v/>
      </c>
      <c r="J397" s="28">
        <f>'Historical Data'!N394</f>
        <v/>
      </c>
      <c r="K397" s="28">
        <f>'Historical Data'!Q394</f>
        <v/>
      </c>
      <c r="L397" s="30">
        <f>'Historical Data'!S394</f>
        <v/>
      </c>
      <c r="M397" s="28">
        <f>'Historical Data'!AJ394</f>
        <v/>
      </c>
      <c r="N397" s="28">
        <f>'Historical Data'!AK394</f>
        <v/>
      </c>
      <c r="O397" s="3">
        <f>'Historical Data'!AA394</f>
        <v/>
      </c>
      <c r="P397" s="3">
        <f>'Historical Data'!AB394</f>
        <v/>
      </c>
      <c r="Q397" s="3">
        <f>'Historical Data'!AN394</f>
        <v/>
      </c>
      <c r="R397" s="3">
        <f>'Historical Data'!AC394</f>
        <v/>
      </c>
      <c r="S397" s="3">
        <f>'Historical Data'!AE394</f>
        <v/>
      </c>
      <c r="T397" s="3">
        <f>'Historical Data'!AH394</f>
        <v/>
      </c>
      <c r="U397" s="3">
        <f>'Historical Data'!BA394</f>
        <v/>
      </c>
      <c r="V397" s="3" t="n"/>
      <c r="W397" s="3" t="n"/>
      <c r="X397" s="3" t="n"/>
      <c r="Y397" s="3" t="n"/>
      <c r="Z397" s="3" t="n"/>
    </row>
    <row r="398" hidden="1" ht="15.75" customHeight="1" s="174">
      <c r="A398" s="3">
        <f>'Historical Data'!A395</f>
        <v/>
      </c>
      <c r="B398" s="3">
        <f>'Historical Data'!B395</f>
        <v/>
      </c>
      <c r="C398" s="3">
        <f>'Historical Data'!D395</f>
        <v/>
      </c>
      <c r="D398" s="23">
        <f>'Historical Data'!E395</f>
        <v/>
      </c>
      <c r="E398" s="3">
        <f>'Historical Data'!G395</f>
        <v/>
      </c>
      <c r="F398" s="3">
        <f>'Historical Data'!Y395</f>
        <v/>
      </c>
      <c r="G398" s="3">
        <f>'Historical Data'!K395</f>
        <v/>
      </c>
      <c r="H398" s="3">
        <f>'Historical Data'!L395</f>
        <v/>
      </c>
      <c r="I398" s="26">
        <f>'Historical Data'!M395</f>
        <v/>
      </c>
      <c r="J398" s="28">
        <f>'Historical Data'!N395</f>
        <v/>
      </c>
      <c r="K398" s="28">
        <f>'Historical Data'!Q395</f>
        <v/>
      </c>
      <c r="L398" s="30">
        <f>'Historical Data'!S395</f>
        <v/>
      </c>
      <c r="M398" s="28">
        <f>'Historical Data'!AJ395</f>
        <v/>
      </c>
      <c r="N398" s="28">
        <f>'Historical Data'!AK395</f>
        <v/>
      </c>
      <c r="O398" s="3">
        <f>'Historical Data'!AA395</f>
        <v/>
      </c>
      <c r="P398" s="3">
        <f>'Historical Data'!AB395</f>
        <v/>
      </c>
      <c r="Q398" s="3">
        <f>'Historical Data'!AN395</f>
        <v/>
      </c>
      <c r="R398" s="3">
        <f>'Historical Data'!AC395</f>
        <v/>
      </c>
      <c r="S398" s="3">
        <f>'Historical Data'!AE395</f>
        <v/>
      </c>
      <c r="T398" s="3">
        <f>'Historical Data'!AH395</f>
        <v/>
      </c>
      <c r="U398" s="3">
        <f>'Historical Data'!BA395</f>
        <v/>
      </c>
      <c r="V398" s="3" t="n"/>
      <c r="W398" s="3" t="n"/>
      <c r="X398" s="3" t="n"/>
      <c r="Y398" s="3" t="n"/>
      <c r="Z398" s="3" t="n"/>
    </row>
    <row r="399" hidden="1" ht="15.75" customHeight="1" s="174">
      <c r="A399" s="3">
        <f>'Historical Data'!A396</f>
        <v/>
      </c>
      <c r="B399" s="3">
        <f>'Historical Data'!B396</f>
        <v/>
      </c>
      <c r="C399" s="3">
        <f>'Historical Data'!D396</f>
        <v/>
      </c>
      <c r="D399" s="23">
        <f>'Historical Data'!E396</f>
        <v/>
      </c>
      <c r="E399" s="3">
        <f>'Historical Data'!G396</f>
        <v/>
      </c>
      <c r="F399" s="3">
        <f>'Historical Data'!Y396</f>
        <v/>
      </c>
      <c r="G399" s="3">
        <f>'Historical Data'!K396</f>
        <v/>
      </c>
      <c r="H399" s="3">
        <f>'Historical Data'!L396</f>
        <v/>
      </c>
      <c r="I399" s="26">
        <f>'Historical Data'!M396</f>
        <v/>
      </c>
      <c r="J399" s="28">
        <f>'Historical Data'!N396</f>
        <v/>
      </c>
      <c r="K399" s="28">
        <f>'Historical Data'!Q396</f>
        <v/>
      </c>
      <c r="L399" s="30">
        <f>'Historical Data'!S396</f>
        <v/>
      </c>
      <c r="M399" s="28">
        <f>'Historical Data'!AJ396</f>
        <v/>
      </c>
      <c r="N399" s="28">
        <f>'Historical Data'!AK396</f>
        <v/>
      </c>
      <c r="O399" s="3">
        <f>'Historical Data'!AA396</f>
        <v/>
      </c>
      <c r="P399" s="3">
        <f>'Historical Data'!AB396</f>
        <v/>
      </c>
      <c r="Q399" s="3">
        <f>'Historical Data'!AN396</f>
        <v/>
      </c>
      <c r="R399" s="3">
        <f>'Historical Data'!AC396</f>
        <v/>
      </c>
      <c r="S399" s="3">
        <f>'Historical Data'!AE396</f>
        <v/>
      </c>
      <c r="T399" s="3">
        <f>'Historical Data'!AH396</f>
        <v/>
      </c>
      <c r="U399" s="3">
        <f>'Historical Data'!BA396</f>
        <v/>
      </c>
      <c r="V399" s="3" t="n"/>
      <c r="W399" s="3" t="n"/>
      <c r="X399" s="3" t="n"/>
      <c r="Y399" s="3" t="n"/>
      <c r="Z399" s="3" t="n"/>
    </row>
    <row r="400" hidden="1" ht="15.75" customHeight="1" s="174">
      <c r="A400" s="3">
        <f>'Historical Data'!A397</f>
        <v/>
      </c>
      <c r="B400" s="3">
        <f>'Historical Data'!B397</f>
        <v/>
      </c>
      <c r="C400" s="3">
        <f>'Historical Data'!D397</f>
        <v/>
      </c>
      <c r="D400" s="23">
        <f>'Historical Data'!E397</f>
        <v/>
      </c>
      <c r="E400" s="3">
        <f>'Historical Data'!G397</f>
        <v/>
      </c>
      <c r="F400" s="3">
        <f>'Historical Data'!Y397</f>
        <v/>
      </c>
      <c r="G400" s="3">
        <f>'Historical Data'!K397</f>
        <v/>
      </c>
      <c r="H400" s="3">
        <f>'Historical Data'!L397</f>
        <v/>
      </c>
      <c r="I400" s="26">
        <f>'Historical Data'!M397</f>
        <v/>
      </c>
      <c r="J400" s="28">
        <f>'Historical Data'!N397</f>
        <v/>
      </c>
      <c r="K400" s="28">
        <f>'Historical Data'!Q397</f>
        <v/>
      </c>
      <c r="L400" s="30">
        <f>'Historical Data'!S397</f>
        <v/>
      </c>
      <c r="M400" s="28">
        <f>'Historical Data'!AJ397</f>
        <v/>
      </c>
      <c r="N400" s="28">
        <f>'Historical Data'!AK397</f>
        <v/>
      </c>
      <c r="O400" s="3">
        <f>'Historical Data'!AA397</f>
        <v/>
      </c>
      <c r="P400" s="3">
        <f>'Historical Data'!AB397</f>
        <v/>
      </c>
      <c r="Q400" s="3">
        <f>'Historical Data'!AN397</f>
        <v/>
      </c>
      <c r="R400" s="3">
        <f>'Historical Data'!AC397</f>
        <v/>
      </c>
      <c r="S400" s="3">
        <f>'Historical Data'!AE397</f>
        <v/>
      </c>
      <c r="T400" s="3">
        <f>'Historical Data'!AH397</f>
        <v/>
      </c>
      <c r="U400" s="3">
        <f>'Historical Data'!BA397</f>
        <v/>
      </c>
      <c r="V400" s="3" t="n"/>
      <c r="W400" s="3" t="n"/>
      <c r="X400" s="3" t="n"/>
      <c r="Y400" s="3" t="n"/>
      <c r="Z400" s="3" t="n"/>
    </row>
    <row r="401" hidden="1" ht="15.75" customHeight="1" s="174">
      <c r="A401" s="3">
        <f>'Historical Data'!A398</f>
        <v/>
      </c>
      <c r="B401" s="3">
        <f>'Historical Data'!B398</f>
        <v/>
      </c>
      <c r="C401" s="3">
        <f>'Historical Data'!D398</f>
        <v/>
      </c>
      <c r="D401" s="23">
        <f>'Historical Data'!E398</f>
        <v/>
      </c>
      <c r="E401" s="3">
        <f>'Historical Data'!G398</f>
        <v/>
      </c>
      <c r="F401" s="3">
        <f>'Historical Data'!Y398</f>
        <v/>
      </c>
      <c r="G401" s="3">
        <f>'Historical Data'!K398</f>
        <v/>
      </c>
      <c r="H401" s="3">
        <f>'Historical Data'!L398</f>
        <v/>
      </c>
      <c r="I401" s="26">
        <f>'Historical Data'!M398</f>
        <v/>
      </c>
      <c r="J401" s="28">
        <f>'Historical Data'!N398</f>
        <v/>
      </c>
      <c r="K401" s="28">
        <f>'Historical Data'!Q398</f>
        <v/>
      </c>
      <c r="L401" s="30">
        <f>'Historical Data'!S398</f>
        <v/>
      </c>
      <c r="M401" s="28">
        <f>'Historical Data'!AJ398</f>
        <v/>
      </c>
      <c r="N401" s="28">
        <f>'Historical Data'!AK398</f>
        <v/>
      </c>
      <c r="O401" s="3">
        <f>'Historical Data'!AA398</f>
        <v/>
      </c>
      <c r="P401" s="3">
        <f>'Historical Data'!AB398</f>
        <v/>
      </c>
      <c r="Q401" s="3">
        <f>'Historical Data'!AN398</f>
        <v/>
      </c>
      <c r="R401" s="3">
        <f>'Historical Data'!AC398</f>
        <v/>
      </c>
      <c r="S401" s="3">
        <f>'Historical Data'!AE398</f>
        <v/>
      </c>
      <c r="T401" s="3">
        <f>'Historical Data'!AH398</f>
        <v/>
      </c>
      <c r="U401" s="3">
        <f>'Historical Data'!BA398</f>
        <v/>
      </c>
      <c r="V401" s="3" t="n"/>
      <c r="W401" s="3" t="n"/>
      <c r="X401" s="3" t="n"/>
      <c r="Y401" s="3" t="n"/>
      <c r="Z401" s="3" t="n"/>
    </row>
    <row r="402" hidden="1" ht="15.75" customHeight="1" s="174">
      <c r="A402" s="3">
        <f>'Historical Data'!A399</f>
        <v/>
      </c>
      <c r="B402" s="3">
        <f>'Historical Data'!B399</f>
        <v/>
      </c>
      <c r="C402" s="3">
        <f>'Historical Data'!D399</f>
        <v/>
      </c>
      <c r="D402" s="23">
        <f>'Historical Data'!E399</f>
        <v/>
      </c>
      <c r="E402" s="3">
        <f>'Historical Data'!G399</f>
        <v/>
      </c>
      <c r="F402" s="3">
        <f>'Historical Data'!Y399</f>
        <v/>
      </c>
      <c r="G402" s="3">
        <f>'Historical Data'!K399</f>
        <v/>
      </c>
      <c r="H402" s="3">
        <f>'Historical Data'!L399</f>
        <v/>
      </c>
      <c r="I402" s="26">
        <f>'Historical Data'!M399</f>
        <v/>
      </c>
      <c r="J402" s="28">
        <f>'Historical Data'!N399</f>
        <v/>
      </c>
      <c r="K402" s="28">
        <f>'Historical Data'!Q399</f>
        <v/>
      </c>
      <c r="L402" s="30">
        <f>'Historical Data'!S399</f>
        <v/>
      </c>
      <c r="M402" s="28">
        <f>'Historical Data'!AJ399</f>
        <v/>
      </c>
      <c r="N402" s="28">
        <f>'Historical Data'!AK399</f>
        <v/>
      </c>
      <c r="O402" s="3">
        <f>'Historical Data'!AA399</f>
        <v/>
      </c>
      <c r="P402" s="3">
        <f>'Historical Data'!AB399</f>
        <v/>
      </c>
      <c r="Q402" s="3">
        <f>'Historical Data'!AN399</f>
        <v/>
      </c>
      <c r="R402" s="3">
        <f>'Historical Data'!AC399</f>
        <v/>
      </c>
      <c r="S402" s="3">
        <f>'Historical Data'!AE399</f>
        <v/>
      </c>
      <c r="T402" s="3">
        <f>'Historical Data'!AH399</f>
        <v/>
      </c>
      <c r="U402" s="3">
        <f>'Historical Data'!BA399</f>
        <v/>
      </c>
      <c r="V402" s="3" t="n"/>
      <c r="W402" s="3" t="n"/>
      <c r="X402" s="3" t="n"/>
      <c r="Y402" s="3" t="n"/>
      <c r="Z402" s="3" t="n"/>
    </row>
    <row r="403" hidden="1" ht="15.75" customHeight="1" s="174">
      <c r="A403" s="3">
        <f>'Historical Data'!A400</f>
        <v/>
      </c>
      <c r="B403" s="3">
        <f>'Historical Data'!B400</f>
        <v/>
      </c>
      <c r="C403" s="3">
        <f>'Historical Data'!D400</f>
        <v/>
      </c>
      <c r="D403" s="23">
        <f>'Historical Data'!E400</f>
        <v/>
      </c>
      <c r="E403" s="3">
        <f>'Historical Data'!G400</f>
        <v/>
      </c>
      <c r="F403" s="3">
        <f>'Historical Data'!Y400</f>
        <v/>
      </c>
      <c r="G403" s="3">
        <f>'Historical Data'!K400</f>
        <v/>
      </c>
      <c r="H403" s="3">
        <f>'Historical Data'!L400</f>
        <v/>
      </c>
      <c r="I403" s="26">
        <f>'Historical Data'!M400</f>
        <v/>
      </c>
      <c r="J403" s="28">
        <f>'Historical Data'!N400</f>
        <v/>
      </c>
      <c r="K403" s="28">
        <f>'Historical Data'!Q400</f>
        <v/>
      </c>
      <c r="L403" s="30">
        <f>'Historical Data'!S400</f>
        <v/>
      </c>
      <c r="M403" s="28">
        <f>'Historical Data'!AJ400</f>
        <v/>
      </c>
      <c r="N403" s="28">
        <f>'Historical Data'!AK400</f>
        <v/>
      </c>
      <c r="O403" s="3">
        <f>'Historical Data'!AA400</f>
        <v/>
      </c>
      <c r="P403" s="3">
        <f>'Historical Data'!AB400</f>
        <v/>
      </c>
      <c r="Q403" s="3">
        <f>'Historical Data'!AN400</f>
        <v/>
      </c>
      <c r="R403" s="3">
        <f>'Historical Data'!AC400</f>
        <v/>
      </c>
      <c r="S403" s="3">
        <f>'Historical Data'!AE400</f>
        <v/>
      </c>
      <c r="T403" s="3">
        <f>'Historical Data'!AH400</f>
        <v/>
      </c>
      <c r="U403" s="3">
        <f>'Historical Data'!BA400</f>
        <v/>
      </c>
      <c r="V403" s="3" t="n"/>
      <c r="W403" s="3" t="n"/>
      <c r="X403" s="3" t="n"/>
      <c r="Y403" s="3" t="n"/>
      <c r="Z403" s="3" t="n"/>
    </row>
    <row r="404" hidden="1" ht="15.75" customHeight="1" s="174">
      <c r="A404" s="3">
        <f>'Historical Data'!A401</f>
        <v/>
      </c>
      <c r="B404" s="3">
        <f>'Historical Data'!B401</f>
        <v/>
      </c>
      <c r="C404" s="3">
        <f>'Historical Data'!D401</f>
        <v/>
      </c>
      <c r="D404" s="23">
        <f>'Historical Data'!E401</f>
        <v/>
      </c>
      <c r="E404" s="3">
        <f>'Historical Data'!G401</f>
        <v/>
      </c>
      <c r="F404" s="3">
        <f>'Historical Data'!Y401</f>
        <v/>
      </c>
      <c r="G404" s="3">
        <f>'Historical Data'!K401</f>
        <v/>
      </c>
      <c r="H404" s="3">
        <f>'Historical Data'!L401</f>
        <v/>
      </c>
      <c r="I404" s="26">
        <f>'Historical Data'!M401</f>
        <v/>
      </c>
      <c r="J404" s="28">
        <f>'Historical Data'!N401</f>
        <v/>
      </c>
      <c r="K404" s="28">
        <f>'Historical Data'!Q401</f>
        <v/>
      </c>
      <c r="L404" s="30">
        <f>'Historical Data'!S401</f>
        <v/>
      </c>
      <c r="M404" s="28">
        <f>'Historical Data'!AJ401</f>
        <v/>
      </c>
      <c r="N404" s="28">
        <f>'Historical Data'!AK401</f>
        <v/>
      </c>
      <c r="O404" s="3">
        <f>'Historical Data'!AA401</f>
        <v/>
      </c>
      <c r="P404" s="3">
        <f>'Historical Data'!AB401</f>
        <v/>
      </c>
      <c r="Q404" s="3">
        <f>'Historical Data'!AN401</f>
        <v/>
      </c>
      <c r="R404" s="3">
        <f>'Historical Data'!AC401</f>
        <v/>
      </c>
      <c r="S404" s="3">
        <f>'Historical Data'!AE401</f>
        <v/>
      </c>
      <c r="T404" s="3">
        <f>'Historical Data'!AH401</f>
        <v/>
      </c>
      <c r="U404" s="3">
        <f>'Historical Data'!BA401</f>
        <v/>
      </c>
      <c r="V404" s="3" t="n"/>
      <c r="W404" s="3" t="n"/>
      <c r="X404" s="3" t="n"/>
      <c r="Y404" s="3" t="n"/>
      <c r="Z404" s="3" t="n"/>
    </row>
    <row r="405" hidden="1" ht="15.75" customHeight="1" s="174">
      <c r="A405" s="3">
        <f>'Historical Data'!A402</f>
        <v/>
      </c>
      <c r="B405" s="3">
        <f>'Historical Data'!B402</f>
        <v/>
      </c>
      <c r="C405" s="3">
        <f>'Historical Data'!D402</f>
        <v/>
      </c>
      <c r="D405" s="23">
        <f>'Historical Data'!E402</f>
        <v/>
      </c>
      <c r="E405" s="3">
        <f>'Historical Data'!G402</f>
        <v/>
      </c>
      <c r="F405" s="3">
        <f>'Historical Data'!Y402</f>
        <v/>
      </c>
      <c r="G405" s="3">
        <f>'Historical Data'!K402</f>
        <v/>
      </c>
      <c r="H405" s="3">
        <f>'Historical Data'!L402</f>
        <v/>
      </c>
      <c r="I405" s="26">
        <f>'Historical Data'!M402</f>
        <v/>
      </c>
      <c r="J405" s="28">
        <f>'Historical Data'!N402</f>
        <v/>
      </c>
      <c r="K405" s="28">
        <f>'Historical Data'!Q402</f>
        <v/>
      </c>
      <c r="L405" s="30">
        <f>'Historical Data'!S402</f>
        <v/>
      </c>
      <c r="M405" s="28">
        <f>'Historical Data'!AJ402</f>
        <v/>
      </c>
      <c r="N405" s="28">
        <f>'Historical Data'!AK402</f>
        <v/>
      </c>
      <c r="O405" s="3">
        <f>'Historical Data'!AA402</f>
        <v/>
      </c>
      <c r="P405" s="3">
        <f>'Historical Data'!AB402</f>
        <v/>
      </c>
      <c r="Q405" s="3">
        <f>'Historical Data'!AN402</f>
        <v/>
      </c>
      <c r="R405" s="3">
        <f>'Historical Data'!AC402</f>
        <v/>
      </c>
      <c r="S405" s="3">
        <f>'Historical Data'!AE402</f>
        <v/>
      </c>
      <c r="T405" s="3">
        <f>'Historical Data'!AH402</f>
        <v/>
      </c>
      <c r="U405" s="3">
        <f>'Historical Data'!BA402</f>
        <v/>
      </c>
      <c r="V405" s="3" t="n"/>
      <c r="W405" s="3" t="n"/>
      <c r="X405" s="3" t="n"/>
      <c r="Y405" s="3" t="n"/>
      <c r="Z405" s="3" t="n"/>
    </row>
    <row r="406" hidden="1" ht="15.75" customHeight="1" s="174">
      <c r="A406" s="3">
        <f>'Historical Data'!A403</f>
        <v/>
      </c>
      <c r="B406" s="3">
        <f>'Historical Data'!B403</f>
        <v/>
      </c>
      <c r="C406" s="3">
        <f>'Historical Data'!D403</f>
        <v/>
      </c>
      <c r="D406" s="23">
        <f>'Historical Data'!E403</f>
        <v/>
      </c>
      <c r="E406" s="3">
        <f>'Historical Data'!G403</f>
        <v/>
      </c>
      <c r="F406" s="3">
        <f>'Historical Data'!Y403</f>
        <v/>
      </c>
      <c r="G406" s="3">
        <f>'Historical Data'!K403</f>
        <v/>
      </c>
      <c r="H406" s="3">
        <f>'Historical Data'!L403</f>
        <v/>
      </c>
      <c r="I406" s="26">
        <f>'Historical Data'!M403</f>
        <v/>
      </c>
      <c r="J406" s="28">
        <f>'Historical Data'!N403</f>
        <v/>
      </c>
      <c r="K406" s="28">
        <f>'Historical Data'!Q403</f>
        <v/>
      </c>
      <c r="L406" s="30">
        <f>'Historical Data'!S403</f>
        <v/>
      </c>
      <c r="M406" s="28">
        <f>'Historical Data'!AJ403</f>
        <v/>
      </c>
      <c r="N406" s="28">
        <f>'Historical Data'!AK403</f>
        <v/>
      </c>
      <c r="O406" s="3">
        <f>'Historical Data'!AA403</f>
        <v/>
      </c>
      <c r="P406" s="3">
        <f>'Historical Data'!AB403</f>
        <v/>
      </c>
      <c r="Q406" s="3">
        <f>'Historical Data'!AN403</f>
        <v/>
      </c>
      <c r="R406" s="3">
        <f>'Historical Data'!AC403</f>
        <v/>
      </c>
      <c r="S406" s="3">
        <f>'Historical Data'!AE403</f>
        <v/>
      </c>
      <c r="T406" s="3">
        <f>'Historical Data'!AH403</f>
        <v/>
      </c>
      <c r="U406" s="3">
        <f>'Historical Data'!BA403</f>
        <v/>
      </c>
      <c r="V406" s="3" t="n"/>
      <c r="W406" s="3" t="n"/>
      <c r="X406" s="3" t="n"/>
      <c r="Y406" s="3" t="n"/>
      <c r="Z406" s="3" t="n"/>
    </row>
    <row r="407" hidden="1" ht="15.75" customHeight="1" s="174">
      <c r="A407" s="3">
        <f>'Historical Data'!A404</f>
        <v/>
      </c>
      <c r="B407" s="3">
        <f>'Historical Data'!B404</f>
        <v/>
      </c>
      <c r="C407" s="3">
        <f>'Historical Data'!D404</f>
        <v/>
      </c>
      <c r="D407" s="23">
        <f>'Historical Data'!E404</f>
        <v/>
      </c>
      <c r="E407" s="3">
        <f>'Historical Data'!G404</f>
        <v/>
      </c>
      <c r="F407" s="3">
        <f>'Historical Data'!Y404</f>
        <v/>
      </c>
      <c r="G407" s="3">
        <f>'Historical Data'!K404</f>
        <v/>
      </c>
      <c r="H407" s="3">
        <f>'Historical Data'!L404</f>
        <v/>
      </c>
      <c r="I407" s="26">
        <f>'Historical Data'!M404</f>
        <v/>
      </c>
      <c r="J407" s="28">
        <f>'Historical Data'!N404</f>
        <v/>
      </c>
      <c r="K407" s="28">
        <f>'Historical Data'!Q404</f>
        <v/>
      </c>
      <c r="L407" s="30">
        <f>'Historical Data'!S404</f>
        <v/>
      </c>
      <c r="M407" s="28">
        <f>'Historical Data'!AJ404</f>
        <v/>
      </c>
      <c r="N407" s="28">
        <f>'Historical Data'!AK404</f>
        <v/>
      </c>
      <c r="O407" s="3">
        <f>'Historical Data'!AA404</f>
        <v/>
      </c>
      <c r="P407" s="3">
        <f>'Historical Data'!AB404</f>
        <v/>
      </c>
      <c r="Q407" s="3">
        <f>'Historical Data'!AN404</f>
        <v/>
      </c>
      <c r="R407" s="3">
        <f>'Historical Data'!AC404</f>
        <v/>
      </c>
      <c r="S407" s="3">
        <f>'Historical Data'!AE404</f>
        <v/>
      </c>
      <c r="T407" s="3">
        <f>'Historical Data'!AH404</f>
        <v/>
      </c>
      <c r="U407" s="3">
        <f>'Historical Data'!BA404</f>
        <v/>
      </c>
      <c r="V407" s="3" t="n"/>
      <c r="W407" s="3" t="n"/>
      <c r="X407" s="3" t="n"/>
      <c r="Y407" s="3" t="n"/>
      <c r="Z407" s="3" t="n"/>
    </row>
    <row r="408" hidden="1" ht="15.75" customHeight="1" s="174">
      <c r="A408" s="3">
        <f>'Historical Data'!A405</f>
        <v/>
      </c>
      <c r="B408" s="3">
        <f>'Historical Data'!B405</f>
        <v/>
      </c>
      <c r="C408" s="3">
        <f>'Historical Data'!D405</f>
        <v/>
      </c>
      <c r="D408" s="23">
        <f>'Historical Data'!E405</f>
        <v/>
      </c>
      <c r="E408" s="3">
        <f>'Historical Data'!G405</f>
        <v/>
      </c>
      <c r="F408" s="3">
        <f>'Historical Data'!Y405</f>
        <v/>
      </c>
      <c r="G408" s="3">
        <f>'Historical Data'!K405</f>
        <v/>
      </c>
      <c r="H408" s="3">
        <f>'Historical Data'!L405</f>
        <v/>
      </c>
      <c r="I408" s="26">
        <f>'Historical Data'!M405</f>
        <v/>
      </c>
      <c r="J408" s="28">
        <f>'Historical Data'!N405</f>
        <v/>
      </c>
      <c r="K408" s="28">
        <f>'Historical Data'!Q405</f>
        <v/>
      </c>
      <c r="L408" s="30">
        <f>'Historical Data'!S405</f>
        <v/>
      </c>
      <c r="M408" s="28">
        <f>'Historical Data'!AJ405</f>
        <v/>
      </c>
      <c r="N408" s="28">
        <f>'Historical Data'!AK405</f>
        <v/>
      </c>
      <c r="O408" s="3">
        <f>'Historical Data'!AA405</f>
        <v/>
      </c>
      <c r="P408" s="3">
        <f>'Historical Data'!AB405</f>
        <v/>
      </c>
      <c r="Q408" s="3">
        <f>'Historical Data'!AN405</f>
        <v/>
      </c>
      <c r="R408" s="3">
        <f>'Historical Data'!AC405</f>
        <v/>
      </c>
      <c r="S408" s="3">
        <f>'Historical Data'!AE405</f>
        <v/>
      </c>
      <c r="T408" s="3">
        <f>'Historical Data'!AH405</f>
        <v/>
      </c>
      <c r="U408" s="3">
        <f>'Historical Data'!BA405</f>
        <v/>
      </c>
      <c r="V408" s="3" t="n"/>
      <c r="W408" s="3" t="n"/>
      <c r="X408" s="3" t="n"/>
      <c r="Y408" s="3" t="n"/>
      <c r="Z408" s="3" t="n"/>
    </row>
    <row r="409" hidden="1" ht="15.75" customHeight="1" s="174">
      <c r="A409" s="3">
        <f>'Historical Data'!A406</f>
        <v/>
      </c>
      <c r="B409" s="3">
        <f>'Historical Data'!B406</f>
        <v/>
      </c>
      <c r="C409" s="3">
        <f>'Historical Data'!D406</f>
        <v/>
      </c>
      <c r="D409" s="23">
        <f>'Historical Data'!E406</f>
        <v/>
      </c>
      <c r="E409" s="3">
        <f>'Historical Data'!G406</f>
        <v/>
      </c>
      <c r="F409" s="3">
        <f>'Historical Data'!Y406</f>
        <v/>
      </c>
      <c r="G409" s="3">
        <f>'Historical Data'!K406</f>
        <v/>
      </c>
      <c r="H409" s="3">
        <f>'Historical Data'!L406</f>
        <v/>
      </c>
      <c r="I409" s="26">
        <f>'Historical Data'!M406</f>
        <v/>
      </c>
      <c r="J409" s="28">
        <f>'Historical Data'!N406</f>
        <v/>
      </c>
      <c r="K409" s="28">
        <f>'Historical Data'!Q406</f>
        <v/>
      </c>
      <c r="L409" s="30">
        <f>'Historical Data'!S406</f>
        <v/>
      </c>
      <c r="M409" s="28">
        <f>'Historical Data'!AJ406</f>
        <v/>
      </c>
      <c r="N409" s="28">
        <f>'Historical Data'!AK406</f>
        <v/>
      </c>
      <c r="O409" s="3">
        <f>'Historical Data'!AA406</f>
        <v/>
      </c>
      <c r="P409" s="3">
        <f>'Historical Data'!AB406</f>
        <v/>
      </c>
      <c r="Q409" s="3">
        <f>'Historical Data'!AN406</f>
        <v/>
      </c>
      <c r="R409" s="3">
        <f>'Historical Data'!AC406</f>
        <v/>
      </c>
      <c r="S409" s="3">
        <f>'Historical Data'!AE406</f>
        <v/>
      </c>
      <c r="T409" s="3">
        <f>'Historical Data'!AH406</f>
        <v/>
      </c>
      <c r="U409" s="3">
        <f>'Historical Data'!BA406</f>
        <v/>
      </c>
      <c r="V409" s="3" t="n"/>
      <c r="W409" s="3" t="n"/>
      <c r="X409" s="3" t="n"/>
      <c r="Y409" s="3" t="n"/>
      <c r="Z409" s="3" t="n"/>
    </row>
    <row r="410" hidden="1" ht="15.75" customHeight="1" s="174">
      <c r="A410" s="3">
        <f>'Historical Data'!A407</f>
        <v/>
      </c>
      <c r="B410" s="3">
        <f>'Historical Data'!B407</f>
        <v/>
      </c>
      <c r="C410" s="3">
        <f>'Historical Data'!D407</f>
        <v/>
      </c>
      <c r="D410" s="23">
        <f>'Historical Data'!E407</f>
        <v/>
      </c>
      <c r="E410" s="3">
        <f>'Historical Data'!G407</f>
        <v/>
      </c>
      <c r="F410" s="3">
        <f>'Historical Data'!Y407</f>
        <v/>
      </c>
      <c r="G410" s="3">
        <f>'Historical Data'!K407</f>
        <v/>
      </c>
      <c r="H410" s="3">
        <f>'Historical Data'!L407</f>
        <v/>
      </c>
      <c r="I410" s="26">
        <f>'Historical Data'!M407</f>
        <v/>
      </c>
      <c r="J410" s="28">
        <f>'Historical Data'!N407</f>
        <v/>
      </c>
      <c r="K410" s="28">
        <f>'Historical Data'!Q407</f>
        <v/>
      </c>
      <c r="L410" s="30">
        <f>'Historical Data'!S407</f>
        <v/>
      </c>
      <c r="M410" s="28">
        <f>'Historical Data'!AJ407</f>
        <v/>
      </c>
      <c r="N410" s="28">
        <f>'Historical Data'!AK407</f>
        <v/>
      </c>
      <c r="O410" s="3">
        <f>'Historical Data'!AA407</f>
        <v/>
      </c>
      <c r="P410" s="3">
        <f>'Historical Data'!AB407</f>
        <v/>
      </c>
      <c r="Q410" s="3">
        <f>'Historical Data'!AN407</f>
        <v/>
      </c>
      <c r="R410" s="3">
        <f>'Historical Data'!AC407</f>
        <v/>
      </c>
      <c r="S410" s="3">
        <f>'Historical Data'!AE407</f>
        <v/>
      </c>
      <c r="T410" s="3">
        <f>'Historical Data'!AH407</f>
        <v/>
      </c>
      <c r="U410" s="3">
        <f>'Historical Data'!BA407</f>
        <v/>
      </c>
      <c r="V410" s="3" t="n"/>
      <c r="W410" s="3" t="n"/>
      <c r="X410" s="3" t="n"/>
      <c r="Y410" s="3" t="n"/>
      <c r="Z410" s="3" t="n"/>
    </row>
    <row r="411" hidden="1" ht="15.75" customHeight="1" s="174">
      <c r="A411" s="3">
        <f>'Historical Data'!A408</f>
        <v/>
      </c>
      <c r="B411" s="3">
        <f>'Historical Data'!B408</f>
        <v/>
      </c>
      <c r="C411" s="3">
        <f>'Historical Data'!D408</f>
        <v/>
      </c>
      <c r="D411" s="23">
        <f>'Historical Data'!E408</f>
        <v/>
      </c>
      <c r="E411" s="3">
        <f>'Historical Data'!G408</f>
        <v/>
      </c>
      <c r="F411" s="3">
        <f>'Historical Data'!Y408</f>
        <v/>
      </c>
      <c r="G411" s="3">
        <f>'Historical Data'!K408</f>
        <v/>
      </c>
      <c r="H411" s="3">
        <f>'Historical Data'!L408</f>
        <v/>
      </c>
      <c r="I411" s="26">
        <f>'Historical Data'!M408</f>
        <v/>
      </c>
      <c r="J411" s="28">
        <f>'Historical Data'!N408</f>
        <v/>
      </c>
      <c r="K411" s="28">
        <f>'Historical Data'!Q408</f>
        <v/>
      </c>
      <c r="L411" s="30">
        <f>'Historical Data'!S408</f>
        <v/>
      </c>
      <c r="M411" s="28">
        <f>'Historical Data'!AJ408</f>
        <v/>
      </c>
      <c r="N411" s="28">
        <f>'Historical Data'!AK408</f>
        <v/>
      </c>
      <c r="O411" s="3">
        <f>'Historical Data'!AA408</f>
        <v/>
      </c>
      <c r="P411" s="3">
        <f>'Historical Data'!AB408</f>
        <v/>
      </c>
      <c r="Q411" s="3">
        <f>'Historical Data'!AN408</f>
        <v/>
      </c>
      <c r="R411" s="3">
        <f>'Historical Data'!AC408</f>
        <v/>
      </c>
      <c r="S411" s="3">
        <f>'Historical Data'!AE408</f>
        <v/>
      </c>
      <c r="T411" s="3">
        <f>'Historical Data'!AH408</f>
        <v/>
      </c>
      <c r="U411" s="3">
        <f>'Historical Data'!BA408</f>
        <v/>
      </c>
      <c r="V411" s="3" t="n"/>
      <c r="W411" s="3" t="n"/>
      <c r="X411" s="3" t="n"/>
      <c r="Y411" s="3" t="n"/>
      <c r="Z411" s="3" t="n"/>
    </row>
    <row r="412" hidden="1" ht="15.75" customHeight="1" s="174">
      <c r="A412" s="3">
        <f>'Historical Data'!A409</f>
        <v/>
      </c>
      <c r="B412" s="3">
        <f>'Historical Data'!B409</f>
        <v/>
      </c>
      <c r="C412" s="3">
        <f>'Historical Data'!D409</f>
        <v/>
      </c>
      <c r="D412" s="23">
        <f>'Historical Data'!E409</f>
        <v/>
      </c>
      <c r="E412" s="3">
        <f>'Historical Data'!G409</f>
        <v/>
      </c>
      <c r="F412" s="3">
        <f>'Historical Data'!Y409</f>
        <v/>
      </c>
      <c r="G412" s="3">
        <f>'Historical Data'!K409</f>
        <v/>
      </c>
      <c r="H412" s="3">
        <f>'Historical Data'!L409</f>
        <v/>
      </c>
      <c r="I412" s="26">
        <f>'Historical Data'!M409</f>
        <v/>
      </c>
      <c r="J412" s="28">
        <f>'Historical Data'!N409</f>
        <v/>
      </c>
      <c r="K412" s="28">
        <f>'Historical Data'!Q409</f>
        <v/>
      </c>
      <c r="L412" s="30">
        <f>'Historical Data'!S409</f>
        <v/>
      </c>
      <c r="M412" s="28">
        <f>'Historical Data'!AJ409</f>
        <v/>
      </c>
      <c r="N412" s="28">
        <f>'Historical Data'!AK409</f>
        <v/>
      </c>
      <c r="O412" s="3">
        <f>'Historical Data'!AA409</f>
        <v/>
      </c>
      <c r="P412" s="3">
        <f>'Historical Data'!AB409</f>
        <v/>
      </c>
      <c r="Q412" s="3">
        <f>'Historical Data'!AN409</f>
        <v/>
      </c>
      <c r="R412" s="3">
        <f>'Historical Data'!AC409</f>
        <v/>
      </c>
      <c r="S412" s="3">
        <f>'Historical Data'!AE409</f>
        <v/>
      </c>
      <c r="T412" s="3">
        <f>'Historical Data'!AH409</f>
        <v/>
      </c>
      <c r="U412" s="3">
        <f>'Historical Data'!BA409</f>
        <v/>
      </c>
      <c r="V412" s="3" t="n"/>
      <c r="W412" s="3" t="n"/>
      <c r="X412" s="3" t="n"/>
      <c r="Y412" s="3" t="n"/>
      <c r="Z412" s="3" t="n"/>
    </row>
    <row r="413" hidden="1" ht="15.75" customHeight="1" s="174">
      <c r="A413" s="3">
        <f>'Historical Data'!A410</f>
        <v/>
      </c>
      <c r="B413" s="3">
        <f>'Historical Data'!B410</f>
        <v/>
      </c>
      <c r="C413" s="3">
        <f>'Historical Data'!D410</f>
        <v/>
      </c>
      <c r="D413" s="23">
        <f>'Historical Data'!E410</f>
        <v/>
      </c>
      <c r="E413" s="3">
        <f>'Historical Data'!G410</f>
        <v/>
      </c>
      <c r="F413" s="3">
        <f>'Historical Data'!Y410</f>
        <v/>
      </c>
      <c r="G413" s="3">
        <f>'Historical Data'!K410</f>
        <v/>
      </c>
      <c r="H413" s="3">
        <f>'Historical Data'!L410</f>
        <v/>
      </c>
      <c r="I413" s="26">
        <f>'Historical Data'!M410</f>
        <v/>
      </c>
      <c r="J413" s="28">
        <f>'Historical Data'!N410</f>
        <v/>
      </c>
      <c r="K413" s="28">
        <f>'Historical Data'!Q410</f>
        <v/>
      </c>
      <c r="L413" s="30">
        <f>'Historical Data'!S410</f>
        <v/>
      </c>
      <c r="M413" s="28">
        <f>'Historical Data'!AJ410</f>
        <v/>
      </c>
      <c r="N413" s="28">
        <f>'Historical Data'!AK410</f>
        <v/>
      </c>
      <c r="O413" s="3">
        <f>'Historical Data'!AA410</f>
        <v/>
      </c>
      <c r="P413" s="3">
        <f>'Historical Data'!AB410</f>
        <v/>
      </c>
      <c r="Q413" s="3">
        <f>'Historical Data'!AN410</f>
        <v/>
      </c>
      <c r="R413" s="3">
        <f>'Historical Data'!AC410</f>
        <v/>
      </c>
      <c r="S413" s="3">
        <f>'Historical Data'!AE410</f>
        <v/>
      </c>
      <c r="T413" s="3">
        <f>'Historical Data'!AH410</f>
        <v/>
      </c>
      <c r="U413" s="3">
        <f>'Historical Data'!BA410</f>
        <v/>
      </c>
      <c r="V413" s="3" t="n"/>
      <c r="W413" s="3" t="n"/>
      <c r="X413" s="3" t="n"/>
      <c r="Y413" s="3" t="n"/>
      <c r="Z413" s="3" t="n"/>
    </row>
    <row r="414" hidden="1" ht="15.75" customHeight="1" s="174">
      <c r="A414" s="3">
        <f>'Historical Data'!A411</f>
        <v/>
      </c>
      <c r="B414" s="3">
        <f>'Historical Data'!B411</f>
        <v/>
      </c>
      <c r="C414" s="3">
        <f>'Historical Data'!D411</f>
        <v/>
      </c>
      <c r="D414" s="23">
        <f>'Historical Data'!E411</f>
        <v/>
      </c>
      <c r="E414" s="3">
        <f>'Historical Data'!G411</f>
        <v/>
      </c>
      <c r="F414" s="3">
        <f>'Historical Data'!Y411</f>
        <v/>
      </c>
      <c r="G414" s="3">
        <f>'Historical Data'!K411</f>
        <v/>
      </c>
      <c r="H414" s="3">
        <f>'Historical Data'!L411</f>
        <v/>
      </c>
      <c r="I414" s="26">
        <f>'Historical Data'!M411</f>
        <v/>
      </c>
      <c r="J414" s="28">
        <f>'Historical Data'!N411</f>
        <v/>
      </c>
      <c r="K414" s="28">
        <f>'Historical Data'!Q411</f>
        <v/>
      </c>
      <c r="L414" s="30">
        <f>'Historical Data'!S411</f>
        <v/>
      </c>
      <c r="M414" s="28">
        <f>'Historical Data'!AJ411</f>
        <v/>
      </c>
      <c r="N414" s="28">
        <f>'Historical Data'!AK411</f>
        <v/>
      </c>
      <c r="O414" s="3">
        <f>'Historical Data'!AA411</f>
        <v/>
      </c>
      <c r="P414" s="3">
        <f>'Historical Data'!AB411</f>
        <v/>
      </c>
      <c r="Q414" s="3">
        <f>'Historical Data'!AN411</f>
        <v/>
      </c>
      <c r="R414" s="3">
        <f>'Historical Data'!AC411</f>
        <v/>
      </c>
      <c r="S414" s="3">
        <f>'Historical Data'!AE411</f>
        <v/>
      </c>
      <c r="T414" s="3">
        <f>'Historical Data'!AH411</f>
        <v/>
      </c>
      <c r="U414" s="3">
        <f>'Historical Data'!BA411</f>
        <v/>
      </c>
      <c r="V414" s="3" t="n"/>
      <c r="W414" s="3" t="n"/>
      <c r="X414" s="3" t="n"/>
      <c r="Y414" s="3" t="n"/>
      <c r="Z414" s="3" t="n"/>
    </row>
    <row r="415" hidden="1" ht="15.75" customHeight="1" s="174">
      <c r="A415" s="3">
        <f>'Historical Data'!A412</f>
        <v/>
      </c>
      <c r="B415" s="3">
        <f>'Historical Data'!B412</f>
        <v/>
      </c>
      <c r="C415" s="3">
        <f>'Historical Data'!D412</f>
        <v/>
      </c>
      <c r="D415" s="23">
        <f>'Historical Data'!E412</f>
        <v/>
      </c>
      <c r="E415" s="3">
        <f>'Historical Data'!G412</f>
        <v/>
      </c>
      <c r="F415" s="3">
        <f>'Historical Data'!Y412</f>
        <v/>
      </c>
      <c r="G415" s="3">
        <f>'Historical Data'!K412</f>
        <v/>
      </c>
      <c r="H415" s="3">
        <f>'Historical Data'!L412</f>
        <v/>
      </c>
      <c r="I415" s="26">
        <f>'Historical Data'!M412</f>
        <v/>
      </c>
      <c r="J415" s="28">
        <f>'Historical Data'!N412</f>
        <v/>
      </c>
      <c r="K415" s="28">
        <f>'Historical Data'!Q412</f>
        <v/>
      </c>
      <c r="L415" s="30">
        <f>'Historical Data'!S412</f>
        <v/>
      </c>
      <c r="M415" s="28">
        <f>'Historical Data'!AJ412</f>
        <v/>
      </c>
      <c r="N415" s="28">
        <f>'Historical Data'!AK412</f>
        <v/>
      </c>
      <c r="O415" s="3">
        <f>'Historical Data'!AA412</f>
        <v/>
      </c>
      <c r="P415" s="3">
        <f>'Historical Data'!AB412</f>
        <v/>
      </c>
      <c r="Q415" s="3">
        <f>'Historical Data'!AN412</f>
        <v/>
      </c>
      <c r="R415" s="3">
        <f>'Historical Data'!AC412</f>
        <v/>
      </c>
      <c r="S415" s="3">
        <f>'Historical Data'!AE412</f>
        <v/>
      </c>
      <c r="T415" s="3">
        <f>'Historical Data'!AH412</f>
        <v/>
      </c>
      <c r="U415" s="3">
        <f>'Historical Data'!BA412</f>
        <v/>
      </c>
      <c r="V415" s="3" t="n"/>
      <c r="W415" s="3" t="n"/>
      <c r="X415" s="3" t="n"/>
      <c r="Y415" s="3" t="n"/>
      <c r="Z415" s="3" t="n"/>
    </row>
    <row r="416" hidden="1" ht="15.75" customHeight="1" s="174">
      <c r="A416" s="3">
        <f>'Historical Data'!A413</f>
        <v/>
      </c>
      <c r="B416" s="3">
        <f>'Historical Data'!B413</f>
        <v/>
      </c>
      <c r="C416" s="3">
        <f>'Historical Data'!D413</f>
        <v/>
      </c>
      <c r="D416" s="23">
        <f>'Historical Data'!E413</f>
        <v/>
      </c>
      <c r="E416" s="3">
        <f>'Historical Data'!G413</f>
        <v/>
      </c>
      <c r="F416" s="3">
        <f>'Historical Data'!Y413</f>
        <v/>
      </c>
      <c r="G416" s="3">
        <f>'Historical Data'!K413</f>
        <v/>
      </c>
      <c r="H416" s="3">
        <f>'Historical Data'!L413</f>
        <v/>
      </c>
      <c r="I416" s="26">
        <f>'Historical Data'!M413</f>
        <v/>
      </c>
      <c r="J416" s="28">
        <f>'Historical Data'!N413</f>
        <v/>
      </c>
      <c r="K416" s="28">
        <f>'Historical Data'!Q413</f>
        <v/>
      </c>
      <c r="L416" s="30">
        <f>'Historical Data'!S413</f>
        <v/>
      </c>
      <c r="M416" s="28">
        <f>'Historical Data'!AJ413</f>
        <v/>
      </c>
      <c r="N416" s="28">
        <f>'Historical Data'!AK413</f>
        <v/>
      </c>
      <c r="O416" s="3">
        <f>'Historical Data'!AA413</f>
        <v/>
      </c>
      <c r="P416" s="3">
        <f>'Historical Data'!AB413</f>
        <v/>
      </c>
      <c r="Q416" s="3">
        <f>'Historical Data'!AN413</f>
        <v/>
      </c>
      <c r="R416" s="3">
        <f>'Historical Data'!AC413</f>
        <v/>
      </c>
      <c r="S416" s="3">
        <f>'Historical Data'!AE413</f>
        <v/>
      </c>
      <c r="T416" s="3">
        <f>'Historical Data'!AH413</f>
        <v/>
      </c>
      <c r="U416" s="3">
        <f>'Historical Data'!BA413</f>
        <v/>
      </c>
      <c r="V416" s="3" t="n"/>
      <c r="W416" s="3" t="n"/>
      <c r="X416" s="3" t="n"/>
      <c r="Y416" s="3" t="n"/>
      <c r="Z416" s="3" t="n"/>
    </row>
    <row r="417" hidden="1" ht="15.75" customHeight="1" s="174">
      <c r="A417" s="3">
        <f>'Historical Data'!A414</f>
        <v/>
      </c>
      <c r="B417" s="3">
        <f>'Historical Data'!B414</f>
        <v/>
      </c>
      <c r="C417" s="3">
        <f>'Historical Data'!D414</f>
        <v/>
      </c>
      <c r="D417" s="23">
        <f>'Historical Data'!E414</f>
        <v/>
      </c>
      <c r="E417" s="3">
        <f>'Historical Data'!G414</f>
        <v/>
      </c>
      <c r="F417" s="3">
        <f>'Historical Data'!Y414</f>
        <v/>
      </c>
      <c r="G417" s="3">
        <f>'Historical Data'!K414</f>
        <v/>
      </c>
      <c r="H417" s="3">
        <f>'Historical Data'!L414</f>
        <v/>
      </c>
      <c r="I417" s="26">
        <f>'Historical Data'!M414</f>
        <v/>
      </c>
      <c r="J417" s="28">
        <f>'Historical Data'!N414</f>
        <v/>
      </c>
      <c r="K417" s="28">
        <f>'Historical Data'!Q414</f>
        <v/>
      </c>
      <c r="L417" s="30">
        <f>'Historical Data'!S414</f>
        <v/>
      </c>
      <c r="M417" s="28">
        <f>'Historical Data'!AJ414</f>
        <v/>
      </c>
      <c r="N417" s="28">
        <f>'Historical Data'!AK414</f>
        <v/>
      </c>
      <c r="O417" s="3">
        <f>'Historical Data'!AA414</f>
        <v/>
      </c>
      <c r="P417" s="3">
        <f>'Historical Data'!AB414</f>
        <v/>
      </c>
      <c r="Q417" s="3">
        <f>'Historical Data'!AN414</f>
        <v/>
      </c>
      <c r="R417" s="3">
        <f>'Historical Data'!AC414</f>
        <v/>
      </c>
      <c r="S417" s="3">
        <f>'Historical Data'!AE414</f>
        <v/>
      </c>
      <c r="T417" s="3">
        <f>'Historical Data'!AH414</f>
        <v/>
      </c>
      <c r="U417" s="3">
        <f>'Historical Data'!BA414</f>
        <v/>
      </c>
      <c r="V417" s="3" t="n"/>
      <c r="W417" s="3" t="n"/>
      <c r="X417" s="3" t="n"/>
      <c r="Y417" s="3" t="n"/>
      <c r="Z417" s="3" t="n"/>
    </row>
    <row r="418" hidden="1" ht="15.75" customHeight="1" s="174">
      <c r="A418" s="3">
        <f>'Historical Data'!A415</f>
        <v/>
      </c>
      <c r="B418" s="3">
        <f>'Historical Data'!B415</f>
        <v/>
      </c>
      <c r="C418" s="3">
        <f>'Historical Data'!D415</f>
        <v/>
      </c>
      <c r="D418" s="23">
        <f>'Historical Data'!E415</f>
        <v/>
      </c>
      <c r="E418" s="3">
        <f>'Historical Data'!G415</f>
        <v/>
      </c>
      <c r="F418" s="3">
        <f>'Historical Data'!Y415</f>
        <v/>
      </c>
      <c r="G418" s="3">
        <f>'Historical Data'!K415</f>
        <v/>
      </c>
      <c r="H418" s="3">
        <f>'Historical Data'!L415</f>
        <v/>
      </c>
      <c r="I418" s="26">
        <f>'Historical Data'!M415</f>
        <v/>
      </c>
      <c r="J418" s="28">
        <f>'Historical Data'!N415</f>
        <v/>
      </c>
      <c r="K418" s="28">
        <f>'Historical Data'!Q415</f>
        <v/>
      </c>
      <c r="L418" s="30">
        <f>'Historical Data'!S415</f>
        <v/>
      </c>
      <c r="M418" s="28">
        <f>'Historical Data'!AJ415</f>
        <v/>
      </c>
      <c r="N418" s="28">
        <f>'Historical Data'!AK415</f>
        <v/>
      </c>
      <c r="O418" s="3">
        <f>'Historical Data'!AA415</f>
        <v/>
      </c>
      <c r="P418" s="3">
        <f>'Historical Data'!AB415</f>
        <v/>
      </c>
      <c r="Q418" s="3">
        <f>'Historical Data'!AN415</f>
        <v/>
      </c>
      <c r="R418" s="3">
        <f>'Historical Data'!AC415</f>
        <v/>
      </c>
      <c r="S418" s="3">
        <f>'Historical Data'!AE415</f>
        <v/>
      </c>
      <c r="T418" s="3">
        <f>'Historical Data'!AH415</f>
        <v/>
      </c>
      <c r="U418" s="3">
        <f>'Historical Data'!BA415</f>
        <v/>
      </c>
      <c r="V418" s="3" t="n"/>
      <c r="W418" s="3" t="n"/>
      <c r="X418" s="3" t="n"/>
      <c r="Y418" s="3" t="n"/>
      <c r="Z418" s="3" t="n"/>
    </row>
    <row r="419" hidden="1" ht="15.75" customHeight="1" s="174">
      <c r="A419" s="3">
        <f>'Historical Data'!A416</f>
        <v/>
      </c>
      <c r="B419" s="3">
        <f>'Historical Data'!B416</f>
        <v/>
      </c>
      <c r="C419" s="3">
        <f>'Historical Data'!D416</f>
        <v/>
      </c>
      <c r="D419" s="23">
        <f>'Historical Data'!E416</f>
        <v/>
      </c>
      <c r="E419" s="3">
        <f>'Historical Data'!G416</f>
        <v/>
      </c>
      <c r="F419" s="3">
        <f>'Historical Data'!Y416</f>
        <v/>
      </c>
      <c r="G419" s="3">
        <f>'Historical Data'!K416</f>
        <v/>
      </c>
      <c r="H419" s="3">
        <f>'Historical Data'!L416</f>
        <v/>
      </c>
      <c r="I419" s="26">
        <f>'Historical Data'!M416</f>
        <v/>
      </c>
      <c r="J419" s="28">
        <f>'Historical Data'!N416</f>
        <v/>
      </c>
      <c r="K419" s="28">
        <f>'Historical Data'!Q416</f>
        <v/>
      </c>
      <c r="L419" s="30">
        <f>'Historical Data'!S416</f>
        <v/>
      </c>
      <c r="M419" s="28">
        <f>'Historical Data'!AJ416</f>
        <v/>
      </c>
      <c r="N419" s="28">
        <f>'Historical Data'!AK416</f>
        <v/>
      </c>
      <c r="O419" s="3">
        <f>'Historical Data'!AA416</f>
        <v/>
      </c>
      <c r="P419" s="3">
        <f>'Historical Data'!AB416</f>
        <v/>
      </c>
      <c r="Q419" s="3">
        <f>'Historical Data'!AN416</f>
        <v/>
      </c>
      <c r="R419" s="3">
        <f>'Historical Data'!AC416</f>
        <v/>
      </c>
      <c r="S419" s="3">
        <f>'Historical Data'!AE416</f>
        <v/>
      </c>
      <c r="T419" s="3">
        <f>'Historical Data'!AH416</f>
        <v/>
      </c>
      <c r="U419" s="3">
        <f>'Historical Data'!BA416</f>
        <v/>
      </c>
      <c r="V419" s="3" t="n"/>
      <c r="W419" s="3" t="n"/>
      <c r="X419" s="3" t="n"/>
      <c r="Y419" s="3" t="n"/>
      <c r="Z419" s="3" t="n"/>
    </row>
    <row r="420" hidden="1" ht="15.75" customHeight="1" s="174">
      <c r="A420" s="3">
        <f>'Historical Data'!A417</f>
        <v/>
      </c>
      <c r="B420" s="3">
        <f>'Historical Data'!B417</f>
        <v/>
      </c>
      <c r="C420" s="3">
        <f>'Historical Data'!D417</f>
        <v/>
      </c>
      <c r="D420" s="23">
        <f>'Historical Data'!E417</f>
        <v/>
      </c>
      <c r="E420" s="3">
        <f>'Historical Data'!G417</f>
        <v/>
      </c>
      <c r="F420" s="3">
        <f>'Historical Data'!Y417</f>
        <v/>
      </c>
      <c r="G420" s="3">
        <f>'Historical Data'!K417</f>
        <v/>
      </c>
      <c r="H420" s="3">
        <f>'Historical Data'!L417</f>
        <v/>
      </c>
      <c r="I420" s="26">
        <f>'Historical Data'!M417</f>
        <v/>
      </c>
      <c r="J420" s="28">
        <f>'Historical Data'!N417</f>
        <v/>
      </c>
      <c r="K420" s="28">
        <f>'Historical Data'!Q417</f>
        <v/>
      </c>
      <c r="L420" s="30">
        <f>'Historical Data'!S417</f>
        <v/>
      </c>
      <c r="M420" s="28">
        <f>'Historical Data'!AJ417</f>
        <v/>
      </c>
      <c r="N420" s="28">
        <f>'Historical Data'!AK417</f>
        <v/>
      </c>
      <c r="O420" s="3">
        <f>'Historical Data'!AA417</f>
        <v/>
      </c>
      <c r="P420" s="3">
        <f>'Historical Data'!AB417</f>
        <v/>
      </c>
      <c r="Q420" s="3">
        <f>'Historical Data'!AN417</f>
        <v/>
      </c>
      <c r="R420" s="3">
        <f>'Historical Data'!AC417</f>
        <v/>
      </c>
      <c r="S420" s="3">
        <f>'Historical Data'!AE417</f>
        <v/>
      </c>
      <c r="T420" s="3">
        <f>'Historical Data'!AH417</f>
        <v/>
      </c>
      <c r="U420" s="3">
        <f>'Historical Data'!BA417</f>
        <v/>
      </c>
      <c r="V420" s="3" t="n"/>
      <c r="W420" s="3" t="n"/>
      <c r="X420" s="3" t="n"/>
      <c r="Y420" s="3" t="n"/>
      <c r="Z420" s="3" t="n"/>
    </row>
    <row r="421" hidden="1" ht="15.75" customHeight="1" s="174">
      <c r="A421" s="3">
        <f>'Historical Data'!A418</f>
        <v/>
      </c>
      <c r="B421" s="3">
        <f>'Historical Data'!B418</f>
        <v/>
      </c>
      <c r="C421" s="3">
        <f>'Historical Data'!D418</f>
        <v/>
      </c>
      <c r="D421" s="23">
        <f>'Historical Data'!E418</f>
        <v/>
      </c>
      <c r="E421" s="3">
        <f>'Historical Data'!G418</f>
        <v/>
      </c>
      <c r="F421" s="3">
        <f>'Historical Data'!Y418</f>
        <v/>
      </c>
      <c r="G421" s="3">
        <f>'Historical Data'!K418</f>
        <v/>
      </c>
      <c r="H421" s="3">
        <f>'Historical Data'!L418</f>
        <v/>
      </c>
      <c r="I421" s="26">
        <f>'Historical Data'!M418</f>
        <v/>
      </c>
      <c r="J421" s="28">
        <f>'Historical Data'!N418</f>
        <v/>
      </c>
      <c r="K421" s="28">
        <f>'Historical Data'!Q418</f>
        <v/>
      </c>
      <c r="L421" s="30">
        <f>'Historical Data'!S418</f>
        <v/>
      </c>
      <c r="M421" s="28">
        <f>'Historical Data'!AJ418</f>
        <v/>
      </c>
      <c r="N421" s="28">
        <f>'Historical Data'!AK418</f>
        <v/>
      </c>
      <c r="O421" s="3">
        <f>'Historical Data'!AA418</f>
        <v/>
      </c>
      <c r="P421" s="3">
        <f>'Historical Data'!AB418</f>
        <v/>
      </c>
      <c r="Q421" s="3">
        <f>'Historical Data'!AN418</f>
        <v/>
      </c>
      <c r="R421" s="3">
        <f>'Historical Data'!AC418</f>
        <v/>
      </c>
      <c r="S421" s="3">
        <f>'Historical Data'!AE418</f>
        <v/>
      </c>
      <c r="T421" s="3">
        <f>'Historical Data'!AH418</f>
        <v/>
      </c>
      <c r="U421" s="3">
        <f>'Historical Data'!BA418</f>
        <v/>
      </c>
      <c r="V421" s="3" t="n"/>
      <c r="W421" s="3" t="n"/>
      <c r="X421" s="3" t="n"/>
      <c r="Y421" s="3" t="n"/>
      <c r="Z421" s="3" t="n"/>
    </row>
    <row r="422" hidden="1" ht="15.75" customHeight="1" s="174">
      <c r="A422" s="3">
        <f>'Historical Data'!A419</f>
        <v/>
      </c>
      <c r="B422" s="3">
        <f>'Historical Data'!B419</f>
        <v/>
      </c>
      <c r="C422" s="3">
        <f>'Historical Data'!D419</f>
        <v/>
      </c>
      <c r="D422" s="23">
        <f>'Historical Data'!E419</f>
        <v/>
      </c>
      <c r="E422" s="3">
        <f>'Historical Data'!G419</f>
        <v/>
      </c>
      <c r="F422" s="3">
        <f>'Historical Data'!Y419</f>
        <v/>
      </c>
      <c r="G422" s="3">
        <f>'Historical Data'!K419</f>
        <v/>
      </c>
      <c r="H422" s="3">
        <f>'Historical Data'!L419</f>
        <v/>
      </c>
      <c r="I422" s="26">
        <f>'Historical Data'!M419</f>
        <v/>
      </c>
      <c r="J422" s="28">
        <f>'Historical Data'!N419</f>
        <v/>
      </c>
      <c r="K422" s="28">
        <f>'Historical Data'!Q419</f>
        <v/>
      </c>
      <c r="L422" s="30">
        <f>'Historical Data'!S419</f>
        <v/>
      </c>
      <c r="M422" s="28">
        <f>'Historical Data'!AJ419</f>
        <v/>
      </c>
      <c r="N422" s="28">
        <f>'Historical Data'!AK419</f>
        <v/>
      </c>
      <c r="O422" s="3">
        <f>'Historical Data'!AA419</f>
        <v/>
      </c>
      <c r="P422" s="3">
        <f>'Historical Data'!AB419</f>
        <v/>
      </c>
      <c r="Q422" s="3">
        <f>'Historical Data'!AN419</f>
        <v/>
      </c>
      <c r="R422" s="3">
        <f>'Historical Data'!AC419</f>
        <v/>
      </c>
      <c r="S422" s="3">
        <f>'Historical Data'!AE419</f>
        <v/>
      </c>
      <c r="T422" s="3">
        <f>'Historical Data'!AH419</f>
        <v/>
      </c>
      <c r="U422" s="3">
        <f>'Historical Data'!BA419</f>
        <v/>
      </c>
      <c r="V422" s="3" t="n"/>
      <c r="W422" s="3" t="n"/>
      <c r="X422" s="3" t="n"/>
      <c r="Y422" s="3" t="n"/>
      <c r="Z422" s="3" t="n"/>
    </row>
    <row r="423" hidden="1" ht="15.75" customHeight="1" s="174">
      <c r="A423" s="3">
        <f>'Historical Data'!A420</f>
        <v/>
      </c>
      <c r="B423" s="3">
        <f>'Historical Data'!B420</f>
        <v/>
      </c>
      <c r="C423" s="3">
        <f>'Historical Data'!D420</f>
        <v/>
      </c>
      <c r="D423" s="23">
        <f>'Historical Data'!E420</f>
        <v/>
      </c>
      <c r="E423" s="3">
        <f>'Historical Data'!G420</f>
        <v/>
      </c>
      <c r="F423" s="3">
        <f>'Historical Data'!Y420</f>
        <v/>
      </c>
      <c r="G423" s="3">
        <f>'Historical Data'!K420</f>
        <v/>
      </c>
      <c r="H423" s="3">
        <f>'Historical Data'!L420</f>
        <v/>
      </c>
      <c r="I423" s="26">
        <f>'Historical Data'!M420</f>
        <v/>
      </c>
      <c r="J423" s="28">
        <f>'Historical Data'!N420</f>
        <v/>
      </c>
      <c r="K423" s="28">
        <f>'Historical Data'!Q420</f>
        <v/>
      </c>
      <c r="L423" s="30">
        <f>'Historical Data'!S420</f>
        <v/>
      </c>
      <c r="M423" s="28">
        <f>'Historical Data'!AJ420</f>
        <v/>
      </c>
      <c r="N423" s="28">
        <f>'Historical Data'!AK420</f>
        <v/>
      </c>
      <c r="O423" s="3">
        <f>'Historical Data'!AA420</f>
        <v/>
      </c>
      <c r="P423" s="3">
        <f>'Historical Data'!AB420</f>
        <v/>
      </c>
      <c r="Q423" s="3">
        <f>'Historical Data'!AN420</f>
        <v/>
      </c>
      <c r="R423" s="3">
        <f>'Historical Data'!AC420</f>
        <v/>
      </c>
      <c r="S423" s="3">
        <f>'Historical Data'!AE420</f>
        <v/>
      </c>
      <c r="T423" s="3">
        <f>'Historical Data'!AH420</f>
        <v/>
      </c>
      <c r="U423" s="3">
        <f>'Historical Data'!BA420</f>
        <v/>
      </c>
      <c r="V423" s="3" t="n"/>
      <c r="W423" s="3" t="n"/>
      <c r="X423" s="3" t="n"/>
      <c r="Y423" s="3" t="n"/>
      <c r="Z423" s="3" t="n"/>
    </row>
    <row r="424" hidden="1" ht="15.75" customHeight="1" s="174">
      <c r="A424" s="3">
        <f>'Historical Data'!A421</f>
        <v/>
      </c>
      <c r="B424" s="3">
        <f>'Historical Data'!B421</f>
        <v/>
      </c>
      <c r="C424" s="3">
        <f>'Historical Data'!D421</f>
        <v/>
      </c>
      <c r="D424" s="23">
        <f>'Historical Data'!E421</f>
        <v/>
      </c>
      <c r="E424" s="3">
        <f>'Historical Data'!G421</f>
        <v/>
      </c>
      <c r="F424" s="3">
        <f>'Historical Data'!Y421</f>
        <v/>
      </c>
      <c r="G424" s="3">
        <f>'Historical Data'!K421</f>
        <v/>
      </c>
      <c r="H424" s="3">
        <f>'Historical Data'!L421</f>
        <v/>
      </c>
      <c r="I424" s="26">
        <f>'Historical Data'!M421</f>
        <v/>
      </c>
      <c r="J424" s="28">
        <f>'Historical Data'!N421</f>
        <v/>
      </c>
      <c r="K424" s="28">
        <f>'Historical Data'!Q421</f>
        <v/>
      </c>
      <c r="L424" s="30">
        <f>'Historical Data'!S421</f>
        <v/>
      </c>
      <c r="M424" s="28">
        <f>'Historical Data'!AJ421</f>
        <v/>
      </c>
      <c r="N424" s="28">
        <f>'Historical Data'!AK421</f>
        <v/>
      </c>
      <c r="O424" s="3">
        <f>'Historical Data'!AA421</f>
        <v/>
      </c>
      <c r="P424" s="3">
        <f>'Historical Data'!AB421</f>
        <v/>
      </c>
      <c r="Q424" s="3">
        <f>'Historical Data'!AN421</f>
        <v/>
      </c>
      <c r="R424" s="3">
        <f>'Historical Data'!AC421</f>
        <v/>
      </c>
      <c r="S424" s="3">
        <f>'Historical Data'!AE421</f>
        <v/>
      </c>
      <c r="T424" s="3">
        <f>'Historical Data'!AH421</f>
        <v/>
      </c>
      <c r="U424" s="3">
        <f>'Historical Data'!BA421</f>
        <v/>
      </c>
      <c r="V424" s="3" t="n"/>
      <c r="W424" s="3" t="n"/>
      <c r="X424" s="3" t="n"/>
      <c r="Y424" s="3" t="n"/>
      <c r="Z424" s="3" t="n"/>
    </row>
    <row r="425" hidden="1" ht="15.75" customHeight="1" s="174">
      <c r="A425" s="3">
        <f>'Historical Data'!A422</f>
        <v/>
      </c>
      <c r="B425" s="3">
        <f>'Historical Data'!B422</f>
        <v/>
      </c>
      <c r="C425" s="3">
        <f>'Historical Data'!D422</f>
        <v/>
      </c>
      <c r="D425" s="23">
        <f>'Historical Data'!E422</f>
        <v/>
      </c>
      <c r="E425" s="3">
        <f>'Historical Data'!G422</f>
        <v/>
      </c>
      <c r="F425" s="3">
        <f>'Historical Data'!Y422</f>
        <v/>
      </c>
      <c r="G425" s="3">
        <f>'Historical Data'!K422</f>
        <v/>
      </c>
      <c r="H425" s="3">
        <f>'Historical Data'!L422</f>
        <v/>
      </c>
      <c r="I425" s="26">
        <f>'Historical Data'!M422</f>
        <v/>
      </c>
      <c r="J425" s="28">
        <f>'Historical Data'!N422</f>
        <v/>
      </c>
      <c r="K425" s="28">
        <f>'Historical Data'!Q422</f>
        <v/>
      </c>
      <c r="L425" s="30">
        <f>'Historical Data'!S422</f>
        <v/>
      </c>
      <c r="M425" s="28">
        <f>'Historical Data'!AJ422</f>
        <v/>
      </c>
      <c r="N425" s="28">
        <f>'Historical Data'!AK422</f>
        <v/>
      </c>
      <c r="O425" s="3">
        <f>'Historical Data'!AA422</f>
        <v/>
      </c>
      <c r="P425" s="3">
        <f>'Historical Data'!AB422</f>
        <v/>
      </c>
      <c r="Q425" s="3">
        <f>'Historical Data'!AN422</f>
        <v/>
      </c>
      <c r="R425" s="3">
        <f>'Historical Data'!AC422</f>
        <v/>
      </c>
      <c r="S425" s="3">
        <f>'Historical Data'!AE422</f>
        <v/>
      </c>
      <c r="T425" s="3">
        <f>'Historical Data'!AH422</f>
        <v/>
      </c>
      <c r="U425" s="3">
        <f>'Historical Data'!BA422</f>
        <v/>
      </c>
      <c r="V425" s="3" t="n"/>
      <c r="W425" s="3" t="n"/>
      <c r="X425" s="3" t="n"/>
      <c r="Y425" s="3" t="n"/>
      <c r="Z425" s="3" t="n"/>
    </row>
    <row r="426" hidden="1" ht="15.75" customHeight="1" s="174">
      <c r="A426" s="3">
        <f>'Historical Data'!A423</f>
        <v/>
      </c>
      <c r="B426" s="3">
        <f>'Historical Data'!B423</f>
        <v/>
      </c>
      <c r="C426" s="3">
        <f>'Historical Data'!D423</f>
        <v/>
      </c>
      <c r="D426" s="23">
        <f>'Historical Data'!E423</f>
        <v/>
      </c>
      <c r="E426" s="3">
        <f>'Historical Data'!G423</f>
        <v/>
      </c>
      <c r="F426" s="3">
        <f>'Historical Data'!Y423</f>
        <v/>
      </c>
      <c r="G426" s="3">
        <f>'Historical Data'!K423</f>
        <v/>
      </c>
      <c r="H426" s="3">
        <f>'Historical Data'!L423</f>
        <v/>
      </c>
      <c r="I426" s="26">
        <f>'Historical Data'!M423</f>
        <v/>
      </c>
      <c r="J426" s="28">
        <f>'Historical Data'!N423</f>
        <v/>
      </c>
      <c r="K426" s="28">
        <f>'Historical Data'!Q423</f>
        <v/>
      </c>
      <c r="L426" s="30">
        <f>'Historical Data'!S423</f>
        <v/>
      </c>
      <c r="M426" s="28">
        <f>'Historical Data'!AJ423</f>
        <v/>
      </c>
      <c r="N426" s="28">
        <f>'Historical Data'!AK423</f>
        <v/>
      </c>
      <c r="O426" s="3">
        <f>'Historical Data'!AA423</f>
        <v/>
      </c>
      <c r="P426" s="3">
        <f>'Historical Data'!AB423</f>
        <v/>
      </c>
      <c r="Q426" s="3">
        <f>'Historical Data'!AN423</f>
        <v/>
      </c>
      <c r="R426" s="3">
        <f>'Historical Data'!AC423</f>
        <v/>
      </c>
      <c r="S426" s="3">
        <f>'Historical Data'!AE423</f>
        <v/>
      </c>
      <c r="T426" s="3">
        <f>'Historical Data'!AH423</f>
        <v/>
      </c>
      <c r="U426" s="3">
        <f>'Historical Data'!BA423</f>
        <v/>
      </c>
      <c r="V426" s="3" t="n"/>
      <c r="W426" s="3" t="n"/>
      <c r="X426" s="3" t="n"/>
      <c r="Y426" s="3" t="n"/>
      <c r="Z426" s="3" t="n"/>
    </row>
    <row r="427" hidden="1" ht="15.75" customHeight="1" s="174">
      <c r="A427" s="3">
        <f>'Historical Data'!A424</f>
        <v/>
      </c>
      <c r="B427" s="3">
        <f>'Historical Data'!B424</f>
        <v/>
      </c>
      <c r="C427" s="3">
        <f>'Historical Data'!D424</f>
        <v/>
      </c>
      <c r="D427" s="23">
        <f>'Historical Data'!E424</f>
        <v/>
      </c>
      <c r="E427" s="3">
        <f>'Historical Data'!G424</f>
        <v/>
      </c>
      <c r="F427" s="3">
        <f>'Historical Data'!Y424</f>
        <v/>
      </c>
      <c r="G427" s="3">
        <f>'Historical Data'!K424</f>
        <v/>
      </c>
      <c r="H427" s="3">
        <f>'Historical Data'!L424</f>
        <v/>
      </c>
      <c r="I427" s="26">
        <f>'Historical Data'!M424</f>
        <v/>
      </c>
      <c r="J427" s="28">
        <f>'Historical Data'!N424</f>
        <v/>
      </c>
      <c r="K427" s="28">
        <f>'Historical Data'!Q424</f>
        <v/>
      </c>
      <c r="L427" s="30">
        <f>'Historical Data'!S424</f>
        <v/>
      </c>
      <c r="M427" s="28">
        <f>'Historical Data'!AJ424</f>
        <v/>
      </c>
      <c r="N427" s="28">
        <f>'Historical Data'!AK424</f>
        <v/>
      </c>
      <c r="O427" s="3">
        <f>'Historical Data'!AA424</f>
        <v/>
      </c>
      <c r="P427" s="3">
        <f>'Historical Data'!AB424</f>
        <v/>
      </c>
      <c r="Q427" s="3">
        <f>'Historical Data'!AN424</f>
        <v/>
      </c>
      <c r="R427" s="3">
        <f>'Historical Data'!AC424</f>
        <v/>
      </c>
      <c r="S427" s="3">
        <f>'Historical Data'!AE424</f>
        <v/>
      </c>
      <c r="T427" s="3">
        <f>'Historical Data'!AH424</f>
        <v/>
      </c>
      <c r="U427" s="3">
        <f>'Historical Data'!BA424</f>
        <v/>
      </c>
      <c r="V427" s="3" t="n"/>
      <c r="W427" s="3" t="n"/>
      <c r="X427" s="3" t="n"/>
      <c r="Y427" s="3" t="n"/>
      <c r="Z427" s="3" t="n"/>
    </row>
    <row r="428" hidden="1" ht="15.75" customHeight="1" s="174">
      <c r="A428" s="3">
        <f>'Historical Data'!A425</f>
        <v/>
      </c>
      <c r="B428" s="3">
        <f>'Historical Data'!B425</f>
        <v/>
      </c>
      <c r="C428" s="3">
        <f>'Historical Data'!D425</f>
        <v/>
      </c>
      <c r="D428" s="23">
        <f>'Historical Data'!E425</f>
        <v/>
      </c>
      <c r="E428" s="3">
        <f>'Historical Data'!G425</f>
        <v/>
      </c>
      <c r="F428" s="3">
        <f>'Historical Data'!Y425</f>
        <v/>
      </c>
      <c r="G428" s="3">
        <f>'Historical Data'!K425</f>
        <v/>
      </c>
      <c r="H428" s="3">
        <f>'Historical Data'!L425</f>
        <v/>
      </c>
      <c r="I428" s="26">
        <f>'Historical Data'!M425</f>
        <v/>
      </c>
      <c r="J428" s="28">
        <f>'Historical Data'!N425</f>
        <v/>
      </c>
      <c r="K428" s="28">
        <f>'Historical Data'!Q425</f>
        <v/>
      </c>
      <c r="L428" s="30">
        <f>'Historical Data'!S425</f>
        <v/>
      </c>
      <c r="M428" s="28">
        <f>'Historical Data'!AJ425</f>
        <v/>
      </c>
      <c r="N428" s="28">
        <f>'Historical Data'!AK425</f>
        <v/>
      </c>
      <c r="O428" s="3">
        <f>'Historical Data'!AA425</f>
        <v/>
      </c>
      <c r="P428" s="3">
        <f>'Historical Data'!AB425</f>
        <v/>
      </c>
      <c r="Q428" s="3">
        <f>'Historical Data'!AN425</f>
        <v/>
      </c>
      <c r="R428" s="3">
        <f>'Historical Data'!AC425</f>
        <v/>
      </c>
      <c r="S428" s="3">
        <f>'Historical Data'!AE425</f>
        <v/>
      </c>
      <c r="T428" s="3">
        <f>'Historical Data'!AH425</f>
        <v/>
      </c>
      <c r="U428" s="3">
        <f>'Historical Data'!BA425</f>
        <v/>
      </c>
      <c r="V428" s="3" t="n"/>
      <c r="W428" s="3" t="n"/>
      <c r="X428" s="3" t="n"/>
      <c r="Y428" s="3" t="n"/>
      <c r="Z428" s="3" t="n"/>
    </row>
    <row r="429" ht="15.75" customHeight="1" s="174">
      <c r="A429" s="3">
        <f>'Historical Data'!A426</f>
        <v/>
      </c>
      <c r="B429" s="3">
        <f>'Historical Data'!B426</f>
        <v/>
      </c>
      <c r="C429" s="3">
        <f>'Historical Data'!D426</f>
        <v/>
      </c>
      <c r="D429" s="23">
        <f>'Historical Data'!E426</f>
        <v/>
      </c>
      <c r="E429" s="3">
        <f>'Historical Data'!G426</f>
        <v/>
      </c>
      <c r="F429" s="3">
        <f>'Historical Data'!Y426</f>
        <v/>
      </c>
      <c r="G429" s="3">
        <f>'Historical Data'!K426</f>
        <v/>
      </c>
      <c r="H429" s="3">
        <f>'Historical Data'!L426</f>
        <v/>
      </c>
      <c r="I429" s="26">
        <f>'Historical Data'!M426</f>
        <v/>
      </c>
      <c r="J429" s="28">
        <f>'Historical Data'!N426</f>
        <v/>
      </c>
      <c r="K429" s="28">
        <f>'Historical Data'!Q426</f>
        <v/>
      </c>
      <c r="L429" s="30">
        <f>'Historical Data'!S426</f>
        <v/>
      </c>
      <c r="M429" s="28">
        <f>'Historical Data'!AJ426</f>
        <v/>
      </c>
      <c r="N429" s="28">
        <f>'Historical Data'!AK426</f>
        <v/>
      </c>
      <c r="O429" s="3">
        <f>'Historical Data'!AA426</f>
        <v/>
      </c>
      <c r="P429" s="3">
        <f>'Historical Data'!AB426</f>
        <v/>
      </c>
      <c r="Q429" s="3">
        <f>'Historical Data'!AN426</f>
        <v/>
      </c>
      <c r="R429" s="3">
        <f>'Historical Data'!AC426</f>
        <v/>
      </c>
      <c r="S429" s="3">
        <f>'Historical Data'!AE426</f>
        <v/>
      </c>
      <c r="T429" s="3">
        <f>'Historical Data'!AH426</f>
        <v/>
      </c>
      <c r="U429" s="3">
        <f>'Historical Data'!BA426</f>
        <v/>
      </c>
      <c r="V429" s="3" t="n"/>
      <c r="W429" s="3" t="n"/>
      <c r="X429" s="3" t="n"/>
      <c r="Y429" s="3" t="n"/>
      <c r="Z429" s="3" t="n"/>
    </row>
    <row r="430" hidden="1" ht="15.75" customHeight="1" s="174">
      <c r="A430" s="3">
        <f>'Historical Data'!A427</f>
        <v/>
      </c>
      <c r="B430" s="3">
        <f>'Historical Data'!B427</f>
        <v/>
      </c>
      <c r="C430" s="3">
        <f>'Historical Data'!D427</f>
        <v/>
      </c>
      <c r="D430" s="23">
        <f>'Historical Data'!E427</f>
        <v/>
      </c>
      <c r="E430" s="3">
        <f>'Historical Data'!G427</f>
        <v/>
      </c>
      <c r="F430" s="3">
        <f>'Historical Data'!Y427</f>
        <v/>
      </c>
      <c r="G430" s="3">
        <f>'Historical Data'!K427</f>
        <v/>
      </c>
      <c r="H430" s="3">
        <f>'Historical Data'!L427</f>
        <v/>
      </c>
      <c r="I430" s="26">
        <f>'Historical Data'!M427</f>
        <v/>
      </c>
      <c r="J430" s="28">
        <f>'Historical Data'!N427</f>
        <v/>
      </c>
      <c r="K430" s="28">
        <f>'Historical Data'!Q427</f>
        <v/>
      </c>
      <c r="L430" s="30">
        <f>'Historical Data'!S427</f>
        <v/>
      </c>
      <c r="M430" s="28">
        <f>'Historical Data'!AJ427</f>
        <v/>
      </c>
      <c r="N430" s="28">
        <f>'Historical Data'!AK427</f>
        <v/>
      </c>
      <c r="O430" s="3">
        <f>'Historical Data'!AA427</f>
        <v/>
      </c>
      <c r="P430" s="3">
        <f>'Historical Data'!AB427</f>
        <v/>
      </c>
      <c r="Q430" s="3">
        <f>'Historical Data'!AN427</f>
        <v/>
      </c>
      <c r="R430" s="3">
        <f>'Historical Data'!AC427</f>
        <v/>
      </c>
      <c r="S430" s="3">
        <f>'Historical Data'!AE427</f>
        <v/>
      </c>
      <c r="T430" s="3">
        <f>'Historical Data'!AH427</f>
        <v/>
      </c>
      <c r="U430" s="3">
        <f>'Historical Data'!BA427</f>
        <v/>
      </c>
      <c r="V430" s="3" t="n"/>
      <c r="W430" s="3" t="n"/>
      <c r="X430" s="3" t="n"/>
      <c r="Y430" s="3" t="n"/>
      <c r="Z430" s="3" t="n"/>
    </row>
    <row r="431" hidden="1" ht="15.75" customHeight="1" s="174">
      <c r="A431" s="3">
        <f>'Historical Data'!A428</f>
        <v/>
      </c>
      <c r="B431" s="3">
        <f>'Historical Data'!B428</f>
        <v/>
      </c>
      <c r="C431" s="3">
        <f>'Historical Data'!D428</f>
        <v/>
      </c>
      <c r="D431" s="23">
        <f>'Historical Data'!E428</f>
        <v/>
      </c>
      <c r="E431" s="3">
        <f>'Historical Data'!G428</f>
        <v/>
      </c>
      <c r="F431" s="3">
        <f>'Historical Data'!Y428</f>
        <v/>
      </c>
      <c r="G431" s="3">
        <f>'Historical Data'!K428</f>
        <v/>
      </c>
      <c r="H431" s="3">
        <f>'Historical Data'!L428</f>
        <v/>
      </c>
      <c r="I431" s="26">
        <f>'Historical Data'!M428</f>
        <v/>
      </c>
      <c r="J431" s="28">
        <f>'Historical Data'!N428</f>
        <v/>
      </c>
      <c r="K431" s="28">
        <f>'Historical Data'!Q428</f>
        <v/>
      </c>
      <c r="L431" s="30">
        <f>'Historical Data'!S428</f>
        <v/>
      </c>
      <c r="M431" s="28">
        <f>'Historical Data'!AJ428</f>
        <v/>
      </c>
      <c r="N431" s="28">
        <f>'Historical Data'!AK428</f>
        <v/>
      </c>
      <c r="O431" s="3">
        <f>'Historical Data'!AA428</f>
        <v/>
      </c>
      <c r="P431" s="3">
        <f>'Historical Data'!AB428</f>
        <v/>
      </c>
      <c r="Q431" s="3">
        <f>'Historical Data'!AN428</f>
        <v/>
      </c>
      <c r="R431" s="3">
        <f>'Historical Data'!AC428</f>
        <v/>
      </c>
      <c r="S431" s="3">
        <f>'Historical Data'!AE428</f>
        <v/>
      </c>
      <c r="T431" s="3">
        <f>'Historical Data'!AH428</f>
        <v/>
      </c>
      <c r="U431" s="3">
        <f>'Historical Data'!BA428</f>
        <v/>
      </c>
      <c r="V431" s="3" t="n"/>
      <c r="W431" s="3" t="n"/>
      <c r="X431" s="3" t="n"/>
      <c r="Y431" s="3" t="n"/>
      <c r="Z431" s="3" t="n"/>
    </row>
    <row r="432" hidden="1" ht="15.75" customHeight="1" s="174">
      <c r="A432" s="3">
        <f>'Historical Data'!A429</f>
        <v/>
      </c>
      <c r="B432" s="3">
        <f>'Historical Data'!B429</f>
        <v/>
      </c>
      <c r="C432" s="3">
        <f>'Historical Data'!D429</f>
        <v/>
      </c>
      <c r="D432" s="23">
        <f>'Historical Data'!E429</f>
        <v/>
      </c>
      <c r="E432" s="3">
        <f>'Historical Data'!G429</f>
        <v/>
      </c>
      <c r="F432" s="3">
        <f>'Historical Data'!Y429</f>
        <v/>
      </c>
      <c r="G432" s="3">
        <f>'Historical Data'!K429</f>
        <v/>
      </c>
      <c r="H432" s="3">
        <f>'Historical Data'!L429</f>
        <v/>
      </c>
      <c r="I432" s="26">
        <f>'Historical Data'!M429</f>
        <v/>
      </c>
      <c r="J432" s="28">
        <f>'Historical Data'!N429</f>
        <v/>
      </c>
      <c r="K432" s="28">
        <f>'Historical Data'!Q429</f>
        <v/>
      </c>
      <c r="L432" s="30">
        <f>'Historical Data'!S429</f>
        <v/>
      </c>
      <c r="M432" s="28">
        <f>'Historical Data'!AJ429</f>
        <v/>
      </c>
      <c r="N432" s="28">
        <f>'Historical Data'!AK429</f>
        <v/>
      </c>
      <c r="O432" s="3">
        <f>'Historical Data'!AA429</f>
        <v/>
      </c>
      <c r="P432" s="3">
        <f>'Historical Data'!AB429</f>
        <v/>
      </c>
      <c r="Q432" s="3">
        <f>'Historical Data'!AN429</f>
        <v/>
      </c>
      <c r="R432" s="3">
        <f>'Historical Data'!AC429</f>
        <v/>
      </c>
      <c r="S432" s="3">
        <f>'Historical Data'!AE429</f>
        <v/>
      </c>
      <c r="T432" s="3">
        <f>'Historical Data'!AH429</f>
        <v/>
      </c>
      <c r="U432" s="3">
        <f>'Historical Data'!BA429</f>
        <v/>
      </c>
      <c r="V432" s="3" t="n"/>
      <c r="W432" s="3" t="n"/>
      <c r="X432" s="3" t="n"/>
      <c r="Y432" s="3" t="n"/>
      <c r="Z432" s="3" t="n"/>
    </row>
    <row r="433" hidden="1" ht="15.75" customHeight="1" s="174">
      <c r="A433" s="3">
        <f>'Historical Data'!A430</f>
        <v/>
      </c>
      <c r="B433" s="3">
        <f>'Historical Data'!B430</f>
        <v/>
      </c>
      <c r="C433" s="3">
        <f>'Historical Data'!D430</f>
        <v/>
      </c>
      <c r="D433" s="23">
        <f>'Historical Data'!E430</f>
        <v/>
      </c>
      <c r="E433" s="3">
        <f>'Historical Data'!G430</f>
        <v/>
      </c>
      <c r="F433" s="3">
        <f>'Historical Data'!Y430</f>
        <v/>
      </c>
      <c r="G433" s="3">
        <f>'Historical Data'!K430</f>
        <v/>
      </c>
      <c r="H433" s="3">
        <f>'Historical Data'!L430</f>
        <v/>
      </c>
      <c r="I433" s="26">
        <f>'Historical Data'!M430</f>
        <v/>
      </c>
      <c r="J433" s="28">
        <f>'Historical Data'!N430</f>
        <v/>
      </c>
      <c r="K433" s="28">
        <f>'Historical Data'!Q430</f>
        <v/>
      </c>
      <c r="L433" s="30">
        <f>'Historical Data'!S430</f>
        <v/>
      </c>
      <c r="M433" s="28">
        <f>'Historical Data'!AJ430</f>
        <v/>
      </c>
      <c r="N433" s="28">
        <f>'Historical Data'!AK430</f>
        <v/>
      </c>
      <c r="O433" s="3">
        <f>'Historical Data'!AA430</f>
        <v/>
      </c>
      <c r="P433" s="3">
        <f>'Historical Data'!AB430</f>
        <v/>
      </c>
      <c r="Q433" s="3">
        <f>'Historical Data'!AN430</f>
        <v/>
      </c>
      <c r="R433" s="3">
        <f>'Historical Data'!AC430</f>
        <v/>
      </c>
      <c r="S433" s="3">
        <f>'Historical Data'!AE430</f>
        <v/>
      </c>
      <c r="T433" s="3">
        <f>'Historical Data'!AH430</f>
        <v/>
      </c>
      <c r="U433" s="3">
        <f>'Historical Data'!BA430</f>
        <v/>
      </c>
      <c r="V433" s="3" t="n"/>
      <c r="W433" s="3" t="n"/>
      <c r="X433" s="3" t="n"/>
      <c r="Y433" s="3" t="n"/>
      <c r="Z433" s="3" t="n"/>
    </row>
    <row r="434" hidden="1" ht="15.75" customHeight="1" s="174">
      <c r="A434" s="3">
        <f>'Historical Data'!A431</f>
        <v/>
      </c>
      <c r="B434" s="3">
        <f>'Historical Data'!B431</f>
        <v/>
      </c>
      <c r="C434" s="3">
        <f>'Historical Data'!D431</f>
        <v/>
      </c>
      <c r="D434" s="23">
        <f>'Historical Data'!E431</f>
        <v/>
      </c>
      <c r="E434" s="3">
        <f>'Historical Data'!G431</f>
        <v/>
      </c>
      <c r="F434" s="3">
        <f>'Historical Data'!Y431</f>
        <v/>
      </c>
      <c r="G434" s="3">
        <f>'Historical Data'!K431</f>
        <v/>
      </c>
      <c r="H434" s="3">
        <f>'Historical Data'!L431</f>
        <v/>
      </c>
      <c r="I434" s="26">
        <f>'Historical Data'!M431</f>
        <v/>
      </c>
      <c r="J434" s="28">
        <f>'Historical Data'!N431</f>
        <v/>
      </c>
      <c r="K434" s="28">
        <f>'Historical Data'!Q431</f>
        <v/>
      </c>
      <c r="L434" s="30">
        <f>'Historical Data'!S431</f>
        <v/>
      </c>
      <c r="M434" s="28">
        <f>'Historical Data'!AJ431</f>
        <v/>
      </c>
      <c r="N434" s="28">
        <f>'Historical Data'!AK431</f>
        <v/>
      </c>
      <c r="O434" s="3">
        <f>'Historical Data'!AA431</f>
        <v/>
      </c>
      <c r="P434" s="3">
        <f>'Historical Data'!AB431</f>
        <v/>
      </c>
      <c r="Q434" s="3">
        <f>'Historical Data'!AN431</f>
        <v/>
      </c>
      <c r="R434" s="3">
        <f>'Historical Data'!AC431</f>
        <v/>
      </c>
      <c r="S434" s="3">
        <f>'Historical Data'!AE431</f>
        <v/>
      </c>
      <c r="T434" s="3">
        <f>'Historical Data'!AH431</f>
        <v/>
      </c>
      <c r="U434" s="3">
        <f>'Historical Data'!BA431</f>
        <v/>
      </c>
      <c r="V434" s="3" t="n"/>
      <c r="W434" s="3" t="n"/>
      <c r="X434" s="3" t="n"/>
      <c r="Y434" s="3" t="n"/>
      <c r="Z434" s="3" t="n"/>
    </row>
    <row r="435" hidden="1" ht="15.75" customHeight="1" s="174">
      <c r="A435" s="3">
        <f>'Historical Data'!A432</f>
        <v/>
      </c>
      <c r="B435" s="3">
        <f>'Historical Data'!B432</f>
        <v/>
      </c>
      <c r="C435" s="3">
        <f>'Historical Data'!D432</f>
        <v/>
      </c>
      <c r="D435" s="23">
        <f>'Historical Data'!E432</f>
        <v/>
      </c>
      <c r="E435" s="3">
        <f>'Historical Data'!G432</f>
        <v/>
      </c>
      <c r="F435" s="3">
        <f>'Historical Data'!Y432</f>
        <v/>
      </c>
      <c r="G435" s="3">
        <f>'Historical Data'!K432</f>
        <v/>
      </c>
      <c r="H435" s="3">
        <f>'Historical Data'!L432</f>
        <v/>
      </c>
      <c r="I435" s="26">
        <f>'Historical Data'!M432</f>
        <v/>
      </c>
      <c r="J435" s="28">
        <f>'Historical Data'!N432</f>
        <v/>
      </c>
      <c r="K435" s="28">
        <f>'Historical Data'!Q432</f>
        <v/>
      </c>
      <c r="L435" s="30">
        <f>'Historical Data'!S432</f>
        <v/>
      </c>
      <c r="M435" s="28">
        <f>'Historical Data'!AJ432</f>
        <v/>
      </c>
      <c r="N435" s="28">
        <f>'Historical Data'!AK432</f>
        <v/>
      </c>
      <c r="O435" s="3">
        <f>'Historical Data'!AA432</f>
        <v/>
      </c>
      <c r="P435" s="3">
        <f>'Historical Data'!AB432</f>
        <v/>
      </c>
      <c r="Q435" s="3">
        <f>'Historical Data'!AN432</f>
        <v/>
      </c>
      <c r="R435" s="3">
        <f>'Historical Data'!AC432</f>
        <v/>
      </c>
      <c r="S435" s="3">
        <f>'Historical Data'!AE432</f>
        <v/>
      </c>
      <c r="T435" s="3">
        <f>'Historical Data'!AH432</f>
        <v/>
      </c>
      <c r="U435" s="3">
        <f>'Historical Data'!BA432</f>
        <v/>
      </c>
      <c r="V435" s="3" t="n"/>
      <c r="W435" s="3" t="n"/>
      <c r="X435" s="3" t="n"/>
      <c r="Y435" s="3" t="n"/>
      <c r="Z435" s="3" t="n"/>
    </row>
    <row r="436" hidden="1" ht="15.75" customHeight="1" s="174">
      <c r="A436" s="3">
        <f>'Historical Data'!A433</f>
        <v/>
      </c>
      <c r="B436" s="3">
        <f>'Historical Data'!B433</f>
        <v/>
      </c>
      <c r="C436" s="3">
        <f>'Historical Data'!D433</f>
        <v/>
      </c>
      <c r="D436" s="23">
        <f>'Historical Data'!E433</f>
        <v/>
      </c>
      <c r="E436" s="3">
        <f>'Historical Data'!G433</f>
        <v/>
      </c>
      <c r="F436" s="3">
        <f>'Historical Data'!Y433</f>
        <v/>
      </c>
      <c r="G436" s="3">
        <f>'Historical Data'!K433</f>
        <v/>
      </c>
      <c r="H436" s="3">
        <f>'Historical Data'!L433</f>
        <v/>
      </c>
      <c r="I436" s="26">
        <f>'Historical Data'!M433</f>
        <v/>
      </c>
      <c r="J436" s="28">
        <f>'Historical Data'!N433</f>
        <v/>
      </c>
      <c r="K436" s="28">
        <f>'Historical Data'!Q433</f>
        <v/>
      </c>
      <c r="L436" s="30">
        <f>'Historical Data'!S433</f>
        <v/>
      </c>
      <c r="M436" s="28">
        <f>'Historical Data'!AJ433</f>
        <v/>
      </c>
      <c r="N436" s="28">
        <f>'Historical Data'!AK433</f>
        <v/>
      </c>
      <c r="O436" s="3">
        <f>'Historical Data'!AA433</f>
        <v/>
      </c>
      <c r="P436" s="3">
        <f>'Historical Data'!AB433</f>
        <v/>
      </c>
      <c r="Q436" s="3">
        <f>'Historical Data'!AN433</f>
        <v/>
      </c>
      <c r="R436" s="3">
        <f>'Historical Data'!AC433</f>
        <v/>
      </c>
      <c r="S436" s="3">
        <f>'Historical Data'!AE433</f>
        <v/>
      </c>
      <c r="T436" s="3">
        <f>'Historical Data'!AH433</f>
        <v/>
      </c>
      <c r="U436" s="3">
        <f>'Historical Data'!BA433</f>
        <v/>
      </c>
      <c r="V436" s="3" t="n"/>
      <c r="W436" s="3" t="n"/>
      <c r="X436" s="3" t="n"/>
      <c r="Y436" s="3" t="n"/>
      <c r="Z436" s="3" t="n"/>
    </row>
    <row r="437" hidden="1" ht="15.75" customHeight="1" s="174">
      <c r="A437" s="3">
        <f>'Historical Data'!A434</f>
        <v/>
      </c>
      <c r="B437" s="3">
        <f>'Historical Data'!B434</f>
        <v/>
      </c>
      <c r="C437" s="3">
        <f>'Historical Data'!D434</f>
        <v/>
      </c>
      <c r="D437" s="23">
        <f>'Historical Data'!E434</f>
        <v/>
      </c>
      <c r="E437" s="3">
        <f>'Historical Data'!G434</f>
        <v/>
      </c>
      <c r="F437" s="3">
        <f>'Historical Data'!Y434</f>
        <v/>
      </c>
      <c r="G437" s="3">
        <f>'Historical Data'!K434</f>
        <v/>
      </c>
      <c r="H437" s="3">
        <f>'Historical Data'!L434</f>
        <v/>
      </c>
      <c r="I437" s="26">
        <f>'Historical Data'!M434</f>
        <v/>
      </c>
      <c r="J437" s="28">
        <f>'Historical Data'!N434</f>
        <v/>
      </c>
      <c r="K437" s="28">
        <f>'Historical Data'!Q434</f>
        <v/>
      </c>
      <c r="L437" s="30">
        <f>'Historical Data'!S434</f>
        <v/>
      </c>
      <c r="M437" s="28">
        <f>'Historical Data'!AJ434</f>
        <v/>
      </c>
      <c r="N437" s="28">
        <f>'Historical Data'!AK434</f>
        <v/>
      </c>
      <c r="O437" s="3">
        <f>'Historical Data'!AA434</f>
        <v/>
      </c>
      <c r="P437" s="3">
        <f>'Historical Data'!AB434</f>
        <v/>
      </c>
      <c r="Q437" s="3">
        <f>'Historical Data'!AN434</f>
        <v/>
      </c>
      <c r="R437" s="3">
        <f>'Historical Data'!AC434</f>
        <v/>
      </c>
      <c r="S437" s="3">
        <f>'Historical Data'!AE434</f>
        <v/>
      </c>
      <c r="T437" s="3">
        <f>'Historical Data'!AH434</f>
        <v/>
      </c>
      <c r="U437" s="3">
        <f>'Historical Data'!BA434</f>
        <v/>
      </c>
      <c r="V437" s="3" t="n"/>
      <c r="W437" s="3" t="n"/>
      <c r="X437" s="3" t="n"/>
      <c r="Y437" s="3" t="n"/>
      <c r="Z437" s="3" t="n"/>
    </row>
    <row r="438" hidden="1" ht="15.75" customHeight="1" s="174">
      <c r="A438" s="3">
        <f>'Historical Data'!A435</f>
        <v/>
      </c>
      <c r="B438" s="3">
        <f>'Historical Data'!B435</f>
        <v/>
      </c>
      <c r="C438" s="3">
        <f>'Historical Data'!D435</f>
        <v/>
      </c>
      <c r="D438" s="23">
        <f>'Historical Data'!E435</f>
        <v/>
      </c>
      <c r="E438" s="3">
        <f>'Historical Data'!G435</f>
        <v/>
      </c>
      <c r="F438" s="3">
        <f>'Historical Data'!Y435</f>
        <v/>
      </c>
      <c r="G438" s="3">
        <f>'Historical Data'!K435</f>
        <v/>
      </c>
      <c r="H438" s="3">
        <f>'Historical Data'!L435</f>
        <v/>
      </c>
      <c r="I438" s="26">
        <f>'Historical Data'!M435</f>
        <v/>
      </c>
      <c r="J438" s="28">
        <f>'Historical Data'!N435</f>
        <v/>
      </c>
      <c r="K438" s="28">
        <f>'Historical Data'!Q435</f>
        <v/>
      </c>
      <c r="L438" s="30">
        <f>'Historical Data'!S435</f>
        <v/>
      </c>
      <c r="M438" s="28">
        <f>'Historical Data'!AJ435</f>
        <v/>
      </c>
      <c r="N438" s="28">
        <f>'Historical Data'!AK435</f>
        <v/>
      </c>
      <c r="O438" s="3">
        <f>'Historical Data'!AA435</f>
        <v/>
      </c>
      <c r="P438" s="3">
        <f>'Historical Data'!AB435</f>
        <v/>
      </c>
      <c r="Q438" s="3">
        <f>'Historical Data'!AN435</f>
        <v/>
      </c>
      <c r="R438" s="3">
        <f>'Historical Data'!AC435</f>
        <v/>
      </c>
      <c r="S438" s="3">
        <f>'Historical Data'!AE435</f>
        <v/>
      </c>
      <c r="T438" s="3">
        <f>'Historical Data'!AH435</f>
        <v/>
      </c>
      <c r="U438" s="3">
        <f>'Historical Data'!BA435</f>
        <v/>
      </c>
      <c r="V438" s="3" t="n"/>
      <c r="W438" s="3" t="n"/>
      <c r="X438" s="3" t="n"/>
      <c r="Y438" s="3" t="n"/>
      <c r="Z438" s="3" t="n"/>
    </row>
    <row r="439" hidden="1" ht="15.75" customHeight="1" s="174">
      <c r="A439" s="3">
        <f>'Historical Data'!A436</f>
        <v/>
      </c>
      <c r="B439" s="3">
        <f>'Historical Data'!B436</f>
        <v/>
      </c>
      <c r="C439" s="3">
        <f>'Historical Data'!D436</f>
        <v/>
      </c>
      <c r="D439" s="23">
        <f>'Historical Data'!E436</f>
        <v/>
      </c>
      <c r="E439" s="3">
        <f>'Historical Data'!G436</f>
        <v/>
      </c>
      <c r="F439" s="3">
        <f>'Historical Data'!Y436</f>
        <v/>
      </c>
      <c r="G439" s="3">
        <f>'Historical Data'!K436</f>
        <v/>
      </c>
      <c r="H439" s="3">
        <f>'Historical Data'!L436</f>
        <v/>
      </c>
      <c r="I439" s="26">
        <f>'Historical Data'!M436</f>
        <v/>
      </c>
      <c r="J439" s="28">
        <f>'Historical Data'!N436</f>
        <v/>
      </c>
      <c r="K439" s="28">
        <f>'Historical Data'!Q436</f>
        <v/>
      </c>
      <c r="L439" s="30">
        <f>'Historical Data'!S436</f>
        <v/>
      </c>
      <c r="M439" s="28">
        <f>'Historical Data'!AJ436</f>
        <v/>
      </c>
      <c r="N439" s="28">
        <f>'Historical Data'!AK436</f>
        <v/>
      </c>
      <c r="O439" s="3">
        <f>'Historical Data'!AA436</f>
        <v/>
      </c>
      <c r="P439" s="3">
        <f>'Historical Data'!AB436</f>
        <v/>
      </c>
      <c r="Q439" s="3">
        <f>'Historical Data'!AN436</f>
        <v/>
      </c>
      <c r="R439" s="3">
        <f>'Historical Data'!AC436</f>
        <v/>
      </c>
      <c r="S439" s="3">
        <f>'Historical Data'!AE436</f>
        <v/>
      </c>
      <c r="T439" s="3">
        <f>'Historical Data'!AH436</f>
        <v/>
      </c>
      <c r="U439" s="3">
        <f>'Historical Data'!BA436</f>
        <v/>
      </c>
      <c r="V439" s="3" t="n"/>
      <c r="W439" s="3" t="n"/>
      <c r="X439" s="3" t="n"/>
      <c r="Y439" s="3" t="n"/>
      <c r="Z439" s="3" t="n"/>
    </row>
    <row r="440" hidden="1" ht="15.75" customHeight="1" s="174">
      <c r="A440" s="3">
        <f>'Historical Data'!A437</f>
        <v/>
      </c>
      <c r="B440" s="3">
        <f>'Historical Data'!B437</f>
        <v/>
      </c>
      <c r="C440" s="3">
        <f>'Historical Data'!D437</f>
        <v/>
      </c>
      <c r="D440" s="23">
        <f>'Historical Data'!E437</f>
        <v/>
      </c>
      <c r="E440" s="3">
        <f>'Historical Data'!G437</f>
        <v/>
      </c>
      <c r="F440" s="3">
        <f>'Historical Data'!Y437</f>
        <v/>
      </c>
      <c r="G440" s="3">
        <f>'Historical Data'!K437</f>
        <v/>
      </c>
      <c r="H440" s="3">
        <f>'Historical Data'!L437</f>
        <v/>
      </c>
      <c r="I440" s="26">
        <f>'Historical Data'!M437</f>
        <v/>
      </c>
      <c r="J440" s="28">
        <f>'Historical Data'!N437</f>
        <v/>
      </c>
      <c r="K440" s="28">
        <f>'Historical Data'!Q437</f>
        <v/>
      </c>
      <c r="L440" s="30">
        <f>'Historical Data'!S437</f>
        <v/>
      </c>
      <c r="M440" s="28">
        <f>'Historical Data'!AJ437</f>
        <v/>
      </c>
      <c r="N440" s="28">
        <f>'Historical Data'!AK437</f>
        <v/>
      </c>
      <c r="O440" s="3">
        <f>'Historical Data'!AA437</f>
        <v/>
      </c>
      <c r="P440" s="3">
        <f>'Historical Data'!AB437</f>
        <v/>
      </c>
      <c r="Q440" s="3">
        <f>'Historical Data'!AN437</f>
        <v/>
      </c>
      <c r="R440" s="3">
        <f>'Historical Data'!AC437</f>
        <v/>
      </c>
      <c r="S440" s="3">
        <f>'Historical Data'!AE437</f>
        <v/>
      </c>
      <c r="T440" s="3">
        <f>'Historical Data'!AH437</f>
        <v/>
      </c>
      <c r="U440" s="3">
        <f>'Historical Data'!BA437</f>
        <v/>
      </c>
      <c r="V440" s="3" t="n"/>
      <c r="W440" s="3" t="n"/>
      <c r="X440" s="3" t="n"/>
      <c r="Y440" s="3" t="n"/>
      <c r="Z440" s="3" t="n"/>
    </row>
    <row r="441" hidden="1" ht="15.75" customHeight="1" s="174">
      <c r="A441" s="3">
        <f>'Historical Data'!A438</f>
        <v/>
      </c>
      <c r="B441" s="3">
        <f>'Historical Data'!B438</f>
        <v/>
      </c>
      <c r="C441" s="3">
        <f>'Historical Data'!D438</f>
        <v/>
      </c>
      <c r="D441" s="23">
        <f>'Historical Data'!E438</f>
        <v/>
      </c>
      <c r="E441" s="3">
        <f>'Historical Data'!G438</f>
        <v/>
      </c>
      <c r="F441" s="3">
        <f>'Historical Data'!Y438</f>
        <v/>
      </c>
      <c r="G441" s="3">
        <f>'Historical Data'!K438</f>
        <v/>
      </c>
      <c r="H441" s="3">
        <f>'Historical Data'!L438</f>
        <v/>
      </c>
      <c r="I441" s="26">
        <f>'Historical Data'!M438</f>
        <v/>
      </c>
      <c r="J441" s="28">
        <f>'Historical Data'!N438</f>
        <v/>
      </c>
      <c r="K441" s="28">
        <f>'Historical Data'!Q438</f>
        <v/>
      </c>
      <c r="L441" s="30">
        <f>'Historical Data'!S438</f>
        <v/>
      </c>
      <c r="M441" s="28">
        <f>'Historical Data'!AJ438</f>
        <v/>
      </c>
      <c r="N441" s="28">
        <f>'Historical Data'!AK438</f>
        <v/>
      </c>
      <c r="O441" s="3">
        <f>'Historical Data'!AA438</f>
        <v/>
      </c>
      <c r="P441" s="3">
        <f>'Historical Data'!AB438</f>
        <v/>
      </c>
      <c r="Q441" s="3">
        <f>'Historical Data'!AN438</f>
        <v/>
      </c>
      <c r="R441" s="3">
        <f>'Historical Data'!AC438</f>
        <v/>
      </c>
      <c r="S441" s="3">
        <f>'Historical Data'!AE438</f>
        <v/>
      </c>
      <c r="T441" s="3">
        <f>'Historical Data'!AH438</f>
        <v/>
      </c>
      <c r="U441" s="3">
        <f>'Historical Data'!BA438</f>
        <v/>
      </c>
      <c r="V441" s="3" t="n"/>
      <c r="W441" s="3" t="n"/>
      <c r="X441" s="3" t="n"/>
      <c r="Y441" s="3" t="n"/>
      <c r="Z441" s="3" t="n"/>
    </row>
    <row r="442" hidden="1" ht="15.75" customHeight="1" s="174">
      <c r="A442" s="3">
        <f>'Historical Data'!A439</f>
        <v/>
      </c>
      <c r="B442" s="3">
        <f>'Historical Data'!B439</f>
        <v/>
      </c>
      <c r="C442" s="3">
        <f>'Historical Data'!D439</f>
        <v/>
      </c>
      <c r="D442" s="23">
        <f>'Historical Data'!E439</f>
        <v/>
      </c>
      <c r="E442" s="3">
        <f>'Historical Data'!G439</f>
        <v/>
      </c>
      <c r="F442" s="3">
        <f>'Historical Data'!Y439</f>
        <v/>
      </c>
      <c r="G442" s="3">
        <f>'Historical Data'!K439</f>
        <v/>
      </c>
      <c r="H442" s="3">
        <f>'Historical Data'!L439</f>
        <v/>
      </c>
      <c r="I442" s="26">
        <f>'Historical Data'!M439</f>
        <v/>
      </c>
      <c r="J442" s="28">
        <f>'Historical Data'!N439</f>
        <v/>
      </c>
      <c r="K442" s="28">
        <f>'Historical Data'!Q439</f>
        <v/>
      </c>
      <c r="L442" s="30">
        <f>'Historical Data'!S439</f>
        <v/>
      </c>
      <c r="M442" s="28">
        <f>'Historical Data'!AJ439</f>
        <v/>
      </c>
      <c r="N442" s="28">
        <f>'Historical Data'!AK439</f>
        <v/>
      </c>
      <c r="O442" s="3">
        <f>'Historical Data'!AA439</f>
        <v/>
      </c>
      <c r="P442" s="3">
        <f>'Historical Data'!AB439</f>
        <v/>
      </c>
      <c r="Q442" s="3">
        <f>'Historical Data'!AN439</f>
        <v/>
      </c>
      <c r="R442" s="3">
        <f>'Historical Data'!AC439</f>
        <v/>
      </c>
      <c r="S442" s="3">
        <f>'Historical Data'!AE439</f>
        <v/>
      </c>
      <c r="T442" s="3">
        <f>'Historical Data'!AH439</f>
        <v/>
      </c>
      <c r="U442" s="3">
        <f>'Historical Data'!BA439</f>
        <v/>
      </c>
      <c r="V442" s="3" t="n"/>
      <c r="W442" s="3" t="n"/>
      <c r="X442" s="3" t="n"/>
      <c r="Y442" s="3" t="n"/>
      <c r="Z442" s="3" t="n"/>
    </row>
    <row r="443" hidden="1" ht="15.75" customHeight="1" s="174">
      <c r="A443" s="3">
        <f>'Historical Data'!A440</f>
        <v/>
      </c>
      <c r="B443" s="3">
        <f>'Historical Data'!B440</f>
        <v/>
      </c>
      <c r="C443" s="3">
        <f>'Historical Data'!D440</f>
        <v/>
      </c>
      <c r="D443" s="23">
        <f>'Historical Data'!E440</f>
        <v/>
      </c>
      <c r="E443" s="3">
        <f>'Historical Data'!G440</f>
        <v/>
      </c>
      <c r="F443" s="3">
        <f>'Historical Data'!Y440</f>
        <v/>
      </c>
      <c r="G443" s="3">
        <f>'Historical Data'!K440</f>
        <v/>
      </c>
      <c r="H443" s="3">
        <f>'Historical Data'!L440</f>
        <v/>
      </c>
      <c r="I443" s="26">
        <f>'Historical Data'!M440</f>
        <v/>
      </c>
      <c r="J443" s="28">
        <f>'Historical Data'!N440</f>
        <v/>
      </c>
      <c r="K443" s="28">
        <f>'Historical Data'!Q440</f>
        <v/>
      </c>
      <c r="L443" s="30">
        <f>'Historical Data'!S440</f>
        <v/>
      </c>
      <c r="M443" s="28">
        <f>'Historical Data'!AJ440</f>
        <v/>
      </c>
      <c r="N443" s="28">
        <f>'Historical Data'!AK440</f>
        <v/>
      </c>
      <c r="O443" s="3">
        <f>'Historical Data'!AA440</f>
        <v/>
      </c>
      <c r="P443" s="3">
        <f>'Historical Data'!AB440</f>
        <v/>
      </c>
      <c r="Q443" s="3">
        <f>'Historical Data'!AN440</f>
        <v/>
      </c>
      <c r="R443" s="3">
        <f>'Historical Data'!AC440</f>
        <v/>
      </c>
      <c r="S443" s="3">
        <f>'Historical Data'!AE440</f>
        <v/>
      </c>
      <c r="T443" s="3">
        <f>'Historical Data'!AH440</f>
        <v/>
      </c>
      <c r="U443" s="3">
        <f>'Historical Data'!BA440</f>
        <v/>
      </c>
      <c r="V443" s="3" t="n"/>
      <c r="W443" s="3" t="n"/>
      <c r="X443" s="3" t="n"/>
      <c r="Y443" s="3" t="n"/>
      <c r="Z443" s="3" t="n"/>
    </row>
    <row r="444" hidden="1" ht="15.75" customHeight="1" s="174">
      <c r="A444" s="3">
        <f>'Historical Data'!A441</f>
        <v/>
      </c>
      <c r="B444" s="3">
        <f>'Historical Data'!B441</f>
        <v/>
      </c>
      <c r="C444" s="3">
        <f>'Historical Data'!D441</f>
        <v/>
      </c>
      <c r="D444" s="23">
        <f>'Historical Data'!E441</f>
        <v/>
      </c>
      <c r="E444" s="3">
        <f>'Historical Data'!G441</f>
        <v/>
      </c>
      <c r="F444" s="3">
        <f>'Historical Data'!Y441</f>
        <v/>
      </c>
      <c r="G444" s="3">
        <f>'Historical Data'!K441</f>
        <v/>
      </c>
      <c r="H444" s="3">
        <f>'Historical Data'!L441</f>
        <v/>
      </c>
      <c r="I444" s="26">
        <f>'Historical Data'!M441</f>
        <v/>
      </c>
      <c r="J444" s="28">
        <f>'Historical Data'!N441</f>
        <v/>
      </c>
      <c r="K444" s="28">
        <f>'Historical Data'!Q441</f>
        <v/>
      </c>
      <c r="L444" s="30">
        <f>'Historical Data'!S441</f>
        <v/>
      </c>
      <c r="M444" s="28">
        <f>'Historical Data'!AJ441</f>
        <v/>
      </c>
      <c r="N444" s="28">
        <f>'Historical Data'!AK441</f>
        <v/>
      </c>
      <c r="O444" s="3">
        <f>'Historical Data'!AA441</f>
        <v/>
      </c>
      <c r="P444" s="3">
        <f>'Historical Data'!AB441</f>
        <v/>
      </c>
      <c r="Q444" s="3">
        <f>'Historical Data'!AN441</f>
        <v/>
      </c>
      <c r="R444" s="3">
        <f>'Historical Data'!AC441</f>
        <v/>
      </c>
      <c r="S444" s="3">
        <f>'Historical Data'!AE441</f>
        <v/>
      </c>
      <c r="T444" s="3">
        <f>'Historical Data'!AH441</f>
        <v/>
      </c>
      <c r="U444" s="3">
        <f>'Historical Data'!BA441</f>
        <v/>
      </c>
      <c r="V444" s="3" t="n"/>
      <c r="W444" s="3" t="n"/>
      <c r="X444" s="3" t="n"/>
      <c r="Y444" s="3" t="n"/>
      <c r="Z444" s="3" t="n"/>
    </row>
    <row r="445" hidden="1" ht="15.75" customHeight="1" s="174">
      <c r="A445" s="3">
        <f>'Historical Data'!A442</f>
        <v/>
      </c>
      <c r="B445" s="3">
        <f>'Historical Data'!B442</f>
        <v/>
      </c>
      <c r="C445" s="3">
        <f>'Historical Data'!D442</f>
        <v/>
      </c>
      <c r="D445" s="23">
        <f>'Historical Data'!E442</f>
        <v/>
      </c>
      <c r="E445" s="3">
        <f>'Historical Data'!G442</f>
        <v/>
      </c>
      <c r="F445" s="3">
        <f>'Historical Data'!Y442</f>
        <v/>
      </c>
      <c r="G445" s="3">
        <f>'Historical Data'!K442</f>
        <v/>
      </c>
      <c r="H445" s="3">
        <f>'Historical Data'!L442</f>
        <v/>
      </c>
      <c r="I445" s="26">
        <f>'Historical Data'!M442</f>
        <v/>
      </c>
      <c r="J445" s="28">
        <f>'Historical Data'!N442</f>
        <v/>
      </c>
      <c r="K445" s="28">
        <f>'Historical Data'!Q442</f>
        <v/>
      </c>
      <c r="L445" s="30">
        <f>'Historical Data'!S442</f>
        <v/>
      </c>
      <c r="M445" s="28">
        <f>'Historical Data'!AJ442</f>
        <v/>
      </c>
      <c r="N445" s="28">
        <f>'Historical Data'!AK442</f>
        <v/>
      </c>
      <c r="O445" s="3">
        <f>'Historical Data'!AA442</f>
        <v/>
      </c>
      <c r="P445" s="3">
        <f>'Historical Data'!AB442</f>
        <v/>
      </c>
      <c r="Q445" s="3">
        <f>'Historical Data'!AN442</f>
        <v/>
      </c>
      <c r="R445" s="3">
        <f>'Historical Data'!AC442</f>
        <v/>
      </c>
      <c r="S445" s="3">
        <f>'Historical Data'!AE442</f>
        <v/>
      </c>
      <c r="T445" s="3">
        <f>'Historical Data'!AH442</f>
        <v/>
      </c>
      <c r="U445" s="3">
        <f>'Historical Data'!BA442</f>
        <v/>
      </c>
      <c r="V445" s="3" t="n"/>
      <c r="W445" s="3" t="n"/>
      <c r="X445" s="3" t="n"/>
      <c r="Y445" s="3" t="n"/>
      <c r="Z445" s="3" t="n"/>
    </row>
    <row r="446" hidden="1" ht="15.75" customHeight="1" s="174">
      <c r="A446" s="3">
        <f>'Historical Data'!A443</f>
        <v/>
      </c>
      <c r="B446" s="3">
        <f>'Historical Data'!B443</f>
        <v/>
      </c>
      <c r="C446" s="3">
        <f>'Historical Data'!D443</f>
        <v/>
      </c>
      <c r="D446" s="23">
        <f>'Historical Data'!E443</f>
        <v/>
      </c>
      <c r="E446" s="3">
        <f>'Historical Data'!G443</f>
        <v/>
      </c>
      <c r="F446" s="3">
        <f>'Historical Data'!Y443</f>
        <v/>
      </c>
      <c r="G446" s="3">
        <f>'Historical Data'!K443</f>
        <v/>
      </c>
      <c r="H446" s="3">
        <f>'Historical Data'!L443</f>
        <v/>
      </c>
      <c r="I446" s="26">
        <f>'Historical Data'!M443</f>
        <v/>
      </c>
      <c r="J446" s="28">
        <f>'Historical Data'!N443</f>
        <v/>
      </c>
      <c r="K446" s="28">
        <f>'Historical Data'!Q443</f>
        <v/>
      </c>
      <c r="L446" s="30">
        <f>'Historical Data'!S443</f>
        <v/>
      </c>
      <c r="M446" s="28">
        <f>'Historical Data'!AJ443</f>
        <v/>
      </c>
      <c r="N446" s="28">
        <f>'Historical Data'!AK443</f>
        <v/>
      </c>
      <c r="O446" s="3">
        <f>'Historical Data'!AA443</f>
        <v/>
      </c>
      <c r="P446" s="3">
        <f>'Historical Data'!AB443</f>
        <v/>
      </c>
      <c r="Q446" s="3">
        <f>'Historical Data'!AN443</f>
        <v/>
      </c>
      <c r="R446" s="3">
        <f>'Historical Data'!AC443</f>
        <v/>
      </c>
      <c r="S446" s="3">
        <f>'Historical Data'!AE443</f>
        <v/>
      </c>
      <c r="T446" s="3">
        <f>'Historical Data'!AH443</f>
        <v/>
      </c>
      <c r="U446" s="3">
        <f>'Historical Data'!BA443</f>
        <v/>
      </c>
      <c r="V446" s="3" t="n"/>
      <c r="W446" s="3" t="n"/>
      <c r="X446" s="3" t="n"/>
      <c r="Y446" s="3" t="n"/>
      <c r="Z446" s="3" t="n"/>
    </row>
    <row r="447" hidden="1" ht="15.75" customHeight="1" s="174">
      <c r="A447" s="3">
        <f>'Historical Data'!A444</f>
        <v/>
      </c>
      <c r="B447" s="3">
        <f>'Historical Data'!B444</f>
        <v/>
      </c>
      <c r="C447" s="3">
        <f>'Historical Data'!D444</f>
        <v/>
      </c>
      <c r="D447" s="23">
        <f>'Historical Data'!E444</f>
        <v/>
      </c>
      <c r="E447" s="3">
        <f>'Historical Data'!G444</f>
        <v/>
      </c>
      <c r="F447" s="3">
        <f>'Historical Data'!Y444</f>
        <v/>
      </c>
      <c r="G447" s="3">
        <f>'Historical Data'!K444</f>
        <v/>
      </c>
      <c r="H447" s="3">
        <f>'Historical Data'!L444</f>
        <v/>
      </c>
      <c r="I447" s="26">
        <f>'Historical Data'!M444</f>
        <v/>
      </c>
      <c r="J447" s="28">
        <f>'Historical Data'!N444</f>
        <v/>
      </c>
      <c r="K447" s="28">
        <f>'Historical Data'!Q444</f>
        <v/>
      </c>
      <c r="L447" s="30">
        <f>'Historical Data'!S444</f>
        <v/>
      </c>
      <c r="M447" s="28">
        <f>'Historical Data'!AJ444</f>
        <v/>
      </c>
      <c r="N447" s="28">
        <f>'Historical Data'!AK444</f>
        <v/>
      </c>
      <c r="O447" s="3">
        <f>'Historical Data'!AA444</f>
        <v/>
      </c>
      <c r="P447" s="3">
        <f>'Historical Data'!AB444</f>
        <v/>
      </c>
      <c r="Q447" s="3">
        <f>'Historical Data'!AN444</f>
        <v/>
      </c>
      <c r="R447" s="3">
        <f>'Historical Data'!AC444</f>
        <v/>
      </c>
      <c r="S447" s="3">
        <f>'Historical Data'!AE444</f>
        <v/>
      </c>
      <c r="T447" s="3">
        <f>'Historical Data'!AH444</f>
        <v/>
      </c>
      <c r="U447" s="3">
        <f>'Historical Data'!BA444</f>
        <v/>
      </c>
      <c r="V447" s="3" t="n"/>
      <c r="W447" s="3" t="n"/>
      <c r="X447" s="3" t="n"/>
      <c r="Y447" s="3" t="n"/>
      <c r="Z447" s="3" t="n"/>
    </row>
    <row r="448" hidden="1" ht="15.75" customHeight="1" s="174">
      <c r="A448" s="3">
        <f>'Historical Data'!A445</f>
        <v/>
      </c>
      <c r="B448" s="3">
        <f>'Historical Data'!B445</f>
        <v/>
      </c>
      <c r="C448" s="3">
        <f>'Historical Data'!D445</f>
        <v/>
      </c>
      <c r="D448" s="23">
        <f>'Historical Data'!E445</f>
        <v/>
      </c>
      <c r="E448" s="3">
        <f>'Historical Data'!G445</f>
        <v/>
      </c>
      <c r="F448" s="3">
        <f>'Historical Data'!Y445</f>
        <v/>
      </c>
      <c r="G448" s="3">
        <f>'Historical Data'!K445</f>
        <v/>
      </c>
      <c r="H448" s="3">
        <f>'Historical Data'!L445</f>
        <v/>
      </c>
      <c r="I448" s="26">
        <f>'Historical Data'!M445</f>
        <v/>
      </c>
      <c r="J448" s="28">
        <f>'Historical Data'!N445</f>
        <v/>
      </c>
      <c r="K448" s="28">
        <f>'Historical Data'!Q445</f>
        <v/>
      </c>
      <c r="L448" s="30">
        <f>'Historical Data'!S445</f>
        <v/>
      </c>
      <c r="M448" s="28">
        <f>'Historical Data'!AJ445</f>
        <v/>
      </c>
      <c r="N448" s="28">
        <f>'Historical Data'!AK445</f>
        <v/>
      </c>
      <c r="O448" s="3">
        <f>'Historical Data'!AA445</f>
        <v/>
      </c>
      <c r="P448" s="3">
        <f>'Historical Data'!AB445</f>
        <v/>
      </c>
      <c r="Q448" s="3">
        <f>'Historical Data'!AN445</f>
        <v/>
      </c>
      <c r="R448" s="3">
        <f>'Historical Data'!AC445</f>
        <v/>
      </c>
      <c r="S448" s="3">
        <f>'Historical Data'!AE445</f>
        <v/>
      </c>
      <c r="T448" s="3">
        <f>'Historical Data'!AH445</f>
        <v/>
      </c>
      <c r="U448" s="3">
        <f>'Historical Data'!BA445</f>
        <v/>
      </c>
      <c r="V448" s="3" t="n"/>
      <c r="W448" s="3" t="n"/>
      <c r="X448" s="3" t="n"/>
      <c r="Y448" s="3" t="n"/>
      <c r="Z448" s="3" t="n"/>
    </row>
    <row r="449" hidden="1" ht="15.75" customHeight="1" s="174">
      <c r="A449" s="3">
        <f>'Historical Data'!A446</f>
        <v/>
      </c>
      <c r="B449" s="3">
        <f>'Historical Data'!B446</f>
        <v/>
      </c>
      <c r="C449" s="3">
        <f>'Historical Data'!D446</f>
        <v/>
      </c>
      <c r="D449" s="23">
        <f>'Historical Data'!E446</f>
        <v/>
      </c>
      <c r="E449" s="3">
        <f>'Historical Data'!G446</f>
        <v/>
      </c>
      <c r="F449" s="3">
        <f>'Historical Data'!Y446</f>
        <v/>
      </c>
      <c r="G449" s="3">
        <f>'Historical Data'!K446</f>
        <v/>
      </c>
      <c r="H449" s="3">
        <f>'Historical Data'!L446</f>
        <v/>
      </c>
      <c r="I449" s="26">
        <f>'Historical Data'!M446</f>
        <v/>
      </c>
      <c r="J449" s="28">
        <f>'Historical Data'!N446</f>
        <v/>
      </c>
      <c r="K449" s="28">
        <f>'Historical Data'!Q446</f>
        <v/>
      </c>
      <c r="L449" s="30">
        <f>'Historical Data'!S446</f>
        <v/>
      </c>
      <c r="M449" s="28">
        <f>'Historical Data'!AJ446</f>
        <v/>
      </c>
      <c r="N449" s="28">
        <f>'Historical Data'!AK446</f>
        <v/>
      </c>
      <c r="O449" s="3">
        <f>'Historical Data'!AA446</f>
        <v/>
      </c>
      <c r="P449" s="3">
        <f>'Historical Data'!AB446</f>
        <v/>
      </c>
      <c r="Q449" s="3">
        <f>'Historical Data'!AN446</f>
        <v/>
      </c>
      <c r="R449" s="3">
        <f>'Historical Data'!AC446</f>
        <v/>
      </c>
      <c r="S449" s="3">
        <f>'Historical Data'!AE446</f>
        <v/>
      </c>
      <c r="T449" s="3">
        <f>'Historical Data'!AH446</f>
        <v/>
      </c>
      <c r="U449" s="3">
        <f>'Historical Data'!BA446</f>
        <v/>
      </c>
      <c r="V449" s="3" t="n"/>
      <c r="W449" s="3" t="n"/>
      <c r="X449" s="3" t="n"/>
      <c r="Y449" s="3" t="n"/>
      <c r="Z449" s="3" t="n"/>
    </row>
    <row r="450" hidden="1" ht="15.75" customHeight="1" s="174">
      <c r="A450" s="3">
        <f>'Historical Data'!A447</f>
        <v/>
      </c>
      <c r="B450" s="3">
        <f>'Historical Data'!B447</f>
        <v/>
      </c>
      <c r="C450" s="3">
        <f>'Historical Data'!D447</f>
        <v/>
      </c>
      <c r="D450" s="23">
        <f>'Historical Data'!E447</f>
        <v/>
      </c>
      <c r="E450" s="3">
        <f>'Historical Data'!G447</f>
        <v/>
      </c>
      <c r="F450" s="3">
        <f>'Historical Data'!Y447</f>
        <v/>
      </c>
      <c r="G450" s="3">
        <f>'Historical Data'!K447</f>
        <v/>
      </c>
      <c r="H450" s="3">
        <f>'Historical Data'!L447</f>
        <v/>
      </c>
      <c r="I450" s="26">
        <f>'Historical Data'!M447</f>
        <v/>
      </c>
      <c r="J450" s="28">
        <f>'Historical Data'!N447</f>
        <v/>
      </c>
      <c r="K450" s="28">
        <f>'Historical Data'!Q447</f>
        <v/>
      </c>
      <c r="L450" s="30">
        <f>'Historical Data'!S447</f>
        <v/>
      </c>
      <c r="M450" s="28">
        <f>'Historical Data'!AJ447</f>
        <v/>
      </c>
      <c r="N450" s="28">
        <f>'Historical Data'!AK447</f>
        <v/>
      </c>
      <c r="O450" s="3">
        <f>'Historical Data'!AA447</f>
        <v/>
      </c>
      <c r="P450" s="3">
        <f>'Historical Data'!AB447</f>
        <v/>
      </c>
      <c r="Q450" s="3">
        <f>'Historical Data'!AN447</f>
        <v/>
      </c>
      <c r="R450" s="3">
        <f>'Historical Data'!AC447</f>
        <v/>
      </c>
      <c r="S450" s="3">
        <f>'Historical Data'!AE447</f>
        <v/>
      </c>
      <c r="T450" s="3">
        <f>'Historical Data'!AH447</f>
        <v/>
      </c>
      <c r="U450" s="3">
        <f>'Historical Data'!BA447</f>
        <v/>
      </c>
      <c r="V450" s="3" t="n"/>
      <c r="W450" s="3" t="n"/>
      <c r="X450" s="3" t="n"/>
      <c r="Y450" s="3" t="n"/>
      <c r="Z450" s="3" t="n"/>
    </row>
    <row r="451" hidden="1" ht="15.75" customHeight="1" s="174">
      <c r="A451" s="3">
        <f>'Historical Data'!A448</f>
        <v/>
      </c>
      <c r="B451" s="3">
        <f>'Historical Data'!B448</f>
        <v/>
      </c>
      <c r="C451" s="3">
        <f>'Historical Data'!D448</f>
        <v/>
      </c>
      <c r="D451" s="23">
        <f>'Historical Data'!E448</f>
        <v/>
      </c>
      <c r="E451" s="3">
        <f>'Historical Data'!G448</f>
        <v/>
      </c>
      <c r="F451" s="3">
        <f>'Historical Data'!Y448</f>
        <v/>
      </c>
      <c r="G451" s="3">
        <f>'Historical Data'!K448</f>
        <v/>
      </c>
      <c r="H451" s="3">
        <f>'Historical Data'!L448</f>
        <v/>
      </c>
      <c r="I451" s="26">
        <f>'Historical Data'!M448</f>
        <v/>
      </c>
      <c r="J451" s="28">
        <f>'Historical Data'!N448</f>
        <v/>
      </c>
      <c r="K451" s="28">
        <f>'Historical Data'!Q448</f>
        <v/>
      </c>
      <c r="L451" s="30">
        <f>'Historical Data'!S448</f>
        <v/>
      </c>
      <c r="M451" s="28">
        <f>'Historical Data'!AJ448</f>
        <v/>
      </c>
      <c r="N451" s="28">
        <f>'Historical Data'!AK448</f>
        <v/>
      </c>
      <c r="O451" s="3">
        <f>'Historical Data'!AA448</f>
        <v/>
      </c>
      <c r="P451" s="3">
        <f>'Historical Data'!AB448</f>
        <v/>
      </c>
      <c r="Q451" s="3">
        <f>'Historical Data'!AN448</f>
        <v/>
      </c>
      <c r="R451" s="3">
        <f>'Historical Data'!AC448</f>
        <v/>
      </c>
      <c r="S451" s="3">
        <f>'Historical Data'!AE448</f>
        <v/>
      </c>
      <c r="T451" s="3">
        <f>'Historical Data'!AH448</f>
        <v/>
      </c>
      <c r="U451" s="3">
        <f>'Historical Data'!BA448</f>
        <v/>
      </c>
      <c r="V451" s="3" t="n"/>
      <c r="W451" s="3" t="n"/>
      <c r="X451" s="3" t="n"/>
      <c r="Y451" s="3" t="n"/>
      <c r="Z451" s="3" t="n"/>
    </row>
    <row r="452" hidden="1" ht="15.75" customHeight="1" s="174">
      <c r="A452" s="3">
        <f>'Historical Data'!A449</f>
        <v/>
      </c>
      <c r="B452" s="3">
        <f>'Historical Data'!B449</f>
        <v/>
      </c>
      <c r="C452" s="3">
        <f>'Historical Data'!D449</f>
        <v/>
      </c>
      <c r="D452" s="23">
        <f>'Historical Data'!E449</f>
        <v/>
      </c>
      <c r="E452" s="3">
        <f>'Historical Data'!G449</f>
        <v/>
      </c>
      <c r="F452" s="3">
        <f>'Historical Data'!Y449</f>
        <v/>
      </c>
      <c r="G452" s="3">
        <f>'Historical Data'!K449</f>
        <v/>
      </c>
      <c r="H452" s="3">
        <f>'Historical Data'!L449</f>
        <v/>
      </c>
      <c r="I452" s="26">
        <f>'Historical Data'!M449</f>
        <v/>
      </c>
      <c r="J452" s="28">
        <f>'Historical Data'!N449</f>
        <v/>
      </c>
      <c r="K452" s="28">
        <f>'Historical Data'!Q449</f>
        <v/>
      </c>
      <c r="L452" s="30">
        <f>'Historical Data'!S449</f>
        <v/>
      </c>
      <c r="M452" s="28">
        <f>'Historical Data'!AJ449</f>
        <v/>
      </c>
      <c r="N452" s="28">
        <f>'Historical Data'!AK449</f>
        <v/>
      </c>
      <c r="O452" s="3">
        <f>'Historical Data'!AA449</f>
        <v/>
      </c>
      <c r="P452" s="3">
        <f>'Historical Data'!AB449</f>
        <v/>
      </c>
      <c r="Q452" s="3">
        <f>'Historical Data'!AN449</f>
        <v/>
      </c>
      <c r="R452" s="3">
        <f>'Historical Data'!AC449</f>
        <v/>
      </c>
      <c r="S452" s="3">
        <f>'Historical Data'!AE449</f>
        <v/>
      </c>
      <c r="T452" s="3">
        <f>'Historical Data'!AH449</f>
        <v/>
      </c>
      <c r="U452" s="3">
        <f>'Historical Data'!BA449</f>
        <v/>
      </c>
      <c r="V452" s="3" t="n"/>
      <c r="W452" s="3" t="n"/>
      <c r="X452" s="3" t="n"/>
      <c r="Y452" s="3" t="n"/>
      <c r="Z452" s="3" t="n"/>
    </row>
    <row r="453" hidden="1" ht="15.75" customHeight="1" s="174">
      <c r="A453" s="3">
        <f>'Historical Data'!A450</f>
        <v/>
      </c>
      <c r="B453" s="3">
        <f>'Historical Data'!B450</f>
        <v/>
      </c>
      <c r="C453" s="3">
        <f>'Historical Data'!D450</f>
        <v/>
      </c>
      <c r="D453" s="23">
        <f>'Historical Data'!E450</f>
        <v/>
      </c>
      <c r="E453" s="3">
        <f>'Historical Data'!G450</f>
        <v/>
      </c>
      <c r="F453" s="3">
        <f>'Historical Data'!Y450</f>
        <v/>
      </c>
      <c r="G453" s="3">
        <f>'Historical Data'!K450</f>
        <v/>
      </c>
      <c r="H453" s="3">
        <f>'Historical Data'!L450</f>
        <v/>
      </c>
      <c r="I453" s="26">
        <f>'Historical Data'!M450</f>
        <v/>
      </c>
      <c r="J453" s="28">
        <f>'Historical Data'!N450</f>
        <v/>
      </c>
      <c r="K453" s="28">
        <f>'Historical Data'!Q450</f>
        <v/>
      </c>
      <c r="L453" s="30">
        <f>'Historical Data'!S450</f>
        <v/>
      </c>
      <c r="M453" s="28">
        <f>'Historical Data'!AJ450</f>
        <v/>
      </c>
      <c r="N453" s="28">
        <f>'Historical Data'!AK450</f>
        <v/>
      </c>
      <c r="O453" s="3">
        <f>'Historical Data'!AA450</f>
        <v/>
      </c>
      <c r="P453" s="3">
        <f>'Historical Data'!AB450</f>
        <v/>
      </c>
      <c r="Q453" s="3">
        <f>'Historical Data'!AN450</f>
        <v/>
      </c>
      <c r="R453" s="3">
        <f>'Historical Data'!AC450</f>
        <v/>
      </c>
      <c r="S453" s="3">
        <f>'Historical Data'!AE450</f>
        <v/>
      </c>
      <c r="T453" s="3">
        <f>'Historical Data'!AH450</f>
        <v/>
      </c>
      <c r="U453" s="3">
        <f>'Historical Data'!BA450</f>
        <v/>
      </c>
      <c r="V453" s="3" t="n"/>
      <c r="W453" s="3" t="n"/>
      <c r="X453" s="3" t="n"/>
      <c r="Y453" s="3" t="n"/>
      <c r="Z453" s="3" t="n"/>
    </row>
    <row r="454" hidden="1" ht="15.75" customHeight="1" s="174">
      <c r="A454" s="3">
        <f>'Historical Data'!A451</f>
        <v/>
      </c>
      <c r="B454" s="3">
        <f>'Historical Data'!B451</f>
        <v/>
      </c>
      <c r="C454" s="3">
        <f>'Historical Data'!D451</f>
        <v/>
      </c>
      <c r="D454" s="23">
        <f>'Historical Data'!E451</f>
        <v/>
      </c>
      <c r="E454" s="3">
        <f>'Historical Data'!G451</f>
        <v/>
      </c>
      <c r="F454" s="3">
        <f>'Historical Data'!Y451</f>
        <v/>
      </c>
      <c r="G454" s="3">
        <f>'Historical Data'!K451</f>
        <v/>
      </c>
      <c r="H454" s="3">
        <f>'Historical Data'!L451</f>
        <v/>
      </c>
      <c r="I454" s="26">
        <f>'Historical Data'!M451</f>
        <v/>
      </c>
      <c r="J454" s="28">
        <f>'Historical Data'!N451</f>
        <v/>
      </c>
      <c r="K454" s="28">
        <f>'Historical Data'!Q451</f>
        <v/>
      </c>
      <c r="L454" s="30">
        <f>'Historical Data'!S451</f>
        <v/>
      </c>
      <c r="M454" s="28">
        <f>'Historical Data'!AJ451</f>
        <v/>
      </c>
      <c r="N454" s="28">
        <f>'Historical Data'!AK451</f>
        <v/>
      </c>
      <c r="O454" s="3">
        <f>'Historical Data'!AA451</f>
        <v/>
      </c>
      <c r="P454" s="3">
        <f>'Historical Data'!AB451</f>
        <v/>
      </c>
      <c r="Q454" s="3">
        <f>'Historical Data'!AN451</f>
        <v/>
      </c>
      <c r="R454" s="3">
        <f>'Historical Data'!AC451</f>
        <v/>
      </c>
      <c r="S454" s="3">
        <f>'Historical Data'!AE451</f>
        <v/>
      </c>
      <c r="T454" s="3">
        <f>'Historical Data'!AH451</f>
        <v/>
      </c>
      <c r="U454" s="3">
        <f>'Historical Data'!BA451</f>
        <v/>
      </c>
      <c r="V454" s="3" t="n"/>
      <c r="W454" s="3" t="n"/>
      <c r="X454" s="3" t="n"/>
      <c r="Y454" s="3" t="n"/>
      <c r="Z454" s="3" t="n"/>
    </row>
    <row r="455" hidden="1" ht="15.75" customHeight="1" s="174">
      <c r="A455" s="3">
        <f>'Historical Data'!A452</f>
        <v/>
      </c>
      <c r="B455" s="3">
        <f>'Historical Data'!B452</f>
        <v/>
      </c>
      <c r="C455" s="3">
        <f>'Historical Data'!D452</f>
        <v/>
      </c>
      <c r="D455" s="23">
        <f>'Historical Data'!E452</f>
        <v/>
      </c>
      <c r="E455" s="3">
        <f>'Historical Data'!G452</f>
        <v/>
      </c>
      <c r="F455" s="3">
        <f>'Historical Data'!Y452</f>
        <v/>
      </c>
      <c r="G455" s="3">
        <f>'Historical Data'!K452</f>
        <v/>
      </c>
      <c r="H455" s="3">
        <f>'Historical Data'!L452</f>
        <v/>
      </c>
      <c r="I455" s="26">
        <f>'Historical Data'!M452</f>
        <v/>
      </c>
      <c r="J455" s="28">
        <f>'Historical Data'!N452</f>
        <v/>
      </c>
      <c r="K455" s="28">
        <f>'Historical Data'!Q452</f>
        <v/>
      </c>
      <c r="L455" s="30">
        <f>'Historical Data'!S452</f>
        <v/>
      </c>
      <c r="M455" s="28">
        <f>'Historical Data'!AJ452</f>
        <v/>
      </c>
      <c r="N455" s="28">
        <f>'Historical Data'!AK452</f>
        <v/>
      </c>
      <c r="O455" s="3">
        <f>'Historical Data'!AA452</f>
        <v/>
      </c>
      <c r="P455" s="3">
        <f>'Historical Data'!AB452</f>
        <v/>
      </c>
      <c r="Q455" s="3">
        <f>'Historical Data'!AN452</f>
        <v/>
      </c>
      <c r="R455" s="3">
        <f>'Historical Data'!AC452</f>
        <v/>
      </c>
      <c r="S455" s="3">
        <f>'Historical Data'!AE452</f>
        <v/>
      </c>
      <c r="T455" s="3">
        <f>'Historical Data'!AH452</f>
        <v/>
      </c>
      <c r="U455" s="3">
        <f>'Historical Data'!BA452</f>
        <v/>
      </c>
      <c r="V455" s="3" t="n"/>
      <c r="W455" s="3" t="n"/>
      <c r="X455" s="3" t="n"/>
      <c r="Y455" s="3" t="n"/>
      <c r="Z455" s="3" t="n"/>
    </row>
    <row r="456" hidden="1" ht="15.75" customHeight="1" s="174">
      <c r="A456" s="3">
        <f>'Historical Data'!A453</f>
        <v/>
      </c>
      <c r="B456" s="3">
        <f>'Historical Data'!B453</f>
        <v/>
      </c>
      <c r="C456" s="3">
        <f>'Historical Data'!D453</f>
        <v/>
      </c>
      <c r="D456" s="23">
        <f>'Historical Data'!E453</f>
        <v/>
      </c>
      <c r="E456" s="3">
        <f>'Historical Data'!G453</f>
        <v/>
      </c>
      <c r="F456" s="3">
        <f>'Historical Data'!Y453</f>
        <v/>
      </c>
      <c r="G456" s="3">
        <f>'Historical Data'!K453</f>
        <v/>
      </c>
      <c r="H456" s="3">
        <f>'Historical Data'!L453</f>
        <v/>
      </c>
      <c r="I456" s="26">
        <f>'Historical Data'!M453</f>
        <v/>
      </c>
      <c r="J456" s="28">
        <f>'Historical Data'!N453</f>
        <v/>
      </c>
      <c r="K456" s="28">
        <f>'Historical Data'!Q453</f>
        <v/>
      </c>
      <c r="L456" s="30">
        <f>'Historical Data'!S453</f>
        <v/>
      </c>
      <c r="M456" s="28">
        <f>'Historical Data'!AJ453</f>
        <v/>
      </c>
      <c r="N456" s="28">
        <f>'Historical Data'!AK453</f>
        <v/>
      </c>
      <c r="O456" s="3">
        <f>'Historical Data'!AA453</f>
        <v/>
      </c>
      <c r="P456" s="3">
        <f>'Historical Data'!AB453</f>
        <v/>
      </c>
      <c r="Q456" s="3">
        <f>'Historical Data'!AN453</f>
        <v/>
      </c>
      <c r="R456" s="3">
        <f>'Historical Data'!AC453</f>
        <v/>
      </c>
      <c r="S456" s="3">
        <f>'Historical Data'!AE453</f>
        <v/>
      </c>
      <c r="T456" s="3">
        <f>'Historical Data'!AH453</f>
        <v/>
      </c>
      <c r="U456" s="3">
        <f>'Historical Data'!BA453</f>
        <v/>
      </c>
      <c r="V456" s="3" t="n"/>
      <c r="W456" s="3" t="n"/>
      <c r="X456" s="3" t="n"/>
      <c r="Y456" s="3" t="n"/>
      <c r="Z456" s="3" t="n"/>
    </row>
    <row r="457" hidden="1" ht="15.75" customHeight="1" s="174">
      <c r="A457" s="3">
        <f>'Historical Data'!A454</f>
        <v/>
      </c>
      <c r="B457" s="3">
        <f>'Historical Data'!B454</f>
        <v/>
      </c>
      <c r="C457" s="3">
        <f>'Historical Data'!D454</f>
        <v/>
      </c>
      <c r="D457" s="23">
        <f>'Historical Data'!E454</f>
        <v/>
      </c>
      <c r="E457" s="3">
        <f>'Historical Data'!G454</f>
        <v/>
      </c>
      <c r="F457" s="3">
        <f>'Historical Data'!Y454</f>
        <v/>
      </c>
      <c r="G457" s="3">
        <f>'Historical Data'!K454</f>
        <v/>
      </c>
      <c r="H457" s="3">
        <f>'Historical Data'!L454</f>
        <v/>
      </c>
      <c r="I457" s="26">
        <f>'Historical Data'!M454</f>
        <v/>
      </c>
      <c r="J457" s="28">
        <f>'Historical Data'!N454</f>
        <v/>
      </c>
      <c r="K457" s="28">
        <f>'Historical Data'!Q454</f>
        <v/>
      </c>
      <c r="L457" s="30">
        <f>'Historical Data'!S454</f>
        <v/>
      </c>
      <c r="M457" s="28">
        <f>'Historical Data'!AJ454</f>
        <v/>
      </c>
      <c r="N457" s="28">
        <f>'Historical Data'!AK454</f>
        <v/>
      </c>
      <c r="O457" s="3">
        <f>'Historical Data'!AA454</f>
        <v/>
      </c>
      <c r="P457" s="3">
        <f>'Historical Data'!AB454</f>
        <v/>
      </c>
      <c r="Q457" s="3">
        <f>'Historical Data'!AN454</f>
        <v/>
      </c>
      <c r="R457" s="3">
        <f>'Historical Data'!AC454</f>
        <v/>
      </c>
      <c r="S457" s="3">
        <f>'Historical Data'!AE454</f>
        <v/>
      </c>
      <c r="T457" s="3">
        <f>'Historical Data'!AH454</f>
        <v/>
      </c>
      <c r="U457" s="3">
        <f>'Historical Data'!BA454</f>
        <v/>
      </c>
      <c r="V457" s="3" t="n"/>
      <c r="W457" s="3" t="n"/>
      <c r="X457" s="3" t="n"/>
      <c r="Y457" s="3" t="n"/>
      <c r="Z457" s="3" t="n"/>
    </row>
    <row r="458" hidden="1" ht="15.75" customHeight="1" s="174">
      <c r="A458" s="3">
        <f>'Historical Data'!A455</f>
        <v/>
      </c>
      <c r="B458" s="3">
        <f>'Historical Data'!B455</f>
        <v/>
      </c>
      <c r="C458" s="3">
        <f>'Historical Data'!D455</f>
        <v/>
      </c>
      <c r="D458" s="23">
        <f>'Historical Data'!E455</f>
        <v/>
      </c>
      <c r="E458" s="3">
        <f>'Historical Data'!G455</f>
        <v/>
      </c>
      <c r="F458" s="3">
        <f>'Historical Data'!Y455</f>
        <v/>
      </c>
      <c r="G458" s="3">
        <f>'Historical Data'!K455</f>
        <v/>
      </c>
      <c r="H458" s="3">
        <f>'Historical Data'!L455</f>
        <v/>
      </c>
      <c r="I458" s="26">
        <f>'Historical Data'!M455</f>
        <v/>
      </c>
      <c r="J458" s="28">
        <f>'Historical Data'!N455</f>
        <v/>
      </c>
      <c r="K458" s="28">
        <f>'Historical Data'!Q455</f>
        <v/>
      </c>
      <c r="L458" s="30">
        <f>'Historical Data'!S455</f>
        <v/>
      </c>
      <c r="M458" s="28">
        <f>'Historical Data'!AJ455</f>
        <v/>
      </c>
      <c r="N458" s="28">
        <f>'Historical Data'!AK455</f>
        <v/>
      </c>
      <c r="O458" s="3">
        <f>'Historical Data'!AA455</f>
        <v/>
      </c>
      <c r="P458" s="3">
        <f>'Historical Data'!AB455</f>
        <v/>
      </c>
      <c r="Q458" s="3">
        <f>'Historical Data'!AN455</f>
        <v/>
      </c>
      <c r="R458" s="3">
        <f>'Historical Data'!AC455</f>
        <v/>
      </c>
      <c r="S458" s="3">
        <f>'Historical Data'!AE455</f>
        <v/>
      </c>
      <c r="T458" s="3">
        <f>'Historical Data'!AH455</f>
        <v/>
      </c>
      <c r="U458" s="3">
        <f>'Historical Data'!BA455</f>
        <v/>
      </c>
      <c r="V458" s="3" t="n"/>
      <c r="W458" s="3" t="n"/>
      <c r="X458" s="3" t="n"/>
      <c r="Y458" s="3" t="n"/>
      <c r="Z458" s="3" t="n"/>
    </row>
    <row r="459" hidden="1" ht="15.75" customHeight="1" s="174">
      <c r="A459" s="3">
        <f>'Historical Data'!A456</f>
        <v/>
      </c>
      <c r="B459" s="3">
        <f>'Historical Data'!B456</f>
        <v/>
      </c>
      <c r="C459" s="3">
        <f>'Historical Data'!D456</f>
        <v/>
      </c>
      <c r="D459" s="23">
        <f>'Historical Data'!E456</f>
        <v/>
      </c>
      <c r="E459" s="3">
        <f>'Historical Data'!G456</f>
        <v/>
      </c>
      <c r="F459" s="3">
        <f>'Historical Data'!Y456</f>
        <v/>
      </c>
      <c r="G459" s="3">
        <f>'Historical Data'!K456</f>
        <v/>
      </c>
      <c r="H459" s="3">
        <f>'Historical Data'!L456</f>
        <v/>
      </c>
      <c r="I459" s="26">
        <f>'Historical Data'!M456</f>
        <v/>
      </c>
      <c r="J459" s="28">
        <f>'Historical Data'!N456</f>
        <v/>
      </c>
      <c r="K459" s="28">
        <f>'Historical Data'!Q456</f>
        <v/>
      </c>
      <c r="L459" s="30">
        <f>'Historical Data'!S456</f>
        <v/>
      </c>
      <c r="M459" s="28">
        <f>'Historical Data'!AJ456</f>
        <v/>
      </c>
      <c r="N459" s="28">
        <f>'Historical Data'!AK456</f>
        <v/>
      </c>
      <c r="O459" s="3">
        <f>'Historical Data'!AA456</f>
        <v/>
      </c>
      <c r="P459" s="3">
        <f>'Historical Data'!AB456</f>
        <v/>
      </c>
      <c r="Q459" s="3">
        <f>'Historical Data'!AN456</f>
        <v/>
      </c>
      <c r="R459" s="3">
        <f>'Historical Data'!AC456</f>
        <v/>
      </c>
      <c r="S459" s="3">
        <f>'Historical Data'!AE456</f>
        <v/>
      </c>
      <c r="T459" s="3">
        <f>'Historical Data'!AH456</f>
        <v/>
      </c>
      <c r="U459" s="3">
        <f>'Historical Data'!BA456</f>
        <v/>
      </c>
      <c r="V459" s="3" t="n"/>
      <c r="W459" s="3" t="n"/>
      <c r="X459" s="3" t="n"/>
      <c r="Y459" s="3" t="n"/>
      <c r="Z459" s="3" t="n"/>
    </row>
    <row r="460" hidden="1" ht="15.75" customHeight="1" s="174">
      <c r="A460" s="3">
        <f>'Historical Data'!A457</f>
        <v/>
      </c>
      <c r="B460" s="3">
        <f>'Historical Data'!B457</f>
        <v/>
      </c>
      <c r="C460" s="3">
        <f>'Historical Data'!D457</f>
        <v/>
      </c>
      <c r="D460" s="23">
        <f>'Historical Data'!E457</f>
        <v/>
      </c>
      <c r="E460" s="3">
        <f>'Historical Data'!G457</f>
        <v/>
      </c>
      <c r="F460" s="3">
        <f>'Historical Data'!Y457</f>
        <v/>
      </c>
      <c r="G460" s="3">
        <f>'Historical Data'!K457</f>
        <v/>
      </c>
      <c r="H460" s="3">
        <f>'Historical Data'!L457</f>
        <v/>
      </c>
      <c r="I460" s="26">
        <f>'Historical Data'!M457</f>
        <v/>
      </c>
      <c r="J460" s="28">
        <f>'Historical Data'!N457</f>
        <v/>
      </c>
      <c r="K460" s="28">
        <f>'Historical Data'!Q457</f>
        <v/>
      </c>
      <c r="L460" s="30">
        <f>'Historical Data'!S457</f>
        <v/>
      </c>
      <c r="M460" s="28">
        <f>'Historical Data'!AJ457</f>
        <v/>
      </c>
      <c r="N460" s="28">
        <f>'Historical Data'!AK457</f>
        <v/>
      </c>
      <c r="O460" s="3">
        <f>'Historical Data'!AA457</f>
        <v/>
      </c>
      <c r="P460" s="3">
        <f>'Historical Data'!AB457</f>
        <v/>
      </c>
      <c r="Q460" s="3">
        <f>'Historical Data'!AN457</f>
        <v/>
      </c>
      <c r="R460" s="3">
        <f>'Historical Data'!AC457</f>
        <v/>
      </c>
      <c r="S460" s="3">
        <f>'Historical Data'!AE457</f>
        <v/>
      </c>
      <c r="T460" s="3">
        <f>'Historical Data'!AH457</f>
        <v/>
      </c>
      <c r="U460" s="3">
        <f>'Historical Data'!BA457</f>
        <v/>
      </c>
      <c r="V460" s="3" t="n"/>
      <c r="W460" s="3" t="n"/>
      <c r="X460" s="3" t="n"/>
      <c r="Y460" s="3" t="n"/>
      <c r="Z460" s="3" t="n"/>
    </row>
    <row r="461" hidden="1" ht="15.75" customHeight="1" s="174">
      <c r="A461" s="3">
        <f>'Historical Data'!A458</f>
        <v/>
      </c>
      <c r="B461" s="3">
        <f>'Historical Data'!B458</f>
        <v/>
      </c>
      <c r="C461" s="3">
        <f>'Historical Data'!D458</f>
        <v/>
      </c>
      <c r="D461" s="23">
        <f>'Historical Data'!E458</f>
        <v/>
      </c>
      <c r="E461" s="3">
        <f>'Historical Data'!G458</f>
        <v/>
      </c>
      <c r="F461" s="3">
        <f>'Historical Data'!Y458</f>
        <v/>
      </c>
      <c r="G461" s="3">
        <f>'Historical Data'!K458</f>
        <v/>
      </c>
      <c r="H461" s="3">
        <f>'Historical Data'!L458</f>
        <v/>
      </c>
      <c r="I461" s="26">
        <f>'Historical Data'!M458</f>
        <v/>
      </c>
      <c r="J461" s="28">
        <f>'Historical Data'!N458</f>
        <v/>
      </c>
      <c r="K461" s="28">
        <f>'Historical Data'!Q458</f>
        <v/>
      </c>
      <c r="L461" s="30">
        <f>'Historical Data'!S458</f>
        <v/>
      </c>
      <c r="M461" s="28">
        <f>'Historical Data'!AJ458</f>
        <v/>
      </c>
      <c r="N461" s="28">
        <f>'Historical Data'!AK458</f>
        <v/>
      </c>
      <c r="O461" s="3">
        <f>'Historical Data'!AA458</f>
        <v/>
      </c>
      <c r="P461" s="3">
        <f>'Historical Data'!AB458</f>
        <v/>
      </c>
      <c r="Q461" s="3">
        <f>'Historical Data'!AN458</f>
        <v/>
      </c>
      <c r="R461" s="3">
        <f>'Historical Data'!AC458</f>
        <v/>
      </c>
      <c r="S461" s="3">
        <f>'Historical Data'!AE458</f>
        <v/>
      </c>
      <c r="T461" s="3">
        <f>'Historical Data'!AH458</f>
        <v/>
      </c>
      <c r="U461" s="3">
        <f>'Historical Data'!BA458</f>
        <v/>
      </c>
      <c r="V461" s="3" t="n"/>
      <c r="W461" s="3" t="n"/>
      <c r="X461" s="3" t="n"/>
      <c r="Y461" s="3" t="n"/>
      <c r="Z461" s="3" t="n"/>
    </row>
    <row r="462" hidden="1" ht="15.75" customHeight="1" s="174">
      <c r="A462" s="3">
        <f>'Historical Data'!A459</f>
        <v/>
      </c>
      <c r="B462" s="3">
        <f>'Historical Data'!B459</f>
        <v/>
      </c>
      <c r="C462" s="3">
        <f>'Historical Data'!D459</f>
        <v/>
      </c>
      <c r="D462" s="23">
        <f>'Historical Data'!E459</f>
        <v/>
      </c>
      <c r="E462" s="3">
        <f>'Historical Data'!G459</f>
        <v/>
      </c>
      <c r="F462" s="3">
        <f>'Historical Data'!Y459</f>
        <v/>
      </c>
      <c r="G462" s="3">
        <f>'Historical Data'!K459</f>
        <v/>
      </c>
      <c r="H462" s="3">
        <f>'Historical Data'!L459</f>
        <v/>
      </c>
      <c r="I462" s="26">
        <f>'Historical Data'!M459</f>
        <v/>
      </c>
      <c r="J462" s="28">
        <f>'Historical Data'!N459</f>
        <v/>
      </c>
      <c r="K462" s="28">
        <f>'Historical Data'!Q459</f>
        <v/>
      </c>
      <c r="L462" s="30">
        <f>'Historical Data'!S459</f>
        <v/>
      </c>
      <c r="M462" s="28">
        <f>'Historical Data'!AJ459</f>
        <v/>
      </c>
      <c r="N462" s="28">
        <f>'Historical Data'!AK459</f>
        <v/>
      </c>
      <c r="O462" s="3">
        <f>'Historical Data'!AA459</f>
        <v/>
      </c>
      <c r="P462" s="3">
        <f>'Historical Data'!AB459</f>
        <v/>
      </c>
      <c r="Q462" s="3">
        <f>'Historical Data'!AN459</f>
        <v/>
      </c>
      <c r="R462" s="3">
        <f>'Historical Data'!AC459</f>
        <v/>
      </c>
      <c r="S462" s="3">
        <f>'Historical Data'!AE459</f>
        <v/>
      </c>
      <c r="T462" s="3">
        <f>'Historical Data'!AH459</f>
        <v/>
      </c>
      <c r="U462" s="3">
        <f>'Historical Data'!BA459</f>
        <v/>
      </c>
      <c r="V462" s="3" t="n"/>
      <c r="W462" s="3" t="n"/>
      <c r="X462" s="3" t="n"/>
      <c r="Y462" s="3" t="n"/>
      <c r="Z462" s="3" t="n"/>
    </row>
    <row r="463" hidden="1" ht="15.75" customHeight="1" s="174">
      <c r="A463" s="3">
        <f>'Historical Data'!A460</f>
        <v/>
      </c>
      <c r="B463" s="3">
        <f>'Historical Data'!B460</f>
        <v/>
      </c>
      <c r="C463" s="3">
        <f>'Historical Data'!D460</f>
        <v/>
      </c>
      <c r="D463" s="23">
        <f>'Historical Data'!E460</f>
        <v/>
      </c>
      <c r="E463" s="3">
        <f>'Historical Data'!G460</f>
        <v/>
      </c>
      <c r="F463" s="3">
        <f>'Historical Data'!Y460</f>
        <v/>
      </c>
      <c r="G463" s="3">
        <f>'Historical Data'!K460</f>
        <v/>
      </c>
      <c r="H463" s="3">
        <f>'Historical Data'!L460</f>
        <v/>
      </c>
      <c r="I463" s="26">
        <f>'Historical Data'!M460</f>
        <v/>
      </c>
      <c r="J463" s="28">
        <f>'Historical Data'!N460</f>
        <v/>
      </c>
      <c r="K463" s="28">
        <f>'Historical Data'!Q460</f>
        <v/>
      </c>
      <c r="L463" s="30">
        <f>'Historical Data'!S460</f>
        <v/>
      </c>
      <c r="M463" s="28">
        <f>'Historical Data'!AJ460</f>
        <v/>
      </c>
      <c r="N463" s="28">
        <f>'Historical Data'!AK460</f>
        <v/>
      </c>
      <c r="O463" s="3">
        <f>'Historical Data'!AA460</f>
        <v/>
      </c>
      <c r="P463" s="3">
        <f>'Historical Data'!AB460</f>
        <v/>
      </c>
      <c r="Q463" s="3">
        <f>'Historical Data'!AN460</f>
        <v/>
      </c>
      <c r="R463" s="3">
        <f>'Historical Data'!AC460</f>
        <v/>
      </c>
      <c r="S463" s="3">
        <f>'Historical Data'!AE460</f>
        <v/>
      </c>
      <c r="T463" s="3">
        <f>'Historical Data'!AH460</f>
        <v/>
      </c>
      <c r="U463" s="3">
        <f>'Historical Data'!BA460</f>
        <v/>
      </c>
      <c r="V463" s="3" t="n"/>
      <c r="W463" s="3" t="n"/>
      <c r="X463" s="3" t="n"/>
      <c r="Y463" s="3" t="n"/>
      <c r="Z463" s="3" t="n"/>
    </row>
    <row r="464" hidden="1" ht="15.75" customHeight="1" s="174">
      <c r="A464" s="3">
        <f>'Historical Data'!A461</f>
        <v/>
      </c>
      <c r="B464" s="3">
        <f>'Historical Data'!B461</f>
        <v/>
      </c>
      <c r="C464" s="3">
        <f>'Historical Data'!D461</f>
        <v/>
      </c>
      <c r="D464" s="23">
        <f>'Historical Data'!E461</f>
        <v/>
      </c>
      <c r="E464" s="3">
        <f>'Historical Data'!G461</f>
        <v/>
      </c>
      <c r="F464" s="3">
        <f>'Historical Data'!Y461</f>
        <v/>
      </c>
      <c r="G464" s="3">
        <f>'Historical Data'!K461</f>
        <v/>
      </c>
      <c r="H464" s="3">
        <f>'Historical Data'!L461</f>
        <v/>
      </c>
      <c r="I464" s="26">
        <f>'Historical Data'!M461</f>
        <v/>
      </c>
      <c r="J464" s="28">
        <f>'Historical Data'!N461</f>
        <v/>
      </c>
      <c r="K464" s="28">
        <f>'Historical Data'!Q461</f>
        <v/>
      </c>
      <c r="L464" s="30">
        <f>'Historical Data'!S461</f>
        <v/>
      </c>
      <c r="M464" s="28">
        <f>'Historical Data'!AJ461</f>
        <v/>
      </c>
      <c r="N464" s="28">
        <f>'Historical Data'!AK461</f>
        <v/>
      </c>
      <c r="O464" s="3">
        <f>'Historical Data'!AA461</f>
        <v/>
      </c>
      <c r="P464" s="3">
        <f>'Historical Data'!AB461</f>
        <v/>
      </c>
      <c r="Q464" s="3">
        <f>'Historical Data'!AN461</f>
        <v/>
      </c>
      <c r="R464" s="3">
        <f>'Historical Data'!AC461</f>
        <v/>
      </c>
      <c r="S464" s="3">
        <f>'Historical Data'!AE461</f>
        <v/>
      </c>
      <c r="T464" s="3">
        <f>'Historical Data'!AH461</f>
        <v/>
      </c>
      <c r="U464" s="3">
        <f>'Historical Data'!BA461</f>
        <v/>
      </c>
      <c r="V464" s="3" t="n"/>
      <c r="W464" s="3" t="n"/>
      <c r="X464" s="3" t="n"/>
      <c r="Y464" s="3" t="n"/>
      <c r="Z464" s="3" t="n"/>
    </row>
    <row r="465" hidden="1" ht="15.75" customHeight="1" s="174">
      <c r="A465" s="3">
        <f>'Historical Data'!A462</f>
        <v/>
      </c>
      <c r="B465" s="3">
        <f>'Historical Data'!B462</f>
        <v/>
      </c>
      <c r="C465" s="3">
        <f>'Historical Data'!D462</f>
        <v/>
      </c>
      <c r="D465" s="23">
        <f>'Historical Data'!E462</f>
        <v/>
      </c>
      <c r="E465" s="3">
        <f>'Historical Data'!G462</f>
        <v/>
      </c>
      <c r="F465" s="3">
        <f>'Historical Data'!Y462</f>
        <v/>
      </c>
      <c r="G465" s="3">
        <f>'Historical Data'!K462</f>
        <v/>
      </c>
      <c r="H465" s="3">
        <f>'Historical Data'!L462</f>
        <v/>
      </c>
      <c r="I465" s="26">
        <f>'Historical Data'!M462</f>
        <v/>
      </c>
      <c r="J465" s="28">
        <f>'Historical Data'!N462</f>
        <v/>
      </c>
      <c r="K465" s="28">
        <f>'Historical Data'!Q462</f>
        <v/>
      </c>
      <c r="L465" s="30">
        <f>'Historical Data'!S462</f>
        <v/>
      </c>
      <c r="M465" s="28">
        <f>'Historical Data'!AJ462</f>
        <v/>
      </c>
      <c r="N465" s="28">
        <f>'Historical Data'!AK462</f>
        <v/>
      </c>
      <c r="O465" s="3">
        <f>'Historical Data'!AA462</f>
        <v/>
      </c>
      <c r="P465" s="3">
        <f>'Historical Data'!AB462</f>
        <v/>
      </c>
      <c r="Q465" s="3">
        <f>'Historical Data'!AN462</f>
        <v/>
      </c>
      <c r="R465" s="3">
        <f>'Historical Data'!AC462</f>
        <v/>
      </c>
      <c r="S465" s="3">
        <f>'Historical Data'!AE462</f>
        <v/>
      </c>
      <c r="T465" s="3">
        <f>'Historical Data'!AH462</f>
        <v/>
      </c>
      <c r="U465" s="3">
        <f>'Historical Data'!BA462</f>
        <v/>
      </c>
      <c r="V465" s="3" t="n"/>
      <c r="W465" s="3" t="n"/>
      <c r="X465" s="3" t="n"/>
      <c r="Y465" s="3" t="n"/>
      <c r="Z465" s="3" t="n"/>
    </row>
    <row r="466" hidden="1" ht="15.75" customHeight="1" s="174">
      <c r="A466" s="3">
        <f>'Historical Data'!A463</f>
        <v/>
      </c>
      <c r="B466" s="3">
        <f>'Historical Data'!B463</f>
        <v/>
      </c>
      <c r="C466" s="3">
        <f>'Historical Data'!D463</f>
        <v/>
      </c>
      <c r="D466" s="23">
        <f>'Historical Data'!E463</f>
        <v/>
      </c>
      <c r="E466" s="3">
        <f>'Historical Data'!G463</f>
        <v/>
      </c>
      <c r="F466" s="3">
        <f>'Historical Data'!Y463</f>
        <v/>
      </c>
      <c r="G466" s="3">
        <f>'Historical Data'!K463</f>
        <v/>
      </c>
      <c r="H466" s="3">
        <f>'Historical Data'!L463</f>
        <v/>
      </c>
      <c r="I466" s="26">
        <f>'Historical Data'!M463</f>
        <v/>
      </c>
      <c r="J466" s="28">
        <f>'Historical Data'!N463</f>
        <v/>
      </c>
      <c r="K466" s="28">
        <f>'Historical Data'!Q463</f>
        <v/>
      </c>
      <c r="L466" s="30">
        <f>'Historical Data'!S463</f>
        <v/>
      </c>
      <c r="M466" s="28">
        <f>'Historical Data'!AJ463</f>
        <v/>
      </c>
      <c r="N466" s="28">
        <f>'Historical Data'!AK463</f>
        <v/>
      </c>
      <c r="O466" s="3">
        <f>'Historical Data'!AA463</f>
        <v/>
      </c>
      <c r="P466" s="3">
        <f>'Historical Data'!AB463</f>
        <v/>
      </c>
      <c r="Q466" s="3">
        <f>'Historical Data'!AN463</f>
        <v/>
      </c>
      <c r="R466" s="3">
        <f>'Historical Data'!AC463</f>
        <v/>
      </c>
      <c r="S466" s="3">
        <f>'Historical Data'!AE463</f>
        <v/>
      </c>
      <c r="T466" s="3">
        <f>'Historical Data'!AH463</f>
        <v/>
      </c>
      <c r="U466" s="3">
        <f>'Historical Data'!BA463</f>
        <v/>
      </c>
      <c r="V466" s="3" t="n"/>
      <c r="W466" s="3" t="n"/>
      <c r="X466" s="3" t="n"/>
      <c r="Y466" s="3" t="n"/>
      <c r="Z466" s="3" t="n"/>
    </row>
    <row r="467" hidden="1" ht="15.75" customHeight="1" s="174">
      <c r="A467" s="3">
        <f>'Historical Data'!A464</f>
        <v/>
      </c>
      <c r="B467" s="3">
        <f>'Historical Data'!B464</f>
        <v/>
      </c>
      <c r="C467" s="3">
        <f>'Historical Data'!D464</f>
        <v/>
      </c>
      <c r="D467" s="23">
        <f>'Historical Data'!E464</f>
        <v/>
      </c>
      <c r="E467" s="3">
        <f>'Historical Data'!G464</f>
        <v/>
      </c>
      <c r="F467" s="3">
        <f>'Historical Data'!Y464</f>
        <v/>
      </c>
      <c r="G467" s="3">
        <f>'Historical Data'!K464</f>
        <v/>
      </c>
      <c r="H467" s="3">
        <f>'Historical Data'!L464</f>
        <v/>
      </c>
      <c r="I467" s="26">
        <f>'Historical Data'!M464</f>
        <v/>
      </c>
      <c r="J467" s="28">
        <f>'Historical Data'!N464</f>
        <v/>
      </c>
      <c r="K467" s="28">
        <f>'Historical Data'!Q464</f>
        <v/>
      </c>
      <c r="L467" s="30">
        <f>'Historical Data'!S464</f>
        <v/>
      </c>
      <c r="M467" s="28">
        <f>'Historical Data'!AJ464</f>
        <v/>
      </c>
      <c r="N467" s="28">
        <f>'Historical Data'!AK464</f>
        <v/>
      </c>
      <c r="O467" s="3">
        <f>'Historical Data'!AA464</f>
        <v/>
      </c>
      <c r="P467" s="3">
        <f>'Historical Data'!AB464</f>
        <v/>
      </c>
      <c r="Q467" s="3">
        <f>'Historical Data'!AN464</f>
        <v/>
      </c>
      <c r="R467" s="3">
        <f>'Historical Data'!AC464</f>
        <v/>
      </c>
      <c r="S467" s="3">
        <f>'Historical Data'!AE464</f>
        <v/>
      </c>
      <c r="T467" s="3">
        <f>'Historical Data'!AH464</f>
        <v/>
      </c>
      <c r="U467" s="3">
        <f>'Historical Data'!BA464</f>
        <v/>
      </c>
      <c r="V467" s="3" t="n"/>
      <c r="W467" s="3" t="n"/>
      <c r="X467" s="3" t="n"/>
      <c r="Y467" s="3" t="n"/>
      <c r="Z467" s="3" t="n"/>
    </row>
    <row r="468" hidden="1" ht="15.75" customHeight="1" s="174">
      <c r="A468" s="3">
        <f>'Historical Data'!A465</f>
        <v/>
      </c>
      <c r="B468" s="3">
        <f>'Historical Data'!B465</f>
        <v/>
      </c>
      <c r="C468" s="3">
        <f>'Historical Data'!D465</f>
        <v/>
      </c>
      <c r="D468" s="23">
        <f>'Historical Data'!E465</f>
        <v/>
      </c>
      <c r="E468" s="3">
        <f>'Historical Data'!G465</f>
        <v/>
      </c>
      <c r="F468" s="3">
        <f>'Historical Data'!Y465</f>
        <v/>
      </c>
      <c r="G468" s="3">
        <f>'Historical Data'!K465</f>
        <v/>
      </c>
      <c r="H468" s="3">
        <f>'Historical Data'!L465</f>
        <v/>
      </c>
      <c r="I468" s="26">
        <f>'Historical Data'!M465</f>
        <v/>
      </c>
      <c r="J468" s="28">
        <f>'Historical Data'!N465</f>
        <v/>
      </c>
      <c r="K468" s="28">
        <f>'Historical Data'!Q465</f>
        <v/>
      </c>
      <c r="L468" s="30">
        <f>'Historical Data'!S465</f>
        <v/>
      </c>
      <c r="M468" s="28">
        <f>'Historical Data'!AJ465</f>
        <v/>
      </c>
      <c r="N468" s="28">
        <f>'Historical Data'!AK465</f>
        <v/>
      </c>
      <c r="O468" s="3">
        <f>'Historical Data'!AA465</f>
        <v/>
      </c>
      <c r="P468" s="3">
        <f>'Historical Data'!AB465</f>
        <v/>
      </c>
      <c r="Q468" s="3">
        <f>'Historical Data'!AN465</f>
        <v/>
      </c>
      <c r="R468" s="3">
        <f>'Historical Data'!AC465</f>
        <v/>
      </c>
      <c r="S468" s="3">
        <f>'Historical Data'!AE465</f>
        <v/>
      </c>
      <c r="T468" s="3">
        <f>'Historical Data'!AH465</f>
        <v/>
      </c>
      <c r="U468" s="3">
        <f>'Historical Data'!BA465</f>
        <v/>
      </c>
      <c r="V468" s="3" t="n"/>
      <c r="W468" s="3" t="n"/>
      <c r="X468" s="3" t="n"/>
      <c r="Y468" s="3" t="n"/>
      <c r="Z468" s="3" t="n"/>
    </row>
    <row r="469" hidden="1" ht="15.75" customHeight="1" s="174">
      <c r="A469" s="3">
        <f>'Historical Data'!A466</f>
        <v/>
      </c>
      <c r="B469" s="3">
        <f>'Historical Data'!B466</f>
        <v/>
      </c>
      <c r="C469" s="3">
        <f>'Historical Data'!D466</f>
        <v/>
      </c>
      <c r="D469" s="23">
        <f>'Historical Data'!E466</f>
        <v/>
      </c>
      <c r="E469" s="3">
        <f>'Historical Data'!G466</f>
        <v/>
      </c>
      <c r="F469" s="3">
        <f>'Historical Data'!Y466</f>
        <v/>
      </c>
      <c r="G469" s="3">
        <f>'Historical Data'!K466</f>
        <v/>
      </c>
      <c r="H469" s="3">
        <f>'Historical Data'!L466</f>
        <v/>
      </c>
      <c r="I469" s="26">
        <f>'Historical Data'!M466</f>
        <v/>
      </c>
      <c r="J469" s="28">
        <f>'Historical Data'!N466</f>
        <v/>
      </c>
      <c r="K469" s="28">
        <f>'Historical Data'!Q466</f>
        <v/>
      </c>
      <c r="L469" s="30">
        <f>'Historical Data'!S466</f>
        <v/>
      </c>
      <c r="M469" s="28">
        <f>'Historical Data'!AJ466</f>
        <v/>
      </c>
      <c r="N469" s="28">
        <f>'Historical Data'!AK466</f>
        <v/>
      </c>
      <c r="O469" s="3">
        <f>'Historical Data'!AA466</f>
        <v/>
      </c>
      <c r="P469" s="3">
        <f>'Historical Data'!AB466</f>
        <v/>
      </c>
      <c r="Q469" s="3">
        <f>'Historical Data'!AN466</f>
        <v/>
      </c>
      <c r="R469" s="3">
        <f>'Historical Data'!AC466</f>
        <v/>
      </c>
      <c r="S469" s="3">
        <f>'Historical Data'!AE466</f>
        <v/>
      </c>
      <c r="T469" s="3">
        <f>'Historical Data'!AH466</f>
        <v/>
      </c>
      <c r="U469" s="3">
        <f>'Historical Data'!BA466</f>
        <v/>
      </c>
      <c r="V469" s="3" t="n"/>
      <c r="W469" s="3" t="n"/>
      <c r="X469" s="3" t="n"/>
      <c r="Y469" s="3" t="n"/>
      <c r="Z469" s="3" t="n"/>
    </row>
    <row r="470" hidden="1" ht="15.75" customHeight="1" s="174">
      <c r="A470" s="3">
        <f>'Historical Data'!A467</f>
        <v/>
      </c>
      <c r="B470" s="3">
        <f>'Historical Data'!B467</f>
        <v/>
      </c>
      <c r="C470" s="3">
        <f>'Historical Data'!D467</f>
        <v/>
      </c>
      <c r="D470" s="23">
        <f>'Historical Data'!E467</f>
        <v/>
      </c>
      <c r="E470" s="3">
        <f>'Historical Data'!G467</f>
        <v/>
      </c>
      <c r="F470" s="3">
        <f>'Historical Data'!Y467</f>
        <v/>
      </c>
      <c r="G470" s="3">
        <f>'Historical Data'!K467</f>
        <v/>
      </c>
      <c r="H470" s="3">
        <f>'Historical Data'!L467</f>
        <v/>
      </c>
      <c r="I470" s="26">
        <f>'Historical Data'!M467</f>
        <v/>
      </c>
      <c r="J470" s="28">
        <f>'Historical Data'!N467</f>
        <v/>
      </c>
      <c r="K470" s="28">
        <f>'Historical Data'!Q467</f>
        <v/>
      </c>
      <c r="L470" s="30">
        <f>'Historical Data'!S467</f>
        <v/>
      </c>
      <c r="M470" s="28">
        <f>'Historical Data'!AJ467</f>
        <v/>
      </c>
      <c r="N470" s="28">
        <f>'Historical Data'!AK467</f>
        <v/>
      </c>
      <c r="O470" s="3">
        <f>'Historical Data'!AA467</f>
        <v/>
      </c>
      <c r="P470" s="3">
        <f>'Historical Data'!AB467</f>
        <v/>
      </c>
      <c r="Q470" s="3">
        <f>'Historical Data'!AN467</f>
        <v/>
      </c>
      <c r="R470" s="3">
        <f>'Historical Data'!AC467</f>
        <v/>
      </c>
      <c r="S470" s="3">
        <f>'Historical Data'!AE467</f>
        <v/>
      </c>
      <c r="T470" s="3">
        <f>'Historical Data'!AH467</f>
        <v/>
      </c>
      <c r="U470" s="3">
        <f>'Historical Data'!BA467</f>
        <v/>
      </c>
      <c r="V470" s="3" t="n"/>
      <c r="W470" s="3" t="n"/>
      <c r="X470" s="3" t="n"/>
      <c r="Y470" s="3" t="n"/>
      <c r="Z470" s="3" t="n"/>
    </row>
    <row r="471" hidden="1" ht="15.75" customHeight="1" s="174">
      <c r="A471" s="3">
        <f>'Historical Data'!A468</f>
        <v/>
      </c>
      <c r="B471" s="3">
        <f>'Historical Data'!B468</f>
        <v/>
      </c>
      <c r="C471" s="3">
        <f>'Historical Data'!D468</f>
        <v/>
      </c>
      <c r="D471" s="23">
        <f>'Historical Data'!E468</f>
        <v/>
      </c>
      <c r="E471" s="3">
        <f>'Historical Data'!G468</f>
        <v/>
      </c>
      <c r="F471" s="3">
        <f>'Historical Data'!Y468</f>
        <v/>
      </c>
      <c r="G471" s="3">
        <f>'Historical Data'!K468</f>
        <v/>
      </c>
      <c r="H471" s="3">
        <f>'Historical Data'!L468</f>
        <v/>
      </c>
      <c r="I471" s="26">
        <f>'Historical Data'!M468</f>
        <v/>
      </c>
      <c r="J471" s="28">
        <f>'Historical Data'!N468</f>
        <v/>
      </c>
      <c r="K471" s="28">
        <f>'Historical Data'!Q468</f>
        <v/>
      </c>
      <c r="L471" s="30">
        <f>'Historical Data'!S468</f>
        <v/>
      </c>
      <c r="M471" s="28">
        <f>'Historical Data'!AJ468</f>
        <v/>
      </c>
      <c r="N471" s="28">
        <f>'Historical Data'!AK468</f>
        <v/>
      </c>
      <c r="O471" s="3">
        <f>'Historical Data'!AA468</f>
        <v/>
      </c>
      <c r="P471" s="3">
        <f>'Historical Data'!AB468</f>
        <v/>
      </c>
      <c r="Q471" s="3">
        <f>'Historical Data'!AN468</f>
        <v/>
      </c>
      <c r="R471" s="3">
        <f>'Historical Data'!AC468</f>
        <v/>
      </c>
      <c r="S471" s="3">
        <f>'Historical Data'!AE468</f>
        <v/>
      </c>
      <c r="T471" s="3">
        <f>'Historical Data'!AH468</f>
        <v/>
      </c>
      <c r="U471" s="3">
        <f>'Historical Data'!BA468</f>
        <v/>
      </c>
      <c r="V471" s="3" t="n"/>
      <c r="W471" s="3" t="n"/>
      <c r="X471" s="3" t="n"/>
      <c r="Y471" s="3" t="n"/>
      <c r="Z471" s="3" t="n"/>
    </row>
    <row r="472" hidden="1" ht="15.75" customHeight="1" s="174">
      <c r="A472" s="3">
        <f>'Historical Data'!A469</f>
        <v/>
      </c>
      <c r="B472" s="3">
        <f>'Historical Data'!B469</f>
        <v/>
      </c>
      <c r="C472" s="3">
        <f>'Historical Data'!D469</f>
        <v/>
      </c>
      <c r="D472" s="23">
        <f>'Historical Data'!E469</f>
        <v/>
      </c>
      <c r="E472" s="3">
        <f>'Historical Data'!G469</f>
        <v/>
      </c>
      <c r="F472" s="3">
        <f>'Historical Data'!Y469</f>
        <v/>
      </c>
      <c r="G472" s="3">
        <f>'Historical Data'!K469</f>
        <v/>
      </c>
      <c r="H472" s="3">
        <f>'Historical Data'!L469</f>
        <v/>
      </c>
      <c r="I472" s="26">
        <f>'Historical Data'!M469</f>
        <v/>
      </c>
      <c r="J472" s="28">
        <f>'Historical Data'!N469</f>
        <v/>
      </c>
      <c r="K472" s="28">
        <f>'Historical Data'!Q469</f>
        <v/>
      </c>
      <c r="L472" s="30">
        <f>'Historical Data'!S469</f>
        <v/>
      </c>
      <c r="M472" s="28">
        <f>'Historical Data'!AJ469</f>
        <v/>
      </c>
      <c r="N472" s="28">
        <f>'Historical Data'!AK469</f>
        <v/>
      </c>
      <c r="O472" s="3">
        <f>'Historical Data'!AA469</f>
        <v/>
      </c>
      <c r="P472" s="3">
        <f>'Historical Data'!AB469</f>
        <v/>
      </c>
      <c r="Q472" s="3">
        <f>'Historical Data'!AN469</f>
        <v/>
      </c>
      <c r="R472" s="3">
        <f>'Historical Data'!AC469</f>
        <v/>
      </c>
      <c r="S472" s="3">
        <f>'Historical Data'!AE469</f>
        <v/>
      </c>
      <c r="T472" s="3">
        <f>'Historical Data'!AH469</f>
        <v/>
      </c>
      <c r="U472" s="3">
        <f>'Historical Data'!BA469</f>
        <v/>
      </c>
      <c r="V472" s="3" t="n"/>
      <c r="W472" s="3" t="n"/>
      <c r="X472" s="3" t="n"/>
      <c r="Y472" s="3" t="n"/>
      <c r="Z472" s="3" t="n"/>
    </row>
    <row r="473" hidden="1" ht="15.75" customHeight="1" s="174">
      <c r="A473" s="3">
        <f>'Historical Data'!A470</f>
        <v/>
      </c>
      <c r="B473" s="3">
        <f>'Historical Data'!B470</f>
        <v/>
      </c>
      <c r="C473" s="3">
        <f>'Historical Data'!D470</f>
        <v/>
      </c>
      <c r="D473" s="23">
        <f>'Historical Data'!E470</f>
        <v/>
      </c>
      <c r="E473" s="3">
        <f>'Historical Data'!G470</f>
        <v/>
      </c>
      <c r="F473" s="3">
        <f>'Historical Data'!Y470</f>
        <v/>
      </c>
      <c r="G473" s="3">
        <f>'Historical Data'!K470</f>
        <v/>
      </c>
      <c r="H473" s="3">
        <f>'Historical Data'!L470</f>
        <v/>
      </c>
      <c r="I473" s="26">
        <f>'Historical Data'!M470</f>
        <v/>
      </c>
      <c r="J473" s="28">
        <f>'Historical Data'!N470</f>
        <v/>
      </c>
      <c r="K473" s="28">
        <f>'Historical Data'!Q470</f>
        <v/>
      </c>
      <c r="L473" s="30">
        <f>'Historical Data'!S470</f>
        <v/>
      </c>
      <c r="M473" s="28">
        <f>'Historical Data'!AJ470</f>
        <v/>
      </c>
      <c r="N473" s="28">
        <f>'Historical Data'!AK470</f>
        <v/>
      </c>
      <c r="O473" s="3">
        <f>'Historical Data'!AA470</f>
        <v/>
      </c>
      <c r="P473" s="3">
        <f>'Historical Data'!AB470</f>
        <v/>
      </c>
      <c r="Q473" s="3">
        <f>'Historical Data'!AN470</f>
        <v/>
      </c>
      <c r="R473" s="3">
        <f>'Historical Data'!AC470</f>
        <v/>
      </c>
      <c r="S473" s="3">
        <f>'Historical Data'!AE470</f>
        <v/>
      </c>
      <c r="T473" s="3">
        <f>'Historical Data'!AH470</f>
        <v/>
      </c>
      <c r="U473" s="3">
        <f>'Historical Data'!BA470</f>
        <v/>
      </c>
      <c r="V473" s="3" t="n"/>
      <c r="W473" s="3" t="n"/>
      <c r="X473" s="3" t="n"/>
      <c r="Y473" s="3" t="n"/>
      <c r="Z473" s="3" t="n"/>
    </row>
    <row r="474" hidden="1" ht="15.75" customHeight="1" s="174">
      <c r="A474" s="3">
        <f>'Historical Data'!A471</f>
        <v/>
      </c>
      <c r="B474" s="3">
        <f>'Historical Data'!B471</f>
        <v/>
      </c>
      <c r="C474" s="3">
        <f>'Historical Data'!D471</f>
        <v/>
      </c>
      <c r="D474" s="23">
        <f>'Historical Data'!E471</f>
        <v/>
      </c>
      <c r="E474" s="3">
        <f>'Historical Data'!G471</f>
        <v/>
      </c>
      <c r="F474" s="3">
        <f>'Historical Data'!Y471</f>
        <v/>
      </c>
      <c r="G474" s="3">
        <f>'Historical Data'!K471</f>
        <v/>
      </c>
      <c r="H474" s="3">
        <f>'Historical Data'!L471</f>
        <v/>
      </c>
      <c r="I474" s="26">
        <f>'Historical Data'!M471</f>
        <v/>
      </c>
      <c r="J474" s="28">
        <f>'Historical Data'!N471</f>
        <v/>
      </c>
      <c r="K474" s="28">
        <f>'Historical Data'!Q471</f>
        <v/>
      </c>
      <c r="L474" s="30">
        <f>'Historical Data'!S471</f>
        <v/>
      </c>
      <c r="M474" s="28">
        <f>'Historical Data'!AJ471</f>
        <v/>
      </c>
      <c r="N474" s="28">
        <f>'Historical Data'!AK471</f>
        <v/>
      </c>
      <c r="O474" s="3">
        <f>'Historical Data'!AA471</f>
        <v/>
      </c>
      <c r="P474" s="3">
        <f>'Historical Data'!AB471</f>
        <v/>
      </c>
      <c r="Q474" s="3">
        <f>'Historical Data'!AN471</f>
        <v/>
      </c>
      <c r="R474" s="3">
        <f>'Historical Data'!AC471</f>
        <v/>
      </c>
      <c r="S474" s="3">
        <f>'Historical Data'!AE471</f>
        <v/>
      </c>
      <c r="T474" s="3">
        <f>'Historical Data'!AH471</f>
        <v/>
      </c>
      <c r="U474" s="3">
        <f>'Historical Data'!BA471</f>
        <v/>
      </c>
      <c r="V474" s="3" t="n"/>
      <c r="W474" s="3" t="n"/>
      <c r="X474" s="3" t="n"/>
      <c r="Y474" s="3" t="n"/>
      <c r="Z474" s="3" t="n"/>
    </row>
    <row r="475" hidden="1" ht="15.75" customHeight="1" s="174">
      <c r="A475" s="3">
        <f>'Historical Data'!A472</f>
        <v/>
      </c>
      <c r="B475" s="3">
        <f>'Historical Data'!B472</f>
        <v/>
      </c>
      <c r="C475" s="3">
        <f>'Historical Data'!D472</f>
        <v/>
      </c>
      <c r="D475" s="23">
        <f>'Historical Data'!E472</f>
        <v/>
      </c>
      <c r="E475" s="3">
        <f>'Historical Data'!G472</f>
        <v/>
      </c>
      <c r="F475" s="3">
        <f>'Historical Data'!Y472</f>
        <v/>
      </c>
      <c r="G475" s="3">
        <f>'Historical Data'!K472</f>
        <v/>
      </c>
      <c r="H475" s="3">
        <f>'Historical Data'!L472</f>
        <v/>
      </c>
      <c r="I475" s="26">
        <f>'Historical Data'!M472</f>
        <v/>
      </c>
      <c r="J475" s="28">
        <f>'Historical Data'!N472</f>
        <v/>
      </c>
      <c r="K475" s="28">
        <f>'Historical Data'!Q472</f>
        <v/>
      </c>
      <c r="L475" s="30">
        <f>'Historical Data'!S472</f>
        <v/>
      </c>
      <c r="M475" s="28">
        <f>'Historical Data'!AJ472</f>
        <v/>
      </c>
      <c r="N475" s="28">
        <f>'Historical Data'!AK472</f>
        <v/>
      </c>
      <c r="O475" s="3">
        <f>'Historical Data'!AA472</f>
        <v/>
      </c>
      <c r="P475" s="3">
        <f>'Historical Data'!AB472</f>
        <v/>
      </c>
      <c r="Q475" s="3">
        <f>'Historical Data'!AN472</f>
        <v/>
      </c>
      <c r="R475" s="3">
        <f>'Historical Data'!AC472</f>
        <v/>
      </c>
      <c r="S475" s="3">
        <f>'Historical Data'!AE472</f>
        <v/>
      </c>
      <c r="T475" s="3">
        <f>'Historical Data'!AH472</f>
        <v/>
      </c>
      <c r="U475" s="3">
        <f>'Historical Data'!BA472</f>
        <v/>
      </c>
      <c r="V475" s="3" t="n"/>
      <c r="W475" s="3" t="n"/>
      <c r="X475" s="3" t="n"/>
      <c r="Y475" s="3" t="n"/>
      <c r="Z475" s="3" t="n"/>
    </row>
    <row r="476" hidden="1" ht="15.75" customHeight="1" s="174">
      <c r="A476" s="3">
        <f>'Historical Data'!A473</f>
        <v/>
      </c>
      <c r="B476" s="3">
        <f>'Historical Data'!B473</f>
        <v/>
      </c>
      <c r="C476" s="3">
        <f>'Historical Data'!D473</f>
        <v/>
      </c>
      <c r="D476" s="23">
        <f>'Historical Data'!E473</f>
        <v/>
      </c>
      <c r="E476" s="3">
        <f>'Historical Data'!G473</f>
        <v/>
      </c>
      <c r="F476" s="3">
        <f>'Historical Data'!Y473</f>
        <v/>
      </c>
      <c r="G476" s="3">
        <f>'Historical Data'!K473</f>
        <v/>
      </c>
      <c r="H476" s="3">
        <f>'Historical Data'!L473</f>
        <v/>
      </c>
      <c r="I476" s="26">
        <f>'Historical Data'!M473</f>
        <v/>
      </c>
      <c r="J476" s="28">
        <f>'Historical Data'!N473</f>
        <v/>
      </c>
      <c r="K476" s="28">
        <f>'Historical Data'!Q473</f>
        <v/>
      </c>
      <c r="L476" s="30">
        <f>'Historical Data'!S473</f>
        <v/>
      </c>
      <c r="M476" s="28">
        <f>'Historical Data'!AJ473</f>
        <v/>
      </c>
      <c r="N476" s="28">
        <f>'Historical Data'!AK473</f>
        <v/>
      </c>
      <c r="O476" s="3">
        <f>'Historical Data'!AA473</f>
        <v/>
      </c>
      <c r="P476" s="3">
        <f>'Historical Data'!AB473</f>
        <v/>
      </c>
      <c r="Q476" s="3">
        <f>'Historical Data'!AN473</f>
        <v/>
      </c>
      <c r="R476" s="3">
        <f>'Historical Data'!AC473</f>
        <v/>
      </c>
      <c r="S476" s="3">
        <f>'Historical Data'!AE473</f>
        <v/>
      </c>
      <c r="T476" s="3">
        <f>'Historical Data'!AH473</f>
        <v/>
      </c>
      <c r="U476" s="3">
        <f>'Historical Data'!BA473</f>
        <v/>
      </c>
      <c r="V476" s="3" t="n"/>
      <c r="W476" s="3" t="n"/>
      <c r="X476" s="3" t="n"/>
      <c r="Y476" s="3" t="n"/>
      <c r="Z476" s="3" t="n"/>
    </row>
    <row r="477" ht="15.75" customHeight="1" s="174">
      <c r="A477" s="3">
        <f>'Historical Data'!A474</f>
        <v/>
      </c>
      <c r="B477" s="3">
        <f>'Historical Data'!B474</f>
        <v/>
      </c>
      <c r="C477" s="3">
        <f>'Historical Data'!D474</f>
        <v/>
      </c>
      <c r="D477" s="23">
        <f>'Historical Data'!E474</f>
        <v/>
      </c>
      <c r="E477" s="3">
        <f>'Historical Data'!G474</f>
        <v/>
      </c>
      <c r="F477" s="3">
        <f>'Historical Data'!Y474</f>
        <v/>
      </c>
      <c r="G477" s="3">
        <f>'Historical Data'!K474</f>
        <v/>
      </c>
      <c r="H477" s="3">
        <f>'Historical Data'!L474</f>
        <v/>
      </c>
      <c r="I477" s="26">
        <f>'Historical Data'!M474</f>
        <v/>
      </c>
      <c r="J477" s="28">
        <f>'Historical Data'!N474</f>
        <v/>
      </c>
      <c r="K477" s="28">
        <f>'Historical Data'!Q474</f>
        <v/>
      </c>
      <c r="L477" s="30">
        <f>'Historical Data'!S474</f>
        <v/>
      </c>
      <c r="M477" s="28">
        <f>'Historical Data'!AJ474</f>
        <v/>
      </c>
      <c r="N477" s="28">
        <f>'Historical Data'!AK474</f>
        <v/>
      </c>
      <c r="O477" s="3">
        <f>'Historical Data'!AA474</f>
        <v/>
      </c>
      <c r="P477" s="3">
        <f>'Historical Data'!AB474</f>
        <v/>
      </c>
      <c r="Q477" s="3">
        <f>'Historical Data'!AN474</f>
        <v/>
      </c>
      <c r="R477" s="3">
        <f>'Historical Data'!AC474</f>
        <v/>
      </c>
      <c r="S477" s="3">
        <f>'Historical Data'!AE474</f>
        <v/>
      </c>
      <c r="T477" s="3">
        <f>'Historical Data'!AH474</f>
        <v/>
      </c>
      <c r="U477" s="3">
        <f>'Historical Data'!BA474</f>
        <v/>
      </c>
      <c r="V477" s="3" t="n"/>
      <c r="W477" s="3" t="n"/>
      <c r="X477" s="3" t="n"/>
      <c r="Y477" s="3" t="n"/>
      <c r="Z477" s="3" t="n"/>
    </row>
    <row r="478" hidden="1" ht="15.75" customHeight="1" s="174">
      <c r="A478" s="3">
        <f>'Historical Data'!A475</f>
        <v/>
      </c>
      <c r="B478" s="3">
        <f>'Historical Data'!B475</f>
        <v/>
      </c>
      <c r="C478" s="3">
        <f>'Historical Data'!D475</f>
        <v/>
      </c>
      <c r="D478" s="23">
        <f>'Historical Data'!E475</f>
        <v/>
      </c>
      <c r="E478" s="3">
        <f>'Historical Data'!G475</f>
        <v/>
      </c>
      <c r="F478" s="3">
        <f>'Historical Data'!Y475</f>
        <v/>
      </c>
      <c r="G478" s="3">
        <f>'Historical Data'!K475</f>
        <v/>
      </c>
      <c r="H478" s="3">
        <f>'Historical Data'!L475</f>
        <v/>
      </c>
      <c r="I478" s="26">
        <f>'Historical Data'!M475</f>
        <v/>
      </c>
      <c r="J478" s="28">
        <f>'Historical Data'!N475</f>
        <v/>
      </c>
      <c r="K478" s="28">
        <f>'Historical Data'!Q475</f>
        <v/>
      </c>
      <c r="L478" s="30">
        <f>'Historical Data'!S475</f>
        <v/>
      </c>
      <c r="M478" s="28">
        <f>'Historical Data'!AJ475</f>
        <v/>
      </c>
      <c r="N478" s="28">
        <f>'Historical Data'!AK475</f>
        <v/>
      </c>
      <c r="O478" s="3">
        <f>'Historical Data'!AA475</f>
        <v/>
      </c>
      <c r="P478" s="3">
        <f>'Historical Data'!AB475</f>
        <v/>
      </c>
      <c r="Q478" s="3">
        <f>'Historical Data'!AN475</f>
        <v/>
      </c>
      <c r="R478" s="3">
        <f>'Historical Data'!AC475</f>
        <v/>
      </c>
      <c r="S478" s="3">
        <f>'Historical Data'!AE475</f>
        <v/>
      </c>
      <c r="T478" s="3">
        <f>'Historical Data'!AH475</f>
        <v/>
      </c>
      <c r="U478" s="3">
        <f>'Historical Data'!BA475</f>
        <v/>
      </c>
      <c r="V478" s="3" t="n"/>
      <c r="W478" s="3" t="n"/>
      <c r="X478" s="3" t="n"/>
      <c r="Y478" s="3" t="n"/>
      <c r="Z478" s="3" t="n"/>
    </row>
    <row r="479" hidden="1" ht="15.75" customHeight="1" s="174">
      <c r="A479" s="3">
        <f>'Historical Data'!A476</f>
        <v/>
      </c>
      <c r="B479" s="3">
        <f>'Historical Data'!B476</f>
        <v/>
      </c>
      <c r="C479" s="3">
        <f>'Historical Data'!D476</f>
        <v/>
      </c>
      <c r="D479" s="23">
        <f>'Historical Data'!E476</f>
        <v/>
      </c>
      <c r="E479" s="3">
        <f>'Historical Data'!G476</f>
        <v/>
      </c>
      <c r="F479" s="3">
        <f>'Historical Data'!Y476</f>
        <v/>
      </c>
      <c r="G479" s="3">
        <f>'Historical Data'!K476</f>
        <v/>
      </c>
      <c r="H479" s="3">
        <f>'Historical Data'!L476</f>
        <v/>
      </c>
      <c r="I479" s="26">
        <f>'Historical Data'!M476</f>
        <v/>
      </c>
      <c r="J479" s="28">
        <f>'Historical Data'!N476</f>
        <v/>
      </c>
      <c r="K479" s="28">
        <f>'Historical Data'!Q476</f>
        <v/>
      </c>
      <c r="L479" s="30">
        <f>'Historical Data'!S476</f>
        <v/>
      </c>
      <c r="M479" s="28">
        <f>'Historical Data'!AJ476</f>
        <v/>
      </c>
      <c r="N479" s="28">
        <f>'Historical Data'!AK476</f>
        <v/>
      </c>
      <c r="O479" s="3">
        <f>'Historical Data'!AA476</f>
        <v/>
      </c>
      <c r="P479" s="3">
        <f>'Historical Data'!AB476</f>
        <v/>
      </c>
      <c r="Q479" s="3">
        <f>'Historical Data'!AN476</f>
        <v/>
      </c>
      <c r="R479" s="3">
        <f>'Historical Data'!AC476</f>
        <v/>
      </c>
      <c r="S479" s="3">
        <f>'Historical Data'!AE476</f>
        <v/>
      </c>
      <c r="T479" s="3">
        <f>'Historical Data'!AH476</f>
        <v/>
      </c>
      <c r="U479" s="3">
        <f>'Historical Data'!BA476</f>
        <v/>
      </c>
      <c r="V479" s="3" t="n"/>
      <c r="W479" s="3" t="n"/>
      <c r="X479" s="3" t="n"/>
      <c r="Y479" s="3" t="n"/>
      <c r="Z479" s="3" t="n"/>
    </row>
    <row r="480" hidden="1" ht="15.75" customHeight="1" s="174">
      <c r="A480" s="3">
        <f>'Historical Data'!A477</f>
        <v/>
      </c>
      <c r="B480" s="3">
        <f>'Historical Data'!B477</f>
        <v/>
      </c>
      <c r="C480" s="3">
        <f>'Historical Data'!D477</f>
        <v/>
      </c>
      <c r="D480" s="23">
        <f>'Historical Data'!E477</f>
        <v/>
      </c>
      <c r="E480" s="3">
        <f>'Historical Data'!G477</f>
        <v/>
      </c>
      <c r="F480" s="3">
        <f>'Historical Data'!Y477</f>
        <v/>
      </c>
      <c r="G480" s="3">
        <f>'Historical Data'!K477</f>
        <v/>
      </c>
      <c r="H480" s="3">
        <f>'Historical Data'!L477</f>
        <v/>
      </c>
      <c r="I480" s="26">
        <f>'Historical Data'!M477</f>
        <v/>
      </c>
      <c r="J480" s="28">
        <f>'Historical Data'!N477</f>
        <v/>
      </c>
      <c r="K480" s="28">
        <f>'Historical Data'!Q477</f>
        <v/>
      </c>
      <c r="L480" s="30">
        <f>'Historical Data'!S477</f>
        <v/>
      </c>
      <c r="M480" s="28">
        <f>'Historical Data'!AJ477</f>
        <v/>
      </c>
      <c r="N480" s="28">
        <f>'Historical Data'!AK477</f>
        <v/>
      </c>
      <c r="O480" s="3">
        <f>'Historical Data'!AA477</f>
        <v/>
      </c>
      <c r="P480" s="3">
        <f>'Historical Data'!AB477</f>
        <v/>
      </c>
      <c r="Q480" s="3">
        <f>'Historical Data'!AN477</f>
        <v/>
      </c>
      <c r="R480" s="3">
        <f>'Historical Data'!AC477</f>
        <v/>
      </c>
      <c r="S480" s="3">
        <f>'Historical Data'!AE477</f>
        <v/>
      </c>
      <c r="T480" s="3">
        <f>'Historical Data'!AH477</f>
        <v/>
      </c>
      <c r="U480" s="3">
        <f>'Historical Data'!BA477</f>
        <v/>
      </c>
      <c r="V480" s="3" t="n"/>
      <c r="W480" s="3" t="n"/>
      <c r="X480" s="3" t="n"/>
      <c r="Y480" s="3" t="n"/>
      <c r="Z480" s="3" t="n"/>
    </row>
    <row r="481" hidden="1" ht="15.75" customHeight="1" s="174">
      <c r="A481" s="3">
        <f>'Historical Data'!A478</f>
        <v/>
      </c>
      <c r="B481" s="3">
        <f>'Historical Data'!B478</f>
        <v/>
      </c>
      <c r="C481" s="3">
        <f>'Historical Data'!D478</f>
        <v/>
      </c>
      <c r="D481" s="23">
        <f>'Historical Data'!E478</f>
        <v/>
      </c>
      <c r="E481" s="3">
        <f>'Historical Data'!G478</f>
        <v/>
      </c>
      <c r="F481" s="3">
        <f>'Historical Data'!Y478</f>
        <v/>
      </c>
      <c r="G481" s="3">
        <f>'Historical Data'!K478</f>
        <v/>
      </c>
      <c r="H481" s="3">
        <f>'Historical Data'!L478</f>
        <v/>
      </c>
      <c r="I481" s="26">
        <f>'Historical Data'!M478</f>
        <v/>
      </c>
      <c r="J481" s="28">
        <f>'Historical Data'!N478</f>
        <v/>
      </c>
      <c r="K481" s="28">
        <f>'Historical Data'!Q478</f>
        <v/>
      </c>
      <c r="L481" s="30">
        <f>'Historical Data'!S478</f>
        <v/>
      </c>
      <c r="M481" s="28">
        <f>'Historical Data'!AJ478</f>
        <v/>
      </c>
      <c r="N481" s="28">
        <f>'Historical Data'!AK478</f>
        <v/>
      </c>
      <c r="O481" s="3">
        <f>'Historical Data'!AA478</f>
        <v/>
      </c>
      <c r="P481" s="3">
        <f>'Historical Data'!AB478</f>
        <v/>
      </c>
      <c r="Q481" s="3">
        <f>'Historical Data'!AN478</f>
        <v/>
      </c>
      <c r="R481" s="3">
        <f>'Historical Data'!AC478</f>
        <v/>
      </c>
      <c r="S481" s="3">
        <f>'Historical Data'!AE478</f>
        <v/>
      </c>
      <c r="T481" s="3">
        <f>'Historical Data'!AH478</f>
        <v/>
      </c>
      <c r="U481" s="3">
        <f>'Historical Data'!BA478</f>
        <v/>
      </c>
      <c r="V481" s="3" t="n"/>
      <c r="W481" s="3" t="n"/>
      <c r="X481" s="3" t="n"/>
      <c r="Y481" s="3" t="n"/>
      <c r="Z481" s="3" t="n"/>
    </row>
    <row r="482" hidden="1" ht="15.75" customHeight="1" s="174">
      <c r="A482" s="3">
        <f>'Historical Data'!A479</f>
        <v/>
      </c>
      <c r="B482" s="3">
        <f>'Historical Data'!B479</f>
        <v/>
      </c>
      <c r="C482" s="3">
        <f>'Historical Data'!D479</f>
        <v/>
      </c>
      <c r="D482" s="23">
        <f>'Historical Data'!E479</f>
        <v/>
      </c>
      <c r="E482" s="3">
        <f>'Historical Data'!G479</f>
        <v/>
      </c>
      <c r="F482" s="3">
        <f>'Historical Data'!Y479</f>
        <v/>
      </c>
      <c r="G482" s="3">
        <f>'Historical Data'!K479</f>
        <v/>
      </c>
      <c r="H482" s="3">
        <f>'Historical Data'!L479</f>
        <v/>
      </c>
      <c r="I482" s="26">
        <f>'Historical Data'!M479</f>
        <v/>
      </c>
      <c r="J482" s="28">
        <f>'Historical Data'!N479</f>
        <v/>
      </c>
      <c r="K482" s="28">
        <f>'Historical Data'!Q479</f>
        <v/>
      </c>
      <c r="L482" s="30">
        <f>'Historical Data'!S479</f>
        <v/>
      </c>
      <c r="M482" s="28">
        <f>'Historical Data'!AJ479</f>
        <v/>
      </c>
      <c r="N482" s="28">
        <f>'Historical Data'!AK479</f>
        <v/>
      </c>
      <c r="O482" s="3">
        <f>'Historical Data'!AA479</f>
        <v/>
      </c>
      <c r="P482" s="3">
        <f>'Historical Data'!AB479</f>
        <v/>
      </c>
      <c r="Q482" s="3">
        <f>'Historical Data'!AN479</f>
        <v/>
      </c>
      <c r="R482" s="3">
        <f>'Historical Data'!AC479</f>
        <v/>
      </c>
      <c r="S482" s="3">
        <f>'Historical Data'!AE479</f>
        <v/>
      </c>
      <c r="T482" s="3">
        <f>'Historical Data'!AH479</f>
        <v/>
      </c>
      <c r="U482" s="3">
        <f>'Historical Data'!BA479</f>
        <v/>
      </c>
      <c r="V482" s="3" t="n"/>
      <c r="W482" s="3" t="n"/>
      <c r="X482" s="3" t="n"/>
      <c r="Y482" s="3" t="n"/>
      <c r="Z482" s="3" t="n"/>
    </row>
    <row r="483" hidden="1" ht="15.75" customHeight="1" s="174">
      <c r="A483" s="3">
        <f>'Historical Data'!A480</f>
        <v/>
      </c>
      <c r="B483" s="3">
        <f>'Historical Data'!B480</f>
        <v/>
      </c>
      <c r="C483" s="3">
        <f>'Historical Data'!D480</f>
        <v/>
      </c>
      <c r="D483" s="23">
        <f>'Historical Data'!E480</f>
        <v/>
      </c>
      <c r="E483" s="3">
        <f>'Historical Data'!G480</f>
        <v/>
      </c>
      <c r="F483" s="3">
        <f>'Historical Data'!Y480</f>
        <v/>
      </c>
      <c r="G483" s="3">
        <f>'Historical Data'!K480</f>
        <v/>
      </c>
      <c r="H483" s="3">
        <f>'Historical Data'!L480</f>
        <v/>
      </c>
      <c r="I483" s="26">
        <f>'Historical Data'!M480</f>
        <v/>
      </c>
      <c r="J483" s="28">
        <f>'Historical Data'!N480</f>
        <v/>
      </c>
      <c r="K483" s="28">
        <f>'Historical Data'!Q480</f>
        <v/>
      </c>
      <c r="L483" s="30">
        <f>'Historical Data'!S480</f>
        <v/>
      </c>
      <c r="M483" s="28">
        <f>'Historical Data'!AJ480</f>
        <v/>
      </c>
      <c r="N483" s="28">
        <f>'Historical Data'!AK480</f>
        <v/>
      </c>
      <c r="O483" s="3">
        <f>'Historical Data'!AA480</f>
        <v/>
      </c>
      <c r="P483" s="3">
        <f>'Historical Data'!AB480</f>
        <v/>
      </c>
      <c r="Q483" s="3">
        <f>'Historical Data'!AN480</f>
        <v/>
      </c>
      <c r="R483" s="3">
        <f>'Historical Data'!AC480</f>
        <v/>
      </c>
      <c r="S483" s="3">
        <f>'Historical Data'!AE480</f>
        <v/>
      </c>
      <c r="T483" s="3">
        <f>'Historical Data'!AH480</f>
        <v/>
      </c>
      <c r="U483" s="3">
        <f>'Historical Data'!BA480</f>
        <v/>
      </c>
      <c r="V483" s="3" t="n"/>
      <c r="W483" s="3" t="n"/>
      <c r="X483" s="3" t="n"/>
      <c r="Y483" s="3" t="n"/>
      <c r="Z483" s="3" t="n"/>
    </row>
    <row r="484" hidden="1" ht="15.75" customHeight="1" s="174">
      <c r="A484" s="3">
        <f>'Historical Data'!A481</f>
        <v/>
      </c>
      <c r="B484" s="3">
        <f>'Historical Data'!B481</f>
        <v/>
      </c>
      <c r="C484" s="3">
        <f>'Historical Data'!D481</f>
        <v/>
      </c>
      <c r="D484" s="23">
        <f>'Historical Data'!E481</f>
        <v/>
      </c>
      <c r="E484" s="3">
        <f>'Historical Data'!G481</f>
        <v/>
      </c>
      <c r="F484" s="3">
        <f>'Historical Data'!Y481</f>
        <v/>
      </c>
      <c r="G484" s="3">
        <f>'Historical Data'!K481</f>
        <v/>
      </c>
      <c r="H484" s="3">
        <f>'Historical Data'!L481</f>
        <v/>
      </c>
      <c r="I484" s="26">
        <f>'Historical Data'!M481</f>
        <v/>
      </c>
      <c r="J484" s="28">
        <f>'Historical Data'!N481</f>
        <v/>
      </c>
      <c r="K484" s="28">
        <f>'Historical Data'!Q481</f>
        <v/>
      </c>
      <c r="L484" s="30">
        <f>'Historical Data'!S481</f>
        <v/>
      </c>
      <c r="M484" s="28">
        <f>'Historical Data'!AJ481</f>
        <v/>
      </c>
      <c r="N484" s="28">
        <f>'Historical Data'!AK481</f>
        <v/>
      </c>
      <c r="O484" s="3">
        <f>'Historical Data'!AA481</f>
        <v/>
      </c>
      <c r="P484" s="3">
        <f>'Historical Data'!AB481</f>
        <v/>
      </c>
      <c r="Q484" s="3">
        <f>'Historical Data'!AN481</f>
        <v/>
      </c>
      <c r="R484" s="3">
        <f>'Historical Data'!AC481</f>
        <v/>
      </c>
      <c r="S484" s="3">
        <f>'Historical Data'!AE481</f>
        <v/>
      </c>
      <c r="T484" s="3">
        <f>'Historical Data'!AH481</f>
        <v/>
      </c>
      <c r="U484" s="3">
        <f>'Historical Data'!BA481</f>
        <v/>
      </c>
      <c r="V484" s="3" t="n"/>
      <c r="W484" s="3" t="n"/>
      <c r="X484" s="3" t="n"/>
      <c r="Y484" s="3" t="n"/>
      <c r="Z484" s="3" t="n"/>
    </row>
    <row r="485" hidden="1" ht="15.75" customHeight="1" s="174">
      <c r="A485" s="3">
        <f>'Historical Data'!A482</f>
        <v/>
      </c>
      <c r="B485" s="3">
        <f>'Historical Data'!B482</f>
        <v/>
      </c>
      <c r="C485" s="3">
        <f>'Historical Data'!D482</f>
        <v/>
      </c>
      <c r="D485" s="23">
        <f>'Historical Data'!E482</f>
        <v/>
      </c>
      <c r="E485" s="3">
        <f>'Historical Data'!G482</f>
        <v/>
      </c>
      <c r="F485" s="3">
        <f>'Historical Data'!Y482</f>
        <v/>
      </c>
      <c r="G485" s="3">
        <f>'Historical Data'!K482</f>
        <v/>
      </c>
      <c r="H485" s="3">
        <f>'Historical Data'!L482</f>
        <v/>
      </c>
      <c r="I485" s="26">
        <f>'Historical Data'!M482</f>
        <v/>
      </c>
      <c r="J485" s="28">
        <f>'Historical Data'!N482</f>
        <v/>
      </c>
      <c r="K485" s="28">
        <f>'Historical Data'!Q482</f>
        <v/>
      </c>
      <c r="L485" s="30">
        <f>'Historical Data'!S482</f>
        <v/>
      </c>
      <c r="M485" s="28">
        <f>'Historical Data'!AJ482</f>
        <v/>
      </c>
      <c r="N485" s="28">
        <f>'Historical Data'!AK482</f>
        <v/>
      </c>
      <c r="O485" s="3">
        <f>'Historical Data'!AA482</f>
        <v/>
      </c>
      <c r="P485" s="3">
        <f>'Historical Data'!AB482</f>
        <v/>
      </c>
      <c r="Q485" s="3">
        <f>'Historical Data'!AN482</f>
        <v/>
      </c>
      <c r="R485" s="3">
        <f>'Historical Data'!AC482</f>
        <v/>
      </c>
      <c r="S485" s="3">
        <f>'Historical Data'!AE482</f>
        <v/>
      </c>
      <c r="T485" s="3">
        <f>'Historical Data'!AH482</f>
        <v/>
      </c>
      <c r="U485" s="3">
        <f>'Historical Data'!BA482</f>
        <v/>
      </c>
      <c r="V485" s="3" t="n"/>
      <c r="W485" s="3" t="n"/>
      <c r="X485" s="3" t="n"/>
      <c r="Y485" s="3" t="n"/>
      <c r="Z485" s="3" t="n"/>
    </row>
    <row r="486" hidden="1" ht="15.75" customHeight="1" s="174">
      <c r="A486" s="3">
        <f>'Historical Data'!A483</f>
        <v/>
      </c>
      <c r="B486" s="3">
        <f>'Historical Data'!B483</f>
        <v/>
      </c>
      <c r="C486" s="3">
        <f>'Historical Data'!D483</f>
        <v/>
      </c>
      <c r="D486" s="23">
        <f>'Historical Data'!E483</f>
        <v/>
      </c>
      <c r="E486" s="3">
        <f>'Historical Data'!G483</f>
        <v/>
      </c>
      <c r="F486" s="3">
        <f>'Historical Data'!Y483</f>
        <v/>
      </c>
      <c r="G486" s="3">
        <f>'Historical Data'!K483</f>
        <v/>
      </c>
      <c r="H486" s="3">
        <f>'Historical Data'!L483</f>
        <v/>
      </c>
      <c r="I486" s="26">
        <f>'Historical Data'!M483</f>
        <v/>
      </c>
      <c r="J486" s="28">
        <f>'Historical Data'!N483</f>
        <v/>
      </c>
      <c r="K486" s="28">
        <f>'Historical Data'!Q483</f>
        <v/>
      </c>
      <c r="L486" s="30">
        <f>'Historical Data'!S483</f>
        <v/>
      </c>
      <c r="M486" s="28">
        <f>'Historical Data'!AJ483</f>
        <v/>
      </c>
      <c r="N486" s="28">
        <f>'Historical Data'!AK483</f>
        <v/>
      </c>
      <c r="O486" s="3">
        <f>'Historical Data'!AA483</f>
        <v/>
      </c>
      <c r="P486" s="3">
        <f>'Historical Data'!AB483</f>
        <v/>
      </c>
      <c r="Q486" s="3">
        <f>'Historical Data'!AN483</f>
        <v/>
      </c>
      <c r="R486" s="3">
        <f>'Historical Data'!AC483</f>
        <v/>
      </c>
      <c r="S486" s="3">
        <f>'Historical Data'!AE483</f>
        <v/>
      </c>
      <c r="T486" s="3">
        <f>'Historical Data'!AH483</f>
        <v/>
      </c>
      <c r="U486" s="3">
        <f>'Historical Data'!BA483</f>
        <v/>
      </c>
      <c r="V486" s="3" t="n"/>
      <c r="W486" s="3" t="n"/>
      <c r="X486" s="3" t="n"/>
      <c r="Y486" s="3" t="n"/>
      <c r="Z486" s="3" t="n"/>
    </row>
    <row r="487" hidden="1" ht="15.75" customHeight="1" s="174">
      <c r="A487" s="3">
        <f>'Historical Data'!A484</f>
        <v/>
      </c>
      <c r="B487" s="3">
        <f>'Historical Data'!B484</f>
        <v/>
      </c>
      <c r="C487" s="3">
        <f>'Historical Data'!D484</f>
        <v/>
      </c>
      <c r="D487" s="23">
        <f>'Historical Data'!E484</f>
        <v/>
      </c>
      <c r="E487" s="3">
        <f>'Historical Data'!G484</f>
        <v/>
      </c>
      <c r="F487" s="3">
        <f>'Historical Data'!Y484</f>
        <v/>
      </c>
      <c r="G487" s="3">
        <f>'Historical Data'!K484</f>
        <v/>
      </c>
      <c r="H487" s="3">
        <f>'Historical Data'!L484</f>
        <v/>
      </c>
      <c r="I487" s="26">
        <f>'Historical Data'!M484</f>
        <v/>
      </c>
      <c r="J487" s="28">
        <f>'Historical Data'!N484</f>
        <v/>
      </c>
      <c r="K487" s="28">
        <f>'Historical Data'!Q484</f>
        <v/>
      </c>
      <c r="L487" s="30">
        <f>'Historical Data'!S484</f>
        <v/>
      </c>
      <c r="M487" s="28">
        <f>'Historical Data'!AJ484</f>
        <v/>
      </c>
      <c r="N487" s="28">
        <f>'Historical Data'!AK484</f>
        <v/>
      </c>
      <c r="O487" s="3">
        <f>'Historical Data'!AA484</f>
        <v/>
      </c>
      <c r="P487" s="3">
        <f>'Historical Data'!AB484</f>
        <v/>
      </c>
      <c r="Q487" s="3">
        <f>'Historical Data'!AN484</f>
        <v/>
      </c>
      <c r="R487" s="3">
        <f>'Historical Data'!AC484</f>
        <v/>
      </c>
      <c r="S487" s="3">
        <f>'Historical Data'!AE484</f>
        <v/>
      </c>
      <c r="T487" s="3">
        <f>'Historical Data'!AH484</f>
        <v/>
      </c>
      <c r="U487" s="3">
        <f>'Historical Data'!BA484</f>
        <v/>
      </c>
      <c r="V487" s="3" t="n"/>
      <c r="W487" s="3" t="n"/>
      <c r="X487" s="3" t="n"/>
      <c r="Y487" s="3" t="n"/>
      <c r="Z487" s="3" t="n"/>
    </row>
    <row r="488" hidden="1" ht="15.75" customHeight="1" s="174">
      <c r="A488" s="3">
        <f>'Historical Data'!A485</f>
        <v/>
      </c>
      <c r="B488" s="3">
        <f>'Historical Data'!B485</f>
        <v/>
      </c>
      <c r="C488" s="3">
        <f>'Historical Data'!D485</f>
        <v/>
      </c>
      <c r="D488" s="23">
        <f>'Historical Data'!E485</f>
        <v/>
      </c>
      <c r="E488" s="3">
        <f>'Historical Data'!G485</f>
        <v/>
      </c>
      <c r="F488" s="3">
        <f>'Historical Data'!Y485</f>
        <v/>
      </c>
      <c r="G488" s="3">
        <f>'Historical Data'!K485</f>
        <v/>
      </c>
      <c r="H488" s="3">
        <f>'Historical Data'!L485</f>
        <v/>
      </c>
      <c r="I488" s="26">
        <f>'Historical Data'!M485</f>
        <v/>
      </c>
      <c r="J488" s="28">
        <f>'Historical Data'!N485</f>
        <v/>
      </c>
      <c r="K488" s="28">
        <f>'Historical Data'!Q485</f>
        <v/>
      </c>
      <c r="L488" s="30">
        <f>'Historical Data'!S485</f>
        <v/>
      </c>
      <c r="M488" s="28">
        <f>'Historical Data'!AJ485</f>
        <v/>
      </c>
      <c r="N488" s="28">
        <f>'Historical Data'!AK485</f>
        <v/>
      </c>
      <c r="O488" s="3">
        <f>'Historical Data'!AA485</f>
        <v/>
      </c>
      <c r="P488" s="3">
        <f>'Historical Data'!AB485</f>
        <v/>
      </c>
      <c r="Q488" s="3">
        <f>'Historical Data'!AN485</f>
        <v/>
      </c>
      <c r="R488" s="3">
        <f>'Historical Data'!AC485</f>
        <v/>
      </c>
      <c r="S488" s="3">
        <f>'Historical Data'!AE485</f>
        <v/>
      </c>
      <c r="T488" s="3">
        <f>'Historical Data'!AH485</f>
        <v/>
      </c>
      <c r="U488" s="3">
        <f>'Historical Data'!BA485</f>
        <v/>
      </c>
      <c r="V488" s="3" t="n"/>
      <c r="W488" s="3" t="n"/>
      <c r="X488" s="3" t="n"/>
      <c r="Y488" s="3" t="n"/>
      <c r="Z488" s="3" t="n"/>
    </row>
    <row r="489" hidden="1" ht="15.75" customHeight="1" s="174">
      <c r="A489" s="3">
        <f>'Historical Data'!A486</f>
        <v/>
      </c>
      <c r="B489" s="3">
        <f>'Historical Data'!B486</f>
        <v/>
      </c>
      <c r="C489" s="3">
        <f>'Historical Data'!D486</f>
        <v/>
      </c>
      <c r="D489" s="23">
        <f>'Historical Data'!E486</f>
        <v/>
      </c>
      <c r="E489" s="3">
        <f>'Historical Data'!G486</f>
        <v/>
      </c>
      <c r="F489" s="3">
        <f>'Historical Data'!Y486</f>
        <v/>
      </c>
      <c r="G489" s="3">
        <f>'Historical Data'!K486</f>
        <v/>
      </c>
      <c r="H489" s="3">
        <f>'Historical Data'!L486</f>
        <v/>
      </c>
      <c r="I489" s="26">
        <f>'Historical Data'!M486</f>
        <v/>
      </c>
      <c r="J489" s="28">
        <f>'Historical Data'!N486</f>
        <v/>
      </c>
      <c r="K489" s="28">
        <f>'Historical Data'!Q486</f>
        <v/>
      </c>
      <c r="L489" s="30">
        <f>'Historical Data'!S486</f>
        <v/>
      </c>
      <c r="M489" s="28">
        <f>'Historical Data'!AJ486</f>
        <v/>
      </c>
      <c r="N489" s="28">
        <f>'Historical Data'!AK486</f>
        <v/>
      </c>
      <c r="O489" s="3">
        <f>'Historical Data'!AA486</f>
        <v/>
      </c>
      <c r="P489" s="3">
        <f>'Historical Data'!AB486</f>
        <v/>
      </c>
      <c r="Q489" s="3">
        <f>'Historical Data'!AN486</f>
        <v/>
      </c>
      <c r="R489" s="3">
        <f>'Historical Data'!AC486</f>
        <v/>
      </c>
      <c r="S489" s="3">
        <f>'Historical Data'!AE486</f>
        <v/>
      </c>
      <c r="T489" s="3">
        <f>'Historical Data'!AH486</f>
        <v/>
      </c>
      <c r="U489" s="3">
        <f>'Historical Data'!BA486</f>
        <v/>
      </c>
      <c r="V489" s="3" t="n"/>
      <c r="W489" s="3" t="n"/>
      <c r="X489" s="3" t="n"/>
      <c r="Y489" s="3" t="n"/>
      <c r="Z489" s="3" t="n"/>
    </row>
    <row r="490" hidden="1" ht="15.75" customHeight="1" s="174">
      <c r="A490" s="3">
        <f>'Historical Data'!A487</f>
        <v/>
      </c>
      <c r="B490" s="3">
        <f>'Historical Data'!B487</f>
        <v/>
      </c>
      <c r="C490" s="3">
        <f>'Historical Data'!D487</f>
        <v/>
      </c>
      <c r="D490" s="23">
        <f>'Historical Data'!E487</f>
        <v/>
      </c>
      <c r="E490" s="3">
        <f>'Historical Data'!G487</f>
        <v/>
      </c>
      <c r="F490" s="3">
        <f>'Historical Data'!Y487</f>
        <v/>
      </c>
      <c r="G490" s="3">
        <f>'Historical Data'!K487</f>
        <v/>
      </c>
      <c r="H490" s="3">
        <f>'Historical Data'!L487</f>
        <v/>
      </c>
      <c r="I490" s="26">
        <f>'Historical Data'!M487</f>
        <v/>
      </c>
      <c r="J490" s="28">
        <f>'Historical Data'!N487</f>
        <v/>
      </c>
      <c r="K490" s="28">
        <f>'Historical Data'!Q487</f>
        <v/>
      </c>
      <c r="L490" s="30">
        <f>'Historical Data'!S487</f>
        <v/>
      </c>
      <c r="M490" s="28">
        <f>'Historical Data'!AJ487</f>
        <v/>
      </c>
      <c r="N490" s="28">
        <f>'Historical Data'!AK487</f>
        <v/>
      </c>
      <c r="O490" s="3">
        <f>'Historical Data'!AA487</f>
        <v/>
      </c>
      <c r="P490" s="3">
        <f>'Historical Data'!AB487</f>
        <v/>
      </c>
      <c r="Q490" s="3">
        <f>'Historical Data'!AN487</f>
        <v/>
      </c>
      <c r="R490" s="3">
        <f>'Historical Data'!AC487</f>
        <v/>
      </c>
      <c r="S490" s="3">
        <f>'Historical Data'!AE487</f>
        <v/>
      </c>
      <c r="T490" s="3">
        <f>'Historical Data'!AH487</f>
        <v/>
      </c>
      <c r="U490" s="3">
        <f>'Historical Data'!BA487</f>
        <v/>
      </c>
      <c r="V490" s="3" t="n"/>
      <c r="W490" s="3" t="n"/>
      <c r="X490" s="3" t="n"/>
      <c r="Y490" s="3" t="n"/>
      <c r="Z490" s="3" t="n"/>
    </row>
    <row r="491" hidden="1" ht="15.75" customHeight="1" s="174">
      <c r="A491" s="3">
        <f>'Historical Data'!A488</f>
        <v/>
      </c>
      <c r="B491" s="3">
        <f>'Historical Data'!B488</f>
        <v/>
      </c>
      <c r="C491" s="3">
        <f>'Historical Data'!D488</f>
        <v/>
      </c>
      <c r="D491" s="23">
        <f>'Historical Data'!E488</f>
        <v/>
      </c>
      <c r="E491" s="3">
        <f>'Historical Data'!G488</f>
        <v/>
      </c>
      <c r="F491" s="3">
        <f>'Historical Data'!Y488</f>
        <v/>
      </c>
      <c r="G491" s="3">
        <f>'Historical Data'!K488</f>
        <v/>
      </c>
      <c r="H491" s="3">
        <f>'Historical Data'!L488</f>
        <v/>
      </c>
      <c r="I491" s="26">
        <f>'Historical Data'!M488</f>
        <v/>
      </c>
      <c r="J491" s="28">
        <f>'Historical Data'!N488</f>
        <v/>
      </c>
      <c r="K491" s="28">
        <f>'Historical Data'!Q488</f>
        <v/>
      </c>
      <c r="L491" s="30">
        <f>'Historical Data'!S488</f>
        <v/>
      </c>
      <c r="M491" s="28">
        <f>'Historical Data'!AJ488</f>
        <v/>
      </c>
      <c r="N491" s="28">
        <f>'Historical Data'!AK488</f>
        <v/>
      </c>
      <c r="O491" s="3">
        <f>'Historical Data'!AA488</f>
        <v/>
      </c>
      <c r="P491" s="3">
        <f>'Historical Data'!AB488</f>
        <v/>
      </c>
      <c r="Q491" s="3">
        <f>'Historical Data'!AN488</f>
        <v/>
      </c>
      <c r="R491" s="3">
        <f>'Historical Data'!AC488</f>
        <v/>
      </c>
      <c r="S491" s="3">
        <f>'Historical Data'!AE488</f>
        <v/>
      </c>
      <c r="T491" s="3">
        <f>'Historical Data'!AH488</f>
        <v/>
      </c>
      <c r="U491" s="3">
        <f>'Historical Data'!BA488</f>
        <v/>
      </c>
      <c r="V491" s="3" t="n"/>
      <c r="W491" s="3" t="n"/>
      <c r="X491" s="3" t="n"/>
      <c r="Y491" s="3" t="n"/>
      <c r="Z491" s="3" t="n"/>
    </row>
    <row r="492" hidden="1" ht="15.75" customHeight="1" s="174">
      <c r="A492" s="3">
        <f>'Historical Data'!A489</f>
        <v/>
      </c>
      <c r="B492" s="3">
        <f>'Historical Data'!B489</f>
        <v/>
      </c>
      <c r="C492" s="3">
        <f>'Historical Data'!D489</f>
        <v/>
      </c>
      <c r="D492" s="23">
        <f>'Historical Data'!E489</f>
        <v/>
      </c>
      <c r="E492" s="3">
        <f>'Historical Data'!G489</f>
        <v/>
      </c>
      <c r="F492" s="3">
        <f>'Historical Data'!Y489</f>
        <v/>
      </c>
      <c r="G492" s="3">
        <f>'Historical Data'!K489</f>
        <v/>
      </c>
      <c r="H492" s="3">
        <f>'Historical Data'!L489</f>
        <v/>
      </c>
      <c r="I492" s="26">
        <f>'Historical Data'!M489</f>
        <v/>
      </c>
      <c r="J492" s="28">
        <f>'Historical Data'!N489</f>
        <v/>
      </c>
      <c r="K492" s="28">
        <f>'Historical Data'!Q489</f>
        <v/>
      </c>
      <c r="L492" s="30">
        <f>'Historical Data'!S489</f>
        <v/>
      </c>
      <c r="M492" s="28">
        <f>'Historical Data'!AJ489</f>
        <v/>
      </c>
      <c r="N492" s="28">
        <f>'Historical Data'!AK489</f>
        <v/>
      </c>
      <c r="O492" s="3">
        <f>'Historical Data'!AA489</f>
        <v/>
      </c>
      <c r="P492" s="3">
        <f>'Historical Data'!AB489</f>
        <v/>
      </c>
      <c r="Q492" s="3">
        <f>'Historical Data'!AN489</f>
        <v/>
      </c>
      <c r="R492" s="3">
        <f>'Historical Data'!AC489</f>
        <v/>
      </c>
      <c r="S492" s="3">
        <f>'Historical Data'!AE489</f>
        <v/>
      </c>
      <c r="T492" s="3">
        <f>'Historical Data'!AH489</f>
        <v/>
      </c>
      <c r="U492" s="3">
        <f>'Historical Data'!BA489</f>
        <v/>
      </c>
      <c r="V492" s="3" t="n"/>
      <c r="W492" s="3" t="n"/>
      <c r="X492" s="3" t="n"/>
      <c r="Y492" s="3" t="n"/>
      <c r="Z492" s="3" t="n"/>
    </row>
    <row r="493" hidden="1" ht="15.75" customHeight="1" s="174">
      <c r="A493" s="3">
        <f>'Historical Data'!A490</f>
        <v/>
      </c>
      <c r="B493" s="3">
        <f>'Historical Data'!B490</f>
        <v/>
      </c>
      <c r="C493" s="3">
        <f>'Historical Data'!D490</f>
        <v/>
      </c>
      <c r="D493" s="23">
        <f>'Historical Data'!E490</f>
        <v/>
      </c>
      <c r="E493" s="3">
        <f>'Historical Data'!G490</f>
        <v/>
      </c>
      <c r="F493" s="3">
        <f>'Historical Data'!Y490</f>
        <v/>
      </c>
      <c r="G493" s="3">
        <f>'Historical Data'!K490</f>
        <v/>
      </c>
      <c r="H493" s="3">
        <f>'Historical Data'!L490</f>
        <v/>
      </c>
      <c r="I493" s="26">
        <f>'Historical Data'!M490</f>
        <v/>
      </c>
      <c r="J493" s="28">
        <f>'Historical Data'!N490</f>
        <v/>
      </c>
      <c r="K493" s="28">
        <f>'Historical Data'!Q490</f>
        <v/>
      </c>
      <c r="L493" s="30">
        <f>'Historical Data'!S490</f>
        <v/>
      </c>
      <c r="M493" s="28">
        <f>'Historical Data'!AJ490</f>
        <v/>
      </c>
      <c r="N493" s="28">
        <f>'Historical Data'!AK490</f>
        <v/>
      </c>
      <c r="O493" s="3">
        <f>'Historical Data'!AA490</f>
        <v/>
      </c>
      <c r="P493" s="3">
        <f>'Historical Data'!AB490</f>
        <v/>
      </c>
      <c r="Q493" s="3">
        <f>'Historical Data'!AN490</f>
        <v/>
      </c>
      <c r="R493" s="3">
        <f>'Historical Data'!AC490</f>
        <v/>
      </c>
      <c r="S493" s="3">
        <f>'Historical Data'!AE490</f>
        <v/>
      </c>
      <c r="T493" s="3">
        <f>'Historical Data'!AH490</f>
        <v/>
      </c>
      <c r="U493" s="3">
        <f>'Historical Data'!BA490</f>
        <v/>
      </c>
      <c r="V493" s="3" t="n"/>
      <c r="W493" s="3" t="n"/>
      <c r="X493" s="3" t="n"/>
      <c r="Y493" s="3" t="n"/>
      <c r="Z493" s="3" t="n"/>
    </row>
    <row r="494" hidden="1" ht="15.75" customHeight="1" s="174">
      <c r="A494" s="3">
        <f>'Historical Data'!A491</f>
        <v/>
      </c>
      <c r="B494" s="3">
        <f>'Historical Data'!B491</f>
        <v/>
      </c>
      <c r="C494" s="3">
        <f>'Historical Data'!D491</f>
        <v/>
      </c>
      <c r="D494" s="23">
        <f>'Historical Data'!E491</f>
        <v/>
      </c>
      <c r="E494" s="3">
        <f>'Historical Data'!G491</f>
        <v/>
      </c>
      <c r="F494" s="3">
        <f>'Historical Data'!Y491</f>
        <v/>
      </c>
      <c r="G494" s="3">
        <f>'Historical Data'!K491</f>
        <v/>
      </c>
      <c r="H494" s="3">
        <f>'Historical Data'!L491</f>
        <v/>
      </c>
      <c r="I494" s="26">
        <f>'Historical Data'!M491</f>
        <v/>
      </c>
      <c r="J494" s="28">
        <f>'Historical Data'!N491</f>
        <v/>
      </c>
      <c r="K494" s="28">
        <f>'Historical Data'!Q491</f>
        <v/>
      </c>
      <c r="L494" s="30">
        <f>'Historical Data'!S491</f>
        <v/>
      </c>
      <c r="M494" s="28">
        <f>'Historical Data'!AJ491</f>
        <v/>
      </c>
      <c r="N494" s="28">
        <f>'Historical Data'!AK491</f>
        <v/>
      </c>
      <c r="O494" s="3">
        <f>'Historical Data'!AA491</f>
        <v/>
      </c>
      <c r="P494" s="3">
        <f>'Historical Data'!AB491</f>
        <v/>
      </c>
      <c r="Q494" s="3">
        <f>'Historical Data'!AN491</f>
        <v/>
      </c>
      <c r="R494" s="3">
        <f>'Historical Data'!AC491</f>
        <v/>
      </c>
      <c r="S494" s="3">
        <f>'Historical Data'!AE491</f>
        <v/>
      </c>
      <c r="T494" s="3">
        <f>'Historical Data'!AH491</f>
        <v/>
      </c>
      <c r="U494" s="3">
        <f>'Historical Data'!BA491</f>
        <v/>
      </c>
      <c r="V494" s="3" t="n"/>
      <c r="W494" s="3" t="n"/>
      <c r="X494" s="3" t="n"/>
      <c r="Y494" s="3" t="n"/>
      <c r="Z494" s="3" t="n"/>
    </row>
    <row r="495" hidden="1" ht="15.75" customHeight="1" s="174">
      <c r="A495" s="3">
        <f>'Historical Data'!A492</f>
        <v/>
      </c>
      <c r="B495" s="3">
        <f>'Historical Data'!B492</f>
        <v/>
      </c>
      <c r="C495" s="3">
        <f>'Historical Data'!D492</f>
        <v/>
      </c>
      <c r="D495" s="23">
        <f>'Historical Data'!E492</f>
        <v/>
      </c>
      <c r="E495" s="3">
        <f>'Historical Data'!G492</f>
        <v/>
      </c>
      <c r="F495" s="3">
        <f>'Historical Data'!Y492</f>
        <v/>
      </c>
      <c r="G495" s="3">
        <f>'Historical Data'!K492</f>
        <v/>
      </c>
      <c r="H495" s="3">
        <f>'Historical Data'!L492</f>
        <v/>
      </c>
      <c r="I495" s="26">
        <f>'Historical Data'!M492</f>
        <v/>
      </c>
      <c r="J495" s="28">
        <f>'Historical Data'!N492</f>
        <v/>
      </c>
      <c r="K495" s="28">
        <f>'Historical Data'!Q492</f>
        <v/>
      </c>
      <c r="L495" s="30">
        <f>'Historical Data'!S492</f>
        <v/>
      </c>
      <c r="M495" s="28">
        <f>'Historical Data'!AJ492</f>
        <v/>
      </c>
      <c r="N495" s="28">
        <f>'Historical Data'!AK492</f>
        <v/>
      </c>
      <c r="O495" s="3">
        <f>'Historical Data'!AA492</f>
        <v/>
      </c>
      <c r="P495" s="3">
        <f>'Historical Data'!AB492</f>
        <v/>
      </c>
      <c r="Q495" s="3">
        <f>'Historical Data'!AN492</f>
        <v/>
      </c>
      <c r="R495" s="3">
        <f>'Historical Data'!AC492</f>
        <v/>
      </c>
      <c r="S495" s="3">
        <f>'Historical Data'!AE492</f>
        <v/>
      </c>
      <c r="T495" s="3">
        <f>'Historical Data'!AH492</f>
        <v/>
      </c>
      <c r="U495" s="3">
        <f>'Historical Data'!BA492</f>
        <v/>
      </c>
      <c r="V495" s="3" t="n"/>
      <c r="W495" s="3" t="n"/>
      <c r="X495" s="3" t="n"/>
      <c r="Y495" s="3" t="n"/>
      <c r="Z495" s="3" t="n"/>
    </row>
    <row r="496" hidden="1" ht="15.75" customHeight="1" s="174">
      <c r="A496" s="3">
        <f>'Historical Data'!A493</f>
        <v/>
      </c>
      <c r="B496" s="3">
        <f>'Historical Data'!B493</f>
        <v/>
      </c>
      <c r="C496" s="3">
        <f>'Historical Data'!D493</f>
        <v/>
      </c>
      <c r="D496" s="23">
        <f>'Historical Data'!E493</f>
        <v/>
      </c>
      <c r="E496" s="3">
        <f>'Historical Data'!G493</f>
        <v/>
      </c>
      <c r="F496" s="3">
        <f>'Historical Data'!Y493</f>
        <v/>
      </c>
      <c r="G496" s="3">
        <f>'Historical Data'!K493</f>
        <v/>
      </c>
      <c r="H496" s="3">
        <f>'Historical Data'!L493</f>
        <v/>
      </c>
      <c r="I496" s="26">
        <f>'Historical Data'!M493</f>
        <v/>
      </c>
      <c r="J496" s="28">
        <f>'Historical Data'!N493</f>
        <v/>
      </c>
      <c r="K496" s="28">
        <f>'Historical Data'!Q493</f>
        <v/>
      </c>
      <c r="L496" s="30">
        <f>'Historical Data'!S493</f>
        <v/>
      </c>
      <c r="M496" s="28">
        <f>'Historical Data'!AJ493</f>
        <v/>
      </c>
      <c r="N496" s="28">
        <f>'Historical Data'!AK493</f>
        <v/>
      </c>
      <c r="O496" s="3">
        <f>'Historical Data'!AA493</f>
        <v/>
      </c>
      <c r="P496" s="3">
        <f>'Historical Data'!AB493</f>
        <v/>
      </c>
      <c r="Q496" s="3">
        <f>'Historical Data'!AN493</f>
        <v/>
      </c>
      <c r="R496" s="3">
        <f>'Historical Data'!AC493</f>
        <v/>
      </c>
      <c r="S496" s="3">
        <f>'Historical Data'!AE493</f>
        <v/>
      </c>
      <c r="T496" s="3">
        <f>'Historical Data'!AH493</f>
        <v/>
      </c>
      <c r="U496" s="3">
        <f>'Historical Data'!BA493</f>
        <v/>
      </c>
      <c r="V496" s="3" t="n"/>
      <c r="W496" s="3" t="n"/>
      <c r="X496" s="3" t="n"/>
      <c r="Y496" s="3" t="n"/>
      <c r="Z496" s="3" t="n"/>
    </row>
    <row r="497" hidden="1" ht="15.75" customHeight="1" s="174">
      <c r="A497" s="3">
        <f>'Historical Data'!A494</f>
        <v/>
      </c>
      <c r="B497" s="3">
        <f>'Historical Data'!B494</f>
        <v/>
      </c>
      <c r="C497" s="3">
        <f>'Historical Data'!D494</f>
        <v/>
      </c>
      <c r="D497" s="23">
        <f>'Historical Data'!E494</f>
        <v/>
      </c>
      <c r="E497" s="3">
        <f>'Historical Data'!G494</f>
        <v/>
      </c>
      <c r="F497" s="3">
        <f>'Historical Data'!Y494</f>
        <v/>
      </c>
      <c r="G497" s="3">
        <f>'Historical Data'!K494</f>
        <v/>
      </c>
      <c r="H497" s="3">
        <f>'Historical Data'!L494</f>
        <v/>
      </c>
      <c r="I497" s="26">
        <f>'Historical Data'!M494</f>
        <v/>
      </c>
      <c r="J497" s="28">
        <f>'Historical Data'!N494</f>
        <v/>
      </c>
      <c r="K497" s="28">
        <f>'Historical Data'!Q494</f>
        <v/>
      </c>
      <c r="L497" s="30">
        <f>'Historical Data'!S494</f>
        <v/>
      </c>
      <c r="M497" s="28">
        <f>'Historical Data'!AJ494</f>
        <v/>
      </c>
      <c r="N497" s="28">
        <f>'Historical Data'!AK494</f>
        <v/>
      </c>
      <c r="O497" s="3">
        <f>'Historical Data'!AA494</f>
        <v/>
      </c>
      <c r="P497" s="3">
        <f>'Historical Data'!AB494</f>
        <v/>
      </c>
      <c r="Q497" s="3">
        <f>'Historical Data'!AN494</f>
        <v/>
      </c>
      <c r="R497" s="3">
        <f>'Historical Data'!AC494</f>
        <v/>
      </c>
      <c r="S497" s="3">
        <f>'Historical Data'!AE494</f>
        <v/>
      </c>
      <c r="T497" s="3">
        <f>'Historical Data'!AH494</f>
        <v/>
      </c>
      <c r="U497" s="3">
        <f>'Historical Data'!BA494</f>
        <v/>
      </c>
      <c r="V497" s="3" t="n"/>
      <c r="W497" s="3" t="n"/>
      <c r="X497" s="3" t="n"/>
      <c r="Y497" s="3" t="n"/>
      <c r="Z497" s="3" t="n"/>
    </row>
    <row r="498" hidden="1" ht="15.75" customHeight="1" s="174">
      <c r="A498" s="3">
        <f>'Historical Data'!A495</f>
        <v/>
      </c>
      <c r="B498" s="3">
        <f>'Historical Data'!B495</f>
        <v/>
      </c>
      <c r="C498" s="3">
        <f>'Historical Data'!D495</f>
        <v/>
      </c>
      <c r="D498" s="23">
        <f>'Historical Data'!E495</f>
        <v/>
      </c>
      <c r="E498" s="3">
        <f>'Historical Data'!G495</f>
        <v/>
      </c>
      <c r="F498" s="3">
        <f>'Historical Data'!Y495</f>
        <v/>
      </c>
      <c r="G498" s="3">
        <f>'Historical Data'!K495</f>
        <v/>
      </c>
      <c r="H498" s="3">
        <f>'Historical Data'!L495</f>
        <v/>
      </c>
      <c r="I498" s="26">
        <f>'Historical Data'!M495</f>
        <v/>
      </c>
      <c r="J498" s="28">
        <f>'Historical Data'!N495</f>
        <v/>
      </c>
      <c r="K498" s="28">
        <f>'Historical Data'!Q495</f>
        <v/>
      </c>
      <c r="L498" s="30">
        <f>'Historical Data'!S495</f>
        <v/>
      </c>
      <c r="M498" s="28">
        <f>'Historical Data'!AJ495</f>
        <v/>
      </c>
      <c r="N498" s="28">
        <f>'Historical Data'!AK495</f>
        <v/>
      </c>
      <c r="O498" s="3">
        <f>'Historical Data'!AA495</f>
        <v/>
      </c>
      <c r="P498" s="3">
        <f>'Historical Data'!AB495</f>
        <v/>
      </c>
      <c r="Q498" s="3">
        <f>'Historical Data'!AN495</f>
        <v/>
      </c>
      <c r="R498" s="3">
        <f>'Historical Data'!AC495</f>
        <v/>
      </c>
      <c r="S498" s="3">
        <f>'Historical Data'!AE495</f>
        <v/>
      </c>
      <c r="T498" s="3">
        <f>'Historical Data'!AH495</f>
        <v/>
      </c>
      <c r="U498" s="3">
        <f>'Historical Data'!BA495</f>
        <v/>
      </c>
      <c r="V498" s="3" t="n"/>
      <c r="W498" s="3" t="n"/>
      <c r="X498" s="3" t="n"/>
      <c r="Y498" s="3" t="n"/>
      <c r="Z498" s="3" t="n"/>
    </row>
    <row r="499" hidden="1" ht="15.75" customHeight="1" s="174">
      <c r="A499" s="3">
        <f>'Historical Data'!A496</f>
        <v/>
      </c>
      <c r="B499" s="3">
        <f>'Historical Data'!B496</f>
        <v/>
      </c>
      <c r="C499" s="3">
        <f>'Historical Data'!D496</f>
        <v/>
      </c>
      <c r="D499" s="23">
        <f>'Historical Data'!E496</f>
        <v/>
      </c>
      <c r="E499" s="3">
        <f>'Historical Data'!G496</f>
        <v/>
      </c>
      <c r="F499" s="3">
        <f>'Historical Data'!Y496</f>
        <v/>
      </c>
      <c r="G499" s="3">
        <f>'Historical Data'!K496</f>
        <v/>
      </c>
      <c r="H499" s="3">
        <f>'Historical Data'!L496</f>
        <v/>
      </c>
      <c r="I499" s="26">
        <f>'Historical Data'!M496</f>
        <v/>
      </c>
      <c r="J499" s="28">
        <f>'Historical Data'!N496</f>
        <v/>
      </c>
      <c r="K499" s="28">
        <f>'Historical Data'!Q496</f>
        <v/>
      </c>
      <c r="L499" s="30">
        <f>'Historical Data'!S496</f>
        <v/>
      </c>
      <c r="M499" s="28">
        <f>'Historical Data'!AJ496</f>
        <v/>
      </c>
      <c r="N499" s="28">
        <f>'Historical Data'!AK496</f>
        <v/>
      </c>
      <c r="O499" s="3">
        <f>'Historical Data'!AA496</f>
        <v/>
      </c>
      <c r="P499" s="3">
        <f>'Historical Data'!AB496</f>
        <v/>
      </c>
      <c r="Q499" s="3">
        <f>'Historical Data'!AN496</f>
        <v/>
      </c>
      <c r="R499" s="3">
        <f>'Historical Data'!AC496</f>
        <v/>
      </c>
      <c r="S499" s="3">
        <f>'Historical Data'!AE496</f>
        <v/>
      </c>
      <c r="T499" s="3">
        <f>'Historical Data'!AH496</f>
        <v/>
      </c>
      <c r="U499" s="3">
        <f>'Historical Data'!BA496</f>
        <v/>
      </c>
      <c r="V499" s="3" t="n"/>
      <c r="W499" s="3" t="n"/>
      <c r="X499" s="3" t="n"/>
      <c r="Y499" s="3" t="n"/>
      <c r="Z499" s="3" t="n"/>
    </row>
    <row r="500" hidden="1" ht="15.75" customHeight="1" s="174">
      <c r="A500" s="3">
        <f>'Historical Data'!A497</f>
        <v/>
      </c>
      <c r="B500" s="3">
        <f>'Historical Data'!B497</f>
        <v/>
      </c>
      <c r="C500" s="3">
        <f>'Historical Data'!D497</f>
        <v/>
      </c>
      <c r="D500" s="23">
        <f>'Historical Data'!E497</f>
        <v/>
      </c>
      <c r="E500" s="3">
        <f>'Historical Data'!G497</f>
        <v/>
      </c>
      <c r="F500" s="3">
        <f>'Historical Data'!Y497</f>
        <v/>
      </c>
      <c r="G500" s="3">
        <f>'Historical Data'!K497</f>
        <v/>
      </c>
      <c r="H500" s="3">
        <f>'Historical Data'!L497</f>
        <v/>
      </c>
      <c r="I500" s="26">
        <f>'Historical Data'!M497</f>
        <v/>
      </c>
      <c r="J500" s="28">
        <f>'Historical Data'!N497</f>
        <v/>
      </c>
      <c r="K500" s="28">
        <f>'Historical Data'!Q497</f>
        <v/>
      </c>
      <c r="L500" s="30">
        <f>'Historical Data'!S497</f>
        <v/>
      </c>
      <c r="M500" s="28">
        <f>'Historical Data'!AJ497</f>
        <v/>
      </c>
      <c r="N500" s="28">
        <f>'Historical Data'!AK497</f>
        <v/>
      </c>
      <c r="O500" s="3">
        <f>'Historical Data'!AA497</f>
        <v/>
      </c>
      <c r="P500" s="3">
        <f>'Historical Data'!AB497</f>
        <v/>
      </c>
      <c r="Q500" s="3">
        <f>'Historical Data'!AN497</f>
        <v/>
      </c>
      <c r="R500" s="3">
        <f>'Historical Data'!AC497</f>
        <v/>
      </c>
      <c r="S500" s="3">
        <f>'Historical Data'!AE497</f>
        <v/>
      </c>
      <c r="T500" s="3">
        <f>'Historical Data'!AH497</f>
        <v/>
      </c>
      <c r="U500" s="3">
        <f>'Historical Data'!BA497</f>
        <v/>
      </c>
      <c r="V500" s="3" t="n"/>
      <c r="W500" s="3" t="n"/>
      <c r="X500" s="3" t="n"/>
      <c r="Y500" s="3" t="n"/>
      <c r="Z500" s="3" t="n"/>
    </row>
    <row r="501" hidden="1" ht="15.75" customHeight="1" s="174">
      <c r="A501" s="3">
        <f>'Historical Data'!A498</f>
        <v/>
      </c>
      <c r="B501" s="3">
        <f>'Historical Data'!B498</f>
        <v/>
      </c>
      <c r="C501" s="3">
        <f>'Historical Data'!D498</f>
        <v/>
      </c>
      <c r="D501" s="23">
        <f>'Historical Data'!E498</f>
        <v/>
      </c>
      <c r="E501" s="3">
        <f>'Historical Data'!G498</f>
        <v/>
      </c>
      <c r="F501" s="3">
        <f>'Historical Data'!Y498</f>
        <v/>
      </c>
      <c r="G501" s="3">
        <f>'Historical Data'!K498</f>
        <v/>
      </c>
      <c r="H501" s="3">
        <f>'Historical Data'!L498</f>
        <v/>
      </c>
      <c r="I501" s="26">
        <f>'Historical Data'!M498</f>
        <v/>
      </c>
      <c r="J501" s="28">
        <f>'Historical Data'!N498</f>
        <v/>
      </c>
      <c r="K501" s="28">
        <f>'Historical Data'!Q498</f>
        <v/>
      </c>
      <c r="L501" s="30">
        <f>'Historical Data'!S498</f>
        <v/>
      </c>
      <c r="M501" s="28">
        <f>'Historical Data'!AJ498</f>
        <v/>
      </c>
      <c r="N501" s="28">
        <f>'Historical Data'!AK498</f>
        <v/>
      </c>
      <c r="O501" s="3">
        <f>'Historical Data'!AA498</f>
        <v/>
      </c>
      <c r="P501" s="3">
        <f>'Historical Data'!AB498</f>
        <v/>
      </c>
      <c r="Q501" s="3">
        <f>'Historical Data'!AN498</f>
        <v/>
      </c>
      <c r="R501" s="3">
        <f>'Historical Data'!AC498</f>
        <v/>
      </c>
      <c r="S501" s="3">
        <f>'Historical Data'!AE498</f>
        <v/>
      </c>
      <c r="T501" s="3">
        <f>'Historical Data'!AH498</f>
        <v/>
      </c>
      <c r="U501" s="3">
        <f>'Historical Data'!BA498</f>
        <v/>
      </c>
      <c r="V501" s="3" t="n"/>
      <c r="W501" s="3" t="n"/>
      <c r="X501" s="3" t="n"/>
      <c r="Y501" s="3" t="n"/>
      <c r="Z501" s="3" t="n"/>
    </row>
    <row r="502" hidden="1" ht="15.75" customHeight="1" s="174">
      <c r="A502" s="3">
        <f>'Historical Data'!A499</f>
        <v/>
      </c>
      <c r="B502" s="3">
        <f>'Historical Data'!B499</f>
        <v/>
      </c>
      <c r="C502" s="3">
        <f>'Historical Data'!D499</f>
        <v/>
      </c>
      <c r="D502" s="23">
        <f>'Historical Data'!E499</f>
        <v/>
      </c>
      <c r="E502" s="3">
        <f>'Historical Data'!G499</f>
        <v/>
      </c>
      <c r="F502" s="3">
        <f>'Historical Data'!Y499</f>
        <v/>
      </c>
      <c r="G502" s="3">
        <f>'Historical Data'!K499</f>
        <v/>
      </c>
      <c r="H502" s="3">
        <f>'Historical Data'!L499</f>
        <v/>
      </c>
      <c r="I502" s="26">
        <f>'Historical Data'!M499</f>
        <v/>
      </c>
      <c r="J502" s="28">
        <f>'Historical Data'!N499</f>
        <v/>
      </c>
      <c r="K502" s="28">
        <f>'Historical Data'!Q499</f>
        <v/>
      </c>
      <c r="L502" s="30">
        <f>'Historical Data'!S499</f>
        <v/>
      </c>
      <c r="M502" s="28">
        <f>'Historical Data'!AJ499</f>
        <v/>
      </c>
      <c r="N502" s="28">
        <f>'Historical Data'!AK499</f>
        <v/>
      </c>
      <c r="O502" s="3">
        <f>'Historical Data'!AA499</f>
        <v/>
      </c>
      <c r="P502" s="3">
        <f>'Historical Data'!AB499</f>
        <v/>
      </c>
      <c r="Q502" s="3">
        <f>'Historical Data'!AN499</f>
        <v/>
      </c>
      <c r="R502" s="3">
        <f>'Historical Data'!AC499</f>
        <v/>
      </c>
      <c r="S502" s="3">
        <f>'Historical Data'!AE499</f>
        <v/>
      </c>
      <c r="T502" s="3">
        <f>'Historical Data'!AH499</f>
        <v/>
      </c>
      <c r="U502" s="3">
        <f>'Historical Data'!BA499</f>
        <v/>
      </c>
      <c r="V502" s="3" t="n"/>
      <c r="W502" s="3" t="n"/>
      <c r="X502" s="3" t="n"/>
      <c r="Y502" s="3" t="n"/>
      <c r="Z502" s="3" t="n"/>
    </row>
    <row r="503" hidden="1" ht="15.75" customHeight="1" s="174">
      <c r="A503" s="3">
        <f>'Historical Data'!A500</f>
        <v/>
      </c>
      <c r="B503" s="3">
        <f>'Historical Data'!B500</f>
        <v/>
      </c>
      <c r="C503" s="3">
        <f>'Historical Data'!D500</f>
        <v/>
      </c>
      <c r="D503" s="23">
        <f>'Historical Data'!E500</f>
        <v/>
      </c>
      <c r="E503" s="3">
        <f>'Historical Data'!G500</f>
        <v/>
      </c>
      <c r="F503" s="3">
        <f>'Historical Data'!Y500</f>
        <v/>
      </c>
      <c r="G503" s="3">
        <f>'Historical Data'!K500</f>
        <v/>
      </c>
      <c r="H503" s="3">
        <f>'Historical Data'!L500</f>
        <v/>
      </c>
      <c r="I503" s="26">
        <f>'Historical Data'!M500</f>
        <v/>
      </c>
      <c r="J503" s="28">
        <f>'Historical Data'!N500</f>
        <v/>
      </c>
      <c r="K503" s="28">
        <f>'Historical Data'!Q500</f>
        <v/>
      </c>
      <c r="L503" s="30">
        <f>'Historical Data'!S500</f>
        <v/>
      </c>
      <c r="M503" s="28">
        <f>'Historical Data'!AJ500</f>
        <v/>
      </c>
      <c r="N503" s="28">
        <f>'Historical Data'!AK500</f>
        <v/>
      </c>
      <c r="O503" s="3">
        <f>'Historical Data'!AA500</f>
        <v/>
      </c>
      <c r="P503" s="3">
        <f>'Historical Data'!AB500</f>
        <v/>
      </c>
      <c r="Q503" s="3">
        <f>'Historical Data'!AN500</f>
        <v/>
      </c>
      <c r="R503" s="3">
        <f>'Historical Data'!AC500</f>
        <v/>
      </c>
      <c r="S503" s="3">
        <f>'Historical Data'!AE500</f>
        <v/>
      </c>
      <c r="T503" s="3">
        <f>'Historical Data'!AH500</f>
        <v/>
      </c>
      <c r="U503" s="3">
        <f>'Historical Data'!BA500</f>
        <v/>
      </c>
      <c r="V503" s="3" t="n"/>
      <c r="W503" s="3" t="n"/>
      <c r="X503" s="3" t="n"/>
      <c r="Y503" s="3" t="n"/>
      <c r="Z503" s="3" t="n"/>
    </row>
    <row r="504" hidden="1" ht="15.75" customHeight="1" s="174">
      <c r="A504" s="3">
        <f>'Historical Data'!A501</f>
        <v/>
      </c>
      <c r="B504" s="3">
        <f>'Historical Data'!B501</f>
        <v/>
      </c>
      <c r="C504" s="3">
        <f>'Historical Data'!D501</f>
        <v/>
      </c>
      <c r="D504" s="23">
        <f>'Historical Data'!E501</f>
        <v/>
      </c>
      <c r="E504" s="3">
        <f>'Historical Data'!G501</f>
        <v/>
      </c>
      <c r="F504" s="3">
        <f>'Historical Data'!Y501</f>
        <v/>
      </c>
      <c r="G504" s="3">
        <f>'Historical Data'!K501</f>
        <v/>
      </c>
      <c r="H504" s="3">
        <f>'Historical Data'!L501</f>
        <v/>
      </c>
      <c r="I504" s="26">
        <f>'Historical Data'!M501</f>
        <v/>
      </c>
      <c r="J504" s="28">
        <f>'Historical Data'!N501</f>
        <v/>
      </c>
      <c r="K504" s="28">
        <f>'Historical Data'!Q501</f>
        <v/>
      </c>
      <c r="L504" s="30">
        <f>'Historical Data'!S501</f>
        <v/>
      </c>
      <c r="M504" s="28">
        <f>'Historical Data'!AJ501</f>
        <v/>
      </c>
      <c r="N504" s="28">
        <f>'Historical Data'!AK501</f>
        <v/>
      </c>
      <c r="O504" s="3">
        <f>'Historical Data'!AA501</f>
        <v/>
      </c>
      <c r="P504" s="3">
        <f>'Historical Data'!AB501</f>
        <v/>
      </c>
      <c r="Q504" s="3">
        <f>'Historical Data'!AN501</f>
        <v/>
      </c>
      <c r="R504" s="3">
        <f>'Historical Data'!AC501</f>
        <v/>
      </c>
      <c r="S504" s="3">
        <f>'Historical Data'!AE501</f>
        <v/>
      </c>
      <c r="T504" s="3">
        <f>'Historical Data'!AH501</f>
        <v/>
      </c>
      <c r="U504" s="3">
        <f>'Historical Data'!BA501</f>
        <v/>
      </c>
      <c r="V504" s="3" t="n"/>
      <c r="W504" s="3" t="n"/>
      <c r="X504" s="3" t="n"/>
      <c r="Y504" s="3" t="n"/>
      <c r="Z504" s="3" t="n"/>
    </row>
    <row r="505" hidden="1" ht="15.75" customHeight="1" s="174">
      <c r="A505" s="3">
        <f>'Historical Data'!A502</f>
        <v/>
      </c>
      <c r="B505" s="3">
        <f>'Historical Data'!B502</f>
        <v/>
      </c>
      <c r="C505" s="3">
        <f>'Historical Data'!D502</f>
        <v/>
      </c>
      <c r="D505" s="23">
        <f>'Historical Data'!E502</f>
        <v/>
      </c>
      <c r="E505" s="3">
        <f>'Historical Data'!G502</f>
        <v/>
      </c>
      <c r="F505" s="3">
        <f>'Historical Data'!Y502</f>
        <v/>
      </c>
      <c r="G505" s="3">
        <f>'Historical Data'!K502</f>
        <v/>
      </c>
      <c r="H505" s="3">
        <f>'Historical Data'!L502</f>
        <v/>
      </c>
      <c r="I505" s="26">
        <f>'Historical Data'!M502</f>
        <v/>
      </c>
      <c r="J505" s="28">
        <f>'Historical Data'!N502</f>
        <v/>
      </c>
      <c r="K505" s="28">
        <f>'Historical Data'!Q502</f>
        <v/>
      </c>
      <c r="L505" s="30">
        <f>'Historical Data'!S502</f>
        <v/>
      </c>
      <c r="M505" s="28">
        <f>'Historical Data'!AJ502</f>
        <v/>
      </c>
      <c r="N505" s="28">
        <f>'Historical Data'!AK502</f>
        <v/>
      </c>
      <c r="O505" s="3">
        <f>'Historical Data'!AA502</f>
        <v/>
      </c>
      <c r="P505" s="3">
        <f>'Historical Data'!AB502</f>
        <v/>
      </c>
      <c r="Q505" s="3">
        <f>'Historical Data'!AN502</f>
        <v/>
      </c>
      <c r="R505" s="3">
        <f>'Historical Data'!AC502</f>
        <v/>
      </c>
      <c r="S505" s="3">
        <f>'Historical Data'!AE502</f>
        <v/>
      </c>
      <c r="T505" s="3">
        <f>'Historical Data'!AH502</f>
        <v/>
      </c>
      <c r="U505" s="3">
        <f>'Historical Data'!BA502</f>
        <v/>
      </c>
      <c r="V505" s="3" t="n"/>
      <c r="W505" s="3" t="n"/>
      <c r="X505" s="3" t="n"/>
      <c r="Y505" s="3" t="n"/>
      <c r="Z505" s="3" t="n"/>
    </row>
    <row r="506" ht="15.75" customHeight="1" s="174">
      <c r="A506" s="3">
        <f>'Historical Data'!A503</f>
        <v/>
      </c>
      <c r="B506" s="3">
        <f>'Historical Data'!B503</f>
        <v/>
      </c>
      <c r="C506" s="3">
        <f>'Historical Data'!D503</f>
        <v/>
      </c>
      <c r="D506" s="23">
        <f>'Historical Data'!E503</f>
        <v/>
      </c>
      <c r="E506" s="3">
        <f>'Historical Data'!G503</f>
        <v/>
      </c>
      <c r="F506" s="3">
        <f>'Historical Data'!Y503</f>
        <v/>
      </c>
      <c r="G506" s="3">
        <f>'Historical Data'!K503</f>
        <v/>
      </c>
      <c r="H506" s="3">
        <f>'Historical Data'!L503</f>
        <v/>
      </c>
      <c r="I506" s="26">
        <f>'Historical Data'!M503</f>
        <v/>
      </c>
      <c r="J506" s="28">
        <f>'Historical Data'!N503</f>
        <v/>
      </c>
      <c r="K506" s="28">
        <f>'Historical Data'!Q503</f>
        <v/>
      </c>
      <c r="L506" s="30">
        <f>'Historical Data'!S503</f>
        <v/>
      </c>
      <c r="M506" s="28">
        <f>'Historical Data'!AJ503</f>
        <v/>
      </c>
      <c r="N506" s="28">
        <f>'Historical Data'!AK503</f>
        <v/>
      </c>
      <c r="O506" s="3">
        <f>'Historical Data'!AA503</f>
        <v/>
      </c>
      <c r="P506" s="3">
        <f>'Historical Data'!AB503</f>
        <v/>
      </c>
      <c r="Q506" s="3">
        <f>'Historical Data'!AN503</f>
        <v/>
      </c>
      <c r="R506" s="3">
        <f>'Historical Data'!AC503</f>
        <v/>
      </c>
      <c r="S506" s="3">
        <f>'Historical Data'!AE503</f>
        <v/>
      </c>
      <c r="T506" s="3">
        <f>'Historical Data'!AH503</f>
        <v/>
      </c>
      <c r="U506" s="3">
        <f>'Historical Data'!BA503</f>
        <v/>
      </c>
      <c r="V506" s="3" t="n"/>
      <c r="W506" s="3" t="n"/>
      <c r="X506" s="3" t="n"/>
      <c r="Y506" s="3" t="n"/>
      <c r="Z506" s="3" t="n"/>
    </row>
    <row r="507" hidden="1" ht="15.75" customHeight="1" s="174">
      <c r="A507" s="3">
        <f>'Historical Data'!A504</f>
        <v/>
      </c>
      <c r="B507" s="3">
        <f>'Historical Data'!B504</f>
        <v/>
      </c>
      <c r="C507" s="3">
        <f>'Historical Data'!D504</f>
        <v/>
      </c>
      <c r="D507" s="23">
        <f>'Historical Data'!E504</f>
        <v/>
      </c>
      <c r="E507" s="3">
        <f>'Historical Data'!G504</f>
        <v/>
      </c>
      <c r="F507" s="3">
        <f>'Historical Data'!Y504</f>
        <v/>
      </c>
      <c r="G507" s="3">
        <f>'Historical Data'!K504</f>
        <v/>
      </c>
      <c r="H507" s="3">
        <f>'Historical Data'!L504</f>
        <v/>
      </c>
      <c r="I507" s="26">
        <f>'Historical Data'!M504</f>
        <v/>
      </c>
      <c r="J507" s="28">
        <f>'Historical Data'!N504</f>
        <v/>
      </c>
      <c r="K507" s="28">
        <f>'Historical Data'!Q504</f>
        <v/>
      </c>
      <c r="L507" s="30">
        <f>'Historical Data'!S504</f>
        <v/>
      </c>
      <c r="M507" s="28">
        <f>'Historical Data'!AJ504</f>
        <v/>
      </c>
      <c r="N507" s="28">
        <f>'Historical Data'!AK504</f>
        <v/>
      </c>
      <c r="O507" s="3">
        <f>'Historical Data'!AA504</f>
        <v/>
      </c>
      <c r="P507" s="3">
        <f>'Historical Data'!AB504</f>
        <v/>
      </c>
      <c r="Q507" s="3">
        <f>'Historical Data'!AN504</f>
        <v/>
      </c>
      <c r="R507" s="3">
        <f>'Historical Data'!AC504</f>
        <v/>
      </c>
      <c r="S507" s="3">
        <f>'Historical Data'!AE504</f>
        <v/>
      </c>
      <c r="T507" s="3">
        <f>'Historical Data'!AH504</f>
        <v/>
      </c>
      <c r="U507" s="3">
        <f>'Historical Data'!BA504</f>
        <v/>
      </c>
      <c r="V507" s="3" t="n"/>
      <c r="W507" s="3" t="n"/>
      <c r="X507" s="3" t="n"/>
      <c r="Y507" s="3" t="n"/>
      <c r="Z507" s="3" t="n"/>
    </row>
    <row r="508" hidden="1" ht="15.75" customHeight="1" s="174">
      <c r="A508" s="3">
        <f>'Historical Data'!A505</f>
        <v/>
      </c>
      <c r="B508" s="3">
        <f>'Historical Data'!B505</f>
        <v/>
      </c>
      <c r="C508" s="3">
        <f>'Historical Data'!D505</f>
        <v/>
      </c>
      <c r="D508" s="23">
        <f>'Historical Data'!E505</f>
        <v/>
      </c>
      <c r="E508" s="3">
        <f>'Historical Data'!G505</f>
        <v/>
      </c>
      <c r="F508" s="3">
        <f>'Historical Data'!Y505</f>
        <v/>
      </c>
      <c r="G508" s="3">
        <f>'Historical Data'!K505</f>
        <v/>
      </c>
      <c r="H508" s="3">
        <f>'Historical Data'!L505</f>
        <v/>
      </c>
      <c r="I508" s="26">
        <f>'Historical Data'!M505</f>
        <v/>
      </c>
      <c r="J508" s="28">
        <f>'Historical Data'!N505</f>
        <v/>
      </c>
      <c r="K508" s="28">
        <f>'Historical Data'!Q505</f>
        <v/>
      </c>
      <c r="L508" s="30">
        <f>'Historical Data'!S505</f>
        <v/>
      </c>
      <c r="M508" s="28">
        <f>'Historical Data'!AJ505</f>
        <v/>
      </c>
      <c r="N508" s="28">
        <f>'Historical Data'!AK505</f>
        <v/>
      </c>
      <c r="O508" s="3">
        <f>'Historical Data'!AA505</f>
        <v/>
      </c>
      <c r="P508" s="3">
        <f>'Historical Data'!AB505</f>
        <v/>
      </c>
      <c r="Q508" s="3">
        <f>'Historical Data'!AN505</f>
        <v/>
      </c>
      <c r="R508" s="3">
        <f>'Historical Data'!AC505</f>
        <v/>
      </c>
      <c r="S508" s="3">
        <f>'Historical Data'!AE505</f>
        <v/>
      </c>
      <c r="T508" s="3">
        <f>'Historical Data'!AH505</f>
        <v/>
      </c>
      <c r="U508" s="3">
        <f>'Historical Data'!BA505</f>
        <v/>
      </c>
      <c r="V508" s="3" t="n"/>
      <c r="W508" s="3" t="n"/>
      <c r="X508" s="3" t="n"/>
      <c r="Y508" s="3" t="n"/>
      <c r="Z508" s="3" t="n"/>
    </row>
    <row r="509" hidden="1" ht="15.75" customHeight="1" s="174">
      <c r="A509" s="3">
        <f>'Historical Data'!A506</f>
        <v/>
      </c>
      <c r="B509" s="3">
        <f>'Historical Data'!B506</f>
        <v/>
      </c>
      <c r="C509" s="3">
        <f>'Historical Data'!D506</f>
        <v/>
      </c>
      <c r="D509" s="23">
        <f>'Historical Data'!E506</f>
        <v/>
      </c>
      <c r="E509" s="3">
        <f>'Historical Data'!G506</f>
        <v/>
      </c>
      <c r="F509" s="3">
        <f>'Historical Data'!Y506</f>
        <v/>
      </c>
      <c r="G509" s="3">
        <f>'Historical Data'!K506</f>
        <v/>
      </c>
      <c r="H509" s="3">
        <f>'Historical Data'!L506</f>
        <v/>
      </c>
      <c r="I509" s="26">
        <f>'Historical Data'!M506</f>
        <v/>
      </c>
      <c r="J509" s="28">
        <f>'Historical Data'!N506</f>
        <v/>
      </c>
      <c r="K509" s="28">
        <f>'Historical Data'!Q506</f>
        <v/>
      </c>
      <c r="L509" s="30">
        <f>'Historical Data'!S506</f>
        <v/>
      </c>
      <c r="M509" s="28">
        <f>'Historical Data'!AJ506</f>
        <v/>
      </c>
      <c r="N509" s="28">
        <f>'Historical Data'!AK506</f>
        <v/>
      </c>
      <c r="O509" s="3">
        <f>'Historical Data'!AA506</f>
        <v/>
      </c>
      <c r="P509" s="3">
        <f>'Historical Data'!AB506</f>
        <v/>
      </c>
      <c r="Q509" s="3">
        <f>'Historical Data'!AN506</f>
        <v/>
      </c>
      <c r="R509" s="3">
        <f>'Historical Data'!AC506</f>
        <v/>
      </c>
      <c r="S509" s="3">
        <f>'Historical Data'!AE506</f>
        <v/>
      </c>
      <c r="T509" s="3">
        <f>'Historical Data'!AH506</f>
        <v/>
      </c>
      <c r="U509" s="3">
        <f>'Historical Data'!BA506</f>
        <v/>
      </c>
      <c r="V509" s="3" t="n"/>
      <c r="W509" s="3" t="n"/>
      <c r="X509" s="3" t="n"/>
      <c r="Y509" s="3" t="n"/>
      <c r="Z509" s="3" t="n"/>
    </row>
    <row r="510" hidden="1" ht="15.75" customHeight="1" s="174">
      <c r="A510" s="3">
        <f>'Historical Data'!A507</f>
        <v/>
      </c>
      <c r="B510" s="3">
        <f>'Historical Data'!B507</f>
        <v/>
      </c>
      <c r="C510" s="3">
        <f>'Historical Data'!D507</f>
        <v/>
      </c>
      <c r="D510" s="23">
        <f>'Historical Data'!E507</f>
        <v/>
      </c>
      <c r="E510" s="3">
        <f>'Historical Data'!G507</f>
        <v/>
      </c>
      <c r="F510" s="3">
        <f>'Historical Data'!Y507</f>
        <v/>
      </c>
      <c r="G510" s="3">
        <f>'Historical Data'!K507</f>
        <v/>
      </c>
      <c r="H510" s="3">
        <f>'Historical Data'!L507</f>
        <v/>
      </c>
      <c r="I510" s="26">
        <f>'Historical Data'!M507</f>
        <v/>
      </c>
      <c r="J510" s="28">
        <f>'Historical Data'!N507</f>
        <v/>
      </c>
      <c r="K510" s="28">
        <f>'Historical Data'!Q507</f>
        <v/>
      </c>
      <c r="L510" s="30">
        <f>'Historical Data'!S507</f>
        <v/>
      </c>
      <c r="M510" s="28">
        <f>'Historical Data'!AJ507</f>
        <v/>
      </c>
      <c r="N510" s="28">
        <f>'Historical Data'!AK507</f>
        <v/>
      </c>
      <c r="O510" s="3">
        <f>'Historical Data'!AA507</f>
        <v/>
      </c>
      <c r="P510" s="3">
        <f>'Historical Data'!AB507</f>
        <v/>
      </c>
      <c r="Q510" s="3">
        <f>'Historical Data'!AN507</f>
        <v/>
      </c>
      <c r="R510" s="3">
        <f>'Historical Data'!AC507</f>
        <v/>
      </c>
      <c r="S510" s="3">
        <f>'Historical Data'!AE507</f>
        <v/>
      </c>
      <c r="T510" s="3">
        <f>'Historical Data'!AH507</f>
        <v/>
      </c>
      <c r="U510" s="3">
        <f>'Historical Data'!BA507</f>
        <v/>
      </c>
      <c r="V510" s="3" t="n"/>
      <c r="W510" s="3" t="n"/>
      <c r="X510" s="3" t="n"/>
      <c r="Y510" s="3" t="n"/>
      <c r="Z510" s="3" t="n"/>
    </row>
    <row r="511" hidden="1" ht="15.75" customHeight="1" s="174">
      <c r="A511" s="3">
        <f>'Historical Data'!A508</f>
        <v/>
      </c>
      <c r="B511" s="3">
        <f>'Historical Data'!B508</f>
        <v/>
      </c>
      <c r="C511" s="3">
        <f>'Historical Data'!D508</f>
        <v/>
      </c>
      <c r="D511" s="23">
        <f>'Historical Data'!E508</f>
        <v/>
      </c>
      <c r="E511" s="3">
        <f>'Historical Data'!G508</f>
        <v/>
      </c>
      <c r="F511" s="3">
        <f>'Historical Data'!Y508</f>
        <v/>
      </c>
      <c r="G511" s="3">
        <f>'Historical Data'!K508</f>
        <v/>
      </c>
      <c r="H511" s="3">
        <f>'Historical Data'!L508</f>
        <v/>
      </c>
      <c r="I511" s="26">
        <f>'Historical Data'!M508</f>
        <v/>
      </c>
      <c r="J511" s="28">
        <f>'Historical Data'!N508</f>
        <v/>
      </c>
      <c r="K511" s="28">
        <f>'Historical Data'!Q508</f>
        <v/>
      </c>
      <c r="L511" s="30">
        <f>'Historical Data'!S508</f>
        <v/>
      </c>
      <c r="M511" s="28">
        <f>'Historical Data'!AJ508</f>
        <v/>
      </c>
      <c r="N511" s="28">
        <f>'Historical Data'!AK508</f>
        <v/>
      </c>
      <c r="O511" s="3">
        <f>'Historical Data'!AA508</f>
        <v/>
      </c>
      <c r="P511" s="3">
        <f>'Historical Data'!AB508</f>
        <v/>
      </c>
      <c r="Q511" s="3">
        <f>'Historical Data'!AN508</f>
        <v/>
      </c>
      <c r="R511" s="3">
        <f>'Historical Data'!AC508</f>
        <v/>
      </c>
      <c r="S511" s="3">
        <f>'Historical Data'!AE508</f>
        <v/>
      </c>
      <c r="T511" s="3">
        <f>'Historical Data'!AH508</f>
        <v/>
      </c>
      <c r="U511" s="3">
        <f>'Historical Data'!BA508</f>
        <v/>
      </c>
      <c r="V511" s="3" t="n"/>
      <c r="W511" s="3" t="n"/>
      <c r="X511" s="3" t="n"/>
      <c r="Y511" s="3" t="n"/>
      <c r="Z511" s="3" t="n"/>
    </row>
    <row r="512" hidden="1" ht="15.75" customHeight="1" s="174">
      <c r="A512" s="3">
        <f>'Historical Data'!A509</f>
        <v/>
      </c>
      <c r="B512" s="3">
        <f>'Historical Data'!B509</f>
        <v/>
      </c>
      <c r="C512" s="3">
        <f>'Historical Data'!D509</f>
        <v/>
      </c>
      <c r="D512" s="23">
        <f>'Historical Data'!E509</f>
        <v/>
      </c>
      <c r="E512" s="3">
        <f>'Historical Data'!G509</f>
        <v/>
      </c>
      <c r="F512" s="3">
        <f>'Historical Data'!Y509</f>
        <v/>
      </c>
      <c r="G512" s="3">
        <f>'Historical Data'!K509</f>
        <v/>
      </c>
      <c r="H512" s="3">
        <f>'Historical Data'!L509</f>
        <v/>
      </c>
      <c r="I512" s="26">
        <f>'Historical Data'!M509</f>
        <v/>
      </c>
      <c r="J512" s="28">
        <f>'Historical Data'!N509</f>
        <v/>
      </c>
      <c r="K512" s="28">
        <f>'Historical Data'!Q509</f>
        <v/>
      </c>
      <c r="L512" s="30">
        <f>'Historical Data'!S509</f>
        <v/>
      </c>
      <c r="M512" s="28">
        <f>'Historical Data'!AJ509</f>
        <v/>
      </c>
      <c r="N512" s="28">
        <f>'Historical Data'!AK509</f>
        <v/>
      </c>
      <c r="O512" s="3">
        <f>'Historical Data'!AA509</f>
        <v/>
      </c>
      <c r="P512" s="3">
        <f>'Historical Data'!AB509</f>
        <v/>
      </c>
      <c r="Q512" s="3">
        <f>'Historical Data'!AN509</f>
        <v/>
      </c>
      <c r="R512" s="3">
        <f>'Historical Data'!AC509</f>
        <v/>
      </c>
      <c r="S512" s="3">
        <f>'Historical Data'!AE509</f>
        <v/>
      </c>
      <c r="T512" s="3">
        <f>'Historical Data'!AH509</f>
        <v/>
      </c>
      <c r="U512" s="3">
        <f>'Historical Data'!BA509</f>
        <v/>
      </c>
      <c r="V512" s="3" t="n"/>
      <c r="W512" s="3" t="n"/>
      <c r="X512" s="3" t="n"/>
      <c r="Y512" s="3" t="n"/>
      <c r="Z512" s="3" t="n"/>
    </row>
    <row r="513" hidden="1" ht="15.75" customHeight="1" s="174">
      <c r="A513" s="3">
        <f>'Historical Data'!A510</f>
        <v/>
      </c>
      <c r="B513" s="3">
        <f>'Historical Data'!B510</f>
        <v/>
      </c>
      <c r="C513" s="3">
        <f>'Historical Data'!D510</f>
        <v/>
      </c>
      <c r="D513" s="23">
        <f>'Historical Data'!E510</f>
        <v/>
      </c>
      <c r="E513" s="3">
        <f>'Historical Data'!G510</f>
        <v/>
      </c>
      <c r="F513" s="3">
        <f>'Historical Data'!Y510</f>
        <v/>
      </c>
      <c r="G513" s="3">
        <f>'Historical Data'!K510</f>
        <v/>
      </c>
      <c r="H513" s="3">
        <f>'Historical Data'!L510</f>
        <v/>
      </c>
      <c r="I513" s="26">
        <f>'Historical Data'!M510</f>
        <v/>
      </c>
      <c r="J513" s="28">
        <f>'Historical Data'!N510</f>
        <v/>
      </c>
      <c r="K513" s="28">
        <f>'Historical Data'!Q510</f>
        <v/>
      </c>
      <c r="L513" s="30">
        <f>'Historical Data'!S510</f>
        <v/>
      </c>
      <c r="M513" s="28">
        <f>'Historical Data'!AJ510</f>
        <v/>
      </c>
      <c r="N513" s="28">
        <f>'Historical Data'!AK510</f>
        <v/>
      </c>
      <c r="O513" s="3">
        <f>'Historical Data'!AA510</f>
        <v/>
      </c>
      <c r="P513" s="3">
        <f>'Historical Data'!AB510</f>
        <v/>
      </c>
      <c r="Q513" s="3">
        <f>'Historical Data'!AN510</f>
        <v/>
      </c>
      <c r="R513" s="3">
        <f>'Historical Data'!AC510</f>
        <v/>
      </c>
      <c r="S513" s="3">
        <f>'Historical Data'!AE510</f>
        <v/>
      </c>
      <c r="T513" s="3">
        <f>'Historical Data'!AH510</f>
        <v/>
      </c>
      <c r="U513" s="3">
        <f>'Historical Data'!BA510</f>
        <v/>
      </c>
      <c r="V513" s="3" t="n"/>
      <c r="W513" s="3" t="n"/>
      <c r="X513" s="3" t="n"/>
      <c r="Y513" s="3" t="n"/>
      <c r="Z513" s="3" t="n"/>
    </row>
    <row r="514" hidden="1" ht="15.75" customHeight="1" s="174">
      <c r="A514" s="3">
        <f>'Historical Data'!A511</f>
        <v/>
      </c>
      <c r="B514" s="3">
        <f>'Historical Data'!B511</f>
        <v/>
      </c>
      <c r="C514" s="3">
        <f>'Historical Data'!D511</f>
        <v/>
      </c>
      <c r="D514" s="23">
        <f>'Historical Data'!E511</f>
        <v/>
      </c>
      <c r="E514" s="3">
        <f>'Historical Data'!G511</f>
        <v/>
      </c>
      <c r="F514" s="3">
        <f>'Historical Data'!Y511</f>
        <v/>
      </c>
      <c r="G514" s="3">
        <f>'Historical Data'!K511</f>
        <v/>
      </c>
      <c r="H514" s="3">
        <f>'Historical Data'!L511</f>
        <v/>
      </c>
      <c r="I514" s="26">
        <f>'Historical Data'!M511</f>
        <v/>
      </c>
      <c r="J514" s="28">
        <f>'Historical Data'!N511</f>
        <v/>
      </c>
      <c r="K514" s="28">
        <f>'Historical Data'!Q511</f>
        <v/>
      </c>
      <c r="L514" s="30">
        <f>'Historical Data'!S511</f>
        <v/>
      </c>
      <c r="M514" s="28">
        <f>'Historical Data'!AJ511</f>
        <v/>
      </c>
      <c r="N514" s="28">
        <f>'Historical Data'!AK511</f>
        <v/>
      </c>
      <c r="O514" s="3">
        <f>'Historical Data'!AA511</f>
        <v/>
      </c>
      <c r="P514" s="3">
        <f>'Historical Data'!AB511</f>
        <v/>
      </c>
      <c r="Q514" s="3">
        <f>'Historical Data'!AN511</f>
        <v/>
      </c>
      <c r="R514" s="3">
        <f>'Historical Data'!AC511</f>
        <v/>
      </c>
      <c r="S514" s="3">
        <f>'Historical Data'!AE511</f>
        <v/>
      </c>
      <c r="T514" s="3">
        <f>'Historical Data'!AH511</f>
        <v/>
      </c>
      <c r="U514" s="3">
        <f>'Historical Data'!BA511</f>
        <v/>
      </c>
      <c r="V514" s="3" t="n"/>
      <c r="W514" s="3" t="n"/>
      <c r="X514" s="3" t="n"/>
      <c r="Y514" s="3" t="n"/>
      <c r="Z514" s="3" t="n"/>
    </row>
    <row r="515" hidden="1" ht="15.75" customHeight="1" s="174">
      <c r="A515" s="3">
        <f>'Historical Data'!A512</f>
        <v/>
      </c>
      <c r="B515" s="3">
        <f>'Historical Data'!B512</f>
        <v/>
      </c>
      <c r="C515" s="3">
        <f>'Historical Data'!D512</f>
        <v/>
      </c>
      <c r="D515" s="23">
        <f>'Historical Data'!E512</f>
        <v/>
      </c>
      <c r="E515" s="3">
        <f>'Historical Data'!G512</f>
        <v/>
      </c>
      <c r="F515" s="3">
        <f>'Historical Data'!Y512</f>
        <v/>
      </c>
      <c r="G515" s="3">
        <f>'Historical Data'!K512</f>
        <v/>
      </c>
      <c r="H515" s="3">
        <f>'Historical Data'!L512</f>
        <v/>
      </c>
      <c r="I515" s="26">
        <f>'Historical Data'!M512</f>
        <v/>
      </c>
      <c r="J515" s="28">
        <f>'Historical Data'!N512</f>
        <v/>
      </c>
      <c r="K515" s="28">
        <f>'Historical Data'!Q512</f>
        <v/>
      </c>
      <c r="L515" s="30">
        <f>'Historical Data'!S512</f>
        <v/>
      </c>
      <c r="M515" s="28">
        <f>'Historical Data'!AJ512</f>
        <v/>
      </c>
      <c r="N515" s="28">
        <f>'Historical Data'!AK512</f>
        <v/>
      </c>
      <c r="O515" s="3">
        <f>'Historical Data'!AA512</f>
        <v/>
      </c>
      <c r="P515" s="3">
        <f>'Historical Data'!AB512</f>
        <v/>
      </c>
      <c r="Q515" s="3">
        <f>'Historical Data'!AN512</f>
        <v/>
      </c>
      <c r="R515" s="3">
        <f>'Historical Data'!AC512</f>
        <v/>
      </c>
      <c r="S515" s="3">
        <f>'Historical Data'!AE512</f>
        <v/>
      </c>
      <c r="T515" s="3">
        <f>'Historical Data'!AH512</f>
        <v/>
      </c>
      <c r="U515" s="3">
        <f>'Historical Data'!BA512</f>
        <v/>
      </c>
      <c r="V515" s="3" t="n"/>
      <c r="W515" s="3" t="n"/>
      <c r="X515" s="3" t="n"/>
      <c r="Y515" s="3" t="n"/>
      <c r="Z515" s="3" t="n"/>
    </row>
    <row r="516" hidden="1" ht="15.75" customHeight="1" s="174">
      <c r="A516" s="3">
        <f>'Historical Data'!A513</f>
        <v/>
      </c>
      <c r="B516" s="3">
        <f>'Historical Data'!B513</f>
        <v/>
      </c>
      <c r="C516" s="3">
        <f>'Historical Data'!D513</f>
        <v/>
      </c>
      <c r="D516" s="23">
        <f>'Historical Data'!E513</f>
        <v/>
      </c>
      <c r="E516" s="3">
        <f>'Historical Data'!G513</f>
        <v/>
      </c>
      <c r="F516" s="3">
        <f>'Historical Data'!Y513</f>
        <v/>
      </c>
      <c r="G516" s="3">
        <f>'Historical Data'!K513</f>
        <v/>
      </c>
      <c r="H516" s="3">
        <f>'Historical Data'!L513</f>
        <v/>
      </c>
      <c r="I516" s="26">
        <f>'Historical Data'!M513</f>
        <v/>
      </c>
      <c r="J516" s="28">
        <f>'Historical Data'!N513</f>
        <v/>
      </c>
      <c r="K516" s="28">
        <f>'Historical Data'!Q513</f>
        <v/>
      </c>
      <c r="L516" s="30">
        <f>'Historical Data'!S513</f>
        <v/>
      </c>
      <c r="M516" s="28">
        <f>'Historical Data'!AJ513</f>
        <v/>
      </c>
      <c r="N516" s="28">
        <f>'Historical Data'!AK513</f>
        <v/>
      </c>
      <c r="O516" s="3">
        <f>'Historical Data'!AA513</f>
        <v/>
      </c>
      <c r="P516" s="3">
        <f>'Historical Data'!AB513</f>
        <v/>
      </c>
      <c r="Q516" s="3">
        <f>'Historical Data'!AN513</f>
        <v/>
      </c>
      <c r="R516" s="3">
        <f>'Historical Data'!AC513</f>
        <v/>
      </c>
      <c r="S516" s="3">
        <f>'Historical Data'!AE513</f>
        <v/>
      </c>
      <c r="T516" s="3">
        <f>'Historical Data'!AH513</f>
        <v/>
      </c>
      <c r="U516" s="3">
        <f>'Historical Data'!BA513</f>
        <v/>
      </c>
      <c r="V516" s="3" t="n"/>
      <c r="W516" s="3" t="n"/>
      <c r="X516" s="3" t="n"/>
      <c r="Y516" s="3" t="n"/>
      <c r="Z516" s="3" t="n"/>
    </row>
    <row r="517" hidden="1" ht="15.75" customHeight="1" s="174">
      <c r="A517" s="3">
        <f>'Historical Data'!A514</f>
        <v/>
      </c>
      <c r="B517" s="3">
        <f>'Historical Data'!B514</f>
        <v/>
      </c>
      <c r="C517" s="3">
        <f>'Historical Data'!D514</f>
        <v/>
      </c>
      <c r="D517" s="23">
        <f>'Historical Data'!E514</f>
        <v/>
      </c>
      <c r="E517" s="3">
        <f>'Historical Data'!G514</f>
        <v/>
      </c>
      <c r="F517" s="3">
        <f>'Historical Data'!Y514</f>
        <v/>
      </c>
      <c r="G517" s="3">
        <f>'Historical Data'!K514</f>
        <v/>
      </c>
      <c r="H517" s="3">
        <f>'Historical Data'!L514</f>
        <v/>
      </c>
      <c r="I517" s="26">
        <f>'Historical Data'!M514</f>
        <v/>
      </c>
      <c r="J517" s="28">
        <f>'Historical Data'!N514</f>
        <v/>
      </c>
      <c r="K517" s="28">
        <f>'Historical Data'!Q514</f>
        <v/>
      </c>
      <c r="L517" s="30">
        <f>'Historical Data'!S514</f>
        <v/>
      </c>
      <c r="M517" s="28">
        <f>'Historical Data'!AJ514</f>
        <v/>
      </c>
      <c r="N517" s="28">
        <f>'Historical Data'!AK514</f>
        <v/>
      </c>
      <c r="O517" s="3">
        <f>'Historical Data'!AA514</f>
        <v/>
      </c>
      <c r="P517" s="3">
        <f>'Historical Data'!AB514</f>
        <v/>
      </c>
      <c r="Q517" s="3">
        <f>'Historical Data'!AN514</f>
        <v/>
      </c>
      <c r="R517" s="3">
        <f>'Historical Data'!AC514</f>
        <v/>
      </c>
      <c r="S517" s="3">
        <f>'Historical Data'!AE514</f>
        <v/>
      </c>
      <c r="T517" s="3">
        <f>'Historical Data'!AH514</f>
        <v/>
      </c>
      <c r="U517" s="3">
        <f>'Historical Data'!BA514</f>
        <v/>
      </c>
      <c r="V517" s="3" t="n"/>
      <c r="W517" s="3" t="n"/>
      <c r="X517" s="3" t="n"/>
      <c r="Y517" s="3" t="n"/>
      <c r="Z517" s="3" t="n"/>
    </row>
    <row r="518" hidden="1" ht="15.75" customHeight="1" s="174">
      <c r="A518" s="3">
        <f>'Historical Data'!A515</f>
        <v/>
      </c>
      <c r="B518" s="3">
        <f>'Historical Data'!B515</f>
        <v/>
      </c>
      <c r="C518" s="3">
        <f>'Historical Data'!D515</f>
        <v/>
      </c>
      <c r="D518" s="23">
        <f>'Historical Data'!E515</f>
        <v/>
      </c>
      <c r="E518" s="3">
        <f>'Historical Data'!G515</f>
        <v/>
      </c>
      <c r="F518" s="3">
        <f>'Historical Data'!Y515</f>
        <v/>
      </c>
      <c r="G518" s="3">
        <f>'Historical Data'!K515</f>
        <v/>
      </c>
      <c r="H518" s="3">
        <f>'Historical Data'!L515</f>
        <v/>
      </c>
      <c r="I518" s="26">
        <f>'Historical Data'!M515</f>
        <v/>
      </c>
      <c r="J518" s="28">
        <f>'Historical Data'!N515</f>
        <v/>
      </c>
      <c r="K518" s="28">
        <f>'Historical Data'!Q515</f>
        <v/>
      </c>
      <c r="L518" s="30">
        <f>'Historical Data'!S515</f>
        <v/>
      </c>
      <c r="M518" s="28">
        <f>'Historical Data'!AJ515</f>
        <v/>
      </c>
      <c r="N518" s="28">
        <f>'Historical Data'!AK515</f>
        <v/>
      </c>
      <c r="O518" s="3">
        <f>'Historical Data'!AA515</f>
        <v/>
      </c>
      <c r="P518" s="3">
        <f>'Historical Data'!AB515</f>
        <v/>
      </c>
      <c r="Q518" s="3">
        <f>'Historical Data'!AN515</f>
        <v/>
      </c>
      <c r="R518" s="3">
        <f>'Historical Data'!AC515</f>
        <v/>
      </c>
      <c r="S518" s="3">
        <f>'Historical Data'!AE515</f>
        <v/>
      </c>
      <c r="T518" s="3">
        <f>'Historical Data'!AH515</f>
        <v/>
      </c>
      <c r="U518" s="3">
        <f>'Historical Data'!BA515</f>
        <v/>
      </c>
      <c r="V518" s="3" t="n"/>
      <c r="W518" s="3" t="n"/>
      <c r="X518" s="3" t="n"/>
      <c r="Y518" s="3" t="n"/>
      <c r="Z518" s="3" t="n"/>
    </row>
    <row r="519" hidden="1" ht="15.75" customHeight="1" s="174">
      <c r="A519" s="3">
        <f>'Historical Data'!A516</f>
        <v/>
      </c>
      <c r="B519" s="3">
        <f>'Historical Data'!B516</f>
        <v/>
      </c>
      <c r="C519" s="3">
        <f>'Historical Data'!D516</f>
        <v/>
      </c>
      <c r="D519" s="23">
        <f>'Historical Data'!E516</f>
        <v/>
      </c>
      <c r="E519" s="3">
        <f>'Historical Data'!G516</f>
        <v/>
      </c>
      <c r="F519" s="3">
        <f>'Historical Data'!Y516</f>
        <v/>
      </c>
      <c r="G519" s="3">
        <f>'Historical Data'!K516</f>
        <v/>
      </c>
      <c r="H519" s="3">
        <f>'Historical Data'!L516</f>
        <v/>
      </c>
      <c r="I519" s="26">
        <f>'Historical Data'!M516</f>
        <v/>
      </c>
      <c r="J519" s="28">
        <f>'Historical Data'!N516</f>
        <v/>
      </c>
      <c r="K519" s="28">
        <f>'Historical Data'!Q516</f>
        <v/>
      </c>
      <c r="L519" s="30">
        <f>'Historical Data'!S516</f>
        <v/>
      </c>
      <c r="M519" s="28">
        <f>'Historical Data'!AJ516</f>
        <v/>
      </c>
      <c r="N519" s="28">
        <f>'Historical Data'!AK516</f>
        <v/>
      </c>
      <c r="O519" s="3">
        <f>'Historical Data'!AA516</f>
        <v/>
      </c>
      <c r="P519" s="3">
        <f>'Historical Data'!AB516</f>
        <v/>
      </c>
      <c r="Q519" s="3">
        <f>'Historical Data'!AN516</f>
        <v/>
      </c>
      <c r="R519" s="3">
        <f>'Historical Data'!AC516</f>
        <v/>
      </c>
      <c r="S519" s="3">
        <f>'Historical Data'!AE516</f>
        <v/>
      </c>
      <c r="T519" s="3">
        <f>'Historical Data'!AH516</f>
        <v/>
      </c>
      <c r="U519" s="3">
        <f>'Historical Data'!BA516</f>
        <v/>
      </c>
      <c r="V519" s="3" t="n"/>
      <c r="W519" s="3" t="n"/>
      <c r="X519" s="3" t="n"/>
      <c r="Y519" s="3" t="n"/>
      <c r="Z519" s="3" t="n"/>
    </row>
    <row r="520" hidden="1" ht="15.75" customHeight="1" s="174">
      <c r="A520" s="3">
        <f>'Historical Data'!A517</f>
        <v/>
      </c>
      <c r="B520" s="3">
        <f>'Historical Data'!B517</f>
        <v/>
      </c>
      <c r="C520" s="3">
        <f>'Historical Data'!D517</f>
        <v/>
      </c>
      <c r="D520" s="23">
        <f>'Historical Data'!E517</f>
        <v/>
      </c>
      <c r="E520" s="3">
        <f>'Historical Data'!G517</f>
        <v/>
      </c>
      <c r="F520" s="3">
        <f>'Historical Data'!Y517</f>
        <v/>
      </c>
      <c r="G520" s="3">
        <f>'Historical Data'!K517</f>
        <v/>
      </c>
      <c r="H520" s="3">
        <f>'Historical Data'!L517</f>
        <v/>
      </c>
      <c r="I520" s="26">
        <f>'Historical Data'!M517</f>
        <v/>
      </c>
      <c r="J520" s="28">
        <f>'Historical Data'!N517</f>
        <v/>
      </c>
      <c r="K520" s="28">
        <f>'Historical Data'!Q517</f>
        <v/>
      </c>
      <c r="L520" s="30">
        <f>'Historical Data'!S517</f>
        <v/>
      </c>
      <c r="M520" s="28">
        <f>'Historical Data'!AJ517</f>
        <v/>
      </c>
      <c r="N520" s="28">
        <f>'Historical Data'!AK517</f>
        <v/>
      </c>
      <c r="O520" s="3">
        <f>'Historical Data'!AA517</f>
        <v/>
      </c>
      <c r="P520" s="3">
        <f>'Historical Data'!AB517</f>
        <v/>
      </c>
      <c r="Q520" s="3">
        <f>'Historical Data'!AN517</f>
        <v/>
      </c>
      <c r="R520" s="3">
        <f>'Historical Data'!AC517</f>
        <v/>
      </c>
      <c r="S520" s="3">
        <f>'Historical Data'!AE517</f>
        <v/>
      </c>
      <c r="T520" s="3">
        <f>'Historical Data'!AH517</f>
        <v/>
      </c>
      <c r="U520" s="3">
        <f>'Historical Data'!BA517</f>
        <v/>
      </c>
      <c r="V520" s="3" t="n"/>
      <c r="W520" s="3" t="n"/>
      <c r="X520" s="3" t="n"/>
      <c r="Y520" s="3" t="n"/>
      <c r="Z520" s="3" t="n"/>
    </row>
    <row r="521" hidden="1" ht="15.75" customHeight="1" s="174">
      <c r="A521" s="3">
        <f>'Historical Data'!A518</f>
        <v/>
      </c>
      <c r="B521" s="3">
        <f>'Historical Data'!B518</f>
        <v/>
      </c>
      <c r="C521" s="3">
        <f>'Historical Data'!D518</f>
        <v/>
      </c>
      <c r="D521" s="23">
        <f>'Historical Data'!E518</f>
        <v/>
      </c>
      <c r="E521" s="3">
        <f>'Historical Data'!G518</f>
        <v/>
      </c>
      <c r="F521" s="3">
        <f>'Historical Data'!Y518</f>
        <v/>
      </c>
      <c r="G521" s="3">
        <f>'Historical Data'!K518</f>
        <v/>
      </c>
      <c r="H521" s="3">
        <f>'Historical Data'!L518</f>
        <v/>
      </c>
      <c r="I521" s="26">
        <f>'Historical Data'!M518</f>
        <v/>
      </c>
      <c r="J521" s="28">
        <f>'Historical Data'!N518</f>
        <v/>
      </c>
      <c r="K521" s="28">
        <f>'Historical Data'!Q518</f>
        <v/>
      </c>
      <c r="L521" s="30">
        <f>'Historical Data'!S518</f>
        <v/>
      </c>
      <c r="M521" s="28">
        <f>'Historical Data'!AJ518</f>
        <v/>
      </c>
      <c r="N521" s="28">
        <f>'Historical Data'!AK518</f>
        <v/>
      </c>
      <c r="O521" s="3">
        <f>'Historical Data'!AA518</f>
        <v/>
      </c>
      <c r="P521" s="3">
        <f>'Historical Data'!AB518</f>
        <v/>
      </c>
      <c r="Q521" s="3">
        <f>'Historical Data'!AN518</f>
        <v/>
      </c>
      <c r="R521" s="3">
        <f>'Historical Data'!AC518</f>
        <v/>
      </c>
      <c r="S521" s="3">
        <f>'Historical Data'!AE518</f>
        <v/>
      </c>
      <c r="T521" s="3">
        <f>'Historical Data'!AH518</f>
        <v/>
      </c>
      <c r="U521" s="3">
        <f>'Historical Data'!BA518</f>
        <v/>
      </c>
      <c r="V521" s="3" t="n"/>
      <c r="W521" s="3" t="n"/>
      <c r="X521" s="3" t="n"/>
      <c r="Y521" s="3" t="n"/>
      <c r="Z521" s="3" t="n"/>
    </row>
    <row r="522" hidden="1" ht="15.75" customHeight="1" s="174">
      <c r="A522" s="3">
        <f>'Historical Data'!A519</f>
        <v/>
      </c>
      <c r="B522" s="3">
        <f>'Historical Data'!B519</f>
        <v/>
      </c>
      <c r="C522" s="3">
        <f>'Historical Data'!D519</f>
        <v/>
      </c>
      <c r="D522" s="23">
        <f>'Historical Data'!E519</f>
        <v/>
      </c>
      <c r="E522" s="3">
        <f>'Historical Data'!G519</f>
        <v/>
      </c>
      <c r="F522" s="3">
        <f>'Historical Data'!Y519</f>
        <v/>
      </c>
      <c r="G522" s="3">
        <f>'Historical Data'!K519</f>
        <v/>
      </c>
      <c r="H522" s="3">
        <f>'Historical Data'!L519</f>
        <v/>
      </c>
      <c r="I522" s="26">
        <f>'Historical Data'!M519</f>
        <v/>
      </c>
      <c r="J522" s="28">
        <f>'Historical Data'!N519</f>
        <v/>
      </c>
      <c r="K522" s="28">
        <f>'Historical Data'!Q519</f>
        <v/>
      </c>
      <c r="L522" s="30">
        <f>'Historical Data'!S519</f>
        <v/>
      </c>
      <c r="M522" s="28">
        <f>'Historical Data'!AJ519</f>
        <v/>
      </c>
      <c r="N522" s="28">
        <f>'Historical Data'!AK519</f>
        <v/>
      </c>
      <c r="O522" s="3">
        <f>'Historical Data'!AA519</f>
        <v/>
      </c>
      <c r="P522" s="3">
        <f>'Historical Data'!AB519</f>
        <v/>
      </c>
      <c r="Q522" s="3">
        <f>'Historical Data'!AN519</f>
        <v/>
      </c>
      <c r="R522" s="3">
        <f>'Historical Data'!AC519</f>
        <v/>
      </c>
      <c r="S522" s="3">
        <f>'Historical Data'!AE519</f>
        <v/>
      </c>
      <c r="T522" s="3">
        <f>'Historical Data'!AH519</f>
        <v/>
      </c>
      <c r="U522" s="3">
        <f>'Historical Data'!BA519</f>
        <v/>
      </c>
      <c r="V522" s="3" t="n"/>
      <c r="W522" s="3" t="n"/>
      <c r="X522" s="3" t="n"/>
      <c r="Y522" s="3" t="n"/>
      <c r="Z522" s="3" t="n"/>
    </row>
    <row r="523" hidden="1" ht="15.75" customHeight="1" s="174">
      <c r="A523" s="3">
        <f>'Historical Data'!A520</f>
        <v/>
      </c>
      <c r="B523" s="3">
        <f>'Historical Data'!B520</f>
        <v/>
      </c>
      <c r="C523" s="3">
        <f>'Historical Data'!D520</f>
        <v/>
      </c>
      <c r="D523" s="23">
        <f>'Historical Data'!E520</f>
        <v/>
      </c>
      <c r="E523" s="3">
        <f>'Historical Data'!G520</f>
        <v/>
      </c>
      <c r="F523" s="3">
        <f>'Historical Data'!Y520</f>
        <v/>
      </c>
      <c r="G523" s="3">
        <f>'Historical Data'!K520</f>
        <v/>
      </c>
      <c r="H523" s="3">
        <f>'Historical Data'!L520</f>
        <v/>
      </c>
      <c r="I523" s="26">
        <f>'Historical Data'!M520</f>
        <v/>
      </c>
      <c r="J523" s="28">
        <f>'Historical Data'!N520</f>
        <v/>
      </c>
      <c r="K523" s="28">
        <f>'Historical Data'!Q520</f>
        <v/>
      </c>
      <c r="L523" s="30">
        <f>'Historical Data'!S520</f>
        <v/>
      </c>
      <c r="M523" s="28">
        <f>'Historical Data'!AJ520</f>
        <v/>
      </c>
      <c r="N523" s="28">
        <f>'Historical Data'!AK520</f>
        <v/>
      </c>
      <c r="O523" s="3">
        <f>'Historical Data'!AA520</f>
        <v/>
      </c>
      <c r="P523" s="3">
        <f>'Historical Data'!AB520</f>
        <v/>
      </c>
      <c r="Q523" s="3">
        <f>'Historical Data'!AN520</f>
        <v/>
      </c>
      <c r="R523" s="3">
        <f>'Historical Data'!AC520</f>
        <v/>
      </c>
      <c r="S523" s="3">
        <f>'Historical Data'!AE520</f>
        <v/>
      </c>
      <c r="T523" s="3">
        <f>'Historical Data'!AH520</f>
        <v/>
      </c>
      <c r="U523" s="3">
        <f>'Historical Data'!BA520</f>
        <v/>
      </c>
      <c r="V523" s="3" t="n"/>
      <c r="W523" s="3" t="n"/>
      <c r="X523" s="3" t="n"/>
      <c r="Y523" s="3" t="n"/>
      <c r="Z523" s="3" t="n"/>
    </row>
    <row r="524" hidden="1" ht="15.75" customHeight="1" s="174">
      <c r="A524" s="3">
        <f>'Historical Data'!A521</f>
        <v/>
      </c>
      <c r="B524" s="3">
        <f>'Historical Data'!B521</f>
        <v/>
      </c>
      <c r="C524" s="3">
        <f>'Historical Data'!D521</f>
        <v/>
      </c>
      <c r="D524" s="23">
        <f>'Historical Data'!E521</f>
        <v/>
      </c>
      <c r="E524" s="3">
        <f>'Historical Data'!G521</f>
        <v/>
      </c>
      <c r="F524" s="3">
        <f>'Historical Data'!Y521</f>
        <v/>
      </c>
      <c r="G524" s="3">
        <f>'Historical Data'!K521</f>
        <v/>
      </c>
      <c r="H524" s="3">
        <f>'Historical Data'!L521</f>
        <v/>
      </c>
      <c r="I524" s="26">
        <f>'Historical Data'!M521</f>
        <v/>
      </c>
      <c r="J524" s="28">
        <f>'Historical Data'!N521</f>
        <v/>
      </c>
      <c r="K524" s="28">
        <f>'Historical Data'!Q521</f>
        <v/>
      </c>
      <c r="L524" s="30">
        <f>'Historical Data'!S521</f>
        <v/>
      </c>
      <c r="M524" s="28">
        <f>'Historical Data'!AJ521</f>
        <v/>
      </c>
      <c r="N524" s="28">
        <f>'Historical Data'!AK521</f>
        <v/>
      </c>
      <c r="O524" s="3">
        <f>'Historical Data'!AA521</f>
        <v/>
      </c>
      <c r="P524" s="3">
        <f>'Historical Data'!AB521</f>
        <v/>
      </c>
      <c r="Q524" s="3">
        <f>'Historical Data'!AN521</f>
        <v/>
      </c>
      <c r="R524" s="3">
        <f>'Historical Data'!AC521</f>
        <v/>
      </c>
      <c r="S524" s="3">
        <f>'Historical Data'!AE521</f>
        <v/>
      </c>
      <c r="T524" s="3">
        <f>'Historical Data'!AH521</f>
        <v/>
      </c>
      <c r="U524" s="3">
        <f>'Historical Data'!BA521</f>
        <v/>
      </c>
      <c r="V524" s="3" t="n"/>
      <c r="W524" s="3" t="n"/>
      <c r="X524" s="3" t="n"/>
      <c r="Y524" s="3" t="n"/>
      <c r="Z524" s="3" t="n"/>
    </row>
    <row r="525" hidden="1" ht="15.75" customHeight="1" s="174">
      <c r="A525" s="3">
        <f>'Historical Data'!A522</f>
        <v/>
      </c>
      <c r="B525" s="3">
        <f>'Historical Data'!B522</f>
        <v/>
      </c>
      <c r="C525" s="3">
        <f>'Historical Data'!D522</f>
        <v/>
      </c>
      <c r="D525" s="23">
        <f>'Historical Data'!E522</f>
        <v/>
      </c>
      <c r="E525" s="3">
        <f>'Historical Data'!G522</f>
        <v/>
      </c>
      <c r="F525" s="3">
        <f>'Historical Data'!Y522</f>
        <v/>
      </c>
      <c r="G525" s="3">
        <f>'Historical Data'!K522</f>
        <v/>
      </c>
      <c r="H525" s="3">
        <f>'Historical Data'!L522</f>
        <v/>
      </c>
      <c r="I525" s="26">
        <f>'Historical Data'!M522</f>
        <v/>
      </c>
      <c r="J525" s="28">
        <f>'Historical Data'!N522</f>
        <v/>
      </c>
      <c r="K525" s="28">
        <f>'Historical Data'!Q522</f>
        <v/>
      </c>
      <c r="L525" s="30">
        <f>'Historical Data'!S522</f>
        <v/>
      </c>
      <c r="M525" s="28">
        <f>'Historical Data'!AJ522</f>
        <v/>
      </c>
      <c r="N525" s="28">
        <f>'Historical Data'!AK522</f>
        <v/>
      </c>
      <c r="O525" s="3">
        <f>'Historical Data'!AA522</f>
        <v/>
      </c>
      <c r="P525" s="3">
        <f>'Historical Data'!AB522</f>
        <v/>
      </c>
      <c r="Q525" s="3">
        <f>'Historical Data'!AN522</f>
        <v/>
      </c>
      <c r="R525" s="3">
        <f>'Historical Data'!AC522</f>
        <v/>
      </c>
      <c r="S525" s="3">
        <f>'Historical Data'!AE522</f>
        <v/>
      </c>
      <c r="T525" s="3">
        <f>'Historical Data'!AH522</f>
        <v/>
      </c>
      <c r="U525" s="3">
        <f>'Historical Data'!BA522</f>
        <v/>
      </c>
      <c r="V525" s="3" t="n"/>
      <c r="W525" s="3" t="n"/>
      <c r="X525" s="3" t="n"/>
      <c r="Y525" s="3" t="n"/>
      <c r="Z525" s="3" t="n"/>
    </row>
    <row r="526" hidden="1" ht="15.75" customHeight="1" s="174">
      <c r="A526" s="3">
        <f>'Historical Data'!A523</f>
        <v/>
      </c>
      <c r="B526" s="3">
        <f>'Historical Data'!B523</f>
        <v/>
      </c>
      <c r="C526" s="3">
        <f>'Historical Data'!D523</f>
        <v/>
      </c>
      <c r="D526" s="23">
        <f>'Historical Data'!E523</f>
        <v/>
      </c>
      <c r="E526" s="3">
        <f>'Historical Data'!G523</f>
        <v/>
      </c>
      <c r="F526" s="3">
        <f>'Historical Data'!Y523</f>
        <v/>
      </c>
      <c r="G526" s="3">
        <f>'Historical Data'!K523</f>
        <v/>
      </c>
      <c r="H526" s="3">
        <f>'Historical Data'!L523</f>
        <v/>
      </c>
      <c r="I526" s="26">
        <f>'Historical Data'!M523</f>
        <v/>
      </c>
      <c r="J526" s="28">
        <f>'Historical Data'!N523</f>
        <v/>
      </c>
      <c r="K526" s="28">
        <f>'Historical Data'!Q523</f>
        <v/>
      </c>
      <c r="L526" s="30">
        <f>'Historical Data'!S523</f>
        <v/>
      </c>
      <c r="M526" s="28">
        <f>'Historical Data'!AJ523</f>
        <v/>
      </c>
      <c r="N526" s="28">
        <f>'Historical Data'!AK523</f>
        <v/>
      </c>
      <c r="O526" s="3">
        <f>'Historical Data'!AA523</f>
        <v/>
      </c>
      <c r="P526" s="3">
        <f>'Historical Data'!AB523</f>
        <v/>
      </c>
      <c r="Q526" s="3">
        <f>'Historical Data'!AN523</f>
        <v/>
      </c>
      <c r="R526" s="3">
        <f>'Historical Data'!AC523</f>
        <v/>
      </c>
      <c r="S526" s="3">
        <f>'Historical Data'!AE523</f>
        <v/>
      </c>
      <c r="T526" s="3">
        <f>'Historical Data'!AH523</f>
        <v/>
      </c>
      <c r="U526" s="3">
        <f>'Historical Data'!BA523</f>
        <v/>
      </c>
      <c r="V526" s="3" t="n"/>
      <c r="W526" s="3" t="n"/>
      <c r="X526" s="3" t="n"/>
      <c r="Y526" s="3" t="n"/>
      <c r="Z526" s="3" t="n"/>
    </row>
    <row r="527" hidden="1" ht="15.75" customHeight="1" s="174">
      <c r="A527" s="3">
        <f>'Historical Data'!A524</f>
        <v/>
      </c>
      <c r="B527" s="3">
        <f>'Historical Data'!B524</f>
        <v/>
      </c>
      <c r="C527" s="3">
        <f>'Historical Data'!D524</f>
        <v/>
      </c>
      <c r="D527" s="23">
        <f>'Historical Data'!E524</f>
        <v/>
      </c>
      <c r="E527" s="3">
        <f>'Historical Data'!G524</f>
        <v/>
      </c>
      <c r="F527" s="3">
        <f>'Historical Data'!Y524</f>
        <v/>
      </c>
      <c r="G527" s="3">
        <f>'Historical Data'!K524</f>
        <v/>
      </c>
      <c r="H527" s="3">
        <f>'Historical Data'!L524</f>
        <v/>
      </c>
      <c r="I527" s="26">
        <f>'Historical Data'!M524</f>
        <v/>
      </c>
      <c r="J527" s="28">
        <f>'Historical Data'!N524</f>
        <v/>
      </c>
      <c r="K527" s="28">
        <f>'Historical Data'!Q524</f>
        <v/>
      </c>
      <c r="L527" s="30">
        <f>'Historical Data'!S524</f>
        <v/>
      </c>
      <c r="M527" s="28">
        <f>'Historical Data'!AJ524</f>
        <v/>
      </c>
      <c r="N527" s="28">
        <f>'Historical Data'!AK524</f>
        <v/>
      </c>
      <c r="O527" s="3">
        <f>'Historical Data'!AA524</f>
        <v/>
      </c>
      <c r="P527" s="3">
        <f>'Historical Data'!AB524</f>
        <v/>
      </c>
      <c r="Q527" s="3">
        <f>'Historical Data'!AN524</f>
        <v/>
      </c>
      <c r="R527" s="3">
        <f>'Historical Data'!AC524</f>
        <v/>
      </c>
      <c r="S527" s="3">
        <f>'Historical Data'!AE524</f>
        <v/>
      </c>
      <c r="T527" s="3">
        <f>'Historical Data'!AH524</f>
        <v/>
      </c>
      <c r="U527" s="3">
        <f>'Historical Data'!BA524</f>
        <v/>
      </c>
      <c r="V527" s="3" t="n"/>
      <c r="W527" s="3" t="n"/>
      <c r="X527" s="3" t="n"/>
      <c r="Y527" s="3" t="n"/>
      <c r="Z527" s="3" t="n"/>
    </row>
    <row r="528" hidden="1" ht="15.75" customHeight="1" s="174">
      <c r="A528" s="3">
        <f>'Historical Data'!A525</f>
        <v/>
      </c>
      <c r="B528" s="3">
        <f>'Historical Data'!B525</f>
        <v/>
      </c>
      <c r="C528" s="3">
        <f>'Historical Data'!D525</f>
        <v/>
      </c>
      <c r="D528" s="23">
        <f>'Historical Data'!E525</f>
        <v/>
      </c>
      <c r="E528" s="3">
        <f>'Historical Data'!G525</f>
        <v/>
      </c>
      <c r="F528" s="3">
        <f>'Historical Data'!Y525</f>
        <v/>
      </c>
      <c r="G528" s="3">
        <f>'Historical Data'!K525</f>
        <v/>
      </c>
      <c r="H528" s="3">
        <f>'Historical Data'!L525</f>
        <v/>
      </c>
      <c r="I528" s="26">
        <f>'Historical Data'!M525</f>
        <v/>
      </c>
      <c r="J528" s="28">
        <f>'Historical Data'!N525</f>
        <v/>
      </c>
      <c r="K528" s="28">
        <f>'Historical Data'!Q525</f>
        <v/>
      </c>
      <c r="L528" s="30">
        <f>'Historical Data'!S525</f>
        <v/>
      </c>
      <c r="M528" s="28">
        <f>'Historical Data'!AJ525</f>
        <v/>
      </c>
      <c r="N528" s="28">
        <f>'Historical Data'!AK525</f>
        <v/>
      </c>
      <c r="O528" s="3">
        <f>'Historical Data'!AA525</f>
        <v/>
      </c>
      <c r="P528" s="3">
        <f>'Historical Data'!AB525</f>
        <v/>
      </c>
      <c r="Q528" s="3">
        <f>'Historical Data'!AN525</f>
        <v/>
      </c>
      <c r="R528" s="3">
        <f>'Historical Data'!AC525</f>
        <v/>
      </c>
      <c r="S528" s="3">
        <f>'Historical Data'!AE525</f>
        <v/>
      </c>
      <c r="T528" s="3">
        <f>'Historical Data'!AH525</f>
        <v/>
      </c>
      <c r="U528" s="3">
        <f>'Historical Data'!BA525</f>
        <v/>
      </c>
      <c r="V528" s="3" t="n"/>
      <c r="W528" s="3" t="n"/>
      <c r="X528" s="3" t="n"/>
      <c r="Y528" s="3" t="n"/>
      <c r="Z528" s="3" t="n"/>
    </row>
    <row r="529" hidden="1" ht="15.75" customHeight="1" s="174">
      <c r="A529" s="3">
        <f>'Historical Data'!A526</f>
        <v/>
      </c>
      <c r="B529" s="3">
        <f>'Historical Data'!B526</f>
        <v/>
      </c>
      <c r="C529" s="3">
        <f>'Historical Data'!D526</f>
        <v/>
      </c>
      <c r="D529" s="23">
        <f>'Historical Data'!E526</f>
        <v/>
      </c>
      <c r="E529" s="3">
        <f>'Historical Data'!G526</f>
        <v/>
      </c>
      <c r="F529" s="3">
        <f>'Historical Data'!Y526</f>
        <v/>
      </c>
      <c r="G529" s="3">
        <f>'Historical Data'!K526</f>
        <v/>
      </c>
      <c r="H529" s="3">
        <f>'Historical Data'!L526</f>
        <v/>
      </c>
      <c r="I529" s="26">
        <f>'Historical Data'!M526</f>
        <v/>
      </c>
      <c r="J529" s="28">
        <f>'Historical Data'!N526</f>
        <v/>
      </c>
      <c r="K529" s="28">
        <f>'Historical Data'!Q526</f>
        <v/>
      </c>
      <c r="L529" s="30">
        <f>'Historical Data'!S526</f>
        <v/>
      </c>
      <c r="M529" s="28">
        <f>'Historical Data'!AJ526</f>
        <v/>
      </c>
      <c r="N529" s="28">
        <f>'Historical Data'!AK526</f>
        <v/>
      </c>
      <c r="O529" s="3">
        <f>'Historical Data'!AA526</f>
        <v/>
      </c>
      <c r="P529" s="3">
        <f>'Historical Data'!AB526</f>
        <v/>
      </c>
      <c r="Q529" s="3">
        <f>'Historical Data'!AN526</f>
        <v/>
      </c>
      <c r="R529" s="3">
        <f>'Historical Data'!AC526</f>
        <v/>
      </c>
      <c r="S529" s="3">
        <f>'Historical Data'!AE526</f>
        <v/>
      </c>
      <c r="T529" s="3">
        <f>'Historical Data'!AH526</f>
        <v/>
      </c>
      <c r="U529" s="3">
        <f>'Historical Data'!BA526</f>
        <v/>
      </c>
      <c r="V529" s="3" t="n"/>
      <c r="W529" s="3" t="n"/>
      <c r="X529" s="3" t="n"/>
      <c r="Y529" s="3" t="n"/>
      <c r="Z529" s="3" t="n"/>
    </row>
    <row r="530" hidden="1" ht="15.75" customHeight="1" s="174">
      <c r="A530" s="3">
        <f>'Historical Data'!A527</f>
        <v/>
      </c>
      <c r="B530" s="3">
        <f>'Historical Data'!B527</f>
        <v/>
      </c>
      <c r="C530" s="3">
        <f>'Historical Data'!D527</f>
        <v/>
      </c>
      <c r="D530" s="23">
        <f>'Historical Data'!E527</f>
        <v/>
      </c>
      <c r="E530" s="3">
        <f>'Historical Data'!G527</f>
        <v/>
      </c>
      <c r="F530" s="3">
        <f>'Historical Data'!Y527</f>
        <v/>
      </c>
      <c r="G530" s="3">
        <f>'Historical Data'!K527</f>
        <v/>
      </c>
      <c r="H530" s="3">
        <f>'Historical Data'!L527</f>
        <v/>
      </c>
      <c r="I530" s="26">
        <f>'Historical Data'!M527</f>
        <v/>
      </c>
      <c r="J530" s="28">
        <f>'Historical Data'!N527</f>
        <v/>
      </c>
      <c r="K530" s="28">
        <f>'Historical Data'!Q527</f>
        <v/>
      </c>
      <c r="L530" s="30">
        <f>'Historical Data'!S527</f>
        <v/>
      </c>
      <c r="M530" s="28">
        <f>'Historical Data'!AJ527</f>
        <v/>
      </c>
      <c r="N530" s="28">
        <f>'Historical Data'!AK527</f>
        <v/>
      </c>
      <c r="O530" s="3">
        <f>'Historical Data'!AA527</f>
        <v/>
      </c>
      <c r="P530" s="3">
        <f>'Historical Data'!AB527</f>
        <v/>
      </c>
      <c r="Q530" s="3">
        <f>'Historical Data'!AN527</f>
        <v/>
      </c>
      <c r="R530" s="3">
        <f>'Historical Data'!AC527</f>
        <v/>
      </c>
      <c r="S530" s="3">
        <f>'Historical Data'!AE527</f>
        <v/>
      </c>
      <c r="T530" s="3">
        <f>'Historical Data'!AH527</f>
        <v/>
      </c>
      <c r="U530" s="3">
        <f>'Historical Data'!BA527</f>
        <v/>
      </c>
      <c r="V530" s="3" t="n"/>
      <c r="W530" s="3" t="n"/>
      <c r="X530" s="3" t="n"/>
      <c r="Y530" s="3" t="n"/>
      <c r="Z530" s="3" t="n"/>
    </row>
    <row r="531" hidden="1" ht="15.75" customHeight="1" s="174">
      <c r="A531" s="3">
        <f>'Historical Data'!A528</f>
        <v/>
      </c>
      <c r="B531" s="3">
        <f>'Historical Data'!B528</f>
        <v/>
      </c>
      <c r="C531" s="3">
        <f>'Historical Data'!D528</f>
        <v/>
      </c>
      <c r="D531" s="23">
        <f>'Historical Data'!E528</f>
        <v/>
      </c>
      <c r="E531" s="3">
        <f>'Historical Data'!G528</f>
        <v/>
      </c>
      <c r="F531" s="3">
        <f>'Historical Data'!Y528</f>
        <v/>
      </c>
      <c r="G531" s="3">
        <f>'Historical Data'!K528</f>
        <v/>
      </c>
      <c r="H531" s="3">
        <f>'Historical Data'!L528</f>
        <v/>
      </c>
      <c r="I531" s="26">
        <f>'Historical Data'!M528</f>
        <v/>
      </c>
      <c r="J531" s="28">
        <f>'Historical Data'!N528</f>
        <v/>
      </c>
      <c r="K531" s="28">
        <f>'Historical Data'!Q528</f>
        <v/>
      </c>
      <c r="L531" s="30">
        <f>'Historical Data'!S528</f>
        <v/>
      </c>
      <c r="M531" s="28">
        <f>'Historical Data'!AJ528</f>
        <v/>
      </c>
      <c r="N531" s="28">
        <f>'Historical Data'!AK528</f>
        <v/>
      </c>
      <c r="O531" s="3">
        <f>'Historical Data'!AA528</f>
        <v/>
      </c>
      <c r="P531" s="3">
        <f>'Historical Data'!AB528</f>
        <v/>
      </c>
      <c r="Q531" s="3">
        <f>'Historical Data'!AN528</f>
        <v/>
      </c>
      <c r="R531" s="3">
        <f>'Historical Data'!AC528</f>
        <v/>
      </c>
      <c r="S531" s="3">
        <f>'Historical Data'!AE528</f>
        <v/>
      </c>
      <c r="T531" s="3">
        <f>'Historical Data'!AH528</f>
        <v/>
      </c>
      <c r="U531" s="3">
        <f>'Historical Data'!BA528</f>
        <v/>
      </c>
      <c r="V531" s="3" t="n"/>
      <c r="W531" s="3" t="n"/>
      <c r="X531" s="3" t="n"/>
      <c r="Y531" s="3" t="n"/>
      <c r="Z531" s="3" t="n"/>
    </row>
    <row r="532" hidden="1" ht="15.75" customHeight="1" s="174">
      <c r="A532" s="3">
        <f>'Historical Data'!A529</f>
        <v/>
      </c>
      <c r="B532" s="3">
        <f>'Historical Data'!B529</f>
        <v/>
      </c>
      <c r="C532" s="3">
        <f>'Historical Data'!D529</f>
        <v/>
      </c>
      <c r="D532" s="23">
        <f>'Historical Data'!E529</f>
        <v/>
      </c>
      <c r="E532" s="3">
        <f>'Historical Data'!G529</f>
        <v/>
      </c>
      <c r="F532" s="3">
        <f>'Historical Data'!Y529</f>
        <v/>
      </c>
      <c r="G532" s="3">
        <f>'Historical Data'!K529</f>
        <v/>
      </c>
      <c r="H532" s="3">
        <f>'Historical Data'!L529</f>
        <v/>
      </c>
      <c r="I532" s="26">
        <f>'Historical Data'!M529</f>
        <v/>
      </c>
      <c r="J532" s="28">
        <f>'Historical Data'!N529</f>
        <v/>
      </c>
      <c r="K532" s="28">
        <f>'Historical Data'!Q529</f>
        <v/>
      </c>
      <c r="L532" s="30">
        <f>'Historical Data'!S529</f>
        <v/>
      </c>
      <c r="M532" s="28">
        <f>'Historical Data'!AJ529</f>
        <v/>
      </c>
      <c r="N532" s="28">
        <f>'Historical Data'!AK529</f>
        <v/>
      </c>
      <c r="O532" s="3">
        <f>'Historical Data'!AA529</f>
        <v/>
      </c>
      <c r="P532" s="3">
        <f>'Historical Data'!AB529</f>
        <v/>
      </c>
      <c r="Q532" s="3">
        <f>'Historical Data'!AN529</f>
        <v/>
      </c>
      <c r="R532" s="3">
        <f>'Historical Data'!AC529</f>
        <v/>
      </c>
      <c r="S532" s="3">
        <f>'Historical Data'!AE529</f>
        <v/>
      </c>
      <c r="T532" s="3">
        <f>'Historical Data'!AH529</f>
        <v/>
      </c>
      <c r="U532" s="3">
        <f>'Historical Data'!BA529</f>
        <v/>
      </c>
      <c r="V532" s="3" t="n"/>
      <c r="W532" s="3" t="n"/>
      <c r="X532" s="3" t="n"/>
      <c r="Y532" s="3" t="n"/>
      <c r="Z532" s="3" t="n"/>
    </row>
    <row r="533" hidden="1" ht="15.75" customHeight="1" s="174">
      <c r="A533" s="3">
        <f>'Historical Data'!A530</f>
        <v/>
      </c>
      <c r="B533" s="3">
        <f>'Historical Data'!B530</f>
        <v/>
      </c>
      <c r="C533" s="3">
        <f>'Historical Data'!D530</f>
        <v/>
      </c>
      <c r="D533" s="23">
        <f>'Historical Data'!E530</f>
        <v/>
      </c>
      <c r="E533" s="3">
        <f>'Historical Data'!G530</f>
        <v/>
      </c>
      <c r="F533" s="3">
        <f>'Historical Data'!Y530</f>
        <v/>
      </c>
      <c r="G533" s="3">
        <f>'Historical Data'!K530</f>
        <v/>
      </c>
      <c r="H533" s="3">
        <f>'Historical Data'!L530</f>
        <v/>
      </c>
      <c r="I533" s="26">
        <f>'Historical Data'!M530</f>
        <v/>
      </c>
      <c r="J533" s="28">
        <f>'Historical Data'!N530</f>
        <v/>
      </c>
      <c r="K533" s="28">
        <f>'Historical Data'!Q530</f>
        <v/>
      </c>
      <c r="L533" s="30">
        <f>'Historical Data'!S530</f>
        <v/>
      </c>
      <c r="M533" s="28">
        <f>'Historical Data'!AJ530</f>
        <v/>
      </c>
      <c r="N533" s="28">
        <f>'Historical Data'!AK530</f>
        <v/>
      </c>
      <c r="O533" s="3">
        <f>'Historical Data'!AA530</f>
        <v/>
      </c>
      <c r="P533" s="3">
        <f>'Historical Data'!AB530</f>
        <v/>
      </c>
      <c r="Q533" s="3">
        <f>'Historical Data'!AN530</f>
        <v/>
      </c>
      <c r="R533" s="3">
        <f>'Historical Data'!AC530</f>
        <v/>
      </c>
      <c r="S533" s="3">
        <f>'Historical Data'!AE530</f>
        <v/>
      </c>
      <c r="T533" s="3">
        <f>'Historical Data'!AH530</f>
        <v/>
      </c>
      <c r="U533" s="3">
        <f>'Historical Data'!BA530</f>
        <v/>
      </c>
      <c r="V533" s="3" t="n"/>
      <c r="W533" s="3" t="n"/>
      <c r="X533" s="3" t="n"/>
      <c r="Y533" s="3" t="n"/>
      <c r="Z533" s="3" t="n"/>
    </row>
    <row r="534" hidden="1" ht="15.75" customHeight="1" s="174">
      <c r="A534" s="3">
        <f>'Historical Data'!A531</f>
        <v/>
      </c>
      <c r="B534" s="3">
        <f>'Historical Data'!B531</f>
        <v/>
      </c>
      <c r="C534" s="3">
        <f>'Historical Data'!D531</f>
        <v/>
      </c>
      <c r="D534" s="23">
        <f>'Historical Data'!E531</f>
        <v/>
      </c>
      <c r="E534" s="3">
        <f>'Historical Data'!G531</f>
        <v/>
      </c>
      <c r="F534" s="3">
        <f>'Historical Data'!Y531</f>
        <v/>
      </c>
      <c r="G534" s="3">
        <f>'Historical Data'!K531</f>
        <v/>
      </c>
      <c r="H534" s="3">
        <f>'Historical Data'!L531</f>
        <v/>
      </c>
      <c r="I534" s="26">
        <f>'Historical Data'!M531</f>
        <v/>
      </c>
      <c r="J534" s="28">
        <f>'Historical Data'!N531</f>
        <v/>
      </c>
      <c r="K534" s="28">
        <f>'Historical Data'!Q531</f>
        <v/>
      </c>
      <c r="L534" s="30">
        <f>'Historical Data'!S531</f>
        <v/>
      </c>
      <c r="M534" s="28">
        <f>'Historical Data'!AJ531</f>
        <v/>
      </c>
      <c r="N534" s="28">
        <f>'Historical Data'!AK531</f>
        <v/>
      </c>
      <c r="O534" s="3">
        <f>'Historical Data'!AA531</f>
        <v/>
      </c>
      <c r="P534" s="3">
        <f>'Historical Data'!AB531</f>
        <v/>
      </c>
      <c r="Q534" s="3">
        <f>'Historical Data'!AN531</f>
        <v/>
      </c>
      <c r="R534" s="3">
        <f>'Historical Data'!AC531</f>
        <v/>
      </c>
      <c r="S534" s="3">
        <f>'Historical Data'!AE531</f>
        <v/>
      </c>
      <c r="T534" s="3">
        <f>'Historical Data'!AH531</f>
        <v/>
      </c>
      <c r="U534" s="3">
        <f>'Historical Data'!BA531</f>
        <v/>
      </c>
      <c r="V534" s="3" t="n"/>
      <c r="W534" s="3" t="n"/>
      <c r="X534" s="3" t="n"/>
      <c r="Y534" s="3" t="n"/>
      <c r="Z534" s="3" t="n"/>
    </row>
    <row r="535" hidden="1" ht="15.75" customHeight="1" s="174">
      <c r="A535" s="3">
        <f>'Historical Data'!A532</f>
        <v/>
      </c>
      <c r="B535" s="3">
        <f>'Historical Data'!B532</f>
        <v/>
      </c>
      <c r="C535" s="3">
        <f>'Historical Data'!D532</f>
        <v/>
      </c>
      <c r="D535" s="23">
        <f>'Historical Data'!E532</f>
        <v/>
      </c>
      <c r="E535" s="3">
        <f>'Historical Data'!G532</f>
        <v/>
      </c>
      <c r="F535" s="3">
        <f>'Historical Data'!Y532</f>
        <v/>
      </c>
      <c r="G535" s="3">
        <f>'Historical Data'!K532</f>
        <v/>
      </c>
      <c r="H535" s="3">
        <f>'Historical Data'!L532</f>
        <v/>
      </c>
      <c r="I535" s="26">
        <f>'Historical Data'!M532</f>
        <v/>
      </c>
      <c r="J535" s="28">
        <f>'Historical Data'!N532</f>
        <v/>
      </c>
      <c r="K535" s="28">
        <f>'Historical Data'!Q532</f>
        <v/>
      </c>
      <c r="L535" s="30">
        <f>'Historical Data'!S532</f>
        <v/>
      </c>
      <c r="M535" s="28">
        <f>'Historical Data'!AJ532</f>
        <v/>
      </c>
      <c r="N535" s="28">
        <f>'Historical Data'!AK532</f>
        <v/>
      </c>
      <c r="O535" s="3">
        <f>'Historical Data'!AA532</f>
        <v/>
      </c>
      <c r="P535" s="3">
        <f>'Historical Data'!AB532</f>
        <v/>
      </c>
      <c r="Q535" s="3">
        <f>'Historical Data'!AN532</f>
        <v/>
      </c>
      <c r="R535" s="3">
        <f>'Historical Data'!AC532</f>
        <v/>
      </c>
      <c r="S535" s="3">
        <f>'Historical Data'!AE532</f>
        <v/>
      </c>
      <c r="T535" s="3">
        <f>'Historical Data'!AH532</f>
        <v/>
      </c>
      <c r="U535" s="3">
        <f>'Historical Data'!BA532</f>
        <v/>
      </c>
      <c r="V535" s="3" t="n"/>
      <c r="W535" s="3" t="n"/>
      <c r="X535" s="3" t="n"/>
      <c r="Y535" s="3" t="n"/>
      <c r="Z535" s="3" t="n"/>
    </row>
    <row r="536" hidden="1" ht="15.75" customHeight="1" s="174">
      <c r="A536" s="3">
        <f>'Historical Data'!A533</f>
        <v/>
      </c>
      <c r="B536" s="3">
        <f>'Historical Data'!B533</f>
        <v/>
      </c>
      <c r="C536" s="3">
        <f>'Historical Data'!D533</f>
        <v/>
      </c>
      <c r="D536" s="23">
        <f>'Historical Data'!E533</f>
        <v/>
      </c>
      <c r="E536" s="3">
        <f>'Historical Data'!G533</f>
        <v/>
      </c>
      <c r="F536" s="3">
        <f>'Historical Data'!Y533</f>
        <v/>
      </c>
      <c r="G536" s="3">
        <f>'Historical Data'!K533</f>
        <v/>
      </c>
      <c r="H536" s="3">
        <f>'Historical Data'!L533</f>
        <v/>
      </c>
      <c r="I536" s="26">
        <f>'Historical Data'!M533</f>
        <v/>
      </c>
      <c r="J536" s="28">
        <f>'Historical Data'!N533</f>
        <v/>
      </c>
      <c r="K536" s="28">
        <f>'Historical Data'!Q533</f>
        <v/>
      </c>
      <c r="L536" s="30">
        <f>'Historical Data'!S533</f>
        <v/>
      </c>
      <c r="M536" s="28">
        <f>'Historical Data'!AJ533</f>
        <v/>
      </c>
      <c r="N536" s="28">
        <f>'Historical Data'!AK533</f>
        <v/>
      </c>
      <c r="O536" s="3">
        <f>'Historical Data'!AA533</f>
        <v/>
      </c>
      <c r="P536" s="3">
        <f>'Historical Data'!AB533</f>
        <v/>
      </c>
      <c r="Q536" s="3">
        <f>'Historical Data'!AN533</f>
        <v/>
      </c>
      <c r="R536" s="3">
        <f>'Historical Data'!AC533</f>
        <v/>
      </c>
      <c r="S536" s="3">
        <f>'Historical Data'!AE533</f>
        <v/>
      </c>
      <c r="T536" s="3">
        <f>'Historical Data'!AH533</f>
        <v/>
      </c>
      <c r="U536" s="3">
        <f>'Historical Data'!BA533</f>
        <v/>
      </c>
      <c r="V536" s="3" t="n"/>
      <c r="W536" s="3" t="n"/>
      <c r="X536" s="3" t="n"/>
      <c r="Y536" s="3" t="n"/>
      <c r="Z536" s="3" t="n"/>
    </row>
    <row r="537" hidden="1" ht="15.75" customHeight="1" s="174">
      <c r="A537" s="3">
        <f>'Historical Data'!A534</f>
        <v/>
      </c>
      <c r="B537" s="3">
        <f>'Historical Data'!B534</f>
        <v/>
      </c>
      <c r="C537" s="3">
        <f>'Historical Data'!D534</f>
        <v/>
      </c>
      <c r="D537" s="23">
        <f>'Historical Data'!E534</f>
        <v/>
      </c>
      <c r="E537" s="3">
        <f>'Historical Data'!G534</f>
        <v/>
      </c>
      <c r="F537" s="3">
        <f>'Historical Data'!Y534</f>
        <v/>
      </c>
      <c r="G537" s="3">
        <f>'Historical Data'!K534</f>
        <v/>
      </c>
      <c r="H537" s="3">
        <f>'Historical Data'!L534</f>
        <v/>
      </c>
      <c r="I537" s="26">
        <f>'Historical Data'!M534</f>
        <v/>
      </c>
      <c r="J537" s="28">
        <f>'Historical Data'!N534</f>
        <v/>
      </c>
      <c r="K537" s="28">
        <f>'Historical Data'!Q534</f>
        <v/>
      </c>
      <c r="L537" s="30">
        <f>'Historical Data'!S534</f>
        <v/>
      </c>
      <c r="M537" s="28">
        <f>'Historical Data'!AJ534</f>
        <v/>
      </c>
      <c r="N537" s="28">
        <f>'Historical Data'!AK534</f>
        <v/>
      </c>
      <c r="O537" s="3">
        <f>'Historical Data'!AA534</f>
        <v/>
      </c>
      <c r="P537" s="3">
        <f>'Historical Data'!AB534</f>
        <v/>
      </c>
      <c r="Q537" s="3">
        <f>'Historical Data'!AN534</f>
        <v/>
      </c>
      <c r="R537" s="3">
        <f>'Historical Data'!AC534</f>
        <v/>
      </c>
      <c r="S537" s="3">
        <f>'Historical Data'!AE534</f>
        <v/>
      </c>
      <c r="T537" s="3">
        <f>'Historical Data'!AH534</f>
        <v/>
      </c>
      <c r="U537" s="3">
        <f>'Historical Data'!BA534</f>
        <v/>
      </c>
      <c r="V537" s="3" t="n"/>
      <c r="W537" s="3" t="n"/>
      <c r="X537" s="3" t="n"/>
      <c r="Y537" s="3" t="n"/>
      <c r="Z537" s="3" t="n"/>
    </row>
    <row r="538" hidden="1" ht="15.75" customHeight="1" s="174">
      <c r="A538" s="3">
        <f>'Historical Data'!A535</f>
        <v/>
      </c>
      <c r="B538" s="3">
        <f>'Historical Data'!B535</f>
        <v/>
      </c>
      <c r="C538" s="3">
        <f>'Historical Data'!D535</f>
        <v/>
      </c>
      <c r="D538" s="23">
        <f>'Historical Data'!E535</f>
        <v/>
      </c>
      <c r="E538" s="3">
        <f>'Historical Data'!G535</f>
        <v/>
      </c>
      <c r="F538" s="3">
        <f>'Historical Data'!Y535</f>
        <v/>
      </c>
      <c r="G538" s="3">
        <f>'Historical Data'!K535</f>
        <v/>
      </c>
      <c r="H538" s="3">
        <f>'Historical Data'!L535</f>
        <v/>
      </c>
      <c r="I538" s="26">
        <f>'Historical Data'!M535</f>
        <v/>
      </c>
      <c r="J538" s="28">
        <f>'Historical Data'!N535</f>
        <v/>
      </c>
      <c r="K538" s="28">
        <f>'Historical Data'!Q535</f>
        <v/>
      </c>
      <c r="L538" s="30">
        <f>'Historical Data'!S535</f>
        <v/>
      </c>
      <c r="M538" s="28">
        <f>'Historical Data'!AJ535</f>
        <v/>
      </c>
      <c r="N538" s="28">
        <f>'Historical Data'!AK535</f>
        <v/>
      </c>
      <c r="O538" s="3">
        <f>'Historical Data'!AA535</f>
        <v/>
      </c>
      <c r="P538" s="3">
        <f>'Historical Data'!AB535</f>
        <v/>
      </c>
      <c r="Q538" s="3">
        <f>'Historical Data'!AN535</f>
        <v/>
      </c>
      <c r="R538" s="3">
        <f>'Historical Data'!AC535</f>
        <v/>
      </c>
      <c r="S538" s="3">
        <f>'Historical Data'!AE535</f>
        <v/>
      </c>
      <c r="T538" s="3">
        <f>'Historical Data'!AH535</f>
        <v/>
      </c>
      <c r="U538" s="3">
        <f>'Historical Data'!BA535</f>
        <v/>
      </c>
      <c r="V538" s="3" t="n"/>
      <c r="W538" s="3" t="n"/>
      <c r="X538" s="3" t="n"/>
      <c r="Y538" s="3" t="n"/>
      <c r="Z538" s="3" t="n"/>
    </row>
    <row r="539" hidden="1" ht="15.75" customHeight="1" s="174">
      <c r="A539" s="3">
        <f>'Historical Data'!A536</f>
        <v/>
      </c>
      <c r="B539" s="3">
        <f>'Historical Data'!B536</f>
        <v/>
      </c>
      <c r="C539" s="3">
        <f>'Historical Data'!D536</f>
        <v/>
      </c>
      <c r="D539" s="23">
        <f>'Historical Data'!E536</f>
        <v/>
      </c>
      <c r="E539" s="3">
        <f>'Historical Data'!G536</f>
        <v/>
      </c>
      <c r="F539" s="3">
        <f>'Historical Data'!Y536</f>
        <v/>
      </c>
      <c r="G539" s="3">
        <f>'Historical Data'!K536</f>
        <v/>
      </c>
      <c r="H539" s="3">
        <f>'Historical Data'!L536</f>
        <v/>
      </c>
      <c r="I539" s="26">
        <f>'Historical Data'!M536</f>
        <v/>
      </c>
      <c r="J539" s="28">
        <f>'Historical Data'!N536</f>
        <v/>
      </c>
      <c r="K539" s="28">
        <f>'Historical Data'!Q536</f>
        <v/>
      </c>
      <c r="L539" s="30">
        <f>'Historical Data'!S536</f>
        <v/>
      </c>
      <c r="M539" s="28">
        <f>'Historical Data'!AJ536</f>
        <v/>
      </c>
      <c r="N539" s="28">
        <f>'Historical Data'!AK536</f>
        <v/>
      </c>
      <c r="O539" s="3">
        <f>'Historical Data'!AA536</f>
        <v/>
      </c>
      <c r="P539" s="3">
        <f>'Historical Data'!AB536</f>
        <v/>
      </c>
      <c r="Q539" s="3">
        <f>'Historical Data'!AN536</f>
        <v/>
      </c>
      <c r="R539" s="3">
        <f>'Historical Data'!AC536</f>
        <v/>
      </c>
      <c r="S539" s="3">
        <f>'Historical Data'!AE536</f>
        <v/>
      </c>
      <c r="T539" s="3">
        <f>'Historical Data'!AH536</f>
        <v/>
      </c>
      <c r="U539" s="3">
        <f>'Historical Data'!BA536</f>
        <v/>
      </c>
      <c r="V539" s="3" t="n"/>
      <c r="W539" s="3" t="n"/>
      <c r="X539" s="3" t="n"/>
      <c r="Y539" s="3" t="n"/>
      <c r="Z539" s="3" t="n"/>
    </row>
    <row r="540" hidden="1" ht="15.75" customHeight="1" s="174">
      <c r="A540" s="3">
        <f>'Historical Data'!A537</f>
        <v/>
      </c>
      <c r="B540" s="3">
        <f>'Historical Data'!B537</f>
        <v/>
      </c>
      <c r="C540" s="3">
        <f>'Historical Data'!D537</f>
        <v/>
      </c>
      <c r="D540" s="23">
        <f>'Historical Data'!E537</f>
        <v/>
      </c>
      <c r="E540" s="3">
        <f>'Historical Data'!G537</f>
        <v/>
      </c>
      <c r="F540" s="3">
        <f>'Historical Data'!Y537</f>
        <v/>
      </c>
      <c r="G540" s="3">
        <f>'Historical Data'!K537</f>
        <v/>
      </c>
      <c r="H540" s="3">
        <f>'Historical Data'!L537</f>
        <v/>
      </c>
      <c r="I540" s="26">
        <f>'Historical Data'!M537</f>
        <v/>
      </c>
      <c r="J540" s="28">
        <f>'Historical Data'!N537</f>
        <v/>
      </c>
      <c r="K540" s="28">
        <f>'Historical Data'!Q537</f>
        <v/>
      </c>
      <c r="L540" s="30">
        <f>'Historical Data'!S537</f>
        <v/>
      </c>
      <c r="M540" s="28">
        <f>'Historical Data'!AJ537</f>
        <v/>
      </c>
      <c r="N540" s="28">
        <f>'Historical Data'!AK537</f>
        <v/>
      </c>
      <c r="O540" s="3">
        <f>'Historical Data'!AA537</f>
        <v/>
      </c>
      <c r="P540" s="3">
        <f>'Historical Data'!AB537</f>
        <v/>
      </c>
      <c r="Q540" s="3">
        <f>'Historical Data'!AN537</f>
        <v/>
      </c>
      <c r="R540" s="3">
        <f>'Historical Data'!AC537</f>
        <v/>
      </c>
      <c r="S540" s="3">
        <f>'Historical Data'!AE537</f>
        <v/>
      </c>
      <c r="T540" s="3">
        <f>'Historical Data'!AH537</f>
        <v/>
      </c>
      <c r="U540" s="3">
        <f>'Historical Data'!BA537</f>
        <v/>
      </c>
      <c r="V540" s="3" t="n"/>
      <c r="W540" s="3" t="n"/>
      <c r="X540" s="3" t="n"/>
      <c r="Y540" s="3" t="n"/>
      <c r="Z540" s="3" t="n"/>
    </row>
    <row r="541" hidden="1" ht="15.75" customHeight="1" s="174">
      <c r="A541" s="3">
        <f>'Historical Data'!A538</f>
        <v/>
      </c>
      <c r="B541" s="3">
        <f>'Historical Data'!B538</f>
        <v/>
      </c>
      <c r="C541" s="3">
        <f>'Historical Data'!D538</f>
        <v/>
      </c>
      <c r="D541" s="23">
        <f>'Historical Data'!E538</f>
        <v/>
      </c>
      <c r="E541" s="3">
        <f>'Historical Data'!G538</f>
        <v/>
      </c>
      <c r="F541" s="3">
        <f>'Historical Data'!Y538</f>
        <v/>
      </c>
      <c r="G541" s="3">
        <f>'Historical Data'!K538</f>
        <v/>
      </c>
      <c r="H541" s="3">
        <f>'Historical Data'!L538</f>
        <v/>
      </c>
      <c r="I541" s="26">
        <f>'Historical Data'!M538</f>
        <v/>
      </c>
      <c r="J541" s="28">
        <f>'Historical Data'!N538</f>
        <v/>
      </c>
      <c r="K541" s="28">
        <f>'Historical Data'!Q538</f>
        <v/>
      </c>
      <c r="L541" s="30">
        <f>'Historical Data'!S538</f>
        <v/>
      </c>
      <c r="M541" s="28">
        <f>'Historical Data'!AJ538</f>
        <v/>
      </c>
      <c r="N541" s="28">
        <f>'Historical Data'!AK538</f>
        <v/>
      </c>
      <c r="O541" s="3">
        <f>'Historical Data'!AA538</f>
        <v/>
      </c>
      <c r="P541" s="3">
        <f>'Historical Data'!AB538</f>
        <v/>
      </c>
      <c r="Q541" s="3">
        <f>'Historical Data'!AN538</f>
        <v/>
      </c>
      <c r="R541" s="3">
        <f>'Historical Data'!AC538</f>
        <v/>
      </c>
      <c r="S541" s="3">
        <f>'Historical Data'!AE538</f>
        <v/>
      </c>
      <c r="T541" s="3">
        <f>'Historical Data'!AH538</f>
        <v/>
      </c>
      <c r="U541" s="3">
        <f>'Historical Data'!BA538</f>
        <v/>
      </c>
      <c r="V541" s="3" t="n"/>
      <c r="W541" s="3" t="n"/>
      <c r="X541" s="3" t="n"/>
      <c r="Y541" s="3" t="n"/>
      <c r="Z541" s="3" t="n"/>
    </row>
    <row r="542" hidden="1" ht="15.75" customHeight="1" s="174">
      <c r="A542" s="3">
        <f>'Historical Data'!A539</f>
        <v/>
      </c>
      <c r="B542" s="3">
        <f>'Historical Data'!B539</f>
        <v/>
      </c>
      <c r="C542" s="3">
        <f>'Historical Data'!D539</f>
        <v/>
      </c>
      <c r="D542" s="23">
        <f>'Historical Data'!E539</f>
        <v/>
      </c>
      <c r="E542" s="3">
        <f>'Historical Data'!G539</f>
        <v/>
      </c>
      <c r="F542" s="3">
        <f>'Historical Data'!Y539</f>
        <v/>
      </c>
      <c r="G542" s="3">
        <f>'Historical Data'!K539</f>
        <v/>
      </c>
      <c r="H542" s="3">
        <f>'Historical Data'!L539</f>
        <v/>
      </c>
      <c r="I542" s="26">
        <f>'Historical Data'!M539</f>
        <v/>
      </c>
      <c r="J542" s="28">
        <f>'Historical Data'!N539</f>
        <v/>
      </c>
      <c r="K542" s="28">
        <f>'Historical Data'!Q539</f>
        <v/>
      </c>
      <c r="L542" s="30">
        <f>'Historical Data'!S539</f>
        <v/>
      </c>
      <c r="M542" s="28">
        <f>'Historical Data'!AJ539</f>
        <v/>
      </c>
      <c r="N542" s="28">
        <f>'Historical Data'!AK539</f>
        <v/>
      </c>
      <c r="O542" s="3">
        <f>'Historical Data'!AA539</f>
        <v/>
      </c>
      <c r="P542" s="3">
        <f>'Historical Data'!AB539</f>
        <v/>
      </c>
      <c r="Q542" s="3">
        <f>'Historical Data'!AN539</f>
        <v/>
      </c>
      <c r="R542" s="3">
        <f>'Historical Data'!AC539</f>
        <v/>
      </c>
      <c r="S542" s="3">
        <f>'Historical Data'!AE539</f>
        <v/>
      </c>
      <c r="T542" s="3">
        <f>'Historical Data'!AH539</f>
        <v/>
      </c>
      <c r="U542" s="3">
        <f>'Historical Data'!BA539</f>
        <v/>
      </c>
      <c r="V542" s="3" t="n"/>
      <c r="W542" s="3" t="n"/>
      <c r="X542" s="3" t="n"/>
      <c r="Y542" s="3" t="n"/>
      <c r="Z542" s="3" t="n"/>
    </row>
    <row r="543" hidden="1" ht="15.75" customHeight="1" s="174">
      <c r="A543" s="3">
        <f>'Historical Data'!A540</f>
        <v/>
      </c>
      <c r="B543" s="3">
        <f>'Historical Data'!B540</f>
        <v/>
      </c>
      <c r="C543" s="3">
        <f>'Historical Data'!D540</f>
        <v/>
      </c>
      <c r="D543" s="23">
        <f>'Historical Data'!E540</f>
        <v/>
      </c>
      <c r="E543" s="3">
        <f>'Historical Data'!G540</f>
        <v/>
      </c>
      <c r="F543" s="3">
        <f>'Historical Data'!Y540</f>
        <v/>
      </c>
      <c r="G543" s="3">
        <f>'Historical Data'!K540</f>
        <v/>
      </c>
      <c r="H543" s="3">
        <f>'Historical Data'!L540</f>
        <v/>
      </c>
      <c r="I543" s="26">
        <f>'Historical Data'!M540</f>
        <v/>
      </c>
      <c r="J543" s="28">
        <f>'Historical Data'!N540</f>
        <v/>
      </c>
      <c r="K543" s="28">
        <f>'Historical Data'!Q540</f>
        <v/>
      </c>
      <c r="L543" s="30">
        <f>'Historical Data'!S540</f>
        <v/>
      </c>
      <c r="M543" s="28">
        <f>'Historical Data'!AJ540</f>
        <v/>
      </c>
      <c r="N543" s="28">
        <f>'Historical Data'!AK540</f>
        <v/>
      </c>
      <c r="O543" s="3">
        <f>'Historical Data'!AA540</f>
        <v/>
      </c>
      <c r="P543" s="3">
        <f>'Historical Data'!AB540</f>
        <v/>
      </c>
      <c r="Q543" s="3">
        <f>'Historical Data'!AN540</f>
        <v/>
      </c>
      <c r="R543" s="3">
        <f>'Historical Data'!AC540</f>
        <v/>
      </c>
      <c r="S543" s="3">
        <f>'Historical Data'!AE540</f>
        <v/>
      </c>
      <c r="T543" s="3">
        <f>'Historical Data'!AH540</f>
        <v/>
      </c>
      <c r="U543" s="3">
        <f>'Historical Data'!BA540</f>
        <v/>
      </c>
      <c r="V543" s="3" t="n"/>
      <c r="W543" s="3" t="n"/>
      <c r="X543" s="3" t="n"/>
      <c r="Y543" s="3" t="n"/>
      <c r="Z543" s="3" t="n"/>
    </row>
    <row r="544" hidden="1" ht="15.75" customHeight="1" s="174">
      <c r="A544" s="3">
        <f>'Historical Data'!A541</f>
        <v/>
      </c>
      <c r="B544" s="3">
        <f>'Historical Data'!B541</f>
        <v/>
      </c>
      <c r="C544" s="3">
        <f>'Historical Data'!D541</f>
        <v/>
      </c>
      <c r="D544" s="23">
        <f>'Historical Data'!E541</f>
        <v/>
      </c>
      <c r="E544" s="3">
        <f>'Historical Data'!G541</f>
        <v/>
      </c>
      <c r="F544" s="3">
        <f>'Historical Data'!Y541</f>
        <v/>
      </c>
      <c r="G544" s="3">
        <f>'Historical Data'!K541</f>
        <v/>
      </c>
      <c r="H544" s="3">
        <f>'Historical Data'!L541</f>
        <v/>
      </c>
      <c r="I544" s="26">
        <f>'Historical Data'!M541</f>
        <v/>
      </c>
      <c r="J544" s="28">
        <f>'Historical Data'!N541</f>
        <v/>
      </c>
      <c r="K544" s="28">
        <f>'Historical Data'!Q541</f>
        <v/>
      </c>
      <c r="L544" s="30">
        <f>'Historical Data'!S541</f>
        <v/>
      </c>
      <c r="M544" s="28">
        <f>'Historical Data'!AJ541</f>
        <v/>
      </c>
      <c r="N544" s="28">
        <f>'Historical Data'!AK541</f>
        <v/>
      </c>
      <c r="O544" s="3">
        <f>'Historical Data'!AA541</f>
        <v/>
      </c>
      <c r="P544" s="3">
        <f>'Historical Data'!AB541</f>
        <v/>
      </c>
      <c r="Q544" s="3">
        <f>'Historical Data'!AN541</f>
        <v/>
      </c>
      <c r="R544" s="3">
        <f>'Historical Data'!AC541</f>
        <v/>
      </c>
      <c r="S544" s="3">
        <f>'Historical Data'!AE541</f>
        <v/>
      </c>
      <c r="T544" s="3">
        <f>'Historical Data'!AH541</f>
        <v/>
      </c>
      <c r="U544" s="3">
        <f>'Historical Data'!BA541</f>
        <v/>
      </c>
      <c r="V544" s="3" t="n"/>
      <c r="W544" s="3" t="n"/>
      <c r="X544" s="3" t="n"/>
      <c r="Y544" s="3" t="n"/>
      <c r="Z544" s="3" t="n"/>
    </row>
    <row r="545" hidden="1" ht="15.75" customHeight="1" s="174">
      <c r="A545" s="3">
        <f>'Historical Data'!A542</f>
        <v/>
      </c>
      <c r="B545" s="3">
        <f>'Historical Data'!B542</f>
        <v/>
      </c>
      <c r="C545" s="3">
        <f>'Historical Data'!D542</f>
        <v/>
      </c>
      <c r="D545" s="23">
        <f>'Historical Data'!E542</f>
        <v/>
      </c>
      <c r="E545" s="3">
        <f>'Historical Data'!G542</f>
        <v/>
      </c>
      <c r="F545" s="3">
        <f>'Historical Data'!Y542</f>
        <v/>
      </c>
      <c r="G545" s="3">
        <f>'Historical Data'!K542</f>
        <v/>
      </c>
      <c r="H545" s="3">
        <f>'Historical Data'!L542</f>
        <v/>
      </c>
      <c r="I545" s="26">
        <f>'Historical Data'!M542</f>
        <v/>
      </c>
      <c r="J545" s="28">
        <f>'Historical Data'!N542</f>
        <v/>
      </c>
      <c r="K545" s="28">
        <f>'Historical Data'!Q542</f>
        <v/>
      </c>
      <c r="L545" s="30">
        <f>'Historical Data'!S542</f>
        <v/>
      </c>
      <c r="M545" s="28">
        <f>'Historical Data'!AJ542</f>
        <v/>
      </c>
      <c r="N545" s="28">
        <f>'Historical Data'!AK542</f>
        <v/>
      </c>
      <c r="O545" s="3">
        <f>'Historical Data'!AA542</f>
        <v/>
      </c>
      <c r="P545" s="3">
        <f>'Historical Data'!AB542</f>
        <v/>
      </c>
      <c r="Q545" s="3">
        <f>'Historical Data'!AN542</f>
        <v/>
      </c>
      <c r="R545" s="3">
        <f>'Historical Data'!AC542</f>
        <v/>
      </c>
      <c r="S545" s="3">
        <f>'Historical Data'!AE542</f>
        <v/>
      </c>
      <c r="T545" s="3">
        <f>'Historical Data'!AH542</f>
        <v/>
      </c>
      <c r="U545" s="3">
        <f>'Historical Data'!BA542</f>
        <v/>
      </c>
      <c r="V545" s="3" t="n"/>
      <c r="W545" s="3" t="n"/>
      <c r="X545" s="3" t="n"/>
      <c r="Y545" s="3" t="n"/>
      <c r="Z545" s="3" t="n"/>
    </row>
    <row r="546" hidden="1" ht="15.75" customHeight="1" s="174">
      <c r="A546" s="3">
        <f>'Historical Data'!A543</f>
        <v/>
      </c>
      <c r="B546" s="3">
        <f>'Historical Data'!B543</f>
        <v/>
      </c>
      <c r="C546" s="3">
        <f>'Historical Data'!D543</f>
        <v/>
      </c>
      <c r="D546" s="23">
        <f>'Historical Data'!E543</f>
        <v/>
      </c>
      <c r="E546" s="3">
        <f>'Historical Data'!G543</f>
        <v/>
      </c>
      <c r="F546" s="3">
        <f>'Historical Data'!Y543</f>
        <v/>
      </c>
      <c r="G546" s="3">
        <f>'Historical Data'!K543</f>
        <v/>
      </c>
      <c r="H546" s="3">
        <f>'Historical Data'!L543</f>
        <v/>
      </c>
      <c r="I546" s="26">
        <f>'Historical Data'!M543</f>
        <v/>
      </c>
      <c r="J546" s="28">
        <f>'Historical Data'!N543</f>
        <v/>
      </c>
      <c r="K546" s="28">
        <f>'Historical Data'!Q543</f>
        <v/>
      </c>
      <c r="L546" s="30">
        <f>'Historical Data'!S543</f>
        <v/>
      </c>
      <c r="M546" s="28">
        <f>'Historical Data'!AJ543</f>
        <v/>
      </c>
      <c r="N546" s="28">
        <f>'Historical Data'!AK543</f>
        <v/>
      </c>
      <c r="O546" s="3">
        <f>'Historical Data'!AA543</f>
        <v/>
      </c>
      <c r="P546" s="3">
        <f>'Historical Data'!AB543</f>
        <v/>
      </c>
      <c r="Q546" s="3">
        <f>'Historical Data'!AN543</f>
        <v/>
      </c>
      <c r="R546" s="3">
        <f>'Historical Data'!AC543</f>
        <v/>
      </c>
      <c r="S546" s="3">
        <f>'Historical Data'!AE543</f>
        <v/>
      </c>
      <c r="T546" s="3">
        <f>'Historical Data'!AH543</f>
        <v/>
      </c>
      <c r="U546" s="3">
        <f>'Historical Data'!BA543</f>
        <v/>
      </c>
      <c r="V546" s="3" t="n"/>
      <c r="W546" s="3" t="n"/>
      <c r="X546" s="3" t="n"/>
      <c r="Y546" s="3" t="n"/>
      <c r="Z546" s="3" t="n"/>
    </row>
    <row r="547" hidden="1" ht="15.75" customHeight="1" s="174">
      <c r="A547" s="3">
        <f>'Historical Data'!A544</f>
        <v/>
      </c>
      <c r="B547" s="3">
        <f>'Historical Data'!B544</f>
        <v/>
      </c>
      <c r="C547" s="3">
        <f>'Historical Data'!D544</f>
        <v/>
      </c>
      <c r="D547" s="23">
        <f>'Historical Data'!E544</f>
        <v/>
      </c>
      <c r="E547" s="3">
        <f>'Historical Data'!G544</f>
        <v/>
      </c>
      <c r="F547" s="3">
        <f>'Historical Data'!Y544</f>
        <v/>
      </c>
      <c r="G547" s="3">
        <f>'Historical Data'!K544</f>
        <v/>
      </c>
      <c r="H547" s="3">
        <f>'Historical Data'!L544</f>
        <v/>
      </c>
      <c r="I547" s="26">
        <f>'Historical Data'!M544</f>
        <v/>
      </c>
      <c r="J547" s="28">
        <f>'Historical Data'!N544</f>
        <v/>
      </c>
      <c r="K547" s="28">
        <f>'Historical Data'!Q544</f>
        <v/>
      </c>
      <c r="L547" s="30">
        <f>'Historical Data'!S544</f>
        <v/>
      </c>
      <c r="M547" s="28">
        <f>'Historical Data'!AJ544</f>
        <v/>
      </c>
      <c r="N547" s="28">
        <f>'Historical Data'!AK544</f>
        <v/>
      </c>
      <c r="O547" s="3">
        <f>'Historical Data'!AA544</f>
        <v/>
      </c>
      <c r="P547" s="3">
        <f>'Historical Data'!AB544</f>
        <v/>
      </c>
      <c r="Q547" s="3">
        <f>'Historical Data'!AN544</f>
        <v/>
      </c>
      <c r="R547" s="3">
        <f>'Historical Data'!AC544</f>
        <v/>
      </c>
      <c r="S547" s="3">
        <f>'Historical Data'!AE544</f>
        <v/>
      </c>
      <c r="T547" s="3">
        <f>'Historical Data'!AH544</f>
        <v/>
      </c>
      <c r="U547" s="3">
        <f>'Historical Data'!BA544</f>
        <v/>
      </c>
      <c r="V547" s="3" t="n"/>
      <c r="W547" s="3" t="n"/>
      <c r="X547" s="3" t="n"/>
      <c r="Y547" s="3" t="n"/>
      <c r="Z547" s="3" t="n"/>
    </row>
    <row r="548" hidden="1" ht="15.75" customHeight="1" s="174">
      <c r="A548" s="3">
        <f>'Historical Data'!A545</f>
        <v/>
      </c>
      <c r="B548" s="3">
        <f>'Historical Data'!B545</f>
        <v/>
      </c>
      <c r="C548" s="3">
        <f>'Historical Data'!D545</f>
        <v/>
      </c>
      <c r="D548" s="23">
        <f>'Historical Data'!E545</f>
        <v/>
      </c>
      <c r="E548" s="3">
        <f>'Historical Data'!G545</f>
        <v/>
      </c>
      <c r="F548" s="3">
        <f>'Historical Data'!Y545</f>
        <v/>
      </c>
      <c r="G548" s="3">
        <f>'Historical Data'!K545</f>
        <v/>
      </c>
      <c r="H548" s="3">
        <f>'Historical Data'!L545</f>
        <v/>
      </c>
      <c r="I548" s="26">
        <f>'Historical Data'!M545</f>
        <v/>
      </c>
      <c r="J548" s="28">
        <f>'Historical Data'!N545</f>
        <v/>
      </c>
      <c r="K548" s="28">
        <f>'Historical Data'!Q545</f>
        <v/>
      </c>
      <c r="L548" s="30">
        <f>'Historical Data'!S545</f>
        <v/>
      </c>
      <c r="M548" s="28">
        <f>'Historical Data'!AJ545</f>
        <v/>
      </c>
      <c r="N548" s="28">
        <f>'Historical Data'!AK545</f>
        <v/>
      </c>
      <c r="O548" s="3">
        <f>'Historical Data'!AA545</f>
        <v/>
      </c>
      <c r="P548" s="3">
        <f>'Historical Data'!AB545</f>
        <v/>
      </c>
      <c r="Q548" s="3">
        <f>'Historical Data'!AN545</f>
        <v/>
      </c>
      <c r="R548" s="3">
        <f>'Historical Data'!AC545</f>
        <v/>
      </c>
      <c r="S548" s="3">
        <f>'Historical Data'!AE545</f>
        <v/>
      </c>
      <c r="T548" s="3">
        <f>'Historical Data'!AH545</f>
        <v/>
      </c>
      <c r="U548" s="3">
        <f>'Historical Data'!BA545</f>
        <v/>
      </c>
      <c r="V548" s="3" t="n"/>
      <c r="W548" s="3" t="n"/>
      <c r="X548" s="3" t="n"/>
      <c r="Y548" s="3" t="n"/>
      <c r="Z548" s="3" t="n"/>
    </row>
    <row r="549" hidden="1" ht="15.75" customHeight="1" s="174">
      <c r="A549" s="3">
        <f>'Historical Data'!A546</f>
        <v/>
      </c>
      <c r="B549" s="3">
        <f>'Historical Data'!B546</f>
        <v/>
      </c>
      <c r="C549" s="3">
        <f>'Historical Data'!D546</f>
        <v/>
      </c>
      <c r="D549" s="23">
        <f>'Historical Data'!E546</f>
        <v/>
      </c>
      <c r="E549" s="3">
        <f>'Historical Data'!G546</f>
        <v/>
      </c>
      <c r="F549" s="3">
        <f>'Historical Data'!Y546</f>
        <v/>
      </c>
      <c r="G549" s="3">
        <f>'Historical Data'!K546</f>
        <v/>
      </c>
      <c r="H549" s="3">
        <f>'Historical Data'!L546</f>
        <v/>
      </c>
      <c r="I549" s="26">
        <f>'Historical Data'!M546</f>
        <v/>
      </c>
      <c r="J549" s="28">
        <f>'Historical Data'!N546</f>
        <v/>
      </c>
      <c r="K549" s="28">
        <f>'Historical Data'!Q546</f>
        <v/>
      </c>
      <c r="L549" s="30">
        <f>'Historical Data'!S546</f>
        <v/>
      </c>
      <c r="M549" s="28">
        <f>'Historical Data'!AJ546</f>
        <v/>
      </c>
      <c r="N549" s="28">
        <f>'Historical Data'!AK546</f>
        <v/>
      </c>
      <c r="O549" s="3">
        <f>'Historical Data'!AA546</f>
        <v/>
      </c>
      <c r="P549" s="3">
        <f>'Historical Data'!AB546</f>
        <v/>
      </c>
      <c r="Q549" s="3">
        <f>'Historical Data'!AN546</f>
        <v/>
      </c>
      <c r="R549" s="3">
        <f>'Historical Data'!AC546</f>
        <v/>
      </c>
      <c r="S549" s="3">
        <f>'Historical Data'!AE546</f>
        <v/>
      </c>
      <c r="T549" s="3">
        <f>'Historical Data'!AH546</f>
        <v/>
      </c>
      <c r="U549" s="3">
        <f>'Historical Data'!BA546</f>
        <v/>
      </c>
      <c r="V549" s="3" t="n"/>
      <c r="W549" s="3" t="n"/>
      <c r="X549" s="3" t="n"/>
      <c r="Y549" s="3" t="n"/>
      <c r="Z549" s="3" t="n"/>
    </row>
    <row r="550" hidden="1" ht="15.75" customHeight="1" s="174">
      <c r="A550" s="3">
        <f>'Historical Data'!A547</f>
        <v/>
      </c>
      <c r="B550" s="3">
        <f>'Historical Data'!B547</f>
        <v/>
      </c>
      <c r="C550" s="3">
        <f>'Historical Data'!D547</f>
        <v/>
      </c>
      <c r="D550" s="23">
        <f>'Historical Data'!E547</f>
        <v/>
      </c>
      <c r="E550" s="3">
        <f>'Historical Data'!G547</f>
        <v/>
      </c>
      <c r="F550" s="3">
        <f>'Historical Data'!Y547</f>
        <v/>
      </c>
      <c r="G550" s="3">
        <f>'Historical Data'!K547</f>
        <v/>
      </c>
      <c r="H550" s="3">
        <f>'Historical Data'!L547</f>
        <v/>
      </c>
      <c r="I550" s="26">
        <f>'Historical Data'!M547</f>
        <v/>
      </c>
      <c r="J550" s="28">
        <f>'Historical Data'!N547</f>
        <v/>
      </c>
      <c r="K550" s="28">
        <f>'Historical Data'!Q547</f>
        <v/>
      </c>
      <c r="L550" s="30">
        <f>'Historical Data'!S547</f>
        <v/>
      </c>
      <c r="M550" s="28">
        <f>'Historical Data'!AJ547</f>
        <v/>
      </c>
      <c r="N550" s="28">
        <f>'Historical Data'!AK547</f>
        <v/>
      </c>
      <c r="O550" s="3">
        <f>'Historical Data'!AA547</f>
        <v/>
      </c>
      <c r="P550" s="3">
        <f>'Historical Data'!AB547</f>
        <v/>
      </c>
      <c r="Q550" s="3">
        <f>'Historical Data'!AN547</f>
        <v/>
      </c>
      <c r="R550" s="3">
        <f>'Historical Data'!AC547</f>
        <v/>
      </c>
      <c r="S550" s="3">
        <f>'Historical Data'!AE547</f>
        <v/>
      </c>
      <c r="T550" s="3">
        <f>'Historical Data'!AH547</f>
        <v/>
      </c>
      <c r="U550" s="3">
        <f>'Historical Data'!BA547</f>
        <v/>
      </c>
      <c r="V550" s="3" t="n"/>
      <c r="W550" s="3" t="n"/>
      <c r="X550" s="3" t="n"/>
      <c r="Y550" s="3" t="n"/>
      <c r="Z550" s="3" t="n"/>
    </row>
    <row r="551" hidden="1" ht="15.75" customHeight="1" s="174">
      <c r="A551" s="3">
        <f>'Historical Data'!A548</f>
        <v/>
      </c>
      <c r="B551" s="3">
        <f>'Historical Data'!B548</f>
        <v/>
      </c>
      <c r="C551" s="3">
        <f>'Historical Data'!D548</f>
        <v/>
      </c>
      <c r="D551" s="23">
        <f>'Historical Data'!E548</f>
        <v/>
      </c>
      <c r="E551" s="3">
        <f>'Historical Data'!G548</f>
        <v/>
      </c>
      <c r="F551" s="3">
        <f>'Historical Data'!Y548</f>
        <v/>
      </c>
      <c r="G551" s="3">
        <f>'Historical Data'!K548</f>
        <v/>
      </c>
      <c r="H551" s="3">
        <f>'Historical Data'!L548</f>
        <v/>
      </c>
      <c r="I551" s="26">
        <f>'Historical Data'!M548</f>
        <v/>
      </c>
      <c r="J551" s="28">
        <f>'Historical Data'!N548</f>
        <v/>
      </c>
      <c r="K551" s="28">
        <f>'Historical Data'!Q548</f>
        <v/>
      </c>
      <c r="L551" s="30">
        <f>'Historical Data'!S548</f>
        <v/>
      </c>
      <c r="M551" s="28">
        <f>'Historical Data'!AJ548</f>
        <v/>
      </c>
      <c r="N551" s="28">
        <f>'Historical Data'!AK548</f>
        <v/>
      </c>
      <c r="O551" s="3">
        <f>'Historical Data'!AA548</f>
        <v/>
      </c>
      <c r="P551" s="3">
        <f>'Historical Data'!AB548</f>
        <v/>
      </c>
      <c r="Q551" s="3">
        <f>'Historical Data'!AN548</f>
        <v/>
      </c>
      <c r="R551" s="3">
        <f>'Historical Data'!AC548</f>
        <v/>
      </c>
      <c r="S551" s="3">
        <f>'Historical Data'!AE548</f>
        <v/>
      </c>
      <c r="T551" s="3">
        <f>'Historical Data'!AH548</f>
        <v/>
      </c>
      <c r="U551" s="3">
        <f>'Historical Data'!BA548</f>
        <v/>
      </c>
      <c r="V551" s="3" t="n"/>
      <c r="W551" s="3" t="n"/>
      <c r="X551" s="3" t="n"/>
      <c r="Y551" s="3" t="n"/>
      <c r="Z551" s="3" t="n"/>
    </row>
    <row r="552" hidden="1" ht="15.75" customHeight="1" s="174">
      <c r="A552" s="3">
        <f>'Historical Data'!A549</f>
        <v/>
      </c>
      <c r="B552" s="3">
        <f>'Historical Data'!B549</f>
        <v/>
      </c>
      <c r="C552" s="3">
        <f>'Historical Data'!D549</f>
        <v/>
      </c>
      <c r="D552" s="23">
        <f>'Historical Data'!E549</f>
        <v/>
      </c>
      <c r="E552" s="3">
        <f>'Historical Data'!G549</f>
        <v/>
      </c>
      <c r="F552" s="3">
        <f>'Historical Data'!Y549</f>
        <v/>
      </c>
      <c r="G552" s="3">
        <f>'Historical Data'!K549</f>
        <v/>
      </c>
      <c r="H552" s="3">
        <f>'Historical Data'!L549</f>
        <v/>
      </c>
      <c r="I552" s="26">
        <f>'Historical Data'!M549</f>
        <v/>
      </c>
      <c r="J552" s="28">
        <f>'Historical Data'!N549</f>
        <v/>
      </c>
      <c r="K552" s="28">
        <f>'Historical Data'!Q549</f>
        <v/>
      </c>
      <c r="L552" s="30">
        <f>'Historical Data'!S549</f>
        <v/>
      </c>
      <c r="M552" s="28">
        <f>'Historical Data'!AJ549</f>
        <v/>
      </c>
      <c r="N552" s="28">
        <f>'Historical Data'!AK549</f>
        <v/>
      </c>
      <c r="O552" s="3">
        <f>'Historical Data'!AA549</f>
        <v/>
      </c>
      <c r="P552" s="3">
        <f>'Historical Data'!AB549</f>
        <v/>
      </c>
      <c r="Q552" s="3">
        <f>'Historical Data'!AN549</f>
        <v/>
      </c>
      <c r="R552" s="3">
        <f>'Historical Data'!AC549</f>
        <v/>
      </c>
      <c r="S552" s="3">
        <f>'Historical Data'!AE549</f>
        <v/>
      </c>
      <c r="T552" s="3">
        <f>'Historical Data'!AH549</f>
        <v/>
      </c>
      <c r="U552" s="3">
        <f>'Historical Data'!BA549</f>
        <v/>
      </c>
      <c r="V552" s="3" t="n"/>
      <c r="W552" s="3" t="n"/>
      <c r="X552" s="3" t="n"/>
      <c r="Y552" s="3" t="n"/>
      <c r="Z552" s="3" t="n"/>
    </row>
    <row r="553" hidden="1" ht="15.75" customHeight="1" s="174">
      <c r="A553" s="3">
        <f>'Historical Data'!A550</f>
        <v/>
      </c>
      <c r="B553" s="3">
        <f>'Historical Data'!B550</f>
        <v/>
      </c>
      <c r="C553" s="3">
        <f>'Historical Data'!D550</f>
        <v/>
      </c>
      <c r="D553" s="23">
        <f>'Historical Data'!E550</f>
        <v/>
      </c>
      <c r="E553" s="3">
        <f>'Historical Data'!G550</f>
        <v/>
      </c>
      <c r="F553" s="3">
        <f>'Historical Data'!Y550</f>
        <v/>
      </c>
      <c r="G553" s="3">
        <f>'Historical Data'!K550</f>
        <v/>
      </c>
      <c r="H553" s="3">
        <f>'Historical Data'!L550</f>
        <v/>
      </c>
      <c r="I553" s="26">
        <f>'Historical Data'!M550</f>
        <v/>
      </c>
      <c r="J553" s="28">
        <f>'Historical Data'!N550</f>
        <v/>
      </c>
      <c r="K553" s="28">
        <f>'Historical Data'!Q550</f>
        <v/>
      </c>
      <c r="L553" s="30">
        <f>'Historical Data'!S550</f>
        <v/>
      </c>
      <c r="M553" s="28">
        <f>'Historical Data'!AJ550</f>
        <v/>
      </c>
      <c r="N553" s="28">
        <f>'Historical Data'!AK550</f>
        <v/>
      </c>
      <c r="O553" s="3">
        <f>'Historical Data'!AA550</f>
        <v/>
      </c>
      <c r="P553" s="3">
        <f>'Historical Data'!AB550</f>
        <v/>
      </c>
      <c r="Q553" s="3">
        <f>'Historical Data'!AN550</f>
        <v/>
      </c>
      <c r="R553" s="3">
        <f>'Historical Data'!AC550</f>
        <v/>
      </c>
      <c r="S553" s="3">
        <f>'Historical Data'!AE550</f>
        <v/>
      </c>
      <c r="T553" s="3">
        <f>'Historical Data'!AH550</f>
        <v/>
      </c>
      <c r="U553" s="3">
        <f>'Historical Data'!BA550</f>
        <v/>
      </c>
      <c r="V553" s="3" t="n"/>
      <c r="W553" s="3" t="n"/>
      <c r="X553" s="3" t="n"/>
      <c r="Y553" s="3" t="n"/>
      <c r="Z553" s="3" t="n"/>
    </row>
    <row r="554" ht="15.75" customHeight="1" s="174">
      <c r="A554" s="3">
        <f>'Historical Data'!A551</f>
        <v/>
      </c>
      <c r="B554" s="3">
        <f>'Historical Data'!B551</f>
        <v/>
      </c>
      <c r="C554" s="3">
        <f>'Historical Data'!D551</f>
        <v/>
      </c>
      <c r="D554" s="23">
        <f>'Historical Data'!E551</f>
        <v/>
      </c>
      <c r="E554" s="3">
        <f>'Historical Data'!G551</f>
        <v/>
      </c>
      <c r="F554" s="3">
        <f>'Historical Data'!Y551</f>
        <v/>
      </c>
      <c r="G554" s="3">
        <f>'Historical Data'!K551</f>
        <v/>
      </c>
      <c r="H554" s="3">
        <f>'Historical Data'!L551</f>
        <v/>
      </c>
      <c r="I554" s="26">
        <f>'Historical Data'!M551</f>
        <v/>
      </c>
      <c r="J554" s="28">
        <f>'Historical Data'!N551</f>
        <v/>
      </c>
      <c r="K554" s="28">
        <f>'Historical Data'!Q551</f>
        <v/>
      </c>
      <c r="L554" s="30">
        <f>'Historical Data'!S551</f>
        <v/>
      </c>
      <c r="M554" s="28">
        <f>'Historical Data'!AJ551</f>
        <v/>
      </c>
      <c r="N554" s="28">
        <f>'Historical Data'!AK551</f>
        <v/>
      </c>
      <c r="O554" s="3">
        <f>'Historical Data'!AA551</f>
        <v/>
      </c>
      <c r="P554" s="3">
        <f>'Historical Data'!AB551</f>
        <v/>
      </c>
      <c r="Q554" s="3">
        <f>'Historical Data'!AN551</f>
        <v/>
      </c>
      <c r="R554" s="3">
        <f>'Historical Data'!AC551</f>
        <v/>
      </c>
      <c r="S554" s="3">
        <f>'Historical Data'!AE551</f>
        <v/>
      </c>
      <c r="T554" s="3">
        <f>'Historical Data'!AH551</f>
        <v/>
      </c>
      <c r="U554" s="3">
        <f>'Historical Data'!BA551</f>
        <v/>
      </c>
      <c r="V554" s="3" t="n"/>
      <c r="W554" s="3" t="n"/>
      <c r="X554" s="3" t="n"/>
      <c r="Y554" s="3" t="n"/>
      <c r="Z554" s="3" t="n"/>
    </row>
    <row r="555" hidden="1" ht="15.75" customHeight="1" s="174">
      <c r="A555" s="3">
        <f>'Historical Data'!A552</f>
        <v/>
      </c>
      <c r="B555" s="3">
        <f>'Historical Data'!B552</f>
        <v/>
      </c>
      <c r="C555" s="3">
        <f>'Historical Data'!D552</f>
        <v/>
      </c>
      <c r="D555" s="23">
        <f>'Historical Data'!E552</f>
        <v/>
      </c>
      <c r="E555" s="3">
        <f>'Historical Data'!G552</f>
        <v/>
      </c>
      <c r="F555" s="3">
        <f>'Historical Data'!Y552</f>
        <v/>
      </c>
      <c r="G555" s="3">
        <f>'Historical Data'!K552</f>
        <v/>
      </c>
      <c r="H555" s="3">
        <f>'Historical Data'!L552</f>
        <v/>
      </c>
      <c r="I555" s="26">
        <f>'Historical Data'!M552</f>
        <v/>
      </c>
      <c r="J555" s="28">
        <f>'Historical Data'!N552</f>
        <v/>
      </c>
      <c r="K555" s="28">
        <f>'Historical Data'!Q552</f>
        <v/>
      </c>
      <c r="L555" s="30">
        <f>'Historical Data'!S552</f>
        <v/>
      </c>
      <c r="M555" s="28">
        <f>'Historical Data'!AJ552</f>
        <v/>
      </c>
      <c r="N555" s="28">
        <f>'Historical Data'!AK552</f>
        <v/>
      </c>
      <c r="O555" s="3">
        <f>'Historical Data'!AA552</f>
        <v/>
      </c>
      <c r="P555" s="3">
        <f>'Historical Data'!AB552</f>
        <v/>
      </c>
      <c r="Q555" s="3">
        <f>'Historical Data'!AN552</f>
        <v/>
      </c>
      <c r="R555" s="3">
        <f>'Historical Data'!AC552</f>
        <v/>
      </c>
      <c r="S555" s="3">
        <f>'Historical Data'!AE552</f>
        <v/>
      </c>
      <c r="T555" s="3">
        <f>'Historical Data'!AH552</f>
        <v/>
      </c>
      <c r="U555" s="3">
        <f>'Historical Data'!BA552</f>
        <v/>
      </c>
      <c r="V555" s="3" t="n"/>
      <c r="W555" s="3" t="n"/>
      <c r="X555" s="3" t="n"/>
      <c r="Y555" s="3" t="n"/>
      <c r="Z555" s="3" t="n"/>
    </row>
    <row r="556" hidden="1" ht="15.75" customHeight="1" s="174">
      <c r="A556" s="3">
        <f>'Historical Data'!A553</f>
        <v/>
      </c>
      <c r="B556" s="3">
        <f>'Historical Data'!B553</f>
        <v/>
      </c>
      <c r="C556" s="3">
        <f>'Historical Data'!D553</f>
        <v/>
      </c>
      <c r="D556" s="23">
        <f>'Historical Data'!E553</f>
        <v/>
      </c>
      <c r="E556" s="3">
        <f>'Historical Data'!G553</f>
        <v/>
      </c>
      <c r="F556" s="3">
        <f>'Historical Data'!Y553</f>
        <v/>
      </c>
      <c r="G556" s="3">
        <f>'Historical Data'!K553</f>
        <v/>
      </c>
      <c r="H556" s="3">
        <f>'Historical Data'!L553</f>
        <v/>
      </c>
      <c r="I556" s="26">
        <f>'Historical Data'!M553</f>
        <v/>
      </c>
      <c r="J556" s="28">
        <f>'Historical Data'!N553</f>
        <v/>
      </c>
      <c r="K556" s="28">
        <f>'Historical Data'!Q553</f>
        <v/>
      </c>
      <c r="L556" s="30">
        <f>'Historical Data'!S553</f>
        <v/>
      </c>
      <c r="M556" s="28">
        <f>'Historical Data'!AJ553</f>
        <v/>
      </c>
      <c r="N556" s="28">
        <f>'Historical Data'!AK553</f>
        <v/>
      </c>
      <c r="O556" s="3">
        <f>'Historical Data'!AA553</f>
        <v/>
      </c>
      <c r="P556" s="3">
        <f>'Historical Data'!AB553</f>
        <v/>
      </c>
      <c r="Q556" s="3">
        <f>'Historical Data'!AN553</f>
        <v/>
      </c>
      <c r="R556" s="3">
        <f>'Historical Data'!AC553</f>
        <v/>
      </c>
      <c r="S556" s="3">
        <f>'Historical Data'!AE553</f>
        <v/>
      </c>
      <c r="T556" s="3">
        <f>'Historical Data'!AH553</f>
        <v/>
      </c>
      <c r="U556" s="3">
        <f>'Historical Data'!BA553</f>
        <v/>
      </c>
      <c r="V556" s="3" t="n"/>
      <c r="W556" s="3" t="n"/>
      <c r="X556" s="3" t="n"/>
      <c r="Y556" s="3" t="n"/>
      <c r="Z556" s="3" t="n"/>
    </row>
    <row r="557" hidden="1" ht="15.75" customHeight="1" s="174">
      <c r="A557" s="3">
        <f>'Historical Data'!A554</f>
        <v/>
      </c>
      <c r="B557" s="3">
        <f>'Historical Data'!B554</f>
        <v/>
      </c>
      <c r="C557" s="3">
        <f>'Historical Data'!D554</f>
        <v/>
      </c>
      <c r="D557" s="23">
        <f>'Historical Data'!E554</f>
        <v/>
      </c>
      <c r="E557" s="3">
        <f>'Historical Data'!G554</f>
        <v/>
      </c>
      <c r="F557" s="3">
        <f>'Historical Data'!Y554</f>
        <v/>
      </c>
      <c r="G557" s="3">
        <f>'Historical Data'!K554</f>
        <v/>
      </c>
      <c r="H557" s="3">
        <f>'Historical Data'!L554</f>
        <v/>
      </c>
      <c r="I557" s="26">
        <f>'Historical Data'!M554</f>
        <v/>
      </c>
      <c r="J557" s="28">
        <f>'Historical Data'!N554</f>
        <v/>
      </c>
      <c r="K557" s="28">
        <f>'Historical Data'!Q554</f>
        <v/>
      </c>
      <c r="L557" s="30">
        <f>'Historical Data'!S554</f>
        <v/>
      </c>
      <c r="M557" s="28">
        <f>'Historical Data'!AJ554</f>
        <v/>
      </c>
      <c r="N557" s="28">
        <f>'Historical Data'!AK554</f>
        <v/>
      </c>
      <c r="O557" s="3">
        <f>'Historical Data'!AA554</f>
        <v/>
      </c>
      <c r="P557" s="3">
        <f>'Historical Data'!AB554</f>
        <v/>
      </c>
      <c r="Q557" s="3">
        <f>'Historical Data'!AN554</f>
        <v/>
      </c>
      <c r="R557" s="3">
        <f>'Historical Data'!AC554</f>
        <v/>
      </c>
      <c r="S557" s="3">
        <f>'Historical Data'!AE554</f>
        <v/>
      </c>
      <c r="T557" s="3">
        <f>'Historical Data'!AH554</f>
        <v/>
      </c>
      <c r="U557" s="3">
        <f>'Historical Data'!BA554</f>
        <v/>
      </c>
      <c r="V557" s="3" t="n"/>
      <c r="W557" s="3" t="n"/>
      <c r="X557" s="3" t="n"/>
      <c r="Y557" s="3" t="n"/>
      <c r="Z557" s="3" t="n"/>
    </row>
    <row r="558" hidden="1" ht="15.75" customHeight="1" s="174">
      <c r="A558" s="3">
        <f>'Historical Data'!A555</f>
        <v/>
      </c>
      <c r="B558" s="3">
        <f>'Historical Data'!B555</f>
        <v/>
      </c>
      <c r="C558" s="3">
        <f>'Historical Data'!D555</f>
        <v/>
      </c>
      <c r="D558" s="23">
        <f>'Historical Data'!E555</f>
        <v/>
      </c>
      <c r="E558" s="3">
        <f>'Historical Data'!G555</f>
        <v/>
      </c>
      <c r="F558" s="3">
        <f>'Historical Data'!Y555</f>
        <v/>
      </c>
      <c r="G558" s="3">
        <f>'Historical Data'!K555</f>
        <v/>
      </c>
      <c r="H558" s="3">
        <f>'Historical Data'!L555</f>
        <v/>
      </c>
      <c r="I558" s="26">
        <f>'Historical Data'!M555</f>
        <v/>
      </c>
      <c r="J558" s="28">
        <f>'Historical Data'!N555</f>
        <v/>
      </c>
      <c r="K558" s="28">
        <f>'Historical Data'!Q555</f>
        <v/>
      </c>
      <c r="L558" s="30">
        <f>'Historical Data'!S555</f>
        <v/>
      </c>
      <c r="M558" s="28">
        <f>'Historical Data'!AJ555</f>
        <v/>
      </c>
      <c r="N558" s="28">
        <f>'Historical Data'!AK555</f>
        <v/>
      </c>
      <c r="O558" s="3">
        <f>'Historical Data'!AA555</f>
        <v/>
      </c>
      <c r="P558" s="3">
        <f>'Historical Data'!AB555</f>
        <v/>
      </c>
      <c r="Q558" s="3">
        <f>'Historical Data'!AN555</f>
        <v/>
      </c>
      <c r="R558" s="3">
        <f>'Historical Data'!AC555</f>
        <v/>
      </c>
      <c r="S558" s="3">
        <f>'Historical Data'!AE555</f>
        <v/>
      </c>
      <c r="T558" s="3">
        <f>'Historical Data'!AH555</f>
        <v/>
      </c>
      <c r="U558" s="3">
        <f>'Historical Data'!BA555</f>
        <v/>
      </c>
      <c r="V558" s="3" t="n"/>
      <c r="W558" s="3" t="n"/>
      <c r="X558" s="3" t="n"/>
      <c r="Y558" s="3" t="n"/>
      <c r="Z558" s="3" t="n"/>
    </row>
    <row r="559" hidden="1" ht="15.75" customHeight="1" s="174">
      <c r="A559" s="3">
        <f>'Historical Data'!A556</f>
        <v/>
      </c>
      <c r="B559" s="3">
        <f>'Historical Data'!B556</f>
        <v/>
      </c>
      <c r="C559" s="3">
        <f>'Historical Data'!D556</f>
        <v/>
      </c>
      <c r="D559" s="23">
        <f>'Historical Data'!E556</f>
        <v/>
      </c>
      <c r="E559" s="3">
        <f>'Historical Data'!G556</f>
        <v/>
      </c>
      <c r="F559" s="3">
        <f>'Historical Data'!Y556</f>
        <v/>
      </c>
      <c r="G559" s="3">
        <f>'Historical Data'!K556</f>
        <v/>
      </c>
      <c r="H559" s="3">
        <f>'Historical Data'!L556</f>
        <v/>
      </c>
      <c r="I559" s="26">
        <f>'Historical Data'!M556</f>
        <v/>
      </c>
      <c r="J559" s="28">
        <f>'Historical Data'!N556</f>
        <v/>
      </c>
      <c r="K559" s="28">
        <f>'Historical Data'!Q556</f>
        <v/>
      </c>
      <c r="L559" s="30">
        <f>'Historical Data'!S556</f>
        <v/>
      </c>
      <c r="M559" s="28">
        <f>'Historical Data'!AJ556</f>
        <v/>
      </c>
      <c r="N559" s="28">
        <f>'Historical Data'!AK556</f>
        <v/>
      </c>
      <c r="O559" s="3">
        <f>'Historical Data'!AA556</f>
        <v/>
      </c>
      <c r="P559" s="3">
        <f>'Historical Data'!AB556</f>
        <v/>
      </c>
      <c r="Q559" s="3">
        <f>'Historical Data'!AN556</f>
        <v/>
      </c>
      <c r="R559" s="3">
        <f>'Historical Data'!AC556</f>
        <v/>
      </c>
      <c r="S559" s="3">
        <f>'Historical Data'!AE556</f>
        <v/>
      </c>
      <c r="T559" s="3">
        <f>'Historical Data'!AH556</f>
        <v/>
      </c>
      <c r="U559" s="3">
        <f>'Historical Data'!BA556</f>
        <v/>
      </c>
      <c r="V559" s="3" t="n"/>
      <c r="W559" s="3" t="n"/>
      <c r="X559" s="3" t="n"/>
      <c r="Y559" s="3" t="n"/>
      <c r="Z559" s="3" t="n"/>
    </row>
    <row r="560" hidden="1" ht="15.75" customHeight="1" s="174">
      <c r="A560" s="3">
        <f>'Historical Data'!A557</f>
        <v/>
      </c>
      <c r="B560" s="3">
        <f>'Historical Data'!B557</f>
        <v/>
      </c>
      <c r="C560" s="3">
        <f>'Historical Data'!D557</f>
        <v/>
      </c>
      <c r="D560" s="23">
        <f>'Historical Data'!E557</f>
        <v/>
      </c>
      <c r="E560" s="3">
        <f>'Historical Data'!G557</f>
        <v/>
      </c>
      <c r="F560" s="3">
        <f>'Historical Data'!Y557</f>
        <v/>
      </c>
      <c r="G560" s="3">
        <f>'Historical Data'!K557</f>
        <v/>
      </c>
      <c r="H560" s="3">
        <f>'Historical Data'!L557</f>
        <v/>
      </c>
      <c r="I560" s="26">
        <f>'Historical Data'!M557</f>
        <v/>
      </c>
      <c r="J560" s="28">
        <f>'Historical Data'!N557</f>
        <v/>
      </c>
      <c r="K560" s="28">
        <f>'Historical Data'!Q557</f>
        <v/>
      </c>
      <c r="L560" s="30">
        <f>'Historical Data'!S557</f>
        <v/>
      </c>
      <c r="M560" s="28">
        <f>'Historical Data'!AJ557</f>
        <v/>
      </c>
      <c r="N560" s="28">
        <f>'Historical Data'!AK557</f>
        <v/>
      </c>
      <c r="O560" s="3">
        <f>'Historical Data'!AA557</f>
        <v/>
      </c>
      <c r="P560" s="3">
        <f>'Historical Data'!AB557</f>
        <v/>
      </c>
      <c r="Q560" s="3">
        <f>'Historical Data'!AN557</f>
        <v/>
      </c>
      <c r="R560" s="3">
        <f>'Historical Data'!AC557</f>
        <v/>
      </c>
      <c r="S560" s="3">
        <f>'Historical Data'!AE557</f>
        <v/>
      </c>
      <c r="T560" s="3">
        <f>'Historical Data'!AH557</f>
        <v/>
      </c>
      <c r="U560" s="3">
        <f>'Historical Data'!BA557</f>
        <v/>
      </c>
      <c r="V560" s="3" t="n"/>
      <c r="W560" s="3" t="n"/>
      <c r="X560" s="3" t="n"/>
      <c r="Y560" s="3" t="n"/>
      <c r="Z560" s="3" t="n"/>
    </row>
    <row r="561" hidden="1" ht="15.75" customHeight="1" s="174">
      <c r="A561" s="3">
        <f>'Historical Data'!A558</f>
        <v/>
      </c>
      <c r="B561" s="3">
        <f>'Historical Data'!B558</f>
        <v/>
      </c>
      <c r="C561" s="3">
        <f>'Historical Data'!D558</f>
        <v/>
      </c>
      <c r="D561" s="23">
        <f>'Historical Data'!E558</f>
        <v/>
      </c>
      <c r="E561" s="3">
        <f>'Historical Data'!G558</f>
        <v/>
      </c>
      <c r="F561" s="3">
        <f>'Historical Data'!Y558</f>
        <v/>
      </c>
      <c r="G561" s="3">
        <f>'Historical Data'!K558</f>
        <v/>
      </c>
      <c r="H561" s="3">
        <f>'Historical Data'!L558</f>
        <v/>
      </c>
      <c r="I561" s="26">
        <f>'Historical Data'!M558</f>
        <v/>
      </c>
      <c r="J561" s="28">
        <f>'Historical Data'!N558</f>
        <v/>
      </c>
      <c r="K561" s="28">
        <f>'Historical Data'!Q558</f>
        <v/>
      </c>
      <c r="L561" s="30">
        <f>'Historical Data'!S558</f>
        <v/>
      </c>
      <c r="M561" s="28">
        <f>'Historical Data'!AJ558</f>
        <v/>
      </c>
      <c r="N561" s="28">
        <f>'Historical Data'!AK558</f>
        <v/>
      </c>
      <c r="O561" s="3">
        <f>'Historical Data'!AA558</f>
        <v/>
      </c>
      <c r="P561" s="3">
        <f>'Historical Data'!AB558</f>
        <v/>
      </c>
      <c r="Q561" s="3">
        <f>'Historical Data'!AN558</f>
        <v/>
      </c>
      <c r="R561" s="3">
        <f>'Historical Data'!AC558</f>
        <v/>
      </c>
      <c r="S561" s="3">
        <f>'Historical Data'!AE558</f>
        <v/>
      </c>
      <c r="T561" s="3">
        <f>'Historical Data'!AH558</f>
        <v/>
      </c>
      <c r="U561" s="3">
        <f>'Historical Data'!BA558</f>
        <v/>
      </c>
      <c r="V561" s="3" t="n"/>
      <c r="W561" s="3" t="n"/>
      <c r="X561" s="3" t="n"/>
      <c r="Y561" s="3" t="n"/>
      <c r="Z561" s="3" t="n"/>
    </row>
    <row r="562" hidden="1" ht="15.75" customHeight="1" s="174">
      <c r="A562" s="3">
        <f>'Historical Data'!A559</f>
        <v/>
      </c>
      <c r="B562" s="3">
        <f>'Historical Data'!B559</f>
        <v/>
      </c>
      <c r="C562" s="3">
        <f>'Historical Data'!D559</f>
        <v/>
      </c>
      <c r="D562" s="23">
        <f>'Historical Data'!E559</f>
        <v/>
      </c>
      <c r="E562" s="3">
        <f>'Historical Data'!G559</f>
        <v/>
      </c>
      <c r="F562" s="3">
        <f>'Historical Data'!Y559</f>
        <v/>
      </c>
      <c r="G562" s="3">
        <f>'Historical Data'!K559</f>
        <v/>
      </c>
      <c r="H562" s="3">
        <f>'Historical Data'!L559</f>
        <v/>
      </c>
      <c r="I562" s="26">
        <f>'Historical Data'!M559</f>
        <v/>
      </c>
      <c r="J562" s="28">
        <f>'Historical Data'!N559</f>
        <v/>
      </c>
      <c r="K562" s="28">
        <f>'Historical Data'!Q559</f>
        <v/>
      </c>
      <c r="L562" s="30">
        <f>'Historical Data'!S559</f>
        <v/>
      </c>
      <c r="M562" s="28">
        <f>'Historical Data'!AJ559</f>
        <v/>
      </c>
      <c r="N562" s="28">
        <f>'Historical Data'!AK559</f>
        <v/>
      </c>
      <c r="O562" s="3">
        <f>'Historical Data'!AA559</f>
        <v/>
      </c>
      <c r="P562" s="3">
        <f>'Historical Data'!AB559</f>
        <v/>
      </c>
      <c r="Q562" s="3">
        <f>'Historical Data'!AN559</f>
        <v/>
      </c>
      <c r="R562" s="3">
        <f>'Historical Data'!AC559</f>
        <v/>
      </c>
      <c r="S562" s="3">
        <f>'Historical Data'!AE559</f>
        <v/>
      </c>
      <c r="T562" s="3">
        <f>'Historical Data'!AH559</f>
        <v/>
      </c>
      <c r="U562" s="3">
        <f>'Historical Data'!BA559</f>
        <v/>
      </c>
      <c r="V562" s="3" t="n"/>
      <c r="W562" s="3" t="n"/>
      <c r="X562" s="3" t="n"/>
      <c r="Y562" s="3" t="n"/>
      <c r="Z562" s="3" t="n"/>
    </row>
    <row r="563" hidden="1" ht="15.75" customHeight="1" s="174">
      <c r="A563" s="3">
        <f>'Historical Data'!A560</f>
        <v/>
      </c>
      <c r="B563" s="3">
        <f>'Historical Data'!B560</f>
        <v/>
      </c>
      <c r="C563" s="3">
        <f>'Historical Data'!D560</f>
        <v/>
      </c>
      <c r="D563" s="23">
        <f>'Historical Data'!E560</f>
        <v/>
      </c>
      <c r="E563" s="3">
        <f>'Historical Data'!G560</f>
        <v/>
      </c>
      <c r="F563" s="3">
        <f>'Historical Data'!Y560</f>
        <v/>
      </c>
      <c r="G563" s="3">
        <f>'Historical Data'!K560</f>
        <v/>
      </c>
      <c r="H563" s="3">
        <f>'Historical Data'!L560</f>
        <v/>
      </c>
      <c r="I563" s="26">
        <f>'Historical Data'!M560</f>
        <v/>
      </c>
      <c r="J563" s="28">
        <f>'Historical Data'!N560</f>
        <v/>
      </c>
      <c r="K563" s="28">
        <f>'Historical Data'!Q560</f>
        <v/>
      </c>
      <c r="L563" s="30">
        <f>'Historical Data'!S560</f>
        <v/>
      </c>
      <c r="M563" s="28">
        <f>'Historical Data'!AJ560</f>
        <v/>
      </c>
      <c r="N563" s="28">
        <f>'Historical Data'!AK560</f>
        <v/>
      </c>
      <c r="O563" s="3">
        <f>'Historical Data'!AA560</f>
        <v/>
      </c>
      <c r="P563" s="3">
        <f>'Historical Data'!AB560</f>
        <v/>
      </c>
      <c r="Q563" s="3">
        <f>'Historical Data'!AN560</f>
        <v/>
      </c>
      <c r="R563" s="3">
        <f>'Historical Data'!AC560</f>
        <v/>
      </c>
      <c r="S563" s="3">
        <f>'Historical Data'!AE560</f>
        <v/>
      </c>
      <c r="T563" s="3">
        <f>'Historical Data'!AH560</f>
        <v/>
      </c>
      <c r="U563" s="3">
        <f>'Historical Data'!BA560</f>
        <v/>
      </c>
      <c r="V563" s="3" t="n"/>
      <c r="W563" s="3" t="n"/>
      <c r="X563" s="3" t="n"/>
      <c r="Y563" s="3" t="n"/>
      <c r="Z563" s="3" t="n"/>
    </row>
    <row r="564" hidden="1" ht="15.75" customHeight="1" s="174">
      <c r="A564" s="3">
        <f>'Historical Data'!A561</f>
        <v/>
      </c>
      <c r="B564" s="3">
        <f>'Historical Data'!B561</f>
        <v/>
      </c>
      <c r="C564" s="3">
        <f>'Historical Data'!D561</f>
        <v/>
      </c>
      <c r="D564" s="23">
        <f>'Historical Data'!E561</f>
        <v/>
      </c>
      <c r="E564" s="3">
        <f>'Historical Data'!G561</f>
        <v/>
      </c>
      <c r="F564" s="3">
        <f>'Historical Data'!Y561</f>
        <v/>
      </c>
      <c r="G564" s="3">
        <f>'Historical Data'!K561</f>
        <v/>
      </c>
      <c r="H564" s="3">
        <f>'Historical Data'!L561</f>
        <v/>
      </c>
      <c r="I564" s="26">
        <f>'Historical Data'!M561</f>
        <v/>
      </c>
      <c r="J564" s="28">
        <f>'Historical Data'!N561</f>
        <v/>
      </c>
      <c r="K564" s="28">
        <f>'Historical Data'!Q561</f>
        <v/>
      </c>
      <c r="L564" s="30">
        <f>'Historical Data'!S561</f>
        <v/>
      </c>
      <c r="M564" s="28">
        <f>'Historical Data'!AJ561</f>
        <v/>
      </c>
      <c r="N564" s="28">
        <f>'Historical Data'!AK561</f>
        <v/>
      </c>
      <c r="O564" s="3">
        <f>'Historical Data'!AA561</f>
        <v/>
      </c>
      <c r="P564" s="3">
        <f>'Historical Data'!AB561</f>
        <v/>
      </c>
      <c r="Q564" s="3">
        <f>'Historical Data'!AN561</f>
        <v/>
      </c>
      <c r="R564" s="3">
        <f>'Historical Data'!AC561</f>
        <v/>
      </c>
      <c r="S564" s="3">
        <f>'Historical Data'!AE561</f>
        <v/>
      </c>
      <c r="T564" s="3">
        <f>'Historical Data'!AH561</f>
        <v/>
      </c>
      <c r="U564" s="3">
        <f>'Historical Data'!BA561</f>
        <v/>
      </c>
      <c r="V564" s="3" t="n"/>
      <c r="W564" s="3" t="n"/>
      <c r="X564" s="3" t="n"/>
      <c r="Y564" s="3" t="n"/>
      <c r="Z564" s="3" t="n"/>
    </row>
    <row r="565" hidden="1" ht="15.75" customHeight="1" s="174">
      <c r="A565" s="3">
        <f>'Historical Data'!A562</f>
        <v/>
      </c>
      <c r="B565" s="3">
        <f>'Historical Data'!B562</f>
        <v/>
      </c>
      <c r="C565" s="3">
        <f>'Historical Data'!D562</f>
        <v/>
      </c>
      <c r="D565" s="23">
        <f>'Historical Data'!E562</f>
        <v/>
      </c>
      <c r="E565" s="3">
        <f>'Historical Data'!G562</f>
        <v/>
      </c>
      <c r="F565" s="3">
        <f>'Historical Data'!Y562</f>
        <v/>
      </c>
      <c r="G565" s="3">
        <f>'Historical Data'!K562</f>
        <v/>
      </c>
      <c r="H565" s="3">
        <f>'Historical Data'!L562</f>
        <v/>
      </c>
      <c r="I565" s="26">
        <f>'Historical Data'!M562</f>
        <v/>
      </c>
      <c r="J565" s="28">
        <f>'Historical Data'!N562</f>
        <v/>
      </c>
      <c r="K565" s="28">
        <f>'Historical Data'!Q562</f>
        <v/>
      </c>
      <c r="L565" s="30">
        <f>'Historical Data'!S562</f>
        <v/>
      </c>
      <c r="M565" s="28">
        <f>'Historical Data'!AJ562</f>
        <v/>
      </c>
      <c r="N565" s="28">
        <f>'Historical Data'!AK562</f>
        <v/>
      </c>
      <c r="O565" s="3">
        <f>'Historical Data'!AA562</f>
        <v/>
      </c>
      <c r="P565" s="3">
        <f>'Historical Data'!AB562</f>
        <v/>
      </c>
      <c r="Q565" s="3">
        <f>'Historical Data'!AN562</f>
        <v/>
      </c>
      <c r="R565" s="3">
        <f>'Historical Data'!AC562</f>
        <v/>
      </c>
      <c r="S565" s="3">
        <f>'Historical Data'!AE562</f>
        <v/>
      </c>
      <c r="T565" s="3">
        <f>'Historical Data'!AH562</f>
        <v/>
      </c>
      <c r="U565" s="3">
        <f>'Historical Data'!BA562</f>
        <v/>
      </c>
      <c r="V565" s="3" t="n"/>
      <c r="W565" s="3" t="n"/>
      <c r="X565" s="3" t="n"/>
      <c r="Y565" s="3" t="n"/>
      <c r="Z565" s="3" t="n"/>
    </row>
    <row r="566" hidden="1" ht="15.75" customHeight="1" s="174">
      <c r="A566" s="3">
        <f>'Historical Data'!A563</f>
        <v/>
      </c>
      <c r="B566" s="3">
        <f>'Historical Data'!B563</f>
        <v/>
      </c>
      <c r="C566" s="3">
        <f>'Historical Data'!D563</f>
        <v/>
      </c>
      <c r="D566" s="23">
        <f>'Historical Data'!E563</f>
        <v/>
      </c>
      <c r="E566" s="3">
        <f>'Historical Data'!G563</f>
        <v/>
      </c>
      <c r="F566" s="3">
        <f>'Historical Data'!Y563</f>
        <v/>
      </c>
      <c r="G566" s="3">
        <f>'Historical Data'!K563</f>
        <v/>
      </c>
      <c r="H566" s="3">
        <f>'Historical Data'!L563</f>
        <v/>
      </c>
      <c r="I566" s="26">
        <f>'Historical Data'!M563</f>
        <v/>
      </c>
      <c r="J566" s="28">
        <f>'Historical Data'!N563</f>
        <v/>
      </c>
      <c r="K566" s="28">
        <f>'Historical Data'!Q563</f>
        <v/>
      </c>
      <c r="L566" s="30">
        <f>'Historical Data'!S563</f>
        <v/>
      </c>
      <c r="M566" s="28">
        <f>'Historical Data'!AJ563</f>
        <v/>
      </c>
      <c r="N566" s="28">
        <f>'Historical Data'!AK563</f>
        <v/>
      </c>
      <c r="O566" s="3">
        <f>'Historical Data'!AA563</f>
        <v/>
      </c>
      <c r="P566" s="3">
        <f>'Historical Data'!AB563</f>
        <v/>
      </c>
      <c r="Q566" s="3">
        <f>'Historical Data'!AN563</f>
        <v/>
      </c>
      <c r="R566" s="3">
        <f>'Historical Data'!AC563</f>
        <v/>
      </c>
      <c r="S566" s="3">
        <f>'Historical Data'!AE563</f>
        <v/>
      </c>
      <c r="T566" s="3">
        <f>'Historical Data'!AH563</f>
        <v/>
      </c>
      <c r="U566" s="3">
        <f>'Historical Data'!BA563</f>
        <v/>
      </c>
      <c r="V566" s="3" t="n"/>
      <c r="W566" s="3" t="n"/>
      <c r="X566" s="3" t="n"/>
      <c r="Y566" s="3" t="n"/>
      <c r="Z566" s="3" t="n"/>
    </row>
    <row r="567" hidden="1" ht="15.75" customHeight="1" s="174">
      <c r="A567" s="3">
        <f>'Historical Data'!A564</f>
        <v/>
      </c>
      <c r="B567" s="3">
        <f>'Historical Data'!B564</f>
        <v/>
      </c>
      <c r="C567" s="3">
        <f>'Historical Data'!D564</f>
        <v/>
      </c>
      <c r="D567" s="23">
        <f>'Historical Data'!E564</f>
        <v/>
      </c>
      <c r="E567" s="3">
        <f>'Historical Data'!G564</f>
        <v/>
      </c>
      <c r="F567" s="3">
        <f>'Historical Data'!Y564</f>
        <v/>
      </c>
      <c r="G567" s="3">
        <f>'Historical Data'!K564</f>
        <v/>
      </c>
      <c r="H567" s="3">
        <f>'Historical Data'!L564</f>
        <v/>
      </c>
      <c r="I567" s="26">
        <f>'Historical Data'!M564</f>
        <v/>
      </c>
      <c r="J567" s="28">
        <f>'Historical Data'!N564</f>
        <v/>
      </c>
      <c r="K567" s="28">
        <f>'Historical Data'!Q564</f>
        <v/>
      </c>
      <c r="L567" s="30">
        <f>'Historical Data'!S564</f>
        <v/>
      </c>
      <c r="M567" s="28">
        <f>'Historical Data'!AJ564</f>
        <v/>
      </c>
      <c r="N567" s="28">
        <f>'Historical Data'!AK564</f>
        <v/>
      </c>
      <c r="O567" s="3">
        <f>'Historical Data'!AA564</f>
        <v/>
      </c>
      <c r="P567" s="3">
        <f>'Historical Data'!AB564</f>
        <v/>
      </c>
      <c r="Q567" s="3">
        <f>'Historical Data'!AN564</f>
        <v/>
      </c>
      <c r="R567" s="3">
        <f>'Historical Data'!AC564</f>
        <v/>
      </c>
      <c r="S567" s="3">
        <f>'Historical Data'!AE564</f>
        <v/>
      </c>
      <c r="T567" s="3">
        <f>'Historical Data'!AH564</f>
        <v/>
      </c>
      <c r="U567" s="3">
        <f>'Historical Data'!BA564</f>
        <v/>
      </c>
      <c r="V567" s="3" t="n"/>
      <c r="W567" s="3" t="n"/>
      <c r="X567" s="3" t="n"/>
      <c r="Y567" s="3" t="n"/>
      <c r="Z567" s="3" t="n"/>
    </row>
    <row r="568" hidden="1" ht="15.75" customHeight="1" s="174">
      <c r="A568" s="3">
        <f>'Historical Data'!A565</f>
        <v/>
      </c>
      <c r="B568" s="3">
        <f>'Historical Data'!B565</f>
        <v/>
      </c>
      <c r="C568" s="3">
        <f>'Historical Data'!D565</f>
        <v/>
      </c>
      <c r="D568" s="23">
        <f>'Historical Data'!E565</f>
        <v/>
      </c>
      <c r="E568" s="3">
        <f>'Historical Data'!G565</f>
        <v/>
      </c>
      <c r="F568" s="3">
        <f>'Historical Data'!Y565</f>
        <v/>
      </c>
      <c r="G568" s="3">
        <f>'Historical Data'!K565</f>
        <v/>
      </c>
      <c r="H568" s="3">
        <f>'Historical Data'!L565</f>
        <v/>
      </c>
      <c r="I568" s="26">
        <f>'Historical Data'!M565</f>
        <v/>
      </c>
      <c r="J568" s="28">
        <f>'Historical Data'!N565</f>
        <v/>
      </c>
      <c r="K568" s="28">
        <f>'Historical Data'!Q565</f>
        <v/>
      </c>
      <c r="L568" s="30">
        <f>'Historical Data'!S565</f>
        <v/>
      </c>
      <c r="M568" s="28">
        <f>'Historical Data'!AJ565</f>
        <v/>
      </c>
      <c r="N568" s="28">
        <f>'Historical Data'!AK565</f>
        <v/>
      </c>
      <c r="O568" s="3">
        <f>'Historical Data'!AA565</f>
        <v/>
      </c>
      <c r="P568" s="3">
        <f>'Historical Data'!AB565</f>
        <v/>
      </c>
      <c r="Q568" s="3">
        <f>'Historical Data'!AN565</f>
        <v/>
      </c>
      <c r="R568" s="3">
        <f>'Historical Data'!AC565</f>
        <v/>
      </c>
      <c r="S568" s="3">
        <f>'Historical Data'!AE565</f>
        <v/>
      </c>
      <c r="T568" s="3">
        <f>'Historical Data'!AH565</f>
        <v/>
      </c>
      <c r="U568" s="3">
        <f>'Historical Data'!BA565</f>
        <v/>
      </c>
      <c r="V568" s="3" t="n"/>
      <c r="W568" s="3" t="n"/>
      <c r="X568" s="3" t="n"/>
      <c r="Y568" s="3" t="n"/>
      <c r="Z568" s="3" t="n"/>
    </row>
    <row r="569" hidden="1" ht="15.75" customHeight="1" s="174">
      <c r="A569" s="3">
        <f>'Historical Data'!A566</f>
        <v/>
      </c>
      <c r="B569" s="3">
        <f>'Historical Data'!B566</f>
        <v/>
      </c>
      <c r="C569" s="3">
        <f>'Historical Data'!D566</f>
        <v/>
      </c>
      <c r="D569" s="23">
        <f>'Historical Data'!E566</f>
        <v/>
      </c>
      <c r="E569" s="3">
        <f>'Historical Data'!G566</f>
        <v/>
      </c>
      <c r="F569" s="3">
        <f>'Historical Data'!Y566</f>
        <v/>
      </c>
      <c r="G569" s="3">
        <f>'Historical Data'!K566</f>
        <v/>
      </c>
      <c r="H569" s="3">
        <f>'Historical Data'!L566</f>
        <v/>
      </c>
      <c r="I569" s="26">
        <f>'Historical Data'!M566</f>
        <v/>
      </c>
      <c r="J569" s="28">
        <f>'Historical Data'!N566</f>
        <v/>
      </c>
      <c r="K569" s="28">
        <f>'Historical Data'!Q566</f>
        <v/>
      </c>
      <c r="L569" s="30">
        <f>'Historical Data'!S566</f>
        <v/>
      </c>
      <c r="M569" s="28">
        <f>'Historical Data'!AJ566</f>
        <v/>
      </c>
      <c r="N569" s="28">
        <f>'Historical Data'!AK566</f>
        <v/>
      </c>
      <c r="O569" s="3">
        <f>'Historical Data'!AA566</f>
        <v/>
      </c>
      <c r="P569" s="3">
        <f>'Historical Data'!AB566</f>
        <v/>
      </c>
      <c r="Q569" s="3">
        <f>'Historical Data'!AN566</f>
        <v/>
      </c>
      <c r="R569" s="3">
        <f>'Historical Data'!AC566</f>
        <v/>
      </c>
      <c r="S569" s="3">
        <f>'Historical Data'!AE566</f>
        <v/>
      </c>
      <c r="T569" s="3">
        <f>'Historical Data'!AH566</f>
        <v/>
      </c>
      <c r="U569" s="3">
        <f>'Historical Data'!BA566</f>
        <v/>
      </c>
      <c r="V569" s="3" t="n"/>
      <c r="W569" s="3" t="n"/>
      <c r="X569" s="3" t="n"/>
      <c r="Y569" s="3" t="n"/>
      <c r="Z569" s="3" t="n"/>
    </row>
    <row r="570" hidden="1" ht="15.75" customHeight="1" s="174">
      <c r="A570" s="3">
        <f>'Historical Data'!A567</f>
        <v/>
      </c>
      <c r="B570" s="3">
        <f>'Historical Data'!B567</f>
        <v/>
      </c>
      <c r="C570" s="3">
        <f>'Historical Data'!D567</f>
        <v/>
      </c>
      <c r="D570" s="23">
        <f>'Historical Data'!E567</f>
        <v/>
      </c>
      <c r="E570" s="3">
        <f>'Historical Data'!G567</f>
        <v/>
      </c>
      <c r="F570" s="3">
        <f>'Historical Data'!Y567</f>
        <v/>
      </c>
      <c r="G570" s="3">
        <f>'Historical Data'!K567</f>
        <v/>
      </c>
      <c r="H570" s="3">
        <f>'Historical Data'!L567</f>
        <v/>
      </c>
      <c r="I570" s="26">
        <f>'Historical Data'!M567</f>
        <v/>
      </c>
      <c r="J570" s="28">
        <f>'Historical Data'!N567</f>
        <v/>
      </c>
      <c r="K570" s="28">
        <f>'Historical Data'!Q567</f>
        <v/>
      </c>
      <c r="L570" s="30">
        <f>'Historical Data'!S567</f>
        <v/>
      </c>
      <c r="M570" s="28">
        <f>'Historical Data'!AJ567</f>
        <v/>
      </c>
      <c r="N570" s="28">
        <f>'Historical Data'!AK567</f>
        <v/>
      </c>
      <c r="O570" s="3">
        <f>'Historical Data'!AA567</f>
        <v/>
      </c>
      <c r="P570" s="3">
        <f>'Historical Data'!AB567</f>
        <v/>
      </c>
      <c r="Q570" s="3">
        <f>'Historical Data'!AN567</f>
        <v/>
      </c>
      <c r="R570" s="3">
        <f>'Historical Data'!AC567</f>
        <v/>
      </c>
      <c r="S570" s="3">
        <f>'Historical Data'!AE567</f>
        <v/>
      </c>
      <c r="T570" s="3">
        <f>'Historical Data'!AH567</f>
        <v/>
      </c>
      <c r="U570" s="3">
        <f>'Historical Data'!BA567</f>
        <v/>
      </c>
      <c r="V570" s="3" t="n"/>
      <c r="W570" s="3" t="n"/>
      <c r="X570" s="3" t="n"/>
      <c r="Y570" s="3" t="n"/>
      <c r="Z570" s="3" t="n"/>
    </row>
    <row r="571" ht="15.75" customHeight="1" s="174">
      <c r="A571" s="3">
        <f>'Historical Data'!A568</f>
        <v/>
      </c>
      <c r="B571" s="3">
        <f>'Historical Data'!B568</f>
        <v/>
      </c>
      <c r="C571" s="3">
        <f>'Historical Data'!D568</f>
        <v/>
      </c>
      <c r="D571" s="23">
        <f>'Historical Data'!E568</f>
        <v/>
      </c>
      <c r="E571" s="3">
        <f>'Historical Data'!G568</f>
        <v/>
      </c>
      <c r="F571" s="3">
        <f>'Historical Data'!Y568</f>
        <v/>
      </c>
      <c r="G571" s="3">
        <f>'Historical Data'!K568</f>
        <v/>
      </c>
      <c r="H571" s="3">
        <f>'Historical Data'!L568</f>
        <v/>
      </c>
      <c r="I571" s="26">
        <f>'Historical Data'!M568</f>
        <v/>
      </c>
      <c r="J571" s="28">
        <f>'Historical Data'!N568</f>
        <v/>
      </c>
      <c r="K571" s="28">
        <f>'Historical Data'!Q568</f>
        <v/>
      </c>
      <c r="L571" s="30">
        <f>'Historical Data'!S568</f>
        <v/>
      </c>
      <c r="M571" s="28">
        <f>'Historical Data'!AJ568</f>
        <v/>
      </c>
      <c r="N571" s="28">
        <f>'Historical Data'!AK568</f>
        <v/>
      </c>
      <c r="O571" s="3">
        <f>'Historical Data'!AA568</f>
        <v/>
      </c>
      <c r="P571" s="3">
        <f>'Historical Data'!AB568</f>
        <v/>
      </c>
      <c r="Q571" s="3">
        <f>'Historical Data'!AN568</f>
        <v/>
      </c>
      <c r="R571" s="3">
        <f>'Historical Data'!AC568</f>
        <v/>
      </c>
      <c r="S571" s="3">
        <f>'Historical Data'!AE568</f>
        <v/>
      </c>
      <c r="T571" s="3">
        <f>'Historical Data'!AH568</f>
        <v/>
      </c>
      <c r="U571" s="3">
        <f>'Historical Data'!BA568</f>
        <v/>
      </c>
      <c r="V571" s="3" t="n"/>
      <c r="W571" s="3" t="n"/>
      <c r="X571" s="3" t="n"/>
      <c r="Y571" s="3" t="n"/>
      <c r="Z571" s="3" t="n"/>
    </row>
    <row r="572" hidden="1" ht="15.75" customHeight="1" s="174">
      <c r="A572" s="3">
        <f>'Historical Data'!A569</f>
        <v/>
      </c>
      <c r="B572" s="3">
        <f>'Historical Data'!B569</f>
        <v/>
      </c>
      <c r="C572" s="3">
        <f>'Historical Data'!D569</f>
        <v/>
      </c>
      <c r="D572" s="23">
        <f>'Historical Data'!E569</f>
        <v/>
      </c>
      <c r="E572" s="3">
        <f>'Historical Data'!G569</f>
        <v/>
      </c>
      <c r="F572" s="3">
        <f>'Historical Data'!Y569</f>
        <v/>
      </c>
      <c r="G572" s="3">
        <f>'Historical Data'!K569</f>
        <v/>
      </c>
      <c r="H572" s="3">
        <f>'Historical Data'!L569</f>
        <v/>
      </c>
      <c r="I572" s="26">
        <f>'Historical Data'!M569</f>
        <v/>
      </c>
      <c r="J572" s="28">
        <f>'Historical Data'!N569</f>
        <v/>
      </c>
      <c r="K572" s="28">
        <f>'Historical Data'!Q569</f>
        <v/>
      </c>
      <c r="L572" s="30">
        <f>'Historical Data'!S569</f>
        <v/>
      </c>
      <c r="M572" s="28">
        <f>'Historical Data'!AJ569</f>
        <v/>
      </c>
      <c r="N572" s="28">
        <f>'Historical Data'!AK569</f>
        <v/>
      </c>
      <c r="O572" s="3">
        <f>'Historical Data'!AA569</f>
        <v/>
      </c>
      <c r="P572" s="3">
        <f>'Historical Data'!AB569</f>
        <v/>
      </c>
      <c r="Q572" s="3">
        <f>'Historical Data'!AN569</f>
        <v/>
      </c>
      <c r="R572" s="3">
        <f>'Historical Data'!AC569</f>
        <v/>
      </c>
      <c r="S572" s="3">
        <f>'Historical Data'!AE569</f>
        <v/>
      </c>
      <c r="T572" s="3">
        <f>'Historical Data'!AH569</f>
        <v/>
      </c>
      <c r="U572" s="3">
        <f>'Historical Data'!BA569</f>
        <v/>
      </c>
      <c r="V572" s="3" t="n"/>
      <c r="W572" s="3" t="n"/>
      <c r="X572" s="3" t="n"/>
      <c r="Y572" s="3" t="n"/>
      <c r="Z572" s="3" t="n"/>
    </row>
    <row r="573" hidden="1" ht="15.75" customHeight="1" s="174">
      <c r="A573" s="3">
        <f>'Historical Data'!A570</f>
        <v/>
      </c>
      <c r="B573" s="3">
        <f>'Historical Data'!B570</f>
        <v/>
      </c>
      <c r="C573" s="3">
        <f>'Historical Data'!D570</f>
        <v/>
      </c>
      <c r="D573" s="23">
        <f>'Historical Data'!E570</f>
        <v/>
      </c>
      <c r="E573" s="3">
        <f>'Historical Data'!G570</f>
        <v/>
      </c>
      <c r="F573" s="3">
        <f>'Historical Data'!Y570</f>
        <v/>
      </c>
      <c r="G573" s="3">
        <f>'Historical Data'!K570</f>
        <v/>
      </c>
      <c r="H573" s="3">
        <f>'Historical Data'!L570</f>
        <v/>
      </c>
      <c r="I573" s="26">
        <f>'Historical Data'!M570</f>
        <v/>
      </c>
      <c r="J573" s="28">
        <f>'Historical Data'!N570</f>
        <v/>
      </c>
      <c r="K573" s="28">
        <f>'Historical Data'!Q570</f>
        <v/>
      </c>
      <c r="L573" s="30">
        <f>'Historical Data'!S570</f>
        <v/>
      </c>
      <c r="M573" s="28">
        <f>'Historical Data'!AJ570</f>
        <v/>
      </c>
      <c r="N573" s="28">
        <f>'Historical Data'!AK570</f>
        <v/>
      </c>
      <c r="O573" s="3">
        <f>'Historical Data'!AA570</f>
        <v/>
      </c>
      <c r="P573" s="3">
        <f>'Historical Data'!AB570</f>
        <v/>
      </c>
      <c r="Q573" s="3">
        <f>'Historical Data'!AN570</f>
        <v/>
      </c>
      <c r="R573" s="3">
        <f>'Historical Data'!AC570</f>
        <v/>
      </c>
      <c r="S573" s="3">
        <f>'Historical Data'!AE570</f>
        <v/>
      </c>
      <c r="T573" s="3">
        <f>'Historical Data'!AH570</f>
        <v/>
      </c>
      <c r="U573" s="3">
        <f>'Historical Data'!BA570</f>
        <v/>
      </c>
      <c r="V573" s="3" t="n"/>
      <c r="W573" s="3" t="n"/>
      <c r="X573" s="3" t="n"/>
      <c r="Y573" s="3" t="n"/>
      <c r="Z573" s="3" t="n"/>
    </row>
    <row r="574" hidden="1" ht="15.75" customHeight="1" s="174">
      <c r="A574" s="3">
        <f>'Historical Data'!A571</f>
        <v/>
      </c>
      <c r="B574" s="3">
        <f>'Historical Data'!B571</f>
        <v/>
      </c>
      <c r="C574" s="3">
        <f>'Historical Data'!D571</f>
        <v/>
      </c>
      <c r="D574" s="23">
        <f>'Historical Data'!E571</f>
        <v/>
      </c>
      <c r="E574" s="3">
        <f>'Historical Data'!G571</f>
        <v/>
      </c>
      <c r="F574" s="3">
        <f>'Historical Data'!Y571</f>
        <v/>
      </c>
      <c r="G574" s="3">
        <f>'Historical Data'!K571</f>
        <v/>
      </c>
      <c r="H574" s="3">
        <f>'Historical Data'!L571</f>
        <v/>
      </c>
      <c r="I574" s="26">
        <f>'Historical Data'!M571</f>
        <v/>
      </c>
      <c r="J574" s="28">
        <f>'Historical Data'!N571</f>
        <v/>
      </c>
      <c r="K574" s="28">
        <f>'Historical Data'!Q571</f>
        <v/>
      </c>
      <c r="L574" s="30">
        <f>'Historical Data'!S571</f>
        <v/>
      </c>
      <c r="M574" s="28">
        <f>'Historical Data'!AJ571</f>
        <v/>
      </c>
      <c r="N574" s="28">
        <f>'Historical Data'!AK571</f>
        <v/>
      </c>
      <c r="O574" s="3">
        <f>'Historical Data'!AA571</f>
        <v/>
      </c>
      <c r="P574" s="3">
        <f>'Historical Data'!AB571</f>
        <v/>
      </c>
      <c r="Q574" s="3">
        <f>'Historical Data'!AN571</f>
        <v/>
      </c>
      <c r="R574" s="3">
        <f>'Historical Data'!AC571</f>
        <v/>
      </c>
      <c r="S574" s="3">
        <f>'Historical Data'!AE571</f>
        <v/>
      </c>
      <c r="T574" s="3">
        <f>'Historical Data'!AH571</f>
        <v/>
      </c>
      <c r="U574" s="3">
        <f>'Historical Data'!BA571</f>
        <v/>
      </c>
      <c r="V574" s="3" t="n"/>
      <c r="W574" s="3" t="n"/>
      <c r="X574" s="3" t="n"/>
      <c r="Y574" s="3" t="n"/>
      <c r="Z574" s="3" t="n"/>
    </row>
    <row r="575" hidden="1" ht="15.75" customHeight="1" s="174">
      <c r="A575" s="3">
        <f>'Historical Data'!A572</f>
        <v/>
      </c>
      <c r="B575" s="3">
        <f>'Historical Data'!B572</f>
        <v/>
      </c>
      <c r="C575" s="3">
        <f>'Historical Data'!D572</f>
        <v/>
      </c>
      <c r="D575" s="23">
        <f>'Historical Data'!E572</f>
        <v/>
      </c>
      <c r="E575" s="3">
        <f>'Historical Data'!G572</f>
        <v/>
      </c>
      <c r="F575" s="3">
        <f>'Historical Data'!Y572</f>
        <v/>
      </c>
      <c r="G575" s="3">
        <f>'Historical Data'!K572</f>
        <v/>
      </c>
      <c r="H575" s="3">
        <f>'Historical Data'!L572</f>
        <v/>
      </c>
      <c r="I575" s="26">
        <f>'Historical Data'!M572</f>
        <v/>
      </c>
      <c r="J575" s="28">
        <f>'Historical Data'!N572</f>
        <v/>
      </c>
      <c r="K575" s="28">
        <f>'Historical Data'!Q572</f>
        <v/>
      </c>
      <c r="L575" s="30">
        <f>'Historical Data'!S572</f>
        <v/>
      </c>
      <c r="M575" s="28">
        <f>'Historical Data'!AJ572</f>
        <v/>
      </c>
      <c r="N575" s="28">
        <f>'Historical Data'!AK572</f>
        <v/>
      </c>
      <c r="O575" s="3">
        <f>'Historical Data'!AA572</f>
        <v/>
      </c>
      <c r="P575" s="3">
        <f>'Historical Data'!AB572</f>
        <v/>
      </c>
      <c r="Q575" s="3">
        <f>'Historical Data'!AN572</f>
        <v/>
      </c>
      <c r="R575" s="3">
        <f>'Historical Data'!AC572</f>
        <v/>
      </c>
      <c r="S575" s="3">
        <f>'Historical Data'!AE572</f>
        <v/>
      </c>
      <c r="T575" s="3">
        <f>'Historical Data'!AH572</f>
        <v/>
      </c>
      <c r="U575" s="3">
        <f>'Historical Data'!BA572</f>
        <v/>
      </c>
      <c r="V575" s="3" t="n"/>
      <c r="W575" s="3" t="n"/>
      <c r="X575" s="3" t="n"/>
      <c r="Y575" s="3" t="n"/>
      <c r="Z575" s="3" t="n"/>
    </row>
    <row r="576" hidden="1" ht="15.75" customHeight="1" s="174">
      <c r="A576" s="3">
        <f>'Historical Data'!A573</f>
        <v/>
      </c>
      <c r="B576" s="3">
        <f>'Historical Data'!B573</f>
        <v/>
      </c>
      <c r="C576" s="3">
        <f>'Historical Data'!D573</f>
        <v/>
      </c>
      <c r="D576" s="23">
        <f>'Historical Data'!E573</f>
        <v/>
      </c>
      <c r="E576" s="3">
        <f>'Historical Data'!G573</f>
        <v/>
      </c>
      <c r="F576" s="3">
        <f>'Historical Data'!Y573</f>
        <v/>
      </c>
      <c r="G576" s="3">
        <f>'Historical Data'!K573</f>
        <v/>
      </c>
      <c r="H576" s="3">
        <f>'Historical Data'!L573</f>
        <v/>
      </c>
      <c r="I576" s="26">
        <f>'Historical Data'!M573</f>
        <v/>
      </c>
      <c r="J576" s="28">
        <f>'Historical Data'!N573</f>
        <v/>
      </c>
      <c r="K576" s="28">
        <f>'Historical Data'!Q573</f>
        <v/>
      </c>
      <c r="L576" s="30">
        <f>'Historical Data'!S573</f>
        <v/>
      </c>
      <c r="M576" s="28">
        <f>'Historical Data'!AJ573</f>
        <v/>
      </c>
      <c r="N576" s="28">
        <f>'Historical Data'!AK573</f>
        <v/>
      </c>
      <c r="O576" s="3">
        <f>'Historical Data'!AA573</f>
        <v/>
      </c>
      <c r="P576" s="3">
        <f>'Historical Data'!AB573</f>
        <v/>
      </c>
      <c r="Q576" s="3">
        <f>'Historical Data'!AN573</f>
        <v/>
      </c>
      <c r="R576" s="3">
        <f>'Historical Data'!AC573</f>
        <v/>
      </c>
      <c r="S576" s="3">
        <f>'Historical Data'!AE573</f>
        <v/>
      </c>
      <c r="T576" s="3">
        <f>'Historical Data'!AH573</f>
        <v/>
      </c>
      <c r="U576" s="3">
        <f>'Historical Data'!BA573</f>
        <v/>
      </c>
      <c r="V576" s="3" t="n"/>
      <c r="W576" s="3" t="n"/>
      <c r="X576" s="3" t="n"/>
      <c r="Y576" s="3" t="n"/>
      <c r="Z576" s="3" t="n"/>
    </row>
    <row r="577" hidden="1" ht="15.75" customHeight="1" s="174">
      <c r="A577" s="3">
        <f>'Historical Data'!A574</f>
        <v/>
      </c>
      <c r="B577" s="3">
        <f>'Historical Data'!B574</f>
        <v/>
      </c>
      <c r="C577" s="3">
        <f>'Historical Data'!D574</f>
        <v/>
      </c>
      <c r="D577" s="23">
        <f>'Historical Data'!E574</f>
        <v/>
      </c>
      <c r="E577" s="3">
        <f>'Historical Data'!G574</f>
        <v/>
      </c>
      <c r="F577" s="3">
        <f>'Historical Data'!Y574</f>
        <v/>
      </c>
      <c r="G577" s="3">
        <f>'Historical Data'!K574</f>
        <v/>
      </c>
      <c r="H577" s="3">
        <f>'Historical Data'!L574</f>
        <v/>
      </c>
      <c r="I577" s="26">
        <f>'Historical Data'!M574</f>
        <v/>
      </c>
      <c r="J577" s="28">
        <f>'Historical Data'!N574</f>
        <v/>
      </c>
      <c r="K577" s="28">
        <f>'Historical Data'!Q574</f>
        <v/>
      </c>
      <c r="L577" s="30">
        <f>'Historical Data'!S574</f>
        <v/>
      </c>
      <c r="M577" s="28">
        <f>'Historical Data'!AJ574</f>
        <v/>
      </c>
      <c r="N577" s="28">
        <f>'Historical Data'!AK574</f>
        <v/>
      </c>
      <c r="O577" s="3">
        <f>'Historical Data'!AA574</f>
        <v/>
      </c>
      <c r="P577" s="3">
        <f>'Historical Data'!AB574</f>
        <v/>
      </c>
      <c r="Q577" s="3">
        <f>'Historical Data'!AN574</f>
        <v/>
      </c>
      <c r="R577" s="3">
        <f>'Historical Data'!AC574</f>
        <v/>
      </c>
      <c r="S577" s="3">
        <f>'Historical Data'!AE574</f>
        <v/>
      </c>
      <c r="T577" s="3">
        <f>'Historical Data'!AH574</f>
        <v/>
      </c>
      <c r="U577" s="3">
        <f>'Historical Data'!BA574</f>
        <v/>
      </c>
      <c r="V577" s="3" t="n"/>
      <c r="W577" s="3" t="n"/>
      <c r="X577" s="3" t="n"/>
      <c r="Y577" s="3" t="n"/>
      <c r="Z577" s="3" t="n"/>
    </row>
    <row r="578" hidden="1" ht="15.75" customHeight="1" s="174">
      <c r="A578" s="3">
        <f>'Historical Data'!A575</f>
        <v/>
      </c>
      <c r="B578" s="3">
        <f>'Historical Data'!B575</f>
        <v/>
      </c>
      <c r="C578" s="3">
        <f>'Historical Data'!D575</f>
        <v/>
      </c>
      <c r="D578" s="23">
        <f>'Historical Data'!E575</f>
        <v/>
      </c>
      <c r="E578" s="3">
        <f>'Historical Data'!G575</f>
        <v/>
      </c>
      <c r="F578" s="3">
        <f>'Historical Data'!Y575</f>
        <v/>
      </c>
      <c r="G578" s="3">
        <f>'Historical Data'!K575</f>
        <v/>
      </c>
      <c r="H578" s="3">
        <f>'Historical Data'!L575</f>
        <v/>
      </c>
      <c r="I578" s="26">
        <f>'Historical Data'!M575</f>
        <v/>
      </c>
      <c r="J578" s="28">
        <f>'Historical Data'!N575</f>
        <v/>
      </c>
      <c r="K578" s="28">
        <f>'Historical Data'!Q575</f>
        <v/>
      </c>
      <c r="L578" s="30">
        <f>'Historical Data'!S575</f>
        <v/>
      </c>
      <c r="M578" s="28">
        <f>'Historical Data'!AJ575</f>
        <v/>
      </c>
      <c r="N578" s="28">
        <f>'Historical Data'!AK575</f>
        <v/>
      </c>
      <c r="O578" s="3">
        <f>'Historical Data'!AA575</f>
        <v/>
      </c>
      <c r="P578" s="3">
        <f>'Historical Data'!AB575</f>
        <v/>
      </c>
      <c r="Q578" s="3">
        <f>'Historical Data'!AN575</f>
        <v/>
      </c>
      <c r="R578" s="3">
        <f>'Historical Data'!AC575</f>
        <v/>
      </c>
      <c r="S578" s="3">
        <f>'Historical Data'!AE575</f>
        <v/>
      </c>
      <c r="T578" s="3">
        <f>'Historical Data'!AH575</f>
        <v/>
      </c>
      <c r="U578" s="3">
        <f>'Historical Data'!BA575</f>
        <v/>
      </c>
      <c r="V578" s="3" t="n"/>
      <c r="W578" s="3" t="n"/>
      <c r="X578" s="3" t="n"/>
      <c r="Y578" s="3" t="n"/>
      <c r="Z578" s="3" t="n"/>
    </row>
    <row r="579" hidden="1" ht="15.75" customHeight="1" s="174">
      <c r="A579" s="3">
        <f>'Historical Data'!A576</f>
        <v/>
      </c>
      <c r="B579" s="3">
        <f>'Historical Data'!B576</f>
        <v/>
      </c>
      <c r="C579" s="3">
        <f>'Historical Data'!D576</f>
        <v/>
      </c>
      <c r="D579" s="23">
        <f>'Historical Data'!E576</f>
        <v/>
      </c>
      <c r="E579" s="3">
        <f>'Historical Data'!G576</f>
        <v/>
      </c>
      <c r="F579" s="3">
        <f>'Historical Data'!Y576</f>
        <v/>
      </c>
      <c r="G579" s="3">
        <f>'Historical Data'!K576</f>
        <v/>
      </c>
      <c r="H579" s="3">
        <f>'Historical Data'!L576</f>
        <v/>
      </c>
      <c r="I579" s="26">
        <f>'Historical Data'!M576</f>
        <v/>
      </c>
      <c r="J579" s="28">
        <f>'Historical Data'!N576</f>
        <v/>
      </c>
      <c r="K579" s="28">
        <f>'Historical Data'!Q576</f>
        <v/>
      </c>
      <c r="L579" s="30">
        <f>'Historical Data'!S576</f>
        <v/>
      </c>
      <c r="M579" s="28">
        <f>'Historical Data'!AJ576</f>
        <v/>
      </c>
      <c r="N579" s="28">
        <f>'Historical Data'!AK576</f>
        <v/>
      </c>
      <c r="O579" s="3">
        <f>'Historical Data'!AA576</f>
        <v/>
      </c>
      <c r="P579" s="3">
        <f>'Historical Data'!AB576</f>
        <v/>
      </c>
      <c r="Q579" s="3">
        <f>'Historical Data'!AN576</f>
        <v/>
      </c>
      <c r="R579" s="3">
        <f>'Historical Data'!AC576</f>
        <v/>
      </c>
      <c r="S579" s="3">
        <f>'Historical Data'!AE576</f>
        <v/>
      </c>
      <c r="T579" s="3">
        <f>'Historical Data'!AH576</f>
        <v/>
      </c>
      <c r="U579" s="3">
        <f>'Historical Data'!BA576</f>
        <v/>
      </c>
      <c r="V579" s="3" t="n"/>
      <c r="W579" s="3" t="n"/>
      <c r="X579" s="3" t="n"/>
      <c r="Y579" s="3" t="n"/>
      <c r="Z579" s="3" t="n"/>
    </row>
    <row r="580" hidden="1" ht="15.75" customHeight="1" s="174">
      <c r="A580" s="3">
        <f>'Historical Data'!A577</f>
        <v/>
      </c>
      <c r="B580" s="3">
        <f>'Historical Data'!B577</f>
        <v/>
      </c>
      <c r="C580" s="3">
        <f>'Historical Data'!D577</f>
        <v/>
      </c>
      <c r="D580" s="23">
        <f>'Historical Data'!E577</f>
        <v/>
      </c>
      <c r="E580" s="3">
        <f>'Historical Data'!G577</f>
        <v/>
      </c>
      <c r="F580" s="3">
        <f>'Historical Data'!Y577</f>
        <v/>
      </c>
      <c r="G580" s="3">
        <f>'Historical Data'!K577</f>
        <v/>
      </c>
      <c r="H580" s="3">
        <f>'Historical Data'!L577</f>
        <v/>
      </c>
      <c r="I580" s="26">
        <f>'Historical Data'!M577</f>
        <v/>
      </c>
      <c r="J580" s="28">
        <f>'Historical Data'!N577</f>
        <v/>
      </c>
      <c r="K580" s="28">
        <f>'Historical Data'!Q577</f>
        <v/>
      </c>
      <c r="L580" s="30">
        <f>'Historical Data'!S577</f>
        <v/>
      </c>
      <c r="M580" s="28">
        <f>'Historical Data'!AJ577</f>
        <v/>
      </c>
      <c r="N580" s="28">
        <f>'Historical Data'!AK577</f>
        <v/>
      </c>
      <c r="O580" s="3">
        <f>'Historical Data'!AA577</f>
        <v/>
      </c>
      <c r="P580" s="3">
        <f>'Historical Data'!AB577</f>
        <v/>
      </c>
      <c r="Q580" s="3">
        <f>'Historical Data'!AN577</f>
        <v/>
      </c>
      <c r="R580" s="3">
        <f>'Historical Data'!AC577</f>
        <v/>
      </c>
      <c r="S580" s="3">
        <f>'Historical Data'!AE577</f>
        <v/>
      </c>
      <c r="T580" s="3">
        <f>'Historical Data'!AH577</f>
        <v/>
      </c>
      <c r="U580" s="3">
        <f>'Historical Data'!BA577</f>
        <v/>
      </c>
      <c r="V580" s="3" t="n"/>
      <c r="W580" s="3" t="n"/>
      <c r="X580" s="3" t="n"/>
      <c r="Y580" s="3" t="n"/>
      <c r="Z580" s="3" t="n"/>
    </row>
    <row r="581" hidden="1" ht="15.75" customHeight="1" s="174">
      <c r="A581" s="3">
        <f>'Historical Data'!A578</f>
        <v/>
      </c>
      <c r="B581" s="3">
        <f>'Historical Data'!B578</f>
        <v/>
      </c>
      <c r="C581" s="3">
        <f>'Historical Data'!D578</f>
        <v/>
      </c>
      <c r="D581" s="23">
        <f>'Historical Data'!E578</f>
        <v/>
      </c>
      <c r="E581" s="3">
        <f>'Historical Data'!G578</f>
        <v/>
      </c>
      <c r="F581" s="3">
        <f>'Historical Data'!Y578</f>
        <v/>
      </c>
      <c r="G581" s="3">
        <f>'Historical Data'!K578</f>
        <v/>
      </c>
      <c r="H581" s="3">
        <f>'Historical Data'!L578</f>
        <v/>
      </c>
      <c r="I581" s="26">
        <f>'Historical Data'!M578</f>
        <v/>
      </c>
      <c r="J581" s="28">
        <f>'Historical Data'!N578</f>
        <v/>
      </c>
      <c r="K581" s="28">
        <f>'Historical Data'!Q578</f>
        <v/>
      </c>
      <c r="L581" s="30">
        <f>'Historical Data'!S578</f>
        <v/>
      </c>
      <c r="M581" s="28">
        <f>'Historical Data'!AJ578</f>
        <v/>
      </c>
      <c r="N581" s="28">
        <f>'Historical Data'!AK578</f>
        <v/>
      </c>
      <c r="O581" s="3">
        <f>'Historical Data'!AA578</f>
        <v/>
      </c>
      <c r="P581" s="3">
        <f>'Historical Data'!AB578</f>
        <v/>
      </c>
      <c r="Q581" s="3">
        <f>'Historical Data'!AN578</f>
        <v/>
      </c>
      <c r="R581" s="3">
        <f>'Historical Data'!AC578</f>
        <v/>
      </c>
      <c r="S581" s="3">
        <f>'Historical Data'!AE578</f>
        <v/>
      </c>
      <c r="T581" s="3">
        <f>'Historical Data'!AH578</f>
        <v/>
      </c>
      <c r="U581" s="3">
        <f>'Historical Data'!BA578</f>
        <v/>
      </c>
      <c r="V581" s="3" t="n"/>
      <c r="W581" s="3" t="n"/>
      <c r="X581" s="3" t="n"/>
      <c r="Y581" s="3" t="n"/>
      <c r="Z581" s="3" t="n"/>
    </row>
    <row r="582" hidden="1" ht="15.75" customHeight="1" s="174">
      <c r="A582" s="3">
        <f>'Historical Data'!A579</f>
        <v/>
      </c>
      <c r="B582" s="3">
        <f>'Historical Data'!B579</f>
        <v/>
      </c>
      <c r="C582" s="3">
        <f>'Historical Data'!D579</f>
        <v/>
      </c>
      <c r="D582" s="23">
        <f>'Historical Data'!E579</f>
        <v/>
      </c>
      <c r="E582" s="3">
        <f>'Historical Data'!G579</f>
        <v/>
      </c>
      <c r="F582" s="3">
        <f>'Historical Data'!Y579</f>
        <v/>
      </c>
      <c r="G582" s="3">
        <f>'Historical Data'!K579</f>
        <v/>
      </c>
      <c r="H582" s="3">
        <f>'Historical Data'!L579</f>
        <v/>
      </c>
      <c r="I582" s="26">
        <f>'Historical Data'!M579</f>
        <v/>
      </c>
      <c r="J582" s="28">
        <f>'Historical Data'!N579</f>
        <v/>
      </c>
      <c r="K582" s="28">
        <f>'Historical Data'!Q579</f>
        <v/>
      </c>
      <c r="L582" s="30">
        <f>'Historical Data'!S579</f>
        <v/>
      </c>
      <c r="M582" s="28">
        <f>'Historical Data'!AJ579</f>
        <v/>
      </c>
      <c r="N582" s="28">
        <f>'Historical Data'!AK579</f>
        <v/>
      </c>
      <c r="O582" s="3">
        <f>'Historical Data'!AA579</f>
        <v/>
      </c>
      <c r="P582" s="3">
        <f>'Historical Data'!AB579</f>
        <v/>
      </c>
      <c r="Q582" s="3">
        <f>'Historical Data'!AN579</f>
        <v/>
      </c>
      <c r="R582" s="3">
        <f>'Historical Data'!AC579</f>
        <v/>
      </c>
      <c r="S582" s="3">
        <f>'Historical Data'!AE579</f>
        <v/>
      </c>
      <c r="T582" s="3">
        <f>'Historical Data'!AH579</f>
        <v/>
      </c>
      <c r="U582" s="3">
        <f>'Historical Data'!BA579</f>
        <v/>
      </c>
      <c r="V582" s="3" t="n"/>
      <c r="W582" s="3" t="n"/>
      <c r="X582" s="3" t="n"/>
      <c r="Y582" s="3" t="n"/>
      <c r="Z582" s="3" t="n"/>
    </row>
    <row r="583" hidden="1" ht="15.75" customHeight="1" s="174">
      <c r="A583" s="3">
        <f>'Historical Data'!A580</f>
        <v/>
      </c>
      <c r="B583" s="3">
        <f>'Historical Data'!B580</f>
        <v/>
      </c>
      <c r="C583" s="3">
        <f>'Historical Data'!D580</f>
        <v/>
      </c>
      <c r="D583" s="23">
        <f>'Historical Data'!E580</f>
        <v/>
      </c>
      <c r="E583" s="3">
        <f>'Historical Data'!G580</f>
        <v/>
      </c>
      <c r="F583" s="3">
        <f>'Historical Data'!Y580</f>
        <v/>
      </c>
      <c r="G583" s="3">
        <f>'Historical Data'!K580</f>
        <v/>
      </c>
      <c r="H583" s="3">
        <f>'Historical Data'!L580</f>
        <v/>
      </c>
      <c r="I583" s="26">
        <f>'Historical Data'!M580</f>
        <v/>
      </c>
      <c r="J583" s="28">
        <f>'Historical Data'!N580</f>
        <v/>
      </c>
      <c r="K583" s="28">
        <f>'Historical Data'!Q580</f>
        <v/>
      </c>
      <c r="L583" s="30">
        <f>'Historical Data'!S580</f>
        <v/>
      </c>
      <c r="M583" s="28">
        <f>'Historical Data'!AJ580</f>
        <v/>
      </c>
      <c r="N583" s="28">
        <f>'Historical Data'!AK580</f>
        <v/>
      </c>
      <c r="O583" s="3">
        <f>'Historical Data'!AA580</f>
        <v/>
      </c>
      <c r="P583" s="3">
        <f>'Historical Data'!AB580</f>
        <v/>
      </c>
      <c r="Q583" s="3">
        <f>'Historical Data'!AN580</f>
        <v/>
      </c>
      <c r="R583" s="3">
        <f>'Historical Data'!AC580</f>
        <v/>
      </c>
      <c r="S583" s="3">
        <f>'Historical Data'!AE580</f>
        <v/>
      </c>
      <c r="T583" s="3">
        <f>'Historical Data'!AH580</f>
        <v/>
      </c>
      <c r="U583" s="3">
        <f>'Historical Data'!BA580</f>
        <v/>
      </c>
      <c r="V583" s="3" t="n"/>
      <c r="W583" s="3" t="n"/>
      <c r="X583" s="3" t="n"/>
      <c r="Y583" s="3" t="n"/>
      <c r="Z583" s="3" t="n"/>
    </row>
    <row r="584" hidden="1" ht="15.75" customHeight="1" s="174">
      <c r="A584" s="3">
        <f>'Historical Data'!A581</f>
        <v/>
      </c>
      <c r="B584" s="3">
        <f>'Historical Data'!B581</f>
        <v/>
      </c>
      <c r="C584" s="3">
        <f>'Historical Data'!D581</f>
        <v/>
      </c>
      <c r="D584" s="23">
        <f>'Historical Data'!E581</f>
        <v/>
      </c>
      <c r="E584" s="3">
        <f>'Historical Data'!G581</f>
        <v/>
      </c>
      <c r="F584" s="3">
        <f>'Historical Data'!Y581</f>
        <v/>
      </c>
      <c r="G584" s="3">
        <f>'Historical Data'!K581</f>
        <v/>
      </c>
      <c r="H584" s="3">
        <f>'Historical Data'!L581</f>
        <v/>
      </c>
      <c r="I584" s="26">
        <f>'Historical Data'!M581</f>
        <v/>
      </c>
      <c r="J584" s="28">
        <f>'Historical Data'!N581</f>
        <v/>
      </c>
      <c r="K584" s="28">
        <f>'Historical Data'!Q581</f>
        <v/>
      </c>
      <c r="L584" s="30">
        <f>'Historical Data'!S581</f>
        <v/>
      </c>
      <c r="M584" s="28">
        <f>'Historical Data'!AJ581</f>
        <v/>
      </c>
      <c r="N584" s="28">
        <f>'Historical Data'!AK581</f>
        <v/>
      </c>
      <c r="O584" s="3">
        <f>'Historical Data'!AA581</f>
        <v/>
      </c>
      <c r="P584" s="3">
        <f>'Historical Data'!AB581</f>
        <v/>
      </c>
      <c r="Q584" s="3">
        <f>'Historical Data'!AN581</f>
        <v/>
      </c>
      <c r="R584" s="3">
        <f>'Historical Data'!AC581</f>
        <v/>
      </c>
      <c r="S584" s="3">
        <f>'Historical Data'!AE581</f>
        <v/>
      </c>
      <c r="T584" s="3">
        <f>'Historical Data'!AH581</f>
        <v/>
      </c>
      <c r="U584" s="3">
        <f>'Historical Data'!BA581</f>
        <v/>
      </c>
      <c r="V584" s="3" t="n"/>
      <c r="W584" s="3" t="n"/>
      <c r="X584" s="3" t="n"/>
      <c r="Y584" s="3" t="n"/>
      <c r="Z584" s="3" t="n"/>
    </row>
    <row r="585" hidden="1" ht="15.75" customHeight="1" s="174">
      <c r="A585" s="3">
        <f>'Historical Data'!A582</f>
        <v/>
      </c>
      <c r="B585" s="3">
        <f>'Historical Data'!B582</f>
        <v/>
      </c>
      <c r="C585" s="3">
        <f>'Historical Data'!D582</f>
        <v/>
      </c>
      <c r="D585" s="23">
        <f>'Historical Data'!E582</f>
        <v/>
      </c>
      <c r="E585" s="3">
        <f>'Historical Data'!G582</f>
        <v/>
      </c>
      <c r="F585" s="3">
        <f>'Historical Data'!Y582</f>
        <v/>
      </c>
      <c r="G585" s="3">
        <f>'Historical Data'!K582</f>
        <v/>
      </c>
      <c r="H585" s="3">
        <f>'Historical Data'!L582</f>
        <v/>
      </c>
      <c r="I585" s="26">
        <f>'Historical Data'!M582</f>
        <v/>
      </c>
      <c r="J585" s="28">
        <f>'Historical Data'!N582</f>
        <v/>
      </c>
      <c r="K585" s="28">
        <f>'Historical Data'!Q582</f>
        <v/>
      </c>
      <c r="L585" s="30">
        <f>'Historical Data'!S582</f>
        <v/>
      </c>
      <c r="M585" s="28">
        <f>'Historical Data'!AJ582</f>
        <v/>
      </c>
      <c r="N585" s="28">
        <f>'Historical Data'!AK582</f>
        <v/>
      </c>
      <c r="O585" s="3">
        <f>'Historical Data'!AA582</f>
        <v/>
      </c>
      <c r="P585" s="3">
        <f>'Historical Data'!AB582</f>
        <v/>
      </c>
      <c r="Q585" s="3">
        <f>'Historical Data'!AN582</f>
        <v/>
      </c>
      <c r="R585" s="3">
        <f>'Historical Data'!AC582</f>
        <v/>
      </c>
      <c r="S585" s="3">
        <f>'Historical Data'!AE582</f>
        <v/>
      </c>
      <c r="T585" s="3">
        <f>'Historical Data'!AH582</f>
        <v/>
      </c>
      <c r="U585" s="3">
        <f>'Historical Data'!BA582</f>
        <v/>
      </c>
      <c r="V585" s="3" t="n"/>
      <c r="W585" s="3" t="n"/>
      <c r="X585" s="3" t="n"/>
      <c r="Y585" s="3" t="n"/>
      <c r="Z585" s="3" t="n"/>
    </row>
    <row r="586" hidden="1" ht="15.75" customHeight="1" s="174">
      <c r="A586" s="3">
        <f>'Historical Data'!A583</f>
        <v/>
      </c>
      <c r="B586" s="3">
        <f>'Historical Data'!B583</f>
        <v/>
      </c>
      <c r="C586" s="3">
        <f>'Historical Data'!D583</f>
        <v/>
      </c>
      <c r="D586" s="23">
        <f>'Historical Data'!E583</f>
        <v/>
      </c>
      <c r="E586" s="3">
        <f>'Historical Data'!G583</f>
        <v/>
      </c>
      <c r="F586" s="3">
        <f>'Historical Data'!Y583</f>
        <v/>
      </c>
      <c r="G586" s="3">
        <f>'Historical Data'!K583</f>
        <v/>
      </c>
      <c r="H586" s="3">
        <f>'Historical Data'!L583</f>
        <v/>
      </c>
      <c r="I586" s="26">
        <f>'Historical Data'!M583</f>
        <v/>
      </c>
      <c r="J586" s="28">
        <f>'Historical Data'!N583</f>
        <v/>
      </c>
      <c r="K586" s="28">
        <f>'Historical Data'!Q583</f>
        <v/>
      </c>
      <c r="L586" s="30">
        <f>'Historical Data'!S583</f>
        <v/>
      </c>
      <c r="M586" s="28">
        <f>'Historical Data'!AJ583</f>
        <v/>
      </c>
      <c r="N586" s="28">
        <f>'Historical Data'!AK583</f>
        <v/>
      </c>
      <c r="O586" s="3">
        <f>'Historical Data'!AA583</f>
        <v/>
      </c>
      <c r="P586" s="3">
        <f>'Historical Data'!AB583</f>
        <v/>
      </c>
      <c r="Q586" s="3">
        <f>'Historical Data'!AN583</f>
        <v/>
      </c>
      <c r="R586" s="3">
        <f>'Historical Data'!AC583</f>
        <v/>
      </c>
      <c r="S586" s="3">
        <f>'Historical Data'!AE583</f>
        <v/>
      </c>
      <c r="T586" s="3">
        <f>'Historical Data'!AH583</f>
        <v/>
      </c>
      <c r="U586" s="3">
        <f>'Historical Data'!BA583</f>
        <v/>
      </c>
      <c r="V586" s="3" t="n"/>
      <c r="W586" s="3" t="n"/>
      <c r="X586" s="3" t="n"/>
      <c r="Y586" s="3" t="n"/>
      <c r="Z586" s="3" t="n"/>
    </row>
    <row r="587" hidden="1" ht="15.75" customHeight="1" s="174">
      <c r="A587" s="3">
        <f>'Historical Data'!A584</f>
        <v/>
      </c>
      <c r="B587" s="3">
        <f>'Historical Data'!B584</f>
        <v/>
      </c>
      <c r="C587" s="3">
        <f>'Historical Data'!D584</f>
        <v/>
      </c>
      <c r="D587" s="23">
        <f>'Historical Data'!E584</f>
        <v/>
      </c>
      <c r="E587" s="3">
        <f>'Historical Data'!G584</f>
        <v/>
      </c>
      <c r="F587" s="3">
        <f>'Historical Data'!Y584</f>
        <v/>
      </c>
      <c r="G587" s="3">
        <f>'Historical Data'!K584</f>
        <v/>
      </c>
      <c r="H587" s="3">
        <f>'Historical Data'!L584</f>
        <v/>
      </c>
      <c r="I587" s="26">
        <f>'Historical Data'!M584</f>
        <v/>
      </c>
      <c r="J587" s="28">
        <f>'Historical Data'!N584</f>
        <v/>
      </c>
      <c r="K587" s="28">
        <f>'Historical Data'!Q584</f>
        <v/>
      </c>
      <c r="L587" s="30">
        <f>'Historical Data'!S584</f>
        <v/>
      </c>
      <c r="M587" s="28">
        <f>'Historical Data'!AJ584</f>
        <v/>
      </c>
      <c r="N587" s="28">
        <f>'Historical Data'!AK584</f>
        <v/>
      </c>
      <c r="O587" s="3">
        <f>'Historical Data'!AA584</f>
        <v/>
      </c>
      <c r="P587" s="3">
        <f>'Historical Data'!AB584</f>
        <v/>
      </c>
      <c r="Q587" s="3">
        <f>'Historical Data'!AN584</f>
        <v/>
      </c>
      <c r="R587" s="3">
        <f>'Historical Data'!AC584</f>
        <v/>
      </c>
      <c r="S587" s="3">
        <f>'Historical Data'!AE584</f>
        <v/>
      </c>
      <c r="T587" s="3">
        <f>'Historical Data'!AH584</f>
        <v/>
      </c>
      <c r="U587" s="3">
        <f>'Historical Data'!BA584</f>
        <v/>
      </c>
      <c r="V587" s="3" t="n"/>
      <c r="W587" s="3" t="n"/>
      <c r="X587" s="3" t="n"/>
      <c r="Y587" s="3" t="n"/>
      <c r="Z587" s="3" t="n"/>
    </row>
    <row r="588" hidden="1" ht="15.75" customHeight="1" s="174">
      <c r="A588" s="3">
        <f>'Historical Data'!A585</f>
        <v/>
      </c>
      <c r="B588" s="3">
        <f>'Historical Data'!B585</f>
        <v/>
      </c>
      <c r="C588" s="3">
        <f>'Historical Data'!D585</f>
        <v/>
      </c>
      <c r="D588" s="23">
        <f>'Historical Data'!E585</f>
        <v/>
      </c>
      <c r="E588" s="3">
        <f>'Historical Data'!G585</f>
        <v/>
      </c>
      <c r="F588" s="3">
        <f>'Historical Data'!Y585</f>
        <v/>
      </c>
      <c r="G588" s="3">
        <f>'Historical Data'!K585</f>
        <v/>
      </c>
      <c r="H588" s="3">
        <f>'Historical Data'!L585</f>
        <v/>
      </c>
      <c r="I588" s="26">
        <f>'Historical Data'!M585</f>
        <v/>
      </c>
      <c r="J588" s="28">
        <f>'Historical Data'!N585</f>
        <v/>
      </c>
      <c r="K588" s="28">
        <f>'Historical Data'!Q585</f>
        <v/>
      </c>
      <c r="L588" s="30">
        <f>'Historical Data'!S585</f>
        <v/>
      </c>
      <c r="M588" s="28">
        <f>'Historical Data'!AJ585</f>
        <v/>
      </c>
      <c r="N588" s="28">
        <f>'Historical Data'!AK585</f>
        <v/>
      </c>
      <c r="O588" s="3">
        <f>'Historical Data'!AA585</f>
        <v/>
      </c>
      <c r="P588" s="3">
        <f>'Historical Data'!AB585</f>
        <v/>
      </c>
      <c r="Q588" s="3">
        <f>'Historical Data'!AN585</f>
        <v/>
      </c>
      <c r="R588" s="3">
        <f>'Historical Data'!AC585</f>
        <v/>
      </c>
      <c r="S588" s="3">
        <f>'Historical Data'!AE585</f>
        <v/>
      </c>
      <c r="T588" s="3">
        <f>'Historical Data'!AH585</f>
        <v/>
      </c>
      <c r="U588" s="3">
        <f>'Historical Data'!BA585</f>
        <v/>
      </c>
      <c r="V588" s="3" t="n"/>
      <c r="W588" s="3" t="n"/>
      <c r="X588" s="3" t="n"/>
      <c r="Y588" s="3" t="n"/>
      <c r="Z588" s="3" t="n"/>
    </row>
    <row r="589" hidden="1" ht="15.75" customHeight="1" s="174">
      <c r="A589" s="3">
        <f>'Historical Data'!A586</f>
        <v/>
      </c>
      <c r="B589" s="3">
        <f>'Historical Data'!B586</f>
        <v/>
      </c>
      <c r="C589" s="3">
        <f>'Historical Data'!D586</f>
        <v/>
      </c>
      <c r="D589" s="23">
        <f>'Historical Data'!E586</f>
        <v/>
      </c>
      <c r="E589" s="3">
        <f>'Historical Data'!G586</f>
        <v/>
      </c>
      <c r="F589" s="3">
        <f>'Historical Data'!Y586</f>
        <v/>
      </c>
      <c r="G589" s="3">
        <f>'Historical Data'!K586</f>
        <v/>
      </c>
      <c r="H589" s="3">
        <f>'Historical Data'!L586</f>
        <v/>
      </c>
      <c r="I589" s="26">
        <f>'Historical Data'!M586</f>
        <v/>
      </c>
      <c r="J589" s="28">
        <f>'Historical Data'!N586</f>
        <v/>
      </c>
      <c r="K589" s="28">
        <f>'Historical Data'!Q586</f>
        <v/>
      </c>
      <c r="L589" s="30">
        <f>'Historical Data'!S586</f>
        <v/>
      </c>
      <c r="M589" s="28">
        <f>'Historical Data'!AJ586</f>
        <v/>
      </c>
      <c r="N589" s="28">
        <f>'Historical Data'!AK586</f>
        <v/>
      </c>
      <c r="O589" s="3">
        <f>'Historical Data'!AA586</f>
        <v/>
      </c>
      <c r="P589" s="3">
        <f>'Historical Data'!AB586</f>
        <v/>
      </c>
      <c r="Q589" s="3">
        <f>'Historical Data'!AN586</f>
        <v/>
      </c>
      <c r="R589" s="3">
        <f>'Historical Data'!AC586</f>
        <v/>
      </c>
      <c r="S589" s="3">
        <f>'Historical Data'!AE586</f>
        <v/>
      </c>
      <c r="T589" s="3">
        <f>'Historical Data'!AH586</f>
        <v/>
      </c>
      <c r="U589" s="3">
        <f>'Historical Data'!BA586</f>
        <v/>
      </c>
      <c r="V589" s="3" t="n"/>
      <c r="W589" s="3" t="n"/>
      <c r="X589" s="3" t="n"/>
      <c r="Y589" s="3" t="n"/>
      <c r="Z589" s="3" t="n"/>
    </row>
    <row r="590" hidden="1" ht="15.75" customHeight="1" s="174">
      <c r="A590" s="3">
        <f>'Historical Data'!A587</f>
        <v/>
      </c>
      <c r="B590" s="3">
        <f>'Historical Data'!B587</f>
        <v/>
      </c>
      <c r="C590" s="3">
        <f>'Historical Data'!D587</f>
        <v/>
      </c>
      <c r="D590" s="23">
        <f>'Historical Data'!E587</f>
        <v/>
      </c>
      <c r="E590" s="3">
        <f>'Historical Data'!G587</f>
        <v/>
      </c>
      <c r="F590" s="3">
        <f>'Historical Data'!Y587</f>
        <v/>
      </c>
      <c r="G590" s="3">
        <f>'Historical Data'!K587</f>
        <v/>
      </c>
      <c r="H590" s="3">
        <f>'Historical Data'!L587</f>
        <v/>
      </c>
      <c r="I590" s="26">
        <f>'Historical Data'!M587</f>
        <v/>
      </c>
      <c r="J590" s="28">
        <f>'Historical Data'!N587</f>
        <v/>
      </c>
      <c r="K590" s="28">
        <f>'Historical Data'!Q587</f>
        <v/>
      </c>
      <c r="L590" s="30">
        <f>'Historical Data'!S587</f>
        <v/>
      </c>
      <c r="M590" s="28">
        <f>'Historical Data'!AJ587</f>
        <v/>
      </c>
      <c r="N590" s="28">
        <f>'Historical Data'!AK587</f>
        <v/>
      </c>
      <c r="O590" s="3">
        <f>'Historical Data'!AA587</f>
        <v/>
      </c>
      <c r="P590" s="3">
        <f>'Historical Data'!AB587</f>
        <v/>
      </c>
      <c r="Q590" s="3">
        <f>'Historical Data'!AN587</f>
        <v/>
      </c>
      <c r="R590" s="3">
        <f>'Historical Data'!AC587</f>
        <v/>
      </c>
      <c r="S590" s="3">
        <f>'Historical Data'!AE587</f>
        <v/>
      </c>
      <c r="T590" s="3">
        <f>'Historical Data'!AH587</f>
        <v/>
      </c>
      <c r="U590" s="3">
        <f>'Historical Data'!BA587</f>
        <v/>
      </c>
      <c r="V590" s="3" t="n"/>
      <c r="W590" s="3" t="n"/>
      <c r="X590" s="3" t="n"/>
      <c r="Y590" s="3" t="n"/>
      <c r="Z590" s="3" t="n"/>
    </row>
    <row r="591" hidden="1" ht="15.75" customHeight="1" s="174">
      <c r="A591" s="3">
        <f>'Historical Data'!A588</f>
        <v/>
      </c>
      <c r="B591" s="3">
        <f>'Historical Data'!B588</f>
        <v/>
      </c>
      <c r="C591" s="3">
        <f>'Historical Data'!D588</f>
        <v/>
      </c>
      <c r="D591" s="23">
        <f>'Historical Data'!E588</f>
        <v/>
      </c>
      <c r="E591" s="3">
        <f>'Historical Data'!G588</f>
        <v/>
      </c>
      <c r="F591" s="3">
        <f>'Historical Data'!Y588</f>
        <v/>
      </c>
      <c r="G591" s="3">
        <f>'Historical Data'!K588</f>
        <v/>
      </c>
      <c r="H591" s="3">
        <f>'Historical Data'!L588</f>
        <v/>
      </c>
      <c r="I591" s="26">
        <f>'Historical Data'!M588</f>
        <v/>
      </c>
      <c r="J591" s="28">
        <f>'Historical Data'!N588</f>
        <v/>
      </c>
      <c r="K591" s="28">
        <f>'Historical Data'!Q588</f>
        <v/>
      </c>
      <c r="L591" s="30">
        <f>'Historical Data'!S588</f>
        <v/>
      </c>
      <c r="M591" s="28">
        <f>'Historical Data'!AJ588</f>
        <v/>
      </c>
      <c r="N591" s="28">
        <f>'Historical Data'!AK588</f>
        <v/>
      </c>
      <c r="O591" s="3">
        <f>'Historical Data'!AA588</f>
        <v/>
      </c>
      <c r="P591" s="3">
        <f>'Historical Data'!AB588</f>
        <v/>
      </c>
      <c r="Q591" s="3">
        <f>'Historical Data'!AN588</f>
        <v/>
      </c>
      <c r="R591" s="3">
        <f>'Historical Data'!AC588</f>
        <v/>
      </c>
      <c r="S591" s="3">
        <f>'Historical Data'!AE588</f>
        <v/>
      </c>
      <c r="T591" s="3">
        <f>'Historical Data'!AH588</f>
        <v/>
      </c>
      <c r="U591" s="3">
        <f>'Historical Data'!BA588</f>
        <v/>
      </c>
      <c r="V591" s="3" t="n"/>
      <c r="W591" s="3" t="n"/>
      <c r="X591" s="3" t="n"/>
      <c r="Y591" s="3" t="n"/>
      <c r="Z591" s="3" t="n"/>
    </row>
    <row r="592" hidden="1" ht="15.75" customHeight="1" s="174">
      <c r="A592" s="3">
        <f>'Historical Data'!A589</f>
        <v/>
      </c>
      <c r="B592" s="3">
        <f>'Historical Data'!B589</f>
        <v/>
      </c>
      <c r="C592" s="3">
        <f>'Historical Data'!D589</f>
        <v/>
      </c>
      <c r="D592" s="23">
        <f>'Historical Data'!E589</f>
        <v/>
      </c>
      <c r="E592" s="3">
        <f>'Historical Data'!G589</f>
        <v/>
      </c>
      <c r="F592" s="3">
        <f>'Historical Data'!Y589</f>
        <v/>
      </c>
      <c r="G592" s="3">
        <f>'Historical Data'!K589</f>
        <v/>
      </c>
      <c r="H592" s="3">
        <f>'Historical Data'!L589</f>
        <v/>
      </c>
      <c r="I592" s="26">
        <f>'Historical Data'!M589</f>
        <v/>
      </c>
      <c r="J592" s="28">
        <f>'Historical Data'!N589</f>
        <v/>
      </c>
      <c r="K592" s="28">
        <f>'Historical Data'!Q589</f>
        <v/>
      </c>
      <c r="L592" s="30">
        <f>'Historical Data'!S589</f>
        <v/>
      </c>
      <c r="M592" s="28">
        <f>'Historical Data'!AJ589</f>
        <v/>
      </c>
      <c r="N592" s="28">
        <f>'Historical Data'!AK589</f>
        <v/>
      </c>
      <c r="O592" s="3">
        <f>'Historical Data'!AA589</f>
        <v/>
      </c>
      <c r="P592" s="3">
        <f>'Historical Data'!AB589</f>
        <v/>
      </c>
      <c r="Q592" s="3">
        <f>'Historical Data'!AN589</f>
        <v/>
      </c>
      <c r="R592" s="3">
        <f>'Historical Data'!AC589</f>
        <v/>
      </c>
      <c r="S592" s="3">
        <f>'Historical Data'!AE589</f>
        <v/>
      </c>
      <c r="T592" s="3">
        <f>'Historical Data'!AH589</f>
        <v/>
      </c>
      <c r="U592" s="3">
        <f>'Historical Data'!BA589</f>
        <v/>
      </c>
      <c r="V592" s="3" t="n"/>
      <c r="W592" s="3" t="n"/>
      <c r="X592" s="3" t="n"/>
      <c r="Y592" s="3" t="n"/>
      <c r="Z592" s="3" t="n"/>
    </row>
    <row r="593" hidden="1" ht="15.75" customHeight="1" s="174">
      <c r="A593" s="3">
        <f>'Historical Data'!A590</f>
        <v/>
      </c>
      <c r="B593" s="3">
        <f>'Historical Data'!B590</f>
        <v/>
      </c>
      <c r="C593" s="3">
        <f>'Historical Data'!D590</f>
        <v/>
      </c>
      <c r="D593" s="23">
        <f>'Historical Data'!E590</f>
        <v/>
      </c>
      <c r="E593" s="3">
        <f>'Historical Data'!G590</f>
        <v/>
      </c>
      <c r="F593" s="3">
        <f>'Historical Data'!Y590</f>
        <v/>
      </c>
      <c r="G593" s="3">
        <f>'Historical Data'!K590</f>
        <v/>
      </c>
      <c r="H593" s="3">
        <f>'Historical Data'!L590</f>
        <v/>
      </c>
      <c r="I593" s="26">
        <f>'Historical Data'!M590</f>
        <v/>
      </c>
      <c r="J593" s="28">
        <f>'Historical Data'!N590</f>
        <v/>
      </c>
      <c r="K593" s="28">
        <f>'Historical Data'!Q590</f>
        <v/>
      </c>
      <c r="L593" s="30">
        <f>'Historical Data'!S590</f>
        <v/>
      </c>
      <c r="M593" s="28">
        <f>'Historical Data'!AJ590</f>
        <v/>
      </c>
      <c r="N593" s="28">
        <f>'Historical Data'!AK590</f>
        <v/>
      </c>
      <c r="O593" s="3">
        <f>'Historical Data'!AA590</f>
        <v/>
      </c>
      <c r="P593" s="3">
        <f>'Historical Data'!AB590</f>
        <v/>
      </c>
      <c r="Q593" s="3">
        <f>'Historical Data'!AN590</f>
        <v/>
      </c>
      <c r="R593" s="3">
        <f>'Historical Data'!AC590</f>
        <v/>
      </c>
      <c r="S593" s="3">
        <f>'Historical Data'!AE590</f>
        <v/>
      </c>
      <c r="T593" s="3">
        <f>'Historical Data'!AH590</f>
        <v/>
      </c>
      <c r="U593" s="3">
        <f>'Historical Data'!BA590</f>
        <v/>
      </c>
      <c r="V593" s="3" t="n"/>
      <c r="W593" s="3" t="n"/>
      <c r="X593" s="3" t="n"/>
      <c r="Y593" s="3" t="n"/>
      <c r="Z593" s="3" t="n"/>
    </row>
    <row r="594" hidden="1" ht="15.75" customHeight="1" s="174">
      <c r="A594" s="3">
        <f>'Historical Data'!A591</f>
        <v/>
      </c>
      <c r="B594" s="3">
        <f>'Historical Data'!B591</f>
        <v/>
      </c>
      <c r="C594" s="3">
        <f>'Historical Data'!D591</f>
        <v/>
      </c>
      <c r="D594" s="23">
        <f>'Historical Data'!E591</f>
        <v/>
      </c>
      <c r="E594" s="3">
        <f>'Historical Data'!G591</f>
        <v/>
      </c>
      <c r="F594" s="3">
        <f>'Historical Data'!Y591</f>
        <v/>
      </c>
      <c r="G594" s="3">
        <f>'Historical Data'!K591</f>
        <v/>
      </c>
      <c r="H594" s="3">
        <f>'Historical Data'!L591</f>
        <v/>
      </c>
      <c r="I594" s="26">
        <f>'Historical Data'!M591</f>
        <v/>
      </c>
      <c r="J594" s="28">
        <f>'Historical Data'!N591</f>
        <v/>
      </c>
      <c r="K594" s="28">
        <f>'Historical Data'!Q591</f>
        <v/>
      </c>
      <c r="L594" s="30">
        <f>'Historical Data'!S591</f>
        <v/>
      </c>
      <c r="M594" s="28">
        <f>'Historical Data'!AJ591</f>
        <v/>
      </c>
      <c r="N594" s="28">
        <f>'Historical Data'!AK591</f>
        <v/>
      </c>
      <c r="O594" s="3">
        <f>'Historical Data'!AA591</f>
        <v/>
      </c>
      <c r="P594" s="3">
        <f>'Historical Data'!AB591</f>
        <v/>
      </c>
      <c r="Q594" s="3">
        <f>'Historical Data'!AN591</f>
        <v/>
      </c>
      <c r="R594" s="3">
        <f>'Historical Data'!AC591</f>
        <v/>
      </c>
      <c r="S594" s="3">
        <f>'Historical Data'!AE591</f>
        <v/>
      </c>
      <c r="T594" s="3">
        <f>'Historical Data'!AH591</f>
        <v/>
      </c>
      <c r="U594" s="3">
        <f>'Historical Data'!BA591</f>
        <v/>
      </c>
      <c r="V594" s="3" t="n"/>
      <c r="W594" s="3" t="n"/>
      <c r="X594" s="3" t="n"/>
      <c r="Y594" s="3" t="n"/>
      <c r="Z594" s="3" t="n"/>
    </row>
    <row r="595" hidden="1" ht="15.75" customHeight="1" s="174">
      <c r="A595" s="3">
        <f>'Historical Data'!A592</f>
        <v/>
      </c>
      <c r="B595" s="3">
        <f>'Historical Data'!B592</f>
        <v/>
      </c>
      <c r="C595" s="3">
        <f>'Historical Data'!D592</f>
        <v/>
      </c>
      <c r="D595" s="23">
        <f>'Historical Data'!E592</f>
        <v/>
      </c>
      <c r="E595" s="3">
        <f>'Historical Data'!G592</f>
        <v/>
      </c>
      <c r="F595" s="3">
        <f>'Historical Data'!Y592</f>
        <v/>
      </c>
      <c r="G595" s="3">
        <f>'Historical Data'!K592</f>
        <v/>
      </c>
      <c r="H595" s="3">
        <f>'Historical Data'!L592</f>
        <v/>
      </c>
      <c r="I595" s="26">
        <f>'Historical Data'!M592</f>
        <v/>
      </c>
      <c r="J595" s="28">
        <f>'Historical Data'!N592</f>
        <v/>
      </c>
      <c r="K595" s="28">
        <f>'Historical Data'!Q592</f>
        <v/>
      </c>
      <c r="L595" s="30">
        <f>'Historical Data'!S592</f>
        <v/>
      </c>
      <c r="M595" s="28">
        <f>'Historical Data'!AJ592</f>
        <v/>
      </c>
      <c r="N595" s="28">
        <f>'Historical Data'!AK592</f>
        <v/>
      </c>
      <c r="O595" s="3">
        <f>'Historical Data'!AA592</f>
        <v/>
      </c>
      <c r="P595" s="3">
        <f>'Historical Data'!AB592</f>
        <v/>
      </c>
      <c r="Q595" s="3">
        <f>'Historical Data'!AN592</f>
        <v/>
      </c>
      <c r="R595" s="3">
        <f>'Historical Data'!AC592</f>
        <v/>
      </c>
      <c r="S595" s="3">
        <f>'Historical Data'!AE592</f>
        <v/>
      </c>
      <c r="T595" s="3">
        <f>'Historical Data'!AH592</f>
        <v/>
      </c>
      <c r="U595" s="3">
        <f>'Historical Data'!BA592</f>
        <v/>
      </c>
      <c r="V595" s="3" t="n"/>
      <c r="W595" s="3" t="n"/>
      <c r="X595" s="3" t="n"/>
      <c r="Y595" s="3" t="n"/>
      <c r="Z595" s="3" t="n"/>
    </row>
    <row r="596" hidden="1" ht="15.75" customHeight="1" s="174">
      <c r="A596" s="3">
        <f>'Historical Data'!A593</f>
        <v/>
      </c>
      <c r="B596" s="3">
        <f>'Historical Data'!B593</f>
        <v/>
      </c>
      <c r="C596" s="3">
        <f>'Historical Data'!D593</f>
        <v/>
      </c>
      <c r="D596" s="23">
        <f>'Historical Data'!E593</f>
        <v/>
      </c>
      <c r="E596" s="3">
        <f>'Historical Data'!G593</f>
        <v/>
      </c>
      <c r="F596" s="3">
        <f>'Historical Data'!Y593</f>
        <v/>
      </c>
      <c r="G596" s="3">
        <f>'Historical Data'!K593</f>
        <v/>
      </c>
      <c r="H596" s="3">
        <f>'Historical Data'!L593</f>
        <v/>
      </c>
      <c r="I596" s="26">
        <f>'Historical Data'!M593</f>
        <v/>
      </c>
      <c r="J596" s="28">
        <f>'Historical Data'!N593</f>
        <v/>
      </c>
      <c r="K596" s="28">
        <f>'Historical Data'!Q593</f>
        <v/>
      </c>
      <c r="L596" s="30">
        <f>'Historical Data'!S593</f>
        <v/>
      </c>
      <c r="M596" s="28">
        <f>'Historical Data'!AJ593</f>
        <v/>
      </c>
      <c r="N596" s="28">
        <f>'Historical Data'!AK593</f>
        <v/>
      </c>
      <c r="O596" s="3">
        <f>'Historical Data'!AA593</f>
        <v/>
      </c>
      <c r="P596" s="3">
        <f>'Historical Data'!AB593</f>
        <v/>
      </c>
      <c r="Q596" s="3">
        <f>'Historical Data'!AN593</f>
        <v/>
      </c>
      <c r="R596" s="3">
        <f>'Historical Data'!AC593</f>
        <v/>
      </c>
      <c r="S596" s="3">
        <f>'Historical Data'!AE593</f>
        <v/>
      </c>
      <c r="T596" s="3">
        <f>'Historical Data'!AH593</f>
        <v/>
      </c>
      <c r="U596" s="3">
        <f>'Historical Data'!BA593</f>
        <v/>
      </c>
      <c r="V596" s="3" t="n"/>
      <c r="W596" s="3" t="n"/>
      <c r="X596" s="3" t="n"/>
      <c r="Y596" s="3" t="n"/>
      <c r="Z596" s="3" t="n"/>
    </row>
    <row r="597" hidden="1" ht="15.75" customHeight="1" s="174">
      <c r="A597" s="3">
        <f>'Historical Data'!A594</f>
        <v/>
      </c>
      <c r="B597" s="3">
        <f>'Historical Data'!B594</f>
        <v/>
      </c>
      <c r="C597" s="3">
        <f>'Historical Data'!D594</f>
        <v/>
      </c>
      <c r="D597" s="23">
        <f>'Historical Data'!E594</f>
        <v/>
      </c>
      <c r="E597" s="3">
        <f>'Historical Data'!G594</f>
        <v/>
      </c>
      <c r="F597" s="3">
        <f>'Historical Data'!Y594</f>
        <v/>
      </c>
      <c r="G597" s="3">
        <f>'Historical Data'!K594</f>
        <v/>
      </c>
      <c r="H597" s="3">
        <f>'Historical Data'!L594</f>
        <v/>
      </c>
      <c r="I597" s="26">
        <f>'Historical Data'!M594</f>
        <v/>
      </c>
      <c r="J597" s="28">
        <f>'Historical Data'!N594</f>
        <v/>
      </c>
      <c r="K597" s="28">
        <f>'Historical Data'!Q594</f>
        <v/>
      </c>
      <c r="L597" s="30">
        <f>'Historical Data'!S594</f>
        <v/>
      </c>
      <c r="M597" s="28">
        <f>'Historical Data'!AJ594</f>
        <v/>
      </c>
      <c r="N597" s="28">
        <f>'Historical Data'!AK594</f>
        <v/>
      </c>
      <c r="O597" s="3">
        <f>'Historical Data'!AA594</f>
        <v/>
      </c>
      <c r="P597" s="3">
        <f>'Historical Data'!AB594</f>
        <v/>
      </c>
      <c r="Q597" s="3">
        <f>'Historical Data'!AN594</f>
        <v/>
      </c>
      <c r="R597" s="3">
        <f>'Historical Data'!AC594</f>
        <v/>
      </c>
      <c r="S597" s="3">
        <f>'Historical Data'!AE594</f>
        <v/>
      </c>
      <c r="T597" s="3">
        <f>'Historical Data'!AH594</f>
        <v/>
      </c>
      <c r="U597" s="3">
        <f>'Historical Data'!BA594</f>
        <v/>
      </c>
      <c r="V597" s="3" t="n"/>
      <c r="W597" s="3" t="n"/>
      <c r="X597" s="3" t="n"/>
      <c r="Y597" s="3" t="n"/>
      <c r="Z597" s="3" t="n"/>
    </row>
    <row r="598" hidden="1" ht="15.75" customHeight="1" s="174">
      <c r="A598" s="3">
        <f>'Historical Data'!A595</f>
        <v/>
      </c>
      <c r="B598" s="3">
        <f>'Historical Data'!B595</f>
        <v/>
      </c>
      <c r="C598" s="3">
        <f>'Historical Data'!D595</f>
        <v/>
      </c>
      <c r="D598" s="23">
        <f>'Historical Data'!E595</f>
        <v/>
      </c>
      <c r="E598" s="3">
        <f>'Historical Data'!G595</f>
        <v/>
      </c>
      <c r="F598" s="3">
        <f>'Historical Data'!Y595</f>
        <v/>
      </c>
      <c r="G598" s="3">
        <f>'Historical Data'!K595</f>
        <v/>
      </c>
      <c r="H598" s="3">
        <f>'Historical Data'!L595</f>
        <v/>
      </c>
      <c r="I598" s="26">
        <f>'Historical Data'!M595</f>
        <v/>
      </c>
      <c r="J598" s="28">
        <f>'Historical Data'!N595</f>
        <v/>
      </c>
      <c r="K598" s="28">
        <f>'Historical Data'!Q595</f>
        <v/>
      </c>
      <c r="L598" s="30">
        <f>'Historical Data'!S595</f>
        <v/>
      </c>
      <c r="M598" s="28">
        <f>'Historical Data'!AJ595</f>
        <v/>
      </c>
      <c r="N598" s="28">
        <f>'Historical Data'!AK595</f>
        <v/>
      </c>
      <c r="O598" s="3">
        <f>'Historical Data'!AA595</f>
        <v/>
      </c>
      <c r="P598" s="3">
        <f>'Historical Data'!AB595</f>
        <v/>
      </c>
      <c r="Q598" s="3">
        <f>'Historical Data'!AN595</f>
        <v/>
      </c>
      <c r="R598" s="3">
        <f>'Historical Data'!AC595</f>
        <v/>
      </c>
      <c r="S598" s="3">
        <f>'Historical Data'!AE595</f>
        <v/>
      </c>
      <c r="T598" s="3">
        <f>'Historical Data'!AH595</f>
        <v/>
      </c>
      <c r="U598" s="3">
        <f>'Historical Data'!BA595</f>
        <v/>
      </c>
      <c r="V598" s="3" t="n"/>
      <c r="W598" s="3" t="n"/>
      <c r="X598" s="3" t="n"/>
      <c r="Y598" s="3" t="n"/>
      <c r="Z598" s="3" t="n"/>
    </row>
    <row r="599" hidden="1" ht="15.75" customHeight="1" s="174">
      <c r="A599" s="3">
        <f>'Historical Data'!A596</f>
        <v/>
      </c>
      <c r="B599" s="3">
        <f>'Historical Data'!B596</f>
        <v/>
      </c>
      <c r="C599" s="3">
        <f>'Historical Data'!D596</f>
        <v/>
      </c>
      <c r="D599" s="23">
        <f>'Historical Data'!E596</f>
        <v/>
      </c>
      <c r="E599" s="3">
        <f>'Historical Data'!G596</f>
        <v/>
      </c>
      <c r="F599" s="3">
        <f>'Historical Data'!Y596</f>
        <v/>
      </c>
      <c r="G599" s="3">
        <f>'Historical Data'!K596</f>
        <v/>
      </c>
      <c r="H599" s="3">
        <f>'Historical Data'!L596</f>
        <v/>
      </c>
      <c r="I599" s="26">
        <f>'Historical Data'!M596</f>
        <v/>
      </c>
      <c r="J599" s="28">
        <f>'Historical Data'!N596</f>
        <v/>
      </c>
      <c r="K599" s="28">
        <f>'Historical Data'!Q596</f>
        <v/>
      </c>
      <c r="L599" s="30">
        <f>'Historical Data'!S596</f>
        <v/>
      </c>
      <c r="M599" s="28">
        <f>'Historical Data'!AJ596</f>
        <v/>
      </c>
      <c r="N599" s="28">
        <f>'Historical Data'!AK596</f>
        <v/>
      </c>
      <c r="O599" s="3">
        <f>'Historical Data'!AA596</f>
        <v/>
      </c>
      <c r="P599" s="3">
        <f>'Historical Data'!AB596</f>
        <v/>
      </c>
      <c r="Q599" s="3">
        <f>'Historical Data'!AN596</f>
        <v/>
      </c>
      <c r="R599" s="3">
        <f>'Historical Data'!AC596</f>
        <v/>
      </c>
      <c r="S599" s="3">
        <f>'Historical Data'!AE596</f>
        <v/>
      </c>
      <c r="T599" s="3">
        <f>'Historical Data'!AH596</f>
        <v/>
      </c>
      <c r="U599" s="3">
        <f>'Historical Data'!BA596</f>
        <v/>
      </c>
      <c r="V599" s="3" t="n"/>
      <c r="W599" s="3" t="n"/>
      <c r="X599" s="3" t="n"/>
      <c r="Y599" s="3" t="n"/>
      <c r="Z599" s="3" t="n"/>
    </row>
    <row r="600" hidden="1" ht="15.75" customHeight="1" s="174">
      <c r="A600" s="3">
        <f>'Historical Data'!A597</f>
        <v/>
      </c>
      <c r="B600" s="3">
        <f>'Historical Data'!B597</f>
        <v/>
      </c>
      <c r="C600" s="3">
        <f>'Historical Data'!D597</f>
        <v/>
      </c>
      <c r="D600" s="23">
        <f>'Historical Data'!E597</f>
        <v/>
      </c>
      <c r="E600" s="3">
        <f>'Historical Data'!G597</f>
        <v/>
      </c>
      <c r="F600" s="3">
        <f>'Historical Data'!Y597</f>
        <v/>
      </c>
      <c r="G600" s="3">
        <f>'Historical Data'!K597</f>
        <v/>
      </c>
      <c r="H600" s="3">
        <f>'Historical Data'!L597</f>
        <v/>
      </c>
      <c r="I600" s="26">
        <f>'Historical Data'!M597</f>
        <v/>
      </c>
      <c r="J600" s="28">
        <f>'Historical Data'!N597</f>
        <v/>
      </c>
      <c r="K600" s="28">
        <f>'Historical Data'!Q597</f>
        <v/>
      </c>
      <c r="L600" s="30">
        <f>'Historical Data'!S597</f>
        <v/>
      </c>
      <c r="M600" s="28">
        <f>'Historical Data'!AJ597</f>
        <v/>
      </c>
      <c r="N600" s="28">
        <f>'Historical Data'!AK597</f>
        <v/>
      </c>
      <c r="O600" s="3">
        <f>'Historical Data'!AA597</f>
        <v/>
      </c>
      <c r="P600" s="3">
        <f>'Historical Data'!AB597</f>
        <v/>
      </c>
      <c r="Q600" s="3">
        <f>'Historical Data'!AN597</f>
        <v/>
      </c>
      <c r="R600" s="3">
        <f>'Historical Data'!AC597</f>
        <v/>
      </c>
      <c r="S600" s="3">
        <f>'Historical Data'!AE597</f>
        <v/>
      </c>
      <c r="T600" s="3">
        <f>'Historical Data'!AH597</f>
        <v/>
      </c>
      <c r="U600" s="3">
        <f>'Historical Data'!BA597</f>
        <v/>
      </c>
      <c r="V600" s="3" t="n"/>
      <c r="W600" s="3" t="n"/>
      <c r="X600" s="3" t="n"/>
      <c r="Y600" s="3" t="n"/>
      <c r="Z600" s="3" t="n"/>
    </row>
    <row r="601" hidden="1" ht="15.75" customHeight="1" s="174">
      <c r="A601" s="3">
        <f>'Historical Data'!A598</f>
        <v/>
      </c>
      <c r="B601" s="3">
        <f>'Historical Data'!B598</f>
        <v/>
      </c>
      <c r="C601" s="3">
        <f>'Historical Data'!D598</f>
        <v/>
      </c>
      <c r="D601" s="23">
        <f>'Historical Data'!E598</f>
        <v/>
      </c>
      <c r="E601" s="3">
        <f>'Historical Data'!G598</f>
        <v/>
      </c>
      <c r="F601" s="3">
        <f>'Historical Data'!Y598</f>
        <v/>
      </c>
      <c r="G601" s="3">
        <f>'Historical Data'!K598</f>
        <v/>
      </c>
      <c r="H601" s="3">
        <f>'Historical Data'!L598</f>
        <v/>
      </c>
      <c r="I601" s="26">
        <f>'Historical Data'!M598</f>
        <v/>
      </c>
      <c r="J601" s="28">
        <f>'Historical Data'!N598</f>
        <v/>
      </c>
      <c r="K601" s="28">
        <f>'Historical Data'!Q598</f>
        <v/>
      </c>
      <c r="L601" s="30">
        <f>'Historical Data'!S598</f>
        <v/>
      </c>
      <c r="M601" s="28">
        <f>'Historical Data'!AJ598</f>
        <v/>
      </c>
      <c r="N601" s="28">
        <f>'Historical Data'!AK598</f>
        <v/>
      </c>
      <c r="O601" s="3">
        <f>'Historical Data'!AA598</f>
        <v/>
      </c>
      <c r="P601" s="3">
        <f>'Historical Data'!AB598</f>
        <v/>
      </c>
      <c r="Q601" s="3">
        <f>'Historical Data'!AN598</f>
        <v/>
      </c>
      <c r="R601" s="3">
        <f>'Historical Data'!AC598</f>
        <v/>
      </c>
      <c r="S601" s="3">
        <f>'Historical Data'!AE598</f>
        <v/>
      </c>
      <c r="T601" s="3">
        <f>'Historical Data'!AH598</f>
        <v/>
      </c>
      <c r="U601" s="3">
        <f>'Historical Data'!BA598</f>
        <v/>
      </c>
      <c r="V601" s="3" t="n"/>
      <c r="W601" s="3" t="n"/>
      <c r="X601" s="3" t="n"/>
      <c r="Y601" s="3" t="n"/>
      <c r="Z601" s="3" t="n"/>
    </row>
    <row r="602" hidden="1" ht="15.75" customHeight="1" s="174">
      <c r="A602" s="3">
        <f>'Historical Data'!A599</f>
        <v/>
      </c>
      <c r="B602" s="3">
        <f>'Historical Data'!B599</f>
        <v/>
      </c>
      <c r="C602" s="3">
        <f>'Historical Data'!D599</f>
        <v/>
      </c>
      <c r="D602" s="23">
        <f>'Historical Data'!E599</f>
        <v/>
      </c>
      <c r="E602" s="3">
        <f>'Historical Data'!G599</f>
        <v/>
      </c>
      <c r="F602" s="3">
        <f>'Historical Data'!Y599</f>
        <v/>
      </c>
      <c r="G602" s="3">
        <f>'Historical Data'!K599</f>
        <v/>
      </c>
      <c r="H602" s="3">
        <f>'Historical Data'!L599</f>
        <v/>
      </c>
      <c r="I602" s="26">
        <f>'Historical Data'!M599</f>
        <v/>
      </c>
      <c r="J602" s="28">
        <f>'Historical Data'!N599</f>
        <v/>
      </c>
      <c r="K602" s="28">
        <f>'Historical Data'!Q599</f>
        <v/>
      </c>
      <c r="L602" s="30">
        <f>'Historical Data'!S599</f>
        <v/>
      </c>
      <c r="M602" s="28">
        <f>'Historical Data'!AJ599</f>
        <v/>
      </c>
      <c r="N602" s="28">
        <f>'Historical Data'!AK599</f>
        <v/>
      </c>
      <c r="O602" s="3">
        <f>'Historical Data'!AA599</f>
        <v/>
      </c>
      <c r="P602" s="3">
        <f>'Historical Data'!AB599</f>
        <v/>
      </c>
      <c r="Q602" s="3">
        <f>'Historical Data'!AN599</f>
        <v/>
      </c>
      <c r="R602" s="3">
        <f>'Historical Data'!AC599</f>
        <v/>
      </c>
      <c r="S602" s="3">
        <f>'Historical Data'!AE599</f>
        <v/>
      </c>
      <c r="T602" s="3">
        <f>'Historical Data'!AH599</f>
        <v/>
      </c>
      <c r="U602" s="3">
        <f>'Historical Data'!BA599</f>
        <v/>
      </c>
      <c r="V602" s="3" t="n"/>
      <c r="W602" s="3" t="n"/>
      <c r="X602" s="3" t="n"/>
      <c r="Y602" s="3" t="n"/>
      <c r="Z602" s="3" t="n"/>
    </row>
    <row r="603" hidden="1" ht="15.75" customHeight="1" s="174">
      <c r="A603" s="3">
        <f>'Historical Data'!A600</f>
        <v/>
      </c>
      <c r="B603" s="3">
        <f>'Historical Data'!B600</f>
        <v/>
      </c>
      <c r="C603" s="3">
        <f>'Historical Data'!D600</f>
        <v/>
      </c>
      <c r="D603" s="23">
        <f>'Historical Data'!E600</f>
        <v/>
      </c>
      <c r="E603" s="3">
        <f>'Historical Data'!G600</f>
        <v/>
      </c>
      <c r="F603" s="3">
        <f>'Historical Data'!Y600</f>
        <v/>
      </c>
      <c r="G603" s="3">
        <f>'Historical Data'!K600</f>
        <v/>
      </c>
      <c r="H603" s="3">
        <f>'Historical Data'!L600</f>
        <v/>
      </c>
      <c r="I603" s="26">
        <f>'Historical Data'!M600</f>
        <v/>
      </c>
      <c r="J603" s="28">
        <f>'Historical Data'!N600</f>
        <v/>
      </c>
      <c r="K603" s="28">
        <f>'Historical Data'!Q600</f>
        <v/>
      </c>
      <c r="L603" s="30">
        <f>'Historical Data'!S600</f>
        <v/>
      </c>
      <c r="M603" s="28">
        <f>'Historical Data'!AJ600</f>
        <v/>
      </c>
      <c r="N603" s="28">
        <f>'Historical Data'!AK600</f>
        <v/>
      </c>
      <c r="O603" s="3">
        <f>'Historical Data'!AA600</f>
        <v/>
      </c>
      <c r="P603" s="3">
        <f>'Historical Data'!AB600</f>
        <v/>
      </c>
      <c r="Q603" s="3">
        <f>'Historical Data'!AN600</f>
        <v/>
      </c>
      <c r="R603" s="3">
        <f>'Historical Data'!AC600</f>
        <v/>
      </c>
      <c r="S603" s="3">
        <f>'Historical Data'!AE600</f>
        <v/>
      </c>
      <c r="T603" s="3">
        <f>'Historical Data'!AH600</f>
        <v/>
      </c>
      <c r="U603" s="3">
        <f>'Historical Data'!BA600</f>
        <v/>
      </c>
      <c r="V603" s="3" t="n"/>
      <c r="W603" s="3" t="n"/>
      <c r="X603" s="3" t="n"/>
      <c r="Y603" s="3" t="n"/>
      <c r="Z603" s="3" t="n"/>
    </row>
    <row r="604" hidden="1" ht="15.75" customHeight="1" s="174">
      <c r="A604" s="3">
        <f>'Historical Data'!A601</f>
        <v/>
      </c>
      <c r="B604" s="3">
        <f>'Historical Data'!B601</f>
        <v/>
      </c>
      <c r="C604" s="3">
        <f>'Historical Data'!D601</f>
        <v/>
      </c>
      <c r="D604" s="23">
        <f>'Historical Data'!E601</f>
        <v/>
      </c>
      <c r="E604" s="3">
        <f>'Historical Data'!G601</f>
        <v/>
      </c>
      <c r="F604" s="3">
        <f>'Historical Data'!Y601</f>
        <v/>
      </c>
      <c r="G604" s="3">
        <f>'Historical Data'!K601</f>
        <v/>
      </c>
      <c r="H604" s="3">
        <f>'Historical Data'!L601</f>
        <v/>
      </c>
      <c r="I604" s="26">
        <f>'Historical Data'!M601</f>
        <v/>
      </c>
      <c r="J604" s="28">
        <f>'Historical Data'!N601</f>
        <v/>
      </c>
      <c r="K604" s="28">
        <f>'Historical Data'!Q601</f>
        <v/>
      </c>
      <c r="L604" s="30">
        <f>'Historical Data'!S601</f>
        <v/>
      </c>
      <c r="M604" s="28">
        <f>'Historical Data'!AJ601</f>
        <v/>
      </c>
      <c r="N604" s="28">
        <f>'Historical Data'!AK601</f>
        <v/>
      </c>
      <c r="O604" s="3">
        <f>'Historical Data'!AA601</f>
        <v/>
      </c>
      <c r="P604" s="3">
        <f>'Historical Data'!AB601</f>
        <v/>
      </c>
      <c r="Q604" s="3">
        <f>'Historical Data'!AN601</f>
        <v/>
      </c>
      <c r="R604" s="3">
        <f>'Historical Data'!AC601</f>
        <v/>
      </c>
      <c r="S604" s="3">
        <f>'Historical Data'!AE601</f>
        <v/>
      </c>
      <c r="T604" s="3">
        <f>'Historical Data'!AH601</f>
        <v/>
      </c>
      <c r="U604" s="3">
        <f>'Historical Data'!BA601</f>
        <v/>
      </c>
      <c r="V604" s="3" t="n"/>
      <c r="W604" s="3" t="n"/>
      <c r="X604" s="3" t="n"/>
      <c r="Y604" s="3" t="n"/>
      <c r="Z604" s="3" t="n"/>
    </row>
    <row r="605" hidden="1" ht="15.75" customHeight="1" s="174">
      <c r="A605" s="3">
        <f>'Historical Data'!A602</f>
        <v/>
      </c>
      <c r="B605" s="3">
        <f>'Historical Data'!B602</f>
        <v/>
      </c>
      <c r="C605" s="3">
        <f>'Historical Data'!D602</f>
        <v/>
      </c>
      <c r="D605" s="23">
        <f>'Historical Data'!E602</f>
        <v/>
      </c>
      <c r="E605" s="3">
        <f>'Historical Data'!G602</f>
        <v/>
      </c>
      <c r="F605" s="3">
        <f>'Historical Data'!Y602</f>
        <v/>
      </c>
      <c r="G605" s="3">
        <f>'Historical Data'!K602</f>
        <v/>
      </c>
      <c r="H605" s="3">
        <f>'Historical Data'!L602</f>
        <v/>
      </c>
      <c r="I605" s="26">
        <f>'Historical Data'!M602</f>
        <v/>
      </c>
      <c r="J605" s="28">
        <f>'Historical Data'!N602</f>
        <v/>
      </c>
      <c r="K605" s="28">
        <f>'Historical Data'!Q602</f>
        <v/>
      </c>
      <c r="L605" s="30">
        <f>'Historical Data'!S602</f>
        <v/>
      </c>
      <c r="M605" s="28">
        <f>'Historical Data'!AJ602</f>
        <v/>
      </c>
      <c r="N605" s="28">
        <f>'Historical Data'!AK602</f>
        <v/>
      </c>
      <c r="O605" s="3">
        <f>'Historical Data'!AA602</f>
        <v/>
      </c>
      <c r="P605" s="3">
        <f>'Historical Data'!AB602</f>
        <v/>
      </c>
      <c r="Q605" s="3">
        <f>'Historical Data'!AN602</f>
        <v/>
      </c>
      <c r="R605" s="3">
        <f>'Historical Data'!AC602</f>
        <v/>
      </c>
      <c r="S605" s="3">
        <f>'Historical Data'!AE602</f>
        <v/>
      </c>
      <c r="T605" s="3">
        <f>'Historical Data'!AH602</f>
        <v/>
      </c>
      <c r="U605" s="3">
        <f>'Historical Data'!BA602</f>
        <v/>
      </c>
      <c r="V605" s="3" t="n"/>
      <c r="W605" s="3" t="n"/>
      <c r="X605" s="3" t="n"/>
      <c r="Y605" s="3" t="n"/>
      <c r="Z605" s="3" t="n"/>
    </row>
    <row r="606" ht="15.75" customHeight="1" s="174">
      <c r="A606" s="3">
        <f>'Historical Data'!A603</f>
        <v/>
      </c>
      <c r="B606" s="3">
        <f>'Historical Data'!B603</f>
        <v/>
      </c>
      <c r="C606" s="3">
        <f>'Historical Data'!D603</f>
        <v/>
      </c>
      <c r="D606" s="23">
        <f>'Historical Data'!E603</f>
        <v/>
      </c>
      <c r="E606" s="3">
        <f>'Historical Data'!G603</f>
        <v/>
      </c>
      <c r="F606" s="3">
        <f>'Historical Data'!Y603</f>
        <v/>
      </c>
      <c r="G606" s="3">
        <f>'Historical Data'!K603</f>
        <v/>
      </c>
      <c r="H606" s="3">
        <f>'Historical Data'!L603</f>
        <v/>
      </c>
      <c r="I606" s="26">
        <f>'Historical Data'!M603</f>
        <v/>
      </c>
      <c r="J606" s="28">
        <f>'Historical Data'!N603</f>
        <v/>
      </c>
      <c r="K606" s="28">
        <f>'Historical Data'!Q603</f>
        <v/>
      </c>
      <c r="L606" s="30">
        <f>'Historical Data'!S603</f>
        <v/>
      </c>
      <c r="M606" s="28">
        <f>'Historical Data'!AJ603</f>
        <v/>
      </c>
      <c r="N606" s="28">
        <f>'Historical Data'!AK603</f>
        <v/>
      </c>
      <c r="O606" s="3">
        <f>'Historical Data'!AA603</f>
        <v/>
      </c>
      <c r="P606" s="3">
        <f>'Historical Data'!AB603</f>
        <v/>
      </c>
      <c r="Q606" s="3">
        <f>'Historical Data'!AN603</f>
        <v/>
      </c>
      <c r="R606" s="3">
        <f>'Historical Data'!AC603</f>
        <v/>
      </c>
      <c r="S606" s="3">
        <f>'Historical Data'!AE603</f>
        <v/>
      </c>
      <c r="T606" s="3">
        <f>'Historical Data'!AH603</f>
        <v/>
      </c>
      <c r="U606" s="3">
        <f>'Historical Data'!BA603</f>
        <v/>
      </c>
      <c r="V606" s="3" t="n"/>
      <c r="W606" s="3" t="n"/>
      <c r="X606" s="3" t="n"/>
      <c r="Y606" s="3" t="n"/>
      <c r="Z606" s="3" t="n"/>
    </row>
    <row r="607" ht="15.75" customHeight="1" s="174">
      <c r="A607" s="3">
        <f>'Historical Data'!A604</f>
        <v/>
      </c>
      <c r="B607" s="3">
        <f>'Historical Data'!B604</f>
        <v/>
      </c>
      <c r="C607" s="3">
        <f>'Historical Data'!D604</f>
        <v/>
      </c>
      <c r="D607" s="23">
        <f>'Historical Data'!E604</f>
        <v/>
      </c>
      <c r="E607" s="3">
        <f>'Historical Data'!G604</f>
        <v/>
      </c>
      <c r="F607" s="3">
        <f>'Historical Data'!Y604</f>
        <v/>
      </c>
      <c r="G607" s="3">
        <f>'Historical Data'!K604</f>
        <v/>
      </c>
      <c r="H607" s="3">
        <f>'Historical Data'!L604</f>
        <v/>
      </c>
      <c r="I607" s="26">
        <f>'Historical Data'!M604</f>
        <v/>
      </c>
      <c r="J607" s="28">
        <f>'Historical Data'!N604</f>
        <v/>
      </c>
      <c r="K607" s="28">
        <f>'Historical Data'!Q604</f>
        <v/>
      </c>
      <c r="L607" s="30">
        <f>'Historical Data'!S604</f>
        <v/>
      </c>
      <c r="M607" s="28">
        <f>'Historical Data'!AJ604</f>
        <v/>
      </c>
      <c r="N607" s="28">
        <f>'Historical Data'!AK604</f>
        <v/>
      </c>
      <c r="O607" s="3">
        <f>'Historical Data'!AA604</f>
        <v/>
      </c>
      <c r="P607" s="3">
        <f>'Historical Data'!AB604</f>
        <v/>
      </c>
      <c r="Q607" s="3">
        <f>'Historical Data'!AN604</f>
        <v/>
      </c>
      <c r="R607" s="3">
        <f>'Historical Data'!AC604</f>
        <v/>
      </c>
      <c r="S607" s="3">
        <f>'Historical Data'!AE604</f>
        <v/>
      </c>
      <c r="T607" s="3">
        <f>'Historical Data'!AH604</f>
        <v/>
      </c>
      <c r="U607" s="3">
        <f>'Historical Data'!BA604</f>
        <v/>
      </c>
      <c r="V607" s="3" t="n"/>
      <c r="W607" s="3" t="n"/>
      <c r="X607" s="3" t="n"/>
      <c r="Y607" s="3" t="n"/>
      <c r="Z607" s="3" t="n"/>
    </row>
    <row r="608" hidden="1" ht="15.75" customHeight="1" s="174">
      <c r="A608" s="3">
        <f>'Historical Data'!A605</f>
        <v/>
      </c>
      <c r="B608" s="3">
        <f>'Historical Data'!B605</f>
        <v/>
      </c>
      <c r="C608" s="3">
        <f>'Historical Data'!D605</f>
        <v/>
      </c>
      <c r="D608" s="23">
        <f>'Historical Data'!E605</f>
        <v/>
      </c>
      <c r="E608" s="3">
        <f>'Historical Data'!G605</f>
        <v/>
      </c>
      <c r="F608" s="3">
        <f>'Historical Data'!Y605</f>
        <v/>
      </c>
      <c r="G608" s="3">
        <f>'Historical Data'!K605</f>
        <v/>
      </c>
      <c r="H608" s="3">
        <f>'Historical Data'!L605</f>
        <v/>
      </c>
      <c r="I608" s="26">
        <f>'Historical Data'!M605</f>
        <v/>
      </c>
      <c r="J608" s="28">
        <f>'Historical Data'!N605</f>
        <v/>
      </c>
      <c r="K608" s="28">
        <f>'Historical Data'!Q605</f>
        <v/>
      </c>
      <c r="L608" s="30">
        <f>'Historical Data'!S605</f>
        <v/>
      </c>
      <c r="M608" s="28">
        <f>'Historical Data'!AJ605</f>
        <v/>
      </c>
      <c r="N608" s="28">
        <f>'Historical Data'!AK605</f>
        <v/>
      </c>
      <c r="O608" s="3">
        <f>'Historical Data'!AA605</f>
        <v/>
      </c>
      <c r="P608" s="3">
        <f>'Historical Data'!AB605</f>
        <v/>
      </c>
      <c r="Q608" s="3">
        <f>'Historical Data'!AN605</f>
        <v/>
      </c>
      <c r="R608" s="3">
        <f>'Historical Data'!AC605</f>
        <v/>
      </c>
      <c r="S608" s="3">
        <f>'Historical Data'!AE605</f>
        <v/>
      </c>
      <c r="T608" s="3">
        <f>'Historical Data'!AH605</f>
        <v/>
      </c>
      <c r="U608" s="3">
        <f>'Historical Data'!BA605</f>
        <v/>
      </c>
      <c r="V608" s="3" t="n"/>
      <c r="W608" s="3" t="n"/>
      <c r="X608" s="3" t="n"/>
      <c r="Y608" s="3" t="n"/>
      <c r="Z608" s="3" t="n"/>
    </row>
    <row r="609" hidden="1" ht="15.75" customHeight="1" s="174">
      <c r="A609" s="3">
        <f>'Historical Data'!A606</f>
        <v/>
      </c>
      <c r="B609" s="3">
        <f>'Historical Data'!B606</f>
        <v/>
      </c>
      <c r="C609" s="3">
        <f>'Historical Data'!D606</f>
        <v/>
      </c>
      <c r="D609" s="23">
        <f>'Historical Data'!E606</f>
        <v/>
      </c>
      <c r="E609" s="3">
        <f>'Historical Data'!G606</f>
        <v/>
      </c>
      <c r="F609" s="3">
        <f>'Historical Data'!Y606</f>
        <v/>
      </c>
      <c r="G609" s="3">
        <f>'Historical Data'!K606</f>
        <v/>
      </c>
      <c r="H609" s="3">
        <f>'Historical Data'!L606</f>
        <v/>
      </c>
      <c r="I609" s="26">
        <f>'Historical Data'!M606</f>
        <v/>
      </c>
      <c r="J609" s="28">
        <f>'Historical Data'!N606</f>
        <v/>
      </c>
      <c r="K609" s="28">
        <f>'Historical Data'!Q606</f>
        <v/>
      </c>
      <c r="L609" s="30">
        <f>'Historical Data'!S606</f>
        <v/>
      </c>
      <c r="M609" s="28">
        <f>'Historical Data'!AJ606</f>
        <v/>
      </c>
      <c r="N609" s="28">
        <f>'Historical Data'!AK606</f>
        <v/>
      </c>
      <c r="O609" s="3">
        <f>'Historical Data'!AA606</f>
        <v/>
      </c>
      <c r="P609" s="3">
        <f>'Historical Data'!AB606</f>
        <v/>
      </c>
      <c r="Q609" s="3">
        <f>'Historical Data'!AN606</f>
        <v/>
      </c>
      <c r="R609" s="3">
        <f>'Historical Data'!AC606</f>
        <v/>
      </c>
      <c r="S609" s="3">
        <f>'Historical Data'!AE606</f>
        <v/>
      </c>
      <c r="T609" s="3">
        <f>'Historical Data'!AH606</f>
        <v/>
      </c>
      <c r="U609" s="3">
        <f>'Historical Data'!BA606</f>
        <v/>
      </c>
      <c r="V609" s="3" t="n"/>
      <c r="W609" s="3" t="n"/>
      <c r="X609" s="3" t="n"/>
      <c r="Y609" s="3" t="n"/>
      <c r="Z609" s="3" t="n"/>
    </row>
    <row r="610" hidden="1" ht="15.75" customHeight="1" s="174">
      <c r="A610" s="3">
        <f>'Historical Data'!A607</f>
        <v/>
      </c>
      <c r="B610" s="3">
        <f>'Historical Data'!B607</f>
        <v/>
      </c>
      <c r="C610" s="3">
        <f>'Historical Data'!D607</f>
        <v/>
      </c>
      <c r="D610" s="23">
        <f>'Historical Data'!E607</f>
        <v/>
      </c>
      <c r="E610" s="3">
        <f>'Historical Data'!G607</f>
        <v/>
      </c>
      <c r="F610" s="3">
        <f>'Historical Data'!Y607</f>
        <v/>
      </c>
      <c r="G610" s="3">
        <f>'Historical Data'!K607</f>
        <v/>
      </c>
      <c r="H610" s="3">
        <f>'Historical Data'!L607</f>
        <v/>
      </c>
      <c r="I610" s="26">
        <f>'Historical Data'!M607</f>
        <v/>
      </c>
      <c r="J610" s="28">
        <f>'Historical Data'!N607</f>
        <v/>
      </c>
      <c r="K610" s="28">
        <f>'Historical Data'!Q607</f>
        <v/>
      </c>
      <c r="L610" s="30">
        <f>'Historical Data'!S607</f>
        <v/>
      </c>
      <c r="M610" s="28">
        <f>'Historical Data'!AJ607</f>
        <v/>
      </c>
      <c r="N610" s="28">
        <f>'Historical Data'!AK607</f>
        <v/>
      </c>
      <c r="O610" s="3">
        <f>'Historical Data'!AA607</f>
        <v/>
      </c>
      <c r="P610" s="3">
        <f>'Historical Data'!AB607</f>
        <v/>
      </c>
      <c r="Q610" s="3">
        <f>'Historical Data'!AN607</f>
        <v/>
      </c>
      <c r="R610" s="3">
        <f>'Historical Data'!AC607</f>
        <v/>
      </c>
      <c r="S610" s="3">
        <f>'Historical Data'!AE607</f>
        <v/>
      </c>
      <c r="T610" s="3">
        <f>'Historical Data'!AH607</f>
        <v/>
      </c>
      <c r="U610" s="3">
        <f>'Historical Data'!BA607</f>
        <v/>
      </c>
      <c r="V610" s="3" t="n"/>
      <c r="W610" s="3" t="n"/>
      <c r="X610" s="3" t="n"/>
      <c r="Y610" s="3" t="n"/>
      <c r="Z610" s="3" t="n"/>
    </row>
    <row r="611" hidden="1" ht="15.75" customHeight="1" s="174">
      <c r="A611" s="3">
        <f>'Historical Data'!A608</f>
        <v/>
      </c>
      <c r="B611" s="3">
        <f>'Historical Data'!B608</f>
        <v/>
      </c>
      <c r="C611" s="3">
        <f>'Historical Data'!D608</f>
        <v/>
      </c>
      <c r="D611" s="23">
        <f>'Historical Data'!E608</f>
        <v/>
      </c>
      <c r="E611" s="3">
        <f>'Historical Data'!G608</f>
        <v/>
      </c>
      <c r="F611" s="3">
        <f>'Historical Data'!Y608</f>
        <v/>
      </c>
      <c r="G611" s="3">
        <f>'Historical Data'!K608</f>
        <v/>
      </c>
      <c r="H611" s="3">
        <f>'Historical Data'!L608</f>
        <v/>
      </c>
      <c r="I611" s="26">
        <f>'Historical Data'!M608</f>
        <v/>
      </c>
      <c r="J611" s="28">
        <f>'Historical Data'!N608</f>
        <v/>
      </c>
      <c r="K611" s="28">
        <f>'Historical Data'!Q608</f>
        <v/>
      </c>
      <c r="L611" s="30">
        <f>'Historical Data'!S608</f>
        <v/>
      </c>
      <c r="M611" s="28">
        <f>'Historical Data'!AJ608</f>
        <v/>
      </c>
      <c r="N611" s="28">
        <f>'Historical Data'!AK608</f>
        <v/>
      </c>
      <c r="O611" s="3">
        <f>'Historical Data'!AA608</f>
        <v/>
      </c>
      <c r="P611" s="3">
        <f>'Historical Data'!AB608</f>
        <v/>
      </c>
      <c r="Q611" s="3">
        <f>'Historical Data'!AN608</f>
        <v/>
      </c>
      <c r="R611" s="3">
        <f>'Historical Data'!AC608</f>
        <v/>
      </c>
      <c r="S611" s="3">
        <f>'Historical Data'!AE608</f>
        <v/>
      </c>
      <c r="T611" s="3">
        <f>'Historical Data'!AH608</f>
        <v/>
      </c>
      <c r="U611" s="3">
        <f>'Historical Data'!BA608</f>
        <v/>
      </c>
      <c r="V611" s="3" t="n"/>
      <c r="W611" s="3" t="n"/>
      <c r="X611" s="3" t="n"/>
      <c r="Y611" s="3" t="n"/>
      <c r="Z611" s="3" t="n"/>
    </row>
    <row r="612" hidden="1" ht="15.75" customHeight="1" s="174">
      <c r="A612" s="3">
        <f>'Historical Data'!A609</f>
        <v/>
      </c>
      <c r="B612" s="3">
        <f>'Historical Data'!B609</f>
        <v/>
      </c>
      <c r="C612" s="3">
        <f>'Historical Data'!D609</f>
        <v/>
      </c>
      <c r="D612" s="23">
        <f>'Historical Data'!E609</f>
        <v/>
      </c>
      <c r="E612" s="3">
        <f>'Historical Data'!G609</f>
        <v/>
      </c>
      <c r="F612" s="3">
        <f>'Historical Data'!Y609</f>
        <v/>
      </c>
      <c r="G612" s="3">
        <f>'Historical Data'!K609</f>
        <v/>
      </c>
      <c r="H612" s="3">
        <f>'Historical Data'!L609</f>
        <v/>
      </c>
      <c r="I612" s="26">
        <f>'Historical Data'!M609</f>
        <v/>
      </c>
      <c r="J612" s="28">
        <f>'Historical Data'!N609</f>
        <v/>
      </c>
      <c r="K612" s="28">
        <f>'Historical Data'!Q609</f>
        <v/>
      </c>
      <c r="L612" s="30">
        <f>'Historical Data'!S609</f>
        <v/>
      </c>
      <c r="M612" s="28">
        <f>'Historical Data'!AJ609</f>
        <v/>
      </c>
      <c r="N612" s="28">
        <f>'Historical Data'!AK609</f>
        <v/>
      </c>
      <c r="O612" s="3">
        <f>'Historical Data'!AA609</f>
        <v/>
      </c>
      <c r="P612" s="3">
        <f>'Historical Data'!AB609</f>
        <v/>
      </c>
      <c r="Q612" s="3">
        <f>'Historical Data'!AN609</f>
        <v/>
      </c>
      <c r="R612" s="3">
        <f>'Historical Data'!AC609</f>
        <v/>
      </c>
      <c r="S612" s="3">
        <f>'Historical Data'!AE609</f>
        <v/>
      </c>
      <c r="T612" s="3">
        <f>'Historical Data'!AH609</f>
        <v/>
      </c>
      <c r="U612" s="3">
        <f>'Historical Data'!BA609</f>
        <v/>
      </c>
      <c r="V612" s="3" t="n"/>
      <c r="W612" s="3" t="n"/>
      <c r="X612" s="3" t="n"/>
      <c r="Y612" s="3" t="n"/>
      <c r="Z612" s="3" t="n"/>
    </row>
    <row r="613" hidden="1" ht="15.75" customHeight="1" s="174">
      <c r="A613" s="3">
        <f>'Historical Data'!A610</f>
        <v/>
      </c>
      <c r="B613" s="3">
        <f>'Historical Data'!B610</f>
        <v/>
      </c>
      <c r="C613" s="3">
        <f>'Historical Data'!D610</f>
        <v/>
      </c>
      <c r="D613" s="23">
        <f>'Historical Data'!E610</f>
        <v/>
      </c>
      <c r="E613" s="3">
        <f>'Historical Data'!G610</f>
        <v/>
      </c>
      <c r="F613" s="3">
        <f>'Historical Data'!Y610</f>
        <v/>
      </c>
      <c r="G613" s="3">
        <f>'Historical Data'!K610</f>
        <v/>
      </c>
      <c r="H613" s="3">
        <f>'Historical Data'!L610</f>
        <v/>
      </c>
      <c r="I613" s="26">
        <f>'Historical Data'!M610</f>
        <v/>
      </c>
      <c r="J613" s="28">
        <f>'Historical Data'!N610</f>
        <v/>
      </c>
      <c r="K613" s="28">
        <f>'Historical Data'!Q610</f>
        <v/>
      </c>
      <c r="L613" s="30">
        <f>'Historical Data'!S610</f>
        <v/>
      </c>
      <c r="M613" s="28">
        <f>'Historical Data'!AJ610</f>
        <v/>
      </c>
      <c r="N613" s="28">
        <f>'Historical Data'!AK610</f>
        <v/>
      </c>
      <c r="O613" s="3">
        <f>'Historical Data'!AA610</f>
        <v/>
      </c>
      <c r="P613" s="3">
        <f>'Historical Data'!AB610</f>
        <v/>
      </c>
      <c r="Q613" s="3">
        <f>'Historical Data'!AN610</f>
        <v/>
      </c>
      <c r="R613" s="3">
        <f>'Historical Data'!AC610</f>
        <v/>
      </c>
      <c r="S613" s="3">
        <f>'Historical Data'!AE610</f>
        <v/>
      </c>
      <c r="T613" s="3">
        <f>'Historical Data'!AH610</f>
        <v/>
      </c>
      <c r="U613" s="3">
        <f>'Historical Data'!BA610</f>
        <v/>
      </c>
      <c r="V613" s="3" t="n"/>
      <c r="W613" s="3" t="n"/>
      <c r="X613" s="3" t="n"/>
      <c r="Y613" s="3" t="n"/>
      <c r="Z613" s="3" t="n"/>
    </row>
    <row r="614" hidden="1" ht="15.75" customHeight="1" s="174">
      <c r="A614" s="3">
        <f>'Historical Data'!A611</f>
        <v/>
      </c>
      <c r="B614" s="3">
        <f>'Historical Data'!B611</f>
        <v/>
      </c>
      <c r="C614" s="3">
        <f>'Historical Data'!D611</f>
        <v/>
      </c>
      <c r="D614" s="23">
        <f>'Historical Data'!E611</f>
        <v/>
      </c>
      <c r="E614" s="3">
        <f>'Historical Data'!G611</f>
        <v/>
      </c>
      <c r="F614" s="3">
        <f>'Historical Data'!Y611</f>
        <v/>
      </c>
      <c r="G614" s="3">
        <f>'Historical Data'!K611</f>
        <v/>
      </c>
      <c r="H614" s="3">
        <f>'Historical Data'!L611</f>
        <v/>
      </c>
      <c r="I614" s="26">
        <f>'Historical Data'!M611</f>
        <v/>
      </c>
      <c r="J614" s="28">
        <f>'Historical Data'!N611</f>
        <v/>
      </c>
      <c r="K614" s="28">
        <f>'Historical Data'!Q611</f>
        <v/>
      </c>
      <c r="L614" s="30">
        <f>'Historical Data'!S611</f>
        <v/>
      </c>
      <c r="M614" s="28">
        <f>'Historical Data'!AJ611</f>
        <v/>
      </c>
      <c r="N614" s="28">
        <f>'Historical Data'!AK611</f>
        <v/>
      </c>
      <c r="O614" s="3">
        <f>'Historical Data'!AA611</f>
        <v/>
      </c>
      <c r="P614" s="3">
        <f>'Historical Data'!AB611</f>
        <v/>
      </c>
      <c r="Q614" s="3">
        <f>'Historical Data'!AN611</f>
        <v/>
      </c>
      <c r="R614" s="3">
        <f>'Historical Data'!AC611</f>
        <v/>
      </c>
      <c r="S614" s="3">
        <f>'Historical Data'!AE611</f>
        <v/>
      </c>
      <c r="T614" s="3">
        <f>'Historical Data'!AH611</f>
        <v/>
      </c>
      <c r="U614" s="3">
        <f>'Historical Data'!BA611</f>
        <v/>
      </c>
      <c r="V614" s="3" t="n"/>
      <c r="W614" s="3" t="n"/>
      <c r="X614" s="3" t="n"/>
      <c r="Y614" s="3" t="n"/>
      <c r="Z614" s="3" t="n"/>
    </row>
    <row r="615" hidden="1" ht="15.75" customHeight="1" s="174">
      <c r="A615" s="3">
        <f>'Historical Data'!A612</f>
        <v/>
      </c>
      <c r="B615" s="3">
        <f>'Historical Data'!B612</f>
        <v/>
      </c>
      <c r="C615" s="3">
        <f>'Historical Data'!D612</f>
        <v/>
      </c>
      <c r="D615" s="23">
        <f>'Historical Data'!E612</f>
        <v/>
      </c>
      <c r="E615" s="3">
        <f>'Historical Data'!G612</f>
        <v/>
      </c>
      <c r="F615" s="3">
        <f>'Historical Data'!Y612</f>
        <v/>
      </c>
      <c r="G615" s="3">
        <f>'Historical Data'!K612</f>
        <v/>
      </c>
      <c r="H615" s="3">
        <f>'Historical Data'!L612</f>
        <v/>
      </c>
      <c r="I615" s="26">
        <f>'Historical Data'!M612</f>
        <v/>
      </c>
      <c r="J615" s="28">
        <f>'Historical Data'!N612</f>
        <v/>
      </c>
      <c r="K615" s="28">
        <f>'Historical Data'!Q612</f>
        <v/>
      </c>
      <c r="L615" s="30">
        <f>'Historical Data'!S612</f>
        <v/>
      </c>
      <c r="M615" s="28">
        <f>'Historical Data'!AJ612</f>
        <v/>
      </c>
      <c r="N615" s="28">
        <f>'Historical Data'!AK612</f>
        <v/>
      </c>
      <c r="O615" s="3">
        <f>'Historical Data'!AA612</f>
        <v/>
      </c>
      <c r="P615" s="3">
        <f>'Historical Data'!AB612</f>
        <v/>
      </c>
      <c r="Q615" s="3">
        <f>'Historical Data'!AN612</f>
        <v/>
      </c>
      <c r="R615" s="3">
        <f>'Historical Data'!AC612</f>
        <v/>
      </c>
      <c r="S615" s="3">
        <f>'Historical Data'!AE612</f>
        <v/>
      </c>
      <c r="T615" s="3">
        <f>'Historical Data'!AH612</f>
        <v/>
      </c>
      <c r="U615" s="3">
        <f>'Historical Data'!BA612</f>
        <v/>
      </c>
      <c r="V615" s="3" t="n"/>
      <c r="W615" s="3" t="n"/>
      <c r="X615" s="3" t="n"/>
      <c r="Y615" s="3" t="n"/>
      <c r="Z615" s="3" t="n"/>
    </row>
    <row r="616" hidden="1" ht="15.75" customHeight="1" s="174">
      <c r="A616" s="3">
        <f>'Historical Data'!A613</f>
        <v/>
      </c>
      <c r="B616" s="3">
        <f>'Historical Data'!B613</f>
        <v/>
      </c>
      <c r="C616" s="3">
        <f>'Historical Data'!D613</f>
        <v/>
      </c>
      <c r="D616" s="23">
        <f>'Historical Data'!E613</f>
        <v/>
      </c>
      <c r="E616" s="3">
        <f>'Historical Data'!G613</f>
        <v/>
      </c>
      <c r="F616" s="3">
        <f>'Historical Data'!Y613</f>
        <v/>
      </c>
      <c r="G616" s="3">
        <f>'Historical Data'!K613</f>
        <v/>
      </c>
      <c r="H616" s="3">
        <f>'Historical Data'!L613</f>
        <v/>
      </c>
      <c r="I616" s="26">
        <f>'Historical Data'!M613</f>
        <v/>
      </c>
      <c r="J616" s="28">
        <f>'Historical Data'!N613</f>
        <v/>
      </c>
      <c r="K616" s="28">
        <f>'Historical Data'!Q613</f>
        <v/>
      </c>
      <c r="L616" s="30">
        <f>'Historical Data'!S613</f>
        <v/>
      </c>
      <c r="M616" s="28">
        <f>'Historical Data'!AJ613</f>
        <v/>
      </c>
      <c r="N616" s="28">
        <f>'Historical Data'!AK613</f>
        <v/>
      </c>
      <c r="O616" s="3">
        <f>'Historical Data'!AA613</f>
        <v/>
      </c>
      <c r="P616" s="3">
        <f>'Historical Data'!AB613</f>
        <v/>
      </c>
      <c r="Q616" s="3">
        <f>'Historical Data'!AN613</f>
        <v/>
      </c>
      <c r="R616" s="3">
        <f>'Historical Data'!AC613</f>
        <v/>
      </c>
      <c r="S616" s="3">
        <f>'Historical Data'!AE613</f>
        <v/>
      </c>
      <c r="T616" s="3">
        <f>'Historical Data'!AH613</f>
        <v/>
      </c>
      <c r="U616" s="3">
        <f>'Historical Data'!BA613</f>
        <v/>
      </c>
      <c r="V616" s="3" t="n"/>
      <c r="W616" s="3" t="n"/>
      <c r="X616" s="3" t="n"/>
      <c r="Y616" s="3" t="n"/>
      <c r="Z616" s="3" t="n"/>
    </row>
    <row r="617" hidden="1" ht="15.75" customHeight="1" s="174">
      <c r="A617" s="3">
        <f>'Historical Data'!A614</f>
        <v/>
      </c>
      <c r="B617" s="3">
        <f>'Historical Data'!B614</f>
        <v/>
      </c>
      <c r="C617" s="3">
        <f>'Historical Data'!D614</f>
        <v/>
      </c>
      <c r="D617" s="23">
        <f>'Historical Data'!E614</f>
        <v/>
      </c>
      <c r="E617" s="3">
        <f>'Historical Data'!G614</f>
        <v/>
      </c>
      <c r="F617" s="3">
        <f>'Historical Data'!Y614</f>
        <v/>
      </c>
      <c r="G617" s="3">
        <f>'Historical Data'!K614</f>
        <v/>
      </c>
      <c r="H617" s="3">
        <f>'Historical Data'!L614</f>
        <v/>
      </c>
      <c r="I617" s="26">
        <f>'Historical Data'!M614</f>
        <v/>
      </c>
      <c r="J617" s="28">
        <f>'Historical Data'!N614</f>
        <v/>
      </c>
      <c r="K617" s="28">
        <f>'Historical Data'!Q614</f>
        <v/>
      </c>
      <c r="L617" s="30">
        <f>'Historical Data'!S614</f>
        <v/>
      </c>
      <c r="M617" s="28">
        <f>'Historical Data'!AJ614</f>
        <v/>
      </c>
      <c r="N617" s="28">
        <f>'Historical Data'!AK614</f>
        <v/>
      </c>
      <c r="O617" s="3">
        <f>'Historical Data'!AA614</f>
        <v/>
      </c>
      <c r="P617" s="3">
        <f>'Historical Data'!AB614</f>
        <v/>
      </c>
      <c r="Q617" s="3">
        <f>'Historical Data'!AN614</f>
        <v/>
      </c>
      <c r="R617" s="3">
        <f>'Historical Data'!AC614</f>
        <v/>
      </c>
      <c r="S617" s="3">
        <f>'Historical Data'!AE614</f>
        <v/>
      </c>
      <c r="T617" s="3">
        <f>'Historical Data'!AH614</f>
        <v/>
      </c>
      <c r="U617" s="3">
        <f>'Historical Data'!BA614</f>
        <v/>
      </c>
      <c r="V617" s="3" t="n"/>
      <c r="W617" s="3" t="n"/>
      <c r="X617" s="3" t="n"/>
      <c r="Y617" s="3" t="n"/>
      <c r="Z617" s="3" t="n"/>
    </row>
    <row r="618" hidden="1" ht="15.75" customHeight="1" s="174">
      <c r="A618" s="3">
        <f>'Historical Data'!A615</f>
        <v/>
      </c>
      <c r="B618" s="3">
        <f>'Historical Data'!B615</f>
        <v/>
      </c>
      <c r="C618" s="3">
        <f>'Historical Data'!D615</f>
        <v/>
      </c>
      <c r="D618" s="23">
        <f>'Historical Data'!E615</f>
        <v/>
      </c>
      <c r="E618" s="3">
        <f>'Historical Data'!G615</f>
        <v/>
      </c>
      <c r="F618" s="3">
        <f>'Historical Data'!Y615</f>
        <v/>
      </c>
      <c r="G618" s="3">
        <f>'Historical Data'!K615</f>
        <v/>
      </c>
      <c r="H618" s="3">
        <f>'Historical Data'!L615</f>
        <v/>
      </c>
      <c r="I618" s="26">
        <f>'Historical Data'!M615</f>
        <v/>
      </c>
      <c r="J618" s="28">
        <f>'Historical Data'!N615</f>
        <v/>
      </c>
      <c r="K618" s="28">
        <f>'Historical Data'!Q615</f>
        <v/>
      </c>
      <c r="L618" s="30">
        <f>'Historical Data'!S615</f>
        <v/>
      </c>
      <c r="M618" s="28">
        <f>'Historical Data'!AJ615</f>
        <v/>
      </c>
      <c r="N618" s="28">
        <f>'Historical Data'!AK615</f>
        <v/>
      </c>
      <c r="O618" s="3">
        <f>'Historical Data'!AA615</f>
        <v/>
      </c>
      <c r="P618" s="3">
        <f>'Historical Data'!AB615</f>
        <v/>
      </c>
      <c r="Q618" s="3">
        <f>'Historical Data'!AN615</f>
        <v/>
      </c>
      <c r="R618" s="3">
        <f>'Historical Data'!AC615</f>
        <v/>
      </c>
      <c r="S618" s="3">
        <f>'Historical Data'!AE615</f>
        <v/>
      </c>
      <c r="T618" s="3">
        <f>'Historical Data'!AH615</f>
        <v/>
      </c>
      <c r="U618" s="3">
        <f>'Historical Data'!BA615</f>
        <v/>
      </c>
      <c r="V618" s="3" t="n"/>
      <c r="W618" s="3" t="n"/>
      <c r="X618" s="3" t="n"/>
      <c r="Y618" s="3" t="n"/>
      <c r="Z618" s="3" t="n"/>
    </row>
    <row r="619" hidden="1" ht="15.75" customHeight="1" s="174">
      <c r="A619" s="3">
        <f>'Historical Data'!A616</f>
        <v/>
      </c>
      <c r="B619" s="3">
        <f>'Historical Data'!B616</f>
        <v/>
      </c>
      <c r="C619" s="3">
        <f>'Historical Data'!D616</f>
        <v/>
      </c>
      <c r="D619" s="23">
        <f>'Historical Data'!E616</f>
        <v/>
      </c>
      <c r="E619" s="3">
        <f>'Historical Data'!G616</f>
        <v/>
      </c>
      <c r="F619" s="3">
        <f>'Historical Data'!Y616</f>
        <v/>
      </c>
      <c r="G619" s="3">
        <f>'Historical Data'!K616</f>
        <v/>
      </c>
      <c r="H619" s="3">
        <f>'Historical Data'!L616</f>
        <v/>
      </c>
      <c r="I619" s="26">
        <f>'Historical Data'!M616</f>
        <v/>
      </c>
      <c r="J619" s="28">
        <f>'Historical Data'!N616</f>
        <v/>
      </c>
      <c r="K619" s="28">
        <f>'Historical Data'!Q616</f>
        <v/>
      </c>
      <c r="L619" s="30">
        <f>'Historical Data'!S616</f>
        <v/>
      </c>
      <c r="M619" s="28">
        <f>'Historical Data'!AJ616</f>
        <v/>
      </c>
      <c r="N619" s="28">
        <f>'Historical Data'!AK616</f>
        <v/>
      </c>
      <c r="O619" s="3">
        <f>'Historical Data'!AA616</f>
        <v/>
      </c>
      <c r="P619" s="3">
        <f>'Historical Data'!AB616</f>
        <v/>
      </c>
      <c r="Q619" s="3">
        <f>'Historical Data'!AN616</f>
        <v/>
      </c>
      <c r="R619" s="3">
        <f>'Historical Data'!AC616</f>
        <v/>
      </c>
      <c r="S619" s="3">
        <f>'Historical Data'!AE616</f>
        <v/>
      </c>
      <c r="T619" s="3">
        <f>'Historical Data'!AH616</f>
        <v/>
      </c>
      <c r="U619" s="3">
        <f>'Historical Data'!BA616</f>
        <v/>
      </c>
      <c r="V619" s="3" t="n"/>
      <c r="W619" s="3" t="n"/>
      <c r="X619" s="3" t="n"/>
      <c r="Y619" s="3" t="n"/>
      <c r="Z619" s="3" t="n"/>
    </row>
    <row r="620" hidden="1" ht="15.75" customHeight="1" s="174">
      <c r="A620" s="3">
        <f>'Historical Data'!A617</f>
        <v/>
      </c>
      <c r="B620" s="3">
        <f>'Historical Data'!B617</f>
        <v/>
      </c>
      <c r="C620" s="3">
        <f>'Historical Data'!D617</f>
        <v/>
      </c>
      <c r="D620" s="23">
        <f>'Historical Data'!E617</f>
        <v/>
      </c>
      <c r="E620" s="3">
        <f>'Historical Data'!G617</f>
        <v/>
      </c>
      <c r="F620" s="3">
        <f>'Historical Data'!Y617</f>
        <v/>
      </c>
      <c r="G620" s="3">
        <f>'Historical Data'!K617</f>
        <v/>
      </c>
      <c r="H620" s="3">
        <f>'Historical Data'!L617</f>
        <v/>
      </c>
      <c r="I620" s="26">
        <f>'Historical Data'!M617</f>
        <v/>
      </c>
      <c r="J620" s="28">
        <f>'Historical Data'!N617</f>
        <v/>
      </c>
      <c r="K620" s="28">
        <f>'Historical Data'!Q617</f>
        <v/>
      </c>
      <c r="L620" s="30">
        <f>'Historical Data'!S617</f>
        <v/>
      </c>
      <c r="M620" s="28">
        <f>'Historical Data'!AJ617</f>
        <v/>
      </c>
      <c r="N620" s="28">
        <f>'Historical Data'!AK617</f>
        <v/>
      </c>
      <c r="O620" s="3">
        <f>'Historical Data'!AA617</f>
        <v/>
      </c>
      <c r="P620" s="3">
        <f>'Historical Data'!AB617</f>
        <v/>
      </c>
      <c r="Q620" s="3">
        <f>'Historical Data'!AN617</f>
        <v/>
      </c>
      <c r="R620" s="3">
        <f>'Historical Data'!AC617</f>
        <v/>
      </c>
      <c r="S620" s="3">
        <f>'Historical Data'!AE617</f>
        <v/>
      </c>
      <c r="T620" s="3">
        <f>'Historical Data'!AH617</f>
        <v/>
      </c>
      <c r="U620" s="3">
        <f>'Historical Data'!BA617</f>
        <v/>
      </c>
      <c r="V620" s="3" t="n"/>
      <c r="W620" s="3" t="n"/>
      <c r="X620" s="3" t="n"/>
      <c r="Y620" s="3" t="n"/>
      <c r="Z620" s="3" t="n"/>
    </row>
    <row r="621" hidden="1" ht="15.75" customHeight="1" s="174">
      <c r="A621" s="3">
        <f>'Historical Data'!A618</f>
        <v/>
      </c>
      <c r="B621" s="3">
        <f>'Historical Data'!B618</f>
        <v/>
      </c>
      <c r="C621" s="3">
        <f>'Historical Data'!D618</f>
        <v/>
      </c>
      <c r="D621" s="23">
        <f>'Historical Data'!E618</f>
        <v/>
      </c>
      <c r="E621" s="3">
        <f>'Historical Data'!G618</f>
        <v/>
      </c>
      <c r="F621" s="3">
        <f>'Historical Data'!Y618</f>
        <v/>
      </c>
      <c r="G621" s="3">
        <f>'Historical Data'!K618</f>
        <v/>
      </c>
      <c r="H621" s="3">
        <f>'Historical Data'!L618</f>
        <v/>
      </c>
      <c r="I621" s="26">
        <f>'Historical Data'!M618</f>
        <v/>
      </c>
      <c r="J621" s="28">
        <f>'Historical Data'!N618</f>
        <v/>
      </c>
      <c r="K621" s="28">
        <f>'Historical Data'!Q618</f>
        <v/>
      </c>
      <c r="L621" s="30">
        <f>'Historical Data'!S618</f>
        <v/>
      </c>
      <c r="M621" s="28">
        <f>'Historical Data'!AJ618</f>
        <v/>
      </c>
      <c r="N621" s="28">
        <f>'Historical Data'!AK618</f>
        <v/>
      </c>
      <c r="O621" s="3">
        <f>'Historical Data'!AA618</f>
        <v/>
      </c>
      <c r="P621" s="3">
        <f>'Historical Data'!AB618</f>
        <v/>
      </c>
      <c r="Q621" s="3">
        <f>'Historical Data'!AN618</f>
        <v/>
      </c>
      <c r="R621" s="3">
        <f>'Historical Data'!AC618</f>
        <v/>
      </c>
      <c r="S621" s="3">
        <f>'Historical Data'!AE618</f>
        <v/>
      </c>
      <c r="T621" s="3">
        <f>'Historical Data'!AH618</f>
        <v/>
      </c>
      <c r="U621" s="3">
        <f>'Historical Data'!BA618</f>
        <v/>
      </c>
      <c r="V621" s="3" t="n"/>
      <c r="W621" s="3" t="n"/>
      <c r="X621" s="3" t="n"/>
      <c r="Y621" s="3" t="n"/>
      <c r="Z621" s="3" t="n"/>
    </row>
    <row r="622" hidden="1" ht="15.75" customHeight="1" s="174">
      <c r="A622" s="3">
        <f>'Historical Data'!A619</f>
        <v/>
      </c>
      <c r="B622" s="3">
        <f>'Historical Data'!B619</f>
        <v/>
      </c>
      <c r="C622" s="3">
        <f>'Historical Data'!D619</f>
        <v/>
      </c>
      <c r="D622" s="23">
        <f>'Historical Data'!E619</f>
        <v/>
      </c>
      <c r="E622" s="3">
        <f>'Historical Data'!G619</f>
        <v/>
      </c>
      <c r="F622" s="3">
        <f>'Historical Data'!Y619</f>
        <v/>
      </c>
      <c r="G622" s="3">
        <f>'Historical Data'!K619</f>
        <v/>
      </c>
      <c r="H622" s="3">
        <f>'Historical Data'!L619</f>
        <v/>
      </c>
      <c r="I622" s="26">
        <f>'Historical Data'!M619</f>
        <v/>
      </c>
      <c r="J622" s="28">
        <f>'Historical Data'!N619</f>
        <v/>
      </c>
      <c r="K622" s="28">
        <f>'Historical Data'!Q619</f>
        <v/>
      </c>
      <c r="L622" s="30">
        <f>'Historical Data'!S619</f>
        <v/>
      </c>
      <c r="M622" s="28">
        <f>'Historical Data'!AJ619</f>
        <v/>
      </c>
      <c r="N622" s="28">
        <f>'Historical Data'!AK619</f>
        <v/>
      </c>
      <c r="O622" s="3">
        <f>'Historical Data'!AA619</f>
        <v/>
      </c>
      <c r="P622" s="3">
        <f>'Historical Data'!AB619</f>
        <v/>
      </c>
      <c r="Q622" s="3">
        <f>'Historical Data'!AN619</f>
        <v/>
      </c>
      <c r="R622" s="3">
        <f>'Historical Data'!AC619</f>
        <v/>
      </c>
      <c r="S622" s="3">
        <f>'Historical Data'!AE619</f>
        <v/>
      </c>
      <c r="T622" s="3">
        <f>'Historical Data'!AH619</f>
        <v/>
      </c>
      <c r="U622" s="3">
        <f>'Historical Data'!BA619</f>
        <v/>
      </c>
      <c r="V622" s="3" t="n"/>
      <c r="W622" s="3" t="n"/>
      <c r="X622" s="3" t="n"/>
      <c r="Y622" s="3" t="n"/>
      <c r="Z622" s="3" t="n"/>
    </row>
    <row r="623" hidden="1" ht="15.75" customHeight="1" s="174">
      <c r="A623" s="3">
        <f>'Historical Data'!A620</f>
        <v/>
      </c>
      <c r="B623" s="3">
        <f>'Historical Data'!B620</f>
        <v/>
      </c>
      <c r="C623" s="3">
        <f>'Historical Data'!D620</f>
        <v/>
      </c>
      <c r="D623" s="23">
        <f>'Historical Data'!E620</f>
        <v/>
      </c>
      <c r="E623" s="3">
        <f>'Historical Data'!G620</f>
        <v/>
      </c>
      <c r="F623" s="3">
        <f>'Historical Data'!Y620</f>
        <v/>
      </c>
      <c r="G623" s="3">
        <f>'Historical Data'!K620</f>
        <v/>
      </c>
      <c r="H623" s="3">
        <f>'Historical Data'!L620</f>
        <v/>
      </c>
      <c r="I623" s="26">
        <f>'Historical Data'!M620</f>
        <v/>
      </c>
      <c r="J623" s="28">
        <f>'Historical Data'!N620</f>
        <v/>
      </c>
      <c r="K623" s="28">
        <f>'Historical Data'!Q620</f>
        <v/>
      </c>
      <c r="L623" s="30">
        <f>'Historical Data'!S620</f>
        <v/>
      </c>
      <c r="M623" s="28">
        <f>'Historical Data'!AJ620</f>
        <v/>
      </c>
      <c r="N623" s="28">
        <f>'Historical Data'!AK620</f>
        <v/>
      </c>
      <c r="O623" s="3">
        <f>'Historical Data'!AA620</f>
        <v/>
      </c>
      <c r="P623" s="3">
        <f>'Historical Data'!AB620</f>
        <v/>
      </c>
      <c r="Q623" s="3">
        <f>'Historical Data'!AN620</f>
        <v/>
      </c>
      <c r="R623" s="3">
        <f>'Historical Data'!AC620</f>
        <v/>
      </c>
      <c r="S623" s="3">
        <f>'Historical Data'!AE620</f>
        <v/>
      </c>
      <c r="T623" s="3">
        <f>'Historical Data'!AH620</f>
        <v/>
      </c>
      <c r="U623" s="3">
        <f>'Historical Data'!BA620</f>
        <v/>
      </c>
      <c r="V623" s="3" t="n"/>
      <c r="W623" s="3" t="n"/>
      <c r="X623" s="3" t="n"/>
      <c r="Y623" s="3" t="n"/>
      <c r="Z623" s="3" t="n"/>
    </row>
    <row r="624" hidden="1" ht="15.75" customHeight="1" s="174">
      <c r="A624" s="3">
        <f>'Historical Data'!A621</f>
        <v/>
      </c>
      <c r="B624" s="3">
        <f>'Historical Data'!B621</f>
        <v/>
      </c>
      <c r="C624" s="3">
        <f>'Historical Data'!D621</f>
        <v/>
      </c>
      <c r="D624" s="23">
        <f>'Historical Data'!E621</f>
        <v/>
      </c>
      <c r="E624" s="3">
        <f>'Historical Data'!G621</f>
        <v/>
      </c>
      <c r="F624" s="3">
        <f>'Historical Data'!Y621</f>
        <v/>
      </c>
      <c r="G624" s="3">
        <f>'Historical Data'!K621</f>
        <v/>
      </c>
      <c r="H624" s="3">
        <f>'Historical Data'!L621</f>
        <v/>
      </c>
      <c r="I624" s="26">
        <f>'Historical Data'!M621</f>
        <v/>
      </c>
      <c r="J624" s="28">
        <f>'Historical Data'!N621</f>
        <v/>
      </c>
      <c r="K624" s="28">
        <f>'Historical Data'!Q621</f>
        <v/>
      </c>
      <c r="L624" s="30">
        <f>'Historical Data'!S621</f>
        <v/>
      </c>
      <c r="M624" s="28">
        <f>'Historical Data'!AJ621</f>
        <v/>
      </c>
      <c r="N624" s="28">
        <f>'Historical Data'!AK621</f>
        <v/>
      </c>
      <c r="O624" s="3">
        <f>'Historical Data'!AA621</f>
        <v/>
      </c>
      <c r="P624" s="3">
        <f>'Historical Data'!AB621</f>
        <v/>
      </c>
      <c r="Q624" s="3">
        <f>'Historical Data'!AN621</f>
        <v/>
      </c>
      <c r="R624" s="3">
        <f>'Historical Data'!AC621</f>
        <v/>
      </c>
      <c r="S624" s="3">
        <f>'Historical Data'!AE621</f>
        <v/>
      </c>
      <c r="T624" s="3">
        <f>'Historical Data'!AH621</f>
        <v/>
      </c>
      <c r="U624" s="3">
        <f>'Historical Data'!BA621</f>
        <v/>
      </c>
      <c r="V624" s="3" t="n"/>
      <c r="W624" s="3" t="n"/>
      <c r="X624" s="3" t="n"/>
      <c r="Y624" s="3" t="n"/>
      <c r="Z624" s="3" t="n"/>
    </row>
    <row r="625" hidden="1" ht="15.75" customHeight="1" s="174">
      <c r="A625" s="3">
        <f>'Historical Data'!A622</f>
        <v/>
      </c>
      <c r="B625" s="3">
        <f>'Historical Data'!B622</f>
        <v/>
      </c>
      <c r="C625" s="3">
        <f>'Historical Data'!D622</f>
        <v/>
      </c>
      <c r="D625" s="23">
        <f>'Historical Data'!E622</f>
        <v/>
      </c>
      <c r="E625" s="3">
        <f>'Historical Data'!G622</f>
        <v/>
      </c>
      <c r="F625" s="3">
        <f>'Historical Data'!Y622</f>
        <v/>
      </c>
      <c r="G625" s="3">
        <f>'Historical Data'!K622</f>
        <v/>
      </c>
      <c r="H625" s="3">
        <f>'Historical Data'!L622</f>
        <v/>
      </c>
      <c r="I625" s="26">
        <f>'Historical Data'!M622</f>
        <v/>
      </c>
      <c r="J625" s="28">
        <f>'Historical Data'!N622</f>
        <v/>
      </c>
      <c r="K625" s="28">
        <f>'Historical Data'!Q622</f>
        <v/>
      </c>
      <c r="L625" s="30">
        <f>'Historical Data'!S622</f>
        <v/>
      </c>
      <c r="M625" s="28">
        <f>'Historical Data'!AJ622</f>
        <v/>
      </c>
      <c r="N625" s="28">
        <f>'Historical Data'!AK622</f>
        <v/>
      </c>
      <c r="O625" s="3">
        <f>'Historical Data'!AA622</f>
        <v/>
      </c>
      <c r="P625" s="3">
        <f>'Historical Data'!AB622</f>
        <v/>
      </c>
      <c r="Q625" s="3">
        <f>'Historical Data'!AN622</f>
        <v/>
      </c>
      <c r="R625" s="3">
        <f>'Historical Data'!AC622</f>
        <v/>
      </c>
      <c r="S625" s="3">
        <f>'Historical Data'!AE622</f>
        <v/>
      </c>
      <c r="T625" s="3">
        <f>'Historical Data'!AH622</f>
        <v/>
      </c>
      <c r="U625" s="3">
        <f>'Historical Data'!BA622</f>
        <v/>
      </c>
      <c r="V625" s="3" t="n"/>
      <c r="W625" s="3" t="n"/>
      <c r="X625" s="3" t="n"/>
      <c r="Y625" s="3" t="n"/>
      <c r="Z625" s="3" t="n"/>
    </row>
    <row r="626" hidden="1" ht="15.75" customHeight="1" s="174">
      <c r="A626" s="3">
        <f>'Historical Data'!A623</f>
        <v/>
      </c>
      <c r="B626" s="3">
        <f>'Historical Data'!B623</f>
        <v/>
      </c>
      <c r="C626" s="3">
        <f>'Historical Data'!D623</f>
        <v/>
      </c>
      <c r="D626" s="23">
        <f>'Historical Data'!E623</f>
        <v/>
      </c>
      <c r="E626" s="3">
        <f>'Historical Data'!G623</f>
        <v/>
      </c>
      <c r="F626" s="3">
        <f>'Historical Data'!Y623</f>
        <v/>
      </c>
      <c r="G626" s="3">
        <f>'Historical Data'!K623</f>
        <v/>
      </c>
      <c r="H626" s="3">
        <f>'Historical Data'!L623</f>
        <v/>
      </c>
      <c r="I626" s="26">
        <f>'Historical Data'!M623</f>
        <v/>
      </c>
      <c r="J626" s="28">
        <f>'Historical Data'!N623</f>
        <v/>
      </c>
      <c r="K626" s="28">
        <f>'Historical Data'!Q623</f>
        <v/>
      </c>
      <c r="L626" s="30">
        <f>'Historical Data'!S623</f>
        <v/>
      </c>
      <c r="M626" s="28">
        <f>'Historical Data'!AJ623</f>
        <v/>
      </c>
      <c r="N626" s="28">
        <f>'Historical Data'!AK623</f>
        <v/>
      </c>
      <c r="O626" s="3">
        <f>'Historical Data'!AA623</f>
        <v/>
      </c>
      <c r="P626" s="3">
        <f>'Historical Data'!AB623</f>
        <v/>
      </c>
      <c r="Q626" s="3">
        <f>'Historical Data'!AN623</f>
        <v/>
      </c>
      <c r="R626" s="3">
        <f>'Historical Data'!AC623</f>
        <v/>
      </c>
      <c r="S626" s="3">
        <f>'Historical Data'!AE623</f>
        <v/>
      </c>
      <c r="T626" s="3">
        <f>'Historical Data'!AH623</f>
        <v/>
      </c>
      <c r="U626" s="3">
        <f>'Historical Data'!BA623</f>
        <v/>
      </c>
      <c r="V626" s="3" t="n"/>
      <c r="W626" s="3" t="n"/>
      <c r="X626" s="3" t="n"/>
      <c r="Y626" s="3" t="n"/>
      <c r="Z626" s="3" t="n"/>
    </row>
    <row r="627" hidden="1" ht="15.75" customHeight="1" s="174">
      <c r="A627" s="3">
        <f>'Historical Data'!A624</f>
        <v/>
      </c>
      <c r="B627" s="3">
        <f>'Historical Data'!B624</f>
        <v/>
      </c>
      <c r="C627" s="3">
        <f>'Historical Data'!D624</f>
        <v/>
      </c>
      <c r="D627" s="23">
        <f>'Historical Data'!E624</f>
        <v/>
      </c>
      <c r="E627" s="3">
        <f>'Historical Data'!G624</f>
        <v/>
      </c>
      <c r="F627" s="3">
        <f>'Historical Data'!Y624</f>
        <v/>
      </c>
      <c r="G627" s="3">
        <f>'Historical Data'!K624</f>
        <v/>
      </c>
      <c r="H627" s="3">
        <f>'Historical Data'!L624</f>
        <v/>
      </c>
      <c r="I627" s="26">
        <f>'Historical Data'!M624</f>
        <v/>
      </c>
      <c r="J627" s="28">
        <f>'Historical Data'!N624</f>
        <v/>
      </c>
      <c r="K627" s="28">
        <f>'Historical Data'!Q624</f>
        <v/>
      </c>
      <c r="L627" s="30">
        <f>'Historical Data'!S624</f>
        <v/>
      </c>
      <c r="M627" s="28">
        <f>'Historical Data'!AJ624</f>
        <v/>
      </c>
      <c r="N627" s="28">
        <f>'Historical Data'!AK624</f>
        <v/>
      </c>
      <c r="O627" s="3">
        <f>'Historical Data'!AA624</f>
        <v/>
      </c>
      <c r="P627" s="3">
        <f>'Historical Data'!AB624</f>
        <v/>
      </c>
      <c r="Q627" s="3">
        <f>'Historical Data'!AN624</f>
        <v/>
      </c>
      <c r="R627" s="3">
        <f>'Historical Data'!AC624</f>
        <v/>
      </c>
      <c r="S627" s="3">
        <f>'Historical Data'!AE624</f>
        <v/>
      </c>
      <c r="T627" s="3">
        <f>'Historical Data'!AH624</f>
        <v/>
      </c>
      <c r="U627" s="3">
        <f>'Historical Data'!BA624</f>
        <v/>
      </c>
      <c r="V627" s="3" t="n"/>
      <c r="W627" s="3" t="n"/>
      <c r="X627" s="3" t="n"/>
      <c r="Y627" s="3" t="n"/>
      <c r="Z627" s="3" t="n"/>
    </row>
    <row r="628" hidden="1" ht="15.75" customHeight="1" s="174">
      <c r="A628" s="3">
        <f>'Historical Data'!A625</f>
        <v/>
      </c>
      <c r="B628" s="3">
        <f>'Historical Data'!B625</f>
        <v/>
      </c>
      <c r="C628" s="3">
        <f>'Historical Data'!D625</f>
        <v/>
      </c>
      <c r="D628" s="23">
        <f>'Historical Data'!E625</f>
        <v/>
      </c>
      <c r="E628" s="3">
        <f>'Historical Data'!G625</f>
        <v/>
      </c>
      <c r="F628" s="3">
        <f>'Historical Data'!Y625</f>
        <v/>
      </c>
      <c r="G628" s="3">
        <f>'Historical Data'!K625</f>
        <v/>
      </c>
      <c r="H628" s="3">
        <f>'Historical Data'!L625</f>
        <v/>
      </c>
      <c r="I628" s="26">
        <f>'Historical Data'!M625</f>
        <v/>
      </c>
      <c r="J628" s="28">
        <f>'Historical Data'!N625</f>
        <v/>
      </c>
      <c r="K628" s="28">
        <f>'Historical Data'!Q625</f>
        <v/>
      </c>
      <c r="L628" s="30">
        <f>'Historical Data'!S625</f>
        <v/>
      </c>
      <c r="M628" s="28">
        <f>'Historical Data'!AJ625</f>
        <v/>
      </c>
      <c r="N628" s="28">
        <f>'Historical Data'!AK625</f>
        <v/>
      </c>
      <c r="O628" s="3">
        <f>'Historical Data'!AA625</f>
        <v/>
      </c>
      <c r="P628" s="3">
        <f>'Historical Data'!AB625</f>
        <v/>
      </c>
      <c r="Q628" s="3">
        <f>'Historical Data'!AN625</f>
        <v/>
      </c>
      <c r="R628" s="3">
        <f>'Historical Data'!AC625</f>
        <v/>
      </c>
      <c r="S628" s="3">
        <f>'Historical Data'!AE625</f>
        <v/>
      </c>
      <c r="T628" s="3">
        <f>'Historical Data'!AH625</f>
        <v/>
      </c>
      <c r="U628" s="3">
        <f>'Historical Data'!BA625</f>
        <v/>
      </c>
      <c r="V628" s="3" t="n"/>
      <c r="W628" s="3" t="n"/>
      <c r="X628" s="3" t="n"/>
      <c r="Y628" s="3" t="n"/>
      <c r="Z628" s="3" t="n"/>
    </row>
    <row r="629" hidden="1" ht="15.75" customHeight="1" s="174">
      <c r="A629" s="3">
        <f>'Historical Data'!A626</f>
        <v/>
      </c>
      <c r="B629" s="3">
        <f>'Historical Data'!B626</f>
        <v/>
      </c>
      <c r="C629" s="3">
        <f>'Historical Data'!D626</f>
        <v/>
      </c>
      <c r="D629" s="23">
        <f>'Historical Data'!E626</f>
        <v/>
      </c>
      <c r="E629" s="3">
        <f>'Historical Data'!G626</f>
        <v/>
      </c>
      <c r="F629" s="3">
        <f>'Historical Data'!Y626</f>
        <v/>
      </c>
      <c r="G629" s="3">
        <f>'Historical Data'!K626</f>
        <v/>
      </c>
      <c r="H629" s="3">
        <f>'Historical Data'!L626</f>
        <v/>
      </c>
      <c r="I629" s="26">
        <f>'Historical Data'!M626</f>
        <v/>
      </c>
      <c r="J629" s="28">
        <f>'Historical Data'!N626</f>
        <v/>
      </c>
      <c r="K629" s="28">
        <f>'Historical Data'!Q626</f>
        <v/>
      </c>
      <c r="L629" s="30">
        <f>'Historical Data'!S626</f>
        <v/>
      </c>
      <c r="M629" s="28">
        <f>'Historical Data'!AJ626</f>
        <v/>
      </c>
      <c r="N629" s="28">
        <f>'Historical Data'!AK626</f>
        <v/>
      </c>
      <c r="O629" s="3">
        <f>'Historical Data'!AA626</f>
        <v/>
      </c>
      <c r="P629" s="3">
        <f>'Historical Data'!AB626</f>
        <v/>
      </c>
      <c r="Q629" s="3">
        <f>'Historical Data'!AN626</f>
        <v/>
      </c>
      <c r="R629" s="3">
        <f>'Historical Data'!AC626</f>
        <v/>
      </c>
      <c r="S629" s="3">
        <f>'Historical Data'!AE626</f>
        <v/>
      </c>
      <c r="T629" s="3">
        <f>'Historical Data'!AH626</f>
        <v/>
      </c>
      <c r="U629" s="3">
        <f>'Historical Data'!BA626</f>
        <v/>
      </c>
      <c r="V629" s="3" t="n"/>
      <c r="W629" s="3" t="n"/>
      <c r="X629" s="3" t="n"/>
      <c r="Y629" s="3" t="n"/>
      <c r="Z629" s="3" t="n"/>
    </row>
    <row r="630" hidden="1" ht="15.75" customHeight="1" s="174">
      <c r="A630" s="3">
        <f>'Historical Data'!A627</f>
        <v/>
      </c>
      <c r="B630" s="3">
        <f>'Historical Data'!B627</f>
        <v/>
      </c>
      <c r="C630" s="3">
        <f>'Historical Data'!D627</f>
        <v/>
      </c>
      <c r="D630" s="23">
        <f>'Historical Data'!E627</f>
        <v/>
      </c>
      <c r="E630" s="3">
        <f>'Historical Data'!G627</f>
        <v/>
      </c>
      <c r="F630" s="3">
        <f>'Historical Data'!Y627</f>
        <v/>
      </c>
      <c r="G630" s="3">
        <f>'Historical Data'!K627</f>
        <v/>
      </c>
      <c r="H630" s="3">
        <f>'Historical Data'!L627</f>
        <v/>
      </c>
      <c r="I630" s="26">
        <f>'Historical Data'!M627</f>
        <v/>
      </c>
      <c r="J630" s="28">
        <f>'Historical Data'!N627</f>
        <v/>
      </c>
      <c r="K630" s="28">
        <f>'Historical Data'!Q627</f>
        <v/>
      </c>
      <c r="L630" s="30">
        <f>'Historical Data'!S627</f>
        <v/>
      </c>
      <c r="M630" s="28">
        <f>'Historical Data'!AJ627</f>
        <v/>
      </c>
      <c r="N630" s="28">
        <f>'Historical Data'!AK627</f>
        <v/>
      </c>
      <c r="O630" s="3">
        <f>'Historical Data'!AA627</f>
        <v/>
      </c>
      <c r="P630" s="3">
        <f>'Historical Data'!AB627</f>
        <v/>
      </c>
      <c r="Q630" s="3">
        <f>'Historical Data'!AN627</f>
        <v/>
      </c>
      <c r="R630" s="3">
        <f>'Historical Data'!AC627</f>
        <v/>
      </c>
      <c r="S630" s="3">
        <f>'Historical Data'!AE627</f>
        <v/>
      </c>
      <c r="T630" s="3">
        <f>'Historical Data'!AH627</f>
        <v/>
      </c>
      <c r="U630" s="3">
        <f>'Historical Data'!BA627</f>
        <v/>
      </c>
      <c r="V630" s="3" t="n"/>
      <c r="W630" s="3" t="n"/>
      <c r="X630" s="3" t="n"/>
      <c r="Y630" s="3" t="n"/>
      <c r="Z630" s="3" t="n"/>
    </row>
    <row r="631" hidden="1" ht="15.75" customHeight="1" s="174">
      <c r="A631" s="3">
        <f>'Historical Data'!A628</f>
        <v/>
      </c>
      <c r="B631" s="3">
        <f>'Historical Data'!B628</f>
        <v/>
      </c>
      <c r="C631" s="3">
        <f>'Historical Data'!D628</f>
        <v/>
      </c>
      <c r="D631" s="23">
        <f>'Historical Data'!E628</f>
        <v/>
      </c>
      <c r="E631" s="3">
        <f>'Historical Data'!G628</f>
        <v/>
      </c>
      <c r="F631" s="3">
        <f>'Historical Data'!Y628</f>
        <v/>
      </c>
      <c r="G631" s="3">
        <f>'Historical Data'!K628</f>
        <v/>
      </c>
      <c r="H631" s="3">
        <f>'Historical Data'!L628</f>
        <v/>
      </c>
      <c r="I631" s="26">
        <f>'Historical Data'!M628</f>
        <v/>
      </c>
      <c r="J631" s="28">
        <f>'Historical Data'!N628</f>
        <v/>
      </c>
      <c r="K631" s="28">
        <f>'Historical Data'!Q628</f>
        <v/>
      </c>
      <c r="L631" s="30">
        <f>'Historical Data'!S628</f>
        <v/>
      </c>
      <c r="M631" s="28">
        <f>'Historical Data'!AJ628</f>
        <v/>
      </c>
      <c r="N631" s="28">
        <f>'Historical Data'!AK628</f>
        <v/>
      </c>
      <c r="O631" s="3">
        <f>'Historical Data'!AA628</f>
        <v/>
      </c>
      <c r="P631" s="3">
        <f>'Historical Data'!AB628</f>
        <v/>
      </c>
      <c r="Q631" s="3">
        <f>'Historical Data'!AN628</f>
        <v/>
      </c>
      <c r="R631" s="3">
        <f>'Historical Data'!AC628</f>
        <v/>
      </c>
      <c r="S631" s="3">
        <f>'Historical Data'!AE628</f>
        <v/>
      </c>
      <c r="T631" s="3">
        <f>'Historical Data'!AH628</f>
        <v/>
      </c>
      <c r="U631" s="3">
        <f>'Historical Data'!BA628</f>
        <v/>
      </c>
      <c r="V631" s="3" t="n"/>
      <c r="W631" s="3" t="n"/>
      <c r="X631" s="3" t="n"/>
      <c r="Y631" s="3" t="n"/>
      <c r="Z631" s="3" t="n"/>
    </row>
    <row r="632" hidden="1" ht="15.75" customHeight="1" s="174">
      <c r="A632" s="3">
        <f>'Historical Data'!A629</f>
        <v/>
      </c>
      <c r="B632" s="3">
        <f>'Historical Data'!B629</f>
        <v/>
      </c>
      <c r="C632" s="3">
        <f>'Historical Data'!D629</f>
        <v/>
      </c>
      <c r="D632" s="23">
        <f>'Historical Data'!E629</f>
        <v/>
      </c>
      <c r="E632" s="3">
        <f>'Historical Data'!G629</f>
        <v/>
      </c>
      <c r="F632" s="3">
        <f>'Historical Data'!Y629</f>
        <v/>
      </c>
      <c r="G632" s="3">
        <f>'Historical Data'!K629</f>
        <v/>
      </c>
      <c r="H632" s="3">
        <f>'Historical Data'!L629</f>
        <v/>
      </c>
      <c r="I632" s="26">
        <f>'Historical Data'!M629</f>
        <v/>
      </c>
      <c r="J632" s="28">
        <f>'Historical Data'!N629</f>
        <v/>
      </c>
      <c r="K632" s="28">
        <f>'Historical Data'!Q629</f>
        <v/>
      </c>
      <c r="L632" s="30">
        <f>'Historical Data'!S629</f>
        <v/>
      </c>
      <c r="M632" s="28">
        <f>'Historical Data'!AJ629</f>
        <v/>
      </c>
      <c r="N632" s="28">
        <f>'Historical Data'!AK629</f>
        <v/>
      </c>
      <c r="O632" s="3">
        <f>'Historical Data'!AA629</f>
        <v/>
      </c>
      <c r="P632" s="3">
        <f>'Historical Data'!AB629</f>
        <v/>
      </c>
      <c r="Q632" s="3">
        <f>'Historical Data'!AN629</f>
        <v/>
      </c>
      <c r="R632" s="3">
        <f>'Historical Data'!AC629</f>
        <v/>
      </c>
      <c r="S632" s="3">
        <f>'Historical Data'!AE629</f>
        <v/>
      </c>
      <c r="T632" s="3">
        <f>'Historical Data'!AH629</f>
        <v/>
      </c>
      <c r="U632" s="3">
        <f>'Historical Data'!BA629</f>
        <v/>
      </c>
      <c r="V632" s="3" t="n"/>
      <c r="W632" s="3" t="n"/>
      <c r="X632" s="3" t="n"/>
      <c r="Y632" s="3" t="n"/>
      <c r="Z632" s="3" t="n"/>
    </row>
    <row r="633" hidden="1" ht="15.75" customHeight="1" s="174">
      <c r="A633" s="3">
        <f>'Historical Data'!A630</f>
        <v/>
      </c>
      <c r="B633" s="3">
        <f>'Historical Data'!B630</f>
        <v/>
      </c>
      <c r="C633" s="3">
        <f>'Historical Data'!D630</f>
        <v/>
      </c>
      <c r="D633" s="23">
        <f>'Historical Data'!E630</f>
        <v/>
      </c>
      <c r="E633" s="3">
        <f>'Historical Data'!G630</f>
        <v/>
      </c>
      <c r="F633" s="3">
        <f>'Historical Data'!Y630</f>
        <v/>
      </c>
      <c r="G633" s="3">
        <f>'Historical Data'!K630</f>
        <v/>
      </c>
      <c r="H633" s="3">
        <f>'Historical Data'!L630</f>
        <v/>
      </c>
      <c r="I633" s="26">
        <f>'Historical Data'!M630</f>
        <v/>
      </c>
      <c r="J633" s="28">
        <f>'Historical Data'!N630</f>
        <v/>
      </c>
      <c r="K633" s="28">
        <f>'Historical Data'!Q630</f>
        <v/>
      </c>
      <c r="L633" s="30">
        <f>'Historical Data'!S630</f>
        <v/>
      </c>
      <c r="M633" s="28">
        <f>'Historical Data'!AJ630</f>
        <v/>
      </c>
      <c r="N633" s="28">
        <f>'Historical Data'!AK630</f>
        <v/>
      </c>
      <c r="O633" s="3">
        <f>'Historical Data'!AA630</f>
        <v/>
      </c>
      <c r="P633" s="3">
        <f>'Historical Data'!AB630</f>
        <v/>
      </c>
      <c r="Q633" s="3">
        <f>'Historical Data'!AN630</f>
        <v/>
      </c>
      <c r="R633" s="3">
        <f>'Historical Data'!AC630</f>
        <v/>
      </c>
      <c r="S633" s="3">
        <f>'Historical Data'!AE630</f>
        <v/>
      </c>
      <c r="T633" s="3">
        <f>'Historical Data'!AH630</f>
        <v/>
      </c>
      <c r="U633" s="3">
        <f>'Historical Data'!BA630</f>
        <v/>
      </c>
      <c r="V633" s="3" t="n"/>
      <c r="W633" s="3" t="n"/>
      <c r="X633" s="3" t="n"/>
      <c r="Y633" s="3" t="n"/>
      <c r="Z633" s="3" t="n"/>
    </row>
    <row r="634" hidden="1" ht="15.75" customHeight="1" s="174">
      <c r="A634" s="3">
        <f>'Historical Data'!A631</f>
        <v/>
      </c>
      <c r="B634" s="3">
        <f>'Historical Data'!B631</f>
        <v/>
      </c>
      <c r="C634" s="3">
        <f>'Historical Data'!D631</f>
        <v/>
      </c>
      <c r="D634" s="23">
        <f>'Historical Data'!E631</f>
        <v/>
      </c>
      <c r="E634" s="3">
        <f>'Historical Data'!G631</f>
        <v/>
      </c>
      <c r="F634" s="3">
        <f>'Historical Data'!Y631</f>
        <v/>
      </c>
      <c r="G634" s="3">
        <f>'Historical Data'!K631</f>
        <v/>
      </c>
      <c r="H634" s="3">
        <f>'Historical Data'!L631</f>
        <v/>
      </c>
      <c r="I634" s="26">
        <f>'Historical Data'!M631</f>
        <v/>
      </c>
      <c r="J634" s="28">
        <f>'Historical Data'!N631</f>
        <v/>
      </c>
      <c r="K634" s="28">
        <f>'Historical Data'!Q631</f>
        <v/>
      </c>
      <c r="L634" s="30">
        <f>'Historical Data'!S631</f>
        <v/>
      </c>
      <c r="M634" s="28">
        <f>'Historical Data'!AJ631</f>
        <v/>
      </c>
      <c r="N634" s="28">
        <f>'Historical Data'!AK631</f>
        <v/>
      </c>
      <c r="O634" s="3">
        <f>'Historical Data'!AA631</f>
        <v/>
      </c>
      <c r="P634" s="3">
        <f>'Historical Data'!AB631</f>
        <v/>
      </c>
      <c r="Q634" s="3">
        <f>'Historical Data'!AN631</f>
        <v/>
      </c>
      <c r="R634" s="3">
        <f>'Historical Data'!AC631</f>
        <v/>
      </c>
      <c r="S634" s="3">
        <f>'Historical Data'!AE631</f>
        <v/>
      </c>
      <c r="T634" s="3">
        <f>'Historical Data'!AH631</f>
        <v/>
      </c>
      <c r="U634" s="3">
        <f>'Historical Data'!BA631</f>
        <v/>
      </c>
      <c r="V634" s="3" t="n"/>
      <c r="W634" s="3" t="n"/>
      <c r="X634" s="3" t="n"/>
      <c r="Y634" s="3" t="n"/>
      <c r="Z634" s="3" t="n"/>
    </row>
    <row r="635" hidden="1" ht="15.75" customHeight="1" s="174">
      <c r="A635" s="3">
        <f>'Historical Data'!A632</f>
        <v/>
      </c>
      <c r="B635" s="3">
        <f>'Historical Data'!B632</f>
        <v/>
      </c>
      <c r="C635" s="3">
        <f>'Historical Data'!D632</f>
        <v/>
      </c>
      <c r="D635" s="23">
        <f>'Historical Data'!E632</f>
        <v/>
      </c>
      <c r="E635" s="3">
        <f>'Historical Data'!G632</f>
        <v/>
      </c>
      <c r="F635" s="3">
        <f>'Historical Data'!Y632</f>
        <v/>
      </c>
      <c r="G635" s="3">
        <f>'Historical Data'!K632</f>
        <v/>
      </c>
      <c r="H635" s="3">
        <f>'Historical Data'!L632</f>
        <v/>
      </c>
      <c r="I635" s="26">
        <f>'Historical Data'!M632</f>
        <v/>
      </c>
      <c r="J635" s="28">
        <f>'Historical Data'!N632</f>
        <v/>
      </c>
      <c r="K635" s="28">
        <f>'Historical Data'!Q632</f>
        <v/>
      </c>
      <c r="L635" s="30">
        <f>'Historical Data'!S632</f>
        <v/>
      </c>
      <c r="M635" s="28">
        <f>'Historical Data'!AJ632</f>
        <v/>
      </c>
      <c r="N635" s="28">
        <f>'Historical Data'!AK632</f>
        <v/>
      </c>
      <c r="O635" s="3">
        <f>'Historical Data'!AA632</f>
        <v/>
      </c>
      <c r="P635" s="3">
        <f>'Historical Data'!AB632</f>
        <v/>
      </c>
      <c r="Q635" s="3">
        <f>'Historical Data'!AN632</f>
        <v/>
      </c>
      <c r="R635" s="3">
        <f>'Historical Data'!AC632</f>
        <v/>
      </c>
      <c r="S635" s="3">
        <f>'Historical Data'!AE632</f>
        <v/>
      </c>
      <c r="T635" s="3">
        <f>'Historical Data'!AH632</f>
        <v/>
      </c>
      <c r="U635" s="3">
        <f>'Historical Data'!BA632</f>
        <v/>
      </c>
      <c r="V635" s="3" t="n"/>
      <c r="W635" s="3" t="n"/>
      <c r="X635" s="3" t="n"/>
      <c r="Y635" s="3" t="n"/>
      <c r="Z635" s="3" t="n"/>
    </row>
    <row r="636" hidden="1" ht="15.75" customHeight="1" s="174">
      <c r="A636" s="3">
        <f>'Historical Data'!A633</f>
        <v/>
      </c>
      <c r="B636" s="3">
        <f>'Historical Data'!B633</f>
        <v/>
      </c>
      <c r="C636" s="3">
        <f>'Historical Data'!D633</f>
        <v/>
      </c>
      <c r="D636" s="23">
        <f>'Historical Data'!E633</f>
        <v/>
      </c>
      <c r="E636" s="3">
        <f>'Historical Data'!G633</f>
        <v/>
      </c>
      <c r="F636" s="3">
        <f>'Historical Data'!Y633</f>
        <v/>
      </c>
      <c r="G636" s="3">
        <f>'Historical Data'!K633</f>
        <v/>
      </c>
      <c r="H636" s="3">
        <f>'Historical Data'!L633</f>
        <v/>
      </c>
      <c r="I636" s="26">
        <f>'Historical Data'!M633</f>
        <v/>
      </c>
      <c r="J636" s="28">
        <f>'Historical Data'!N633</f>
        <v/>
      </c>
      <c r="K636" s="28">
        <f>'Historical Data'!Q633</f>
        <v/>
      </c>
      <c r="L636" s="30">
        <f>'Historical Data'!S633</f>
        <v/>
      </c>
      <c r="M636" s="28">
        <f>'Historical Data'!AJ633</f>
        <v/>
      </c>
      <c r="N636" s="28">
        <f>'Historical Data'!AK633</f>
        <v/>
      </c>
      <c r="O636" s="3">
        <f>'Historical Data'!AA633</f>
        <v/>
      </c>
      <c r="P636" s="3">
        <f>'Historical Data'!AB633</f>
        <v/>
      </c>
      <c r="Q636" s="3">
        <f>'Historical Data'!AN633</f>
        <v/>
      </c>
      <c r="R636" s="3">
        <f>'Historical Data'!AC633</f>
        <v/>
      </c>
      <c r="S636" s="3">
        <f>'Historical Data'!AE633</f>
        <v/>
      </c>
      <c r="T636" s="3">
        <f>'Historical Data'!AH633</f>
        <v/>
      </c>
      <c r="U636" s="3">
        <f>'Historical Data'!BA633</f>
        <v/>
      </c>
      <c r="V636" s="3" t="n"/>
      <c r="W636" s="3" t="n"/>
      <c r="X636" s="3" t="n"/>
      <c r="Y636" s="3" t="n"/>
      <c r="Z636" s="3" t="n"/>
    </row>
    <row r="637" hidden="1" ht="15.75" customHeight="1" s="174">
      <c r="A637" s="3">
        <f>'Historical Data'!A634</f>
        <v/>
      </c>
      <c r="B637" s="3">
        <f>'Historical Data'!B634</f>
        <v/>
      </c>
      <c r="C637" s="3">
        <f>'Historical Data'!D634</f>
        <v/>
      </c>
      <c r="D637" s="23">
        <f>'Historical Data'!E634</f>
        <v/>
      </c>
      <c r="E637" s="3">
        <f>'Historical Data'!G634</f>
        <v/>
      </c>
      <c r="F637" s="3">
        <f>'Historical Data'!Y634</f>
        <v/>
      </c>
      <c r="G637" s="3">
        <f>'Historical Data'!K634</f>
        <v/>
      </c>
      <c r="H637" s="3">
        <f>'Historical Data'!L634</f>
        <v/>
      </c>
      <c r="I637" s="26">
        <f>'Historical Data'!M634</f>
        <v/>
      </c>
      <c r="J637" s="28">
        <f>'Historical Data'!N634</f>
        <v/>
      </c>
      <c r="K637" s="28">
        <f>'Historical Data'!Q634</f>
        <v/>
      </c>
      <c r="L637" s="30">
        <f>'Historical Data'!S634</f>
        <v/>
      </c>
      <c r="M637" s="28">
        <f>'Historical Data'!AJ634</f>
        <v/>
      </c>
      <c r="N637" s="28">
        <f>'Historical Data'!AK634</f>
        <v/>
      </c>
      <c r="O637" s="3">
        <f>'Historical Data'!AA634</f>
        <v/>
      </c>
      <c r="P637" s="3">
        <f>'Historical Data'!AB634</f>
        <v/>
      </c>
      <c r="Q637" s="3">
        <f>'Historical Data'!AN634</f>
        <v/>
      </c>
      <c r="R637" s="3">
        <f>'Historical Data'!AC634</f>
        <v/>
      </c>
      <c r="S637" s="3">
        <f>'Historical Data'!AE634</f>
        <v/>
      </c>
      <c r="T637" s="3">
        <f>'Historical Data'!AH634</f>
        <v/>
      </c>
      <c r="U637" s="3">
        <f>'Historical Data'!BA634</f>
        <v/>
      </c>
      <c r="V637" s="3" t="n"/>
      <c r="W637" s="3" t="n"/>
      <c r="X637" s="3" t="n"/>
      <c r="Y637" s="3" t="n"/>
      <c r="Z637" s="3" t="n"/>
    </row>
    <row r="638" hidden="1" ht="15.75" customHeight="1" s="174">
      <c r="A638" s="3">
        <f>'Historical Data'!A635</f>
        <v/>
      </c>
      <c r="B638" s="3">
        <f>'Historical Data'!B635</f>
        <v/>
      </c>
      <c r="C638" s="3">
        <f>'Historical Data'!D635</f>
        <v/>
      </c>
      <c r="D638" s="23">
        <f>'Historical Data'!E635</f>
        <v/>
      </c>
      <c r="E638" s="3">
        <f>'Historical Data'!G635</f>
        <v/>
      </c>
      <c r="F638" s="3">
        <f>'Historical Data'!Y635</f>
        <v/>
      </c>
      <c r="G638" s="3">
        <f>'Historical Data'!K635</f>
        <v/>
      </c>
      <c r="H638" s="3">
        <f>'Historical Data'!L635</f>
        <v/>
      </c>
      <c r="I638" s="26">
        <f>'Historical Data'!M635</f>
        <v/>
      </c>
      <c r="J638" s="28">
        <f>'Historical Data'!N635</f>
        <v/>
      </c>
      <c r="K638" s="28">
        <f>'Historical Data'!Q635</f>
        <v/>
      </c>
      <c r="L638" s="30">
        <f>'Historical Data'!S635</f>
        <v/>
      </c>
      <c r="M638" s="28">
        <f>'Historical Data'!AJ635</f>
        <v/>
      </c>
      <c r="N638" s="28">
        <f>'Historical Data'!AK635</f>
        <v/>
      </c>
      <c r="O638" s="3">
        <f>'Historical Data'!AA635</f>
        <v/>
      </c>
      <c r="P638" s="3">
        <f>'Historical Data'!AB635</f>
        <v/>
      </c>
      <c r="Q638" s="3">
        <f>'Historical Data'!AN635</f>
        <v/>
      </c>
      <c r="R638" s="3">
        <f>'Historical Data'!AC635</f>
        <v/>
      </c>
      <c r="S638" s="3">
        <f>'Historical Data'!AE635</f>
        <v/>
      </c>
      <c r="T638" s="3">
        <f>'Historical Data'!AH635</f>
        <v/>
      </c>
      <c r="U638" s="3">
        <f>'Historical Data'!BA635</f>
        <v/>
      </c>
      <c r="V638" s="3" t="n"/>
      <c r="W638" s="3" t="n"/>
      <c r="X638" s="3" t="n"/>
      <c r="Y638" s="3" t="n"/>
      <c r="Z638" s="3" t="n"/>
    </row>
    <row r="639" hidden="1" ht="15.75" customHeight="1" s="174">
      <c r="A639" s="3">
        <f>'Historical Data'!A636</f>
        <v/>
      </c>
      <c r="B639" s="3">
        <f>'Historical Data'!B636</f>
        <v/>
      </c>
      <c r="C639" s="3">
        <f>'Historical Data'!D636</f>
        <v/>
      </c>
      <c r="D639" s="23">
        <f>'Historical Data'!E636</f>
        <v/>
      </c>
      <c r="E639" s="3">
        <f>'Historical Data'!G636</f>
        <v/>
      </c>
      <c r="F639" s="3">
        <f>'Historical Data'!Y636</f>
        <v/>
      </c>
      <c r="G639" s="3">
        <f>'Historical Data'!K636</f>
        <v/>
      </c>
      <c r="H639" s="3">
        <f>'Historical Data'!L636</f>
        <v/>
      </c>
      <c r="I639" s="26">
        <f>'Historical Data'!M636</f>
        <v/>
      </c>
      <c r="J639" s="28">
        <f>'Historical Data'!N636</f>
        <v/>
      </c>
      <c r="K639" s="28">
        <f>'Historical Data'!Q636</f>
        <v/>
      </c>
      <c r="L639" s="30">
        <f>'Historical Data'!S636</f>
        <v/>
      </c>
      <c r="M639" s="28">
        <f>'Historical Data'!AJ636</f>
        <v/>
      </c>
      <c r="N639" s="28">
        <f>'Historical Data'!AK636</f>
        <v/>
      </c>
      <c r="O639" s="3">
        <f>'Historical Data'!AA636</f>
        <v/>
      </c>
      <c r="P639" s="3">
        <f>'Historical Data'!AB636</f>
        <v/>
      </c>
      <c r="Q639" s="3">
        <f>'Historical Data'!AN636</f>
        <v/>
      </c>
      <c r="R639" s="3">
        <f>'Historical Data'!AC636</f>
        <v/>
      </c>
      <c r="S639" s="3">
        <f>'Historical Data'!AE636</f>
        <v/>
      </c>
      <c r="T639" s="3">
        <f>'Historical Data'!AH636</f>
        <v/>
      </c>
      <c r="U639" s="3">
        <f>'Historical Data'!BA636</f>
        <v/>
      </c>
      <c r="V639" s="3" t="n"/>
      <c r="W639" s="3" t="n"/>
      <c r="X639" s="3" t="n"/>
      <c r="Y639" s="3" t="n"/>
      <c r="Z639" s="3" t="n"/>
    </row>
    <row r="640" hidden="1" ht="15.75" customHeight="1" s="174">
      <c r="A640" s="3">
        <f>'Historical Data'!A637</f>
        <v/>
      </c>
      <c r="B640" s="3">
        <f>'Historical Data'!B637</f>
        <v/>
      </c>
      <c r="C640" s="3">
        <f>'Historical Data'!D637</f>
        <v/>
      </c>
      <c r="D640" s="23">
        <f>'Historical Data'!E637</f>
        <v/>
      </c>
      <c r="E640" s="3">
        <f>'Historical Data'!G637</f>
        <v/>
      </c>
      <c r="F640" s="3">
        <f>'Historical Data'!Y637</f>
        <v/>
      </c>
      <c r="G640" s="3">
        <f>'Historical Data'!K637</f>
        <v/>
      </c>
      <c r="H640" s="3">
        <f>'Historical Data'!L637</f>
        <v/>
      </c>
      <c r="I640" s="26">
        <f>'Historical Data'!M637</f>
        <v/>
      </c>
      <c r="J640" s="28">
        <f>'Historical Data'!N637</f>
        <v/>
      </c>
      <c r="K640" s="28">
        <f>'Historical Data'!Q637</f>
        <v/>
      </c>
      <c r="L640" s="30">
        <f>'Historical Data'!S637</f>
        <v/>
      </c>
      <c r="M640" s="28">
        <f>'Historical Data'!AJ637</f>
        <v/>
      </c>
      <c r="N640" s="28">
        <f>'Historical Data'!AK637</f>
        <v/>
      </c>
      <c r="O640" s="3">
        <f>'Historical Data'!AA637</f>
        <v/>
      </c>
      <c r="P640" s="3">
        <f>'Historical Data'!AB637</f>
        <v/>
      </c>
      <c r="Q640" s="3">
        <f>'Historical Data'!AN637</f>
        <v/>
      </c>
      <c r="R640" s="3">
        <f>'Historical Data'!AC637</f>
        <v/>
      </c>
      <c r="S640" s="3">
        <f>'Historical Data'!AE637</f>
        <v/>
      </c>
      <c r="T640" s="3">
        <f>'Historical Data'!AH637</f>
        <v/>
      </c>
      <c r="U640" s="3">
        <f>'Historical Data'!BA637</f>
        <v/>
      </c>
      <c r="V640" s="3" t="n"/>
      <c r="W640" s="3" t="n"/>
      <c r="X640" s="3" t="n"/>
      <c r="Y640" s="3" t="n"/>
      <c r="Z640" s="3" t="n"/>
    </row>
    <row r="641" hidden="1" ht="15.75" customHeight="1" s="174">
      <c r="A641" s="3">
        <f>'Historical Data'!A638</f>
        <v/>
      </c>
      <c r="B641" s="3">
        <f>'Historical Data'!B638</f>
        <v/>
      </c>
      <c r="C641" s="3">
        <f>'Historical Data'!D638</f>
        <v/>
      </c>
      <c r="D641" s="23">
        <f>'Historical Data'!E638</f>
        <v/>
      </c>
      <c r="E641" s="3">
        <f>'Historical Data'!G638</f>
        <v/>
      </c>
      <c r="F641" s="3">
        <f>'Historical Data'!Y638</f>
        <v/>
      </c>
      <c r="G641" s="3">
        <f>'Historical Data'!K638</f>
        <v/>
      </c>
      <c r="H641" s="3">
        <f>'Historical Data'!L638</f>
        <v/>
      </c>
      <c r="I641" s="26">
        <f>'Historical Data'!M638</f>
        <v/>
      </c>
      <c r="J641" s="28">
        <f>'Historical Data'!N638</f>
        <v/>
      </c>
      <c r="K641" s="28">
        <f>'Historical Data'!Q638</f>
        <v/>
      </c>
      <c r="L641" s="30">
        <f>'Historical Data'!S638</f>
        <v/>
      </c>
      <c r="M641" s="28">
        <f>'Historical Data'!AJ638</f>
        <v/>
      </c>
      <c r="N641" s="28">
        <f>'Historical Data'!AK638</f>
        <v/>
      </c>
      <c r="O641" s="3">
        <f>'Historical Data'!AA638</f>
        <v/>
      </c>
      <c r="P641" s="3">
        <f>'Historical Data'!AB638</f>
        <v/>
      </c>
      <c r="Q641" s="3">
        <f>'Historical Data'!AN638</f>
        <v/>
      </c>
      <c r="R641" s="3">
        <f>'Historical Data'!AC638</f>
        <v/>
      </c>
      <c r="S641" s="3">
        <f>'Historical Data'!AE638</f>
        <v/>
      </c>
      <c r="T641" s="3">
        <f>'Historical Data'!AH638</f>
        <v/>
      </c>
      <c r="U641" s="3">
        <f>'Historical Data'!BA638</f>
        <v/>
      </c>
      <c r="V641" s="3" t="n"/>
      <c r="W641" s="3" t="n"/>
      <c r="X641" s="3" t="n"/>
      <c r="Y641" s="3" t="n"/>
      <c r="Z641" s="3" t="n"/>
    </row>
    <row r="642" hidden="1" ht="15.75" customHeight="1" s="174">
      <c r="A642" s="3">
        <f>'Historical Data'!A639</f>
        <v/>
      </c>
      <c r="B642" s="3">
        <f>'Historical Data'!B639</f>
        <v/>
      </c>
      <c r="C642" s="3">
        <f>'Historical Data'!D639</f>
        <v/>
      </c>
      <c r="D642" s="23">
        <f>'Historical Data'!E639</f>
        <v/>
      </c>
      <c r="E642" s="3">
        <f>'Historical Data'!G639</f>
        <v/>
      </c>
      <c r="F642" s="3">
        <f>'Historical Data'!Y639</f>
        <v/>
      </c>
      <c r="G642" s="3">
        <f>'Historical Data'!K639</f>
        <v/>
      </c>
      <c r="H642" s="3">
        <f>'Historical Data'!L639</f>
        <v/>
      </c>
      <c r="I642" s="26">
        <f>'Historical Data'!M639</f>
        <v/>
      </c>
      <c r="J642" s="28">
        <f>'Historical Data'!N639</f>
        <v/>
      </c>
      <c r="K642" s="28">
        <f>'Historical Data'!Q639</f>
        <v/>
      </c>
      <c r="L642" s="30">
        <f>'Historical Data'!S639</f>
        <v/>
      </c>
      <c r="M642" s="28">
        <f>'Historical Data'!AJ639</f>
        <v/>
      </c>
      <c r="N642" s="28">
        <f>'Historical Data'!AK639</f>
        <v/>
      </c>
      <c r="O642" s="3">
        <f>'Historical Data'!AA639</f>
        <v/>
      </c>
      <c r="P642" s="3">
        <f>'Historical Data'!AB639</f>
        <v/>
      </c>
      <c r="Q642" s="3">
        <f>'Historical Data'!AN639</f>
        <v/>
      </c>
      <c r="R642" s="3">
        <f>'Historical Data'!AC639</f>
        <v/>
      </c>
      <c r="S642" s="3">
        <f>'Historical Data'!AE639</f>
        <v/>
      </c>
      <c r="T642" s="3">
        <f>'Historical Data'!AH639</f>
        <v/>
      </c>
      <c r="U642" s="3">
        <f>'Historical Data'!BA639</f>
        <v/>
      </c>
      <c r="V642" s="3" t="n"/>
      <c r="W642" s="3" t="n"/>
      <c r="X642" s="3" t="n"/>
      <c r="Y642" s="3" t="n"/>
      <c r="Z642" s="3" t="n"/>
    </row>
    <row r="643" hidden="1" ht="15.75" customHeight="1" s="174">
      <c r="A643" s="3">
        <f>'Historical Data'!A640</f>
        <v/>
      </c>
      <c r="B643" s="3">
        <f>'Historical Data'!B640</f>
        <v/>
      </c>
      <c r="C643" s="3">
        <f>'Historical Data'!D640</f>
        <v/>
      </c>
      <c r="D643" s="23">
        <f>'Historical Data'!E640</f>
        <v/>
      </c>
      <c r="E643" s="3">
        <f>'Historical Data'!G640</f>
        <v/>
      </c>
      <c r="F643" s="3">
        <f>'Historical Data'!Y640</f>
        <v/>
      </c>
      <c r="G643" s="3">
        <f>'Historical Data'!K640</f>
        <v/>
      </c>
      <c r="H643" s="3">
        <f>'Historical Data'!L640</f>
        <v/>
      </c>
      <c r="I643" s="26">
        <f>'Historical Data'!M640</f>
        <v/>
      </c>
      <c r="J643" s="28">
        <f>'Historical Data'!N640</f>
        <v/>
      </c>
      <c r="K643" s="28">
        <f>'Historical Data'!Q640</f>
        <v/>
      </c>
      <c r="L643" s="30">
        <f>'Historical Data'!S640</f>
        <v/>
      </c>
      <c r="M643" s="28">
        <f>'Historical Data'!AJ640</f>
        <v/>
      </c>
      <c r="N643" s="28">
        <f>'Historical Data'!AK640</f>
        <v/>
      </c>
      <c r="O643" s="3">
        <f>'Historical Data'!AA640</f>
        <v/>
      </c>
      <c r="P643" s="3">
        <f>'Historical Data'!AB640</f>
        <v/>
      </c>
      <c r="Q643" s="3">
        <f>'Historical Data'!AN640</f>
        <v/>
      </c>
      <c r="R643" s="3">
        <f>'Historical Data'!AC640</f>
        <v/>
      </c>
      <c r="S643" s="3">
        <f>'Historical Data'!AE640</f>
        <v/>
      </c>
      <c r="T643" s="3">
        <f>'Historical Data'!AH640</f>
        <v/>
      </c>
      <c r="U643" s="3">
        <f>'Historical Data'!BA640</f>
        <v/>
      </c>
      <c r="V643" s="3" t="n"/>
      <c r="W643" s="3" t="n"/>
      <c r="X643" s="3" t="n"/>
      <c r="Y643" s="3" t="n"/>
      <c r="Z643" s="3" t="n"/>
    </row>
    <row r="644" hidden="1" ht="15.75" customHeight="1" s="174">
      <c r="A644" s="3">
        <f>'Historical Data'!A641</f>
        <v/>
      </c>
      <c r="B644" s="3">
        <f>'Historical Data'!B641</f>
        <v/>
      </c>
      <c r="C644" s="3">
        <f>'Historical Data'!D641</f>
        <v/>
      </c>
      <c r="D644" s="23">
        <f>'Historical Data'!E641</f>
        <v/>
      </c>
      <c r="E644" s="3">
        <f>'Historical Data'!G641</f>
        <v/>
      </c>
      <c r="F644" s="3">
        <f>'Historical Data'!Y641</f>
        <v/>
      </c>
      <c r="G644" s="3">
        <f>'Historical Data'!K641</f>
        <v/>
      </c>
      <c r="H644" s="3">
        <f>'Historical Data'!L641</f>
        <v/>
      </c>
      <c r="I644" s="26">
        <f>'Historical Data'!M641</f>
        <v/>
      </c>
      <c r="J644" s="28">
        <f>'Historical Data'!N641</f>
        <v/>
      </c>
      <c r="K644" s="28">
        <f>'Historical Data'!Q641</f>
        <v/>
      </c>
      <c r="L644" s="30">
        <f>'Historical Data'!S641</f>
        <v/>
      </c>
      <c r="M644" s="28">
        <f>'Historical Data'!AJ641</f>
        <v/>
      </c>
      <c r="N644" s="28">
        <f>'Historical Data'!AK641</f>
        <v/>
      </c>
      <c r="O644" s="3">
        <f>'Historical Data'!AA641</f>
        <v/>
      </c>
      <c r="P644" s="3">
        <f>'Historical Data'!AB641</f>
        <v/>
      </c>
      <c r="Q644" s="3">
        <f>'Historical Data'!AN641</f>
        <v/>
      </c>
      <c r="R644" s="3">
        <f>'Historical Data'!AC641</f>
        <v/>
      </c>
      <c r="S644" s="3">
        <f>'Historical Data'!AE641</f>
        <v/>
      </c>
      <c r="T644" s="3">
        <f>'Historical Data'!AH641</f>
        <v/>
      </c>
      <c r="U644" s="3">
        <f>'Historical Data'!BA641</f>
        <v/>
      </c>
      <c r="V644" s="3" t="n"/>
      <c r="W644" s="3" t="n"/>
      <c r="X644" s="3" t="n"/>
      <c r="Y644" s="3" t="n"/>
      <c r="Z644" s="3" t="n"/>
    </row>
    <row r="645" hidden="1" ht="15.75" customHeight="1" s="174">
      <c r="A645" s="3">
        <f>'Historical Data'!A642</f>
        <v/>
      </c>
      <c r="B645" s="3">
        <f>'Historical Data'!B642</f>
        <v/>
      </c>
      <c r="C645" s="3">
        <f>'Historical Data'!D642</f>
        <v/>
      </c>
      <c r="D645" s="23">
        <f>'Historical Data'!E642</f>
        <v/>
      </c>
      <c r="E645" s="3">
        <f>'Historical Data'!G642</f>
        <v/>
      </c>
      <c r="F645" s="3">
        <f>'Historical Data'!Y642</f>
        <v/>
      </c>
      <c r="G645" s="3">
        <f>'Historical Data'!K642</f>
        <v/>
      </c>
      <c r="H645" s="3">
        <f>'Historical Data'!L642</f>
        <v/>
      </c>
      <c r="I645" s="26">
        <f>'Historical Data'!M642</f>
        <v/>
      </c>
      <c r="J645" s="28">
        <f>'Historical Data'!N642</f>
        <v/>
      </c>
      <c r="K645" s="28">
        <f>'Historical Data'!Q642</f>
        <v/>
      </c>
      <c r="L645" s="30">
        <f>'Historical Data'!S642</f>
        <v/>
      </c>
      <c r="M645" s="28">
        <f>'Historical Data'!AJ642</f>
        <v/>
      </c>
      <c r="N645" s="28">
        <f>'Historical Data'!AK642</f>
        <v/>
      </c>
      <c r="O645" s="3">
        <f>'Historical Data'!AA642</f>
        <v/>
      </c>
      <c r="P645" s="3">
        <f>'Historical Data'!AB642</f>
        <v/>
      </c>
      <c r="Q645" s="3">
        <f>'Historical Data'!AN642</f>
        <v/>
      </c>
      <c r="R645" s="3">
        <f>'Historical Data'!AC642</f>
        <v/>
      </c>
      <c r="S645" s="3">
        <f>'Historical Data'!AE642</f>
        <v/>
      </c>
      <c r="T645" s="3">
        <f>'Historical Data'!AH642</f>
        <v/>
      </c>
      <c r="U645" s="3">
        <f>'Historical Data'!BA642</f>
        <v/>
      </c>
      <c r="V645" s="3" t="n"/>
      <c r="W645" s="3" t="n"/>
      <c r="X645" s="3" t="n"/>
      <c r="Y645" s="3" t="n"/>
      <c r="Z645" s="3" t="n"/>
    </row>
    <row r="646" hidden="1" ht="15.75" customHeight="1" s="174">
      <c r="A646" s="3">
        <f>'Historical Data'!A643</f>
        <v/>
      </c>
      <c r="B646" s="3">
        <f>'Historical Data'!B643</f>
        <v/>
      </c>
      <c r="C646" s="3">
        <f>'Historical Data'!D643</f>
        <v/>
      </c>
      <c r="D646" s="23">
        <f>'Historical Data'!E643</f>
        <v/>
      </c>
      <c r="E646" s="3">
        <f>'Historical Data'!G643</f>
        <v/>
      </c>
      <c r="F646" s="3">
        <f>'Historical Data'!Y643</f>
        <v/>
      </c>
      <c r="G646" s="3">
        <f>'Historical Data'!K643</f>
        <v/>
      </c>
      <c r="H646" s="3">
        <f>'Historical Data'!L643</f>
        <v/>
      </c>
      <c r="I646" s="26">
        <f>'Historical Data'!M643</f>
        <v/>
      </c>
      <c r="J646" s="28">
        <f>'Historical Data'!N643</f>
        <v/>
      </c>
      <c r="K646" s="28">
        <f>'Historical Data'!Q643</f>
        <v/>
      </c>
      <c r="L646" s="30">
        <f>'Historical Data'!S643</f>
        <v/>
      </c>
      <c r="M646" s="28">
        <f>'Historical Data'!AJ643</f>
        <v/>
      </c>
      <c r="N646" s="28">
        <f>'Historical Data'!AK643</f>
        <v/>
      </c>
      <c r="O646" s="3">
        <f>'Historical Data'!AA643</f>
        <v/>
      </c>
      <c r="P646" s="3">
        <f>'Historical Data'!AB643</f>
        <v/>
      </c>
      <c r="Q646" s="3">
        <f>'Historical Data'!AN643</f>
        <v/>
      </c>
      <c r="R646" s="3">
        <f>'Historical Data'!AC643</f>
        <v/>
      </c>
      <c r="S646" s="3">
        <f>'Historical Data'!AE643</f>
        <v/>
      </c>
      <c r="T646" s="3">
        <f>'Historical Data'!AH643</f>
        <v/>
      </c>
      <c r="U646" s="3">
        <f>'Historical Data'!BA643</f>
        <v/>
      </c>
      <c r="V646" s="3" t="n"/>
      <c r="W646" s="3" t="n"/>
      <c r="X646" s="3" t="n"/>
      <c r="Y646" s="3" t="n"/>
      <c r="Z646" s="3" t="n"/>
    </row>
    <row r="647" hidden="1" ht="15.75" customHeight="1" s="174">
      <c r="A647" s="3">
        <f>'Historical Data'!A644</f>
        <v/>
      </c>
      <c r="B647" s="3">
        <f>'Historical Data'!B644</f>
        <v/>
      </c>
      <c r="C647" s="3">
        <f>'Historical Data'!D644</f>
        <v/>
      </c>
      <c r="D647" s="23">
        <f>'Historical Data'!E644</f>
        <v/>
      </c>
      <c r="E647" s="3">
        <f>'Historical Data'!G644</f>
        <v/>
      </c>
      <c r="F647" s="3">
        <f>'Historical Data'!Y644</f>
        <v/>
      </c>
      <c r="G647" s="3">
        <f>'Historical Data'!K644</f>
        <v/>
      </c>
      <c r="H647" s="3">
        <f>'Historical Data'!L644</f>
        <v/>
      </c>
      <c r="I647" s="26">
        <f>'Historical Data'!M644</f>
        <v/>
      </c>
      <c r="J647" s="28">
        <f>'Historical Data'!N644</f>
        <v/>
      </c>
      <c r="K647" s="28">
        <f>'Historical Data'!Q644</f>
        <v/>
      </c>
      <c r="L647" s="30">
        <f>'Historical Data'!S644</f>
        <v/>
      </c>
      <c r="M647" s="28">
        <f>'Historical Data'!AJ644</f>
        <v/>
      </c>
      <c r="N647" s="28">
        <f>'Historical Data'!AK644</f>
        <v/>
      </c>
      <c r="O647" s="3">
        <f>'Historical Data'!AA644</f>
        <v/>
      </c>
      <c r="P647" s="3">
        <f>'Historical Data'!AB644</f>
        <v/>
      </c>
      <c r="Q647" s="3">
        <f>'Historical Data'!AN644</f>
        <v/>
      </c>
      <c r="R647" s="3">
        <f>'Historical Data'!AC644</f>
        <v/>
      </c>
      <c r="S647" s="3">
        <f>'Historical Data'!AE644</f>
        <v/>
      </c>
      <c r="T647" s="3">
        <f>'Historical Data'!AH644</f>
        <v/>
      </c>
      <c r="U647" s="3">
        <f>'Historical Data'!BA644</f>
        <v/>
      </c>
      <c r="V647" s="3" t="n"/>
      <c r="W647" s="3" t="n"/>
      <c r="X647" s="3" t="n"/>
      <c r="Y647" s="3" t="n"/>
      <c r="Z647" s="3" t="n"/>
    </row>
    <row r="648" hidden="1" ht="15.75" customHeight="1" s="174">
      <c r="A648" s="3">
        <f>'Historical Data'!A645</f>
        <v/>
      </c>
      <c r="B648" s="3">
        <f>'Historical Data'!B645</f>
        <v/>
      </c>
      <c r="C648" s="3">
        <f>'Historical Data'!D645</f>
        <v/>
      </c>
      <c r="D648" s="23">
        <f>'Historical Data'!E645</f>
        <v/>
      </c>
      <c r="E648" s="3">
        <f>'Historical Data'!G645</f>
        <v/>
      </c>
      <c r="F648" s="3">
        <f>'Historical Data'!Y645</f>
        <v/>
      </c>
      <c r="G648" s="3">
        <f>'Historical Data'!K645</f>
        <v/>
      </c>
      <c r="H648" s="3">
        <f>'Historical Data'!L645</f>
        <v/>
      </c>
      <c r="I648" s="26">
        <f>'Historical Data'!M645</f>
        <v/>
      </c>
      <c r="J648" s="28">
        <f>'Historical Data'!N645</f>
        <v/>
      </c>
      <c r="K648" s="28">
        <f>'Historical Data'!Q645</f>
        <v/>
      </c>
      <c r="L648" s="30">
        <f>'Historical Data'!S645</f>
        <v/>
      </c>
      <c r="M648" s="28">
        <f>'Historical Data'!AJ645</f>
        <v/>
      </c>
      <c r="N648" s="28">
        <f>'Historical Data'!AK645</f>
        <v/>
      </c>
      <c r="O648" s="3">
        <f>'Historical Data'!AA645</f>
        <v/>
      </c>
      <c r="P648" s="3">
        <f>'Historical Data'!AB645</f>
        <v/>
      </c>
      <c r="Q648" s="3">
        <f>'Historical Data'!AN645</f>
        <v/>
      </c>
      <c r="R648" s="3">
        <f>'Historical Data'!AC645</f>
        <v/>
      </c>
      <c r="S648" s="3">
        <f>'Historical Data'!AE645</f>
        <v/>
      </c>
      <c r="T648" s="3">
        <f>'Historical Data'!AH645</f>
        <v/>
      </c>
      <c r="U648" s="3">
        <f>'Historical Data'!BA645</f>
        <v/>
      </c>
      <c r="V648" s="3" t="n"/>
      <c r="W648" s="3" t="n"/>
      <c r="X648" s="3" t="n"/>
      <c r="Y648" s="3" t="n"/>
      <c r="Z648" s="3" t="n"/>
    </row>
    <row r="649" hidden="1" ht="15.75" customHeight="1" s="174">
      <c r="A649" s="3">
        <f>'Historical Data'!A646</f>
        <v/>
      </c>
      <c r="B649" s="3">
        <f>'Historical Data'!B646</f>
        <v/>
      </c>
      <c r="C649" s="3">
        <f>'Historical Data'!D646</f>
        <v/>
      </c>
      <c r="D649" s="23">
        <f>'Historical Data'!E646</f>
        <v/>
      </c>
      <c r="E649" s="3">
        <f>'Historical Data'!G646</f>
        <v/>
      </c>
      <c r="F649" s="3">
        <f>'Historical Data'!Y646</f>
        <v/>
      </c>
      <c r="G649" s="3">
        <f>'Historical Data'!K646</f>
        <v/>
      </c>
      <c r="H649" s="3">
        <f>'Historical Data'!L646</f>
        <v/>
      </c>
      <c r="I649" s="26">
        <f>'Historical Data'!M646</f>
        <v/>
      </c>
      <c r="J649" s="28">
        <f>'Historical Data'!N646</f>
        <v/>
      </c>
      <c r="K649" s="28">
        <f>'Historical Data'!Q646</f>
        <v/>
      </c>
      <c r="L649" s="30">
        <f>'Historical Data'!S646</f>
        <v/>
      </c>
      <c r="M649" s="28">
        <f>'Historical Data'!AJ646</f>
        <v/>
      </c>
      <c r="N649" s="28">
        <f>'Historical Data'!AK646</f>
        <v/>
      </c>
      <c r="O649" s="3">
        <f>'Historical Data'!AA646</f>
        <v/>
      </c>
      <c r="P649" s="3">
        <f>'Historical Data'!AB646</f>
        <v/>
      </c>
      <c r="Q649" s="3">
        <f>'Historical Data'!AN646</f>
        <v/>
      </c>
      <c r="R649" s="3">
        <f>'Historical Data'!AC646</f>
        <v/>
      </c>
      <c r="S649" s="3">
        <f>'Historical Data'!AE646</f>
        <v/>
      </c>
      <c r="T649" s="3">
        <f>'Historical Data'!AH646</f>
        <v/>
      </c>
      <c r="U649" s="3">
        <f>'Historical Data'!BA646</f>
        <v/>
      </c>
      <c r="V649" s="3" t="n"/>
      <c r="W649" s="3" t="n"/>
      <c r="X649" s="3" t="n"/>
      <c r="Y649" s="3" t="n"/>
      <c r="Z649" s="3" t="n"/>
    </row>
    <row r="650" hidden="1" ht="15.75" customHeight="1" s="174">
      <c r="A650" s="3">
        <f>'Historical Data'!A647</f>
        <v/>
      </c>
      <c r="B650" s="3">
        <f>'Historical Data'!B647</f>
        <v/>
      </c>
      <c r="C650" s="3">
        <f>'Historical Data'!D647</f>
        <v/>
      </c>
      <c r="D650" s="23">
        <f>'Historical Data'!E647</f>
        <v/>
      </c>
      <c r="E650" s="3">
        <f>'Historical Data'!G647</f>
        <v/>
      </c>
      <c r="F650" s="3">
        <f>'Historical Data'!Y647</f>
        <v/>
      </c>
      <c r="G650" s="3">
        <f>'Historical Data'!K647</f>
        <v/>
      </c>
      <c r="H650" s="3">
        <f>'Historical Data'!L647</f>
        <v/>
      </c>
      <c r="I650" s="26">
        <f>'Historical Data'!M647</f>
        <v/>
      </c>
      <c r="J650" s="28">
        <f>'Historical Data'!N647</f>
        <v/>
      </c>
      <c r="K650" s="28">
        <f>'Historical Data'!Q647</f>
        <v/>
      </c>
      <c r="L650" s="30">
        <f>'Historical Data'!S647</f>
        <v/>
      </c>
      <c r="M650" s="28">
        <f>'Historical Data'!AJ647</f>
        <v/>
      </c>
      <c r="N650" s="28">
        <f>'Historical Data'!AK647</f>
        <v/>
      </c>
      <c r="O650" s="3">
        <f>'Historical Data'!AA647</f>
        <v/>
      </c>
      <c r="P650" s="3">
        <f>'Historical Data'!AB647</f>
        <v/>
      </c>
      <c r="Q650" s="3">
        <f>'Historical Data'!AN647</f>
        <v/>
      </c>
      <c r="R650" s="3">
        <f>'Historical Data'!AC647</f>
        <v/>
      </c>
      <c r="S650" s="3">
        <f>'Historical Data'!AE647</f>
        <v/>
      </c>
      <c r="T650" s="3">
        <f>'Historical Data'!AH647</f>
        <v/>
      </c>
      <c r="U650" s="3">
        <f>'Historical Data'!BA647</f>
        <v/>
      </c>
      <c r="V650" s="3" t="n"/>
      <c r="W650" s="3" t="n"/>
      <c r="X650" s="3" t="n"/>
      <c r="Y650" s="3" t="n"/>
      <c r="Z650" s="3" t="n"/>
    </row>
    <row r="651" hidden="1" ht="15.75" customHeight="1" s="174">
      <c r="A651" s="3">
        <f>'Historical Data'!A648</f>
        <v/>
      </c>
      <c r="B651" s="3">
        <f>'Historical Data'!B648</f>
        <v/>
      </c>
      <c r="C651" s="3">
        <f>'Historical Data'!D648</f>
        <v/>
      </c>
      <c r="D651" s="23">
        <f>'Historical Data'!E648</f>
        <v/>
      </c>
      <c r="E651" s="3">
        <f>'Historical Data'!G648</f>
        <v/>
      </c>
      <c r="F651" s="3">
        <f>'Historical Data'!Y648</f>
        <v/>
      </c>
      <c r="G651" s="3">
        <f>'Historical Data'!K648</f>
        <v/>
      </c>
      <c r="H651" s="3">
        <f>'Historical Data'!L648</f>
        <v/>
      </c>
      <c r="I651" s="26">
        <f>'Historical Data'!M648</f>
        <v/>
      </c>
      <c r="J651" s="28">
        <f>'Historical Data'!N648</f>
        <v/>
      </c>
      <c r="K651" s="28">
        <f>'Historical Data'!Q648</f>
        <v/>
      </c>
      <c r="L651" s="30">
        <f>'Historical Data'!S648</f>
        <v/>
      </c>
      <c r="M651" s="28">
        <f>'Historical Data'!AJ648</f>
        <v/>
      </c>
      <c r="N651" s="28">
        <f>'Historical Data'!AK648</f>
        <v/>
      </c>
      <c r="O651" s="3">
        <f>'Historical Data'!AA648</f>
        <v/>
      </c>
      <c r="P651" s="3">
        <f>'Historical Data'!AB648</f>
        <v/>
      </c>
      <c r="Q651" s="3">
        <f>'Historical Data'!AN648</f>
        <v/>
      </c>
      <c r="R651" s="3">
        <f>'Historical Data'!AC648</f>
        <v/>
      </c>
      <c r="S651" s="3">
        <f>'Historical Data'!AE648</f>
        <v/>
      </c>
      <c r="T651" s="3">
        <f>'Historical Data'!AH648</f>
        <v/>
      </c>
      <c r="U651" s="3">
        <f>'Historical Data'!BA648</f>
        <v/>
      </c>
      <c r="V651" s="3" t="n"/>
      <c r="W651" s="3" t="n"/>
      <c r="X651" s="3" t="n"/>
      <c r="Y651" s="3" t="n"/>
      <c r="Z651" s="3" t="n"/>
    </row>
    <row r="652" hidden="1" ht="15.75" customHeight="1" s="174">
      <c r="A652" s="3">
        <f>'Historical Data'!A649</f>
        <v/>
      </c>
      <c r="B652" s="3">
        <f>'Historical Data'!B649</f>
        <v/>
      </c>
      <c r="C652" s="3">
        <f>'Historical Data'!D649</f>
        <v/>
      </c>
      <c r="D652" s="23">
        <f>'Historical Data'!E649</f>
        <v/>
      </c>
      <c r="E652" s="3">
        <f>'Historical Data'!G649</f>
        <v/>
      </c>
      <c r="F652" s="3">
        <f>'Historical Data'!Y649</f>
        <v/>
      </c>
      <c r="G652" s="3">
        <f>'Historical Data'!K649</f>
        <v/>
      </c>
      <c r="H652" s="3">
        <f>'Historical Data'!L649</f>
        <v/>
      </c>
      <c r="I652" s="26">
        <f>'Historical Data'!M649</f>
        <v/>
      </c>
      <c r="J652" s="28">
        <f>'Historical Data'!N649</f>
        <v/>
      </c>
      <c r="K652" s="28">
        <f>'Historical Data'!Q649</f>
        <v/>
      </c>
      <c r="L652" s="30">
        <f>'Historical Data'!S649</f>
        <v/>
      </c>
      <c r="M652" s="28">
        <f>'Historical Data'!AJ649</f>
        <v/>
      </c>
      <c r="N652" s="28">
        <f>'Historical Data'!AK649</f>
        <v/>
      </c>
      <c r="O652" s="3">
        <f>'Historical Data'!AA649</f>
        <v/>
      </c>
      <c r="P652" s="3">
        <f>'Historical Data'!AB649</f>
        <v/>
      </c>
      <c r="Q652" s="3">
        <f>'Historical Data'!AN649</f>
        <v/>
      </c>
      <c r="R652" s="3">
        <f>'Historical Data'!AC649</f>
        <v/>
      </c>
      <c r="S652" s="3">
        <f>'Historical Data'!AE649</f>
        <v/>
      </c>
      <c r="T652" s="3">
        <f>'Historical Data'!AH649</f>
        <v/>
      </c>
      <c r="U652" s="3">
        <f>'Historical Data'!BA649</f>
        <v/>
      </c>
      <c r="V652" s="3" t="n"/>
      <c r="W652" s="3" t="n"/>
      <c r="X652" s="3" t="n"/>
      <c r="Y652" s="3" t="n"/>
      <c r="Z652" s="3" t="n"/>
    </row>
    <row r="653" hidden="1" ht="15.75" customHeight="1" s="174">
      <c r="A653" s="3">
        <f>'Historical Data'!A650</f>
        <v/>
      </c>
      <c r="B653" s="3">
        <f>'Historical Data'!B650</f>
        <v/>
      </c>
      <c r="C653" s="3">
        <f>'Historical Data'!D650</f>
        <v/>
      </c>
      <c r="D653" s="23">
        <f>'Historical Data'!E650</f>
        <v/>
      </c>
      <c r="E653" s="3">
        <f>'Historical Data'!G650</f>
        <v/>
      </c>
      <c r="F653" s="3">
        <f>'Historical Data'!Y650</f>
        <v/>
      </c>
      <c r="G653" s="3">
        <f>'Historical Data'!K650</f>
        <v/>
      </c>
      <c r="H653" s="3">
        <f>'Historical Data'!L650</f>
        <v/>
      </c>
      <c r="I653" s="26">
        <f>'Historical Data'!M650</f>
        <v/>
      </c>
      <c r="J653" s="28">
        <f>'Historical Data'!N650</f>
        <v/>
      </c>
      <c r="K653" s="28">
        <f>'Historical Data'!Q650</f>
        <v/>
      </c>
      <c r="L653" s="30">
        <f>'Historical Data'!S650</f>
        <v/>
      </c>
      <c r="M653" s="28">
        <f>'Historical Data'!AJ650</f>
        <v/>
      </c>
      <c r="N653" s="28">
        <f>'Historical Data'!AK650</f>
        <v/>
      </c>
      <c r="O653" s="3">
        <f>'Historical Data'!AA650</f>
        <v/>
      </c>
      <c r="P653" s="3">
        <f>'Historical Data'!AB650</f>
        <v/>
      </c>
      <c r="Q653" s="3">
        <f>'Historical Data'!AN650</f>
        <v/>
      </c>
      <c r="R653" s="3">
        <f>'Historical Data'!AC650</f>
        <v/>
      </c>
      <c r="S653" s="3">
        <f>'Historical Data'!AE650</f>
        <v/>
      </c>
      <c r="T653" s="3">
        <f>'Historical Data'!AH650</f>
        <v/>
      </c>
      <c r="U653" s="3">
        <f>'Historical Data'!BA650</f>
        <v/>
      </c>
      <c r="V653" s="3" t="n"/>
      <c r="W653" s="3" t="n"/>
      <c r="X653" s="3" t="n"/>
      <c r="Y653" s="3" t="n"/>
      <c r="Z653" s="3" t="n"/>
    </row>
    <row r="654" hidden="1" ht="15.75" customHeight="1" s="174">
      <c r="A654" s="3">
        <f>'Historical Data'!A651</f>
        <v/>
      </c>
      <c r="B654" s="3">
        <f>'Historical Data'!B651</f>
        <v/>
      </c>
      <c r="C654" s="3">
        <f>'Historical Data'!D651</f>
        <v/>
      </c>
      <c r="D654" s="23">
        <f>'Historical Data'!E651</f>
        <v/>
      </c>
      <c r="E654" s="3">
        <f>'Historical Data'!G651</f>
        <v/>
      </c>
      <c r="F654" s="3">
        <f>'Historical Data'!Y651</f>
        <v/>
      </c>
      <c r="G654" s="3">
        <f>'Historical Data'!K651</f>
        <v/>
      </c>
      <c r="H654" s="3">
        <f>'Historical Data'!L651</f>
        <v/>
      </c>
      <c r="I654" s="26">
        <f>'Historical Data'!M651</f>
        <v/>
      </c>
      <c r="J654" s="28">
        <f>'Historical Data'!N651</f>
        <v/>
      </c>
      <c r="K654" s="28">
        <f>'Historical Data'!Q651</f>
        <v/>
      </c>
      <c r="L654" s="30">
        <f>'Historical Data'!S651</f>
        <v/>
      </c>
      <c r="M654" s="28">
        <f>'Historical Data'!AJ651</f>
        <v/>
      </c>
      <c r="N654" s="28">
        <f>'Historical Data'!AK651</f>
        <v/>
      </c>
      <c r="O654" s="3">
        <f>'Historical Data'!AA651</f>
        <v/>
      </c>
      <c r="P654" s="3">
        <f>'Historical Data'!AB651</f>
        <v/>
      </c>
      <c r="Q654" s="3">
        <f>'Historical Data'!AN651</f>
        <v/>
      </c>
      <c r="R654" s="3">
        <f>'Historical Data'!AC651</f>
        <v/>
      </c>
      <c r="S654" s="3">
        <f>'Historical Data'!AE651</f>
        <v/>
      </c>
      <c r="T654" s="3">
        <f>'Historical Data'!AH651</f>
        <v/>
      </c>
      <c r="U654" s="3">
        <f>'Historical Data'!BA651</f>
        <v/>
      </c>
      <c r="V654" s="3" t="n"/>
      <c r="W654" s="3" t="n"/>
      <c r="X654" s="3" t="n"/>
      <c r="Y654" s="3" t="n"/>
      <c r="Z654" s="3" t="n"/>
    </row>
    <row r="655" hidden="1" ht="15.75" customHeight="1" s="174">
      <c r="A655" s="3">
        <f>'Historical Data'!A652</f>
        <v/>
      </c>
      <c r="B655" s="3">
        <f>'Historical Data'!B652</f>
        <v/>
      </c>
      <c r="C655" s="3">
        <f>'Historical Data'!D652</f>
        <v/>
      </c>
      <c r="D655" s="23">
        <f>'Historical Data'!E652</f>
        <v/>
      </c>
      <c r="E655" s="3">
        <f>'Historical Data'!G652</f>
        <v/>
      </c>
      <c r="F655" s="3">
        <f>'Historical Data'!Y652</f>
        <v/>
      </c>
      <c r="G655" s="3">
        <f>'Historical Data'!K652</f>
        <v/>
      </c>
      <c r="H655" s="3">
        <f>'Historical Data'!L652</f>
        <v/>
      </c>
      <c r="I655" s="26">
        <f>'Historical Data'!M652</f>
        <v/>
      </c>
      <c r="J655" s="28">
        <f>'Historical Data'!N652</f>
        <v/>
      </c>
      <c r="K655" s="28">
        <f>'Historical Data'!Q652</f>
        <v/>
      </c>
      <c r="L655" s="30">
        <f>'Historical Data'!S652</f>
        <v/>
      </c>
      <c r="M655" s="28">
        <f>'Historical Data'!AJ652</f>
        <v/>
      </c>
      <c r="N655" s="28">
        <f>'Historical Data'!AK652</f>
        <v/>
      </c>
      <c r="O655" s="3">
        <f>'Historical Data'!AA652</f>
        <v/>
      </c>
      <c r="P655" s="3">
        <f>'Historical Data'!AB652</f>
        <v/>
      </c>
      <c r="Q655" s="3">
        <f>'Historical Data'!AN652</f>
        <v/>
      </c>
      <c r="R655" s="3">
        <f>'Historical Data'!AC652</f>
        <v/>
      </c>
      <c r="S655" s="3">
        <f>'Historical Data'!AE652</f>
        <v/>
      </c>
      <c r="T655" s="3">
        <f>'Historical Data'!AH652</f>
        <v/>
      </c>
      <c r="U655" s="3">
        <f>'Historical Data'!BA652</f>
        <v/>
      </c>
      <c r="V655" s="3" t="n"/>
      <c r="W655" s="3" t="n"/>
      <c r="X655" s="3" t="n"/>
      <c r="Y655" s="3" t="n"/>
      <c r="Z655" s="3" t="n"/>
    </row>
    <row r="656" hidden="1" ht="15.75" customHeight="1" s="174">
      <c r="A656" s="3">
        <f>'Historical Data'!A653</f>
        <v/>
      </c>
      <c r="B656" s="3">
        <f>'Historical Data'!B653</f>
        <v/>
      </c>
      <c r="C656" s="3">
        <f>'Historical Data'!D653</f>
        <v/>
      </c>
      <c r="D656" s="23">
        <f>'Historical Data'!E653</f>
        <v/>
      </c>
      <c r="E656" s="3">
        <f>'Historical Data'!G653</f>
        <v/>
      </c>
      <c r="F656" s="3">
        <f>'Historical Data'!Y653</f>
        <v/>
      </c>
      <c r="G656" s="3">
        <f>'Historical Data'!K653</f>
        <v/>
      </c>
      <c r="H656" s="3">
        <f>'Historical Data'!L653</f>
        <v/>
      </c>
      <c r="I656" s="26">
        <f>'Historical Data'!M653</f>
        <v/>
      </c>
      <c r="J656" s="28">
        <f>'Historical Data'!N653</f>
        <v/>
      </c>
      <c r="K656" s="28">
        <f>'Historical Data'!Q653</f>
        <v/>
      </c>
      <c r="L656" s="30">
        <f>'Historical Data'!S653</f>
        <v/>
      </c>
      <c r="M656" s="28">
        <f>'Historical Data'!AJ653</f>
        <v/>
      </c>
      <c r="N656" s="28">
        <f>'Historical Data'!AK653</f>
        <v/>
      </c>
      <c r="O656" s="3">
        <f>'Historical Data'!AA653</f>
        <v/>
      </c>
      <c r="P656" s="3">
        <f>'Historical Data'!AB653</f>
        <v/>
      </c>
      <c r="Q656" s="3">
        <f>'Historical Data'!AN653</f>
        <v/>
      </c>
      <c r="R656" s="3">
        <f>'Historical Data'!AC653</f>
        <v/>
      </c>
      <c r="S656" s="3">
        <f>'Historical Data'!AE653</f>
        <v/>
      </c>
      <c r="T656" s="3">
        <f>'Historical Data'!AH653</f>
        <v/>
      </c>
      <c r="U656" s="3">
        <f>'Historical Data'!BA653</f>
        <v/>
      </c>
      <c r="V656" s="3" t="n"/>
      <c r="W656" s="3" t="n"/>
      <c r="X656" s="3" t="n"/>
      <c r="Y656" s="3" t="n"/>
      <c r="Z656" s="3" t="n"/>
    </row>
    <row r="657" hidden="1" ht="15.75" customHeight="1" s="174">
      <c r="A657" s="3">
        <f>'Historical Data'!A654</f>
        <v/>
      </c>
      <c r="B657" s="3">
        <f>'Historical Data'!B654</f>
        <v/>
      </c>
      <c r="C657" s="3">
        <f>'Historical Data'!D654</f>
        <v/>
      </c>
      <c r="D657" s="23">
        <f>'Historical Data'!E654</f>
        <v/>
      </c>
      <c r="E657" s="3">
        <f>'Historical Data'!G654</f>
        <v/>
      </c>
      <c r="F657" s="3">
        <f>'Historical Data'!Y654</f>
        <v/>
      </c>
      <c r="G657" s="3">
        <f>'Historical Data'!K654</f>
        <v/>
      </c>
      <c r="H657" s="3">
        <f>'Historical Data'!L654</f>
        <v/>
      </c>
      <c r="I657" s="26">
        <f>'Historical Data'!M654</f>
        <v/>
      </c>
      <c r="J657" s="28">
        <f>'Historical Data'!N654</f>
        <v/>
      </c>
      <c r="K657" s="28">
        <f>'Historical Data'!Q654</f>
        <v/>
      </c>
      <c r="L657" s="30">
        <f>'Historical Data'!S654</f>
        <v/>
      </c>
      <c r="M657" s="28">
        <f>'Historical Data'!AJ654</f>
        <v/>
      </c>
      <c r="N657" s="28">
        <f>'Historical Data'!AK654</f>
        <v/>
      </c>
      <c r="O657" s="3">
        <f>'Historical Data'!AA654</f>
        <v/>
      </c>
      <c r="P657" s="3">
        <f>'Historical Data'!AB654</f>
        <v/>
      </c>
      <c r="Q657" s="3">
        <f>'Historical Data'!AN654</f>
        <v/>
      </c>
      <c r="R657" s="3">
        <f>'Historical Data'!AC654</f>
        <v/>
      </c>
      <c r="S657" s="3">
        <f>'Historical Data'!AE654</f>
        <v/>
      </c>
      <c r="T657" s="3">
        <f>'Historical Data'!AH654</f>
        <v/>
      </c>
      <c r="U657" s="3">
        <f>'Historical Data'!BA654</f>
        <v/>
      </c>
      <c r="V657" s="3" t="n"/>
      <c r="W657" s="3" t="n"/>
      <c r="X657" s="3" t="n"/>
      <c r="Y657" s="3" t="n"/>
      <c r="Z657" s="3" t="n"/>
    </row>
    <row r="658" hidden="1" ht="15.75" customHeight="1" s="174">
      <c r="A658" s="3">
        <f>'Historical Data'!A655</f>
        <v/>
      </c>
      <c r="B658" s="3">
        <f>'Historical Data'!B655</f>
        <v/>
      </c>
      <c r="C658" s="3">
        <f>'Historical Data'!D655</f>
        <v/>
      </c>
      <c r="D658" s="23">
        <f>'Historical Data'!E655</f>
        <v/>
      </c>
      <c r="E658" s="3">
        <f>'Historical Data'!G655</f>
        <v/>
      </c>
      <c r="F658" s="3">
        <f>'Historical Data'!Y655</f>
        <v/>
      </c>
      <c r="G658" s="3">
        <f>'Historical Data'!K655</f>
        <v/>
      </c>
      <c r="H658" s="3">
        <f>'Historical Data'!L655</f>
        <v/>
      </c>
      <c r="I658" s="26">
        <f>'Historical Data'!M655</f>
        <v/>
      </c>
      <c r="J658" s="28">
        <f>'Historical Data'!N655</f>
        <v/>
      </c>
      <c r="K658" s="28">
        <f>'Historical Data'!Q655</f>
        <v/>
      </c>
      <c r="L658" s="30">
        <f>'Historical Data'!S655</f>
        <v/>
      </c>
      <c r="M658" s="28">
        <f>'Historical Data'!AJ655</f>
        <v/>
      </c>
      <c r="N658" s="28">
        <f>'Historical Data'!AK655</f>
        <v/>
      </c>
      <c r="O658" s="3">
        <f>'Historical Data'!AA655</f>
        <v/>
      </c>
      <c r="P658" s="3">
        <f>'Historical Data'!AB655</f>
        <v/>
      </c>
      <c r="Q658" s="3">
        <f>'Historical Data'!AN655</f>
        <v/>
      </c>
      <c r="R658" s="3">
        <f>'Historical Data'!AC655</f>
        <v/>
      </c>
      <c r="S658" s="3">
        <f>'Historical Data'!AE655</f>
        <v/>
      </c>
      <c r="T658" s="3">
        <f>'Historical Data'!AH655</f>
        <v/>
      </c>
      <c r="U658" s="3">
        <f>'Historical Data'!BA655</f>
        <v/>
      </c>
      <c r="V658" s="3" t="n"/>
      <c r="W658" s="3" t="n"/>
      <c r="X658" s="3" t="n"/>
      <c r="Y658" s="3" t="n"/>
      <c r="Z658" s="3" t="n"/>
    </row>
    <row r="659" hidden="1" ht="15.75" customHeight="1" s="174">
      <c r="A659" s="3">
        <f>'Historical Data'!A656</f>
        <v/>
      </c>
      <c r="B659" s="3">
        <f>'Historical Data'!B656</f>
        <v/>
      </c>
      <c r="C659" s="3">
        <f>'Historical Data'!D656</f>
        <v/>
      </c>
      <c r="D659" s="23">
        <f>'Historical Data'!E656</f>
        <v/>
      </c>
      <c r="E659" s="3">
        <f>'Historical Data'!G656</f>
        <v/>
      </c>
      <c r="F659" s="3">
        <f>'Historical Data'!Y656</f>
        <v/>
      </c>
      <c r="G659" s="3">
        <f>'Historical Data'!K656</f>
        <v/>
      </c>
      <c r="H659" s="3">
        <f>'Historical Data'!L656</f>
        <v/>
      </c>
      <c r="I659" s="26">
        <f>'Historical Data'!M656</f>
        <v/>
      </c>
      <c r="J659" s="28">
        <f>'Historical Data'!N656</f>
        <v/>
      </c>
      <c r="K659" s="28">
        <f>'Historical Data'!Q656</f>
        <v/>
      </c>
      <c r="L659" s="30">
        <f>'Historical Data'!S656</f>
        <v/>
      </c>
      <c r="M659" s="28">
        <f>'Historical Data'!AJ656</f>
        <v/>
      </c>
      <c r="N659" s="28">
        <f>'Historical Data'!AK656</f>
        <v/>
      </c>
      <c r="O659" s="3">
        <f>'Historical Data'!AA656</f>
        <v/>
      </c>
      <c r="P659" s="3">
        <f>'Historical Data'!AB656</f>
        <v/>
      </c>
      <c r="Q659" s="3">
        <f>'Historical Data'!AN656</f>
        <v/>
      </c>
      <c r="R659" s="3">
        <f>'Historical Data'!AC656</f>
        <v/>
      </c>
      <c r="S659" s="3">
        <f>'Historical Data'!AE656</f>
        <v/>
      </c>
      <c r="T659" s="3">
        <f>'Historical Data'!AH656</f>
        <v/>
      </c>
      <c r="U659" s="3">
        <f>'Historical Data'!BA656</f>
        <v/>
      </c>
      <c r="V659" s="3" t="n"/>
      <c r="W659" s="3" t="n"/>
      <c r="X659" s="3" t="n"/>
      <c r="Y659" s="3" t="n"/>
      <c r="Z659" s="3" t="n"/>
    </row>
    <row r="660" hidden="1" ht="15.75" customHeight="1" s="174">
      <c r="A660" s="3">
        <f>'Historical Data'!A657</f>
        <v/>
      </c>
      <c r="B660" s="3">
        <f>'Historical Data'!B657</f>
        <v/>
      </c>
      <c r="C660" s="3">
        <f>'Historical Data'!D657</f>
        <v/>
      </c>
      <c r="D660" s="23">
        <f>'Historical Data'!E657</f>
        <v/>
      </c>
      <c r="E660" s="3">
        <f>'Historical Data'!G657</f>
        <v/>
      </c>
      <c r="F660" s="3">
        <f>'Historical Data'!Y657</f>
        <v/>
      </c>
      <c r="G660" s="3">
        <f>'Historical Data'!K657</f>
        <v/>
      </c>
      <c r="H660" s="3">
        <f>'Historical Data'!L657</f>
        <v/>
      </c>
      <c r="I660" s="26">
        <f>'Historical Data'!M657</f>
        <v/>
      </c>
      <c r="J660" s="28">
        <f>'Historical Data'!N657</f>
        <v/>
      </c>
      <c r="K660" s="28">
        <f>'Historical Data'!Q657</f>
        <v/>
      </c>
      <c r="L660" s="30">
        <f>'Historical Data'!S657</f>
        <v/>
      </c>
      <c r="M660" s="28">
        <f>'Historical Data'!AJ657</f>
        <v/>
      </c>
      <c r="N660" s="28">
        <f>'Historical Data'!AK657</f>
        <v/>
      </c>
      <c r="O660" s="3">
        <f>'Historical Data'!AA657</f>
        <v/>
      </c>
      <c r="P660" s="3">
        <f>'Historical Data'!AB657</f>
        <v/>
      </c>
      <c r="Q660" s="3">
        <f>'Historical Data'!AN657</f>
        <v/>
      </c>
      <c r="R660" s="3">
        <f>'Historical Data'!AC657</f>
        <v/>
      </c>
      <c r="S660" s="3">
        <f>'Historical Data'!AE657</f>
        <v/>
      </c>
      <c r="T660" s="3">
        <f>'Historical Data'!AH657</f>
        <v/>
      </c>
      <c r="U660" s="3">
        <f>'Historical Data'!BA657</f>
        <v/>
      </c>
      <c r="V660" s="3" t="n"/>
      <c r="W660" s="3" t="n"/>
      <c r="X660" s="3" t="n"/>
      <c r="Y660" s="3" t="n"/>
      <c r="Z660" s="3" t="n"/>
    </row>
    <row r="661" hidden="1" ht="15.75" customHeight="1" s="174">
      <c r="A661" s="3">
        <f>'Historical Data'!A658</f>
        <v/>
      </c>
      <c r="B661" s="3">
        <f>'Historical Data'!B658</f>
        <v/>
      </c>
      <c r="C661" s="3">
        <f>'Historical Data'!D658</f>
        <v/>
      </c>
      <c r="D661" s="23">
        <f>'Historical Data'!E658</f>
        <v/>
      </c>
      <c r="E661" s="3">
        <f>'Historical Data'!G658</f>
        <v/>
      </c>
      <c r="F661" s="3">
        <f>'Historical Data'!Y658</f>
        <v/>
      </c>
      <c r="G661" s="3">
        <f>'Historical Data'!K658</f>
        <v/>
      </c>
      <c r="H661" s="3">
        <f>'Historical Data'!L658</f>
        <v/>
      </c>
      <c r="I661" s="26">
        <f>'Historical Data'!M658</f>
        <v/>
      </c>
      <c r="J661" s="28">
        <f>'Historical Data'!N658</f>
        <v/>
      </c>
      <c r="K661" s="28">
        <f>'Historical Data'!Q658</f>
        <v/>
      </c>
      <c r="L661" s="30">
        <f>'Historical Data'!S658</f>
        <v/>
      </c>
      <c r="M661" s="28">
        <f>'Historical Data'!AJ658</f>
        <v/>
      </c>
      <c r="N661" s="28">
        <f>'Historical Data'!AK658</f>
        <v/>
      </c>
      <c r="O661" s="3">
        <f>'Historical Data'!AA658</f>
        <v/>
      </c>
      <c r="P661" s="3">
        <f>'Historical Data'!AB658</f>
        <v/>
      </c>
      <c r="Q661" s="3">
        <f>'Historical Data'!AN658</f>
        <v/>
      </c>
      <c r="R661" s="3">
        <f>'Historical Data'!AC658</f>
        <v/>
      </c>
      <c r="S661" s="3">
        <f>'Historical Data'!AE658</f>
        <v/>
      </c>
      <c r="T661" s="3">
        <f>'Historical Data'!AH658</f>
        <v/>
      </c>
      <c r="U661" s="3">
        <f>'Historical Data'!BA658</f>
        <v/>
      </c>
      <c r="V661" s="3" t="n"/>
      <c r="W661" s="3" t="n"/>
      <c r="X661" s="3" t="n"/>
      <c r="Y661" s="3" t="n"/>
      <c r="Z661" s="3" t="n"/>
    </row>
    <row r="662" hidden="1" ht="15.75" customHeight="1" s="174">
      <c r="A662" s="3">
        <f>'Historical Data'!A659</f>
        <v/>
      </c>
      <c r="B662" s="3">
        <f>'Historical Data'!B659</f>
        <v/>
      </c>
      <c r="C662" s="3">
        <f>'Historical Data'!D659</f>
        <v/>
      </c>
      <c r="D662" s="23">
        <f>'Historical Data'!E659</f>
        <v/>
      </c>
      <c r="E662" s="3">
        <f>'Historical Data'!G659</f>
        <v/>
      </c>
      <c r="F662" s="3">
        <f>'Historical Data'!Y659</f>
        <v/>
      </c>
      <c r="G662" s="3">
        <f>'Historical Data'!K659</f>
        <v/>
      </c>
      <c r="H662" s="3">
        <f>'Historical Data'!L659</f>
        <v/>
      </c>
      <c r="I662" s="26">
        <f>'Historical Data'!M659</f>
        <v/>
      </c>
      <c r="J662" s="28">
        <f>'Historical Data'!N659</f>
        <v/>
      </c>
      <c r="K662" s="28">
        <f>'Historical Data'!Q659</f>
        <v/>
      </c>
      <c r="L662" s="30">
        <f>'Historical Data'!S659</f>
        <v/>
      </c>
      <c r="M662" s="28">
        <f>'Historical Data'!AJ659</f>
        <v/>
      </c>
      <c r="N662" s="28">
        <f>'Historical Data'!AK659</f>
        <v/>
      </c>
      <c r="O662" s="3">
        <f>'Historical Data'!AA659</f>
        <v/>
      </c>
      <c r="P662" s="3">
        <f>'Historical Data'!AB659</f>
        <v/>
      </c>
      <c r="Q662" s="3">
        <f>'Historical Data'!AN659</f>
        <v/>
      </c>
      <c r="R662" s="3">
        <f>'Historical Data'!AC659</f>
        <v/>
      </c>
      <c r="S662" s="3">
        <f>'Historical Data'!AE659</f>
        <v/>
      </c>
      <c r="T662" s="3">
        <f>'Historical Data'!AH659</f>
        <v/>
      </c>
      <c r="U662" s="3">
        <f>'Historical Data'!BA659</f>
        <v/>
      </c>
      <c r="V662" s="3" t="n"/>
      <c r="W662" s="3" t="n"/>
      <c r="X662" s="3" t="n"/>
      <c r="Y662" s="3" t="n"/>
      <c r="Z662" s="3" t="n"/>
    </row>
    <row r="663" hidden="1" ht="15.75" customHeight="1" s="174">
      <c r="A663" s="3">
        <f>'Historical Data'!A660</f>
        <v/>
      </c>
      <c r="B663" s="3">
        <f>'Historical Data'!B660</f>
        <v/>
      </c>
      <c r="C663" s="3">
        <f>'Historical Data'!D660</f>
        <v/>
      </c>
      <c r="D663" s="23">
        <f>'Historical Data'!E660</f>
        <v/>
      </c>
      <c r="E663" s="3">
        <f>'Historical Data'!G660</f>
        <v/>
      </c>
      <c r="F663" s="3">
        <f>'Historical Data'!Y660</f>
        <v/>
      </c>
      <c r="G663" s="3">
        <f>'Historical Data'!K660</f>
        <v/>
      </c>
      <c r="H663" s="3">
        <f>'Historical Data'!L660</f>
        <v/>
      </c>
      <c r="I663" s="26">
        <f>'Historical Data'!M660</f>
        <v/>
      </c>
      <c r="J663" s="28">
        <f>'Historical Data'!N660</f>
        <v/>
      </c>
      <c r="K663" s="28">
        <f>'Historical Data'!Q660</f>
        <v/>
      </c>
      <c r="L663" s="30">
        <f>'Historical Data'!S660</f>
        <v/>
      </c>
      <c r="M663" s="28">
        <f>'Historical Data'!AJ660</f>
        <v/>
      </c>
      <c r="N663" s="28">
        <f>'Historical Data'!AK660</f>
        <v/>
      </c>
      <c r="O663" s="3">
        <f>'Historical Data'!AA660</f>
        <v/>
      </c>
      <c r="P663" s="3">
        <f>'Historical Data'!AB660</f>
        <v/>
      </c>
      <c r="Q663" s="3">
        <f>'Historical Data'!AN660</f>
        <v/>
      </c>
      <c r="R663" s="3">
        <f>'Historical Data'!AC660</f>
        <v/>
      </c>
      <c r="S663" s="3">
        <f>'Historical Data'!AE660</f>
        <v/>
      </c>
      <c r="T663" s="3">
        <f>'Historical Data'!AH660</f>
        <v/>
      </c>
      <c r="U663" s="3">
        <f>'Historical Data'!BA660</f>
        <v/>
      </c>
      <c r="V663" s="3" t="n"/>
      <c r="W663" s="3" t="n"/>
      <c r="X663" s="3" t="n"/>
      <c r="Y663" s="3" t="n"/>
      <c r="Z663" s="3" t="n"/>
    </row>
    <row r="664" hidden="1" ht="15.75" customHeight="1" s="174">
      <c r="A664" s="3">
        <f>'Historical Data'!A661</f>
        <v/>
      </c>
      <c r="B664" s="3">
        <f>'Historical Data'!B661</f>
        <v/>
      </c>
      <c r="C664" s="3">
        <f>'Historical Data'!D661</f>
        <v/>
      </c>
      <c r="D664" s="23">
        <f>'Historical Data'!E661</f>
        <v/>
      </c>
      <c r="E664" s="3">
        <f>'Historical Data'!G661</f>
        <v/>
      </c>
      <c r="F664" s="3">
        <f>'Historical Data'!Y661</f>
        <v/>
      </c>
      <c r="G664" s="3">
        <f>'Historical Data'!K661</f>
        <v/>
      </c>
      <c r="H664" s="3">
        <f>'Historical Data'!L661</f>
        <v/>
      </c>
      <c r="I664" s="26">
        <f>'Historical Data'!M661</f>
        <v/>
      </c>
      <c r="J664" s="28">
        <f>'Historical Data'!N661</f>
        <v/>
      </c>
      <c r="K664" s="28">
        <f>'Historical Data'!Q661</f>
        <v/>
      </c>
      <c r="L664" s="30">
        <f>'Historical Data'!S661</f>
        <v/>
      </c>
      <c r="M664" s="28">
        <f>'Historical Data'!AJ661</f>
        <v/>
      </c>
      <c r="N664" s="28">
        <f>'Historical Data'!AK661</f>
        <v/>
      </c>
      <c r="O664" s="3">
        <f>'Historical Data'!AA661</f>
        <v/>
      </c>
      <c r="P664" s="3">
        <f>'Historical Data'!AB661</f>
        <v/>
      </c>
      <c r="Q664" s="3">
        <f>'Historical Data'!AN661</f>
        <v/>
      </c>
      <c r="R664" s="3">
        <f>'Historical Data'!AC661</f>
        <v/>
      </c>
      <c r="S664" s="3">
        <f>'Historical Data'!AE661</f>
        <v/>
      </c>
      <c r="T664" s="3">
        <f>'Historical Data'!AH661</f>
        <v/>
      </c>
      <c r="U664" s="3">
        <f>'Historical Data'!BA661</f>
        <v/>
      </c>
      <c r="V664" s="3" t="n"/>
      <c r="W664" s="3" t="n"/>
      <c r="X664" s="3" t="n"/>
      <c r="Y664" s="3" t="n"/>
      <c r="Z664" s="3" t="n"/>
    </row>
    <row r="665" hidden="1" ht="15.75" customHeight="1" s="174">
      <c r="A665" s="3">
        <f>'Historical Data'!A662</f>
        <v/>
      </c>
      <c r="B665" s="3">
        <f>'Historical Data'!B662</f>
        <v/>
      </c>
      <c r="C665" s="3">
        <f>'Historical Data'!D662</f>
        <v/>
      </c>
      <c r="D665" s="23">
        <f>'Historical Data'!E662</f>
        <v/>
      </c>
      <c r="E665" s="3">
        <f>'Historical Data'!G662</f>
        <v/>
      </c>
      <c r="F665" s="3">
        <f>'Historical Data'!Y662</f>
        <v/>
      </c>
      <c r="G665" s="3">
        <f>'Historical Data'!K662</f>
        <v/>
      </c>
      <c r="H665" s="3">
        <f>'Historical Data'!L662</f>
        <v/>
      </c>
      <c r="I665" s="26">
        <f>'Historical Data'!M662</f>
        <v/>
      </c>
      <c r="J665" s="28">
        <f>'Historical Data'!N662</f>
        <v/>
      </c>
      <c r="K665" s="28">
        <f>'Historical Data'!Q662</f>
        <v/>
      </c>
      <c r="L665" s="30">
        <f>'Historical Data'!S662</f>
        <v/>
      </c>
      <c r="M665" s="28">
        <f>'Historical Data'!AJ662</f>
        <v/>
      </c>
      <c r="N665" s="28">
        <f>'Historical Data'!AK662</f>
        <v/>
      </c>
      <c r="O665" s="3">
        <f>'Historical Data'!AA662</f>
        <v/>
      </c>
      <c r="P665" s="3">
        <f>'Historical Data'!AB662</f>
        <v/>
      </c>
      <c r="Q665" s="3">
        <f>'Historical Data'!AN662</f>
        <v/>
      </c>
      <c r="R665" s="3">
        <f>'Historical Data'!AC662</f>
        <v/>
      </c>
      <c r="S665" s="3">
        <f>'Historical Data'!AE662</f>
        <v/>
      </c>
      <c r="T665" s="3">
        <f>'Historical Data'!AH662</f>
        <v/>
      </c>
      <c r="U665" s="3">
        <f>'Historical Data'!BA662</f>
        <v/>
      </c>
      <c r="V665" s="3" t="n"/>
      <c r="W665" s="3" t="n"/>
      <c r="X665" s="3" t="n"/>
      <c r="Y665" s="3" t="n"/>
      <c r="Z665" s="3" t="n"/>
    </row>
    <row r="666" hidden="1" ht="15.75" customHeight="1" s="174">
      <c r="A666" s="3">
        <f>'Historical Data'!A663</f>
        <v/>
      </c>
      <c r="B666" s="3">
        <f>'Historical Data'!B663</f>
        <v/>
      </c>
      <c r="C666" s="3">
        <f>'Historical Data'!D663</f>
        <v/>
      </c>
      <c r="D666" s="23">
        <f>'Historical Data'!E663</f>
        <v/>
      </c>
      <c r="E666" s="3">
        <f>'Historical Data'!G663</f>
        <v/>
      </c>
      <c r="F666" s="3">
        <f>'Historical Data'!Y663</f>
        <v/>
      </c>
      <c r="G666" s="3">
        <f>'Historical Data'!K663</f>
        <v/>
      </c>
      <c r="H666" s="3">
        <f>'Historical Data'!L663</f>
        <v/>
      </c>
      <c r="I666" s="26">
        <f>'Historical Data'!M663</f>
        <v/>
      </c>
      <c r="J666" s="28">
        <f>'Historical Data'!N663</f>
        <v/>
      </c>
      <c r="K666" s="28">
        <f>'Historical Data'!Q663</f>
        <v/>
      </c>
      <c r="L666" s="30">
        <f>'Historical Data'!S663</f>
        <v/>
      </c>
      <c r="M666" s="28">
        <f>'Historical Data'!AJ663</f>
        <v/>
      </c>
      <c r="N666" s="28">
        <f>'Historical Data'!AK663</f>
        <v/>
      </c>
      <c r="O666" s="3">
        <f>'Historical Data'!AA663</f>
        <v/>
      </c>
      <c r="P666" s="3">
        <f>'Historical Data'!AB663</f>
        <v/>
      </c>
      <c r="Q666" s="3">
        <f>'Historical Data'!AN663</f>
        <v/>
      </c>
      <c r="R666" s="3">
        <f>'Historical Data'!AC663</f>
        <v/>
      </c>
      <c r="S666" s="3">
        <f>'Historical Data'!AE663</f>
        <v/>
      </c>
      <c r="T666" s="3">
        <f>'Historical Data'!AH663</f>
        <v/>
      </c>
      <c r="U666" s="3">
        <f>'Historical Data'!BA663</f>
        <v/>
      </c>
      <c r="V666" s="3" t="n"/>
      <c r="W666" s="3" t="n"/>
      <c r="X666" s="3" t="n"/>
      <c r="Y666" s="3" t="n"/>
      <c r="Z666" s="3" t="n"/>
    </row>
    <row r="667" hidden="1" ht="15.75" customHeight="1" s="174">
      <c r="A667" s="3">
        <f>'Historical Data'!A664</f>
        <v/>
      </c>
      <c r="B667" s="3">
        <f>'Historical Data'!B664</f>
        <v/>
      </c>
      <c r="C667" s="3">
        <f>'Historical Data'!D664</f>
        <v/>
      </c>
      <c r="D667" s="23">
        <f>'Historical Data'!E664</f>
        <v/>
      </c>
      <c r="E667" s="3">
        <f>'Historical Data'!G664</f>
        <v/>
      </c>
      <c r="F667" s="3">
        <f>'Historical Data'!Y664</f>
        <v/>
      </c>
      <c r="G667" s="3">
        <f>'Historical Data'!K664</f>
        <v/>
      </c>
      <c r="H667" s="3">
        <f>'Historical Data'!L664</f>
        <v/>
      </c>
      <c r="I667" s="26">
        <f>'Historical Data'!M664</f>
        <v/>
      </c>
      <c r="J667" s="28">
        <f>'Historical Data'!N664</f>
        <v/>
      </c>
      <c r="K667" s="28">
        <f>'Historical Data'!Q664</f>
        <v/>
      </c>
      <c r="L667" s="30">
        <f>'Historical Data'!S664</f>
        <v/>
      </c>
      <c r="M667" s="28">
        <f>'Historical Data'!AJ664</f>
        <v/>
      </c>
      <c r="N667" s="28">
        <f>'Historical Data'!AK664</f>
        <v/>
      </c>
      <c r="O667" s="3">
        <f>'Historical Data'!AA664</f>
        <v/>
      </c>
      <c r="P667" s="3">
        <f>'Historical Data'!AB664</f>
        <v/>
      </c>
      <c r="Q667" s="3">
        <f>'Historical Data'!AN664</f>
        <v/>
      </c>
      <c r="R667" s="3">
        <f>'Historical Data'!AC664</f>
        <v/>
      </c>
      <c r="S667" s="3">
        <f>'Historical Data'!AE664</f>
        <v/>
      </c>
      <c r="T667" s="3">
        <f>'Historical Data'!AH664</f>
        <v/>
      </c>
      <c r="U667" s="3">
        <f>'Historical Data'!BA664</f>
        <v/>
      </c>
      <c r="V667" s="3" t="n"/>
      <c r="W667" s="3" t="n"/>
      <c r="X667" s="3" t="n"/>
      <c r="Y667" s="3" t="n"/>
      <c r="Z667" s="3" t="n"/>
    </row>
    <row r="668" hidden="1" ht="15.75" customHeight="1" s="174">
      <c r="A668" s="3">
        <f>'Historical Data'!A665</f>
        <v/>
      </c>
      <c r="B668" s="3">
        <f>'Historical Data'!B665</f>
        <v/>
      </c>
      <c r="C668" s="3">
        <f>'Historical Data'!D665</f>
        <v/>
      </c>
      <c r="D668" s="23">
        <f>'Historical Data'!E665</f>
        <v/>
      </c>
      <c r="E668" s="3">
        <f>'Historical Data'!G665</f>
        <v/>
      </c>
      <c r="F668" s="3">
        <f>'Historical Data'!Y665</f>
        <v/>
      </c>
      <c r="G668" s="3">
        <f>'Historical Data'!K665</f>
        <v/>
      </c>
      <c r="H668" s="3">
        <f>'Historical Data'!L665</f>
        <v/>
      </c>
      <c r="I668" s="26">
        <f>'Historical Data'!M665</f>
        <v/>
      </c>
      <c r="J668" s="28">
        <f>'Historical Data'!N665</f>
        <v/>
      </c>
      <c r="K668" s="28">
        <f>'Historical Data'!Q665</f>
        <v/>
      </c>
      <c r="L668" s="30">
        <f>'Historical Data'!S665</f>
        <v/>
      </c>
      <c r="M668" s="28">
        <f>'Historical Data'!AJ665</f>
        <v/>
      </c>
      <c r="N668" s="28">
        <f>'Historical Data'!AK665</f>
        <v/>
      </c>
      <c r="O668" s="3">
        <f>'Historical Data'!AA665</f>
        <v/>
      </c>
      <c r="P668" s="3">
        <f>'Historical Data'!AB665</f>
        <v/>
      </c>
      <c r="Q668" s="3">
        <f>'Historical Data'!AN665</f>
        <v/>
      </c>
      <c r="R668" s="3">
        <f>'Historical Data'!AC665</f>
        <v/>
      </c>
      <c r="S668" s="3">
        <f>'Historical Data'!AE665</f>
        <v/>
      </c>
      <c r="T668" s="3">
        <f>'Historical Data'!AH665</f>
        <v/>
      </c>
      <c r="U668" s="3">
        <f>'Historical Data'!BA665</f>
        <v/>
      </c>
      <c r="V668" s="3" t="n"/>
      <c r="W668" s="3" t="n"/>
      <c r="X668" s="3" t="n"/>
      <c r="Y668" s="3" t="n"/>
      <c r="Z668" s="3" t="n"/>
    </row>
    <row r="669" hidden="1" ht="15.75" customHeight="1" s="174">
      <c r="A669" s="3">
        <f>'Historical Data'!A666</f>
        <v/>
      </c>
      <c r="B669" s="3">
        <f>'Historical Data'!B666</f>
        <v/>
      </c>
      <c r="C669" s="3">
        <f>'Historical Data'!D666</f>
        <v/>
      </c>
      <c r="D669" s="23">
        <f>'Historical Data'!E666</f>
        <v/>
      </c>
      <c r="E669" s="3">
        <f>'Historical Data'!G666</f>
        <v/>
      </c>
      <c r="F669" s="3">
        <f>'Historical Data'!Y666</f>
        <v/>
      </c>
      <c r="G669" s="3">
        <f>'Historical Data'!K666</f>
        <v/>
      </c>
      <c r="H669" s="3">
        <f>'Historical Data'!L666</f>
        <v/>
      </c>
      <c r="I669" s="26">
        <f>'Historical Data'!M666</f>
        <v/>
      </c>
      <c r="J669" s="28">
        <f>'Historical Data'!N666</f>
        <v/>
      </c>
      <c r="K669" s="28">
        <f>'Historical Data'!Q666</f>
        <v/>
      </c>
      <c r="L669" s="30">
        <f>'Historical Data'!S666</f>
        <v/>
      </c>
      <c r="M669" s="28">
        <f>'Historical Data'!AJ666</f>
        <v/>
      </c>
      <c r="N669" s="28">
        <f>'Historical Data'!AK666</f>
        <v/>
      </c>
      <c r="O669" s="3">
        <f>'Historical Data'!AA666</f>
        <v/>
      </c>
      <c r="P669" s="3">
        <f>'Historical Data'!AB666</f>
        <v/>
      </c>
      <c r="Q669" s="3">
        <f>'Historical Data'!AN666</f>
        <v/>
      </c>
      <c r="R669" s="3">
        <f>'Historical Data'!AC666</f>
        <v/>
      </c>
      <c r="S669" s="3">
        <f>'Historical Data'!AE666</f>
        <v/>
      </c>
      <c r="T669" s="3">
        <f>'Historical Data'!AH666</f>
        <v/>
      </c>
      <c r="U669" s="3">
        <f>'Historical Data'!BA666</f>
        <v/>
      </c>
      <c r="V669" s="3" t="n"/>
      <c r="W669" s="3" t="n"/>
      <c r="X669" s="3" t="n"/>
      <c r="Y669" s="3" t="n"/>
      <c r="Z669" s="3" t="n"/>
    </row>
    <row r="670" hidden="1" ht="15.75" customHeight="1" s="174">
      <c r="A670" s="3">
        <f>'Historical Data'!A667</f>
        <v/>
      </c>
      <c r="B670" s="3">
        <f>'Historical Data'!B667</f>
        <v/>
      </c>
      <c r="C670" s="3">
        <f>'Historical Data'!D667</f>
        <v/>
      </c>
      <c r="D670" s="23">
        <f>'Historical Data'!E667</f>
        <v/>
      </c>
      <c r="E670" s="3">
        <f>'Historical Data'!G667</f>
        <v/>
      </c>
      <c r="F670" s="3">
        <f>'Historical Data'!Y667</f>
        <v/>
      </c>
      <c r="G670" s="3">
        <f>'Historical Data'!K667</f>
        <v/>
      </c>
      <c r="H670" s="3">
        <f>'Historical Data'!L667</f>
        <v/>
      </c>
      <c r="I670" s="26">
        <f>'Historical Data'!M667</f>
        <v/>
      </c>
      <c r="J670" s="28">
        <f>'Historical Data'!N667</f>
        <v/>
      </c>
      <c r="K670" s="28">
        <f>'Historical Data'!Q667</f>
        <v/>
      </c>
      <c r="L670" s="30">
        <f>'Historical Data'!S667</f>
        <v/>
      </c>
      <c r="M670" s="28">
        <f>'Historical Data'!AJ667</f>
        <v/>
      </c>
      <c r="N670" s="28">
        <f>'Historical Data'!AK667</f>
        <v/>
      </c>
      <c r="O670" s="3">
        <f>'Historical Data'!AA667</f>
        <v/>
      </c>
      <c r="P670" s="3">
        <f>'Historical Data'!AB667</f>
        <v/>
      </c>
      <c r="Q670" s="3">
        <f>'Historical Data'!AN667</f>
        <v/>
      </c>
      <c r="R670" s="3">
        <f>'Historical Data'!AC667</f>
        <v/>
      </c>
      <c r="S670" s="3">
        <f>'Historical Data'!AE667</f>
        <v/>
      </c>
      <c r="T670" s="3">
        <f>'Historical Data'!AH667</f>
        <v/>
      </c>
      <c r="U670" s="3">
        <f>'Historical Data'!BA667</f>
        <v/>
      </c>
      <c r="V670" s="3" t="n"/>
      <c r="W670" s="3" t="n"/>
      <c r="X670" s="3" t="n"/>
      <c r="Y670" s="3" t="n"/>
      <c r="Z670" s="3" t="n"/>
    </row>
    <row r="671" hidden="1" ht="15.75" customHeight="1" s="174">
      <c r="A671" s="3">
        <f>'Historical Data'!A668</f>
        <v/>
      </c>
      <c r="B671" s="3">
        <f>'Historical Data'!B668</f>
        <v/>
      </c>
      <c r="C671" s="3">
        <f>'Historical Data'!D668</f>
        <v/>
      </c>
      <c r="D671" s="23">
        <f>'Historical Data'!E668</f>
        <v/>
      </c>
      <c r="E671" s="3">
        <f>'Historical Data'!G668</f>
        <v/>
      </c>
      <c r="F671" s="3">
        <f>'Historical Data'!Y668</f>
        <v/>
      </c>
      <c r="G671" s="3">
        <f>'Historical Data'!K668</f>
        <v/>
      </c>
      <c r="H671" s="3">
        <f>'Historical Data'!L668</f>
        <v/>
      </c>
      <c r="I671" s="26">
        <f>'Historical Data'!M668</f>
        <v/>
      </c>
      <c r="J671" s="28">
        <f>'Historical Data'!N668</f>
        <v/>
      </c>
      <c r="K671" s="28">
        <f>'Historical Data'!Q668</f>
        <v/>
      </c>
      <c r="L671" s="30">
        <f>'Historical Data'!S668</f>
        <v/>
      </c>
      <c r="M671" s="28">
        <f>'Historical Data'!AJ668</f>
        <v/>
      </c>
      <c r="N671" s="28">
        <f>'Historical Data'!AK668</f>
        <v/>
      </c>
      <c r="O671" s="3">
        <f>'Historical Data'!AA668</f>
        <v/>
      </c>
      <c r="P671" s="3">
        <f>'Historical Data'!AB668</f>
        <v/>
      </c>
      <c r="Q671" s="3">
        <f>'Historical Data'!AN668</f>
        <v/>
      </c>
      <c r="R671" s="3">
        <f>'Historical Data'!AC668</f>
        <v/>
      </c>
      <c r="S671" s="3">
        <f>'Historical Data'!AE668</f>
        <v/>
      </c>
      <c r="T671" s="3">
        <f>'Historical Data'!AH668</f>
        <v/>
      </c>
      <c r="U671" s="3">
        <f>'Historical Data'!BA668</f>
        <v/>
      </c>
      <c r="V671" s="3" t="n"/>
      <c r="W671" s="3" t="n"/>
      <c r="X671" s="3" t="n"/>
      <c r="Y671" s="3" t="n"/>
      <c r="Z671" s="3" t="n"/>
    </row>
    <row r="672" hidden="1" ht="15.75" customHeight="1" s="174">
      <c r="A672" s="3">
        <f>'Historical Data'!A669</f>
        <v/>
      </c>
      <c r="B672" s="3">
        <f>'Historical Data'!B669</f>
        <v/>
      </c>
      <c r="C672" s="3">
        <f>'Historical Data'!D669</f>
        <v/>
      </c>
      <c r="D672" s="23">
        <f>'Historical Data'!E669</f>
        <v/>
      </c>
      <c r="E672" s="3">
        <f>'Historical Data'!G669</f>
        <v/>
      </c>
      <c r="F672" s="3">
        <f>'Historical Data'!Y669</f>
        <v/>
      </c>
      <c r="G672" s="3">
        <f>'Historical Data'!K669</f>
        <v/>
      </c>
      <c r="H672" s="3">
        <f>'Historical Data'!L669</f>
        <v/>
      </c>
      <c r="I672" s="26">
        <f>'Historical Data'!M669</f>
        <v/>
      </c>
      <c r="J672" s="28">
        <f>'Historical Data'!N669</f>
        <v/>
      </c>
      <c r="K672" s="28">
        <f>'Historical Data'!Q669</f>
        <v/>
      </c>
      <c r="L672" s="30">
        <f>'Historical Data'!S669</f>
        <v/>
      </c>
      <c r="M672" s="28">
        <f>'Historical Data'!AJ669</f>
        <v/>
      </c>
      <c r="N672" s="28">
        <f>'Historical Data'!AK669</f>
        <v/>
      </c>
      <c r="O672" s="3">
        <f>'Historical Data'!AA669</f>
        <v/>
      </c>
      <c r="P672" s="3">
        <f>'Historical Data'!AB669</f>
        <v/>
      </c>
      <c r="Q672" s="3">
        <f>'Historical Data'!AN669</f>
        <v/>
      </c>
      <c r="R672" s="3">
        <f>'Historical Data'!AC669</f>
        <v/>
      </c>
      <c r="S672" s="3">
        <f>'Historical Data'!AE669</f>
        <v/>
      </c>
      <c r="T672" s="3">
        <f>'Historical Data'!AH669</f>
        <v/>
      </c>
      <c r="U672" s="3">
        <f>'Historical Data'!BA669</f>
        <v/>
      </c>
      <c r="V672" s="3" t="n"/>
      <c r="W672" s="3" t="n"/>
      <c r="X672" s="3" t="n"/>
      <c r="Y672" s="3" t="n"/>
      <c r="Z672" s="3" t="n"/>
    </row>
    <row r="673" hidden="1" ht="15.75" customHeight="1" s="174">
      <c r="A673" s="3">
        <f>'Historical Data'!A670</f>
        <v/>
      </c>
      <c r="B673" s="3">
        <f>'Historical Data'!B670</f>
        <v/>
      </c>
      <c r="C673" s="3">
        <f>'Historical Data'!D670</f>
        <v/>
      </c>
      <c r="D673" s="23">
        <f>'Historical Data'!E670</f>
        <v/>
      </c>
      <c r="E673" s="3">
        <f>'Historical Data'!G670</f>
        <v/>
      </c>
      <c r="F673" s="3">
        <f>'Historical Data'!Y670</f>
        <v/>
      </c>
      <c r="G673" s="3">
        <f>'Historical Data'!K670</f>
        <v/>
      </c>
      <c r="H673" s="3">
        <f>'Historical Data'!L670</f>
        <v/>
      </c>
      <c r="I673" s="26">
        <f>'Historical Data'!M670</f>
        <v/>
      </c>
      <c r="J673" s="28">
        <f>'Historical Data'!N670</f>
        <v/>
      </c>
      <c r="K673" s="28">
        <f>'Historical Data'!Q670</f>
        <v/>
      </c>
      <c r="L673" s="30">
        <f>'Historical Data'!S670</f>
        <v/>
      </c>
      <c r="M673" s="28">
        <f>'Historical Data'!AJ670</f>
        <v/>
      </c>
      <c r="N673" s="28">
        <f>'Historical Data'!AK670</f>
        <v/>
      </c>
      <c r="O673" s="3">
        <f>'Historical Data'!AA670</f>
        <v/>
      </c>
      <c r="P673" s="3">
        <f>'Historical Data'!AB670</f>
        <v/>
      </c>
      <c r="Q673" s="3">
        <f>'Historical Data'!AN670</f>
        <v/>
      </c>
      <c r="R673" s="3">
        <f>'Historical Data'!AC670</f>
        <v/>
      </c>
      <c r="S673" s="3">
        <f>'Historical Data'!AE670</f>
        <v/>
      </c>
      <c r="T673" s="3">
        <f>'Historical Data'!AH670</f>
        <v/>
      </c>
      <c r="U673" s="3">
        <f>'Historical Data'!BA670</f>
        <v/>
      </c>
      <c r="V673" s="3" t="n"/>
      <c r="W673" s="3" t="n"/>
      <c r="X673" s="3" t="n"/>
      <c r="Y673" s="3" t="n"/>
      <c r="Z673" s="3" t="n"/>
    </row>
    <row r="674" hidden="1" ht="15.75" customHeight="1" s="174">
      <c r="A674" s="3">
        <f>'Historical Data'!A671</f>
        <v/>
      </c>
      <c r="B674" s="3">
        <f>'Historical Data'!B671</f>
        <v/>
      </c>
      <c r="C674" s="3">
        <f>'Historical Data'!D671</f>
        <v/>
      </c>
      <c r="D674" s="23">
        <f>'Historical Data'!E671</f>
        <v/>
      </c>
      <c r="E674" s="3">
        <f>'Historical Data'!G671</f>
        <v/>
      </c>
      <c r="F674" s="3">
        <f>'Historical Data'!Y671</f>
        <v/>
      </c>
      <c r="G674" s="3">
        <f>'Historical Data'!K671</f>
        <v/>
      </c>
      <c r="H674" s="3">
        <f>'Historical Data'!L671</f>
        <v/>
      </c>
      <c r="I674" s="26">
        <f>'Historical Data'!M671</f>
        <v/>
      </c>
      <c r="J674" s="28">
        <f>'Historical Data'!N671</f>
        <v/>
      </c>
      <c r="K674" s="28">
        <f>'Historical Data'!Q671</f>
        <v/>
      </c>
      <c r="L674" s="30">
        <f>'Historical Data'!S671</f>
        <v/>
      </c>
      <c r="M674" s="28">
        <f>'Historical Data'!AJ671</f>
        <v/>
      </c>
      <c r="N674" s="28">
        <f>'Historical Data'!AK671</f>
        <v/>
      </c>
      <c r="O674" s="3">
        <f>'Historical Data'!AA671</f>
        <v/>
      </c>
      <c r="P674" s="3">
        <f>'Historical Data'!AB671</f>
        <v/>
      </c>
      <c r="Q674" s="3">
        <f>'Historical Data'!AN671</f>
        <v/>
      </c>
      <c r="R674" s="3">
        <f>'Historical Data'!AC671</f>
        <v/>
      </c>
      <c r="S674" s="3">
        <f>'Historical Data'!AE671</f>
        <v/>
      </c>
      <c r="T674" s="3">
        <f>'Historical Data'!AH671</f>
        <v/>
      </c>
      <c r="U674" s="3">
        <f>'Historical Data'!BA671</f>
        <v/>
      </c>
      <c r="V674" s="3" t="n"/>
      <c r="W674" s="3" t="n"/>
      <c r="X674" s="3" t="n"/>
      <c r="Y674" s="3" t="n"/>
      <c r="Z674" s="3" t="n"/>
    </row>
    <row r="675" hidden="1" ht="15.75" customHeight="1" s="174">
      <c r="A675" s="3">
        <f>'Historical Data'!A672</f>
        <v/>
      </c>
      <c r="B675" s="3">
        <f>'Historical Data'!B672</f>
        <v/>
      </c>
      <c r="C675" s="3">
        <f>'Historical Data'!D672</f>
        <v/>
      </c>
      <c r="D675" s="23">
        <f>'Historical Data'!E672</f>
        <v/>
      </c>
      <c r="E675" s="3">
        <f>'Historical Data'!G672</f>
        <v/>
      </c>
      <c r="F675" s="3">
        <f>'Historical Data'!Y672</f>
        <v/>
      </c>
      <c r="G675" s="3">
        <f>'Historical Data'!K672</f>
        <v/>
      </c>
      <c r="H675" s="3">
        <f>'Historical Data'!L672</f>
        <v/>
      </c>
      <c r="I675" s="26">
        <f>'Historical Data'!M672</f>
        <v/>
      </c>
      <c r="J675" s="28">
        <f>'Historical Data'!N672</f>
        <v/>
      </c>
      <c r="K675" s="28">
        <f>'Historical Data'!Q672</f>
        <v/>
      </c>
      <c r="L675" s="30">
        <f>'Historical Data'!S672</f>
        <v/>
      </c>
      <c r="M675" s="28">
        <f>'Historical Data'!AJ672</f>
        <v/>
      </c>
      <c r="N675" s="28">
        <f>'Historical Data'!AK672</f>
        <v/>
      </c>
      <c r="O675" s="3">
        <f>'Historical Data'!AA672</f>
        <v/>
      </c>
      <c r="P675" s="3">
        <f>'Historical Data'!AB672</f>
        <v/>
      </c>
      <c r="Q675" s="3">
        <f>'Historical Data'!AN672</f>
        <v/>
      </c>
      <c r="R675" s="3">
        <f>'Historical Data'!AC672</f>
        <v/>
      </c>
      <c r="S675" s="3">
        <f>'Historical Data'!AE672</f>
        <v/>
      </c>
      <c r="T675" s="3">
        <f>'Historical Data'!AH672</f>
        <v/>
      </c>
      <c r="U675" s="3">
        <f>'Historical Data'!BA672</f>
        <v/>
      </c>
      <c r="V675" s="3" t="n"/>
      <c r="W675" s="3" t="n"/>
      <c r="X675" s="3" t="n"/>
      <c r="Y675" s="3" t="n"/>
      <c r="Z675" s="3" t="n"/>
    </row>
    <row r="676" hidden="1" ht="15.75" customHeight="1" s="174">
      <c r="A676" s="3">
        <f>'Historical Data'!A673</f>
        <v/>
      </c>
      <c r="B676" s="3">
        <f>'Historical Data'!B673</f>
        <v/>
      </c>
      <c r="C676" s="3">
        <f>'Historical Data'!D673</f>
        <v/>
      </c>
      <c r="D676" s="23">
        <f>'Historical Data'!E673</f>
        <v/>
      </c>
      <c r="E676" s="3">
        <f>'Historical Data'!G673</f>
        <v/>
      </c>
      <c r="F676" s="3">
        <f>'Historical Data'!Y673</f>
        <v/>
      </c>
      <c r="G676" s="3">
        <f>'Historical Data'!K673</f>
        <v/>
      </c>
      <c r="H676" s="3">
        <f>'Historical Data'!L673</f>
        <v/>
      </c>
      <c r="I676" s="26">
        <f>'Historical Data'!M673</f>
        <v/>
      </c>
      <c r="J676" s="28">
        <f>'Historical Data'!N673</f>
        <v/>
      </c>
      <c r="K676" s="28">
        <f>'Historical Data'!Q673</f>
        <v/>
      </c>
      <c r="L676" s="30">
        <f>'Historical Data'!S673</f>
        <v/>
      </c>
      <c r="M676" s="28">
        <f>'Historical Data'!AJ673</f>
        <v/>
      </c>
      <c r="N676" s="28">
        <f>'Historical Data'!AK673</f>
        <v/>
      </c>
      <c r="O676" s="3">
        <f>'Historical Data'!AA673</f>
        <v/>
      </c>
      <c r="P676" s="3">
        <f>'Historical Data'!AB673</f>
        <v/>
      </c>
      <c r="Q676" s="3">
        <f>'Historical Data'!AN673</f>
        <v/>
      </c>
      <c r="R676" s="3">
        <f>'Historical Data'!AC673</f>
        <v/>
      </c>
      <c r="S676" s="3">
        <f>'Historical Data'!AE673</f>
        <v/>
      </c>
      <c r="T676" s="3">
        <f>'Historical Data'!AH673</f>
        <v/>
      </c>
      <c r="U676" s="3">
        <f>'Historical Data'!BA673</f>
        <v/>
      </c>
      <c r="V676" s="3" t="n"/>
      <c r="W676" s="3" t="n"/>
      <c r="X676" s="3" t="n"/>
      <c r="Y676" s="3" t="n"/>
      <c r="Z676" s="3" t="n"/>
    </row>
    <row r="677" hidden="1" ht="15.75" customHeight="1" s="174">
      <c r="A677" s="3">
        <f>'Historical Data'!A674</f>
        <v/>
      </c>
      <c r="B677" s="3">
        <f>'Historical Data'!B674</f>
        <v/>
      </c>
      <c r="C677" s="3">
        <f>'Historical Data'!D674</f>
        <v/>
      </c>
      <c r="D677" s="23">
        <f>'Historical Data'!E674</f>
        <v/>
      </c>
      <c r="E677" s="3">
        <f>'Historical Data'!G674</f>
        <v/>
      </c>
      <c r="F677" s="3">
        <f>'Historical Data'!Y674</f>
        <v/>
      </c>
      <c r="G677" s="3">
        <f>'Historical Data'!K674</f>
        <v/>
      </c>
      <c r="H677" s="3">
        <f>'Historical Data'!L674</f>
        <v/>
      </c>
      <c r="I677" s="26">
        <f>'Historical Data'!M674</f>
        <v/>
      </c>
      <c r="J677" s="28">
        <f>'Historical Data'!N674</f>
        <v/>
      </c>
      <c r="K677" s="28">
        <f>'Historical Data'!Q674</f>
        <v/>
      </c>
      <c r="L677" s="30">
        <f>'Historical Data'!S674</f>
        <v/>
      </c>
      <c r="M677" s="28">
        <f>'Historical Data'!AJ674</f>
        <v/>
      </c>
      <c r="N677" s="28">
        <f>'Historical Data'!AK674</f>
        <v/>
      </c>
      <c r="O677" s="3">
        <f>'Historical Data'!AA674</f>
        <v/>
      </c>
      <c r="P677" s="3">
        <f>'Historical Data'!AB674</f>
        <v/>
      </c>
      <c r="Q677" s="3">
        <f>'Historical Data'!AN674</f>
        <v/>
      </c>
      <c r="R677" s="3">
        <f>'Historical Data'!AC674</f>
        <v/>
      </c>
      <c r="S677" s="3">
        <f>'Historical Data'!AE674</f>
        <v/>
      </c>
      <c r="T677" s="3">
        <f>'Historical Data'!AH674</f>
        <v/>
      </c>
      <c r="U677" s="3">
        <f>'Historical Data'!BA674</f>
        <v/>
      </c>
      <c r="V677" s="3" t="n"/>
      <c r="W677" s="3" t="n"/>
      <c r="X677" s="3" t="n"/>
      <c r="Y677" s="3" t="n"/>
      <c r="Z677" s="3" t="n"/>
    </row>
    <row r="678" hidden="1" ht="15.75" customHeight="1" s="174">
      <c r="A678" s="3">
        <f>'Historical Data'!A675</f>
        <v/>
      </c>
      <c r="B678" s="3">
        <f>'Historical Data'!B675</f>
        <v/>
      </c>
      <c r="C678" s="3">
        <f>'Historical Data'!D675</f>
        <v/>
      </c>
      <c r="D678" s="23">
        <f>'Historical Data'!E675</f>
        <v/>
      </c>
      <c r="E678" s="3">
        <f>'Historical Data'!G675</f>
        <v/>
      </c>
      <c r="F678" s="3">
        <f>'Historical Data'!Y675</f>
        <v/>
      </c>
      <c r="G678" s="3">
        <f>'Historical Data'!K675</f>
        <v/>
      </c>
      <c r="H678" s="3">
        <f>'Historical Data'!L675</f>
        <v/>
      </c>
      <c r="I678" s="26">
        <f>'Historical Data'!M675</f>
        <v/>
      </c>
      <c r="J678" s="28">
        <f>'Historical Data'!N675</f>
        <v/>
      </c>
      <c r="K678" s="28">
        <f>'Historical Data'!Q675</f>
        <v/>
      </c>
      <c r="L678" s="30">
        <f>'Historical Data'!S675</f>
        <v/>
      </c>
      <c r="M678" s="28">
        <f>'Historical Data'!AJ675</f>
        <v/>
      </c>
      <c r="N678" s="28">
        <f>'Historical Data'!AK675</f>
        <v/>
      </c>
      <c r="O678" s="3">
        <f>'Historical Data'!AA675</f>
        <v/>
      </c>
      <c r="P678" s="3">
        <f>'Historical Data'!AB675</f>
        <v/>
      </c>
      <c r="Q678" s="3">
        <f>'Historical Data'!AN675</f>
        <v/>
      </c>
      <c r="R678" s="3">
        <f>'Historical Data'!AC675</f>
        <v/>
      </c>
      <c r="S678" s="3">
        <f>'Historical Data'!AE675</f>
        <v/>
      </c>
      <c r="T678" s="3">
        <f>'Historical Data'!AH675</f>
        <v/>
      </c>
      <c r="U678" s="3">
        <f>'Historical Data'!BA675</f>
        <v/>
      </c>
      <c r="V678" s="3" t="n"/>
      <c r="W678" s="3" t="n"/>
      <c r="X678" s="3" t="n"/>
      <c r="Y678" s="3" t="n"/>
      <c r="Z678" s="3" t="n"/>
    </row>
    <row r="679" hidden="1" ht="15.75" customHeight="1" s="174">
      <c r="A679" s="3">
        <f>'Historical Data'!A676</f>
        <v/>
      </c>
      <c r="B679" s="3">
        <f>'Historical Data'!B676</f>
        <v/>
      </c>
      <c r="C679" s="3">
        <f>'Historical Data'!D676</f>
        <v/>
      </c>
      <c r="D679" s="23">
        <f>'Historical Data'!E676</f>
        <v/>
      </c>
      <c r="E679" s="3">
        <f>'Historical Data'!G676</f>
        <v/>
      </c>
      <c r="F679" s="3">
        <f>'Historical Data'!Y676</f>
        <v/>
      </c>
      <c r="G679" s="3">
        <f>'Historical Data'!K676</f>
        <v/>
      </c>
      <c r="H679" s="3">
        <f>'Historical Data'!L676</f>
        <v/>
      </c>
      <c r="I679" s="26">
        <f>'Historical Data'!M676</f>
        <v/>
      </c>
      <c r="J679" s="28">
        <f>'Historical Data'!N676</f>
        <v/>
      </c>
      <c r="K679" s="28">
        <f>'Historical Data'!Q676</f>
        <v/>
      </c>
      <c r="L679" s="30">
        <f>'Historical Data'!S676</f>
        <v/>
      </c>
      <c r="M679" s="28">
        <f>'Historical Data'!AJ676</f>
        <v/>
      </c>
      <c r="N679" s="28">
        <f>'Historical Data'!AK676</f>
        <v/>
      </c>
      <c r="O679" s="3">
        <f>'Historical Data'!AA676</f>
        <v/>
      </c>
      <c r="P679" s="3">
        <f>'Historical Data'!AB676</f>
        <v/>
      </c>
      <c r="Q679" s="3">
        <f>'Historical Data'!AN676</f>
        <v/>
      </c>
      <c r="R679" s="3">
        <f>'Historical Data'!AC676</f>
        <v/>
      </c>
      <c r="S679" s="3">
        <f>'Historical Data'!AE676</f>
        <v/>
      </c>
      <c r="T679" s="3">
        <f>'Historical Data'!AH676</f>
        <v/>
      </c>
      <c r="U679" s="3">
        <f>'Historical Data'!BA676</f>
        <v/>
      </c>
      <c r="V679" s="3" t="n"/>
      <c r="W679" s="3" t="n"/>
      <c r="X679" s="3" t="n"/>
      <c r="Y679" s="3" t="n"/>
      <c r="Z679" s="3" t="n"/>
    </row>
    <row r="680" hidden="1" ht="15.75" customHeight="1" s="174">
      <c r="A680" s="3">
        <f>'Historical Data'!A677</f>
        <v/>
      </c>
      <c r="B680" s="3">
        <f>'Historical Data'!B677</f>
        <v/>
      </c>
      <c r="C680" s="3">
        <f>'Historical Data'!D677</f>
        <v/>
      </c>
      <c r="D680" s="23">
        <f>'Historical Data'!E677</f>
        <v/>
      </c>
      <c r="E680" s="3">
        <f>'Historical Data'!G677</f>
        <v/>
      </c>
      <c r="F680" s="3">
        <f>'Historical Data'!Y677</f>
        <v/>
      </c>
      <c r="G680" s="3">
        <f>'Historical Data'!K677</f>
        <v/>
      </c>
      <c r="H680" s="3">
        <f>'Historical Data'!L677</f>
        <v/>
      </c>
      <c r="I680" s="26">
        <f>'Historical Data'!M677</f>
        <v/>
      </c>
      <c r="J680" s="28">
        <f>'Historical Data'!N677</f>
        <v/>
      </c>
      <c r="K680" s="28">
        <f>'Historical Data'!Q677</f>
        <v/>
      </c>
      <c r="L680" s="30">
        <f>'Historical Data'!S677</f>
        <v/>
      </c>
      <c r="M680" s="28">
        <f>'Historical Data'!AJ677</f>
        <v/>
      </c>
      <c r="N680" s="28">
        <f>'Historical Data'!AK677</f>
        <v/>
      </c>
      <c r="O680" s="3">
        <f>'Historical Data'!AA677</f>
        <v/>
      </c>
      <c r="P680" s="3">
        <f>'Historical Data'!AB677</f>
        <v/>
      </c>
      <c r="Q680" s="3">
        <f>'Historical Data'!AN677</f>
        <v/>
      </c>
      <c r="R680" s="3">
        <f>'Historical Data'!AC677</f>
        <v/>
      </c>
      <c r="S680" s="3">
        <f>'Historical Data'!AE677</f>
        <v/>
      </c>
      <c r="T680" s="3">
        <f>'Historical Data'!AH677</f>
        <v/>
      </c>
      <c r="U680" s="3">
        <f>'Historical Data'!BA677</f>
        <v/>
      </c>
      <c r="V680" s="3" t="n"/>
      <c r="W680" s="3" t="n"/>
      <c r="X680" s="3" t="n"/>
      <c r="Y680" s="3" t="n"/>
      <c r="Z680" s="3" t="n"/>
    </row>
    <row r="681" hidden="1" ht="15.75" customHeight="1" s="174">
      <c r="A681" s="3">
        <f>'Historical Data'!A678</f>
        <v/>
      </c>
      <c r="B681" s="3">
        <f>'Historical Data'!B678</f>
        <v/>
      </c>
      <c r="C681" s="3">
        <f>'Historical Data'!D678</f>
        <v/>
      </c>
      <c r="D681" s="23">
        <f>'Historical Data'!E678</f>
        <v/>
      </c>
      <c r="E681" s="3">
        <f>'Historical Data'!G678</f>
        <v/>
      </c>
      <c r="F681" s="3">
        <f>'Historical Data'!Y678</f>
        <v/>
      </c>
      <c r="G681" s="3">
        <f>'Historical Data'!K678</f>
        <v/>
      </c>
      <c r="H681" s="3">
        <f>'Historical Data'!L678</f>
        <v/>
      </c>
      <c r="I681" s="26">
        <f>'Historical Data'!M678</f>
        <v/>
      </c>
      <c r="J681" s="28">
        <f>'Historical Data'!N678</f>
        <v/>
      </c>
      <c r="K681" s="28">
        <f>'Historical Data'!Q678</f>
        <v/>
      </c>
      <c r="L681" s="30">
        <f>'Historical Data'!S678</f>
        <v/>
      </c>
      <c r="M681" s="28">
        <f>'Historical Data'!AJ678</f>
        <v/>
      </c>
      <c r="N681" s="28">
        <f>'Historical Data'!AK678</f>
        <v/>
      </c>
      <c r="O681" s="3">
        <f>'Historical Data'!AA678</f>
        <v/>
      </c>
      <c r="P681" s="3">
        <f>'Historical Data'!AB678</f>
        <v/>
      </c>
      <c r="Q681" s="3">
        <f>'Historical Data'!AN678</f>
        <v/>
      </c>
      <c r="R681" s="3">
        <f>'Historical Data'!AC678</f>
        <v/>
      </c>
      <c r="S681" s="3">
        <f>'Historical Data'!AE678</f>
        <v/>
      </c>
      <c r="T681" s="3">
        <f>'Historical Data'!AH678</f>
        <v/>
      </c>
      <c r="U681" s="3">
        <f>'Historical Data'!BA678</f>
        <v/>
      </c>
      <c r="V681" s="3" t="n"/>
      <c r="W681" s="3" t="n"/>
      <c r="X681" s="3" t="n"/>
      <c r="Y681" s="3" t="n"/>
      <c r="Z681" s="3" t="n"/>
    </row>
    <row r="682" hidden="1" ht="15.75" customHeight="1" s="174">
      <c r="A682" s="3">
        <f>'Historical Data'!A679</f>
        <v/>
      </c>
      <c r="B682" s="3">
        <f>'Historical Data'!B679</f>
        <v/>
      </c>
      <c r="C682" s="3">
        <f>'Historical Data'!D679</f>
        <v/>
      </c>
      <c r="D682" s="23">
        <f>'Historical Data'!E679</f>
        <v/>
      </c>
      <c r="E682" s="3">
        <f>'Historical Data'!G679</f>
        <v/>
      </c>
      <c r="F682" s="3">
        <f>'Historical Data'!Y679</f>
        <v/>
      </c>
      <c r="G682" s="3">
        <f>'Historical Data'!K679</f>
        <v/>
      </c>
      <c r="H682" s="3">
        <f>'Historical Data'!L679</f>
        <v/>
      </c>
      <c r="I682" s="26">
        <f>'Historical Data'!M679</f>
        <v/>
      </c>
      <c r="J682" s="28">
        <f>'Historical Data'!N679</f>
        <v/>
      </c>
      <c r="K682" s="28">
        <f>'Historical Data'!Q679</f>
        <v/>
      </c>
      <c r="L682" s="30">
        <f>'Historical Data'!S679</f>
        <v/>
      </c>
      <c r="M682" s="28">
        <f>'Historical Data'!AJ679</f>
        <v/>
      </c>
      <c r="N682" s="28">
        <f>'Historical Data'!AK679</f>
        <v/>
      </c>
      <c r="O682" s="3">
        <f>'Historical Data'!AA679</f>
        <v/>
      </c>
      <c r="P682" s="3">
        <f>'Historical Data'!AB679</f>
        <v/>
      </c>
      <c r="Q682" s="3">
        <f>'Historical Data'!AN679</f>
        <v/>
      </c>
      <c r="R682" s="3">
        <f>'Historical Data'!AC679</f>
        <v/>
      </c>
      <c r="S682" s="3">
        <f>'Historical Data'!AE679</f>
        <v/>
      </c>
      <c r="T682" s="3">
        <f>'Historical Data'!AH679</f>
        <v/>
      </c>
      <c r="U682" s="3">
        <f>'Historical Data'!BA679</f>
        <v/>
      </c>
      <c r="V682" s="3" t="n"/>
      <c r="W682" s="3" t="n"/>
      <c r="X682" s="3" t="n"/>
      <c r="Y682" s="3" t="n"/>
      <c r="Z682" s="3" t="n"/>
    </row>
    <row r="683" hidden="1" ht="15.75" customHeight="1" s="174">
      <c r="A683" s="3">
        <f>'Historical Data'!A680</f>
        <v/>
      </c>
      <c r="B683" s="3">
        <f>'Historical Data'!B680</f>
        <v/>
      </c>
      <c r="C683" s="3">
        <f>'Historical Data'!D680</f>
        <v/>
      </c>
      <c r="D683" s="23">
        <f>'Historical Data'!E680</f>
        <v/>
      </c>
      <c r="E683" s="3">
        <f>'Historical Data'!G680</f>
        <v/>
      </c>
      <c r="F683" s="3">
        <f>'Historical Data'!Y680</f>
        <v/>
      </c>
      <c r="G683" s="3">
        <f>'Historical Data'!K680</f>
        <v/>
      </c>
      <c r="H683" s="3">
        <f>'Historical Data'!L680</f>
        <v/>
      </c>
      <c r="I683" s="26">
        <f>'Historical Data'!M680</f>
        <v/>
      </c>
      <c r="J683" s="28">
        <f>'Historical Data'!N680</f>
        <v/>
      </c>
      <c r="K683" s="28">
        <f>'Historical Data'!Q680</f>
        <v/>
      </c>
      <c r="L683" s="30">
        <f>'Historical Data'!S680</f>
        <v/>
      </c>
      <c r="M683" s="28">
        <f>'Historical Data'!AJ680</f>
        <v/>
      </c>
      <c r="N683" s="28">
        <f>'Historical Data'!AK680</f>
        <v/>
      </c>
      <c r="O683" s="3">
        <f>'Historical Data'!AA680</f>
        <v/>
      </c>
      <c r="P683" s="3">
        <f>'Historical Data'!AB680</f>
        <v/>
      </c>
      <c r="Q683" s="3">
        <f>'Historical Data'!AN680</f>
        <v/>
      </c>
      <c r="R683" s="3">
        <f>'Historical Data'!AC680</f>
        <v/>
      </c>
      <c r="S683" s="3">
        <f>'Historical Data'!AE680</f>
        <v/>
      </c>
      <c r="T683" s="3">
        <f>'Historical Data'!AH680</f>
        <v/>
      </c>
      <c r="U683" s="3">
        <f>'Historical Data'!BA680</f>
        <v/>
      </c>
      <c r="V683" s="3" t="n"/>
      <c r="W683" s="3" t="n"/>
      <c r="X683" s="3" t="n"/>
      <c r="Y683" s="3" t="n"/>
      <c r="Z683" s="3" t="n"/>
    </row>
    <row r="684" hidden="1" ht="15.75" customHeight="1" s="174">
      <c r="A684" s="3">
        <f>'Historical Data'!A681</f>
        <v/>
      </c>
      <c r="B684" s="3">
        <f>'Historical Data'!B681</f>
        <v/>
      </c>
      <c r="C684" s="3">
        <f>'Historical Data'!D681</f>
        <v/>
      </c>
      <c r="D684" s="23">
        <f>'Historical Data'!E681</f>
        <v/>
      </c>
      <c r="E684" s="3">
        <f>'Historical Data'!G681</f>
        <v/>
      </c>
      <c r="F684" s="3">
        <f>'Historical Data'!Y681</f>
        <v/>
      </c>
      <c r="G684" s="3">
        <f>'Historical Data'!K681</f>
        <v/>
      </c>
      <c r="H684" s="3">
        <f>'Historical Data'!L681</f>
        <v/>
      </c>
      <c r="I684" s="26">
        <f>'Historical Data'!M681</f>
        <v/>
      </c>
      <c r="J684" s="28">
        <f>'Historical Data'!N681</f>
        <v/>
      </c>
      <c r="K684" s="28">
        <f>'Historical Data'!Q681</f>
        <v/>
      </c>
      <c r="L684" s="30">
        <f>'Historical Data'!S681</f>
        <v/>
      </c>
      <c r="M684" s="28">
        <f>'Historical Data'!AJ681</f>
        <v/>
      </c>
      <c r="N684" s="28">
        <f>'Historical Data'!AK681</f>
        <v/>
      </c>
      <c r="O684" s="3">
        <f>'Historical Data'!AA681</f>
        <v/>
      </c>
      <c r="P684" s="3">
        <f>'Historical Data'!AB681</f>
        <v/>
      </c>
      <c r="Q684" s="3">
        <f>'Historical Data'!AN681</f>
        <v/>
      </c>
      <c r="R684" s="3">
        <f>'Historical Data'!AC681</f>
        <v/>
      </c>
      <c r="S684" s="3">
        <f>'Historical Data'!AE681</f>
        <v/>
      </c>
      <c r="T684" s="3">
        <f>'Historical Data'!AH681</f>
        <v/>
      </c>
      <c r="U684" s="3">
        <f>'Historical Data'!BA681</f>
        <v/>
      </c>
      <c r="V684" s="3" t="n"/>
      <c r="W684" s="3" t="n"/>
      <c r="X684" s="3" t="n"/>
      <c r="Y684" s="3" t="n"/>
      <c r="Z684" s="3" t="n"/>
    </row>
    <row r="685" hidden="1" ht="15.75" customHeight="1" s="174">
      <c r="A685" s="3">
        <f>'Historical Data'!A682</f>
        <v/>
      </c>
      <c r="B685" s="3">
        <f>'Historical Data'!B682</f>
        <v/>
      </c>
      <c r="C685" s="3">
        <f>'Historical Data'!D682</f>
        <v/>
      </c>
      <c r="D685" s="23">
        <f>'Historical Data'!E682</f>
        <v/>
      </c>
      <c r="E685" s="3">
        <f>'Historical Data'!G682</f>
        <v/>
      </c>
      <c r="F685" s="3">
        <f>'Historical Data'!Y682</f>
        <v/>
      </c>
      <c r="G685" s="3">
        <f>'Historical Data'!K682</f>
        <v/>
      </c>
      <c r="H685" s="3">
        <f>'Historical Data'!L682</f>
        <v/>
      </c>
      <c r="I685" s="26">
        <f>'Historical Data'!M682</f>
        <v/>
      </c>
      <c r="J685" s="28">
        <f>'Historical Data'!N682</f>
        <v/>
      </c>
      <c r="K685" s="28">
        <f>'Historical Data'!Q682</f>
        <v/>
      </c>
      <c r="L685" s="30">
        <f>'Historical Data'!S682</f>
        <v/>
      </c>
      <c r="M685" s="28">
        <f>'Historical Data'!AJ682</f>
        <v/>
      </c>
      <c r="N685" s="28">
        <f>'Historical Data'!AK682</f>
        <v/>
      </c>
      <c r="O685" s="3">
        <f>'Historical Data'!AA682</f>
        <v/>
      </c>
      <c r="P685" s="3">
        <f>'Historical Data'!AB682</f>
        <v/>
      </c>
      <c r="Q685" s="3">
        <f>'Historical Data'!AN682</f>
        <v/>
      </c>
      <c r="R685" s="3">
        <f>'Historical Data'!AC682</f>
        <v/>
      </c>
      <c r="S685" s="3">
        <f>'Historical Data'!AE682</f>
        <v/>
      </c>
      <c r="T685" s="3">
        <f>'Historical Data'!AH682</f>
        <v/>
      </c>
      <c r="U685" s="3">
        <f>'Historical Data'!BA682</f>
        <v/>
      </c>
      <c r="V685" s="3" t="n"/>
      <c r="W685" s="3" t="n"/>
      <c r="X685" s="3" t="n"/>
      <c r="Y685" s="3" t="n"/>
      <c r="Z685" s="3" t="n"/>
    </row>
    <row r="686" hidden="1" ht="15.75" customHeight="1" s="174">
      <c r="A686" s="3">
        <f>'Historical Data'!A683</f>
        <v/>
      </c>
      <c r="B686" s="3">
        <f>'Historical Data'!B683</f>
        <v/>
      </c>
      <c r="C686" s="3">
        <f>'Historical Data'!D683</f>
        <v/>
      </c>
      <c r="D686" s="23">
        <f>'Historical Data'!E683</f>
        <v/>
      </c>
      <c r="E686" s="3">
        <f>'Historical Data'!G683</f>
        <v/>
      </c>
      <c r="F686" s="3">
        <f>'Historical Data'!Y683</f>
        <v/>
      </c>
      <c r="G686" s="3">
        <f>'Historical Data'!K683</f>
        <v/>
      </c>
      <c r="H686" s="3">
        <f>'Historical Data'!L683</f>
        <v/>
      </c>
      <c r="I686" s="26">
        <f>'Historical Data'!M683</f>
        <v/>
      </c>
      <c r="J686" s="28">
        <f>'Historical Data'!N683</f>
        <v/>
      </c>
      <c r="K686" s="28">
        <f>'Historical Data'!Q683</f>
        <v/>
      </c>
      <c r="L686" s="30">
        <f>'Historical Data'!S683</f>
        <v/>
      </c>
      <c r="M686" s="28">
        <f>'Historical Data'!AJ683</f>
        <v/>
      </c>
      <c r="N686" s="28">
        <f>'Historical Data'!AK683</f>
        <v/>
      </c>
      <c r="O686" s="3">
        <f>'Historical Data'!AA683</f>
        <v/>
      </c>
      <c r="P686" s="3">
        <f>'Historical Data'!AB683</f>
        <v/>
      </c>
      <c r="Q686" s="3">
        <f>'Historical Data'!AN683</f>
        <v/>
      </c>
      <c r="R686" s="3">
        <f>'Historical Data'!AC683</f>
        <v/>
      </c>
      <c r="S686" s="3">
        <f>'Historical Data'!AE683</f>
        <v/>
      </c>
      <c r="T686" s="3">
        <f>'Historical Data'!AH683</f>
        <v/>
      </c>
      <c r="U686" s="3">
        <f>'Historical Data'!BA683</f>
        <v/>
      </c>
      <c r="V686" s="3" t="n"/>
      <c r="W686" s="3" t="n"/>
      <c r="X686" s="3" t="n"/>
      <c r="Y686" s="3" t="n"/>
      <c r="Z686" s="3" t="n"/>
    </row>
    <row r="687" hidden="1" ht="15.75" customHeight="1" s="174">
      <c r="A687" s="3">
        <f>'Historical Data'!A684</f>
        <v/>
      </c>
      <c r="B687" s="3">
        <f>'Historical Data'!B684</f>
        <v/>
      </c>
      <c r="C687" s="3">
        <f>'Historical Data'!D684</f>
        <v/>
      </c>
      <c r="D687" s="23">
        <f>'Historical Data'!E684</f>
        <v/>
      </c>
      <c r="E687" s="3">
        <f>'Historical Data'!G684</f>
        <v/>
      </c>
      <c r="F687" s="3">
        <f>'Historical Data'!Y684</f>
        <v/>
      </c>
      <c r="G687" s="3">
        <f>'Historical Data'!K684</f>
        <v/>
      </c>
      <c r="H687" s="3">
        <f>'Historical Data'!L684</f>
        <v/>
      </c>
      <c r="I687" s="26">
        <f>'Historical Data'!M684</f>
        <v/>
      </c>
      <c r="J687" s="28">
        <f>'Historical Data'!N684</f>
        <v/>
      </c>
      <c r="K687" s="28">
        <f>'Historical Data'!Q684</f>
        <v/>
      </c>
      <c r="L687" s="30">
        <f>'Historical Data'!S684</f>
        <v/>
      </c>
      <c r="M687" s="28">
        <f>'Historical Data'!AJ684</f>
        <v/>
      </c>
      <c r="N687" s="28">
        <f>'Historical Data'!AK684</f>
        <v/>
      </c>
      <c r="O687" s="3">
        <f>'Historical Data'!AA684</f>
        <v/>
      </c>
      <c r="P687" s="3">
        <f>'Historical Data'!AB684</f>
        <v/>
      </c>
      <c r="Q687" s="3">
        <f>'Historical Data'!AN684</f>
        <v/>
      </c>
      <c r="R687" s="3">
        <f>'Historical Data'!AC684</f>
        <v/>
      </c>
      <c r="S687" s="3">
        <f>'Historical Data'!AE684</f>
        <v/>
      </c>
      <c r="T687" s="3">
        <f>'Historical Data'!AH684</f>
        <v/>
      </c>
      <c r="U687" s="3">
        <f>'Historical Data'!BA684</f>
        <v/>
      </c>
      <c r="V687" s="3" t="n"/>
      <c r="W687" s="3" t="n"/>
      <c r="X687" s="3" t="n"/>
      <c r="Y687" s="3" t="n"/>
      <c r="Z687" s="3" t="n"/>
    </row>
    <row r="688" ht="15.75" customHeight="1" s="174">
      <c r="A688" s="3">
        <f>'Historical Data'!A685</f>
        <v/>
      </c>
      <c r="B688" s="3">
        <f>'Historical Data'!B685</f>
        <v/>
      </c>
      <c r="C688" s="3">
        <f>'Historical Data'!D685</f>
        <v/>
      </c>
      <c r="D688" s="23">
        <f>'Historical Data'!E685</f>
        <v/>
      </c>
      <c r="E688" s="3">
        <f>'Historical Data'!G685</f>
        <v/>
      </c>
      <c r="F688" s="3">
        <f>'Historical Data'!Y685</f>
        <v/>
      </c>
      <c r="G688" s="3">
        <f>'Historical Data'!K685</f>
        <v/>
      </c>
      <c r="H688" s="3">
        <f>'Historical Data'!L685</f>
        <v/>
      </c>
      <c r="I688" s="26">
        <f>'Historical Data'!M685</f>
        <v/>
      </c>
      <c r="J688" s="28">
        <f>'Historical Data'!N685</f>
        <v/>
      </c>
      <c r="K688" s="28">
        <f>'Historical Data'!Q685</f>
        <v/>
      </c>
      <c r="L688" s="30">
        <f>'Historical Data'!S685</f>
        <v/>
      </c>
      <c r="M688" s="28">
        <f>'Historical Data'!AJ685</f>
        <v/>
      </c>
      <c r="N688" s="28">
        <f>'Historical Data'!AK685</f>
        <v/>
      </c>
      <c r="O688" s="3">
        <f>'Historical Data'!AA685</f>
        <v/>
      </c>
      <c r="P688" s="3">
        <f>'Historical Data'!AB685</f>
        <v/>
      </c>
      <c r="Q688" s="3">
        <f>'Historical Data'!AN685</f>
        <v/>
      </c>
      <c r="R688" s="3">
        <f>'Historical Data'!AC685</f>
        <v/>
      </c>
      <c r="S688" s="3">
        <f>'Historical Data'!AE685</f>
        <v/>
      </c>
      <c r="T688" s="3">
        <f>'Historical Data'!AH685</f>
        <v/>
      </c>
      <c r="U688" s="3">
        <f>'Historical Data'!BA685</f>
        <v/>
      </c>
      <c r="V688" s="3" t="n"/>
      <c r="W688" s="3" t="n"/>
      <c r="X688" s="3" t="n"/>
      <c r="Y688" s="3" t="n"/>
      <c r="Z688" s="3" t="n"/>
    </row>
    <row r="689" hidden="1" ht="15.75" customHeight="1" s="174">
      <c r="A689" s="3">
        <f>'Historical Data'!A686</f>
        <v/>
      </c>
      <c r="B689" s="3">
        <f>'Historical Data'!B686</f>
        <v/>
      </c>
      <c r="C689" s="3">
        <f>'Historical Data'!D686</f>
        <v/>
      </c>
      <c r="D689" s="23">
        <f>'Historical Data'!E686</f>
        <v/>
      </c>
      <c r="E689" s="3">
        <f>'Historical Data'!G686</f>
        <v/>
      </c>
      <c r="F689" s="3">
        <f>'Historical Data'!Y686</f>
        <v/>
      </c>
      <c r="G689" s="3">
        <f>'Historical Data'!K686</f>
        <v/>
      </c>
      <c r="H689" s="3">
        <f>'Historical Data'!L686</f>
        <v/>
      </c>
      <c r="I689" s="26">
        <f>'Historical Data'!M686</f>
        <v/>
      </c>
      <c r="J689" s="28">
        <f>'Historical Data'!N686</f>
        <v/>
      </c>
      <c r="K689" s="28">
        <f>'Historical Data'!Q686</f>
        <v/>
      </c>
      <c r="L689" s="30">
        <f>'Historical Data'!S686</f>
        <v/>
      </c>
      <c r="M689" s="28">
        <f>'Historical Data'!AJ686</f>
        <v/>
      </c>
      <c r="N689" s="28">
        <f>'Historical Data'!AK686</f>
        <v/>
      </c>
      <c r="O689" s="3">
        <f>'Historical Data'!AA686</f>
        <v/>
      </c>
      <c r="P689" s="3">
        <f>'Historical Data'!AB686</f>
        <v/>
      </c>
      <c r="Q689" s="3">
        <f>'Historical Data'!AN686</f>
        <v/>
      </c>
      <c r="R689" s="3">
        <f>'Historical Data'!AC686</f>
        <v/>
      </c>
      <c r="S689" s="3">
        <f>'Historical Data'!AE686</f>
        <v/>
      </c>
      <c r="T689" s="3">
        <f>'Historical Data'!AH686</f>
        <v/>
      </c>
      <c r="U689" s="3">
        <f>'Historical Data'!BA686</f>
        <v/>
      </c>
      <c r="V689" s="3" t="n"/>
      <c r="W689" s="3" t="n"/>
      <c r="X689" s="3" t="n"/>
      <c r="Y689" s="3" t="n"/>
      <c r="Z689" s="3" t="n"/>
    </row>
    <row r="690" hidden="1" ht="15.75" customHeight="1" s="174">
      <c r="A690" s="3">
        <f>'Historical Data'!A687</f>
        <v/>
      </c>
      <c r="B690" s="3">
        <f>'Historical Data'!B687</f>
        <v/>
      </c>
      <c r="C690" s="3">
        <f>'Historical Data'!D687</f>
        <v/>
      </c>
      <c r="D690" s="23">
        <f>'Historical Data'!E687</f>
        <v/>
      </c>
      <c r="E690" s="3">
        <f>'Historical Data'!G687</f>
        <v/>
      </c>
      <c r="F690" s="3">
        <f>'Historical Data'!Y687</f>
        <v/>
      </c>
      <c r="G690" s="3">
        <f>'Historical Data'!K687</f>
        <v/>
      </c>
      <c r="H690" s="3">
        <f>'Historical Data'!L687</f>
        <v/>
      </c>
      <c r="I690" s="26">
        <f>'Historical Data'!M687</f>
        <v/>
      </c>
      <c r="J690" s="28">
        <f>'Historical Data'!N687</f>
        <v/>
      </c>
      <c r="K690" s="28">
        <f>'Historical Data'!Q687</f>
        <v/>
      </c>
      <c r="L690" s="30">
        <f>'Historical Data'!S687</f>
        <v/>
      </c>
      <c r="M690" s="28">
        <f>'Historical Data'!AJ687</f>
        <v/>
      </c>
      <c r="N690" s="28">
        <f>'Historical Data'!AK687</f>
        <v/>
      </c>
      <c r="O690" s="3">
        <f>'Historical Data'!AA687</f>
        <v/>
      </c>
      <c r="P690" s="3">
        <f>'Historical Data'!AB687</f>
        <v/>
      </c>
      <c r="Q690" s="3">
        <f>'Historical Data'!AN687</f>
        <v/>
      </c>
      <c r="R690" s="3">
        <f>'Historical Data'!AC687</f>
        <v/>
      </c>
      <c r="S690" s="3">
        <f>'Historical Data'!AE687</f>
        <v/>
      </c>
      <c r="T690" s="3">
        <f>'Historical Data'!AH687</f>
        <v/>
      </c>
      <c r="U690" s="3">
        <f>'Historical Data'!BA687</f>
        <v/>
      </c>
      <c r="V690" s="3" t="n"/>
      <c r="W690" s="3" t="n"/>
      <c r="X690" s="3" t="n"/>
      <c r="Y690" s="3" t="n"/>
      <c r="Z690" s="3" t="n"/>
    </row>
    <row r="691" hidden="1" ht="15.75" customHeight="1" s="174">
      <c r="A691" s="3">
        <f>'Historical Data'!A688</f>
        <v/>
      </c>
      <c r="B691" s="3">
        <f>'Historical Data'!B688</f>
        <v/>
      </c>
      <c r="C691" s="3">
        <f>'Historical Data'!D688</f>
        <v/>
      </c>
      <c r="D691" s="23">
        <f>'Historical Data'!E688</f>
        <v/>
      </c>
      <c r="E691" s="3">
        <f>'Historical Data'!G688</f>
        <v/>
      </c>
      <c r="F691" s="3">
        <f>'Historical Data'!Y688</f>
        <v/>
      </c>
      <c r="G691" s="3">
        <f>'Historical Data'!K688</f>
        <v/>
      </c>
      <c r="H691" s="3">
        <f>'Historical Data'!L688</f>
        <v/>
      </c>
      <c r="I691" s="26">
        <f>'Historical Data'!M688</f>
        <v/>
      </c>
      <c r="J691" s="28">
        <f>'Historical Data'!N688</f>
        <v/>
      </c>
      <c r="K691" s="28">
        <f>'Historical Data'!Q688</f>
        <v/>
      </c>
      <c r="L691" s="30">
        <f>'Historical Data'!S688</f>
        <v/>
      </c>
      <c r="M691" s="28">
        <f>'Historical Data'!AJ688</f>
        <v/>
      </c>
      <c r="N691" s="28">
        <f>'Historical Data'!AK688</f>
        <v/>
      </c>
      <c r="O691" s="3">
        <f>'Historical Data'!AA688</f>
        <v/>
      </c>
      <c r="P691" s="3">
        <f>'Historical Data'!AB688</f>
        <v/>
      </c>
      <c r="Q691" s="3">
        <f>'Historical Data'!AN688</f>
        <v/>
      </c>
      <c r="R691" s="3">
        <f>'Historical Data'!AC688</f>
        <v/>
      </c>
      <c r="S691" s="3">
        <f>'Historical Data'!AE688</f>
        <v/>
      </c>
      <c r="T691" s="3">
        <f>'Historical Data'!AH688</f>
        <v/>
      </c>
      <c r="U691" s="3">
        <f>'Historical Data'!BA688</f>
        <v/>
      </c>
      <c r="V691" s="3" t="n"/>
      <c r="W691" s="3" t="n"/>
      <c r="X691" s="3" t="n"/>
      <c r="Y691" s="3" t="n"/>
      <c r="Z691" s="3" t="n"/>
    </row>
    <row r="692" hidden="1" ht="15.75" customHeight="1" s="174">
      <c r="A692" s="3">
        <f>'Historical Data'!A689</f>
        <v/>
      </c>
      <c r="B692" s="3">
        <f>'Historical Data'!B689</f>
        <v/>
      </c>
      <c r="C692" s="3">
        <f>'Historical Data'!D689</f>
        <v/>
      </c>
      <c r="D692" s="23">
        <f>'Historical Data'!E689</f>
        <v/>
      </c>
      <c r="E692" s="3">
        <f>'Historical Data'!G689</f>
        <v/>
      </c>
      <c r="F692" s="3">
        <f>'Historical Data'!Y689</f>
        <v/>
      </c>
      <c r="G692" s="3">
        <f>'Historical Data'!K689</f>
        <v/>
      </c>
      <c r="H692" s="3">
        <f>'Historical Data'!L689</f>
        <v/>
      </c>
      <c r="I692" s="26">
        <f>'Historical Data'!M689</f>
        <v/>
      </c>
      <c r="J692" s="28">
        <f>'Historical Data'!N689</f>
        <v/>
      </c>
      <c r="K692" s="28">
        <f>'Historical Data'!Q689</f>
        <v/>
      </c>
      <c r="L692" s="30">
        <f>'Historical Data'!S689</f>
        <v/>
      </c>
      <c r="M692" s="28">
        <f>'Historical Data'!AJ689</f>
        <v/>
      </c>
      <c r="N692" s="28">
        <f>'Historical Data'!AK689</f>
        <v/>
      </c>
      <c r="O692" s="3">
        <f>'Historical Data'!AA689</f>
        <v/>
      </c>
      <c r="P692" s="3">
        <f>'Historical Data'!AB689</f>
        <v/>
      </c>
      <c r="Q692" s="3">
        <f>'Historical Data'!AN689</f>
        <v/>
      </c>
      <c r="R692" s="3">
        <f>'Historical Data'!AC689</f>
        <v/>
      </c>
      <c r="S692" s="3">
        <f>'Historical Data'!AE689</f>
        <v/>
      </c>
      <c r="T692" s="3">
        <f>'Historical Data'!AH689</f>
        <v/>
      </c>
      <c r="U692" s="3">
        <f>'Historical Data'!BA689</f>
        <v/>
      </c>
      <c r="V692" s="3" t="n"/>
      <c r="W692" s="3" t="n"/>
      <c r="X692" s="3" t="n"/>
      <c r="Y692" s="3" t="n"/>
      <c r="Z692" s="3" t="n"/>
    </row>
    <row r="693" hidden="1" ht="15.75" customHeight="1" s="174">
      <c r="A693" s="3">
        <f>'Historical Data'!A690</f>
        <v/>
      </c>
      <c r="B693" s="3">
        <f>'Historical Data'!B690</f>
        <v/>
      </c>
      <c r="C693" s="3">
        <f>'Historical Data'!D690</f>
        <v/>
      </c>
      <c r="D693" s="23">
        <f>'Historical Data'!E690</f>
        <v/>
      </c>
      <c r="E693" s="3">
        <f>'Historical Data'!G690</f>
        <v/>
      </c>
      <c r="F693" s="3">
        <f>'Historical Data'!Y690</f>
        <v/>
      </c>
      <c r="G693" s="3">
        <f>'Historical Data'!K690</f>
        <v/>
      </c>
      <c r="H693" s="3">
        <f>'Historical Data'!L690</f>
        <v/>
      </c>
      <c r="I693" s="26">
        <f>'Historical Data'!M690</f>
        <v/>
      </c>
      <c r="J693" s="28">
        <f>'Historical Data'!N690</f>
        <v/>
      </c>
      <c r="K693" s="28">
        <f>'Historical Data'!Q690</f>
        <v/>
      </c>
      <c r="L693" s="30">
        <f>'Historical Data'!S690</f>
        <v/>
      </c>
      <c r="M693" s="28">
        <f>'Historical Data'!AJ690</f>
        <v/>
      </c>
      <c r="N693" s="28">
        <f>'Historical Data'!AK690</f>
        <v/>
      </c>
      <c r="O693" s="3">
        <f>'Historical Data'!AA690</f>
        <v/>
      </c>
      <c r="P693" s="3">
        <f>'Historical Data'!AB690</f>
        <v/>
      </c>
      <c r="Q693" s="3">
        <f>'Historical Data'!AN690</f>
        <v/>
      </c>
      <c r="R693" s="3">
        <f>'Historical Data'!AC690</f>
        <v/>
      </c>
      <c r="S693" s="3">
        <f>'Historical Data'!AE690</f>
        <v/>
      </c>
      <c r="T693" s="3">
        <f>'Historical Data'!AH690</f>
        <v/>
      </c>
      <c r="U693" s="3">
        <f>'Historical Data'!BA690</f>
        <v/>
      </c>
      <c r="V693" s="3" t="n"/>
      <c r="W693" s="3" t="n"/>
      <c r="X693" s="3" t="n"/>
      <c r="Y693" s="3" t="n"/>
      <c r="Z693" s="3" t="n"/>
    </row>
    <row r="694" hidden="1" ht="15.75" customHeight="1" s="174">
      <c r="A694" s="3">
        <f>'Historical Data'!A691</f>
        <v/>
      </c>
      <c r="B694" s="3">
        <f>'Historical Data'!B691</f>
        <v/>
      </c>
      <c r="C694" s="3">
        <f>'Historical Data'!D691</f>
        <v/>
      </c>
      <c r="D694" s="23">
        <f>'Historical Data'!E691</f>
        <v/>
      </c>
      <c r="E694" s="3">
        <f>'Historical Data'!G691</f>
        <v/>
      </c>
      <c r="F694" s="3">
        <f>'Historical Data'!Y691</f>
        <v/>
      </c>
      <c r="G694" s="3">
        <f>'Historical Data'!K691</f>
        <v/>
      </c>
      <c r="H694" s="3">
        <f>'Historical Data'!L691</f>
        <v/>
      </c>
      <c r="I694" s="26">
        <f>'Historical Data'!M691</f>
        <v/>
      </c>
      <c r="J694" s="28">
        <f>'Historical Data'!N691</f>
        <v/>
      </c>
      <c r="K694" s="28">
        <f>'Historical Data'!Q691</f>
        <v/>
      </c>
      <c r="L694" s="30">
        <f>'Historical Data'!S691</f>
        <v/>
      </c>
      <c r="M694" s="28">
        <f>'Historical Data'!AJ691</f>
        <v/>
      </c>
      <c r="N694" s="28">
        <f>'Historical Data'!AK691</f>
        <v/>
      </c>
      <c r="O694" s="3">
        <f>'Historical Data'!AA691</f>
        <v/>
      </c>
      <c r="P694" s="3">
        <f>'Historical Data'!AB691</f>
        <v/>
      </c>
      <c r="Q694" s="3">
        <f>'Historical Data'!AN691</f>
        <v/>
      </c>
      <c r="R694" s="3">
        <f>'Historical Data'!AC691</f>
        <v/>
      </c>
      <c r="S694" s="3">
        <f>'Historical Data'!AE691</f>
        <v/>
      </c>
      <c r="T694" s="3">
        <f>'Historical Data'!AH691</f>
        <v/>
      </c>
      <c r="U694" s="3">
        <f>'Historical Data'!BA691</f>
        <v/>
      </c>
      <c r="V694" s="3" t="n"/>
      <c r="W694" s="3" t="n"/>
      <c r="X694" s="3" t="n"/>
      <c r="Y694" s="3" t="n"/>
      <c r="Z694" s="3" t="n"/>
    </row>
    <row r="695" hidden="1" ht="15.75" customHeight="1" s="174">
      <c r="A695" s="3">
        <f>'Historical Data'!A692</f>
        <v/>
      </c>
      <c r="B695" s="3">
        <f>'Historical Data'!B692</f>
        <v/>
      </c>
      <c r="C695" s="3">
        <f>'Historical Data'!D692</f>
        <v/>
      </c>
      <c r="D695" s="23">
        <f>'Historical Data'!E692</f>
        <v/>
      </c>
      <c r="E695" s="3">
        <f>'Historical Data'!G692</f>
        <v/>
      </c>
      <c r="F695" s="3">
        <f>'Historical Data'!Y692</f>
        <v/>
      </c>
      <c r="G695" s="3">
        <f>'Historical Data'!K692</f>
        <v/>
      </c>
      <c r="H695" s="3">
        <f>'Historical Data'!L692</f>
        <v/>
      </c>
      <c r="I695" s="26">
        <f>'Historical Data'!M692</f>
        <v/>
      </c>
      <c r="J695" s="28">
        <f>'Historical Data'!N692</f>
        <v/>
      </c>
      <c r="K695" s="28">
        <f>'Historical Data'!Q692</f>
        <v/>
      </c>
      <c r="L695" s="30">
        <f>'Historical Data'!S692</f>
        <v/>
      </c>
      <c r="M695" s="28">
        <f>'Historical Data'!AJ692</f>
        <v/>
      </c>
      <c r="N695" s="28">
        <f>'Historical Data'!AK692</f>
        <v/>
      </c>
      <c r="O695" s="3">
        <f>'Historical Data'!AA692</f>
        <v/>
      </c>
      <c r="P695" s="3">
        <f>'Historical Data'!AB692</f>
        <v/>
      </c>
      <c r="Q695" s="3">
        <f>'Historical Data'!AN692</f>
        <v/>
      </c>
      <c r="R695" s="3">
        <f>'Historical Data'!AC692</f>
        <v/>
      </c>
      <c r="S695" s="3">
        <f>'Historical Data'!AE692</f>
        <v/>
      </c>
      <c r="T695" s="3">
        <f>'Historical Data'!AH692</f>
        <v/>
      </c>
      <c r="U695" s="3">
        <f>'Historical Data'!BA692</f>
        <v/>
      </c>
      <c r="V695" s="3" t="n"/>
      <c r="W695" s="3" t="n"/>
      <c r="X695" s="3" t="n"/>
      <c r="Y695" s="3" t="n"/>
      <c r="Z695" s="3" t="n"/>
    </row>
    <row r="696" hidden="1" ht="15.75" customHeight="1" s="174">
      <c r="A696" s="3">
        <f>'Historical Data'!A693</f>
        <v/>
      </c>
      <c r="B696" s="3">
        <f>'Historical Data'!B693</f>
        <v/>
      </c>
      <c r="C696" s="3">
        <f>'Historical Data'!D693</f>
        <v/>
      </c>
      <c r="D696" s="23">
        <f>'Historical Data'!E693</f>
        <v/>
      </c>
      <c r="E696" s="3">
        <f>'Historical Data'!G693</f>
        <v/>
      </c>
      <c r="F696" s="3">
        <f>'Historical Data'!Y693</f>
        <v/>
      </c>
      <c r="G696" s="3">
        <f>'Historical Data'!K693</f>
        <v/>
      </c>
      <c r="H696" s="3">
        <f>'Historical Data'!L693</f>
        <v/>
      </c>
      <c r="I696" s="26">
        <f>'Historical Data'!M693</f>
        <v/>
      </c>
      <c r="J696" s="28">
        <f>'Historical Data'!N693</f>
        <v/>
      </c>
      <c r="K696" s="28">
        <f>'Historical Data'!Q693</f>
        <v/>
      </c>
      <c r="L696" s="30">
        <f>'Historical Data'!S693</f>
        <v/>
      </c>
      <c r="M696" s="28">
        <f>'Historical Data'!AJ693</f>
        <v/>
      </c>
      <c r="N696" s="28">
        <f>'Historical Data'!AK693</f>
        <v/>
      </c>
      <c r="O696" s="3">
        <f>'Historical Data'!AA693</f>
        <v/>
      </c>
      <c r="P696" s="3">
        <f>'Historical Data'!AB693</f>
        <v/>
      </c>
      <c r="Q696" s="3">
        <f>'Historical Data'!AN693</f>
        <v/>
      </c>
      <c r="R696" s="3">
        <f>'Historical Data'!AC693</f>
        <v/>
      </c>
      <c r="S696" s="3">
        <f>'Historical Data'!AE693</f>
        <v/>
      </c>
      <c r="T696" s="3">
        <f>'Historical Data'!AH693</f>
        <v/>
      </c>
      <c r="U696" s="3">
        <f>'Historical Data'!BA693</f>
        <v/>
      </c>
      <c r="V696" s="3" t="n"/>
      <c r="W696" s="3" t="n"/>
      <c r="X696" s="3" t="n"/>
      <c r="Y696" s="3" t="n"/>
      <c r="Z696" s="3" t="n"/>
    </row>
    <row r="697" hidden="1" ht="15.75" customHeight="1" s="174">
      <c r="A697" s="3">
        <f>'Historical Data'!A694</f>
        <v/>
      </c>
      <c r="B697" s="3">
        <f>'Historical Data'!B694</f>
        <v/>
      </c>
      <c r="C697" s="3">
        <f>'Historical Data'!D694</f>
        <v/>
      </c>
      <c r="D697" s="23">
        <f>'Historical Data'!E694</f>
        <v/>
      </c>
      <c r="E697" s="3">
        <f>'Historical Data'!G694</f>
        <v/>
      </c>
      <c r="F697" s="3">
        <f>'Historical Data'!Y694</f>
        <v/>
      </c>
      <c r="G697" s="3">
        <f>'Historical Data'!K694</f>
        <v/>
      </c>
      <c r="H697" s="3">
        <f>'Historical Data'!L694</f>
        <v/>
      </c>
      <c r="I697" s="26">
        <f>'Historical Data'!M694</f>
        <v/>
      </c>
      <c r="J697" s="28">
        <f>'Historical Data'!N694</f>
        <v/>
      </c>
      <c r="K697" s="28">
        <f>'Historical Data'!Q694</f>
        <v/>
      </c>
      <c r="L697" s="30">
        <f>'Historical Data'!S694</f>
        <v/>
      </c>
      <c r="M697" s="28">
        <f>'Historical Data'!AJ694</f>
        <v/>
      </c>
      <c r="N697" s="28">
        <f>'Historical Data'!AK694</f>
        <v/>
      </c>
      <c r="O697" s="3">
        <f>'Historical Data'!AA694</f>
        <v/>
      </c>
      <c r="P697" s="3">
        <f>'Historical Data'!AB694</f>
        <v/>
      </c>
      <c r="Q697" s="3">
        <f>'Historical Data'!AN694</f>
        <v/>
      </c>
      <c r="R697" s="3">
        <f>'Historical Data'!AC694</f>
        <v/>
      </c>
      <c r="S697" s="3">
        <f>'Historical Data'!AE694</f>
        <v/>
      </c>
      <c r="T697" s="3">
        <f>'Historical Data'!AH694</f>
        <v/>
      </c>
      <c r="U697" s="3">
        <f>'Historical Data'!BA694</f>
        <v/>
      </c>
      <c r="V697" s="3" t="n"/>
      <c r="W697" s="3" t="n"/>
      <c r="X697" s="3" t="n"/>
      <c r="Y697" s="3" t="n"/>
      <c r="Z697" s="3" t="n"/>
    </row>
    <row r="698" hidden="1" ht="15.75" customHeight="1" s="174">
      <c r="A698" s="3">
        <f>'Historical Data'!A695</f>
        <v/>
      </c>
      <c r="B698" s="3">
        <f>'Historical Data'!B695</f>
        <v/>
      </c>
      <c r="C698" s="3">
        <f>'Historical Data'!D695</f>
        <v/>
      </c>
      <c r="D698" s="23">
        <f>'Historical Data'!E695</f>
        <v/>
      </c>
      <c r="E698" s="3">
        <f>'Historical Data'!G695</f>
        <v/>
      </c>
      <c r="F698" s="3">
        <f>'Historical Data'!Y695</f>
        <v/>
      </c>
      <c r="G698" s="3">
        <f>'Historical Data'!K695</f>
        <v/>
      </c>
      <c r="H698" s="3">
        <f>'Historical Data'!L695</f>
        <v/>
      </c>
      <c r="I698" s="26">
        <f>'Historical Data'!M695</f>
        <v/>
      </c>
      <c r="J698" s="28">
        <f>'Historical Data'!N695</f>
        <v/>
      </c>
      <c r="K698" s="28">
        <f>'Historical Data'!Q695</f>
        <v/>
      </c>
      <c r="L698" s="30">
        <f>'Historical Data'!S695</f>
        <v/>
      </c>
      <c r="M698" s="28">
        <f>'Historical Data'!AJ695</f>
        <v/>
      </c>
      <c r="N698" s="28">
        <f>'Historical Data'!AK695</f>
        <v/>
      </c>
      <c r="O698" s="3">
        <f>'Historical Data'!AA695</f>
        <v/>
      </c>
      <c r="P698" s="3">
        <f>'Historical Data'!AB695</f>
        <v/>
      </c>
      <c r="Q698" s="3">
        <f>'Historical Data'!AN695</f>
        <v/>
      </c>
      <c r="R698" s="3">
        <f>'Historical Data'!AC695</f>
        <v/>
      </c>
      <c r="S698" s="3">
        <f>'Historical Data'!AE695</f>
        <v/>
      </c>
      <c r="T698" s="3">
        <f>'Historical Data'!AH695</f>
        <v/>
      </c>
      <c r="U698" s="3">
        <f>'Historical Data'!BA695</f>
        <v/>
      </c>
      <c r="V698" s="3" t="n"/>
      <c r="W698" s="3" t="n"/>
      <c r="X698" s="3" t="n"/>
      <c r="Y698" s="3" t="n"/>
      <c r="Z698" s="3" t="n"/>
    </row>
    <row r="699" hidden="1" ht="15.75" customHeight="1" s="174">
      <c r="A699" s="3">
        <f>'Historical Data'!A696</f>
        <v/>
      </c>
      <c r="B699" s="3">
        <f>'Historical Data'!B696</f>
        <v/>
      </c>
      <c r="C699" s="3">
        <f>'Historical Data'!D696</f>
        <v/>
      </c>
      <c r="D699" s="23">
        <f>'Historical Data'!E696</f>
        <v/>
      </c>
      <c r="E699" s="3">
        <f>'Historical Data'!G696</f>
        <v/>
      </c>
      <c r="F699" s="3">
        <f>'Historical Data'!Y696</f>
        <v/>
      </c>
      <c r="G699" s="3">
        <f>'Historical Data'!K696</f>
        <v/>
      </c>
      <c r="H699" s="3">
        <f>'Historical Data'!L696</f>
        <v/>
      </c>
      <c r="I699" s="26">
        <f>'Historical Data'!M696</f>
        <v/>
      </c>
      <c r="J699" s="28">
        <f>'Historical Data'!N696</f>
        <v/>
      </c>
      <c r="K699" s="28">
        <f>'Historical Data'!Q696</f>
        <v/>
      </c>
      <c r="L699" s="30">
        <f>'Historical Data'!S696</f>
        <v/>
      </c>
      <c r="M699" s="28">
        <f>'Historical Data'!AJ696</f>
        <v/>
      </c>
      <c r="N699" s="28">
        <f>'Historical Data'!AK696</f>
        <v/>
      </c>
      <c r="O699" s="3">
        <f>'Historical Data'!AA696</f>
        <v/>
      </c>
      <c r="P699" s="3">
        <f>'Historical Data'!AB696</f>
        <v/>
      </c>
      <c r="Q699" s="3">
        <f>'Historical Data'!AN696</f>
        <v/>
      </c>
      <c r="R699" s="3">
        <f>'Historical Data'!AC696</f>
        <v/>
      </c>
      <c r="S699" s="3">
        <f>'Historical Data'!AE696</f>
        <v/>
      </c>
      <c r="T699" s="3">
        <f>'Historical Data'!AH696</f>
        <v/>
      </c>
      <c r="U699" s="3">
        <f>'Historical Data'!BA696</f>
        <v/>
      </c>
      <c r="V699" s="3" t="n"/>
      <c r="W699" s="3" t="n"/>
      <c r="X699" s="3" t="n"/>
      <c r="Y699" s="3" t="n"/>
      <c r="Z699" s="3" t="n"/>
    </row>
    <row r="700" hidden="1" ht="15.75" customHeight="1" s="174">
      <c r="A700" s="3">
        <f>'Historical Data'!A697</f>
        <v/>
      </c>
      <c r="B700" s="3">
        <f>'Historical Data'!B697</f>
        <v/>
      </c>
      <c r="C700" s="3">
        <f>'Historical Data'!D697</f>
        <v/>
      </c>
      <c r="D700" s="23">
        <f>'Historical Data'!E697</f>
        <v/>
      </c>
      <c r="E700" s="3">
        <f>'Historical Data'!G697</f>
        <v/>
      </c>
      <c r="F700" s="3">
        <f>'Historical Data'!Y697</f>
        <v/>
      </c>
      <c r="G700" s="3">
        <f>'Historical Data'!K697</f>
        <v/>
      </c>
      <c r="H700" s="3">
        <f>'Historical Data'!L697</f>
        <v/>
      </c>
      <c r="I700" s="26">
        <f>'Historical Data'!M697</f>
        <v/>
      </c>
      <c r="J700" s="28">
        <f>'Historical Data'!N697</f>
        <v/>
      </c>
      <c r="K700" s="28">
        <f>'Historical Data'!Q697</f>
        <v/>
      </c>
      <c r="L700" s="30">
        <f>'Historical Data'!S697</f>
        <v/>
      </c>
      <c r="M700" s="28">
        <f>'Historical Data'!AJ697</f>
        <v/>
      </c>
      <c r="N700" s="28">
        <f>'Historical Data'!AK697</f>
        <v/>
      </c>
      <c r="O700" s="3">
        <f>'Historical Data'!AA697</f>
        <v/>
      </c>
      <c r="P700" s="3">
        <f>'Historical Data'!AB697</f>
        <v/>
      </c>
      <c r="Q700" s="3">
        <f>'Historical Data'!AN697</f>
        <v/>
      </c>
      <c r="R700" s="3">
        <f>'Historical Data'!AC697</f>
        <v/>
      </c>
      <c r="S700" s="3">
        <f>'Historical Data'!AE697</f>
        <v/>
      </c>
      <c r="T700" s="3">
        <f>'Historical Data'!AH697</f>
        <v/>
      </c>
      <c r="U700" s="3">
        <f>'Historical Data'!BA697</f>
        <v/>
      </c>
      <c r="V700" s="3" t="n"/>
      <c r="W700" s="3" t="n"/>
      <c r="X700" s="3" t="n"/>
      <c r="Y700" s="3" t="n"/>
      <c r="Z700" s="3" t="n"/>
    </row>
    <row r="701" hidden="1" ht="15.75" customHeight="1" s="174">
      <c r="A701" s="3">
        <f>'Historical Data'!A698</f>
        <v/>
      </c>
      <c r="B701" s="3">
        <f>'Historical Data'!B698</f>
        <v/>
      </c>
      <c r="C701" s="3">
        <f>'Historical Data'!D698</f>
        <v/>
      </c>
      <c r="D701" s="23">
        <f>'Historical Data'!E698</f>
        <v/>
      </c>
      <c r="E701" s="3">
        <f>'Historical Data'!G698</f>
        <v/>
      </c>
      <c r="F701" s="3">
        <f>'Historical Data'!Y698</f>
        <v/>
      </c>
      <c r="G701" s="3">
        <f>'Historical Data'!K698</f>
        <v/>
      </c>
      <c r="H701" s="3">
        <f>'Historical Data'!L698</f>
        <v/>
      </c>
      <c r="I701" s="26">
        <f>'Historical Data'!M698</f>
        <v/>
      </c>
      <c r="J701" s="28">
        <f>'Historical Data'!N698</f>
        <v/>
      </c>
      <c r="K701" s="28">
        <f>'Historical Data'!Q698</f>
        <v/>
      </c>
      <c r="L701" s="30">
        <f>'Historical Data'!S698</f>
        <v/>
      </c>
      <c r="M701" s="28">
        <f>'Historical Data'!AJ698</f>
        <v/>
      </c>
      <c r="N701" s="28">
        <f>'Historical Data'!AK698</f>
        <v/>
      </c>
      <c r="O701" s="3">
        <f>'Historical Data'!AA698</f>
        <v/>
      </c>
      <c r="P701" s="3">
        <f>'Historical Data'!AB698</f>
        <v/>
      </c>
      <c r="Q701" s="3">
        <f>'Historical Data'!AN698</f>
        <v/>
      </c>
      <c r="R701" s="3">
        <f>'Historical Data'!AC698</f>
        <v/>
      </c>
      <c r="S701" s="3">
        <f>'Historical Data'!AE698</f>
        <v/>
      </c>
      <c r="T701" s="3">
        <f>'Historical Data'!AH698</f>
        <v/>
      </c>
      <c r="U701" s="3">
        <f>'Historical Data'!BA698</f>
        <v/>
      </c>
      <c r="V701" s="3" t="n"/>
      <c r="W701" s="3" t="n"/>
      <c r="X701" s="3" t="n"/>
      <c r="Y701" s="3" t="n"/>
      <c r="Z701" s="3" t="n"/>
    </row>
    <row r="702" hidden="1" ht="15.75" customHeight="1" s="174">
      <c r="A702" s="3">
        <f>'Historical Data'!A699</f>
        <v/>
      </c>
      <c r="B702" s="3">
        <f>'Historical Data'!B699</f>
        <v/>
      </c>
      <c r="C702" s="3">
        <f>'Historical Data'!D699</f>
        <v/>
      </c>
      <c r="D702" s="23">
        <f>'Historical Data'!E699</f>
        <v/>
      </c>
      <c r="E702" s="3">
        <f>'Historical Data'!G699</f>
        <v/>
      </c>
      <c r="F702" s="3">
        <f>'Historical Data'!Y699</f>
        <v/>
      </c>
      <c r="G702" s="3">
        <f>'Historical Data'!K699</f>
        <v/>
      </c>
      <c r="H702" s="3">
        <f>'Historical Data'!L699</f>
        <v/>
      </c>
      <c r="I702" s="26">
        <f>'Historical Data'!M699</f>
        <v/>
      </c>
      <c r="J702" s="28">
        <f>'Historical Data'!N699</f>
        <v/>
      </c>
      <c r="K702" s="28">
        <f>'Historical Data'!Q699</f>
        <v/>
      </c>
      <c r="L702" s="30">
        <f>'Historical Data'!S699</f>
        <v/>
      </c>
      <c r="M702" s="28">
        <f>'Historical Data'!AJ699</f>
        <v/>
      </c>
      <c r="N702" s="28">
        <f>'Historical Data'!AK699</f>
        <v/>
      </c>
      <c r="O702" s="3">
        <f>'Historical Data'!AA699</f>
        <v/>
      </c>
      <c r="P702" s="3">
        <f>'Historical Data'!AB699</f>
        <v/>
      </c>
      <c r="Q702" s="3">
        <f>'Historical Data'!AN699</f>
        <v/>
      </c>
      <c r="R702" s="3">
        <f>'Historical Data'!AC699</f>
        <v/>
      </c>
      <c r="S702" s="3">
        <f>'Historical Data'!AE699</f>
        <v/>
      </c>
      <c r="T702" s="3">
        <f>'Historical Data'!AH699</f>
        <v/>
      </c>
      <c r="U702" s="3">
        <f>'Historical Data'!BA699</f>
        <v/>
      </c>
      <c r="V702" s="3" t="n"/>
      <c r="W702" s="3" t="n"/>
      <c r="X702" s="3" t="n"/>
      <c r="Y702" s="3" t="n"/>
      <c r="Z702" s="3" t="n"/>
    </row>
    <row r="703" hidden="1" ht="15.75" customHeight="1" s="174">
      <c r="A703" s="3">
        <f>'Historical Data'!A700</f>
        <v/>
      </c>
      <c r="B703" s="3">
        <f>'Historical Data'!B700</f>
        <v/>
      </c>
      <c r="C703" s="3">
        <f>'Historical Data'!D700</f>
        <v/>
      </c>
      <c r="D703" s="23">
        <f>'Historical Data'!E700</f>
        <v/>
      </c>
      <c r="E703" s="3">
        <f>'Historical Data'!G700</f>
        <v/>
      </c>
      <c r="F703" s="3">
        <f>'Historical Data'!Y700</f>
        <v/>
      </c>
      <c r="G703" s="3">
        <f>'Historical Data'!K700</f>
        <v/>
      </c>
      <c r="H703" s="3">
        <f>'Historical Data'!L700</f>
        <v/>
      </c>
      <c r="I703" s="26">
        <f>'Historical Data'!M700</f>
        <v/>
      </c>
      <c r="J703" s="28">
        <f>'Historical Data'!N700</f>
        <v/>
      </c>
      <c r="K703" s="28">
        <f>'Historical Data'!Q700</f>
        <v/>
      </c>
      <c r="L703" s="30">
        <f>'Historical Data'!S700</f>
        <v/>
      </c>
      <c r="M703" s="28">
        <f>'Historical Data'!AJ700</f>
        <v/>
      </c>
      <c r="N703" s="28">
        <f>'Historical Data'!AK700</f>
        <v/>
      </c>
      <c r="O703" s="3">
        <f>'Historical Data'!AA700</f>
        <v/>
      </c>
      <c r="P703" s="3">
        <f>'Historical Data'!AB700</f>
        <v/>
      </c>
      <c r="Q703" s="3">
        <f>'Historical Data'!AN700</f>
        <v/>
      </c>
      <c r="R703" s="3">
        <f>'Historical Data'!AC700</f>
        <v/>
      </c>
      <c r="S703" s="3">
        <f>'Historical Data'!AE700</f>
        <v/>
      </c>
      <c r="T703" s="3">
        <f>'Historical Data'!AH700</f>
        <v/>
      </c>
      <c r="U703" s="3">
        <f>'Historical Data'!BA700</f>
        <v/>
      </c>
      <c r="V703" s="3" t="n"/>
      <c r="W703" s="3" t="n"/>
      <c r="X703" s="3" t="n"/>
      <c r="Y703" s="3" t="n"/>
      <c r="Z703" s="3" t="n"/>
    </row>
    <row r="704" hidden="1" ht="15.75" customHeight="1" s="174">
      <c r="A704" s="3">
        <f>'Historical Data'!A701</f>
        <v/>
      </c>
      <c r="B704" s="3">
        <f>'Historical Data'!B701</f>
        <v/>
      </c>
      <c r="C704" s="3">
        <f>'Historical Data'!D701</f>
        <v/>
      </c>
      <c r="D704" s="23">
        <f>'Historical Data'!E701</f>
        <v/>
      </c>
      <c r="E704" s="3">
        <f>'Historical Data'!G701</f>
        <v/>
      </c>
      <c r="F704" s="3">
        <f>'Historical Data'!Y701</f>
        <v/>
      </c>
      <c r="G704" s="3">
        <f>'Historical Data'!K701</f>
        <v/>
      </c>
      <c r="H704" s="3">
        <f>'Historical Data'!L701</f>
        <v/>
      </c>
      <c r="I704" s="26">
        <f>'Historical Data'!M701</f>
        <v/>
      </c>
      <c r="J704" s="28">
        <f>'Historical Data'!N701</f>
        <v/>
      </c>
      <c r="K704" s="28">
        <f>'Historical Data'!Q701</f>
        <v/>
      </c>
      <c r="L704" s="30">
        <f>'Historical Data'!S701</f>
        <v/>
      </c>
      <c r="M704" s="28">
        <f>'Historical Data'!AJ701</f>
        <v/>
      </c>
      <c r="N704" s="28">
        <f>'Historical Data'!AK701</f>
        <v/>
      </c>
      <c r="O704" s="3">
        <f>'Historical Data'!AA701</f>
        <v/>
      </c>
      <c r="P704" s="3">
        <f>'Historical Data'!AB701</f>
        <v/>
      </c>
      <c r="Q704" s="3">
        <f>'Historical Data'!AN701</f>
        <v/>
      </c>
      <c r="R704" s="3">
        <f>'Historical Data'!AC701</f>
        <v/>
      </c>
      <c r="S704" s="3">
        <f>'Historical Data'!AE701</f>
        <v/>
      </c>
      <c r="T704" s="3">
        <f>'Historical Data'!AH701</f>
        <v/>
      </c>
      <c r="U704" s="3">
        <f>'Historical Data'!BA701</f>
        <v/>
      </c>
      <c r="V704" s="3" t="n"/>
      <c r="W704" s="3" t="n"/>
      <c r="X704" s="3" t="n"/>
      <c r="Y704" s="3" t="n"/>
      <c r="Z704" s="3" t="n"/>
    </row>
    <row r="705" hidden="1" ht="15.75" customHeight="1" s="174">
      <c r="A705" s="3">
        <f>'Historical Data'!A702</f>
        <v/>
      </c>
      <c r="B705" s="3">
        <f>'Historical Data'!B702</f>
        <v/>
      </c>
      <c r="C705" s="3">
        <f>'Historical Data'!D702</f>
        <v/>
      </c>
      <c r="D705" s="23">
        <f>'Historical Data'!E702</f>
        <v/>
      </c>
      <c r="E705" s="3">
        <f>'Historical Data'!G702</f>
        <v/>
      </c>
      <c r="F705" s="3">
        <f>'Historical Data'!Y702</f>
        <v/>
      </c>
      <c r="G705" s="3">
        <f>'Historical Data'!K702</f>
        <v/>
      </c>
      <c r="H705" s="3">
        <f>'Historical Data'!L702</f>
        <v/>
      </c>
      <c r="I705" s="26">
        <f>'Historical Data'!M702</f>
        <v/>
      </c>
      <c r="J705" s="28">
        <f>'Historical Data'!N702</f>
        <v/>
      </c>
      <c r="K705" s="28">
        <f>'Historical Data'!Q702</f>
        <v/>
      </c>
      <c r="L705" s="30">
        <f>'Historical Data'!S702</f>
        <v/>
      </c>
      <c r="M705" s="28">
        <f>'Historical Data'!AJ702</f>
        <v/>
      </c>
      <c r="N705" s="28">
        <f>'Historical Data'!AK702</f>
        <v/>
      </c>
      <c r="O705" s="3">
        <f>'Historical Data'!AA702</f>
        <v/>
      </c>
      <c r="P705" s="3">
        <f>'Historical Data'!AB702</f>
        <v/>
      </c>
      <c r="Q705" s="3">
        <f>'Historical Data'!AN702</f>
        <v/>
      </c>
      <c r="R705" s="3">
        <f>'Historical Data'!AC702</f>
        <v/>
      </c>
      <c r="S705" s="3">
        <f>'Historical Data'!AE702</f>
        <v/>
      </c>
      <c r="T705" s="3">
        <f>'Historical Data'!AH702</f>
        <v/>
      </c>
      <c r="U705" s="3">
        <f>'Historical Data'!BA702</f>
        <v/>
      </c>
      <c r="V705" s="3" t="n"/>
      <c r="W705" s="3" t="n"/>
      <c r="X705" s="3" t="n"/>
      <c r="Y705" s="3" t="n"/>
      <c r="Z705" s="3" t="n"/>
    </row>
    <row r="706" hidden="1" ht="15.75" customHeight="1" s="174">
      <c r="A706" s="3">
        <f>'Historical Data'!A703</f>
        <v/>
      </c>
      <c r="B706" s="3">
        <f>'Historical Data'!B703</f>
        <v/>
      </c>
      <c r="C706" s="3">
        <f>'Historical Data'!D703</f>
        <v/>
      </c>
      <c r="D706" s="23">
        <f>'Historical Data'!E703</f>
        <v/>
      </c>
      <c r="E706" s="3">
        <f>'Historical Data'!G703</f>
        <v/>
      </c>
      <c r="F706" s="3">
        <f>'Historical Data'!Y703</f>
        <v/>
      </c>
      <c r="G706" s="3">
        <f>'Historical Data'!K703</f>
        <v/>
      </c>
      <c r="H706" s="3">
        <f>'Historical Data'!L703</f>
        <v/>
      </c>
      <c r="I706" s="26">
        <f>'Historical Data'!M703</f>
        <v/>
      </c>
      <c r="J706" s="28">
        <f>'Historical Data'!N703</f>
        <v/>
      </c>
      <c r="K706" s="28">
        <f>'Historical Data'!Q703</f>
        <v/>
      </c>
      <c r="L706" s="30">
        <f>'Historical Data'!S703</f>
        <v/>
      </c>
      <c r="M706" s="28">
        <f>'Historical Data'!AJ703</f>
        <v/>
      </c>
      <c r="N706" s="28">
        <f>'Historical Data'!AK703</f>
        <v/>
      </c>
      <c r="O706" s="3">
        <f>'Historical Data'!AA703</f>
        <v/>
      </c>
      <c r="P706" s="3">
        <f>'Historical Data'!AB703</f>
        <v/>
      </c>
      <c r="Q706" s="3">
        <f>'Historical Data'!AN703</f>
        <v/>
      </c>
      <c r="R706" s="3">
        <f>'Historical Data'!AC703</f>
        <v/>
      </c>
      <c r="S706" s="3">
        <f>'Historical Data'!AE703</f>
        <v/>
      </c>
      <c r="T706" s="3">
        <f>'Historical Data'!AH703</f>
        <v/>
      </c>
      <c r="U706" s="3">
        <f>'Historical Data'!BA703</f>
        <v/>
      </c>
      <c r="V706" s="3" t="n"/>
      <c r="W706" s="3" t="n"/>
      <c r="X706" s="3" t="n"/>
      <c r="Y706" s="3" t="n"/>
      <c r="Z706" s="3" t="n"/>
    </row>
    <row r="707" hidden="1" ht="15.75" customHeight="1" s="174">
      <c r="A707" s="3">
        <f>'Historical Data'!A704</f>
        <v/>
      </c>
      <c r="B707" s="3">
        <f>'Historical Data'!B704</f>
        <v/>
      </c>
      <c r="C707" s="3">
        <f>'Historical Data'!D704</f>
        <v/>
      </c>
      <c r="D707" s="23">
        <f>'Historical Data'!E704</f>
        <v/>
      </c>
      <c r="E707" s="3">
        <f>'Historical Data'!G704</f>
        <v/>
      </c>
      <c r="F707" s="3">
        <f>'Historical Data'!Y704</f>
        <v/>
      </c>
      <c r="G707" s="3">
        <f>'Historical Data'!K704</f>
        <v/>
      </c>
      <c r="H707" s="3">
        <f>'Historical Data'!L704</f>
        <v/>
      </c>
      <c r="I707" s="26">
        <f>'Historical Data'!M704</f>
        <v/>
      </c>
      <c r="J707" s="28">
        <f>'Historical Data'!N704</f>
        <v/>
      </c>
      <c r="K707" s="28">
        <f>'Historical Data'!Q704</f>
        <v/>
      </c>
      <c r="L707" s="30">
        <f>'Historical Data'!S704</f>
        <v/>
      </c>
      <c r="M707" s="28">
        <f>'Historical Data'!AJ704</f>
        <v/>
      </c>
      <c r="N707" s="28">
        <f>'Historical Data'!AK704</f>
        <v/>
      </c>
      <c r="O707" s="3">
        <f>'Historical Data'!AA704</f>
        <v/>
      </c>
      <c r="P707" s="3">
        <f>'Historical Data'!AB704</f>
        <v/>
      </c>
      <c r="Q707" s="3">
        <f>'Historical Data'!AN704</f>
        <v/>
      </c>
      <c r="R707" s="3">
        <f>'Historical Data'!AC704</f>
        <v/>
      </c>
      <c r="S707" s="3">
        <f>'Historical Data'!AE704</f>
        <v/>
      </c>
      <c r="T707" s="3">
        <f>'Historical Data'!AH704</f>
        <v/>
      </c>
      <c r="U707" s="3">
        <f>'Historical Data'!BA704</f>
        <v/>
      </c>
      <c r="V707" s="3" t="n"/>
      <c r="W707" s="3" t="n"/>
      <c r="X707" s="3" t="n"/>
      <c r="Y707" s="3" t="n"/>
      <c r="Z707" s="3" t="n"/>
    </row>
    <row r="708" hidden="1" ht="15.75" customHeight="1" s="174">
      <c r="A708" s="3">
        <f>'Historical Data'!A705</f>
        <v/>
      </c>
      <c r="B708" s="3">
        <f>'Historical Data'!B705</f>
        <v/>
      </c>
      <c r="C708" s="3">
        <f>'Historical Data'!D705</f>
        <v/>
      </c>
      <c r="D708" s="23">
        <f>'Historical Data'!E705</f>
        <v/>
      </c>
      <c r="E708" s="3">
        <f>'Historical Data'!G705</f>
        <v/>
      </c>
      <c r="F708" s="3">
        <f>'Historical Data'!Y705</f>
        <v/>
      </c>
      <c r="G708" s="3">
        <f>'Historical Data'!K705</f>
        <v/>
      </c>
      <c r="H708" s="3">
        <f>'Historical Data'!L705</f>
        <v/>
      </c>
      <c r="I708" s="26">
        <f>'Historical Data'!M705</f>
        <v/>
      </c>
      <c r="J708" s="28">
        <f>'Historical Data'!N705</f>
        <v/>
      </c>
      <c r="K708" s="28">
        <f>'Historical Data'!Q705</f>
        <v/>
      </c>
      <c r="L708" s="30">
        <f>'Historical Data'!S705</f>
        <v/>
      </c>
      <c r="M708" s="28">
        <f>'Historical Data'!AJ705</f>
        <v/>
      </c>
      <c r="N708" s="28">
        <f>'Historical Data'!AK705</f>
        <v/>
      </c>
      <c r="O708" s="3">
        <f>'Historical Data'!AA705</f>
        <v/>
      </c>
      <c r="P708" s="3">
        <f>'Historical Data'!AB705</f>
        <v/>
      </c>
      <c r="Q708" s="3">
        <f>'Historical Data'!AN705</f>
        <v/>
      </c>
      <c r="R708" s="3">
        <f>'Historical Data'!AC705</f>
        <v/>
      </c>
      <c r="S708" s="3">
        <f>'Historical Data'!AE705</f>
        <v/>
      </c>
      <c r="T708" s="3">
        <f>'Historical Data'!AH705</f>
        <v/>
      </c>
      <c r="U708" s="3">
        <f>'Historical Data'!BA705</f>
        <v/>
      </c>
      <c r="V708" s="3" t="n"/>
      <c r="W708" s="3" t="n"/>
      <c r="X708" s="3" t="n"/>
      <c r="Y708" s="3" t="n"/>
      <c r="Z708" s="3" t="n"/>
    </row>
    <row r="709" hidden="1" ht="15.75" customHeight="1" s="174">
      <c r="A709" s="3">
        <f>'Historical Data'!A706</f>
        <v/>
      </c>
      <c r="B709" s="3">
        <f>'Historical Data'!B706</f>
        <v/>
      </c>
      <c r="C709" s="3">
        <f>'Historical Data'!D706</f>
        <v/>
      </c>
      <c r="D709" s="23">
        <f>'Historical Data'!E706</f>
        <v/>
      </c>
      <c r="E709" s="3">
        <f>'Historical Data'!G706</f>
        <v/>
      </c>
      <c r="F709" s="3">
        <f>'Historical Data'!Y706</f>
        <v/>
      </c>
      <c r="G709" s="3">
        <f>'Historical Data'!K706</f>
        <v/>
      </c>
      <c r="H709" s="3">
        <f>'Historical Data'!L706</f>
        <v/>
      </c>
      <c r="I709" s="26">
        <f>'Historical Data'!M706</f>
        <v/>
      </c>
      <c r="J709" s="28">
        <f>'Historical Data'!N706</f>
        <v/>
      </c>
      <c r="K709" s="28">
        <f>'Historical Data'!Q706</f>
        <v/>
      </c>
      <c r="L709" s="30">
        <f>'Historical Data'!S706</f>
        <v/>
      </c>
      <c r="M709" s="28">
        <f>'Historical Data'!AJ706</f>
        <v/>
      </c>
      <c r="N709" s="28">
        <f>'Historical Data'!AK706</f>
        <v/>
      </c>
      <c r="O709" s="3">
        <f>'Historical Data'!AA706</f>
        <v/>
      </c>
      <c r="P709" s="3">
        <f>'Historical Data'!AB706</f>
        <v/>
      </c>
      <c r="Q709" s="3">
        <f>'Historical Data'!AN706</f>
        <v/>
      </c>
      <c r="R709" s="3">
        <f>'Historical Data'!AC706</f>
        <v/>
      </c>
      <c r="S709" s="3">
        <f>'Historical Data'!AE706</f>
        <v/>
      </c>
      <c r="T709" s="3">
        <f>'Historical Data'!AH706</f>
        <v/>
      </c>
      <c r="U709" s="3">
        <f>'Historical Data'!BA706</f>
        <v/>
      </c>
      <c r="V709" s="3" t="n"/>
      <c r="W709" s="3" t="n"/>
      <c r="X709" s="3" t="n"/>
      <c r="Y709" s="3" t="n"/>
      <c r="Z709" s="3" t="n"/>
    </row>
    <row r="710" hidden="1" ht="15.75" customHeight="1" s="174">
      <c r="A710" s="3">
        <f>'Historical Data'!A707</f>
        <v/>
      </c>
      <c r="B710" s="3">
        <f>'Historical Data'!B707</f>
        <v/>
      </c>
      <c r="C710" s="3">
        <f>'Historical Data'!D707</f>
        <v/>
      </c>
      <c r="D710" s="23">
        <f>'Historical Data'!E707</f>
        <v/>
      </c>
      <c r="E710" s="3">
        <f>'Historical Data'!G707</f>
        <v/>
      </c>
      <c r="F710" s="3">
        <f>'Historical Data'!Y707</f>
        <v/>
      </c>
      <c r="G710" s="3">
        <f>'Historical Data'!K707</f>
        <v/>
      </c>
      <c r="H710" s="3">
        <f>'Historical Data'!L707</f>
        <v/>
      </c>
      <c r="I710" s="26">
        <f>'Historical Data'!M707</f>
        <v/>
      </c>
      <c r="J710" s="28">
        <f>'Historical Data'!N707</f>
        <v/>
      </c>
      <c r="K710" s="28">
        <f>'Historical Data'!Q707</f>
        <v/>
      </c>
      <c r="L710" s="30">
        <f>'Historical Data'!S707</f>
        <v/>
      </c>
      <c r="M710" s="28">
        <f>'Historical Data'!AJ707</f>
        <v/>
      </c>
      <c r="N710" s="28">
        <f>'Historical Data'!AK707</f>
        <v/>
      </c>
      <c r="O710" s="3">
        <f>'Historical Data'!AA707</f>
        <v/>
      </c>
      <c r="P710" s="3">
        <f>'Historical Data'!AB707</f>
        <v/>
      </c>
      <c r="Q710" s="3">
        <f>'Historical Data'!AN707</f>
        <v/>
      </c>
      <c r="R710" s="3">
        <f>'Historical Data'!AC707</f>
        <v/>
      </c>
      <c r="S710" s="3">
        <f>'Historical Data'!AE707</f>
        <v/>
      </c>
      <c r="T710" s="3">
        <f>'Historical Data'!AH707</f>
        <v/>
      </c>
      <c r="U710" s="3">
        <f>'Historical Data'!BA707</f>
        <v/>
      </c>
      <c r="V710" s="3" t="n"/>
      <c r="W710" s="3" t="n"/>
      <c r="X710" s="3" t="n"/>
      <c r="Y710" s="3" t="n"/>
      <c r="Z710" s="3" t="n"/>
    </row>
    <row r="711" hidden="1" ht="15.75" customHeight="1" s="174">
      <c r="A711" s="3">
        <f>'Historical Data'!A708</f>
        <v/>
      </c>
      <c r="B711" s="3">
        <f>'Historical Data'!B708</f>
        <v/>
      </c>
      <c r="C711" s="3">
        <f>'Historical Data'!D708</f>
        <v/>
      </c>
      <c r="D711" s="23">
        <f>'Historical Data'!E708</f>
        <v/>
      </c>
      <c r="E711" s="3">
        <f>'Historical Data'!G708</f>
        <v/>
      </c>
      <c r="F711" s="3">
        <f>'Historical Data'!Y708</f>
        <v/>
      </c>
      <c r="G711" s="3">
        <f>'Historical Data'!K708</f>
        <v/>
      </c>
      <c r="H711" s="3">
        <f>'Historical Data'!L708</f>
        <v/>
      </c>
      <c r="I711" s="26">
        <f>'Historical Data'!M708</f>
        <v/>
      </c>
      <c r="J711" s="28">
        <f>'Historical Data'!N708</f>
        <v/>
      </c>
      <c r="K711" s="28">
        <f>'Historical Data'!Q708</f>
        <v/>
      </c>
      <c r="L711" s="30">
        <f>'Historical Data'!S708</f>
        <v/>
      </c>
      <c r="M711" s="28">
        <f>'Historical Data'!AJ708</f>
        <v/>
      </c>
      <c r="N711" s="28">
        <f>'Historical Data'!AK708</f>
        <v/>
      </c>
      <c r="O711" s="3">
        <f>'Historical Data'!AA708</f>
        <v/>
      </c>
      <c r="P711" s="3">
        <f>'Historical Data'!AB708</f>
        <v/>
      </c>
      <c r="Q711" s="3">
        <f>'Historical Data'!AN708</f>
        <v/>
      </c>
      <c r="R711" s="3">
        <f>'Historical Data'!AC708</f>
        <v/>
      </c>
      <c r="S711" s="3">
        <f>'Historical Data'!AE708</f>
        <v/>
      </c>
      <c r="T711" s="3">
        <f>'Historical Data'!AH708</f>
        <v/>
      </c>
      <c r="U711" s="3">
        <f>'Historical Data'!BA708</f>
        <v/>
      </c>
      <c r="V711" s="3" t="n"/>
      <c r="W711" s="3" t="n"/>
      <c r="X711" s="3" t="n"/>
      <c r="Y711" s="3" t="n"/>
      <c r="Z711" s="3" t="n"/>
    </row>
    <row r="712" hidden="1" ht="15.75" customHeight="1" s="174">
      <c r="A712" s="3">
        <f>'Historical Data'!A709</f>
        <v/>
      </c>
      <c r="B712" s="3">
        <f>'Historical Data'!B709</f>
        <v/>
      </c>
      <c r="C712" s="3">
        <f>'Historical Data'!D709</f>
        <v/>
      </c>
      <c r="D712" s="23">
        <f>'Historical Data'!E709</f>
        <v/>
      </c>
      <c r="E712" s="3">
        <f>'Historical Data'!G709</f>
        <v/>
      </c>
      <c r="F712" s="3">
        <f>'Historical Data'!Y709</f>
        <v/>
      </c>
      <c r="G712" s="3">
        <f>'Historical Data'!K709</f>
        <v/>
      </c>
      <c r="H712" s="3">
        <f>'Historical Data'!L709</f>
        <v/>
      </c>
      <c r="I712" s="26">
        <f>'Historical Data'!M709</f>
        <v/>
      </c>
      <c r="J712" s="28">
        <f>'Historical Data'!N709</f>
        <v/>
      </c>
      <c r="K712" s="28">
        <f>'Historical Data'!Q709</f>
        <v/>
      </c>
      <c r="L712" s="30">
        <f>'Historical Data'!S709</f>
        <v/>
      </c>
      <c r="M712" s="28">
        <f>'Historical Data'!AJ709</f>
        <v/>
      </c>
      <c r="N712" s="28">
        <f>'Historical Data'!AK709</f>
        <v/>
      </c>
      <c r="O712" s="3">
        <f>'Historical Data'!AA709</f>
        <v/>
      </c>
      <c r="P712" s="3">
        <f>'Historical Data'!AB709</f>
        <v/>
      </c>
      <c r="Q712" s="3">
        <f>'Historical Data'!AN709</f>
        <v/>
      </c>
      <c r="R712" s="3">
        <f>'Historical Data'!AC709</f>
        <v/>
      </c>
      <c r="S712" s="3">
        <f>'Historical Data'!AE709</f>
        <v/>
      </c>
      <c r="T712" s="3">
        <f>'Historical Data'!AH709</f>
        <v/>
      </c>
      <c r="U712" s="3">
        <f>'Historical Data'!BA709</f>
        <v/>
      </c>
      <c r="V712" s="3" t="n"/>
      <c r="W712" s="3" t="n"/>
      <c r="X712" s="3" t="n"/>
      <c r="Y712" s="3" t="n"/>
      <c r="Z712" s="3" t="n"/>
    </row>
    <row r="713" hidden="1" ht="15.75" customHeight="1" s="174">
      <c r="A713" s="3">
        <f>'Historical Data'!A710</f>
        <v/>
      </c>
      <c r="B713" s="3">
        <f>'Historical Data'!B710</f>
        <v/>
      </c>
      <c r="C713" s="3">
        <f>'Historical Data'!D710</f>
        <v/>
      </c>
      <c r="D713" s="23">
        <f>'Historical Data'!E710</f>
        <v/>
      </c>
      <c r="E713" s="3">
        <f>'Historical Data'!G710</f>
        <v/>
      </c>
      <c r="F713" s="3">
        <f>'Historical Data'!Y710</f>
        <v/>
      </c>
      <c r="G713" s="3">
        <f>'Historical Data'!K710</f>
        <v/>
      </c>
      <c r="H713" s="3">
        <f>'Historical Data'!L710</f>
        <v/>
      </c>
      <c r="I713" s="26">
        <f>'Historical Data'!M710</f>
        <v/>
      </c>
      <c r="J713" s="28">
        <f>'Historical Data'!N710</f>
        <v/>
      </c>
      <c r="K713" s="28">
        <f>'Historical Data'!Q710</f>
        <v/>
      </c>
      <c r="L713" s="30">
        <f>'Historical Data'!S710</f>
        <v/>
      </c>
      <c r="M713" s="28">
        <f>'Historical Data'!AJ710</f>
        <v/>
      </c>
      <c r="N713" s="28">
        <f>'Historical Data'!AK710</f>
        <v/>
      </c>
      <c r="O713" s="3">
        <f>'Historical Data'!AA710</f>
        <v/>
      </c>
      <c r="P713" s="3">
        <f>'Historical Data'!AB710</f>
        <v/>
      </c>
      <c r="Q713" s="3">
        <f>'Historical Data'!AN710</f>
        <v/>
      </c>
      <c r="R713" s="3">
        <f>'Historical Data'!AC710</f>
        <v/>
      </c>
      <c r="S713" s="3">
        <f>'Historical Data'!AE710</f>
        <v/>
      </c>
      <c r="T713" s="3">
        <f>'Historical Data'!AH710</f>
        <v/>
      </c>
      <c r="U713" s="3">
        <f>'Historical Data'!BA710</f>
        <v/>
      </c>
      <c r="V713" s="3" t="n"/>
      <c r="W713" s="3" t="n"/>
      <c r="X713" s="3" t="n"/>
      <c r="Y713" s="3" t="n"/>
      <c r="Z713" s="3" t="n"/>
    </row>
    <row r="714" hidden="1" ht="15.75" customHeight="1" s="174">
      <c r="A714" s="3">
        <f>'Historical Data'!A711</f>
        <v/>
      </c>
      <c r="B714" s="3">
        <f>'Historical Data'!B711</f>
        <v/>
      </c>
      <c r="C714" s="3">
        <f>'Historical Data'!D711</f>
        <v/>
      </c>
      <c r="D714" s="23">
        <f>'Historical Data'!E711</f>
        <v/>
      </c>
      <c r="E714" s="3">
        <f>'Historical Data'!G711</f>
        <v/>
      </c>
      <c r="F714" s="3">
        <f>'Historical Data'!Y711</f>
        <v/>
      </c>
      <c r="G714" s="3">
        <f>'Historical Data'!K711</f>
        <v/>
      </c>
      <c r="H714" s="3">
        <f>'Historical Data'!L711</f>
        <v/>
      </c>
      <c r="I714" s="26">
        <f>'Historical Data'!M711</f>
        <v/>
      </c>
      <c r="J714" s="28">
        <f>'Historical Data'!N711</f>
        <v/>
      </c>
      <c r="K714" s="28">
        <f>'Historical Data'!Q711</f>
        <v/>
      </c>
      <c r="L714" s="30">
        <f>'Historical Data'!S711</f>
        <v/>
      </c>
      <c r="M714" s="28">
        <f>'Historical Data'!AJ711</f>
        <v/>
      </c>
      <c r="N714" s="28">
        <f>'Historical Data'!AK711</f>
        <v/>
      </c>
      <c r="O714" s="3">
        <f>'Historical Data'!AA711</f>
        <v/>
      </c>
      <c r="P714" s="3">
        <f>'Historical Data'!AB711</f>
        <v/>
      </c>
      <c r="Q714" s="3">
        <f>'Historical Data'!AN711</f>
        <v/>
      </c>
      <c r="R714" s="3">
        <f>'Historical Data'!AC711</f>
        <v/>
      </c>
      <c r="S714" s="3">
        <f>'Historical Data'!AE711</f>
        <v/>
      </c>
      <c r="T714" s="3">
        <f>'Historical Data'!AH711</f>
        <v/>
      </c>
      <c r="U714" s="3">
        <f>'Historical Data'!BA711</f>
        <v/>
      </c>
      <c r="V714" s="3" t="n"/>
      <c r="W714" s="3" t="n"/>
      <c r="X714" s="3" t="n"/>
      <c r="Y714" s="3" t="n"/>
      <c r="Z714" s="3" t="n"/>
    </row>
    <row r="715" hidden="1" ht="15.75" customHeight="1" s="174">
      <c r="A715" s="3">
        <f>'Historical Data'!A712</f>
        <v/>
      </c>
      <c r="B715" s="3">
        <f>'Historical Data'!B712</f>
        <v/>
      </c>
      <c r="C715" s="3">
        <f>'Historical Data'!D712</f>
        <v/>
      </c>
      <c r="D715" s="23">
        <f>'Historical Data'!E712</f>
        <v/>
      </c>
      <c r="E715" s="3">
        <f>'Historical Data'!G712</f>
        <v/>
      </c>
      <c r="F715" s="3">
        <f>'Historical Data'!Y712</f>
        <v/>
      </c>
      <c r="G715" s="3">
        <f>'Historical Data'!K712</f>
        <v/>
      </c>
      <c r="H715" s="3">
        <f>'Historical Data'!L712</f>
        <v/>
      </c>
      <c r="I715" s="26">
        <f>'Historical Data'!M712</f>
        <v/>
      </c>
      <c r="J715" s="28">
        <f>'Historical Data'!N712</f>
        <v/>
      </c>
      <c r="K715" s="28">
        <f>'Historical Data'!Q712</f>
        <v/>
      </c>
      <c r="L715" s="30">
        <f>'Historical Data'!S712</f>
        <v/>
      </c>
      <c r="M715" s="28">
        <f>'Historical Data'!AJ712</f>
        <v/>
      </c>
      <c r="N715" s="28">
        <f>'Historical Data'!AK712</f>
        <v/>
      </c>
      <c r="O715" s="3">
        <f>'Historical Data'!AA712</f>
        <v/>
      </c>
      <c r="P715" s="3">
        <f>'Historical Data'!AB712</f>
        <v/>
      </c>
      <c r="Q715" s="3">
        <f>'Historical Data'!AN712</f>
        <v/>
      </c>
      <c r="R715" s="3">
        <f>'Historical Data'!AC712</f>
        <v/>
      </c>
      <c r="S715" s="3">
        <f>'Historical Data'!AE712</f>
        <v/>
      </c>
      <c r="T715" s="3">
        <f>'Historical Data'!AH712</f>
        <v/>
      </c>
      <c r="U715" s="3">
        <f>'Historical Data'!BA712</f>
        <v/>
      </c>
      <c r="V715" s="3" t="n"/>
      <c r="W715" s="3" t="n"/>
      <c r="X715" s="3" t="n"/>
      <c r="Y715" s="3" t="n"/>
      <c r="Z715" s="3" t="n"/>
    </row>
    <row r="716" hidden="1" ht="15.75" customHeight="1" s="174">
      <c r="A716" s="3">
        <f>'Historical Data'!A713</f>
        <v/>
      </c>
      <c r="B716" s="3">
        <f>'Historical Data'!B713</f>
        <v/>
      </c>
      <c r="C716" s="3">
        <f>'Historical Data'!D713</f>
        <v/>
      </c>
      <c r="D716" s="23">
        <f>'Historical Data'!E713</f>
        <v/>
      </c>
      <c r="E716" s="3">
        <f>'Historical Data'!G713</f>
        <v/>
      </c>
      <c r="F716" s="3">
        <f>'Historical Data'!Y713</f>
        <v/>
      </c>
      <c r="G716" s="3">
        <f>'Historical Data'!K713</f>
        <v/>
      </c>
      <c r="H716" s="3">
        <f>'Historical Data'!L713</f>
        <v/>
      </c>
      <c r="I716" s="26">
        <f>'Historical Data'!M713</f>
        <v/>
      </c>
      <c r="J716" s="28">
        <f>'Historical Data'!N713</f>
        <v/>
      </c>
      <c r="K716" s="28">
        <f>'Historical Data'!Q713</f>
        <v/>
      </c>
      <c r="L716" s="30">
        <f>'Historical Data'!S713</f>
        <v/>
      </c>
      <c r="M716" s="28">
        <f>'Historical Data'!AJ713</f>
        <v/>
      </c>
      <c r="N716" s="28">
        <f>'Historical Data'!AK713</f>
        <v/>
      </c>
      <c r="O716" s="3">
        <f>'Historical Data'!AA713</f>
        <v/>
      </c>
      <c r="P716" s="3">
        <f>'Historical Data'!AB713</f>
        <v/>
      </c>
      <c r="Q716" s="3">
        <f>'Historical Data'!AN713</f>
        <v/>
      </c>
      <c r="R716" s="3">
        <f>'Historical Data'!AC713</f>
        <v/>
      </c>
      <c r="S716" s="3">
        <f>'Historical Data'!AE713</f>
        <v/>
      </c>
      <c r="T716" s="3">
        <f>'Historical Data'!AH713</f>
        <v/>
      </c>
      <c r="U716" s="3">
        <f>'Historical Data'!BA713</f>
        <v/>
      </c>
      <c r="V716" s="3" t="n"/>
      <c r="W716" s="3" t="n"/>
      <c r="X716" s="3" t="n"/>
      <c r="Y716" s="3" t="n"/>
      <c r="Z716" s="3" t="n"/>
    </row>
    <row r="717" hidden="1" ht="15.75" customHeight="1" s="174">
      <c r="A717" s="3">
        <f>'Historical Data'!A714</f>
        <v/>
      </c>
      <c r="B717" s="3">
        <f>'Historical Data'!B714</f>
        <v/>
      </c>
      <c r="C717" s="3">
        <f>'Historical Data'!D714</f>
        <v/>
      </c>
      <c r="D717" s="23">
        <f>'Historical Data'!E714</f>
        <v/>
      </c>
      <c r="E717" s="3">
        <f>'Historical Data'!G714</f>
        <v/>
      </c>
      <c r="F717" s="3">
        <f>'Historical Data'!Y714</f>
        <v/>
      </c>
      <c r="G717" s="3">
        <f>'Historical Data'!K714</f>
        <v/>
      </c>
      <c r="H717" s="3">
        <f>'Historical Data'!L714</f>
        <v/>
      </c>
      <c r="I717" s="26">
        <f>'Historical Data'!M714</f>
        <v/>
      </c>
      <c r="J717" s="28">
        <f>'Historical Data'!N714</f>
        <v/>
      </c>
      <c r="K717" s="28">
        <f>'Historical Data'!Q714</f>
        <v/>
      </c>
      <c r="L717" s="30">
        <f>'Historical Data'!S714</f>
        <v/>
      </c>
      <c r="M717" s="28">
        <f>'Historical Data'!AJ714</f>
        <v/>
      </c>
      <c r="N717" s="28">
        <f>'Historical Data'!AK714</f>
        <v/>
      </c>
      <c r="O717" s="3">
        <f>'Historical Data'!AA714</f>
        <v/>
      </c>
      <c r="P717" s="3">
        <f>'Historical Data'!AB714</f>
        <v/>
      </c>
      <c r="Q717" s="3">
        <f>'Historical Data'!AN714</f>
        <v/>
      </c>
      <c r="R717" s="3">
        <f>'Historical Data'!AC714</f>
        <v/>
      </c>
      <c r="S717" s="3">
        <f>'Historical Data'!AE714</f>
        <v/>
      </c>
      <c r="T717" s="3">
        <f>'Historical Data'!AH714</f>
        <v/>
      </c>
      <c r="U717" s="3">
        <f>'Historical Data'!BA714</f>
        <v/>
      </c>
      <c r="V717" s="3" t="n"/>
      <c r="W717" s="3" t="n"/>
      <c r="X717" s="3" t="n"/>
      <c r="Y717" s="3" t="n"/>
      <c r="Z717" s="3" t="n"/>
    </row>
    <row r="718" hidden="1" ht="15.75" customHeight="1" s="174">
      <c r="A718" s="3">
        <f>'Historical Data'!A715</f>
        <v/>
      </c>
      <c r="B718" s="3">
        <f>'Historical Data'!B715</f>
        <v/>
      </c>
      <c r="C718" s="3">
        <f>'Historical Data'!D715</f>
        <v/>
      </c>
      <c r="D718" s="23">
        <f>'Historical Data'!E715</f>
        <v/>
      </c>
      <c r="E718" s="3">
        <f>'Historical Data'!G715</f>
        <v/>
      </c>
      <c r="F718" s="3">
        <f>'Historical Data'!Y715</f>
        <v/>
      </c>
      <c r="G718" s="3">
        <f>'Historical Data'!K715</f>
        <v/>
      </c>
      <c r="H718" s="3">
        <f>'Historical Data'!L715</f>
        <v/>
      </c>
      <c r="I718" s="26">
        <f>'Historical Data'!M715</f>
        <v/>
      </c>
      <c r="J718" s="28">
        <f>'Historical Data'!N715</f>
        <v/>
      </c>
      <c r="K718" s="28">
        <f>'Historical Data'!Q715</f>
        <v/>
      </c>
      <c r="L718" s="30">
        <f>'Historical Data'!S715</f>
        <v/>
      </c>
      <c r="M718" s="28">
        <f>'Historical Data'!AJ715</f>
        <v/>
      </c>
      <c r="N718" s="28">
        <f>'Historical Data'!AK715</f>
        <v/>
      </c>
      <c r="O718" s="3">
        <f>'Historical Data'!AA715</f>
        <v/>
      </c>
      <c r="P718" s="3">
        <f>'Historical Data'!AB715</f>
        <v/>
      </c>
      <c r="Q718" s="3">
        <f>'Historical Data'!AN715</f>
        <v/>
      </c>
      <c r="R718" s="3">
        <f>'Historical Data'!AC715</f>
        <v/>
      </c>
      <c r="S718" s="3">
        <f>'Historical Data'!AE715</f>
        <v/>
      </c>
      <c r="T718" s="3">
        <f>'Historical Data'!AH715</f>
        <v/>
      </c>
      <c r="U718" s="3">
        <f>'Historical Data'!BA715</f>
        <v/>
      </c>
      <c r="V718" s="3" t="n"/>
      <c r="W718" s="3" t="n"/>
      <c r="X718" s="3" t="n"/>
      <c r="Y718" s="3" t="n"/>
      <c r="Z718" s="3" t="n"/>
    </row>
    <row r="719" hidden="1" ht="15.75" customHeight="1" s="174">
      <c r="A719" s="3">
        <f>'Historical Data'!A716</f>
        <v/>
      </c>
      <c r="B719" s="3">
        <f>'Historical Data'!B716</f>
        <v/>
      </c>
      <c r="C719" s="3">
        <f>'Historical Data'!D716</f>
        <v/>
      </c>
      <c r="D719" s="23">
        <f>'Historical Data'!E716</f>
        <v/>
      </c>
      <c r="E719" s="3">
        <f>'Historical Data'!G716</f>
        <v/>
      </c>
      <c r="F719" s="3">
        <f>'Historical Data'!Y716</f>
        <v/>
      </c>
      <c r="G719" s="3">
        <f>'Historical Data'!K716</f>
        <v/>
      </c>
      <c r="H719" s="3">
        <f>'Historical Data'!L716</f>
        <v/>
      </c>
      <c r="I719" s="26">
        <f>'Historical Data'!M716</f>
        <v/>
      </c>
      <c r="J719" s="28">
        <f>'Historical Data'!N716</f>
        <v/>
      </c>
      <c r="K719" s="28">
        <f>'Historical Data'!Q716</f>
        <v/>
      </c>
      <c r="L719" s="30">
        <f>'Historical Data'!S716</f>
        <v/>
      </c>
      <c r="M719" s="28">
        <f>'Historical Data'!AJ716</f>
        <v/>
      </c>
      <c r="N719" s="28">
        <f>'Historical Data'!AK716</f>
        <v/>
      </c>
      <c r="O719" s="3">
        <f>'Historical Data'!AA716</f>
        <v/>
      </c>
      <c r="P719" s="3">
        <f>'Historical Data'!AB716</f>
        <v/>
      </c>
      <c r="Q719" s="3">
        <f>'Historical Data'!AN716</f>
        <v/>
      </c>
      <c r="R719" s="3">
        <f>'Historical Data'!AC716</f>
        <v/>
      </c>
      <c r="S719" s="3">
        <f>'Historical Data'!AE716</f>
        <v/>
      </c>
      <c r="T719" s="3">
        <f>'Historical Data'!AH716</f>
        <v/>
      </c>
      <c r="U719" s="3">
        <f>'Historical Data'!BA716</f>
        <v/>
      </c>
      <c r="V719" s="3" t="n"/>
      <c r="W719" s="3" t="n"/>
      <c r="X719" s="3" t="n"/>
      <c r="Y719" s="3" t="n"/>
      <c r="Z719" s="3" t="n"/>
    </row>
    <row r="720" hidden="1" ht="15.75" customHeight="1" s="174">
      <c r="A720" s="3">
        <f>'Historical Data'!A717</f>
        <v/>
      </c>
      <c r="B720" s="3">
        <f>'Historical Data'!B717</f>
        <v/>
      </c>
      <c r="C720" s="3">
        <f>'Historical Data'!D717</f>
        <v/>
      </c>
      <c r="D720" s="23">
        <f>'Historical Data'!E717</f>
        <v/>
      </c>
      <c r="E720" s="3">
        <f>'Historical Data'!G717</f>
        <v/>
      </c>
      <c r="F720" s="3">
        <f>'Historical Data'!Y717</f>
        <v/>
      </c>
      <c r="G720" s="3">
        <f>'Historical Data'!K717</f>
        <v/>
      </c>
      <c r="H720" s="3">
        <f>'Historical Data'!L717</f>
        <v/>
      </c>
      <c r="I720" s="26">
        <f>'Historical Data'!M717</f>
        <v/>
      </c>
      <c r="J720" s="28">
        <f>'Historical Data'!N717</f>
        <v/>
      </c>
      <c r="K720" s="28">
        <f>'Historical Data'!Q717</f>
        <v/>
      </c>
      <c r="L720" s="30">
        <f>'Historical Data'!S717</f>
        <v/>
      </c>
      <c r="M720" s="28">
        <f>'Historical Data'!AJ717</f>
        <v/>
      </c>
      <c r="N720" s="28">
        <f>'Historical Data'!AK717</f>
        <v/>
      </c>
      <c r="O720" s="3">
        <f>'Historical Data'!AA717</f>
        <v/>
      </c>
      <c r="P720" s="3">
        <f>'Historical Data'!AB717</f>
        <v/>
      </c>
      <c r="Q720" s="3">
        <f>'Historical Data'!AN717</f>
        <v/>
      </c>
      <c r="R720" s="3">
        <f>'Historical Data'!AC717</f>
        <v/>
      </c>
      <c r="S720" s="3">
        <f>'Historical Data'!AE717</f>
        <v/>
      </c>
      <c r="T720" s="3">
        <f>'Historical Data'!AH717</f>
        <v/>
      </c>
      <c r="U720" s="3">
        <f>'Historical Data'!BA717</f>
        <v/>
      </c>
      <c r="V720" s="3" t="n"/>
      <c r="W720" s="3" t="n"/>
      <c r="X720" s="3" t="n"/>
      <c r="Y720" s="3" t="n"/>
      <c r="Z720" s="3" t="n"/>
    </row>
    <row r="721" hidden="1" ht="15.75" customHeight="1" s="174">
      <c r="A721" s="3">
        <f>'Historical Data'!A718</f>
        <v/>
      </c>
      <c r="B721" s="3">
        <f>'Historical Data'!B718</f>
        <v/>
      </c>
      <c r="C721" s="3">
        <f>'Historical Data'!D718</f>
        <v/>
      </c>
      <c r="D721" s="23">
        <f>'Historical Data'!E718</f>
        <v/>
      </c>
      <c r="E721" s="3">
        <f>'Historical Data'!G718</f>
        <v/>
      </c>
      <c r="F721" s="3">
        <f>'Historical Data'!Y718</f>
        <v/>
      </c>
      <c r="G721" s="3">
        <f>'Historical Data'!K718</f>
        <v/>
      </c>
      <c r="H721" s="3">
        <f>'Historical Data'!L718</f>
        <v/>
      </c>
      <c r="I721" s="26">
        <f>'Historical Data'!M718</f>
        <v/>
      </c>
      <c r="J721" s="28">
        <f>'Historical Data'!N718</f>
        <v/>
      </c>
      <c r="K721" s="28">
        <f>'Historical Data'!Q718</f>
        <v/>
      </c>
      <c r="L721" s="30">
        <f>'Historical Data'!S718</f>
        <v/>
      </c>
      <c r="M721" s="28">
        <f>'Historical Data'!AJ718</f>
        <v/>
      </c>
      <c r="N721" s="28">
        <f>'Historical Data'!AK718</f>
        <v/>
      </c>
      <c r="O721" s="3">
        <f>'Historical Data'!AA718</f>
        <v/>
      </c>
      <c r="P721" s="3">
        <f>'Historical Data'!AB718</f>
        <v/>
      </c>
      <c r="Q721" s="3">
        <f>'Historical Data'!AN718</f>
        <v/>
      </c>
      <c r="R721" s="3">
        <f>'Historical Data'!AC718</f>
        <v/>
      </c>
      <c r="S721" s="3">
        <f>'Historical Data'!AE718</f>
        <v/>
      </c>
      <c r="T721" s="3">
        <f>'Historical Data'!AH718</f>
        <v/>
      </c>
      <c r="U721" s="3">
        <f>'Historical Data'!BA718</f>
        <v/>
      </c>
      <c r="V721" s="3" t="n"/>
      <c r="W721" s="3" t="n"/>
      <c r="X721" s="3" t="n"/>
      <c r="Y721" s="3" t="n"/>
      <c r="Z721" s="3" t="n"/>
    </row>
    <row r="722" hidden="1" ht="15.75" customHeight="1" s="174">
      <c r="A722" s="3">
        <f>'Historical Data'!A719</f>
        <v/>
      </c>
      <c r="B722" s="3">
        <f>'Historical Data'!B719</f>
        <v/>
      </c>
      <c r="C722" s="3">
        <f>'Historical Data'!D719</f>
        <v/>
      </c>
      <c r="D722" s="23">
        <f>'Historical Data'!E719</f>
        <v/>
      </c>
      <c r="E722" s="3">
        <f>'Historical Data'!G719</f>
        <v/>
      </c>
      <c r="F722" s="3">
        <f>'Historical Data'!Y719</f>
        <v/>
      </c>
      <c r="G722" s="3">
        <f>'Historical Data'!K719</f>
        <v/>
      </c>
      <c r="H722" s="3">
        <f>'Historical Data'!L719</f>
        <v/>
      </c>
      <c r="I722" s="26">
        <f>'Historical Data'!M719</f>
        <v/>
      </c>
      <c r="J722" s="28">
        <f>'Historical Data'!N719</f>
        <v/>
      </c>
      <c r="K722" s="28">
        <f>'Historical Data'!Q719</f>
        <v/>
      </c>
      <c r="L722" s="30">
        <f>'Historical Data'!S719</f>
        <v/>
      </c>
      <c r="M722" s="28">
        <f>'Historical Data'!AJ719</f>
        <v/>
      </c>
      <c r="N722" s="28">
        <f>'Historical Data'!AK719</f>
        <v/>
      </c>
      <c r="O722" s="3">
        <f>'Historical Data'!AA719</f>
        <v/>
      </c>
      <c r="P722" s="3">
        <f>'Historical Data'!AB719</f>
        <v/>
      </c>
      <c r="Q722" s="3">
        <f>'Historical Data'!AN719</f>
        <v/>
      </c>
      <c r="R722" s="3">
        <f>'Historical Data'!AC719</f>
        <v/>
      </c>
      <c r="S722" s="3">
        <f>'Historical Data'!AE719</f>
        <v/>
      </c>
      <c r="T722" s="3">
        <f>'Historical Data'!AH719</f>
        <v/>
      </c>
      <c r="U722" s="3">
        <f>'Historical Data'!BA719</f>
        <v/>
      </c>
      <c r="V722" s="3" t="n"/>
      <c r="W722" s="3" t="n"/>
      <c r="X722" s="3" t="n"/>
      <c r="Y722" s="3" t="n"/>
      <c r="Z722" s="3" t="n"/>
    </row>
    <row r="723" hidden="1" ht="15.75" customHeight="1" s="174">
      <c r="A723" s="3">
        <f>'Historical Data'!A720</f>
        <v/>
      </c>
      <c r="B723" s="3">
        <f>'Historical Data'!B720</f>
        <v/>
      </c>
      <c r="C723" s="3">
        <f>'Historical Data'!D720</f>
        <v/>
      </c>
      <c r="D723" s="23">
        <f>'Historical Data'!E720</f>
        <v/>
      </c>
      <c r="E723" s="3">
        <f>'Historical Data'!G720</f>
        <v/>
      </c>
      <c r="F723" s="3">
        <f>'Historical Data'!Y720</f>
        <v/>
      </c>
      <c r="G723" s="3">
        <f>'Historical Data'!K720</f>
        <v/>
      </c>
      <c r="H723" s="3">
        <f>'Historical Data'!L720</f>
        <v/>
      </c>
      <c r="I723" s="26">
        <f>'Historical Data'!M720</f>
        <v/>
      </c>
      <c r="J723" s="28">
        <f>'Historical Data'!N720</f>
        <v/>
      </c>
      <c r="K723" s="28">
        <f>'Historical Data'!Q720</f>
        <v/>
      </c>
      <c r="L723" s="30">
        <f>'Historical Data'!S720</f>
        <v/>
      </c>
      <c r="M723" s="28">
        <f>'Historical Data'!AJ720</f>
        <v/>
      </c>
      <c r="N723" s="28">
        <f>'Historical Data'!AK720</f>
        <v/>
      </c>
      <c r="O723" s="3">
        <f>'Historical Data'!AA720</f>
        <v/>
      </c>
      <c r="P723" s="3">
        <f>'Historical Data'!AB720</f>
        <v/>
      </c>
      <c r="Q723" s="3">
        <f>'Historical Data'!AN720</f>
        <v/>
      </c>
      <c r="R723" s="3">
        <f>'Historical Data'!AC720</f>
        <v/>
      </c>
      <c r="S723" s="3">
        <f>'Historical Data'!AE720</f>
        <v/>
      </c>
      <c r="T723" s="3">
        <f>'Historical Data'!AH720</f>
        <v/>
      </c>
      <c r="U723" s="3">
        <f>'Historical Data'!BA720</f>
        <v/>
      </c>
      <c r="V723" s="3" t="n"/>
      <c r="W723" s="3" t="n"/>
      <c r="X723" s="3" t="n"/>
      <c r="Y723" s="3" t="n"/>
      <c r="Z723" s="3" t="n"/>
    </row>
    <row r="724" hidden="1" ht="15.75" customHeight="1" s="174">
      <c r="A724" s="3">
        <f>'Historical Data'!A721</f>
        <v/>
      </c>
      <c r="B724" s="3">
        <f>'Historical Data'!B721</f>
        <v/>
      </c>
      <c r="C724" s="3">
        <f>'Historical Data'!D721</f>
        <v/>
      </c>
      <c r="D724" s="23">
        <f>'Historical Data'!E721</f>
        <v/>
      </c>
      <c r="E724" s="3">
        <f>'Historical Data'!G721</f>
        <v/>
      </c>
      <c r="F724" s="3">
        <f>'Historical Data'!Y721</f>
        <v/>
      </c>
      <c r="G724" s="3">
        <f>'Historical Data'!K721</f>
        <v/>
      </c>
      <c r="H724" s="3">
        <f>'Historical Data'!L721</f>
        <v/>
      </c>
      <c r="I724" s="26">
        <f>'Historical Data'!M721</f>
        <v/>
      </c>
      <c r="J724" s="28">
        <f>'Historical Data'!N721</f>
        <v/>
      </c>
      <c r="K724" s="28">
        <f>'Historical Data'!Q721</f>
        <v/>
      </c>
      <c r="L724" s="30">
        <f>'Historical Data'!S721</f>
        <v/>
      </c>
      <c r="M724" s="28">
        <f>'Historical Data'!AJ721</f>
        <v/>
      </c>
      <c r="N724" s="28">
        <f>'Historical Data'!AK721</f>
        <v/>
      </c>
      <c r="O724" s="3">
        <f>'Historical Data'!AA721</f>
        <v/>
      </c>
      <c r="P724" s="3">
        <f>'Historical Data'!AB721</f>
        <v/>
      </c>
      <c r="Q724" s="3">
        <f>'Historical Data'!AN721</f>
        <v/>
      </c>
      <c r="R724" s="3">
        <f>'Historical Data'!AC721</f>
        <v/>
      </c>
      <c r="S724" s="3">
        <f>'Historical Data'!AE721</f>
        <v/>
      </c>
      <c r="T724" s="3">
        <f>'Historical Data'!AH721</f>
        <v/>
      </c>
      <c r="U724" s="3">
        <f>'Historical Data'!BA721</f>
        <v/>
      </c>
      <c r="V724" s="3" t="n"/>
      <c r="W724" s="3" t="n"/>
      <c r="X724" s="3" t="n"/>
      <c r="Y724" s="3" t="n"/>
      <c r="Z724" s="3" t="n"/>
    </row>
    <row r="725" hidden="1" ht="15.75" customHeight="1" s="174">
      <c r="A725" s="3">
        <f>'Historical Data'!A722</f>
        <v/>
      </c>
      <c r="B725" s="3">
        <f>'Historical Data'!B722</f>
        <v/>
      </c>
      <c r="C725" s="3">
        <f>'Historical Data'!D722</f>
        <v/>
      </c>
      <c r="D725" s="23">
        <f>'Historical Data'!E722</f>
        <v/>
      </c>
      <c r="E725" s="3">
        <f>'Historical Data'!G722</f>
        <v/>
      </c>
      <c r="F725" s="3">
        <f>'Historical Data'!Y722</f>
        <v/>
      </c>
      <c r="G725" s="3">
        <f>'Historical Data'!K722</f>
        <v/>
      </c>
      <c r="H725" s="3">
        <f>'Historical Data'!L722</f>
        <v/>
      </c>
      <c r="I725" s="26">
        <f>'Historical Data'!M722</f>
        <v/>
      </c>
      <c r="J725" s="28">
        <f>'Historical Data'!N722</f>
        <v/>
      </c>
      <c r="K725" s="28">
        <f>'Historical Data'!Q722</f>
        <v/>
      </c>
      <c r="L725" s="30">
        <f>'Historical Data'!S722</f>
        <v/>
      </c>
      <c r="M725" s="28">
        <f>'Historical Data'!AJ722</f>
        <v/>
      </c>
      <c r="N725" s="28">
        <f>'Historical Data'!AK722</f>
        <v/>
      </c>
      <c r="O725" s="3">
        <f>'Historical Data'!AA722</f>
        <v/>
      </c>
      <c r="P725" s="3">
        <f>'Historical Data'!AB722</f>
        <v/>
      </c>
      <c r="Q725" s="3">
        <f>'Historical Data'!AN722</f>
        <v/>
      </c>
      <c r="R725" s="3">
        <f>'Historical Data'!AC722</f>
        <v/>
      </c>
      <c r="S725" s="3">
        <f>'Historical Data'!AE722</f>
        <v/>
      </c>
      <c r="T725" s="3">
        <f>'Historical Data'!AH722</f>
        <v/>
      </c>
      <c r="U725" s="3">
        <f>'Historical Data'!BA722</f>
        <v/>
      </c>
      <c r="V725" s="3" t="n"/>
      <c r="W725" s="3" t="n"/>
      <c r="X725" s="3" t="n"/>
      <c r="Y725" s="3" t="n"/>
      <c r="Z725" s="3" t="n"/>
    </row>
    <row r="726" hidden="1" ht="15.75" customHeight="1" s="174">
      <c r="A726" s="3">
        <f>'Historical Data'!A723</f>
        <v/>
      </c>
      <c r="B726" s="3">
        <f>'Historical Data'!B723</f>
        <v/>
      </c>
      <c r="C726" s="3">
        <f>'Historical Data'!D723</f>
        <v/>
      </c>
      <c r="D726" s="23">
        <f>'Historical Data'!E723</f>
        <v/>
      </c>
      <c r="E726" s="3">
        <f>'Historical Data'!G723</f>
        <v/>
      </c>
      <c r="F726" s="3">
        <f>'Historical Data'!Y723</f>
        <v/>
      </c>
      <c r="G726" s="3">
        <f>'Historical Data'!K723</f>
        <v/>
      </c>
      <c r="H726" s="3">
        <f>'Historical Data'!L723</f>
        <v/>
      </c>
      <c r="I726" s="26">
        <f>'Historical Data'!M723</f>
        <v/>
      </c>
      <c r="J726" s="28">
        <f>'Historical Data'!N723</f>
        <v/>
      </c>
      <c r="K726" s="28">
        <f>'Historical Data'!Q723</f>
        <v/>
      </c>
      <c r="L726" s="30">
        <f>'Historical Data'!S723</f>
        <v/>
      </c>
      <c r="M726" s="28">
        <f>'Historical Data'!AJ723</f>
        <v/>
      </c>
      <c r="N726" s="28">
        <f>'Historical Data'!AK723</f>
        <v/>
      </c>
      <c r="O726" s="3">
        <f>'Historical Data'!AA723</f>
        <v/>
      </c>
      <c r="P726" s="3">
        <f>'Historical Data'!AB723</f>
        <v/>
      </c>
      <c r="Q726" s="3">
        <f>'Historical Data'!AN723</f>
        <v/>
      </c>
      <c r="R726" s="3">
        <f>'Historical Data'!AC723</f>
        <v/>
      </c>
      <c r="S726" s="3">
        <f>'Historical Data'!AE723</f>
        <v/>
      </c>
      <c r="T726" s="3">
        <f>'Historical Data'!AH723</f>
        <v/>
      </c>
      <c r="U726" s="3">
        <f>'Historical Data'!BA723</f>
        <v/>
      </c>
      <c r="V726" s="3" t="n"/>
      <c r="W726" s="3" t="n"/>
      <c r="X726" s="3" t="n"/>
      <c r="Y726" s="3" t="n"/>
      <c r="Z726" s="3" t="n"/>
    </row>
    <row r="727" hidden="1" ht="15.75" customHeight="1" s="174">
      <c r="A727" s="3">
        <f>'Historical Data'!A724</f>
        <v/>
      </c>
      <c r="B727" s="3">
        <f>'Historical Data'!B724</f>
        <v/>
      </c>
      <c r="C727" s="3">
        <f>'Historical Data'!D724</f>
        <v/>
      </c>
      <c r="D727" s="23">
        <f>'Historical Data'!E724</f>
        <v/>
      </c>
      <c r="E727" s="3">
        <f>'Historical Data'!G724</f>
        <v/>
      </c>
      <c r="F727" s="3">
        <f>'Historical Data'!Y724</f>
        <v/>
      </c>
      <c r="G727" s="3">
        <f>'Historical Data'!K724</f>
        <v/>
      </c>
      <c r="H727" s="3">
        <f>'Historical Data'!L724</f>
        <v/>
      </c>
      <c r="I727" s="26">
        <f>'Historical Data'!M724</f>
        <v/>
      </c>
      <c r="J727" s="28">
        <f>'Historical Data'!N724</f>
        <v/>
      </c>
      <c r="K727" s="28">
        <f>'Historical Data'!Q724</f>
        <v/>
      </c>
      <c r="L727" s="30">
        <f>'Historical Data'!S724</f>
        <v/>
      </c>
      <c r="M727" s="28">
        <f>'Historical Data'!AJ724</f>
        <v/>
      </c>
      <c r="N727" s="28">
        <f>'Historical Data'!AK724</f>
        <v/>
      </c>
      <c r="O727" s="3">
        <f>'Historical Data'!AA724</f>
        <v/>
      </c>
      <c r="P727" s="3">
        <f>'Historical Data'!AB724</f>
        <v/>
      </c>
      <c r="Q727" s="3">
        <f>'Historical Data'!AN724</f>
        <v/>
      </c>
      <c r="R727" s="3">
        <f>'Historical Data'!AC724</f>
        <v/>
      </c>
      <c r="S727" s="3">
        <f>'Historical Data'!AE724</f>
        <v/>
      </c>
      <c r="T727" s="3">
        <f>'Historical Data'!AH724</f>
        <v/>
      </c>
      <c r="U727" s="3">
        <f>'Historical Data'!BA724</f>
        <v/>
      </c>
      <c r="V727" s="3" t="n"/>
      <c r="W727" s="3" t="n"/>
      <c r="X727" s="3" t="n"/>
      <c r="Y727" s="3" t="n"/>
      <c r="Z727" s="3" t="n"/>
    </row>
    <row r="728" hidden="1" ht="15.75" customHeight="1" s="174">
      <c r="A728" s="3">
        <f>'Historical Data'!A725</f>
        <v/>
      </c>
      <c r="B728" s="3">
        <f>'Historical Data'!B725</f>
        <v/>
      </c>
      <c r="C728" s="3">
        <f>'Historical Data'!D725</f>
        <v/>
      </c>
      <c r="D728" s="23">
        <f>'Historical Data'!E725</f>
        <v/>
      </c>
      <c r="E728" s="3">
        <f>'Historical Data'!G725</f>
        <v/>
      </c>
      <c r="F728" s="3">
        <f>'Historical Data'!Y725</f>
        <v/>
      </c>
      <c r="G728" s="3">
        <f>'Historical Data'!K725</f>
        <v/>
      </c>
      <c r="H728" s="3">
        <f>'Historical Data'!L725</f>
        <v/>
      </c>
      <c r="I728" s="26">
        <f>'Historical Data'!M725</f>
        <v/>
      </c>
      <c r="J728" s="28">
        <f>'Historical Data'!N725</f>
        <v/>
      </c>
      <c r="K728" s="28">
        <f>'Historical Data'!Q725</f>
        <v/>
      </c>
      <c r="L728" s="30">
        <f>'Historical Data'!S725</f>
        <v/>
      </c>
      <c r="M728" s="28">
        <f>'Historical Data'!AJ725</f>
        <v/>
      </c>
      <c r="N728" s="28">
        <f>'Historical Data'!AK725</f>
        <v/>
      </c>
      <c r="O728" s="3">
        <f>'Historical Data'!AA725</f>
        <v/>
      </c>
      <c r="P728" s="3">
        <f>'Historical Data'!AB725</f>
        <v/>
      </c>
      <c r="Q728" s="3">
        <f>'Historical Data'!AN725</f>
        <v/>
      </c>
      <c r="R728" s="3">
        <f>'Historical Data'!AC725</f>
        <v/>
      </c>
      <c r="S728" s="3">
        <f>'Historical Data'!AE725</f>
        <v/>
      </c>
      <c r="T728" s="3">
        <f>'Historical Data'!AH725</f>
        <v/>
      </c>
      <c r="U728" s="3">
        <f>'Historical Data'!BA725</f>
        <v/>
      </c>
      <c r="V728" s="3" t="n"/>
      <c r="W728" s="3" t="n"/>
      <c r="X728" s="3" t="n"/>
      <c r="Y728" s="3" t="n"/>
      <c r="Z728" s="3" t="n"/>
    </row>
    <row r="729" hidden="1" ht="15.75" customHeight="1" s="174">
      <c r="A729" s="3">
        <f>'Historical Data'!A726</f>
        <v/>
      </c>
      <c r="B729" s="3">
        <f>'Historical Data'!B726</f>
        <v/>
      </c>
      <c r="C729" s="3">
        <f>'Historical Data'!D726</f>
        <v/>
      </c>
      <c r="D729" s="23">
        <f>'Historical Data'!E726</f>
        <v/>
      </c>
      <c r="E729" s="3">
        <f>'Historical Data'!G726</f>
        <v/>
      </c>
      <c r="F729" s="3">
        <f>'Historical Data'!Y726</f>
        <v/>
      </c>
      <c r="G729" s="3">
        <f>'Historical Data'!K726</f>
        <v/>
      </c>
      <c r="H729" s="3">
        <f>'Historical Data'!L726</f>
        <v/>
      </c>
      <c r="I729" s="26">
        <f>'Historical Data'!M726</f>
        <v/>
      </c>
      <c r="J729" s="28">
        <f>'Historical Data'!N726</f>
        <v/>
      </c>
      <c r="K729" s="28">
        <f>'Historical Data'!Q726</f>
        <v/>
      </c>
      <c r="L729" s="30">
        <f>'Historical Data'!S726</f>
        <v/>
      </c>
      <c r="M729" s="28">
        <f>'Historical Data'!AJ726</f>
        <v/>
      </c>
      <c r="N729" s="28">
        <f>'Historical Data'!AK726</f>
        <v/>
      </c>
      <c r="O729" s="3">
        <f>'Historical Data'!AA726</f>
        <v/>
      </c>
      <c r="P729" s="3">
        <f>'Historical Data'!AB726</f>
        <v/>
      </c>
      <c r="Q729" s="3">
        <f>'Historical Data'!AN726</f>
        <v/>
      </c>
      <c r="R729" s="3">
        <f>'Historical Data'!AC726</f>
        <v/>
      </c>
      <c r="S729" s="3">
        <f>'Historical Data'!AE726</f>
        <v/>
      </c>
      <c r="T729" s="3">
        <f>'Historical Data'!AH726</f>
        <v/>
      </c>
      <c r="U729" s="3">
        <f>'Historical Data'!BA726</f>
        <v/>
      </c>
      <c r="V729" s="3" t="n"/>
      <c r="W729" s="3" t="n"/>
      <c r="X729" s="3" t="n"/>
      <c r="Y729" s="3" t="n"/>
      <c r="Z729" s="3" t="n"/>
    </row>
    <row r="730" hidden="1" ht="15.75" customHeight="1" s="174">
      <c r="A730" s="3">
        <f>'Historical Data'!A727</f>
        <v/>
      </c>
      <c r="B730" s="3">
        <f>'Historical Data'!B727</f>
        <v/>
      </c>
      <c r="C730" s="3">
        <f>'Historical Data'!D727</f>
        <v/>
      </c>
      <c r="D730" s="23">
        <f>'Historical Data'!E727</f>
        <v/>
      </c>
      <c r="E730" s="3">
        <f>'Historical Data'!G727</f>
        <v/>
      </c>
      <c r="F730" s="3">
        <f>'Historical Data'!Y727</f>
        <v/>
      </c>
      <c r="G730" s="3">
        <f>'Historical Data'!K727</f>
        <v/>
      </c>
      <c r="H730" s="3">
        <f>'Historical Data'!L727</f>
        <v/>
      </c>
      <c r="I730" s="26">
        <f>'Historical Data'!M727</f>
        <v/>
      </c>
      <c r="J730" s="28">
        <f>'Historical Data'!N727</f>
        <v/>
      </c>
      <c r="K730" s="28">
        <f>'Historical Data'!Q727</f>
        <v/>
      </c>
      <c r="L730" s="30">
        <f>'Historical Data'!S727</f>
        <v/>
      </c>
      <c r="M730" s="28">
        <f>'Historical Data'!AJ727</f>
        <v/>
      </c>
      <c r="N730" s="28">
        <f>'Historical Data'!AK727</f>
        <v/>
      </c>
      <c r="O730" s="3">
        <f>'Historical Data'!AA727</f>
        <v/>
      </c>
      <c r="P730" s="3">
        <f>'Historical Data'!AB727</f>
        <v/>
      </c>
      <c r="Q730" s="3">
        <f>'Historical Data'!AN727</f>
        <v/>
      </c>
      <c r="R730" s="3">
        <f>'Historical Data'!AC727</f>
        <v/>
      </c>
      <c r="S730" s="3">
        <f>'Historical Data'!AE727</f>
        <v/>
      </c>
      <c r="T730" s="3">
        <f>'Historical Data'!AH727</f>
        <v/>
      </c>
      <c r="U730" s="3">
        <f>'Historical Data'!BA727</f>
        <v/>
      </c>
      <c r="V730" s="3" t="n"/>
      <c r="W730" s="3" t="n"/>
      <c r="X730" s="3" t="n"/>
      <c r="Y730" s="3" t="n"/>
      <c r="Z730" s="3" t="n"/>
    </row>
    <row r="731" hidden="1" ht="15.75" customHeight="1" s="174">
      <c r="A731" s="3">
        <f>'Historical Data'!A728</f>
        <v/>
      </c>
      <c r="B731" s="3">
        <f>'Historical Data'!B728</f>
        <v/>
      </c>
      <c r="C731" s="3">
        <f>'Historical Data'!D728</f>
        <v/>
      </c>
      <c r="D731" s="23">
        <f>'Historical Data'!E728</f>
        <v/>
      </c>
      <c r="E731" s="3">
        <f>'Historical Data'!G728</f>
        <v/>
      </c>
      <c r="F731" s="3">
        <f>'Historical Data'!Y728</f>
        <v/>
      </c>
      <c r="G731" s="3">
        <f>'Historical Data'!K728</f>
        <v/>
      </c>
      <c r="H731" s="3">
        <f>'Historical Data'!L728</f>
        <v/>
      </c>
      <c r="I731" s="26">
        <f>'Historical Data'!M728</f>
        <v/>
      </c>
      <c r="J731" s="28">
        <f>'Historical Data'!N728</f>
        <v/>
      </c>
      <c r="K731" s="28">
        <f>'Historical Data'!Q728</f>
        <v/>
      </c>
      <c r="L731" s="30">
        <f>'Historical Data'!S728</f>
        <v/>
      </c>
      <c r="M731" s="28">
        <f>'Historical Data'!AJ728</f>
        <v/>
      </c>
      <c r="N731" s="28">
        <f>'Historical Data'!AK728</f>
        <v/>
      </c>
      <c r="O731" s="3">
        <f>'Historical Data'!AA728</f>
        <v/>
      </c>
      <c r="P731" s="3">
        <f>'Historical Data'!AB728</f>
        <v/>
      </c>
      <c r="Q731" s="3">
        <f>'Historical Data'!AN728</f>
        <v/>
      </c>
      <c r="R731" s="3">
        <f>'Historical Data'!AC728</f>
        <v/>
      </c>
      <c r="S731" s="3">
        <f>'Historical Data'!AE728</f>
        <v/>
      </c>
      <c r="T731" s="3">
        <f>'Historical Data'!AH728</f>
        <v/>
      </c>
      <c r="U731" s="3">
        <f>'Historical Data'!BA728</f>
        <v/>
      </c>
      <c r="V731" s="3" t="n"/>
      <c r="W731" s="3" t="n"/>
      <c r="X731" s="3" t="n"/>
      <c r="Y731" s="3" t="n"/>
      <c r="Z731" s="3" t="n"/>
    </row>
    <row r="732" hidden="1" ht="15.75" customHeight="1" s="174">
      <c r="A732" s="3">
        <f>'Historical Data'!A729</f>
        <v/>
      </c>
      <c r="B732" s="3">
        <f>'Historical Data'!B729</f>
        <v/>
      </c>
      <c r="C732" s="3">
        <f>'Historical Data'!D729</f>
        <v/>
      </c>
      <c r="D732" s="23">
        <f>'Historical Data'!E729</f>
        <v/>
      </c>
      <c r="E732" s="3">
        <f>'Historical Data'!G729</f>
        <v/>
      </c>
      <c r="F732" s="3">
        <f>'Historical Data'!Y729</f>
        <v/>
      </c>
      <c r="G732" s="3">
        <f>'Historical Data'!K729</f>
        <v/>
      </c>
      <c r="H732" s="3">
        <f>'Historical Data'!L729</f>
        <v/>
      </c>
      <c r="I732" s="26">
        <f>'Historical Data'!M729</f>
        <v/>
      </c>
      <c r="J732" s="28">
        <f>'Historical Data'!N729</f>
        <v/>
      </c>
      <c r="K732" s="28">
        <f>'Historical Data'!Q729</f>
        <v/>
      </c>
      <c r="L732" s="30">
        <f>'Historical Data'!S729</f>
        <v/>
      </c>
      <c r="M732" s="28">
        <f>'Historical Data'!AJ729</f>
        <v/>
      </c>
      <c r="N732" s="28">
        <f>'Historical Data'!AK729</f>
        <v/>
      </c>
      <c r="O732" s="3">
        <f>'Historical Data'!AA729</f>
        <v/>
      </c>
      <c r="P732" s="3">
        <f>'Historical Data'!AB729</f>
        <v/>
      </c>
      <c r="Q732" s="3">
        <f>'Historical Data'!AN729</f>
        <v/>
      </c>
      <c r="R732" s="3">
        <f>'Historical Data'!AC729</f>
        <v/>
      </c>
      <c r="S732" s="3">
        <f>'Historical Data'!AE729</f>
        <v/>
      </c>
      <c r="T732" s="3">
        <f>'Historical Data'!AH729</f>
        <v/>
      </c>
      <c r="U732" s="3">
        <f>'Historical Data'!BA729</f>
        <v/>
      </c>
      <c r="V732" s="3" t="n"/>
      <c r="W732" s="3" t="n"/>
      <c r="X732" s="3" t="n"/>
      <c r="Y732" s="3" t="n"/>
      <c r="Z732" s="3" t="n"/>
    </row>
    <row r="733" hidden="1" ht="15.75" customHeight="1" s="174">
      <c r="A733" s="3">
        <f>'Historical Data'!A730</f>
        <v/>
      </c>
      <c r="B733" s="3">
        <f>'Historical Data'!B730</f>
        <v/>
      </c>
      <c r="C733" s="3">
        <f>'Historical Data'!D730</f>
        <v/>
      </c>
      <c r="D733" s="23">
        <f>'Historical Data'!E730</f>
        <v/>
      </c>
      <c r="E733" s="3">
        <f>'Historical Data'!G730</f>
        <v/>
      </c>
      <c r="F733" s="3">
        <f>'Historical Data'!Y730</f>
        <v/>
      </c>
      <c r="G733" s="3">
        <f>'Historical Data'!K730</f>
        <v/>
      </c>
      <c r="H733" s="3">
        <f>'Historical Data'!L730</f>
        <v/>
      </c>
      <c r="I733" s="26">
        <f>'Historical Data'!M730</f>
        <v/>
      </c>
      <c r="J733" s="28">
        <f>'Historical Data'!N730</f>
        <v/>
      </c>
      <c r="K733" s="28">
        <f>'Historical Data'!Q730</f>
        <v/>
      </c>
      <c r="L733" s="30">
        <f>'Historical Data'!S730</f>
        <v/>
      </c>
      <c r="M733" s="28">
        <f>'Historical Data'!AJ730</f>
        <v/>
      </c>
      <c r="N733" s="28">
        <f>'Historical Data'!AK730</f>
        <v/>
      </c>
      <c r="O733" s="3">
        <f>'Historical Data'!AA730</f>
        <v/>
      </c>
      <c r="P733" s="3">
        <f>'Historical Data'!AB730</f>
        <v/>
      </c>
      <c r="Q733" s="3">
        <f>'Historical Data'!AN730</f>
        <v/>
      </c>
      <c r="R733" s="3">
        <f>'Historical Data'!AC730</f>
        <v/>
      </c>
      <c r="S733" s="3">
        <f>'Historical Data'!AE730</f>
        <v/>
      </c>
      <c r="T733" s="3">
        <f>'Historical Data'!AH730</f>
        <v/>
      </c>
      <c r="U733" s="3">
        <f>'Historical Data'!BA730</f>
        <v/>
      </c>
      <c r="V733" s="3" t="n"/>
      <c r="W733" s="3" t="n"/>
      <c r="X733" s="3" t="n"/>
      <c r="Y733" s="3" t="n"/>
      <c r="Z733" s="3" t="n"/>
    </row>
    <row r="734" hidden="1" ht="15.75" customHeight="1" s="174">
      <c r="A734" s="3">
        <f>'Historical Data'!A731</f>
        <v/>
      </c>
      <c r="B734" s="3">
        <f>'Historical Data'!B731</f>
        <v/>
      </c>
      <c r="C734" s="3">
        <f>'Historical Data'!D731</f>
        <v/>
      </c>
      <c r="D734" s="23">
        <f>'Historical Data'!E731</f>
        <v/>
      </c>
      <c r="E734" s="3">
        <f>'Historical Data'!G731</f>
        <v/>
      </c>
      <c r="F734" s="3">
        <f>'Historical Data'!Y731</f>
        <v/>
      </c>
      <c r="G734" s="3">
        <f>'Historical Data'!K731</f>
        <v/>
      </c>
      <c r="H734" s="3">
        <f>'Historical Data'!L731</f>
        <v/>
      </c>
      <c r="I734" s="26">
        <f>'Historical Data'!M731</f>
        <v/>
      </c>
      <c r="J734" s="28">
        <f>'Historical Data'!N731</f>
        <v/>
      </c>
      <c r="K734" s="28">
        <f>'Historical Data'!Q731</f>
        <v/>
      </c>
      <c r="L734" s="30">
        <f>'Historical Data'!S731</f>
        <v/>
      </c>
      <c r="M734" s="28">
        <f>'Historical Data'!AJ731</f>
        <v/>
      </c>
      <c r="N734" s="28">
        <f>'Historical Data'!AK731</f>
        <v/>
      </c>
      <c r="O734" s="3">
        <f>'Historical Data'!AA731</f>
        <v/>
      </c>
      <c r="P734" s="3">
        <f>'Historical Data'!AB731</f>
        <v/>
      </c>
      <c r="Q734" s="3">
        <f>'Historical Data'!AN731</f>
        <v/>
      </c>
      <c r="R734" s="3">
        <f>'Historical Data'!AC731</f>
        <v/>
      </c>
      <c r="S734" s="3">
        <f>'Historical Data'!AE731</f>
        <v/>
      </c>
      <c r="T734" s="3">
        <f>'Historical Data'!AH731</f>
        <v/>
      </c>
      <c r="U734" s="3">
        <f>'Historical Data'!BA731</f>
        <v/>
      </c>
      <c r="V734" s="3" t="n"/>
      <c r="W734" s="3" t="n"/>
      <c r="X734" s="3" t="n"/>
      <c r="Y734" s="3" t="n"/>
      <c r="Z734" s="3" t="n"/>
    </row>
    <row r="735" hidden="1" ht="15.75" customHeight="1" s="174">
      <c r="A735" s="3">
        <f>'Historical Data'!A732</f>
        <v/>
      </c>
      <c r="B735" s="3">
        <f>'Historical Data'!B732</f>
        <v/>
      </c>
      <c r="C735" s="3">
        <f>'Historical Data'!D732</f>
        <v/>
      </c>
      <c r="D735" s="23">
        <f>'Historical Data'!E732</f>
        <v/>
      </c>
      <c r="E735" s="3">
        <f>'Historical Data'!G732</f>
        <v/>
      </c>
      <c r="F735" s="3">
        <f>'Historical Data'!Y732</f>
        <v/>
      </c>
      <c r="G735" s="3">
        <f>'Historical Data'!K732</f>
        <v/>
      </c>
      <c r="H735" s="3">
        <f>'Historical Data'!L732</f>
        <v/>
      </c>
      <c r="I735" s="26">
        <f>'Historical Data'!M732</f>
        <v/>
      </c>
      <c r="J735" s="28">
        <f>'Historical Data'!N732</f>
        <v/>
      </c>
      <c r="K735" s="28">
        <f>'Historical Data'!Q732</f>
        <v/>
      </c>
      <c r="L735" s="30">
        <f>'Historical Data'!S732</f>
        <v/>
      </c>
      <c r="M735" s="28">
        <f>'Historical Data'!AJ732</f>
        <v/>
      </c>
      <c r="N735" s="28">
        <f>'Historical Data'!AK732</f>
        <v/>
      </c>
      <c r="O735" s="3">
        <f>'Historical Data'!AA732</f>
        <v/>
      </c>
      <c r="P735" s="3">
        <f>'Historical Data'!AB732</f>
        <v/>
      </c>
      <c r="Q735" s="3">
        <f>'Historical Data'!AN732</f>
        <v/>
      </c>
      <c r="R735" s="3">
        <f>'Historical Data'!AC732</f>
        <v/>
      </c>
      <c r="S735" s="3">
        <f>'Historical Data'!AE732</f>
        <v/>
      </c>
      <c r="T735" s="3">
        <f>'Historical Data'!AH732</f>
        <v/>
      </c>
      <c r="U735" s="3">
        <f>'Historical Data'!BA732</f>
        <v/>
      </c>
      <c r="V735" s="3" t="n"/>
      <c r="W735" s="3" t="n"/>
      <c r="X735" s="3" t="n"/>
      <c r="Y735" s="3" t="n"/>
      <c r="Z735" s="3" t="n"/>
    </row>
    <row r="736" hidden="1" ht="15.75" customHeight="1" s="174">
      <c r="A736" s="3">
        <f>'Historical Data'!A733</f>
        <v/>
      </c>
      <c r="B736" s="3">
        <f>'Historical Data'!B733</f>
        <v/>
      </c>
      <c r="C736" s="3">
        <f>'Historical Data'!D733</f>
        <v/>
      </c>
      <c r="D736" s="23">
        <f>'Historical Data'!E733</f>
        <v/>
      </c>
      <c r="E736" s="3">
        <f>'Historical Data'!G733</f>
        <v/>
      </c>
      <c r="F736" s="3">
        <f>'Historical Data'!Y733</f>
        <v/>
      </c>
      <c r="G736" s="3">
        <f>'Historical Data'!K733</f>
        <v/>
      </c>
      <c r="H736" s="3">
        <f>'Historical Data'!L733</f>
        <v/>
      </c>
      <c r="I736" s="26">
        <f>'Historical Data'!M733</f>
        <v/>
      </c>
      <c r="J736" s="28">
        <f>'Historical Data'!N733</f>
        <v/>
      </c>
      <c r="K736" s="28">
        <f>'Historical Data'!Q733</f>
        <v/>
      </c>
      <c r="L736" s="30">
        <f>'Historical Data'!S733</f>
        <v/>
      </c>
      <c r="M736" s="28">
        <f>'Historical Data'!AJ733</f>
        <v/>
      </c>
      <c r="N736" s="28">
        <f>'Historical Data'!AK733</f>
        <v/>
      </c>
      <c r="O736" s="3">
        <f>'Historical Data'!AA733</f>
        <v/>
      </c>
      <c r="P736" s="3">
        <f>'Historical Data'!AB733</f>
        <v/>
      </c>
      <c r="Q736" s="3">
        <f>'Historical Data'!AN733</f>
        <v/>
      </c>
      <c r="R736" s="3">
        <f>'Historical Data'!AC733</f>
        <v/>
      </c>
      <c r="S736" s="3">
        <f>'Historical Data'!AE733</f>
        <v/>
      </c>
      <c r="T736" s="3">
        <f>'Historical Data'!AH733</f>
        <v/>
      </c>
      <c r="U736" s="3">
        <f>'Historical Data'!BA733</f>
        <v/>
      </c>
      <c r="V736" s="3" t="n"/>
      <c r="W736" s="3" t="n"/>
      <c r="X736" s="3" t="n"/>
      <c r="Y736" s="3" t="n"/>
      <c r="Z736" s="3" t="n"/>
    </row>
    <row r="737" hidden="1" ht="15.75" customHeight="1" s="174">
      <c r="A737" s="3">
        <f>'Historical Data'!A734</f>
        <v/>
      </c>
      <c r="B737" s="3">
        <f>'Historical Data'!B734</f>
        <v/>
      </c>
      <c r="C737" s="3">
        <f>'Historical Data'!D734</f>
        <v/>
      </c>
      <c r="D737" s="23">
        <f>'Historical Data'!E734</f>
        <v/>
      </c>
      <c r="E737" s="3">
        <f>'Historical Data'!G734</f>
        <v/>
      </c>
      <c r="F737" s="3">
        <f>'Historical Data'!Y734</f>
        <v/>
      </c>
      <c r="G737" s="3">
        <f>'Historical Data'!K734</f>
        <v/>
      </c>
      <c r="H737" s="3">
        <f>'Historical Data'!L734</f>
        <v/>
      </c>
      <c r="I737" s="26">
        <f>'Historical Data'!M734</f>
        <v/>
      </c>
      <c r="J737" s="28">
        <f>'Historical Data'!N734</f>
        <v/>
      </c>
      <c r="K737" s="28">
        <f>'Historical Data'!Q734</f>
        <v/>
      </c>
      <c r="L737" s="30">
        <f>'Historical Data'!S734</f>
        <v/>
      </c>
      <c r="M737" s="28">
        <f>'Historical Data'!AJ734</f>
        <v/>
      </c>
      <c r="N737" s="28">
        <f>'Historical Data'!AK734</f>
        <v/>
      </c>
      <c r="O737" s="3">
        <f>'Historical Data'!AA734</f>
        <v/>
      </c>
      <c r="P737" s="3">
        <f>'Historical Data'!AB734</f>
        <v/>
      </c>
      <c r="Q737" s="3">
        <f>'Historical Data'!AN734</f>
        <v/>
      </c>
      <c r="R737" s="3">
        <f>'Historical Data'!AC734</f>
        <v/>
      </c>
      <c r="S737" s="3">
        <f>'Historical Data'!AE734</f>
        <v/>
      </c>
      <c r="T737" s="3">
        <f>'Historical Data'!AH734</f>
        <v/>
      </c>
      <c r="U737" s="3">
        <f>'Historical Data'!BA734</f>
        <v/>
      </c>
      <c r="V737" s="3" t="n"/>
      <c r="W737" s="3" t="n"/>
      <c r="X737" s="3" t="n"/>
      <c r="Y737" s="3" t="n"/>
      <c r="Z737" s="3" t="n"/>
    </row>
    <row r="738" hidden="1" ht="15.75" customHeight="1" s="174">
      <c r="A738" s="3">
        <f>'Historical Data'!A735</f>
        <v/>
      </c>
      <c r="B738" s="3">
        <f>'Historical Data'!B735</f>
        <v/>
      </c>
      <c r="C738" s="3">
        <f>'Historical Data'!D735</f>
        <v/>
      </c>
      <c r="D738" s="23">
        <f>'Historical Data'!E735</f>
        <v/>
      </c>
      <c r="E738" s="3">
        <f>'Historical Data'!G735</f>
        <v/>
      </c>
      <c r="F738" s="3">
        <f>'Historical Data'!Y735</f>
        <v/>
      </c>
      <c r="G738" s="3">
        <f>'Historical Data'!K735</f>
        <v/>
      </c>
      <c r="H738" s="3">
        <f>'Historical Data'!L735</f>
        <v/>
      </c>
      <c r="I738" s="26">
        <f>'Historical Data'!M735</f>
        <v/>
      </c>
      <c r="J738" s="28">
        <f>'Historical Data'!N735</f>
        <v/>
      </c>
      <c r="K738" s="28">
        <f>'Historical Data'!Q735</f>
        <v/>
      </c>
      <c r="L738" s="30">
        <f>'Historical Data'!S735</f>
        <v/>
      </c>
      <c r="M738" s="28">
        <f>'Historical Data'!AJ735</f>
        <v/>
      </c>
      <c r="N738" s="28">
        <f>'Historical Data'!AK735</f>
        <v/>
      </c>
      <c r="O738" s="3">
        <f>'Historical Data'!AA735</f>
        <v/>
      </c>
      <c r="P738" s="3">
        <f>'Historical Data'!AB735</f>
        <v/>
      </c>
      <c r="Q738" s="3">
        <f>'Historical Data'!AN735</f>
        <v/>
      </c>
      <c r="R738" s="3">
        <f>'Historical Data'!AC735</f>
        <v/>
      </c>
      <c r="S738" s="3">
        <f>'Historical Data'!AE735</f>
        <v/>
      </c>
      <c r="T738" s="3">
        <f>'Historical Data'!AH735</f>
        <v/>
      </c>
      <c r="U738" s="3">
        <f>'Historical Data'!BA735</f>
        <v/>
      </c>
      <c r="V738" s="3" t="n"/>
      <c r="W738" s="3" t="n"/>
      <c r="X738" s="3" t="n"/>
      <c r="Y738" s="3" t="n"/>
      <c r="Z738" s="3" t="n"/>
    </row>
    <row r="739" hidden="1" ht="15.75" customHeight="1" s="174">
      <c r="A739" s="3">
        <f>'Historical Data'!A736</f>
        <v/>
      </c>
      <c r="B739" s="3">
        <f>'Historical Data'!B736</f>
        <v/>
      </c>
      <c r="C739" s="3">
        <f>'Historical Data'!D736</f>
        <v/>
      </c>
      <c r="D739" s="23">
        <f>'Historical Data'!E736</f>
        <v/>
      </c>
      <c r="E739" s="3">
        <f>'Historical Data'!G736</f>
        <v/>
      </c>
      <c r="F739" s="3">
        <f>'Historical Data'!Y736</f>
        <v/>
      </c>
      <c r="G739" s="3">
        <f>'Historical Data'!K736</f>
        <v/>
      </c>
      <c r="H739" s="3">
        <f>'Historical Data'!L736</f>
        <v/>
      </c>
      <c r="I739" s="26">
        <f>'Historical Data'!M736</f>
        <v/>
      </c>
      <c r="J739" s="28">
        <f>'Historical Data'!N736</f>
        <v/>
      </c>
      <c r="K739" s="28">
        <f>'Historical Data'!Q736</f>
        <v/>
      </c>
      <c r="L739" s="30">
        <f>'Historical Data'!S736</f>
        <v/>
      </c>
      <c r="M739" s="28">
        <f>'Historical Data'!AJ736</f>
        <v/>
      </c>
      <c r="N739" s="28">
        <f>'Historical Data'!AK736</f>
        <v/>
      </c>
      <c r="O739" s="3">
        <f>'Historical Data'!AA736</f>
        <v/>
      </c>
      <c r="P739" s="3">
        <f>'Historical Data'!AB736</f>
        <v/>
      </c>
      <c r="Q739" s="3">
        <f>'Historical Data'!AN736</f>
        <v/>
      </c>
      <c r="R739" s="3">
        <f>'Historical Data'!AC736</f>
        <v/>
      </c>
      <c r="S739" s="3">
        <f>'Historical Data'!AE736</f>
        <v/>
      </c>
      <c r="T739" s="3">
        <f>'Historical Data'!AH736</f>
        <v/>
      </c>
      <c r="U739" s="3">
        <f>'Historical Data'!BA736</f>
        <v/>
      </c>
      <c r="V739" s="3" t="n"/>
      <c r="W739" s="3" t="n"/>
      <c r="X739" s="3" t="n"/>
      <c r="Y739" s="3" t="n"/>
      <c r="Z739" s="3" t="n"/>
    </row>
    <row r="740" hidden="1" ht="15.75" customHeight="1" s="174">
      <c r="A740" s="3">
        <f>'Historical Data'!A737</f>
        <v/>
      </c>
      <c r="B740" s="3">
        <f>'Historical Data'!B737</f>
        <v/>
      </c>
      <c r="C740" s="3">
        <f>'Historical Data'!D737</f>
        <v/>
      </c>
      <c r="D740" s="23">
        <f>'Historical Data'!E737</f>
        <v/>
      </c>
      <c r="E740" s="3">
        <f>'Historical Data'!G737</f>
        <v/>
      </c>
      <c r="F740" s="3">
        <f>'Historical Data'!Y737</f>
        <v/>
      </c>
      <c r="G740" s="3">
        <f>'Historical Data'!K737</f>
        <v/>
      </c>
      <c r="H740" s="3">
        <f>'Historical Data'!L737</f>
        <v/>
      </c>
      <c r="I740" s="26">
        <f>'Historical Data'!M737</f>
        <v/>
      </c>
      <c r="J740" s="28">
        <f>'Historical Data'!N737</f>
        <v/>
      </c>
      <c r="K740" s="28">
        <f>'Historical Data'!Q737</f>
        <v/>
      </c>
      <c r="L740" s="30">
        <f>'Historical Data'!S737</f>
        <v/>
      </c>
      <c r="M740" s="28">
        <f>'Historical Data'!AJ737</f>
        <v/>
      </c>
      <c r="N740" s="28">
        <f>'Historical Data'!AK737</f>
        <v/>
      </c>
      <c r="O740" s="3">
        <f>'Historical Data'!AA737</f>
        <v/>
      </c>
      <c r="P740" s="3">
        <f>'Historical Data'!AB737</f>
        <v/>
      </c>
      <c r="Q740" s="3">
        <f>'Historical Data'!AN737</f>
        <v/>
      </c>
      <c r="R740" s="3">
        <f>'Historical Data'!AC737</f>
        <v/>
      </c>
      <c r="S740" s="3">
        <f>'Historical Data'!AE737</f>
        <v/>
      </c>
      <c r="T740" s="3">
        <f>'Historical Data'!AH737</f>
        <v/>
      </c>
      <c r="U740" s="3">
        <f>'Historical Data'!BA737</f>
        <v/>
      </c>
      <c r="V740" s="3" t="n"/>
      <c r="W740" s="3" t="n"/>
      <c r="X740" s="3" t="n"/>
      <c r="Y740" s="3" t="n"/>
      <c r="Z740" s="3" t="n"/>
    </row>
    <row r="741" hidden="1" ht="15.75" customHeight="1" s="174">
      <c r="A741" s="3">
        <f>'Historical Data'!A738</f>
        <v/>
      </c>
      <c r="B741" s="3">
        <f>'Historical Data'!B738</f>
        <v/>
      </c>
      <c r="C741" s="3">
        <f>'Historical Data'!D738</f>
        <v/>
      </c>
      <c r="D741" s="23">
        <f>'Historical Data'!E738</f>
        <v/>
      </c>
      <c r="E741" s="3">
        <f>'Historical Data'!G738</f>
        <v/>
      </c>
      <c r="F741" s="3">
        <f>'Historical Data'!Y738</f>
        <v/>
      </c>
      <c r="G741" s="3">
        <f>'Historical Data'!K738</f>
        <v/>
      </c>
      <c r="H741" s="3">
        <f>'Historical Data'!L738</f>
        <v/>
      </c>
      <c r="I741" s="26">
        <f>'Historical Data'!M738</f>
        <v/>
      </c>
      <c r="J741" s="28">
        <f>'Historical Data'!N738</f>
        <v/>
      </c>
      <c r="K741" s="28">
        <f>'Historical Data'!Q738</f>
        <v/>
      </c>
      <c r="L741" s="30">
        <f>'Historical Data'!S738</f>
        <v/>
      </c>
      <c r="M741" s="28">
        <f>'Historical Data'!AJ738</f>
        <v/>
      </c>
      <c r="N741" s="28">
        <f>'Historical Data'!AK738</f>
        <v/>
      </c>
      <c r="O741" s="3">
        <f>'Historical Data'!AA738</f>
        <v/>
      </c>
      <c r="P741" s="3">
        <f>'Historical Data'!AB738</f>
        <v/>
      </c>
      <c r="Q741" s="3">
        <f>'Historical Data'!AN738</f>
        <v/>
      </c>
      <c r="R741" s="3">
        <f>'Historical Data'!AC738</f>
        <v/>
      </c>
      <c r="S741" s="3">
        <f>'Historical Data'!AE738</f>
        <v/>
      </c>
      <c r="T741" s="3">
        <f>'Historical Data'!AH738</f>
        <v/>
      </c>
      <c r="U741" s="3">
        <f>'Historical Data'!BA738</f>
        <v/>
      </c>
      <c r="V741" s="3" t="n"/>
      <c r="W741" s="3" t="n"/>
      <c r="X741" s="3" t="n"/>
      <c r="Y741" s="3" t="n"/>
      <c r="Z741" s="3" t="n"/>
    </row>
    <row r="742" hidden="1" ht="15.75" customHeight="1" s="174">
      <c r="A742" s="3">
        <f>'Historical Data'!A739</f>
        <v/>
      </c>
      <c r="B742" s="3">
        <f>'Historical Data'!B739</f>
        <v/>
      </c>
      <c r="C742" s="3">
        <f>'Historical Data'!D739</f>
        <v/>
      </c>
      <c r="D742" s="23">
        <f>'Historical Data'!E739</f>
        <v/>
      </c>
      <c r="E742" s="3">
        <f>'Historical Data'!G739</f>
        <v/>
      </c>
      <c r="F742" s="3">
        <f>'Historical Data'!Y739</f>
        <v/>
      </c>
      <c r="G742" s="3">
        <f>'Historical Data'!K739</f>
        <v/>
      </c>
      <c r="H742" s="3">
        <f>'Historical Data'!L739</f>
        <v/>
      </c>
      <c r="I742" s="26">
        <f>'Historical Data'!M739</f>
        <v/>
      </c>
      <c r="J742" s="28">
        <f>'Historical Data'!N739</f>
        <v/>
      </c>
      <c r="K742" s="28">
        <f>'Historical Data'!Q739</f>
        <v/>
      </c>
      <c r="L742" s="30">
        <f>'Historical Data'!S739</f>
        <v/>
      </c>
      <c r="M742" s="28">
        <f>'Historical Data'!AJ739</f>
        <v/>
      </c>
      <c r="N742" s="28">
        <f>'Historical Data'!AK739</f>
        <v/>
      </c>
      <c r="O742" s="3">
        <f>'Historical Data'!AA739</f>
        <v/>
      </c>
      <c r="P742" s="3">
        <f>'Historical Data'!AB739</f>
        <v/>
      </c>
      <c r="Q742" s="3">
        <f>'Historical Data'!AN739</f>
        <v/>
      </c>
      <c r="R742" s="3">
        <f>'Historical Data'!AC739</f>
        <v/>
      </c>
      <c r="S742" s="3">
        <f>'Historical Data'!AE739</f>
        <v/>
      </c>
      <c r="T742" s="3">
        <f>'Historical Data'!AH739</f>
        <v/>
      </c>
      <c r="U742" s="3">
        <f>'Historical Data'!BA739</f>
        <v/>
      </c>
      <c r="V742" s="3" t="n"/>
      <c r="W742" s="3" t="n"/>
      <c r="X742" s="3" t="n"/>
      <c r="Y742" s="3" t="n"/>
      <c r="Z742" s="3" t="n"/>
    </row>
    <row r="743" hidden="1" ht="15.75" customHeight="1" s="174">
      <c r="A743" s="3">
        <f>'Historical Data'!A740</f>
        <v/>
      </c>
      <c r="B743" s="3">
        <f>'Historical Data'!B740</f>
        <v/>
      </c>
      <c r="C743" s="3">
        <f>'Historical Data'!D740</f>
        <v/>
      </c>
      <c r="D743" s="23">
        <f>'Historical Data'!E740</f>
        <v/>
      </c>
      <c r="E743" s="3">
        <f>'Historical Data'!G740</f>
        <v/>
      </c>
      <c r="F743" s="3">
        <f>'Historical Data'!Y740</f>
        <v/>
      </c>
      <c r="G743" s="3">
        <f>'Historical Data'!K740</f>
        <v/>
      </c>
      <c r="H743" s="3">
        <f>'Historical Data'!L740</f>
        <v/>
      </c>
      <c r="I743" s="26">
        <f>'Historical Data'!M740</f>
        <v/>
      </c>
      <c r="J743" s="28">
        <f>'Historical Data'!N740</f>
        <v/>
      </c>
      <c r="K743" s="28">
        <f>'Historical Data'!Q740</f>
        <v/>
      </c>
      <c r="L743" s="30">
        <f>'Historical Data'!S740</f>
        <v/>
      </c>
      <c r="M743" s="28">
        <f>'Historical Data'!AJ740</f>
        <v/>
      </c>
      <c r="N743" s="28">
        <f>'Historical Data'!AK740</f>
        <v/>
      </c>
      <c r="O743" s="3">
        <f>'Historical Data'!AA740</f>
        <v/>
      </c>
      <c r="P743" s="3">
        <f>'Historical Data'!AB740</f>
        <v/>
      </c>
      <c r="Q743" s="3">
        <f>'Historical Data'!AN740</f>
        <v/>
      </c>
      <c r="R743" s="3">
        <f>'Historical Data'!AC740</f>
        <v/>
      </c>
      <c r="S743" s="3">
        <f>'Historical Data'!AE740</f>
        <v/>
      </c>
      <c r="T743" s="3">
        <f>'Historical Data'!AH740</f>
        <v/>
      </c>
      <c r="U743" s="3">
        <f>'Historical Data'!BA740</f>
        <v/>
      </c>
      <c r="V743" s="3" t="n"/>
      <c r="W743" s="3" t="n"/>
      <c r="X743" s="3" t="n"/>
      <c r="Y743" s="3" t="n"/>
      <c r="Z743" s="3" t="n"/>
    </row>
    <row r="744" hidden="1" ht="15.75" customHeight="1" s="174">
      <c r="A744" s="3">
        <f>'Historical Data'!A741</f>
        <v/>
      </c>
      <c r="B744" s="3">
        <f>'Historical Data'!B741</f>
        <v/>
      </c>
      <c r="C744" s="3">
        <f>'Historical Data'!D741</f>
        <v/>
      </c>
      <c r="D744" s="23">
        <f>'Historical Data'!E741</f>
        <v/>
      </c>
      <c r="E744" s="3">
        <f>'Historical Data'!G741</f>
        <v/>
      </c>
      <c r="F744" s="3">
        <f>'Historical Data'!Y741</f>
        <v/>
      </c>
      <c r="G744" s="3">
        <f>'Historical Data'!K741</f>
        <v/>
      </c>
      <c r="H744" s="3">
        <f>'Historical Data'!L741</f>
        <v/>
      </c>
      <c r="I744" s="26">
        <f>'Historical Data'!M741</f>
        <v/>
      </c>
      <c r="J744" s="28">
        <f>'Historical Data'!N741</f>
        <v/>
      </c>
      <c r="K744" s="28">
        <f>'Historical Data'!Q741</f>
        <v/>
      </c>
      <c r="L744" s="30">
        <f>'Historical Data'!S741</f>
        <v/>
      </c>
      <c r="M744" s="28">
        <f>'Historical Data'!AJ741</f>
        <v/>
      </c>
      <c r="N744" s="28">
        <f>'Historical Data'!AK741</f>
        <v/>
      </c>
      <c r="O744" s="3">
        <f>'Historical Data'!AA741</f>
        <v/>
      </c>
      <c r="P744" s="3">
        <f>'Historical Data'!AB741</f>
        <v/>
      </c>
      <c r="Q744" s="3">
        <f>'Historical Data'!AN741</f>
        <v/>
      </c>
      <c r="R744" s="3">
        <f>'Historical Data'!AC741</f>
        <v/>
      </c>
      <c r="S744" s="3">
        <f>'Historical Data'!AE741</f>
        <v/>
      </c>
      <c r="T744" s="3">
        <f>'Historical Data'!AH741</f>
        <v/>
      </c>
      <c r="U744" s="3">
        <f>'Historical Data'!BA741</f>
        <v/>
      </c>
      <c r="V744" s="3" t="n"/>
      <c r="W744" s="3" t="n"/>
      <c r="X744" s="3" t="n"/>
      <c r="Y744" s="3" t="n"/>
      <c r="Z744" s="3" t="n"/>
    </row>
    <row r="745" hidden="1" ht="15.75" customHeight="1" s="174">
      <c r="A745" s="3">
        <f>'Historical Data'!A742</f>
        <v/>
      </c>
      <c r="B745" s="3">
        <f>'Historical Data'!B742</f>
        <v/>
      </c>
      <c r="C745" s="3">
        <f>'Historical Data'!D742</f>
        <v/>
      </c>
      <c r="D745" s="23">
        <f>'Historical Data'!E742</f>
        <v/>
      </c>
      <c r="E745" s="3">
        <f>'Historical Data'!G742</f>
        <v/>
      </c>
      <c r="F745" s="3">
        <f>'Historical Data'!Y742</f>
        <v/>
      </c>
      <c r="G745" s="3">
        <f>'Historical Data'!K742</f>
        <v/>
      </c>
      <c r="H745" s="3">
        <f>'Historical Data'!L742</f>
        <v/>
      </c>
      <c r="I745" s="26">
        <f>'Historical Data'!M742</f>
        <v/>
      </c>
      <c r="J745" s="28">
        <f>'Historical Data'!N742</f>
        <v/>
      </c>
      <c r="K745" s="28">
        <f>'Historical Data'!Q742</f>
        <v/>
      </c>
      <c r="L745" s="30">
        <f>'Historical Data'!S742</f>
        <v/>
      </c>
      <c r="M745" s="28">
        <f>'Historical Data'!AJ742</f>
        <v/>
      </c>
      <c r="N745" s="28">
        <f>'Historical Data'!AK742</f>
        <v/>
      </c>
      <c r="O745" s="3">
        <f>'Historical Data'!AA742</f>
        <v/>
      </c>
      <c r="P745" s="3">
        <f>'Historical Data'!AB742</f>
        <v/>
      </c>
      <c r="Q745" s="3">
        <f>'Historical Data'!AN742</f>
        <v/>
      </c>
      <c r="R745" s="3">
        <f>'Historical Data'!AC742</f>
        <v/>
      </c>
      <c r="S745" s="3">
        <f>'Historical Data'!AE742</f>
        <v/>
      </c>
      <c r="T745" s="3">
        <f>'Historical Data'!AH742</f>
        <v/>
      </c>
      <c r="U745" s="3">
        <f>'Historical Data'!BA742</f>
        <v/>
      </c>
      <c r="V745" s="3" t="n"/>
      <c r="W745" s="3" t="n"/>
      <c r="X745" s="3" t="n"/>
      <c r="Y745" s="3" t="n"/>
      <c r="Z745" s="3" t="n"/>
    </row>
    <row r="746" hidden="1" ht="15.75" customHeight="1" s="174">
      <c r="A746" s="3">
        <f>'Historical Data'!A743</f>
        <v/>
      </c>
      <c r="B746" s="3">
        <f>'Historical Data'!B743</f>
        <v/>
      </c>
      <c r="C746" s="3">
        <f>'Historical Data'!D743</f>
        <v/>
      </c>
      <c r="D746" s="23">
        <f>'Historical Data'!E743</f>
        <v/>
      </c>
      <c r="E746" s="3">
        <f>'Historical Data'!G743</f>
        <v/>
      </c>
      <c r="F746" s="3">
        <f>'Historical Data'!Y743</f>
        <v/>
      </c>
      <c r="G746" s="3">
        <f>'Historical Data'!K743</f>
        <v/>
      </c>
      <c r="H746" s="3">
        <f>'Historical Data'!L743</f>
        <v/>
      </c>
      <c r="I746" s="26">
        <f>'Historical Data'!M743</f>
        <v/>
      </c>
      <c r="J746" s="28">
        <f>'Historical Data'!N743</f>
        <v/>
      </c>
      <c r="K746" s="28">
        <f>'Historical Data'!Q743</f>
        <v/>
      </c>
      <c r="L746" s="30">
        <f>'Historical Data'!S743</f>
        <v/>
      </c>
      <c r="M746" s="28">
        <f>'Historical Data'!AJ743</f>
        <v/>
      </c>
      <c r="N746" s="28">
        <f>'Historical Data'!AK743</f>
        <v/>
      </c>
      <c r="O746" s="3">
        <f>'Historical Data'!AA743</f>
        <v/>
      </c>
      <c r="P746" s="3">
        <f>'Historical Data'!AB743</f>
        <v/>
      </c>
      <c r="Q746" s="3">
        <f>'Historical Data'!AN743</f>
        <v/>
      </c>
      <c r="R746" s="3">
        <f>'Historical Data'!AC743</f>
        <v/>
      </c>
      <c r="S746" s="3">
        <f>'Historical Data'!AE743</f>
        <v/>
      </c>
      <c r="T746" s="3">
        <f>'Historical Data'!AH743</f>
        <v/>
      </c>
      <c r="U746" s="3">
        <f>'Historical Data'!BA743</f>
        <v/>
      </c>
      <c r="V746" s="3" t="n"/>
      <c r="W746" s="3" t="n"/>
      <c r="X746" s="3" t="n"/>
      <c r="Y746" s="3" t="n"/>
      <c r="Z746" s="3" t="n"/>
    </row>
    <row r="747" hidden="1" ht="15.75" customHeight="1" s="174">
      <c r="A747" s="3">
        <f>'Historical Data'!A744</f>
        <v/>
      </c>
      <c r="B747" s="3">
        <f>'Historical Data'!B744</f>
        <v/>
      </c>
      <c r="C747" s="3">
        <f>'Historical Data'!D744</f>
        <v/>
      </c>
      <c r="D747" s="23">
        <f>'Historical Data'!E744</f>
        <v/>
      </c>
      <c r="E747" s="3">
        <f>'Historical Data'!G744</f>
        <v/>
      </c>
      <c r="F747" s="3">
        <f>'Historical Data'!Y744</f>
        <v/>
      </c>
      <c r="G747" s="3">
        <f>'Historical Data'!K744</f>
        <v/>
      </c>
      <c r="H747" s="3">
        <f>'Historical Data'!L744</f>
        <v/>
      </c>
      <c r="I747" s="26">
        <f>'Historical Data'!M744</f>
        <v/>
      </c>
      <c r="J747" s="28">
        <f>'Historical Data'!N744</f>
        <v/>
      </c>
      <c r="K747" s="28">
        <f>'Historical Data'!Q744</f>
        <v/>
      </c>
      <c r="L747" s="30">
        <f>'Historical Data'!S744</f>
        <v/>
      </c>
      <c r="M747" s="28">
        <f>'Historical Data'!AJ744</f>
        <v/>
      </c>
      <c r="N747" s="28">
        <f>'Historical Data'!AK744</f>
        <v/>
      </c>
      <c r="O747" s="3">
        <f>'Historical Data'!AA744</f>
        <v/>
      </c>
      <c r="P747" s="3">
        <f>'Historical Data'!AB744</f>
        <v/>
      </c>
      <c r="Q747" s="3">
        <f>'Historical Data'!AN744</f>
        <v/>
      </c>
      <c r="R747" s="3">
        <f>'Historical Data'!AC744</f>
        <v/>
      </c>
      <c r="S747" s="3">
        <f>'Historical Data'!AE744</f>
        <v/>
      </c>
      <c r="T747" s="3">
        <f>'Historical Data'!AH744</f>
        <v/>
      </c>
      <c r="U747" s="3">
        <f>'Historical Data'!BA744</f>
        <v/>
      </c>
      <c r="V747" s="3" t="n"/>
      <c r="W747" s="3" t="n"/>
      <c r="X747" s="3" t="n"/>
      <c r="Y747" s="3" t="n"/>
      <c r="Z747" s="3" t="n"/>
    </row>
    <row r="748" hidden="1" ht="15.75" customHeight="1" s="174">
      <c r="A748" s="3">
        <f>'Historical Data'!A745</f>
        <v/>
      </c>
      <c r="B748" s="3">
        <f>'Historical Data'!B745</f>
        <v/>
      </c>
      <c r="C748" s="3">
        <f>'Historical Data'!D745</f>
        <v/>
      </c>
      <c r="D748" s="23">
        <f>'Historical Data'!E745</f>
        <v/>
      </c>
      <c r="E748" s="3">
        <f>'Historical Data'!G745</f>
        <v/>
      </c>
      <c r="F748" s="3">
        <f>'Historical Data'!Y745</f>
        <v/>
      </c>
      <c r="G748" s="3">
        <f>'Historical Data'!K745</f>
        <v/>
      </c>
      <c r="H748" s="3">
        <f>'Historical Data'!L745</f>
        <v/>
      </c>
      <c r="I748" s="26">
        <f>'Historical Data'!M745</f>
        <v/>
      </c>
      <c r="J748" s="28">
        <f>'Historical Data'!N745</f>
        <v/>
      </c>
      <c r="K748" s="28">
        <f>'Historical Data'!Q745</f>
        <v/>
      </c>
      <c r="L748" s="30">
        <f>'Historical Data'!S745</f>
        <v/>
      </c>
      <c r="M748" s="28">
        <f>'Historical Data'!AJ745</f>
        <v/>
      </c>
      <c r="N748" s="28">
        <f>'Historical Data'!AK745</f>
        <v/>
      </c>
      <c r="O748" s="3">
        <f>'Historical Data'!AA745</f>
        <v/>
      </c>
      <c r="P748" s="3">
        <f>'Historical Data'!AB745</f>
        <v/>
      </c>
      <c r="Q748" s="3">
        <f>'Historical Data'!AN745</f>
        <v/>
      </c>
      <c r="R748" s="3">
        <f>'Historical Data'!AC745</f>
        <v/>
      </c>
      <c r="S748" s="3">
        <f>'Historical Data'!AE745</f>
        <v/>
      </c>
      <c r="T748" s="3">
        <f>'Historical Data'!AH745</f>
        <v/>
      </c>
      <c r="U748" s="3">
        <f>'Historical Data'!BA745</f>
        <v/>
      </c>
      <c r="V748" s="3" t="n"/>
      <c r="W748" s="3" t="n"/>
      <c r="X748" s="3" t="n"/>
      <c r="Y748" s="3" t="n"/>
      <c r="Z748" s="3" t="n"/>
    </row>
    <row r="749" hidden="1" ht="15.75" customHeight="1" s="174">
      <c r="A749" s="3">
        <f>'Historical Data'!A746</f>
        <v/>
      </c>
      <c r="B749" s="3">
        <f>'Historical Data'!B746</f>
        <v/>
      </c>
      <c r="C749" s="3">
        <f>'Historical Data'!D746</f>
        <v/>
      </c>
      <c r="D749" s="23">
        <f>'Historical Data'!E746</f>
        <v/>
      </c>
      <c r="E749" s="3">
        <f>'Historical Data'!G746</f>
        <v/>
      </c>
      <c r="F749" s="3">
        <f>'Historical Data'!Y746</f>
        <v/>
      </c>
      <c r="G749" s="3">
        <f>'Historical Data'!K746</f>
        <v/>
      </c>
      <c r="H749" s="3">
        <f>'Historical Data'!L746</f>
        <v/>
      </c>
      <c r="I749" s="26">
        <f>'Historical Data'!M746</f>
        <v/>
      </c>
      <c r="J749" s="28">
        <f>'Historical Data'!N746</f>
        <v/>
      </c>
      <c r="K749" s="28">
        <f>'Historical Data'!Q746</f>
        <v/>
      </c>
      <c r="L749" s="30">
        <f>'Historical Data'!S746</f>
        <v/>
      </c>
      <c r="M749" s="28">
        <f>'Historical Data'!AJ746</f>
        <v/>
      </c>
      <c r="N749" s="28">
        <f>'Historical Data'!AK746</f>
        <v/>
      </c>
      <c r="O749" s="3">
        <f>'Historical Data'!AA746</f>
        <v/>
      </c>
      <c r="P749" s="3">
        <f>'Historical Data'!AB746</f>
        <v/>
      </c>
      <c r="Q749" s="3">
        <f>'Historical Data'!AN746</f>
        <v/>
      </c>
      <c r="R749" s="3">
        <f>'Historical Data'!AC746</f>
        <v/>
      </c>
      <c r="S749" s="3">
        <f>'Historical Data'!AE746</f>
        <v/>
      </c>
      <c r="T749" s="3">
        <f>'Historical Data'!AH746</f>
        <v/>
      </c>
      <c r="U749" s="3">
        <f>'Historical Data'!BA746</f>
        <v/>
      </c>
      <c r="V749" s="3" t="n"/>
      <c r="W749" s="3" t="n"/>
      <c r="X749" s="3" t="n"/>
      <c r="Y749" s="3" t="n"/>
      <c r="Z749" s="3" t="n"/>
    </row>
    <row r="750" hidden="1" ht="15.75" customHeight="1" s="174">
      <c r="A750" s="3">
        <f>'Historical Data'!A747</f>
        <v/>
      </c>
      <c r="B750" s="3">
        <f>'Historical Data'!B747</f>
        <v/>
      </c>
      <c r="C750" s="3">
        <f>'Historical Data'!D747</f>
        <v/>
      </c>
      <c r="D750" s="23">
        <f>'Historical Data'!E747</f>
        <v/>
      </c>
      <c r="E750" s="3">
        <f>'Historical Data'!G747</f>
        <v/>
      </c>
      <c r="F750" s="3">
        <f>'Historical Data'!Y747</f>
        <v/>
      </c>
      <c r="G750" s="3">
        <f>'Historical Data'!K747</f>
        <v/>
      </c>
      <c r="H750" s="3">
        <f>'Historical Data'!L747</f>
        <v/>
      </c>
      <c r="I750" s="26">
        <f>'Historical Data'!M747</f>
        <v/>
      </c>
      <c r="J750" s="28">
        <f>'Historical Data'!N747</f>
        <v/>
      </c>
      <c r="K750" s="28">
        <f>'Historical Data'!Q747</f>
        <v/>
      </c>
      <c r="L750" s="30">
        <f>'Historical Data'!S747</f>
        <v/>
      </c>
      <c r="M750" s="28">
        <f>'Historical Data'!AJ747</f>
        <v/>
      </c>
      <c r="N750" s="28">
        <f>'Historical Data'!AK747</f>
        <v/>
      </c>
      <c r="O750" s="3">
        <f>'Historical Data'!AA747</f>
        <v/>
      </c>
      <c r="P750" s="3">
        <f>'Historical Data'!AB747</f>
        <v/>
      </c>
      <c r="Q750" s="3">
        <f>'Historical Data'!AN747</f>
        <v/>
      </c>
      <c r="R750" s="3">
        <f>'Historical Data'!AC747</f>
        <v/>
      </c>
      <c r="S750" s="3">
        <f>'Historical Data'!AE747</f>
        <v/>
      </c>
      <c r="T750" s="3">
        <f>'Historical Data'!AH747</f>
        <v/>
      </c>
      <c r="U750" s="3">
        <f>'Historical Data'!BA747</f>
        <v/>
      </c>
      <c r="V750" s="3" t="n"/>
      <c r="W750" s="3" t="n"/>
      <c r="X750" s="3" t="n"/>
      <c r="Y750" s="3" t="n"/>
      <c r="Z750" s="3" t="n"/>
    </row>
    <row r="751" hidden="1" ht="15.75" customHeight="1" s="174">
      <c r="A751" s="3">
        <f>'Historical Data'!A748</f>
        <v/>
      </c>
      <c r="B751" s="3">
        <f>'Historical Data'!B748</f>
        <v/>
      </c>
      <c r="C751" s="3">
        <f>'Historical Data'!D748</f>
        <v/>
      </c>
      <c r="D751" s="23">
        <f>'Historical Data'!E748</f>
        <v/>
      </c>
      <c r="E751" s="3">
        <f>'Historical Data'!G748</f>
        <v/>
      </c>
      <c r="F751" s="3">
        <f>'Historical Data'!Y748</f>
        <v/>
      </c>
      <c r="G751" s="3">
        <f>'Historical Data'!K748</f>
        <v/>
      </c>
      <c r="H751" s="3">
        <f>'Historical Data'!L748</f>
        <v/>
      </c>
      <c r="I751" s="26">
        <f>'Historical Data'!M748</f>
        <v/>
      </c>
      <c r="J751" s="28">
        <f>'Historical Data'!N748</f>
        <v/>
      </c>
      <c r="K751" s="28">
        <f>'Historical Data'!Q748</f>
        <v/>
      </c>
      <c r="L751" s="30">
        <f>'Historical Data'!S748</f>
        <v/>
      </c>
      <c r="M751" s="28">
        <f>'Historical Data'!AJ748</f>
        <v/>
      </c>
      <c r="N751" s="28">
        <f>'Historical Data'!AK748</f>
        <v/>
      </c>
      <c r="O751" s="3">
        <f>'Historical Data'!AA748</f>
        <v/>
      </c>
      <c r="P751" s="3">
        <f>'Historical Data'!AB748</f>
        <v/>
      </c>
      <c r="Q751" s="3">
        <f>'Historical Data'!AN748</f>
        <v/>
      </c>
      <c r="R751" s="3">
        <f>'Historical Data'!AC748</f>
        <v/>
      </c>
      <c r="S751" s="3">
        <f>'Historical Data'!AE748</f>
        <v/>
      </c>
      <c r="T751" s="3">
        <f>'Historical Data'!AH748</f>
        <v/>
      </c>
      <c r="U751" s="3">
        <f>'Historical Data'!BA748</f>
        <v/>
      </c>
      <c r="V751" s="3" t="n"/>
      <c r="W751" s="3" t="n"/>
      <c r="X751" s="3" t="n"/>
      <c r="Y751" s="3" t="n"/>
      <c r="Z751" s="3" t="n"/>
    </row>
    <row r="752" hidden="1" ht="15.75" customHeight="1" s="174">
      <c r="A752" s="3">
        <f>'Historical Data'!A749</f>
        <v/>
      </c>
      <c r="B752" s="3">
        <f>'Historical Data'!B749</f>
        <v/>
      </c>
      <c r="C752" s="3">
        <f>'Historical Data'!D749</f>
        <v/>
      </c>
      <c r="D752" s="23">
        <f>'Historical Data'!E749</f>
        <v/>
      </c>
      <c r="E752" s="3">
        <f>'Historical Data'!G749</f>
        <v/>
      </c>
      <c r="F752" s="3">
        <f>'Historical Data'!Y749</f>
        <v/>
      </c>
      <c r="G752" s="3">
        <f>'Historical Data'!K749</f>
        <v/>
      </c>
      <c r="H752" s="3">
        <f>'Historical Data'!L749</f>
        <v/>
      </c>
      <c r="I752" s="26">
        <f>'Historical Data'!M749</f>
        <v/>
      </c>
      <c r="J752" s="28">
        <f>'Historical Data'!N749</f>
        <v/>
      </c>
      <c r="K752" s="28">
        <f>'Historical Data'!Q749</f>
        <v/>
      </c>
      <c r="L752" s="30">
        <f>'Historical Data'!S749</f>
        <v/>
      </c>
      <c r="M752" s="28">
        <f>'Historical Data'!AJ749</f>
        <v/>
      </c>
      <c r="N752" s="28">
        <f>'Historical Data'!AK749</f>
        <v/>
      </c>
      <c r="O752" s="3">
        <f>'Historical Data'!AA749</f>
        <v/>
      </c>
      <c r="P752" s="3">
        <f>'Historical Data'!AB749</f>
        <v/>
      </c>
      <c r="Q752" s="3">
        <f>'Historical Data'!AN749</f>
        <v/>
      </c>
      <c r="R752" s="3">
        <f>'Historical Data'!AC749</f>
        <v/>
      </c>
      <c r="S752" s="3">
        <f>'Historical Data'!AE749</f>
        <v/>
      </c>
      <c r="T752" s="3">
        <f>'Historical Data'!AH749</f>
        <v/>
      </c>
      <c r="U752" s="3">
        <f>'Historical Data'!BA749</f>
        <v/>
      </c>
      <c r="V752" s="3" t="n"/>
      <c r="W752" s="3" t="n"/>
      <c r="X752" s="3" t="n"/>
      <c r="Y752" s="3" t="n"/>
      <c r="Z752" s="3" t="n"/>
    </row>
    <row r="753" hidden="1" ht="15.75" customHeight="1" s="174">
      <c r="A753" s="3">
        <f>'Historical Data'!A750</f>
        <v/>
      </c>
      <c r="B753" s="3">
        <f>'Historical Data'!B750</f>
        <v/>
      </c>
      <c r="C753" s="3">
        <f>'Historical Data'!D750</f>
        <v/>
      </c>
      <c r="D753" s="23">
        <f>'Historical Data'!E750</f>
        <v/>
      </c>
      <c r="E753" s="3">
        <f>'Historical Data'!G750</f>
        <v/>
      </c>
      <c r="F753" s="3">
        <f>'Historical Data'!Y750</f>
        <v/>
      </c>
      <c r="G753" s="3">
        <f>'Historical Data'!K750</f>
        <v/>
      </c>
      <c r="H753" s="3">
        <f>'Historical Data'!L750</f>
        <v/>
      </c>
      <c r="I753" s="26">
        <f>'Historical Data'!M750</f>
        <v/>
      </c>
      <c r="J753" s="28">
        <f>'Historical Data'!N750</f>
        <v/>
      </c>
      <c r="K753" s="28">
        <f>'Historical Data'!Q750</f>
        <v/>
      </c>
      <c r="L753" s="30">
        <f>'Historical Data'!S750</f>
        <v/>
      </c>
      <c r="M753" s="28">
        <f>'Historical Data'!AJ750</f>
        <v/>
      </c>
      <c r="N753" s="28">
        <f>'Historical Data'!AK750</f>
        <v/>
      </c>
      <c r="O753" s="3">
        <f>'Historical Data'!AA750</f>
        <v/>
      </c>
      <c r="P753" s="3">
        <f>'Historical Data'!AB750</f>
        <v/>
      </c>
      <c r="Q753" s="3">
        <f>'Historical Data'!AN750</f>
        <v/>
      </c>
      <c r="R753" s="3">
        <f>'Historical Data'!AC750</f>
        <v/>
      </c>
      <c r="S753" s="3">
        <f>'Historical Data'!AE750</f>
        <v/>
      </c>
      <c r="T753" s="3">
        <f>'Historical Data'!AH750</f>
        <v/>
      </c>
      <c r="U753" s="3">
        <f>'Historical Data'!BA750</f>
        <v/>
      </c>
      <c r="V753" s="3" t="n"/>
      <c r="W753" s="3" t="n"/>
      <c r="X753" s="3" t="n"/>
      <c r="Y753" s="3" t="n"/>
      <c r="Z753" s="3" t="n"/>
    </row>
    <row r="754" hidden="1" ht="15.75" customHeight="1" s="174">
      <c r="A754" s="3">
        <f>'Historical Data'!A751</f>
        <v/>
      </c>
      <c r="B754" s="3">
        <f>'Historical Data'!B751</f>
        <v/>
      </c>
      <c r="C754" s="3">
        <f>'Historical Data'!D751</f>
        <v/>
      </c>
      <c r="D754" s="23">
        <f>'Historical Data'!E751</f>
        <v/>
      </c>
      <c r="E754" s="3">
        <f>'Historical Data'!G751</f>
        <v/>
      </c>
      <c r="F754" s="3">
        <f>'Historical Data'!Y751</f>
        <v/>
      </c>
      <c r="G754" s="3">
        <f>'Historical Data'!K751</f>
        <v/>
      </c>
      <c r="H754" s="3">
        <f>'Historical Data'!L751</f>
        <v/>
      </c>
      <c r="I754" s="26">
        <f>'Historical Data'!M751</f>
        <v/>
      </c>
      <c r="J754" s="28">
        <f>'Historical Data'!N751</f>
        <v/>
      </c>
      <c r="K754" s="28">
        <f>'Historical Data'!Q751</f>
        <v/>
      </c>
      <c r="L754" s="30">
        <f>'Historical Data'!S751</f>
        <v/>
      </c>
      <c r="M754" s="28">
        <f>'Historical Data'!AJ751</f>
        <v/>
      </c>
      <c r="N754" s="28">
        <f>'Historical Data'!AK751</f>
        <v/>
      </c>
      <c r="O754" s="3">
        <f>'Historical Data'!AA751</f>
        <v/>
      </c>
      <c r="P754" s="3">
        <f>'Historical Data'!AB751</f>
        <v/>
      </c>
      <c r="Q754" s="3">
        <f>'Historical Data'!AN751</f>
        <v/>
      </c>
      <c r="R754" s="3">
        <f>'Historical Data'!AC751</f>
        <v/>
      </c>
      <c r="S754" s="3">
        <f>'Historical Data'!AE751</f>
        <v/>
      </c>
      <c r="T754" s="3">
        <f>'Historical Data'!AH751</f>
        <v/>
      </c>
      <c r="U754" s="3">
        <f>'Historical Data'!BA751</f>
        <v/>
      </c>
      <c r="V754" s="3" t="n"/>
      <c r="W754" s="3" t="n"/>
      <c r="X754" s="3" t="n"/>
      <c r="Y754" s="3" t="n"/>
      <c r="Z754" s="3" t="n"/>
    </row>
    <row r="755" hidden="1" ht="15.75" customHeight="1" s="174">
      <c r="A755" s="3">
        <f>'Historical Data'!A752</f>
        <v/>
      </c>
      <c r="B755" s="3">
        <f>'Historical Data'!B752</f>
        <v/>
      </c>
      <c r="C755" s="3">
        <f>'Historical Data'!D752</f>
        <v/>
      </c>
      <c r="D755" s="23">
        <f>'Historical Data'!E752</f>
        <v/>
      </c>
      <c r="E755" s="3">
        <f>'Historical Data'!G752</f>
        <v/>
      </c>
      <c r="F755" s="3">
        <f>'Historical Data'!Y752</f>
        <v/>
      </c>
      <c r="G755" s="3">
        <f>'Historical Data'!K752</f>
        <v/>
      </c>
      <c r="H755" s="3">
        <f>'Historical Data'!L752</f>
        <v/>
      </c>
      <c r="I755" s="26">
        <f>'Historical Data'!M752</f>
        <v/>
      </c>
      <c r="J755" s="28">
        <f>'Historical Data'!N752</f>
        <v/>
      </c>
      <c r="K755" s="28">
        <f>'Historical Data'!Q752</f>
        <v/>
      </c>
      <c r="L755" s="30">
        <f>'Historical Data'!S752</f>
        <v/>
      </c>
      <c r="M755" s="28">
        <f>'Historical Data'!AJ752</f>
        <v/>
      </c>
      <c r="N755" s="28">
        <f>'Historical Data'!AK752</f>
        <v/>
      </c>
      <c r="O755" s="3">
        <f>'Historical Data'!AA752</f>
        <v/>
      </c>
      <c r="P755" s="3">
        <f>'Historical Data'!AB752</f>
        <v/>
      </c>
      <c r="Q755" s="3">
        <f>'Historical Data'!AN752</f>
        <v/>
      </c>
      <c r="R755" s="3">
        <f>'Historical Data'!AC752</f>
        <v/>
      </c>
      <c r="S755" s="3">
        <f>'Historical Data'!AE752</f>
        <v/>
      </c>
      <c r="T755" s="3">
        <f>'Historical Data'!AH752</f>
        <v/>
      </c>
      <c r="U755" s="3">
        <f>'Historical Data'!BA752</f>
        <v/>
      </c>
      <c r="V755" s="3" t="n"/>
      <c r="W755" s="3" t="n"/>
      <c r="X755" s="3" t="n"/>
      <c r="Y755" s="3" t="n"/>
      <c r="Z755" s="3" t="n"/>
    </row>
    <row r="756" hidden="1" ht="15.75" customHeight="1" s="174">
      <c r="A756" s="3">
        <f>'Historical Data'!A753</f>
        <v/>
      </c>
      <c r="B756" s="3">
        <f>'Historical Data'!B753</f>
        <v/>
      </c>
      <c r="C756" s="3">
        <f>'Historical Data'!D753</f>
        <v/>
      </c>
      <c r="D756" s="23">
        <f>'Historical Data'!E753</f>
        <v/>
      </c>
      <c r="E756" s="3">
        <f>'Historical Data'!G753</f>
        <v/>
      </c>
      <c r="F756" s="3">
        <f>'Historical Data'!Y753</f>
        <v/>
      </c>
      <c r="G756" s="3">
        <f>'Historical Data'!K753</f>
        <v/>
      </c>
      <c r="H756" s="3">
        <f>'Historical Data'!L753</f>
        <v/>
      </c>
      <c r="I756" s="26">
        <f>'Historical Data'!M753</f>
        <v/>
      </c>
      <c r="J756" s="28">
        <f>'Historical Data'!N753</f>
        <v/>
      </c>
      <c r="K756" s="28">
        <f>'Historical Data'!Q753</f>
        <v/>
      </c>
      <c r="L756" s="30">
        <f>'Historical Data'!S753</f>
        <v/>
      </c>
      <c r="M756" s="28">
        <f>'Historical Data'!AJ753</f>
        <v/>
      </c>
      <c r="N756" s="28">
        <f>'Historical Data'!AK753</f>
        <v/>
      </c>
      <c r="O756" s="3">
        <f>'Historical Data'!AA753</f>
        <v/>
      </c>
      <c r="P756" s="3">
        <f>'Historical Data'!AB753</f>
        <v/>
      </c>
      <c r="Q756" s="3">
        <f>'Historical Data'!AN753</f>
        <v/>
      </c>
      <c r="R756" s="3">
        <f>'Historical Data'!AC753</f>
        <v/>
      </c>
      <c r="S756" s="3">
        <f>'Historical Data'!AE753</f>
        <v/>
      </c>
      <c r="T756" s="3">
        <f>'Historical Data'!AH753</f>
        <v/>
      </c>
      <c r="U756" s="3">
        <f>'Historical Data'!BA753</f>
        <v/>
      </c>
      <c r="V756" s="3" t="n"/>
      <c r="W756" s="3" t="n"/>
      <c r="X756" s="3" t="n"/>
      <c r="Y756" s="3" t="n"/>
      <c r="Z756" s="3" t="n"/>
    </row>
    <row r="757" hidden="1" ht="15.75" customHeight="1" s="174">
      <c r="A757" s="3">
        <f>'Historical Data'!A754</f>
        <v/>
      </c>
      <c r="B757" s="3">
        <f>'Historical Data'!B754</f>
        <v/>
      </c>
      <c r="C757" s="3">
        <f>'Historical Data'!D754</f>
        <v/>
      </c>
      <c r="D757" s="23">
        <f>'Historical Data'!E754</f>
        <v/>
      </c>
      <c r="E757" s="3">
        <f>'Historical Data'!G754</f>
        <v/>
      </c>
      <c r="F757" s="3">
        <f>'Historical Data'!Y754</f>
        <v/>
      </c>
      <c r="G757" s="3">
        <f>'Historical Data'!K754</f>
        <v/>
      </c>
      <c r="H757" s="3">
        <f>'Historical Data'!L754</f>
        <v/>
      </c>
      <c r="I757" s="26">
        <f>'Historical Data'!M754</f>
        <v/>
      </c>
      <c r="J757" s="28">
        <f>'Historical Data'!N754</f>
        <v/>
      </c>
      <c r="K757" s="28">
        <f>'Historical Data'!Q754</f>
        <v/>
      </c>
      <c r="L757" s="30">
        <f>'Historical Data'!S754</f>
        <v/>
      </c>
      <c r="M757" s="28">
        <f>'Historical Data'!AJ754</f>
        <v/>
      </c>
      <c r="N757" s="28">
        <f>'Historical Data'!AK754</f>
        <v/>
      </c>
      <c r="O757" s="3">
        <f>'Historical Data'!AA754</f>
        <v/>
      </c>
      <c r="P757" s="3">
        <f>'Historical Data'!AB754</f>
        <v/>
      </c>
      <c r="Q757" s="3">
        <f>'Historical Data'!AN754</f>
        <v/>
      </c>
      <c r="R757" s="3">
        <f>'Historical Data'!AC754</f>
        <v/>
      </c>
      <c r="S757" s="3">
        <f>'Historical Data'!AE754</f>
        <v/>
      </c>
      <c r="T757" s="3">
        <f>'Historical Data'!AH754</f>
        <v/>
      </c>
      <c r="U757" s="3">
        <f>'Historical Data'!BA754</f>
        <v/>
      </c>
      <c r="V757" s="3" t="n"/>
      <c r="W757" s="3" t="n"/>
      <c r="X757" s="3" t="n"/>
      <c r="Y757" s="3" t="n"/>
      <c r="Z757" s="3" t="n"/>
    </row>
    <row r="758" hidden="1" ht="15.75" customHeight="1" s="174">
      <c r="A758" s="3">
        <f>'Historical Data'!A755</f>
        <v/>
      </c>
      <c r="B758" s="3">
        <f>'Historical Data'!B755</f>
        <v/>
      </c>
      <c r="C758" s="3">
        <f>'Historical Data'!D755</f>
        <v/>
      </c>
      <c r="D758" s="23">
        <f>'Historical Data'!E755</f>
        <v/>
      </c>
      <c r="E758" s="3">
        <f>'Historical Data'!G755</f>
        <v/>
      </c>
      <c r="F758" s="3">
        <f>'Historical Data'!Y755</f>
        <v/>
      </c>
      <c r="G758" s="3">
        <f>'Historical Data'!K755</f>
        <v/>
      </c>
      <c r="H758" s="3">
        <f>'Historical Data'!L755</f>
        <v/>
      </c>
      <c r="I758" s="26">
        <f>'Historical Data'!M755</f>
        <v/>
      </c>
      <c r="J758" s="28">
        <f>'Historical Data'!N755</f>
        <v/>
      </c>
      <c r="K758" s="28">
        <f>'Historical Data'!Q755</f>
        <v/>
      </c>
      <c r="L758" s="30">
        <f>'Historical Data'!S755</f>
        <v/>
      </c>
      <c r="M758" s="28">
        <f>'Historical Data'!AJ755</f>
        <v/>
      </c>
      <c r="N758" s="28">
        <f>'Historical Data'!AK755</f>
        <v/>
      </c>
      <c r="O758" s="3">
        <f>'Historical Data'!AA755</f>
        <v/>
      </c>
      <c r="P758" s="3">
        <f>'Historical Data'!AB755</f>
        <v/>
      </c>
      <c r="Q758" s="3">
        <f>'Historical Data'!AN755</f>
        <v/>
      </c>
      <c r="R758" s="3">
        <f>'Historical Data'!AC755</f>
        <v/>
      </c>
      <c r="S758" s="3">
        <f>'Historical Data'!AE755</f>
        <v/>
      </c>
      <c r="T758" s="3">
        <f>'Historical Data'!AH755</f>
        <v/>
      </c>
      <c r="U758" s="3">
        <f>'Historical Data'!BA755</f>
        <v/>
      </c>
      <c r="V758" s="3" t="n"/>
      <c r="W758" s="3" t="n"/>
      <c r="X758" s="3" t="n"/>
      <c r="Y758" s="3" t="n"/>
      <c r="Z758" s="3" t="n"/>
    </row>
    <row r="759" hidden="1" ht="15.75" customHeight="1" s="174">
      <c r="A759" s="3">
        <f>'Historical Data'!A756</f>
        <v/>
      </c>
      <c r="B759" s="3">
        <f>'Historical Data'!B756</f>
        <v/>
      </c>
      <c r="C759" s="3">
        <f>'Historical Data'!D756</f>
        <v/>
      </c>
      <c r="D759" s="23">
        <f>'Historical Data'!E756</f>
        <v/>
      </c>
      <c r="E759" s="3">
        <f>'Historical Data'!G756</f>
        <v/>
      </c>
      <c r="F759" s="3">
        <f>'Historical Data'!Y756</f>
        <v/>
      </c>
      <c r="G759" s="3">
        <f>'Historical Data'!K756</f>
        <v/>
      </c>
      <c r="H759" s="3">
        <f>'Historical Data'!L756</f>
        <v/>
      </c>
      <c r="I759" s="26">
        <f>'Historical Data'!M756</f>
        <v/>
      </c>
      <c r="J759" s="28">
        <f>'Historical Data'!N756</f>
        <v/>
      </c>
      <c r="K759" s="28">
        <f>'Historical Data'!Q756</f>
        <v/>
      </c>
      <c r="L759" s="30">
        <f>'Historical Data'!S756</f>
        <v/>
      </c>
      <c r="M759" s="28">
        <f>'Historical Data'!AJ756</f>
        <v/>
      </c>
      <c r="N759" s="28">
        <f>'Historical Data'!AK756</f>
        <v/>
      </c>
      <c r="O759" s="3">
        <f>'Historical Data'!AA756</f>
        <v/>
      </c>
      <c r="P759" s="3">
        <f>'Historical Data'!AB756</f>
        <v/>
      </c>
      <c r="Q759" s="3">
        <f>'Historical Data'!AN756</f>
        <v/>
      </c>
      <c r="R759" s="3">
        <f>'Historical Data'!AC756</f>
        <v/>
      </c>
      <c r="S759" s="3">
        <f>'Historical Data'!AE756</f>
        <v/>
      </c>
      <c r="T759" s="3">
        <f>'Historical Data'!AH756</f>
        <v/>
      </c>
      <c r="U759" s="3">
        <f>'Historical Data'!BA756</f>
        <v/>
      </c>
      <c r="V759" s="3" t="n"/>
      <c r="W759" s="3" t="n"/>
      <c r="X759" s="3" t="n"/>
      <c r="Y759" s="3" t="n"/>
      <c r="Z759" s="3" t="n"/>
    </row>
    <row r="760" hidden="1" ht="15.75" customHeight="1" s="174">
      <c r="A760" s="3">
        <f>'Historical Data'!A757</f>
        <v/>
      </c>
      <c r="B760" s="3">
        <f>'Historical Data'!B757</f>
        <v/>
      </c>
      <c r="C760" s="3">
        <f>'Historical Data'!D757</f>
        <v/>
      </c>
      <c r="D760" s="23">
        <f>'Historical Data'!E757</f>
        <v/>
      </c>
      <c r="E760" s="3">
        <f>'Historical Data'!G757</f>
        <v/>
      </c>
      <c r="F760" s="3">
        <f>'Historical Data'!Y757</f>
        <v/>
      </c>
      <c r="G760" s="3">
        <f>'Historical Data'!K757</f>
        <v/>
      </c>
      <c r="H760" s="3">
        <f>'Historical Data'!L757</f>
        <v/>
      </c>
      <c r="I760" s="26">
        <f>'Historical Data'!M757</f>
        <v/>
      </c>
      <c r="J760" s="28">
        <f>'Historical Data'!N757</f>
        <v/>
      </c>
      <c r="K760" s="28">
        <f>'Historical Data'!Q757</f>
        <v/>
      </c>
      <c r="L760" s="30">
        <f>'Historical Data'!S757</f>
        <v/>
      </c>
      <c r="M760" s="28">
        <f>'Historical Data'!AJ757</f>
        <v/>
      </c>
      <c r="N760" s="28">
        <f>'Historical Data'!AK757</f>
        <v/>
      </c>
      <c r="O760" s="3">
        <f>'Historical Data'!AA757</f>
        <v/>
      </c>
      <c r="P760" s="3">
        <f>'Historical Data'!AB757</f>
        <v/>
      </c>
      <c r="Q760" s="3">
        <f>'Historical Data'!AN757</f>
        <v/>
      </c>
      <c r="R760" s="3">
        <f>'Historical Data'!AC757</f>
        <v/>
      </c>
      <c r="S760" s="3">
        <f>'Historical Data'!AE757</f>
        <v/>
      </c>
      <c r="T760" s="3">
        <f>'Historical Data'!AH757</f>
        <v/>
      </c>
      <c r="U760" s="3">
        <f>'Historical Data'!BA757</f>
        <v/>
      </c>
      <c r="V760" s="3" t="n"/>
      <c r="W760" s="3" t="n"/>
      <c r="X760" s="3" t="n"/>
      <c r="Y760" s="3" t="n"/>
      <c r="Z760" s="3" t="n"/>
    </row>
    <row r="761" hidden="1" ht="15.75" customHeight="1" s="174">
      <c r="A761" s="3">
        <f>'Historical Data'!A758</f>
        <v/>
      </c>
      <c r="B761" s="3">
        <f>'Historical Data'!B758</f>
        <v/>
      </c>
      <c r="C761" s="3">
        <f>'Historical Data'!D758</f>
        <v/>
      </c>
      <c r="D761" s="23">
        <f>'Historical Data'!E758</f>
        <v/>
      </c>
      <c r="E761" s="3">
        <f>'Historical Data'!G758</f>
        <v/>
      </c>
      <c r="F761" s="3">
        <f>'Historical Data'!Y758</f>
        <v/>
      </c>
      <c r="G761" s="3">
        <f>'Historical Data'!K758</f>
        <v/>
      </c>
      <c r="H761" s="3">
        <f>'Historical Data'!L758</f>
        <v/>
      </c>
      <c r="I761" s="26">
        <f>'Historical Data'!M758</f>
        <v/>
      </c>
      <c r="J761" s="28">
        <f>'Historical Data'!N758</f>
        <v/>
      </c>
      <c r="K761" s="28">
        <f>'Historical Data'!Q758</f>
        <v/>
      </c>
      <c r="L761" s="30">
        <f>'Historical Data'!S758</f>
        <v/>
      </c>
      <c r="M761" s="28">
        <f>'Historical Data'!AJ758</f>
        <v/>
      </c>
      <c r="N761" s="28">
        <f>'Historical Data'!AK758</f>
        <v/>
      </c>
      <c r="O761" s="3">
        <f>'Historical Data'!AA758</f>
        <v/>
      </c>
      <c r="P761" s="3">
        <f>'Historical Data'!AB758</f>
        <v/>
      </c>
      <c r="Q761" s="3">
        <f>'Historical Data'!AN758</f>
        <v/>
      </c>
      <c r="R761" s="3">
        <f>'Historical Data'!AC758</f>
        <v/>
      </c>
      <c r="S761" s="3">
        <f>'Historical Data'!AE758</f>
        <v/>
      </c>
      <c r="T761" s="3">
        <f>'Historical Data'!AH758</f>
        <v/>
      </c>
      <c r="U761" s="3">
        <f>'Historical Data'!BA758</f>
        <v/>
      </c>
      <c r="V761" s="3" t="n"/>
      <c r="W761" s="3" t="n"/>
      <c r="X761" s="3" t="n"/>
      <c r="Y761" s="3" t="n"/>
      <c r="Z761" s="3" t="n"/>
    </row>
    <row r="762" hidden="1" ht="15.75" customHeight="1" s="174">
      <c r="A762" s="3">
        <f>'Historical Data'!A759</f>
        <v/>
      </c>
      <c r="B762" s="3">
        <f>'Historical Data'!B759</f>
        <v/>
      </c>
      <c r="C762" s="3">
        <f>'Historical Data'!D759</f>
        <v/>
      </c>
      <c r="D762" s="23">
        <f>'Historical Data'!E759</f>
        <v/>
      </c>
      <c r="E762" s="3">
        <f>'Historical Data'!G759</f>
        <v/>
      </c>
      <c r="F762" s="3">
        <f>'Historical Data'!Y759</f>
        <v/>
      </c>
      <c r="G762" s="3">
        <f>'Historical Data'!K759</f>
        <v/>
      </c>
      <c r="H762" s="3">
        <f>'Historical Data'!L759</f>
        <v/>
      </c>
      <c r="I762" s="26">
        <f>'Historical Data'!M759</f>
        <v/>
      </c>
      <c r="J762" s="28">
        <f>'Historical Data'!N759</f>
        <v/>
      </c>
      <c r="K762" s="28">
        <f>'Historical Data'!Q759</f>
        <v/>
      </c>
      <c r="L762" s="30">
        <f>'Historical Data'!S759</f>
        <v/>
      </c>
      <c r="M762" s="28">
        <f>'Historical Data'!AJ759</f>
        <v/>
      </c>
      <c r="N762" s="28">
        <f>'Historical Data'!AK759</f>
        <v/>
      </c>
      <c r="O762" s="3">
        <f>'Historical Data'!AA759</f>
        <v/>
      </c>
      <c r="P762" s="3">
        <f>'Historical Data'!AB759</f>
        <v/>
      </c>
      <c r="Q762" s="3">
        <f>'Historical Data'!AN759</f>
        <v/>
      </c>
      <c r="R762" s="3">
        <f>'Historical Data'!AC759</f>
        <v/>
      </c>
      <c r="S762" s="3">
        <f>'Historical Data'!AE759</f>
        <v/>
      </c>
      <c r="T762" s="3">
        <f>'Historical Data'!AH759</f>
        <v/>
      </c>
      <c r="U762" s="3">
        <f>'Historical Data'!BA759</f>
        <v/>
      </c>
      <c r="V762" s="3" t="n"/>
      <c r="W762" s="3" t="n"/>
      <c r="X762" s="3" t="n"/>
      <c r="Y762" s="3" t="n"/>
      <c r="Z762" s="3" t="n"/>
    </row>
    <row r="763" hidden="1" ht="15.75" customHeight="1" s="174">
      <c r="A763" s="3">
        <f>'Historical Data'!A760</f>
        <v/>
      </c>
      <c r="B763" s="3">
        <f>'Historical Data'!B760</f>
        <v/>
      </c>
      <c r="C763" s="3">
        <f>'Historical Data'!D760</f>
        <v/>
      </c>
      <c r="D763" s="23">
        <f>'Historical Data'!E760</f>
        <v/>
      </c>
      <c r="E763" s="3">
        <f>'Historical Data'!G760</f>
        <v/>
      </c>
      <c r="F763" s="3">
        <f>'Historical Data'!Y760</f>
        <v/>
      </c>
      <c r="G763" s="3">
        <f>'Historical Data'!K760</f>
        <v/>
      </c>
      <c r="H763" s="3">
        <f>'Historical Data'!L760</f>
        <v/>
      </c>
      <c r="I763" s="26">
        <f>'Historical Data'!M760</f>
        <v/>
      </c>
      <c r="J763" s="28">
        <f>'Historical Data'!N760</f>
        <v/>
      </c>
      <c r="K763" s="28">
        <f>'Historical Data'!Q760</f>
        <v/>
      </c>
      <c r="L763" s="30">
        <f>'Historical Data'!S760</f>
        <v/>
      </c>
      <c r="M763" s="28">
        <f>'Historical Data'!AJ760</f>
        <v/>
      </c>
      <c r="N763" s="28">
        <f>'Historical Data'!AK760</f>
        <v/>
      </c>
      <c r="O763" s="3">
        <f>'Historical Data'!AA760</f>
        <v/>
      </c>
      <c r="P763" s="3">
        <f>'Historical Data'!AB760</f>
        <v/>
      </c>
      <c r="Q763" s="3">
        <f>'Historical Data'!AN760</f>
        <v/>
      </c>
      <c r="R763" s="3">
        <f>'Historical Data'!AC760</f>
        <v/>
      </c>
      <c r="S763" s="3">
        <f>'Historical Data'!AE760</f>
        <v/>
      </c>
      <c r="T763" s="3">
        <f>'Historical Data'!AH760</f>
        <v/>
      </c>
      <c r="U763" s="3">
        <f>'Historical Data'!BA760</f>
        <v/>
      </c>
      <c r="V763" s="3" t="n"/>
      <c r="W763" s="3" t="n"/>
      <c r="X763" s="3" t="n"/>
      <c r="Y763" s="3" t="n"/>
      <c r="Z763" s="3" t="n"/>
    </row>
    <row r="764" hidden="1" ht="15.75" customHeight="1" s="174">
      <c r="A764" s="3">
        <f>'Historical Data'!A761</f>
        <v/>
      </c>
      <c r="B764" s="3">
        <f>'Historical Data'!B761</f>
        <v/>
      </c>
      <c r="C764" s="3">
        <f>'Historical Data'!D761</f>
        <v/>
      </c>
      <c r="D764" s="23">
        <f>'Historical Data'!E761</f>
        <v/>
      </c>
      <c r="E764" s="3">
        <f>'Historical Data'!G761</f>
        <v/>
      </c>
      <c r="F764" s="3">
        <f>'Historical Data'!Y761</f>
        <v/>
      </c>
      <c r="G764" s="3">
        <f>'Historical Data'!K761</f>
        <v/>
      </c>
      <c r="H764" s="3">
        <f>'Historical Data'!L761</f>
        <v/>
      </c>
      <c r="I764" s="26">
        <f>'Historical Data'!M761</f>
        <v/>
      </c>
      <c r="J764" s="28">
        <f>'Historical Data'!N761</f>
        <v/>
      </c>
      <c r="K764" s="28">
        <f>'Historical Data'!Q761</f>
        <v/>
      </c>
      <c r="L764" s="30">
        <f>'Historical Data'!S761</f>
        <v/>
      </c>
      <c r="M764" s="28">
        <f>'Historical Data'!AJ761</f>
        <v/>
      </c>
      <c r="N764" s="28">
        <f>'Historical Data'!AK761</f>
        <v/>
      </c>
      <c r="O764" s="3">
        <f>'Historical Data'!AA761</f>
        <v/>
      </c>
      <c r="P764" s="3">
        <f>'Historical Data'!AB761</f>
        <v/>
      </c>
      <c r="Q764" s="3">
        <f>'Historical Data'!AN761</f>
        <v/>
      </c>
      <c r="R764" s="3">
        <f>'Historical Data'!AC761</f>
        <v/>
      </c>
      <c r="S764" s="3">
        <f>'Historical Data'!AE761</f>
        <v/>
      </c>
      <c r="T764" s="3">
        <f>'Historical Data'!AH761</f>
        <v/>
      </c>
      <c r="U764" s="3">
        <f>'Historical Data'!BA761</f>
        <v/>
      </c>
      <c r="V764" s="3" t="n"/>
      <c r="W764" s="3" t="n"/>
      <c r="X764" s="3" t="n"/>
      <c r="Y764" s="3" t="n"/>
      <c r="Z764" s="3" t="n"/>
    </row>
    <row r="765" hidden="1" ht="15.75" customHeight="1" s="174">
      <c r="A765" s="3">
        <f>'Historical Data'!A762</f>
        <v/>
      </c>
      <c r="B765" s="3">
        <f>'Historical Data'!B762</f>
        <v/>
      </c>
      <c r="C765" s="3">
        <f>'Historical Data'!D762</f>
        <v/>
      </c>
      <c r="D765" s="23">
        <f>'Historical Data'!E762</f>
        <v/>
      </c>
      <c r="E765" s="3">
        <f>'Historical Data'!G762</f>
        <v/>
      </c>
      <c r="F765" s="3">
        <f>'Historical Data'!Y762</f>
        <v/>
      </c>
      <c r="G765" s="3">
        <f>'Historical Data'!K762</f>
        <v/>
      </c>
      <c r="H765" s="3">
        <f>'Historical Data'!L762</f>
        <v/>
      </c>
      <c r="I765" s="26">
        <f>'Historical Data'!M762</f>
        <v/>
      </c>
      <c r="J765" s="28">
        <f>'Historical Data'!N762</f>
        <v/>
      </c>
      <c r="K765" s="28">
        <f>'Historical Data'!Q762</f>
        <v/>
      </c>
      <c r="L765" s="30">
        <f>'Historical Data'!S762</f>
        <v/>
      </c>
      <c r="M765" s="28">
        <f>'Historical Data'!AJ762</f>
        <v/>
      </c>
      <c r="N765" s="28">
        <f>'Historical Data'!AK762</f>
        <v/>
      </c>
      <c r="O765" s="3">
        <f>'Historical Data'!AA762</f>
        <v/>
      </c>
      <c r="P765" s="3">
        <f>'Historical Data'!AB762</f>
        <v/>
      </c>
      <c r="Q765" s="3">
        <f>'Historical Data'!AN762</f>
        <v/>
      </c>
      <c r="R765" s="3">
        <f>'Historical Data'!AC762</f>
        <v/>
      </c>
      <c r="S765" s="3">
        <f>'Historical Data'!AE762</f>
        <v/>
      </c>
      <c r="T765" s="3">
        <f>'Historical Data'!AH762</f>
        <v/>
      </c>
      <c r="U765" s="3">
        <f>'Historical Data'!BA762</f>
        <v/>
      </c>
      <c r="V765" s="3" t="n"/>
      <c r="W765" s="3" t="n"/>
      <c r="X765" s="3" t="n"/>
      <c r="Y765" s="3" t="n"/>
      <c r="Z765" s="3" t="n"/>
    </row>
    <row r="766" hidden="1" ht="15.75" customHeight="1" s="174">
      <c r="A766" s="3">
        <f>'Historical Data'!A763</f>
        <v/>
      </c>
      <c r="B766" s="3">
        <f>'Historical Data'!B763</f>
        <v/>
      </c>
      <c r="C766" s="3">
        <f>'Historical Data'!D763</f>
        <v/>
      </c>
      <c r="D766" s="23">
        <f>'Historical Data'!E763</f>
        <v/>
      </c>
      <c r="E766" s="3">
        <f>'Historical Data'!G763</f>
        <v/>
      </c>
      <c r="F766" s="3">
        <f>'Historical Data'!Y763</f>
        <v/>
      </c>
      <c r="G766" s="3">
        <f>'Historical Data'!K763</f>
        <v/>
      </c>
      <c r="H766" s="3">
        <f>'Historical Data'!L763</f>
        <v/>
      </c>
      <c r="I766" s="26">
        <f>'Historical Data'!M763</f>
        <v/>
      </c>
      <c r="J766" s="28">
        <f>'Historical Data'!N763</f>
        <v/>
      </c>
      <c r="K766" s="28">
        <f>'Historical Data'!Q763</f>
        <v/>
      </c>
      <c r="L766" s="30">
        <f>'Historical Data'!S763</f>
        <v/>
      </c>
      <c r="M766" s="28">
        <f>'Historical Data'!AJ763</f>
        <v/>
      </c>
      <c r="N766" s="28">
        <f>'Historical Data'!AK763</f>
        <v/>
      </c>
      <c r="O766" s="3">
        <f>'Historical Data'!AA763</f>
        <v/>
      </c>
      <c r="P766" s="3">
        <f>'Historical Data'!AB763</f>
        <v/>
      </c>
      <c r="Q766" s="3">
        <f>'Historical Data'!AN763</f>
        <v/>
      </c>
      <c r="R766" s="3">
        <f>'Historical Data'!AC763</f>
        <v/>
      </c>
      <c r="S766" s="3">
        <f>'Historical Data'!AE763</f>
        <v/>
      </c>
      <c r="T766" s="3">
        <f>'Historical Data'!AH763</f>
        <v/>
      </c>
      <c r="U766" s="3">
        <f>'Historical Data'!BA763</f>
        <v/>
      </c>
      <c r="V766" s="3" t="n"/>
      <c r="W766" s="3" t="n"/>
      <c r="X766" s="3" t="n"/>
      <c r="Y766" s="3" t="n"/>
      <c r="Z766" s="3" t="n"/>
    </row>
    <row r="767" hidden="1" ht="15.75" customHeight="1" s="174">
      <c r="A767" s="3">
        <f>'Historical Data'!A764</f>
        <v/>
      </c>
      <c r="B767" s="3">
        <f>'Historical Data'!B764</f>
        <v/>
      </c>
      <c r="C767" s="3">
        <f>'Historical Data'!D764</f>
        <v/>
      </c>
      <c r="D767" s="23">
        <f>'Historical Data'!E764</f>
        <v/>
      </c>
      <c r="E767" s="3">
        <f>'Historical Data'!G764</f>
        <v/>
      </c>
      <c r="F767" s="3">
        <f>'Historical Data'!Y764</f>
        <v/>
      </c>
      <c r="G767" s="3">
        <f>'Historical Data'!K764</f>
        <v/>
      </c>
      <c r="H767" s="3">
        <f>'Historical Data'!L764</f>
        <v/>
      </c>
      <c r="I767" s="26">
        <f>'Historical Data'!M764</f>
        <v/>
      </c>
      <c r="J767" s="28">
        <f>'Historical Data'!N764</f>
        <v/>
      </c>
      <c r="K767" s="28">
        <f>'Historical Data'!Q764</f>
        <v/>
      </c>
      <c r="L767" s="30">
        <f>'Historical Data'!S764</f>
        <v/>
      </c>
      <c r="M767" s="28">
        <f>'Historical Data'!AJ764</f>
        <v/>
      </c>
      <c r="N767" s="28">
        <f>'Historical Data'!AK764</f>
        <v/>
      </c>
      <c r="O767" s="3">
        <f>'Historical Data'!AA764</f>
        <v/>
      </c>
      <c r="P767" s="3">
        <f>'Historical Data'!AB764</f>
        <v/>
      </c>
      <c r="Q767" s="3">
        <f>'Historical Data'!AN764</f>
        <v/>
      </c>
      <c r="R767" s="3">
        <f>'Historical Data'!AC764</f>
        <v/>
      </c>
      <c r="S767" s="3">
        <f>'Historical Data'!AE764</f>
        <v/>
      </c>
      <c r="T767" s="3">
        <f>'Historical Data'!AH764</f>
        <v/>
      </c>
      <c r="U767" s="3">
        <f>'Historical Data'!BA764</f>
        <v/>
      </c>
      <c r="V767" s="3" t="n"/>
      <c r="W767" s="3" t="n"/>
      <c r="X767" s="3" t="n"/>
      <c r="Y767" s="3" t="n"/>
      <c r="Z767" s="3" t="n"/>
    </row>
    <row r="768" hidden="1" ht="15.75" customHeight="1" s="174">
      <c r="A768" s="3">
        <f>'Historical Data'!A765</f>
        <v/>
      </c>
      <c r="B768" s="3">
        <f>'Historical Data'!B765</f>
        <v/>
      </c>
      <c r="C768" s="3">
        <f>'Historical Data'!D765</f>
        <v/>
      </c>
      <c r="D768" s="23">
        <f>'Historical Data'!E765</f>
        <v/>
      </c>
      <c r="E768" s="3">
        <f>'Historical Data'!G765</f>
        <v/>
      </c>
      <c r="F768" s="3">
        <f>'Historical Data'!Y765</f>
        <v/>
      </c>
      <c r="G768" s="3">
        <f>'Historical Data'!K765</f>
        <v/>
      </c>
      <c r="H768" s="3">
        <f>'Historical Data'!L765</f>
        <v/>
      </c>
      <c r="I768" s="26">
        <f>'Historical Data'!M765</f>
        <v/>
      </c>
      <c r="J768" s="28">
        <f>'Historical Data'!N765</f>
        <v/>
      </c>
      <c r="K768" s="28">
        <f>'Historical Data'!Q765</f>
        <v/>
      </c>
      <c r="L768" s="30">
        <f>'Historical Data'!S765</f>
        <v/>
      </c>
      <c r="M768" s="28">
        <f>'Historical Data'!AJ765</f>
        <v/>
      </c>
      <c r="N768" s="28">
        <f>'Historical Data'!AK765</f>
        <v/>
      </c>
      <c r="O768" s="3">
        <f>'Historical Data'!AA765</f>
        <v/>
      </c>
      <c r="P768" s="3">
        <f>'Historical Data'!AB765</f>
        <v/>
      </c>
      <c r="Q768" s="3">
        <f>'Historical Data'!AN765</f>
        <v/>
      </c>
      <c r="R768" s="3">
        <f>'Historical Data'!AC765</f>
        <v/>
      </c>
      <c r="S768" s="3">
        <f>'Historical Data'!AE765</f>
        <v/>
      </c>
      <c r="T768" s="3">
        <f>'Historical Data'!AH765</f>
        <v/>
      </c>
      <c r="U768" s="3">
        <f>'Historical Data'!BA765</f>
        <v/>
      </c>
      <c r="V768" s="3" t="n"/>
      <c r="W768" s="3" t="n"/>
      <c r="X768" s="3" t="n"/>
      <c r="Y768" s="3" t="n"/>
      <c r="Z768" s="3" t="n"/>
    </row>
    <row r="769" hidden="1" ht="15.75" customHeight="1" s="174">
      <c r="A769" s="3">
        <f>'Historical Data'!A766</f>
        <v/>
      </c>
      <c r="B769" s="3">
        <f>'Historical Data'!B766</f>
        <v/>
      </c>
      <c r="C769" s="3">
        <f>'Historical Data'!D766</f>
        <v/>
      </c>
      <c r="D769" s="23">
        <f>'Historical Data'!E766</f>
        <v/>
      </c>
      <c r="E769" s="3">
        <f>'Historical Data'!G766</f>
        <v/>
      </c>
      <c r="F769" s="3">
        <f>'Historical Data'!Y766</f>
        <v/>
      </c>
      <c r="G769" s="3">
        <f>'Historical Data'!K766</f>
        <v/>
      </c>
      <c r="H769" s="3">
        <f>'Historical Data'!L766</f>
        <v/>
      </c>
      <c r="I769" s="26">
        <f>'Historical Data'!M766</f>
        <v/>
      </c>
      <c r="J769" s="28">
        <f>'Historical Data'!N766</f>
        <v/>
      </c>
      <c r="K769" s="28">
        <f>'Historical Data'!Q766</f>
        <v/>
      </c>
      <c r="L769" s="30">
        <f>'Historical Data'!S766</f>
        <v/>
      </c>
      <c r="M769" s="28">
        <f>'Historical Data'!AJ766</f>
        <v/>
      </c>
      <c r="N769" s="28">
        <f>'Historical Data'!AK766</f>
        <v/>
      </c>
      <c r="O769" s="3">
        <f>'Historical Data'!AA766</f>
        <v/>
      </c>
      <c r="P769" s="3">
        <f>'Historical Data'!AB766</f>
        <v/>
      </c>
      <c r="Q769" s="3">
        <f>'Historical Data'!AN766</f>
        <v/>
      </c>
      <c r="R769" s="3">
        <f>'Historical Data'!AC766</f>
        <v/>
      </c>
      <c r="S769" s="3">
        <f>'Historical Data'!AE766</f>
        <v/>
      </c>
      <c r="T769" s="3">
        <f>'Historical Data'!AH766</f>
        <v/>
      </c>
      <c r="U769" s="3">
        <f>'Historical Data'!BA766</f>
        <v/>
      </c>
      <c r="V769" s="3" t="n"/>
      <c r="W769" s="3" t="n"/>
      <c r="X769" s="3" t="n"/>
      <c r="Y769" s="3" t="n"/>
      <c r="Z769" s="3" t="n"/>
    </row>
    <row r="770" hidden="1" ht="15.75" customHeight="1" s="174">
      <c r="A770" s="3">
        <f>'Historical Data'!A767</f>
        <v/>
      </c>
      <c r="B770" s="3">
        <f>'Historical Data'!B767</f>
        <v/>
      </c>
      <c r="C770" s="3">
        <f>'Historical Data'!D767</f>
        <v/>
      </c>
      <c r="D770" s="23">
        <f>'Historical Data'!E767</f>
        <v/>
      </c>
      <c r="E770" s="3">
        <f>'Historical Data'!G767</f>
        <v/>
      </c>
      <c r="F770" s="3">
        <f>'Historical Data'!Y767</f>
        <v/>
      </c>
      <c r="G770" s="3">
        <f>'Historical Data'!K767</f>
        <v/>
      </c>
      <c r="H770" s="3">
        <f>'Historical Data'!L767</f>
        <v/>
      </c>
      <c r="I770" s="26">
        <f>'Historical Data'!M767</f>
        <v/>
      </c>
      <c r="J770" s="28">
        <f>'Historical Data'!N767</f>
        <v/>
      </c>
      <c r="K770" s="28">
        <f>'Historical Data'!Q767</f>
        <v/>
      </c>
      <c r="L770" s="30">
        <f>'Historical Data'!S767</f>
        <v/>
      </c>
      <c r="M770" s="28">
        <f>'Historical Data'!AJ767</f>
        <v/>
      </c>
      <c r="N770" s="28">
        <f>'Historical Data'!AK767</f>
        <v/>
      </c>
      <c r="O770" s="3">
        <f>'Historical Data'!AA767</f>
        <v/>
      </c>
      <c r="P770" s="3">
        <f>'Historical Data'!AB767</f>
        <v/>
      </c>
      <c r="Q770" s="3">
        <f>'Historical Data'!AN767</f>
        <v/>
      </c>
      <c r="R770" s="3">
        <f>'Historical Data'!AC767</f>
        <v/>
      </c>
      <c r="S770" s="3">
        <f>'Historical Data'!AE767</f>
        <v/>
      </c>
      <c r="T770" s="3">
        <f>'Historical Data'!AH767</f>
        <v/>
      </c>
      <c r="U770" s="3">
        <f>'Historical Data'!BA767</f>
        <v/>
      </c>
      <c r="V770" s="3" t="n"/>
      <c r="W770" s="3" t="n"/>
      <c r="X770" s="3" t="n"/>
      <c r="Y770" s="3" t="n"/>
      <c r="Z770" s="3" t="n"/>
    </row>
    <row r="771" hidden="1" ht="15.75" customHeight="1" s="174">
      <c r="A771" s="3">
        <f>'Historical Data'!A768</f>
        <v/>
      </c>
      <c r="B771" s="3">
        <f>'Historical Data'!B768</f>
        <v/>
      </c>
      <c r="C771" s="3">
        <f>'Historical Data'!D768</f>
        <v/>
      </c>
      <c r="D771" s="23">
        <f>'Historical Data'!E768</f>
        <v/>
      </c>
      <c r="E771" s="3">
        <f>'Historical Data'!G768</f>
        <v/>
      </c>
      <c r="F771" s="3">
        <f>'Historical Data'!Y768</f>
        <v/>
      </c>
      <c r="G771" s="3">
        <f>'Historical Data'!K768</f>
        <v/>
      </c>
      <c r="H771" s="3">
        <f>'Historical Data'!L768</f>
        <v/>
      </c>
      <c r="I771" s="26">
        <f>'Historical Data'!M768</f>
        <v/>
      </c>
      <c r="J771" s="28">
        <f>'Historical Data'!N768</f>
        <v/>
      </c>
      <c r="K771" s="28">
        <f>'Historical Data'!Q768</f>
        <v/>
      </c>
      <c r="L771" s="30">
        <f>'Historical Data'!S768</f>
        <v/>
      </c>
      <c r="M771" s="28">
        <f>'Historical Data'!AJ768</f>
        <v/>
      </c>
      <c r="N771" s="28">
        <f>'Historical Data'!AK768</f>
        <v/>
      </c>
      <c r="O771" s="3">
        <f>'Historical Data'!AA768</f>
        <v/>
      </c>
      <c r="P771" s="3">
        <f>'Historical Data'!AB768</f>
        <v/>
      </c>
      <c r="Q771" s="3">
        <f>'Historical Data'!AN768</f>
        <v/>
      </c>
      <c r="R771" s="3">
        <f>'Historical Data'!AC768</f>
        <v/>
      </c>
      <c r="S771" s="3">
        <f>'Historical Data'!AE768</f>
        <v/>
      </c>
      <c r="T771" s="3">
        <f>'Historical Data'!AH768</f>
        <v/>
      </c>
      <c r="U771" s="3">
        <f>'Historical Data'!BA768</f>
        <v/>
      </c>
      <c r="V771" s="3" t="n"/>
      <c r="W771" s="3" t="n"/>
      <c r="X771" s="3" t="n"/>
      <c r="Y771" s="3" t="n"/>
      <c r="Z771" s="3" t="n"/>
    </row>
    <row r="772" hidden="1" ht="15.75" customHeight="1" s="174">
      <c r="A772" s="3">
        <f>'Historical Data'!A769</f>
        <v/>
      </c>
      <c r="B772" s="3">
        <f>'Historical Data'!B769</f>
        <v/>
      </c>
      <c r="C772" s="3">
        <f>'Historical Data'!D769</f>
        <v/>
      </c>
      <c r="D772" s="23">
        <f>'Historical Data'!E769</f>
        <v/>
      </c>
      <c r="E772" s="3">
        <f>'Historical Data'!G769</f>
        <v/>
      </c>
      <c r="F772" s="3">
        <f>'Historical Data'!Y769</f>
        <v/>
      </c>
      <c r="G772" s="3">
        <f>'Historical Data'!K769</f>
        <v/>
      </c>
      <c r="H772" s="3">
        <f>'Historical Data'!L769</f>
        <v/>
      </c>
      <c r="I772" s="26">
        <f>'Historical Data'!M769</f>
        <v/>
      </c>
      <c r="J772" s="28">
        <f>'Historical Data'!N769</f>
        <v/>
      </c>
      <c r="K772" s="28">
        <f>'Historical Data'!Q769</f>
        <v/>
      </c>
      <c r="L772" s="30">
        <f>'Historical Data'!S769</f>
        <v/>
      </c>
      <c r="M772" s="28">
        <f>'Historical Data'!AJ769</f>
        <v/>
      </c>
      <c r="N772" s="28">
        <f>'Historical Data'!AK769</f>
        <v/>
      </c>
      <c r="O772" s="3">
        <f>'Historical Data'!AA769</f>
        <v/>
      </c>
      <c r="P772" s="3">
        <f>'Historical Data'!AB769</f>
        <v/>
      </c>
      <c r="Q772" s="3">
        <f>'Historical Data'!AN769</f>
        <v/>
      </c>
      <c r="R772" s="3">
        <f>'Historical Data'!AC769</f>
        <v/>
      </c>
      <c r="S772" s="3">
        <f>'Historical Data'!AE769</f>
        <v/>
      </c>
      <c r="T772" s="3">
        <f>'Historical Data'!AH769</f>
        <v/>
      </c>
      <c r="U772" s="3">
        <f>'Historical Data'!BA769</f>
        <v/>
      </c>
      <c r="V772" s="3" t="n"/>
      <c r="W772" s="3" t="n"/>
      <c r="X772" s="3" t="n"/>
      <c r="Y772" s="3" t="n"/>
      <c r="Z772" s="3" t="n"/>
    </row>
    <row r="773" hidden="1" ht="15.75" customHeight="1" s="174">
      <c r="A773" s="3">
        <f>'Historical Data'!A770</f>
        <v/>
      </c>
      <c r="B773" s="3">
        <f>'Historical Data'!B770</f>
        <v/>
      </c>
      <c r="C773" s="3">
        <f>'Historical Data'!D770</f>
        <v/>
      </c>
      <c r="D773" s="23">
        <f>'Historical Data'!E770</f>
        <v/>
      </c>
      <c r="E773" s="3">
        <f>'Historical Data'!G770</f>
        <v/>
      </c>
      <c r="F773" s="3">
        <f>'Historical Data'!Y770</f>
        <v/>
      </c>
      <c r="G773" s="3">
        <f>'Historical Data'!K770</f>
        <v/>
      </c>
      <c r="H773" s="3">
        <f>'Historical Data'!L770</f>
        <v/>
      </c>
      <c r="I773" s="26">
        <f>'Historical Data'!M770</f>
        <v/>
      </c>
      <c r="J773" s="28">
        <f>'Historical Data'!N770</f>
        <v/>
      </c>
      <c r="K773" s="28">
        <f>'Historical Data'!Q770</f>
        <v/>
      </c>
      <c r="L773" s="30">
        <f>'Historical Data'!S770</f>
        <v/>
      </c>
      <c r="M773" s="28">
        <f>'Historical Data'!AJ770</f>
        <v/>
      </c>
      <c r="N773" s="28">
        <f>'Historical Data'!AK770</f>
        <v/>
      </c>
      <c r="O773" s="3">
        <f>'Historical Data'!AA770</f>
        <v/>
      </c>
      <c r="P773" s="3">
        <f>'Historical Data'!AB770</f>
        <v/>
      </c>
      <c r="Q773" s="3">
        <f>'Historical Data'!AN770</f>
        <v/>
      </c>
      <c r="R773" s="3">
        <f>'Historical Data'!AC770</f>
        <v/>
      </c>
      <c r="S773" s="3">
        <f>'Historical Data'!AE770</f>
        <v/>
      </c>
      <c r="T773" s="3">
        <f>'Historical Data'!AH770</f>
        <v/>
      </c>
      <c r="U773" s="3">
        <f>'Historical Data'!BA770</f>
        <v/>
      </c>
      <c r="V773" s="3" t="n"/>
      <c r="W773" s="3" t="n"/>
      <c r="X773" s="3" t="n"/>
      <c r="Y773" s="3" t="n"/>
      <c r="Z773" s="3" t="n"/>
    </row>
    <row r="774" hidden="1" ht="15.75" customHeight="1" s="174">
      <c r="A774" s="3">
        <f>'Historical Data'!A771</f>
        <v/>
      </c>
      <c r="B774" s="3">
        <f>'Historical Data'!B771</f>
        <v/>
      </c>
      <c r="C774" s="3">
        <f>'Historical Data'!D771</f>
        <v/>
      </c>
      <c r="D774" s="23">
        <f>'Historical Data'!E771</f>
        <v/>
      </c>
      <c r="E774" s="3">
        <f>'Historical Data'!G771</f>
        <v/>
      </c>
      <c r="F774" s="3">
        <f>'Historical Data'!Y771</f>
        <v/>
      </c>
      <c r="G774" s="3">
        <f>'Historical Data'!K771</f>
        <v/>
      </c>
      <c r="H774" s="3">
        <f>'Historical Data'!L771</f>
        <v/>
      </c>
      <c r="I774" s="26">
        <f>'Historical Data'!M771</f>
        <v/>
      </c>
      <c r="J774" s="28">
        <f>'Historical Data'!N771</f>
        <v/>
      </c>
      <c r="K774" s="28">
        <f>'Historical Data'!Q771</f>
        <v/>
      </c>
      <c r="L774" s="30">
        <f>'Historical Data'!S771</f>
        <v/>
      </c>
      <c r="M774" s="28">
        <f>'Historical Data'!AJ771</f>
        <v/>
      </c>
      <c r="N774" s="28">
        <f>'Historical Data'!AK771</f>
        <v/>
      </c>
      <c r="O774" s="3">
        <f>'Historical Data'!AA771</f>
        <v/>
      </c>
      <c r="P774" s="3">
        <f>'Historical Data'!AB771</f>
        <v/>
      </c>
      <c r="Q774" s="3">
        <f>'Historical Data'!AN771</f>
        <v/>
      </c>
      <c r="R774" s="3">
        <f>'Historical Data'!AC771</f>
        <v/>
      </c>
      <c r="S774" s="3">
        <f>'Historical Data'!AE771</f>
        <v/>
      </c>
      <c r="T774" s="3">
        <f>'Historical Data'!AH771</f>
        <v/>
      </c>
      <c r="U774" s="3">
        <f>'Historical Data'!BA771</f>
        <v/>
      </c>
      <c r="V774" s="3" t="n"/>
      <c r="W774" s="3" t="n"/>
      <c r="X774" s="3" t="n"/>
      <c r="Y774" s="3" t="n"/>
      <c r="Z774" s="3" t="n"/>
    </row>
    <row r="775" hidden="1" ht="15.75" customHeight="1" s="174">
      <c r="A775" s="3">
        <f>'Historical Data'!A772</f>
        <v/>
      </c>
      <c r="B775" s="3">
        <f>'Historical Data'!B772</f>
        <v/>
      </c>
      <c r="C775" s="3">
        <f>'Historical Data'!D772</f>
        <v/>
      </c>
      <c r="D775" s="23">
        <f>'Historical Data'!E772</f>
        <v/>
      </c>
      <c r="E775" s="3">
        <f>'Historical Data'!G772</f>
        <v/>
      </c>
      <c r="F775" s="3">
        <f>'Historical Data'!Y772</f>
        <v/>
      </c>
      <c r="G775" s="3">
        <f>'Historical Data'!K772</f>
        <v/>
      </c>
      <c r="H775" s="3">
        <f>'Historical Data'!L772</f>
        <v/>
      </c>
      <c r="I775" s="26">
        <f>'Historical Data'!M772</f>
        <v/>
      </c>
      <c r="J775" s="28">
        <f>'Historical Data'!N772</f>
        <v/>
      </c>
      <c r="K775" s="28">
        <f>'Historical Data'!Q772</f>
        <v/>
      </c>
      <c r="L775" s="30">
        <f>'Historical Data'!S772</f>
        <v/>
      </c>
      <c r="M775" s="28">
        <f>'Historical Data'!AJ772</f>
        <v/>
      </c>
      <c r="N775" s="28">
        <f>'Historical Data'!AK772</f>
        <v/>
      </c>
      <c r="O775" s="3">
        <f>'Historical Data'!AA772</f>
        <v/>
      </c>
      <c r="P775" s="3">
        <f>'Historical Data'!AB772</f>
        <v/>
      </c>
      <c r="Q775" s="3">
        <f>'Historical Data'!AN772</f>
        <v/>
      </c>
      <c r="R775" s="3">
        <f>'Historical Data'!AC772</f>
        <v/>
      </c>
      <c r="S775" s="3">
        <f>'Historical Data'!AE772</f>
        <v/>
      </c>
      <c r="T775" s="3">
        <f>'Historical Data'!AH772</f>
        <v/>
      </c>
      <c r="U775" s="3">
        <f>'Historical Data'!BA772</f>
        <v/>
      </c>
      <c r="V775" s="3" t="n"/>
      <c r="W775" s="3" t="n"/>
      <c r="X775" s="3" t="n"/>
      <c r="Y775" s="3" t="n"/>
      <c r="Z775" s="3" t="n"/>
    </row>
    <row r="776" hidden="1" ht="15.75" customHeight="1" s="174">
      <c r="A776" s="3">
        <f>'Historical Data'!A773</f>
        <v/>
      </c>
      <c r="B776" s="3">
        <f>'Historical Data'!B773</f>
        <v/>
      </c>
      <c r="C776" s="3">
        <f>'Historical Data'!D773</f>
        <v/>
      </c>
      <c r="D776" s="23">
        <f>'Historical Data'!E773</f>
        <v/>
      </c>
      <c r="E776" s="3">
        <f>'Historical Data'!G773</f>
        <v/>
      </c>
      <c r="F776" s="3">
        <f>'Historical Data'!Y773</f>
        <v/>
      </c>
      <c r="G776" s="3">
        <f>'Historical Data'!K773</f>
        <v/>
      </c>
      <c r="H776" s="3">
        <f>'Historical Data'!L773</f>
        <v/>
      </c>
      <c r="I776" s="26">
        <f>'Historical Data'!M773</f>
        <v/>
      </c>
      <c r="J776" s="28">
        <f>'Historical Data'!N773</f>
        <v/>
      </c>
      <c r="K776" s="28">
        <f>'Historical Data'!Q773</f>
        <v/>
      </c>
      <c r="L776" s="30">
        <f>'Historical Data'!S773</f>
        <v/>
      </c>
      <c r="M776" s="28">
        <f>'Historical Data'!AJ773</f>
        <v/>
      </c>
      <c r="N776" s="28">
        <f>'Historical Data'!AK773</f>
        <v/>
      </c>
      <c r="O776" s="3">
        <f>'Historical Data'!AA773</f>
        <v/>
      </c>
      <c r="P776" s="3">
        <f>'Historical Data'!AB773</f>
        <v/>
      </c>
      <c r="Q776" s="3">
        <f>'Historical Data'!AN773</f>
        <v/>
      </c>
      <c r="R776" s="3">
        <f>'Historical Data'!AC773</f>
        <v/>
      </c>
      <c r="S776" s="3">
        <f>'Historical Data'!AE773</f>
        <v/>
      </c>
      <c r="T776" s="3">
        <f>'Historical Data'!AH773</f>
        <v/>
      </c>
      <c r="U776" s="3">
        <f>'Historical Data'!BA773</f>
        <v/>
      </c>
      <c r="V776" s="3" t="n"/>
      <c r="W776" s="3" t="n"/>
      <c r="X776" s="3" t="n"/>
      <c r="Y776" s="3" t="n"/>
      <c r="Z776" s="3" t="n"/>
    </row>
    <row r="777" hidden="1" ht="15.75" customHeight="1" s="174">
      <c r="A777" s="3">
        <f>'Historical Data'!A774</f>
        <v/>
      </c>
      <c r="B777" s="3">
        <f>'Historical Data'!B774</f>
        <v/>
      </c>
      <c r="C777" s="3">
        <f>'Historical Data'!D774</f>
        <v/>
      </c>
      <c r="D777" s="23">
        <f>'Historical Data'!E774</f>
        <v/>
      </c>
      <c r="E777" s="3">
        <f>'Historical Data'!G774</f>
        <v/>
      </c>
      <c r="F777" s="3">
        <f>'Historical Data'!Y774</f>
        <v/>
      </c>
      <c r="G777" s="3">
        <f>'Historical Data'!K774</f>
        <v/>
      </c>
      <c r="H777" s="3">
        <f>'Historical Data'!L774</f>
        <v/>
      </c>
      <c r="I777" s="26">
        <f>'Historical Data'!M774</f>
        <v/>
      </c>
      <c r="J777" s="28">
        <f>'Historical Data'!N774</f>
        <v/>
      </c>
      <c r="K777" s="28">
        <f>'Historical Data'!Q774</f>
        <v/>
      </c>
      <c r="L777" s="30">
        <f>'Historical Data'!S774</f>
        <v/>
      </c>
      <c r="M777" s="28">
        <f>'Historical Data'!AJ774</f>
        <v/>
      </c>
      <c r="N777" s="28">
        <f>'Historical Data'!AK774</f>
        <v/>
      </c>
      <c r="O777" s="3">
        <f>'Historical Data'!AA774</f>
        <v/>
      </c>
      <c r="P777" s="3">
        <f>'Historical Data'!AB774</f>
        <v/>
      </c>
      <c r="Q777" s="3">
        <f>'Historical Data'!AN774</f>
        <v/>
      </c>
      <c r="R777" s="3">
        <f>'Historical Data'!AC774</f>
        <v/>
      </c>
      <c r="S777" s="3">
        <f>'Historical Data'!AE774</f>
        <v/>
      </c>
      <c r="T777" s="3">
        <f>'Historical Data'!AH774</f>
        <v/>
      </c>
      <c r="U777" s="3">
        <f>'Historical Data'!BA774</f>
        <v/>
      </c>
      <c r="V777" s="3" t="n"/>
      <c r="W777" s="3" t="n"/>
      <c r="X777" s="3" t="n"/>
      <c r="Y777" s="3" t="n"/>
      <c r="Z777" s="3" t="n"/>
    </row>
    <row r="778" hidden="1" ht="15.75" customHeight="1" s="174">
      <c r="A778" s="3">
        <f>'Historical Data'!A775</f>
        <v/>
      </c>
      <c r="B778" s="3">
        <f>'Historical Data'!B775</f>
        <v/>
      </c>
      <c r="C778" s="3">
        <f>'Historical Data'!D775</f>
        <v/>
      </c>
      <c r="D778" s="23">
        <f>'Historical Data'!E775</f>
        <v/>
      </c>
      <c r="E778" s="3">
        <f>'Historical Data'!G775</f>
        <v/>
      </c>
      <c r="F778" s="3">
        <f>'Historical Data'!Y775</f>
        <v/>
      </c>
      <c r="G778" s="3">
        <f>'Historical Data'!K775</f>
        <v/>
      </c>
      <c r="H778" s="3">
        <f>'Historical Data'!L775</f>
        <v/>
      </c>
      <c r="I778" s="26">
        <f>'Historical Data'!M775</f>
        <v/>
      </c>
      <c r="J778" s="28">
        <f>'Historical Data'!N775</f>
        <v/>
      </c>
      <c r="K778" s="28">
        <f>'Historical Data'!Q775</f>
        <v/>
      </c>
      <c r="L778" s="30">
        <f>'Historical Data'!S775</f>
        <v/>
      </c>
      <c r="M778" s="28">
        <f>'Historical Data'!AJ775</f>
        <v/>
      </c>
      <c r="N778" s="28">
        <f>'Historical Data'!AK775</f>
        <v/>
      </c>
      <c r="O778" s="3">
        <f>'Historical Data'!AA775</f>
        <v/>
      </c>
      <c r="P778" s="3">
        <f>'Historical Data'!AB775</f>
        <v/>
      </c>
      <c r="Q778" s="3">
        <f>'Historical Data'!AN775</f>
        <v/>
      </c>
      <c r="R778" s="3">
        <f>'Historical Data'!AC775</f>
        <v/>
      </c>
      <c r="S778" s="3">
        <f>'Historical Data'!AE775</f>
        <v/>
      </c>
      <c r="T778" s="3">
        <f>'Historical Data'!AH775</f>
        <v/>
      </c>
      <c r="U778" s="3">
        <f>'Historical Data'!BA775</f>
        <v/>
      </c>
      <c r="V778" s="3" t="n"/>
      <c r="W778" s="3" t="n"/>
      <c r="X778" s="3" t="n"/>
      <c r="Y778" s="3" t="n"/>
      <c r="Z778" s="3" t="n"/>
    </row>
    <row r="779" hidden="1" ht="15.75" customHeight="1" s="174">
      <c r="A779" s="3">
        <f>'Historical Data'!A776</f>
        <v/>
      </c>
      <c r="B779" s="3">
        <f>'Historical Data'!B776</f>
        <v/>
      </c>
      <c r="C779" s="3">
        <f>'Historical Data'!D776</f>
        <v/>
      </c>
      <c r="D779" s="23">
        <f>'Historical Data'!E776</f>
        <v/>
      </c>
      <c r="E779" s="3">
        <f>'Historical Data'!G776</f>
        <v/>
      </c>
      <c r="F779" s="3">
        <f>'Historical Data'!Y776</f>
        <v/>
      </c>
      <c r="G779" s="3">
        <f>'Historical Data'!K776</f>
        <v/>
      </c>
      <c r="H779" s="3">
        <f>'Historical Data'!L776</f>
        <v/>
      </c>
      <c r="I779" s="26">
        <f>'Historical Data'!M776</f>
        <v/>
      </c>
      <c r="J779" s="28">
        <f>'Historical Data'!N776</f>
        <v/>
      </c>
      <c r="K779" s="28">
        <f>'Historical Data'!Q776</f>
        <v/>
      </c>
      <c r="L779" s="30">
        <f>'Historical Data'!S776</f>
        <v/>
      </c>
      <c r="M779" s="28">
        <f>'Historical Data'!AJ776</f>
        <v/>
      </c>
      <c r="N779" s="28">
        <f>'Historical Data'!AK776</f>
        <v/>
      </c>
      <c r="O779" s="3">
        <f>'Historical Data'!AA776</f>
        <v/>
      </c>
      <c r="P779" s="3">
        <f>'Historical Data'!AB776</f>
        <v/>
      </c>
      <c r="Q779" s="3">
        <f>'Historical Data'!AN776</f>
        <v/>
      </c>
      <c r="R779" s="3">
        <f>'Historical Data'!AC776</f>
        <v/>
      </c>
      <c r="S779" s="3">
        <f>'Historical Data'!AE776</f>
        <v/>
      </c>
      <c r="T779" s="3">
        <f>'Historical Data'!AH776</f>
        <v/>
      </c>
      <c r="U779" s="3">
        <f>'Historical Data'!BA776</f>
        <v/>
      </c>
      <c r="V779" s="3" t="n"/>
      <c r="W779" s="3" t="n"/>
      <c r="X779" s="3" t="n"/>
      <c r="Y779" s="3" t="n"/>
      <c r="Z779" s="3" t="n"/>
    </row>
    <row r="780" hidden="1" ht="15.75" customHeight="1" s="174">
      <c r="A780" s="3">
        <f>'Historical Data'!A777</f>
        <v/>
      </c>
      <c r="B780" s="3">
        <f>'Historical Data'!B777</f>
        <v/>
      </c>
      <c r="C780" s="3">
        <f>'Historical Data'!D777</f>
        <v/>
      </c>
      <c r="D780" s="23">
        <f>'Historical Data'!E777</f>
        <v/>
      </c>
      <c r="E780" s="3">
        <f>'Historical Data'!G777</f>
        <v/>
      </c>
      <c r="F780" s="3">
        <f>'Historical Data'!Y777</f>
        <v/>
      </c>
      <c r="G780" s="3">
        <f>'Historical Data'!K777</f>
        <v/>
      </c>
      <c r="H780" s="3">
        <f>'Historical Data'!L777</f>
        <v/>
      </c>
      <c r="I780" s="26">
        <f>'Historical Data'!M777</f>
        <v/>
      </c>
      <c r="J780" s="28">
        <f>'Historical Data'!N777</f>
        <v/>
      </c>
      <c r="K780" s="28">
        <f>'Historical Data'!Q777</f>
        <v/>
      </c>
      <c r="L780" s="30">
        <f>'Historical Data'!S777</f>
        <v/>
      </c>
      <c r="M780" s="28">
        <f>'Historical Data'!AJ777</f>
        <v/>
      </c>
      <c r="N780" s="28">
        <f>'Historical Data'!AK777</f>
        <v/>
      </c>
      <c r="O780" s="3">
        <f>'Historical Data'!AA777</f>
        <v/>
      </c>
      <c r="P780" s="3">
        <f>'Historical Data'!AB777</f>
        <v/>
      </c>
      <c r="Q780" s="3">
        <f>'Historical Data'!AN777</f>
        <v/>
      </c>
      <c r="R780" s="3">
        <f>'Historical Data'!AC777</f>
        <v/>
      </c>
      <c r="S780" s="3">
        <f>'Historical Data'!AE777</f>
        <v/>
      </c>
      <c r="T780" s="3">
        <f>'Historical Data'!AH777</f>
        <v/>
      </c>
      <c r="U780" s="3">
        <f>'Historical Data'!BA777</f>
        <v/>
      </c>
      <c r="V780" s="3" t="n"/>
      <c r="W780" s="3" t="n"/>
      <c r="X780" s="3" t="n"/>
      <c r="Y780" s="3" t="n"/>
      <c r="Z780" s="3" t="n"/>
    </row>
    <row r="781" hidden="1" ht="15.75" customHeight="1" s="174">
      <c r="A781" s="3">
        <f>'Historical Data'!A778</f>
        <v/>
      </c>
      <c r="B781" s="3">
        <f>'Historical Data'!B778</f>
        <v/>
      </c>
      <c r="C781" s="3">
        <f>'Historical Data'!D778</f>
        <v/>
      </c>
      <c r="D781" s="23">
        <f>'Historical Data'!E778</f>
        <v/>
      </c>
      <c r="E781" s="3">
        <f>'Historical Data'!G778</f>
        <v/>
      </c>
      <c r="F781" s="3">
        <f>'Historical Data'!Y778</f>
        <v/>
      </c>
      <c r="G781" s="3">
        <f>'Historical Data'!K778</f>
        <v/>
      </c>
      <c r="H781" s="3">
        <f>'Historical Data'!L778</f>
        <v/>
      </c>
      <c r="I781" s="26">
        <f>'Historical Data'!M778</f>
        <v/>
      </c>
      <c r="J781" s="28">
        <f>'Historical Data'!N778</f>
        <v/>
      </c>
      <c r="K781" s="28">
        <f>'Historical Data'!Q778</f>
        <v/>
      </c>
      <c r="L781" s="30">
        <f>'Historical Data'!S778</f>
        <v/>
      </c>
      <c r="M781" s="28">
        <f>'Historical Data'!AJ778</f>
        <v/>
      </c>
      <c r="N781" s="28">
        <f>'Historical Data'!AK778</f>
        <v/>
      </c>
      <c r="O781" s="3">
        <f>'Historical Data'!AA778</f>
        <v/>
      </c>
      <c r="P781" s="3">
        <f>'Historical Data'!AB778</f>
        <v/>
      </c>
      <c r="Q781" s="3">
        <f>'Historical Data'!AN778</f>
        <v/>
      </c>
      <c r="R781" s="3">
        <f>'Historical Data'!AC778</f>
        <v/>
      </c>
      <c r="S781" s="3">
        <f>'Historical Data'!AE778</f>
        <v/>
      </c>
      <c r="T781" s="3">
        <f>'Historical Data'!AH778</f>
        <v/>
      </c>
      <c r="U781" s="3">
        <f>'Historical Data'!BA778</f>
        <v/>
      </c>
      <c r="V781" s="3" t="n"/>
      <c r="W781" s="3" t="n"/>
      <c r="X781" s="3" t="n"/>
      <c r="Y781" s="3" t="n"/>
      <c r="Z781" s="3" t="n"/>
    </row>
    <row r="782" hidden="1" ht="15.75" customHeight="1" s="174">
      <c r="A782" s="3">
        <f>'Historical Data'!A779</f>
        <v/>
      </c>
      <c r="B782" s="3">
        <f>'Historical Data'!B779</f>
        <v/>
      </c>
      <c r="C782" s="3">
        <f>'Historical Data'!D779</f>
        <v/>
      </c>
      <c r="D782" s="23">
        <f>'Historical Data'!E779</f>
        <v/>
      </c>
      <c r="E782" s="3">
        <f>'Historical Data'!G779</f>
        <v/>
      </c>
      <c r="F782" s="3">
        <f>'Historical Data'!Y779</f>
        <v/>
      </c>
      <c r="G782" s="3">
        <f>'Historical Data'!K779</f>
        <v/>
      </c>
      <c r="H782" s="3">
        <f>'Historical Data'!L779</f>
        <v/>
      </c>
      <c r="I782" s="26">
        <f>'Historical Data'!M779</f>
        <v/>
      </c>
      <c r="J782" s="28">
        <f>'Historical Data'!N779</f>
        <v/>
      </c>
      <c r="K782" s="28">
        <f>'Historical Data'!Q779</f>
        <v/>
      </c>
      <c r="L782" s="30">
        <f>'Historical Data'!S779</f>
        <v/>
      </c>
      <c r="M782" s="28">
        <f>'Historical Data'!AJ779</f>
        <v/>
      </c>
      <c r="N782" s="28">
        <f>'Historical Data'!AK779</f>
        <v/>
      </c>
      <c r="O782" s="3">
        <f>'Historical Data'!AA779</f>
        <v/>
      </c>
      <c r="P782" s="3">
        <f>'Historical Data'!AB779</f>
        <v/>
      </c>
      <c r="Q782" s="3">
        <f>'Historical Data'!AN779</f>
        <v/>
      </c>
      <c r="R782" s="3">
        <f>'Historical Data'!AC779</f>
        <v/>
      </c>
      <c r="S782" s="3">
        <f>'Historical Data'!AE779</f>
        <v/>
      </c>
      <c r="T782" s="3">
        <f>'Historical Data'!AH779</f>
        <v/>
      </c>
      <c r="U782" s="3">
        <f>'Historical Data'!BA779</f>
        <v/>
      </c>
      <c r="V782" s="3" t="n"/>
      <c r="W782" s="3" t="n"/>
      <c r="X782" s="3" t="n"/>
      <c r="Y782" s="3" t="n"/>
      <c r="Z782" s="3" t="n"/>
    </row>
    <row r="783" hidden="1" ht="15.75" customHeight="1" s="174">
      <c r="A783" s="3">
        <f>'Historical Data'!A780</f>
        <v/>
      </c>
      <c r="B783" s="3">
        <f>'Historical Data'!B780</f>
        <v/>
      </c>
      <c r="C783" s="3">
        <f>'Historical Data'!D780</f>
        <v/>
      </c>
      <c r="D783" s="23">
        <f>'Historical Data'!E780</f>
        <v/>
      </c>
      <c r="E783" s="3">
        <f>'Historical Data'!G780</f>
        <v/>
      </c>
      <c r="F783" s="3">
        <f>'Historical Data'!Y780</f>
        <v/>
      </c>
      <c r="G783" s="3">
        <f>'Historical Data'!K780</f>
        <v/>
      </c>
      <c r="H783" s="3">
        <f>'Historical Data'!L780</f>
        <v/>
      </c>
      <c r="I783" s="26">
        <f>'Historical Data'!M780</f>
        <v/>
      </c>
      <c r="J783" s="28">
        <f>'Historical Data'!N780</f>
        <v/>
      </c>
      <c r="K783" s="28">
        <f>'Historical Data'!Q780</f>
        <v/>
      </c>
      <c r="L783" s="30">
        <f>'Historical Data'!S780</f>
        <v/>
      </c>
      <c r="M783" s="28">
        <f>'Historical Data'!AJ780</f>
        <v/>
      </c>
      <c r="N783" s="28">
        <f>'Historical Data'!AK780</f>
        <v/>
      </c>
      <c r="O783" s="3">
        <f>'Historical Data'!AA780</f>
        <v/>
      </c>
      <c r="P783" s="3">
        <f>'Historical Data'!AB780</f>
        <v/>
      </c>
      <c r="Q783" s="3">
        <f>'Historical Data'!AN780</f>
        <v/>
      </c>
      <c r="R783" s="3">
        <f>'Historical Data'!AC780</f>
        <v/>
      </c>
      <c r="S783" s="3">
        <f>'Historical Data'!AE780</f>
        <v/>
      </c>
      <c r="T783" s="3">
        <f>'Historical Data'!AH780</f>
        <v/>
      </c>
      <c r="U783" s="3">
        <f>'Historical Data'!BA780</f>
        <v/>
      </c>
      <c r="V783" s="3" t="n"/>
      <c r="W783" s="3" t="n"/>
      <c r="X783" s="3" t="n"/>
      <c r="Y783" s="3" t="n"/>
      <c r="Z783" s="3" t="n"/>
    </row>
    <row r="784" hidden="1" ht="15.75" customHeight="1" s="174">
      <c r="A784" s="3">
        <f>'Historical Data'!A781</f>
        <v/>
      </c>
      <c r="B784" s="3">
        <f>'Historical Data'!B781</f>
        <v/>
      </c>
      <c r="C784" s="3">
        <f>'Historical Data'!D781</f>
        <v/>
      </c>
      <c r="D784" s="23">
        <f>'Historical Data'!E781</f>
        <v/>
      </c>
      <c r="E784" s="3">
        <f>'Historical Data'!G781</f>
        <v/>
      </c>
      <c r="F784" s="3">
        <f>'Historical Data'!Y781</f>
        <v/>
      </c>
      <c r="G784" s="3">
        <f>'Historical Data'!K781</f>
        <v/>
      </c>
      <c r="H784" s="3">
        <f>'Historical Data'!L781</f>
        <v/>
      </c>
      <c r="I784" s="26">
        <f>'Historical Data'!M781</f>
        <v/>
      </c>
      <c r="J784" s="28">
        <f>'Historical Data'!N781</f>
        <v/>
      </c>
      <c r="K784" s="28">
        <f>'Historical Data'!Q781</f>
        <v/>
      </c>
      <c r="L784" s="30">
        <f>'Historical Data'!S781</f>
        <v/>
      </c>
      <c r="M784" s="28">
        <f>'Historical Data'!AJ781</f>
        <v/>
      </c>
      <c r="N784" s="28">
        <f>'Historical Data'!AK781</f>
        <v/>
      </c>
      <c r="O784" s="3">
        <f>'Historical Data'!AA781</f>
        <v/>
      </c>
      <c r="P784" s="3">
        <f>'Historical Data'!AB781</f>
        <v/>
      </c>
      <c r="Q784" s="3">
        <f>'Historical Data'!AN781</f>
        <v/>
      </c>
      <c r="R784" s="3">
        <f>'Historical Data'!AC781</f>
        <v/>
      </c>
      <c r="S784" s="3">
        <f>'Historical Data'!AE781</f>
        <v/>
      </c>
      <c r="T784" s="3">
        <f>'Historical Data'!AH781</f>
        <v/>
      </c>
      <c r="U784" s="3">
        <f>'Historical Data'!BA781</f>
        <v/>
      </c>
      <c r="V784" s="3" t="n"/>
      <c r="W784" s="3" t="n"/>
      <c r="X784" s="3" t="n"/>
      <c r="Y784" s="3" t="n"/>
      <c r="Z784" s="3" t="n"/>
    </row>
    <row r="785" hidden="1" ht="15.75" customHeight="1" s="174">
      <c r="A785" s="3">
        <f>'Historical Data'!A782</f>
        <v/>
      </c>
      <c r="B785" s="3">
        <f>'Historical Data'!B782</f>
        <v/>
      </c>
      <c r="C785" s="3">
        <f>'Historical Data'!D782</f>
        <v/>
      </c>
      <c r="D785" s="23">
        <f>'Historical Data'!E782</f>
        <v/>
      </c>
      <c r="E785" s="3">
        <f>'Historical Data'!G782</f>
        <v/>
      </c>
      <c r="F785" s="3">
        <f>'Historical Data'!Y782</f>
        <v/>
      </c>
      <c r="G785" s="3">
        <f>'Historical Data'!K782</f>
        <v/>
      </c>
      <c r="H785" s="3">
        <f>'Historical Data'!L782</f>
        <v/>
      </c>
      <c r="I785" s="26">
        <f>'Historical Data'!M782</f>
        <v/>
      </c>
      <c r="J785" s="28">
        <f>'Historical Data'!N782</f>
        <v/>
      </c>
      <c r="K785" s="28">
        <f>'Historical Data'!Q782</f>
        <v/>
      </c>
      <c r="L785" s="30">
        <f>'Historical Data'!S782</f>
        <v/>
      </c>
      <c r="M785" s="28">
        <f>'Historical Data'!AJ782</f>
        <v/>
      </c>
      <c r="N785" s="28">
        <f>'Historical Data'!AK782</f>
        <v/>
      </c>
      <c r="O785" s="3">
        <f>'Historical Data'!AA782</f>
        <v/>
      </c>
      <c r="P785" s="3">
        <f>'Historical Data'!AB782</f>
        <v/>
      </c>
      <c r="Q785" s="3">
        <f>'Historical Data'!AN782</f>
        <v/>
      </c>
      <c r="R785" s="3">
        <f>'Historical Data'!AC782</f>
        <v/>
      </c>
      <c r="S785" s="3">
        <f>'Historical Data'!AE782</f>
        <v/>
      </c>
      <c r="T785" s="3">
        <f>'Historical Data'!AH782</f>
        <v/>
      </c>
      <c r="U785" s="3">
        <f>'Historical Data'!BA782</f>
        <v/>
      </c>
      <c r="V785" s="3" t="n"/>
      <c r="W785" s="3" t="n"/>
      <c r="X785" s="3" t="n"/>
      <c r="Y785" s="3" t="n"/>
      <c r="Z785" s="3" t="n"/>
    </row>
    <row r="786" hidden="1" ht="15.75" customHeight="1" s="174">
      <c r="A786" s="3">
        <f>'Historical Data'!A783</f>
        <v/>
      </c>
      <c r="B786" s="3">
        <f>'Historical Data'!B783</f>
        <v/>
      </c>
      <c r="C786" s="3">
        <f>'Historical Data'!D783</f>
        <v/>
      </c>
      <c r="D786" s="23">
        <f>'Historical Data'!E783</f>
        <v/>
      </c>
      <c r="E786" s="3">
        <f>'Historical Data'!G783</f>
        <v/>
      </c>
      <c r="F786" s="3">
        <f>'Historical Data'!Y783</f>
        <v/>
      </c>
      <c r="G786" s="3">
        <f>'Historical Data'!K783</f>
        <v/>
      </c>
      <c r="H786" s="3">
        <f>'Historical Data'!L783</f>
        <v/>
      </c>
      <c r="I786" s="26">
        <f>'Historical Data'!M783</f>
        <v/>
      </c>
      <c r="J786" s="28">
        <f>'Historical Data'!N783</f>
        <v/>
      </c>
      <c r="K786" s="28">
        <f>'Historical Data'!Q783</f>
        <v/>
      </c>
      <c r="L786" s="30">
        <f>'Historical Data'!S783</f>
        <v/>
      </c>
      <c r="M786" s="28">
        <f>'Historical Data'!AJ783</f>
        <v/>
      </c>
      <c r="N786" s="28">
        <f>'Historical Data'!AK783</f>
        <v/>
      </c>
      <c r="O786" s="3">
        <f>'Historical Data'!AA783</f>
        <v/>
      </c>
      <c r="P786" s="3">
        <f>'Historical Data'!AB783</f>
        <v/>
      </c>
      <c r="Q786" s="3">
        <f>'Historical Data'!AN783</f>
        <v/>
      </c>
      <c r="R786" s="3">
        <f>'Historical Data'!AC783</f>
        <v/>
      </c>
      <c r="S786" s="3">
        <f>'Historical Data'!AE783</f>
        <v/>
      </c>
      <c r="T786" s="3">
        <f>'Historical Data'!AH783</f>
        <v/>
      </c>
      <c r="U786" s="3">
        <f>'Historical Data'!BA783</f>
        <v/>
      </c>
      <c r="V786" s="3" t="n"/>
      <c r="W786" s="3" t="n"/>
      <c r="X786" s="3" t="n"/>
      <c r="Y786" s="3" t="n"/>
      <c r="Z786" s="3" t="n"/>
    </row>
    <row r="787" hidden="1" ht="15.75" customHeight="1" s="174">
      <c r="A787" s="3">
        <f>'Historical Data'!A784</f>
        <v/>
      </c>
      <c r="B787" s="3">
        <f>'Historical Data'!B784</f>
        <v/>
      </c>
      <c r="C787" s="3">
        <f>'Historical Data'!D784</f>
        <v/>
      </c>
      <c r="D787" s="23">
        <f>'Historical Data'!E784</f>
        <v/>
      </c>
      <c r="E787" s="3">
        <f>'Historical Data'!G784</f>
        <v/>
      </c>
      <c r="F787" s="3">
        <f>'Historical Data'!Y784</f>
        <v/>
      </c>
      <c r="G787" s="3">
        <f>'Historical Data'!K784</f>
        <v/>
      </c>
      <c r="H787" s="3">
        <f>'Historical Data'!L784</f>
        <v/>
      </c>
      <c r="I787" s="26">
        <f>'Historical Data'!M784</f>
        <v/>
      </c>
      <c r="J787" s="28">
        <f>'Historical Data'!N784</f>
        <v/>
      </c>
      <c r="K787" s="28">
        <f>'Historical Data'!Q784</f>
        <v/>
      </c>
      <c r="L787" s="30">
        <f>'Historical Data'!S784</f>
        <v/>
      </c>
      <c r="M787" s="28">
        <f>'Historical Data'!AJ784</f>
        <v/>
      </c>
      <c r="N787" s="28">
        <f>'Historical Data'!AK784</f>
        <v/>
      </c>
      <c r="O787" s="3">
        <f>'Historical Data'!AA784</f>
        <v/>
      </c>
      <c r="P787" s="3">
        <f>'Historical Data'!AB784</f>
        <v/>
      </c>
      <c r="Q787" s="3">
        <f>'Historical Data'!AN784</f>
        <v/>
      </c>
      <c r="R787" s="3">
        <f>'Historical Data'!AC784</f>
        <v/>
      </c>
      <c r="S787" s="3">
        <f>'Historical Data'!AE784</f>
        <v/>
      </c>
      <c r="T787" s="3">
        <f>'Historical Data'!AH784</f>
        <v/>
      </c>
      <c r="U787" s="3">
        <f>'Historical Data'!BA784</f>
        <v/>
      </c>
      <c r="V787" s="3" t="n"/>
      <c r="W787" s="3" t="n"/>
      <c r="X787" s="3" t="n"/>
      <c r="Y787" s="3" t="n"/>
      <c r="Z787" s="3" t="n"/>
    </row>
    <row r="788" hidden="1" ht="15.75" customHeight="1" s="174">
      <c r="A788" s="3">
        <f>'Historical Data'!A785</f>
        <v/>
      </c>
      <c r="B788" s="3">
        <f>'Historical Data'!B785</f>
        <v/>
      </c>
      <c r="C788" s="3">
        <f>'Historical Data'!D785</f>
        <v/>
      </c>
      <c r="D788" s="23">
        <f>'Historical Data'!E785</f>
        <v/>
      </c>
      <c r="E788" s="3">
        <f>'Historical Data'!G785</f>
        <v/>
      </c>
      <c r="F788" s="3">
        <f>'Historical Data'!Y785</f>
        <v/>
      </c>
      <c r="G788" s="3">
        <f>'Historical Data'!K785</f>
        <v/>
      </c>
      <c r="H788" s="3">
        <f>'Historical Data'!L785</f>
        <v/>
      </c>
      <c r="I788" s="26">
        <f>'Historical Data'!M785</f>
        <v/>
      </c>
      <c r="J788" s="28">
        <f>'Historical Data'!N785</f>
        <v/>
      </c>
      <c r="K788" s="28">
        <f>'Historical Data'!Q785</f>
        <v/>
      </c>
      <c r="L788" s="30">
        <f>'Historical Data'!S785</f>
        <v/>
      </c>
      <c r="M788" s="28">
        <f>'Historical Data'!AJ785</f>
        <v/>
      </c>
      <c r="N788" s="28">
        <f>'Historical Data'!AK785</f>
        <v/>
      </c>
      <c r="O788" s="3">
        <f>'Historical Data'!AA785</f>
        <v/>
      </c>
      <c r="P788" s="3">
        <f>'Historical Data'!AB785</f>
        <v/>
      </c>
      <c r="Q788" s="3">
        <f>'Historical Data'!AN785</f>
        <v/>
      </c>
      <c r="R788" s="3">
        <f>'Historical Data'!AC785</f>
        <v/>
      </c>
      <c r="S788" s="3">
        <f>'Historical Data'!AE785</f>
        <v/>
      </c>
      <c r="T788" s="3">
        <f>'Historical Data'!AH785</f>
        <v/>
      </c>
      <c r="U788" s="3">
        <f>'Historical Data'!BA785</f>
        <v/>
      </c>
      <c r="V788" s="3" t="n"/>
      <c r="W788" s="3" t="n"/>
      <c r="X788" s="3" t="n"/>
      <c r="Y788" s="3" t="n"/>
      <c r="Z788" s="3" t="n"/>
    </row>
    <row r="789" hidden="1" ht="15.75" customHeight="1" s="174">
      <c r="A789" s="3">
        <f>'Historical Data'!A786</f>
        <v/>
      </c>
      <c r="B789" s="3">
        <f>'Historical Data'!B786</f>
        <v/>
      </c>
      <c r="C789" s="3">
        <f>'Historical Data'!D786</f>
        <v/>
      </c>
      <c r="D789" s="23">
        <f>'Historical Data'!E786</f>
        <v/>
      </c>
      <c r="E789" s="3">
        <f>'Historical Data'!G786</f>
        <v/>
      </c>
      <c r="F789" s="3">
        <f>'Historical Data'!Y786</f>
        <v/>
      </c>
      <c r="G789" s="3">
        <f>'Historical Data'!K786</f>
        <v/>
      </c>
      <c r="H789" s="3">
        <f>'Historical Data'!L786</f>
        <v/>
      </c>
      <c r="I789" s="26">
        <f>'Historical Data'!M786</f>
        <v/>
      </c>
      <c r="J789" s="28">
        <f>'Historical Data'!N786</f>
        <v/>
      </c>
      <c r="K789" s="28">
        <f>'Historical Data'!Q786</f>
        <v/>
      </c>
      <c r="L789" s="30">
        <f>'Historical Data'!S786</f>
        <v/>
      </c>
      <c r="M789" s="28">
        <f>'Historical Data'!AJ786</f>
        <v/>
      </c>
      <c r="N789" s="28">
        <f>'Historical Data'!AK786</f>
        <v/>
      </c>
      <c r="O789" s="3">
        <f>'Historical Data'!AA786</f>
        <v/>
      </c>
      <c r="P789" s="3">
        <f>'Historical Data'!AB786</f>
        <v/>
      </c>
      <c r="Q789" s="3">
        <f>'Historical Data'!AN786</f>
        <v/>
      </c>
      <c r="R789" s="3">
        <f>'Historical Data'!AC786</f>
        <v/>
      </c>
      <c r="S789" s="3">
        <f>'Historical Data'!AE786</f>
        <v/>
      </c>
      <c r="T789" s="3">
        <f>'Historical Data'!AH786</f>
        <v/>
      </c>
      <c r="U789" s="3">
        <f>'Historical Data'!BA786</f>
        <v/>
      </c>
      <c r="V789" s="3" t="n"/>
      <c r="W789" s="3" t="n"/>
      <c r="X789" s="3" t="n"/>
      <c r="Y789" s="3" t="n"/>
      <c r="Z789" s="3" t="n"/>
    </row>
    <row r="790" hidden="1" ht="15.75" customHeight="1" s="174">
      <c r="A790" s="3">
        <f>'Historical Data'!A787</f>
        <v/>
      </c>
      <c r="B790" s="3">
        <f>'Historical Data'!B787</f>
        <v/>
      </c>
      <c r="C790" s="3">
        <f>'Historical Data'!D787</f>
        <v/>
      </c>
      <c r="D790" s="23">
        <f>'Historical Data'!E787</f>
        <v/>
      </c>
      <c r="E790" s="3">
        <f>'Historical Data'!G787</f>
        <v/>
      </c>
      <c r="F790" s="3">
        <f>'Historical Data'!Y787</f>
        <v/>
      </c>
      <c r="G790" s="3">
        <f>'Historical Data'!K787</f>
        <v/>
      </c>
      <c r="H790" s="3">
        <f>'Historical Data'!L787</f>
        <v/>
      </c>
      <c r="I790" s="26">
        <f>'Historical Data'!M787</f>
        <v/>
      </c>
      <c r="J790" s="28">
        <f>'Historical Data'!N787</f>
        <v/>
      </c>
      <c r="K790" s="28">
        <f>'Historical Data'!Q787</f>
        <v/>
      </c>
      <c r="L790" s="30">
        <f>'Historical Data'!S787</f>
        <v/>
      </c>
      <c r="M790" s="28">
        <f>'Historical Data'!AJ787</f>
        <v/>
      </c>
      <c r="N790" s="28">
        <f>'Historical Data'!AK787</f>
        <v/>
      </c>
      <c r="O790" s="3">
        <f>'Historical Data'!AA787</f>
        <v/>
      </c>
      <c r="P790" s="3">
        <f>'Historical Data'!AB787</f>
        <v/>
      </c>
      <c r="Q790" s="3">
        <f>'Historical Data'!AN787</f>
        <v/>
      </c>
      <c r="R790" s="3">
        <f>'Historical Data'!AC787</f>
        <v/>
      </c>
      <c r="S790" s="3">
        <f>'Historical Data'!AE787</f>
        <v/>
      </c>
      <c r="T790" s="3">
        <f>'Historical Data'!AH787</f>
        <v/>
      </c>
      <c r="U790" s="3">
        <f>'Historical Data'!BA787</f>
        <v/>
      </c>
      <c r="V790" s="3" t="n"/>
      <c r="W790" s="3" t="n"/>
      <c r="X790" s="3" t="n"/>
      <c r="Y790" s="3" t="n"/>
      <c r="Z790" s="3" t="n"/>
    </row>
    <row r="791" hidden="1" ht="15.75" customHeight="1" s="174">
      <c r="A791" s="3">
        <f>'Historical Data'!A788</f>
        <v/>
      </c>
      <c r="B791" s="3">
        <f>'Historical Data'!B788</f>
        <v/>
      </c>
      <c r="C791" s="3">
        <f>'Historical Data'!D788</f>
        <v/>
      </c>
      <c r="D791" s="23">
        <f>'Historical Data'!E788</f>
        <v/>
      </c>
      <c r="E791" s="3">
        <f>'Historical Data'!G788</f>
        <v/>
      </c>
      <c r="F791" s="3">
        <f>'Historical Data'!Y788</f>
        <v/>
      </c>
      <c r="G791" s="3">
        <f>'Historical Data'!K788</f>
        <v/>
      </c>
      <c r="H791" s="3">
        <f>'Historical Data'!L788</f>
        <v/>
      </c>
      <c r="I791" s="26">
        <f>'Historical Data'!M788</f>
        <v/>
      </c>
      <c r="J791" s="28">
        <f>'Historical Data'!N788</f>
        <v/>
      </c>
      <c r="K791" s="28">
        <f>'Historical Data'!Q788</f>
        <v/>
      </c>
      <c r="L791" s="30">
        <f>'Historical Data'!S788</f>
        <v/>
      </c>
      <c r="M791" s="28">
        <f>'Historical Data'!AJ788</f>
        <v/>
      </c>
      <c r="N791" s="28">
        <f>'Historical Data'!AK788</f>
        <v/>
      </c>
      <c r="O791" s="3">
        <f>'Historical Data'!AA788</f>
        <v/>
      </c>
      <c r="P791" s="3">
        <f>'Historical Data'!AB788</f>
        <v/>
      </c>
      <c r="Q791" s="3">
        <f>'Historical Data'!AN788</f>
        <v/>
      </c>
      <c r="R791" s="3">
        <f>'Historical Data'!AC788</f>
        <v/>
      </c>
      <c r="S791" s="3">
        <f>'Historical Data'!AE788</f>
        <v/>
      </c>
      <c r="T791" s="3">
        <f>'Historical Data'!AH788</f>
        <v/>
      </c>
      <c r="U791" s="3">
        <f>'Historical Data'!BA788</f>
        <v/>
      </c>
      <c r="V791" s="3" t="n"/>
      <c r="W791" s="3" t="n"/>
      <c r="X791" s="3" t="n"/>
      <c r="Y791" s="3" t="n"/>
      <c r="Z791" s="3" t="n"/>
    </row>
    <row r="792" hidden="1" ht="15.75" customHeight="1" s="174">
      <c r="A792" s="3">
        <f>'Historical Data'!A789</f>
        <v/>
      </c>
      <c r="B792" s="3">
        <f>'Historical Data'!B789</f>
        <v/>
      </c>
      <c r="C792" s="3">
        <f>'Historical Data'!D789</f>
        <v/>
      </c>
      <c r="D792" s="23">
        <f>'Historical Data'!E789</f>
        <v/>
      </c>
      <c r="E792" s="3">
        <f>'Historical Data'!G789</f>
        <v/>
      </c>
      <c r="F792" s="3">
        <f>'Historical Data'!Y789</f>
        <v/>
      </c>
      <c r="G792" s="3">
        <f>'Historical Data'!K789</f>
        <v/>
      </c>
      <c r="H792" s="3">
        <f>'Historical Data'!L789</f>
        <v/>
      </c>
      <c r="I792" s="26">
        <f>'Historical Data'!M789</f>
        <v/>
      </c>
      <c r="J792" s="28">
        <f>'Historical Data'!N789</f>
        <v/>
      </c>
      <c r="K792" s="28">
        <f>'Historical Data'!Q789</f>
        <v/>
      </c>
      <c r="L792" s="30">
        <f>'Historical Data'!S789</f>
        <v/>
      </c>
      <c r="M792" s="28">
        <f>'Historical Data'!AJ789</f>
        <v/>
      </c>
      <c r="N792" s="28">
        <f>'Historical Data'!AK789</f>
        <v/>
      </c>
      <c r="O792" s="3">
        <f>'Historical Data'!AA789</f>
        <v/>
      </c>
      <c r="P792" s="3">
        <f>'Historical Data'!AB789</f>
        <v/>
      </c>
      <c r="Q792" s="3">
        <f>'Historical Data'!AN789</f>
        <v/>
      </c>
      <c r="R792" s="3">
        <f>'Historical Data'!AC789</f>
        <v/>
      </c>
      <c r="S792" s="3">
        <f>'Historical Data'!AE789</f>
        <v/>
      </c>
      <c r="T792" s="3">
        <f>'Historical Data'!AH789</f>
        <v/>
      </c>
      <c r="U792" s="3">
        <f>'Historical Data'!BA789</f>
        <v/>
      </c>
      <c r="V792" s="3" t="n"/>
      <c r="W792" s="3" t="n"/>
      <c r="X792" s="3" t="n"/>
      <c r="Y792" s="3" t="n"/>
      <c r="Z792" s="3" t="n"/>
    </row>
    <row r="793" hidden="1" ht="15.75" customHeight="1" s="174">
      <c r="A793" s="3">
        <f>'Historical Data'!A790</f>
        <v/>
      </c>
      <c r="B793" s="3">
        <f>'Historical Data'!B790</f>
        <v/>
      </c>
      <c r="C793" s="3">
        <f>'Historical Data'!D790</f>
        <v/>
      </c>
      <c r="D793" s="23">
        <f>'Historical Data'!E790</f>
        <v/>
      </c>
      <c r="E793" s="3">
        <f>'Historical Data'!G790</f>
        <v/>
      </c>
      <c r="F793" s="3">
        <f>'Historical Data'!Y790</f>
        <v/>
      </c>
      <c r="G793" s="3">
        <f>'Historical Data'!K790</f>
        <v/>
      </c>
      <c r="H793" s="3">
        <f>'Historical Data'!L790</f>
        <v/>
      </c>
      <c r="I793" s="26">
        <f>'Historical Data'!M790</f>
        <v/>
      </c>
      <c r="J793" s="28">
        <f>'Historical Data'!N790</f>
        <v/>
      </c>
      <c r="K793" s="28">
        <f>'Historical Data'!Q790</f>
        <v/>
      </c>
      <c r="L793" s="30">
        <f>'Historical Data'!S790</f>
        <v/>
      </c>
      <c r="M793" s="28">
        <f>'Historical Data'!AJ790</f>
        <v/>
      </c>
      <c r="N793" s="28">
        <f>'Historical Data'!AK790</f>
        <v/>
      </c>
      <c r="O793" s="3">
        <f>'Historical Data'!AA790</f>
        <v/>
      </c>
      <c r="P793" s="3">
        <f>'Historical Data'!AB790</f>
        <v/>
      </c>
      <c r="Q793" s="3">
        <f>'Historical Data'!AN790</f>
        <v/>
      </c>
      <c r="R793" s="3">
        <f>'Historical Data'!AC790</f>
        <v/>
      </c>
      <c r="S793" s="3">
        <f>'Historical Data'!AE790</f>
        <v/>
      </c>
      <c r="T793" s="3">
        <f>'Historical Data'!AH790</f>
        <v/>
      </c>
      <c r="U793" s="3">
        <f>'Historical Data'!BA790</f>
        <v/>
      </c>
      <c r="V793" s="3" t="n"/>
      <c r="W793" s="3" t="n"/>
      <c r="X793" s="3" t="n"/>
      <c r="Y793" s="3" t="n"/>
      <c r="Z793" s="3" t="n"/>
    </row>
    <row r="794" hidden="1" ht="15.75" customHeight="1" s="174">
      <c r="A794" s="3">
        <f>'Historical Data'!A791</f>
        <v/>
      </c>
      <c r="B794" s="3">
        <f>'Historical Data'!B791</f>
        <v/>
      </c>
      <c r="C794" s="3">
        <f>'Historical Data'!D791</f>
        <v/>
      </c>
      <c r="D794" s="23">
        <f>'Historical Data'!E791</f>
        <v/>
      </c>
      <c r="E794" s="3">
        <f>'Historical Data'!G791</f>
        <v/>
      </c>
      <c r="F794" s="3">
        <f>'Historical Data'!Y791</f>
        <v/>
      </c>
      <c r="G794" s="3">
        <f>'Historical Data'!K791</f>
        <v/>
      </c>
      <c r="H794" s="3">
        <f>'Historical Data'!L791</f>
        <v/>
      </c>
      <c r="I794" s="26">
        <f>'Historical Data'!M791</f>
        <v/>
      </c>
      <c r="J794" s="28">
        <f>'Historical Data'!N791</f>
        <v/>
      </c>
      <c r="K794" s="28">
        <f>'Historical Data'!Q791</f>
        <v/>
      </c>
      <c r="L794" s="30">
        <f>'Historical Data'!S791</f>
        <v/>
      </c>
      <c r="M794" s="28">
        <f>'Historical Data'!AJ791</f>
        <v/>
      </c>
      <c r="N794" s="28">
        <f>'Historical Data'!AK791</f>
        <v/>
      </c>
      <c r="O794" s="3">
        <f>'Historical Data'!AA791</f>
        <v/>
      </c>
      <c r="P794" s="3">
        <f>'Historical Data'!AB791</f>
        <v/>
      </c>
      <c r="Q794" s="3">
        <f>'Historical Data'!AN791</f>
        <v/>
      </c>
      <c r="R794" s="3">
        <f>'Historical Data'!AC791</f>
        <v/>
      </c>
      <c r="S794" s="3">
        <f>'Historical Data'!AE791</f>
        <v/>
      </c>
      <c r="T794" s="3">
        <f>'Historical Data'!AH791</f>
        <v/>
      </c>
      <c r="U794" s="3">
        <f>'Historical Data'!BA791</f>
        <v/>
      </c>
      <c r="V794" s="3" t="n"/>
      <c r="W794" s="3" t="n"/>
      <c r="X794" s="3" t="n"/>
      <c r="Y794" s="3" t="n"/>
      <c r="Z794" s="3" t="n"/>
    </row>
    <row r="795" hidden="1" ht="15.75" customHeight="1" s="174">
      <c r="A795" s="3">
        <f>'Historical Data'!A792</f>
        <v/>
      </c>
      <c r="B795" s="3">
        <f>'Historical Data'!B792</f>
        <v/>
      </c>
      <c r="C795" s="3">
        <f>'Historical Data'!D792</f>
        <v/>
      </c>
      <c r="D795" s="23">
        <f>'Historical Data'!E792</f>
        <v/>
      </c>
      <c r="E795" s="3">
        <f>'Historical Data'!G792</f>
        <v/>
      </c>
      <c r="F795" s="3">
        <f>'Historical Data'!Y792</f>
        <v/>
      </c>
      <c r="G795" s="3">
        <f>'Historical Data'!K792</f>
        <v/>
      </c>
      <c r="H795" s="3">
        <f>'Historical Data'!L792</f>
        <v/>
      </c>
      <c r="I795" s="26">
        <f>'Historical Data'!M792</f>
        <v/>
      </c>
      <c r="J795" s="28">
        <f>'Historical Data'!N792</f>
        <v/>
      </c>
      <c r="K795" s="28">
        <f>'Historical Data'!Q792</f>
        <v/>
      </c>
      <c r="L795" s="30">
        <f>'Historical Data'!S792</f>
        <v/>
      </c>
      <c r="M795" s="28">
        <f>'Historical Data'!AJ792</f>
        <v/>
      </c>
      <c r="N795" s="28">
        <f>'Historical Data'!AK792</f>
        <v/>
      </c>
      <c r="O795" s="3">
        <f>'Historical Data'!AA792</f>
        <v/>
      </c>
      <c r="P795" s="3">
        <f>'Historical Data'!AB792</f>
        <v/>
      </c>
      <c r="Q795" s="3">
        <f>'Historical Data'!AN792</f>
        <v/>
      </c>
      <c r="R795" s="3">
        <f>'Historical Data'!AC792</f>
        <v/>
      </c>
      <c r="S795" s="3">
        <f>'Historical Data'!AE792</f>
        <v/>
      </c>
      <c r="T795" s="3">
        <f>'Historical Data'!AH792</f>
        <v/>
      </c>
      <c r="U795" s="3">
        <f>'Historical Data'!BA792</f>
        <v/>
      </c>
      <c r="V795" s="3" t="n"/>
      <c r="W795" s="3" t="n"/>
      <c r="X795" s="3" t="n"/>
      <c r="Y795" s="3" t="n"/>
      <c r="Z795" s="3" t="n"/>
    </row>
    <row r="796" hidden="1" ht="15.75" customHeight="1" s="174">
      <c r="A796" s="3">
        <f>'Historical Data'!A793</f>
        <v/>
      </c>
      <c r="B796" s="3">
        <f>'Historical Data'!B793</f>
        <v/>
      </c>
      <c r="C796" s="3">
        <f>'Historical Data'!D793</f>
        <v/>
      </c>
      <c r="D796" s="23">
        <f>'Historical Data'!E793</f>
        <v/>
      </c>
      <c r="E796" s="3">
        <f>'Historical Data'!G793</f>
        <v/>
      </c>
      <c r="F796" s="3">
        <f>'Historical Data'!Y793</f>
        <v/>
      </c>
      <c r="G796" s="3">
        <f>'Historical Data'!K793</f>
        <v/>
      </c>
      <c r="H796" s="3">
        <f>'Historical Data'!L793</f>
        <v/>
      </c>
      <c r="I796" s="26">
        <f>'Historical Data'!M793</f>
        <v/>
      </c>
      <c r="J796" s="28">
        <f>'Historical Data'!N793</f>
        <v/>
      </c>
      <c r="K796" s="28">
        <f>'Historical Data'!Q793</f>
        <v/>
      </c>
      <c r="L796" s="30">
        <f>'Historical Data'!S793</f>
        <v/>
      </c>
      <c r="M796" s="28">
        <f>'Historical Data'!AJ793</f>
        <v/>
      </c>
      <c r="N796" s="28">
        <f>'Historical Data'!AK793</f>
        <v/>
      </c>
      <c r="O796" s="3">
        <f>'Historical Data'!AA793</f>
        <v/>
      </c>
      <c r="P796" s="3">
        <f>'Historical Data'!AB793</f>
        <v/>
      </c>
      <c r="Q796" s="3">
        <f>'Historical Data'!AN793</f>
        <v/>
      </c>
      <c r="R796" s="3">
        <f>'Historical Data'!AC793</f>
        <v/>
      </c>
      <c r="S796" s="3">
        <f>'Historical Data'!AE793</f>
        <v/>
      </c>
      <c r="T796" s="3">
        <f>'Historical Data'!AH793</f>
        <v/>
      </c>
      <c r="U796" s="3">
        <f>'Historical Data'!BA793</f>
        <v/>
      </c>
      <c r="V796" s="3" t="n"/>
      <c r="W796" s="3" t="n"/>
      <c r="X796" s="3" t="n"/>
      <c r="Y796" s="3" t="n"/>
      <c r="Z796" s="3" t="n"/>
    </row>
    <row r="797" hidden="1" ht="15.75" customHeight="1" s="174">
      <c r="A797" s="3">
        <f>'Historical Data'!A794</f>
        <v/>
      </c>
      <c r="B797" s="3">
        <f>'Historical Data'!B794</f>
        <v/>
      </c>
      <c r="C797" s="3">
        <f>'Historical Data'!D794</f>
        <v/>
      </c>
      <c r="D797" s="23">
        <f>'Historical Data'!E794</f>
        <v/>
      </c>
      <c r="E797" s="3">
        <f>'Historical Data'!G794</f>
        <v/>
      </c>
      <c r="F797" s="3">
        <f>'Historical Data'!Y794</f>
        <v/>
      </c>
      <c r="G797" s="3">
        <f>'Historical Data'!K794</f>
        <v/>
      </c>
      <c r="H797" s="3">
        <f>'Historical Data'!L794</f>
        <v/>
      </c>
      <c r="I797" s="26">
        <f>'Historical Data'!M794</f>
        <v/>
      </c>
      <c r="J797" s="28">
        <f>'Historical Data'!N794</f>
        <v/>
      </c>
      <c r="K797" s="28">
        <f>'Historical Data'!Q794</f>
        <v/>
      </c>
      <c r="L797" s="30">
        <f>'Historical Data'!S794</f>
        <v/>
      </c>
      <c r="M797" s="28">
        <f>'Historical Data'!AJ794</f>
        <v/>
      </c>
      <c r="N797" s="28">
        <f>'Historical Data'!AK794</f>
        <v/>
      </c>
      <c r="O797" s="3">
        <f>'Historical Data'!AA794</f>
        <v/>
      </c>
      <c r="P797" s="3">
        <f>'Historical Data'!AB794</f>
        <v/>
      </c>
      <c r="Q797" s="3">
        <f>'Historical Data'!AN794</f>
        <v/>
      </c>
      <c r="R797" s="3">
        <f>'Historical Data'!AC794</f>
        <v/>
      </c>
      <c r="S797" s="3">
        <f>'Historical Data'!AE794</f>
        <v/>
      </c>
      <c r="T797" s="3">
        <f>'Historical Data'!AH794</f>
        <v/>
      </c>
      <c r="U797" s="3">
        <f>'Historical Data'!BA794</f>
        <v/>
      </c>
      <c r="V797" s="3" t="n"/>
      <c r="W797" s="3" t="n"/>
      <c r="X797" s="3" t="n"/>
      <c r="Y797" s="3" t="n"/>
      <c r="Z797" s="3" t="n"/>
    </row>
    <row r="798" hidden="1" ht="15.75" customHeight="1" s="174">
      <c r="A798" s="3">
        <f>'Historical Data'!A795</f>
        <v/>
      </c>
      <c r="B798" s="3">
        <f>'Historical Data'!B795</f>
        <v/>
      </c>
      <c r="C798" s="3">
        <f>'Historical Data'!D795</f>
        <v/>
      </c>
      <c r="D798" s="23">
        <f>'Historical Data'!E795</f>
        <v/>
      </c>
      <c r="E798" s="3">
        <f>'Historical Data'!G795</f>
        <v/>
      </c>
      <c r="F798" s="3">
        <f>'Historical Data'!Y795</f>
        <v/>
      </c>
      <c r="G798" s="3">
        <f>'Historical Data'!K795</f>
        <v/>
      </c>
      <c r="H798" s="3">
        <f>'Historical Data'!L795</f>
        <v/>
      </c>
      <c r="I798" s="26">
        <f>'Historical Data'!M795</f>
        <v/>
      </c>
      <c r="J798" s="28">
        <f>'Historical Data'!N795</f>
        <v/>
      </c>
      <c r="K798" s="28">
        <f>'Historical Data'!Q795</f>
        <v/>
      </c>
      <c r="L798" s="30">
        <f>'Historical Data'!S795</f>
        <v/>
      </c>
      <c r="M798" s="28">
        <f>'Historical Data'!AJ795</f>
        <v/>
      </c>
      <c r="N798" s="28">
        <f>'Historical Data'!AK795</f>
        <v/>
      </c>
      <c r="O798" s="3">
        <f>'Historical Data'!AA795</f>
        <v/>
      </c>
      <c r="P798" s="3">
        <f>'Historical Data'!AB795</f>
        <v/>
      </c>
      <c r="Q798" s="3">
        <f>'Historical Data'!AN795</f>
        <v/>
      </c>
      <c r="R798" s="3">
        <f>'Historical Data'!AC795</f>
        <v/>
      </c>
      <c r="S798" s="3">
        <f>'Historical Data'!AE795</f>
        <v/>
      </c>
      <c r="T798" s="3">
        <f>'Historical Data'!AH795</f>
        <v/>
      </c>
      <c r="U798" s="3">
        <f>'Historical Data'!BA795</f>
        <v/>
      </c>
      <c r="V798" s="3" t="n"/>
      <c r="W798" s="3" t="n"/>
      <c r="X798" s="3" t="n"/>
      <c r="Y798" s="3" t="n"/>
      <c r="Z798" s="3" t="n"/>
    </row>
    <row r="799" hidden="1" ht="15.75" customHeight="1" s="174">
      <c r="A799" s="3">
        <f>'Historical Data'!A796</f>
        <v/>
      </c>
      <c r="B799" s="3">
        <f>'Historical Data'!B796</f>
        <v/>
      </c>
      <c r="C799" s="3">
        <f>'Historical Data'!D796</f>
        <v/>
      </c>
      <c r="D799" s="23">
        <f>'Historical Data'!E796</f>
        <v/>
      </c>
      <c r="E799" s="3">
        <f>'Historical Data'!G796</f>
        <v/>
      </c>
      <c r="F799" s="3">
        <f>'Historical Data'!Y796</f>
        <v/>
      </c>
      <c r="G799" s="3">
        <f>'Historical Data'!K796</f>
        <v/>
      </c>
      <c r="H799" s="3">
        <f>'Historical Data'!L796</f>
        <v/>
      </c>
      <c r="I799" s="26">
        <f>'Historical Data'!M796</f>
        <v/>
      </c>
      <c r="J799" s="28">
        <f>'Historical Data'!N796</f>
        <v/>
      </c>
      <c r="K799" s="28">
        <f>'Historical Data'!Q796</f>
        <v/>
      </c>
      <c r="L799" s="30">
        <f>'Historical Data'!S796</f>
        <v/>
      </c>
      <c r="M799" s="28">
        <f>'Historical Data'!AJ796</f>
        <v/>
      </c>
      <c r="N799" s="28">
        <f>'Historical Data'!AK796</f>
        <v/>
      </c>
      <c r="O799" s="3">
        <f>'Historical Data'!AA796</f>
        <v/>
      </c>
      <c r="P799" s="3">
        <f>'Historical Data'!AB796</f>
        <v/>
      </c>
      <c r="Q799" s="3">
        <f>'Historical Data'!AN796</f>
        <v/>
      </c>
      <c r="R799" s="3">
        <f>'Historical Data'!AC796</f>
        <v/>
      </c>
      <c r="S799" s="3">
        <f>'Historical Data'!AE796</f>
        <v/>
      </c>
      <c r="T799" s="3">
        <f>'Historical Data'!AH796</f>
        <v/>
      </c>
      <c r="U799" s="3">
        <f>'Historical Data'!BA796</f>
        <v/>
      </c>
      <c r="V799" s="3" t="n"/>
      <c r="W799" s="3" t="n"/>
      <c r="X799" s="3" t="n"/>
      <c r="Y799" s="3" t="n"/>
      <c r="Z799" s="3" t="n"/>
    </row>
    <row r="800" hidden="1" ht="15.75" customHeight="1" s="174">
      <c r="A800" s="3">
        <f>'Historical Data'!A797</f>
        <v/>
      </c>
      <c r="B800" s="3">
        <f>'Historical Data'!B797</f>
        <v/>
      </c>
      <c r="C800" s="3">
        <f>'Historical Data'!D797</f>
        <v/>
      </c>
      <c r="D800" s="23">
        <f>'Historical Data'!E797</f>
        <v/>
      </c>
      <c r="E800" s="3">
        <f>'Historical Data'!G797</f>
        <v/>
      </c>
      <c r="F800" s="3">
        <f>'Historical Data'!Y797</f>
        <v/>
      </c>
      <c r="G800" s="3">
        <f>'Historical Data'!K797</f>
        <v/>
      </c>
      <c r="H800" s="3">
        <f>'Historical Data'!L797</f>
        <v/>
      </c>
      <c r="I800" s="26">
        <f>'Historical Data'!M797</f>
        <v/>
      </c>
      <c r="J800" s="28">
        <f>'Historical Data'!N797</f>
        <v/>
      </c>
      <c r="K800" s="28">
        <f>'Historical Data'!Q797</f>
        <v/>
      </c>
      <c r="L800" s="30">
        <f>'Historical Data'!S797</f>
        <v/>
      </c>
      <c r="M800" s="28">
        <f>'Historical Data'!AJ797</f>
        <v/>
      </c>
      <c r="N800" s="28">
        <f>'Historical Data'!AK797</f>
        <v/>
      </c>
      <c r="O800" s="3">
        <f>'Historical Data'!AA797</f>
        <v/>
      </c>
      <c r="P800" s="3">
        <f>'Historical Data'!AB797</f>
        <v/>
      </c>
      <c r="Q800" s="3">
        <f>'Historical Data'!AN797</f>
        <v/>
      </c>
      <c r="R800" s="3">
        <f>'Historical Data'!AC797</f>
        <v/>
      </c>
      <c r="S800" s="3">
        <f>'Historical Data'!AE797</f>
        <v/>
      </c>
      <c r="T800" s="3">
        <f>'Historical Data'!AH797</f>
        <v/>
      </c>
      <c r="U800" s="3">
        <f>'Historical Data'!BA797</f>
        <v/>
      </c>
      <c r="V800" s="3" t="n"/>
      <c r="W800" s="3" t="n"/>
      <c r="X800" s="3" t="n"/>
      <c r="Y800" s="3" t="n"/>
      <c r="Z800" s="3" t="n"/>
    </row>
    <row r="801" hidden="1" ht="15.75" customHeight="1" s="174">
      <c r="A801" s="3">
        <f>'Historical Data'!A798</f>
        <v/>
      </c>
      <c r="B801" s="3">
        <f>'Historical Data'!B798</f>
        <v/>
      </c>
      <c r="C801" s="3">
        <f>'Historical Data'!D798</f>
        <v/>
      </c>
      <c r="D801" s="23">
        <f>'Historical Data'!E798</f>
        <v/>
      </c>
      <c r="E801" s="3">
        <f>'Historical Data'!G798</f>
        <v/>
      </c>
      <c r="F801" s="3">
        <f>'Historical Data'!Y798</f>
        <v/>
      </c>
      <c r="G801" s="3">
        <f>'Historical Data'!K798</f>
        <v/>
      </c>
      <c r="H801" s="3">
        <f>'Historical Data'!L798</f>
        <v/>
      </c>
      <c r="I801" s="26">
        <f>'Historical Data'!M798</f>
        <v/>
      </c>
      <c r="J801" s="28">
        <f>'Historical Data'!N798</f>
        <v/>
      </c>
      <c r="K801" s="28">
        <f>'Historical Data'!Q798</f>
        <v/>
      </c>
      <c r="L801" s="30">
        <f>'Historical Data'!S798</f>
        <v/>
      </c>
      <c r="M801" s="28">
        <f>'Historical Data'!AJ798</f>
        <v/>
      </c>
      <c r="N801" s="28">
        <f>'Historical Data'!AK798</f>
        <v/>
      </c>
      <c r="O801" s="3">
        <f>'Historical Data'!AA798</f>
        <v/>
      </c>
      <c r="P801" s="3">
        <f>'Historical Data'!AB798</f>
        <v/>
      </c>
      <c r="Q801" s="3">
        <f>'Historical Data'!AN798</f>
        <v/>
      </c>
      <c r="R801" s="3">
        <f>'Historical Data'!AC798</f>
        <v/>
      </c>
      <c r="S801" s="3">
        <f>'Historical Data'!AE798</f>
        <v/>
      </c>
      <c r="T801" s="3">
        <f>'Historical Data'!AH798</f>
        <v/>
      </c>
      <c r="U801" s="3">
        <f>'Historical Data'!BA798</f>
        <v/>
      </c>
      <c r="V801" s="3" t="n"/>
      <c r="W801" s="3" t="n"/>
      <c r="X801" s="3" t="n"/>
      <c r="Y801" s="3" t="n"/>
      <c r="Z801" s="3" t="n"/>
    </row>
    <row r="802" hidden="1" ht="15.75" customHeight="1" s="174">
      <c r="A802" s="3">
        <f>'Historical Data'!A799</f>
        <v/>
      </c>
      <c r="B802" s="3">
        <f>'Historical Data'!B799</f>
        <v/>
      </c>
      <c r="C802" s="3">
        <f>'Historical Data'!D799</f>
        <v/>
      </c>
      <c r="D802" s="23">
        <f>'Historical Data'!E799</f>
        <v/>
      </c>
      <c r="E802" s="3">
        <f>'Historical Data'!G799</f>
        <v/>
      </c>
      <c r="F802" s="3">
        <f>'Historical Data'!Y799</f>
        <v/>
      </c>
      <c r="G802" s="3">
        <f>'Historical Data'!K799</f>
        <v/>
      </c>
      <c r="H802" s="3">
        <f>'Historical Data'!L799</f>
        <v/>
      </c>
      <c r="I802" s="26">
        <f>'Historical Data'!M799</f>
        <v/>
      </c>
      <c r="J802" s="28">
        <f>'Historical Data'!N799</f>
        <v/>
      </c>
      <c r="K802" s="28">
        <f>'Historical Data'!Q799</f>
        <v/>
      </c>
      <c r="L802" s="30">
        <f>'Historical Data'!S799</f>
        <v/>
      </c>
      <c r="M802" s="28">
        <f>'Historical Data'!AJ799</f>
        <v/>
      </c>
      <c r="N802" s="28">
        <f>'Historical Data'!AK799</f>
        <v/>
      </c>
      <c r="O802" s="3">
        <f>'Historical Data'!AA799</f>
        <v/>
      </c>
      <c r="P802" s="3">
        <f>'Historical Data'!AB799</f>
        <v/>
      </c>
      <c r="Q802" s="3">
        <f>'Historical Data'!AN799</f>
        <v/>
      </c>
      <c r="R802" s="3">
        <f>'Historical Data'!AC799</f>
        <v/>
      </c>
      <c r="S802" s="3">
        <f>'Historical Data'!AE799</f>
        <v/>
      </c>
      <c r="T802" s="3">
        <f>'Historical Data'!AH799</f>
        <v/>
      </c>
      <c r="U802" s="3">
        <f>'Historical Data'!BA799</f>
        <v/>
      </c>
      <c r="V802" s="3" t="n"/>
      <c r="W802" s="3" t="n"/>
      <c r="X802" s="3" t="n"/>
      <c r="Y802" s="3" t="n"/>
      <c r="Z802" s="3" t="n"/>
    </row>
    <row r="803" hidden="1" ht="15.75" customHeight="1" s="174">
      <c r="A803" s="3">
        <f>'Historical Data'!A800</f>
        <v/>
      </c>
      <c r="B803" s="3">
        <f>'Historical Data'!B800</f>
        <v/>
      </c>
      <c r="C803" s="3">
        <f>'Historical Data'!D800</f>
        <v/>
      </c>
      <c r="D803" s="23">
        <f>'Historical Data'!E800</f>
        <v/>
      </c>
      <c r="E803" s="3">
        <f>'Historical Data'!G800</f>
        <v/>
      </c>
      <c r="F803" s="3">
        <f>'Historical Data'!Y800</f>
        <v/>
      </c>
      <c r="G803" s="3">
        <f>'Historical Data'!K800</f>
        <v/>
      </c>
      <c r="H803" s="3">
        <f>'Historical Data'!L800</f>
        <v/>
      </c>
      <c r="I803" s="26">
        <f>'Historical Data'!M800</f>
        <v/>
      </c>
      <c r="J803" s="28">
        <f>'Historical Data'!N800</f>
        <v/>
      </c>
      <c r="K803" s="28">
        <f>'Historical Data'!Q800</f>
        <v/>
      </c>
      <c r="L803" s="30">
        <f>'Historical Data'!S800</f>
        <v/>
      </c>
      <c r="M803" s="28">
        <f>'Historical Data'!AJ800</f>
        <v/>
      </c>
      <c r="N803" s="28">
        <f>'Historical Data'!AK800</f>
        <v/>
      </c>
      <c r="O803" s="3">
        <f>'Historical Data'!AA800</f>
        <v/>
      </c>
      <c r="P803" s="3">
        <f>'Historical Data'!AB800</f>
        <v/>
      </c>
      <c r="Q803" s="3">
        <f>'Historical Data'!AN800</f>
        <v/>
      </c>
      <c r="R803" s="3">
        <f>'Historical Data'!AC800</f>
        <v/>
      </c>
      <c r="S803" s="3">
        <f>'Historical Data'!AE800</f>
        <v/>
      </c>
      <c r="T803" s="3">
        <f>'Historical Data'!AH800</f>
        <v/>
      </c>
      <c r="U803" s="3">
        <f>'Historical Data'!BA800</f>
        <v/>
      </c>
      <c r="V803" s="3" t="n"/>
      <c r="W803" s="3" t="n"/>
      <c r="X803" s="3" t="n"/>
      <c r="Y803" s="3" t="n"/>
      <c r="Z803" s="3" t="n"/>
    </row>
    <row r="804" hidden="1" ht="15.75" customHeight="1" s="174">
      <c r="A804" s="3">
        <f>'Historical Data'!A801</f>
        <v/>
      </c>
      <c r="B804" s="3">
        <f>'Historical Data'!B801</f>
        <v/>
      </c>
      <c r="C804" s="3">
        <f>'Historical Data'!D801</f>
        <v/>
      </c>
      <c r="D804" s="23">
        <f>'Historical Data'!E801</f>
        <v/>
      </c>
      <c r="E804" s="3">
        <f>'Historical Data'!G801</f>
        <v/>
      </c>
      <c r="F804" s="3">
        <f>'Historical Data'!Y801</f>
        <v/>
      </c>
      <c r="G804" s="3">
        <f>'Historical Data'!K801</f>
        <v/>
      </c>
      <c r="H804" s="3">
        <f>'Historical Data'!L801</f>
        <v/>
      </c>
      <c r="I804" s="26">
        <f>'Historical Data'!M801</f>
        <v/>
      </c>
      <c r="J804" s="28">
        <f>'Historical Data'!N801</f>
        <v/>
      </c>
      <c r="K804" s="28">
        <f>'Historical Data'!Q801</f>
        <v/>
      </c>
      <c r="L804" s="30">
        <f>'Historical Data'!S801</f>
        <v/>
      </c>
      <c r="M804" s="28">
        <f>'Historical Data'!AJ801</f>
        <v/>
      </c>
      <c r="N804" s="28">
        <f>'Historical Data'!AK801</f>
        <v/>
      </c>
      <c r="O804" s="3">
        <f>'Historical Data'!AA801</f>
        <v/>
      </c>
      <c r="P804" s="3">
        <f>'Historical Data'!AB801</f>
        <v/>
      </c>
      <c r="Q804" s="3">
        <f>'Historical Data'!AN801</f>
        <v/>
      </c>
      <c r="R804" s="3">
        <f>'Historical Data'!AC801</f>
        <v/>
      </c>
      <c r="S804" s="3">
        <f>'Historical Data'!AE801</f>
        <v/>
      </c>
      <c r="T804" s="3">
        <f>'Historical Data'!AH801</f>
        <v/>
      </c>
      <c r="U804" s="3">
        <f>'Historical Data'!BA801</f>
        <v/>
      </c>
      <c r="V804" s="3" t="n"/>
      <c r="W804" s="3" t="n"/>
      <c r="X804" s="3" t="n"/>
      <c r="Y804" s="3" t="n"/>
      <c r="Z804" s="3" t="n"/>
    </row>
    <row r="805" hidden="1" ht="15.75" customHeight="1" s="174">
      <c r="A805" s="3">
        <f>'Historical Data'!A802</f>
        <v/>
      </c>
      <c r="B805" s="3">
        <f>'Historical Data'!B802</f>
        <v/>
      </c>
      <c r="C805" s="3">
        <f>'Historical Data'!D802</f>
        <v/>
      </c>
      <c r="D805" s="23">
        <f>'Historical Data'!E802</f>
        <v/>
      </c>
      <c r="E805" s="3">
        <f>'Historical Data'!G802</f>
        <v/>
      </c>
      <c r="F805" s="3">
        <f>'Historical Data'!Y802</f>
        <v/>
      </c>
      <c r="G805" s="3">
        <f>'Historical Data'!K802</f>
        <v/>
      </c>
      <c r="H805" s="3">
        <f>'Historical Data'!L802</f>
        <v/>
      </c>
      <c r="I805" s="26">
        <f>'Historical Data'!M802</f>
        <v/>
      </c>
      <c r="J805" s="28">
        <f>'Historical Data'!N802</f>
        <v/>
      </c>
      <c r="K805" s="28">
        <f>'Historical Data'!Q802</f>
        <v/>
      </c>
      <c r="L805" s="30">
        <f>'Historical Data'!S802</f>
        <v/>
      </c>
      <c r="M805" s="28">
        <f>'Historical Data'!AJ802</f>
        <v/>
      </c>
      <c r="N805" s="28">
        <f>'Historical Data'!AK802</f>
        <v/>
      </c>
      <c r="O805" s="3">
        <f>'Historical Data'!AA802</f>
        <v/>
      </c>
      <c r="P805" s="3">
        <f>'Historical Data'!AB802</f>
        <v/>
      </c>
      <c r="Q805" s="3">
        <f>'Historical Data'!AN802</f>
        <v/>
      </c>
      <c r="R805" s="3">
        <f>'Historical Data'!AC802</f>
        <v/>
      </c>
      <c r="S805" s="3">
        <f>'Historical Data'!AE802</f>
        <v/>
      </c>
      <c r="T805" s="3">
        <f>'Historical Data'!AH802</f>
        <v/>
      </c>
      <c r="U805" s="3">
        <f>'Historical Data'!BA802</f>
        <v/>
      </c>
      <c r="V805" s="3" t="n"/>
      <c r="W805" s="3" t="n"/>
      <c r="X805" s="3" t="n"/>
      <c r="Y805" s="3" t="n"/>
      <c r="Z805" s="3" t="n"/>
    </row>
    <row r="806" hidden="1" ht="15.75" customHeight="1" s="174">
      <c r="A806" s="3">
        <f>'Historical Data'!A803</f>
        <v/>
      </c>
      <c r="B806" s="3">
        <f>'Historical Data'!B803</f>
        <v/>
      </c>
      <c r="C806" s="3">
        <f>'Historical Data'!D803</f>
        <v/>
      </c>
      <c r="D806" s="23">
        <f>'Historical Data'!E803</f>
        <v/>
      </c>
      <c r="E806" s="3">
        <f>'Historical Data'!G803</f>
        <v/>
      </c>
      <c r="F806" s="3">
        <f>'Historical Data'!Y803</f>
        <v/>
      </c>
      <c r="G806" s="3">
        <f>'Historical Data'!K803</f>
        <v/>
      </c>
      <c r="H806" s="3">
        <f>'Historical Data'!L803</f>
        <v/>
      </c>
      <c r="I806" s="26">
        <f>'Historical Data'!M803</f>
        <v/>
      </c>
      <c r="J806" s="28">
        <f>'Historical Data'!N803</f>
        <v/>
      </c>
      <c r="K806" s="28">
        <f>'Historical Data'!Q803</f>
        <v/>
      </c>
      <c r="L806" s="30">
        <f>'Historical Data'!S803</f>
        <v/>
      </c>
      <c r="M806" s="28">
        <f>'Historical Data'!AJ803</f>
        <v/>
      </c>
      <c r="N806" s="28">
        <f>'Historical Data'!AK803</f>
        <v/>
      </c>
      <c r="O806" s="3">
        <f>'Historical Data'!AA803</f>
        <v/>
      </c>
      <c r="P806" s="3">
        <f>'Historical Data'!AB803</f>
        <v/>
      </c>
      <c r="Q806" s="3">
        <f>'Historical Data'!AN803</f>
        <v/>
      </c>
      <c r="R806" s="3">
        <f>'Historical Data'!AC803</f>
        <v/>
      </c>
      <c r="S806" s="3">
        <f>'Historical Data'!AE803</f>
        <v/>
      </c>
      <c r="T806" s="3">
        <f>'Historical Data'!AH803</f>
        <v/>
      </c>
      <c r="U806" s="3">
        <f>'Historical Data'!BA803</f>
        <v/>
      </c>
      <c r="V806" s="3" t="n"/>
      <c r="W806" s="3" t="n"/>
      <c r="X806" s="3" t="n"/>
      <c r="Y806" s="3" t="n"/>
      <c r="Z806" s="3" t="n"/>
    </row>
    <row r="807" hidden="1" ht="15.75" customHeight="1" s="174">
      <c r="A807" s="3">
        <f>'Historical Data'!A804</f>
        <v/>
      </c>
      <c r="B807" s="3">
        <f>'Historical Data'!B804</f>
        <v/>
      </c>
      <c r="C807" s="3">
        <f>'Historical Data'!D804</f>
        <v/>
      </c>
      <c r="D807" s="23">
        <f>'Historical Data'!E804</f>
        <v/>
      </c>
      <c r="E807" s="3">
        <f>'Historical Data'!G804</f>
        <v/>
      </c>
      <c r="F807" s="3">
        <f>'Historical Data'!Y804</f>
        <v/>
      </c>
      <c r="G807" s="3">
        <f>'Historical Data'!K804</f>
        <v/>
      </c>
      <c r="H807" s="3">
        <f>'Historical Data'!L804</f>
        <v/>
      </c>
      <c r="I807" s="26">
        <f>'Historical Data'!M804</f>
        <v/>
      </c>
      <c r="J807" s="28">
        <f>'Historical Data'!N804</f>
        <v/>
      </c>
      <c r="K807" s="28">
        <f>'Historical Data'!Q804</f>
        <v/>
      </c>
      <c r="L807" s="30">
        <f>'Historical Data'!S804</f>
        <v/>
      </c>
      <c r="M807" s="28">
        <f>'Historical Data'!AJ804</f>
        <v/>
      </c>
      <c r="N807" s="28">
        <f>'Historical Data'!AK804</f>
        <v/>
      </c>
      <c r="O807" s="3">
        <f>'Historical Data'!AA804</f>
        <v/>
      </c>
      <c r="P807" s="3">
        <f>'Historical Data'!AB804</f>
        <v/>
      </c>
      <c r="Q807" s="3">
        <f>'Historical Data'!AN804</f>
        <v/>
      </c>
      <c r="R807" s="3">
        <f>'Historical Data'!AC804</f>
        <v/>
      </c>
      <c r="S807" s="3">
        <f>'Historical Data'!AE804</f>
        <v/>
      </c>
      <c r="T807" s="3">
        <f>'Historical Data'!AH804</f>
        <v/>
      </c>
      <c r="U807" s="3">
        <f>'Historical Data'!BA804</f>
        <v/>
      </c>
      <c r="V807" s="3" t="n"/>
      <c r="W807" s="3" t="n"/>
      <c r="X807" s="3" t="n"/>
      <c r="Y807" s="3" t="n"/>
      <c r="Z807" s="3" t="n"/>
    </row>
    <row r="808" hidden="1" ht="15.75" customHeight="1" s="174">
      <c r="A808" s="3">
        <f>'Historical Data'!A805</f>
        <v/>
      </c>
      <c r="B808" s="3">
        <f>'Historical Data'!B805</f>
        <v/>
      </c>
      <c r="C808" s="3">
        <f>'Historical Data'!D805</f>
        <v/>
      </c>
      <c r="D808" s="23">
        <f>'Historical Data'!E805</f>
        <v/>
      </c>
      <c r="E808" s="3">
        <f>'Historical Data'!G805</f>
        <v/>
      </c>
      <c r="F808" s="3">
        <f>'Historical Data'!Y805</f>
        <v/>
      </c>
      <c r="G808" s="3">
        <f>'Historical Data'!K805</f>
        <v/>
      </c>
      <c r="H808" s="3">
        <f>'Historical Data'!L805</f>
        <v/>
      </c>
      <c r="I808" s="26">
        <f>'Historical Data'!M805</f>
        <v/>
      </c>
      <c r="J808" s="28">
        <f>'Historical Data'!N805</f>
        <v/>
      </c>
      <c r="K808" s="28">
        <f>'Historical Data'!Q805</f>
        <v/>
      </c>
      <c r="L808" s="30">
        <f>'Historical Data'!S805</f>
        <v/>
      </c>
      <c r="M808" s="28">
        <f>'Historical Data'!AJ805</f>
        <v/>
      </c>
      <c r="N808" s="28">
        <f>'Historical Data'!AK805</f>
        <v/>
      </c>
      <c r="O808" s="3">
        <f>'Historical Data'!AA805</f>
        <v/>
      </c>
      <c r="P808" s="3">
        <f>'Historical Data'!AB805</f>
        <v/>
      </c>
      <c r="Q808" s="3">
        <f>'Historical Data'!AN805</f>
        <v/>
      </c>
      <c r="R808" s="3">
        <f>'Historical Data'!AC805</f>
        <v/>
      </c>
      <c r="S808" s="3">
        <f>'Historical Data'!AE805</f>
        <v/>
      </c>
      <c r="T808" s="3">
        <f>'Historical Data'!AH805</f>
        <v/>
      </c>
      <c r="U808" s="3">
        <f>'Historical Data'!BA805</f>
        <v/>
      </c>
      <c r="V808" s="3" t="n"/>
      <c r="W808" s="3" t="n"/>
      <c r="X808" s="3" t="n"/>
      <c r="Y808" s="3" t="n"/>
      <c r="Z808" s="3" t="n"/>
    </row>
    <row r="809" hidden="1" ht="15.75" customHeight="1" s="174">
      <c r="A809" s="3">
        <f>'Historical Data'!A806</f>
        <v/>
      </c>
      <c r="B809" s="3">
        <f>'Historical Data'!B806</f>
        <v/>
      </c>
      <c r="C809" s="3">
        <f>'Historical Data'!D806</f>
        <v/>
      </c>
      <c r="D809" s="23">
        <f>'Historical Data'!E806</f>
        <v/>
      </c>
      <c r="E809" s="3">
        <f>'Historical Data'!G806</f>
        <v/>
      </c>
      <c r="F809" s="3">
        <f>'Historical Data'!Y806</f>
        <v/>
      </c>
      <c r="G809" s="3">
        <f>'Historical Data'!K806</f>
        <v/>
      </c>
      <c r="H809" s="3">
        <f>'Historical Data'!L806</f>
        <v/>
      </c>
      <c r="I809" s="26">
        <f>'Historical Data'!M806</f>
        <v/>
      </c>
      <c r="J809" s="28">
        <f>'Historical Data'!N806</f>
        <v/>
      </c>
      <c r="K809" s="28">
        <f>'Historical Data'!Q806</f>
        <v/>
      </c>
      <c r="L809" s="30">
        <f>'Historical Data'!S806</f>
        <v/>
      </c>
      <c r="M809" s="28">
        <f>'Historical Data'!AJ806</f>
        <v/>
      </c>
      <c r="N809" s="28">
        <f>'Historical Data'!AK806</f>
        <v/>
      </c>
      <c r="O809" s="3">
        <f>'Historical Data'!AA806</f>
        <v/>
      </c>
      <c r="P809" s="3">
        <f>'Historical Data'!AB806</f>
        <v/>
      </c>
      <c r="Q809" s="3">
        <f>'Historical Data'!AN806</f>
        <v/>
      </c>
      <c r="R809" s="3">
        <f>'Historical Data'!AC806</f>
        <v/>
      </c>
      <c r="S809" s="3">
        <f>'Historical Data'!AE806</f>
        <v/>
      </c>
      <c r="T809" s="3">
        <f>'Historical Data'!AH806</f>
        <v/>
      </c>
      <c r="U809" s="3">
        <f>'Historical Data'!BA806</f>
        <v/>
      </c>
      <c r="V809" s="3" t="n"/>
      <c r="W809" s="3" t="n"/>
      <c r="X809" s="3" t="n"/>
      <c r="Y809" s="3" t="n"/>
      <c r="Z809" s="3" t="n"/>
    </row>
    <row r="810" hidden="1" ht="15.75" customHeight="1" s="174">
      <c r="A810" s="3">
        <f>'Historical Data'!A807</f>
        <v/>
      </c>
      <c r="B810" s="3">
        <f>'Historical Data'!B807</f>
        <v/>
      </c>
      <c r="C810" s="3">
        <f>'Historical Data'!D807</f>
        <v/>
      </c>
      <c r="D810" s="23">
        <f>'Historical Data'!E807</f>
        <v/>
      </c>
      <c r="E810" s="3">
        <f>'Historical Data'!G807</f>
        <v/>
      </c>
      <c r="F810" s="3">
        <f>'Historical Data'!Y807</f>
        <v/>
      </c>
      <c r="G810" s="3">
        <f>'Historical Data'!K807</f>
        <v/>
      </c>
      <c r="H810" s="3">
        <f>'Historical Data'!L807</f>
        <v/>
      </c>
      <c r="I810" s="26">
        <f>'Historical Data'!M807</f>
        <v/>
      </c>
      <c r="J810" s="28">
        <f>'Historical Data'!N807</f>
        <v/>
      </c>
      <c r="K810" s="28">
        <f>'Historical Data'!Q807</f>
        <v/>
      </c>
      <c r="L810" s="30">
        <f>'Historical Data'!S807</f>
        <v/>
      </c>
      <c r="M810" s="28">
        <f>'Historical Data'!AJ807</f>
        <v/>
      </c>
      <c r="N810" s="28">
        <f>'Historical Data'!AK807</f>
        <v/>
      </c>
      <c r="O810" s="3">
        <f>'Historical Data'!AA807</f>
        <v/>
      </c>
      <c r="P810" s="3">
        <f>'Historical Data'!AB807</f>
        <v/>
      </c>
      <c r="Q810" s="3">
        <f>'Historical Data'!AN807</f>
        <v/>
      </c>
      <c r="R810" s="3">
        <f>'Historical Data'!AC807</f>
        <v/>
      </c>
      <c r="S810" s="3">
        <f>'Historical Data'!AE807</f>
        <v/>
      </c>
      <c r="T810" s="3">
        <f>'Historical Data'!AH807</f>
        <v/>
      </c>
      <c r="U810" s="3">
        <f>'Historical Data'!BA807</f>
        <v/>
      </c>
      <c r="V810" s="3" t="n"/>
      <c r="W810" s="3" t="n"/>
      <c r="X810" s="3" t="n"/>
      <c r="Y810" s="3" t="n"/>
      <c r="Z810" s="3" t="n"/>
    </row>
    <row r="811" hidden="1" ht="15.75" customHeight="1" s="174">
      <c r="A811" s="3">
        <f>'Historical Data'!A808</f>
        <v/>
      </c>
      <c r="B811" s="3">
        <f>'Historical Data'!B808</f>
        <v/>
      </c>
      <c r="C811" s="3">
        <f>'Historical Data'!D808</f>
        <v/>
      </c>
      <c r="D811" s="23">
        <f>'Historical Data'!E808</f>
        <v/>
      </c>
      <c r="E811" s="3">
        <f>'Historical Data'!G808</f>
        <v/>
      </c>
      <c r="F811" s="3">
        <f>'Historical Data'!Y808</f>
        <v/>
      </c>
      <c r="G811" s="3">
        <f>'Historical Data'!K808</f>
        <v/>
      </c>
      <c r="H811" s="3">
        <f>'Historical Data'!L808</f>
        <v/>
      </c>
      <c r="I811" s="26">
        <f>'Historical Data'!M808</f>
        <v/>
      </c>
      <c r="J811" s="28">
        <f>'Historical Data'!N808</f>
        <v/>
      </c>
      <c r="K811" s="28">
        <f>'Historical Data'!Q808</f>
        <v/>
      </c>
      <c r="L811" s="30">
        <f>'Historical Data'!S808</f>
        <v/>
      </c>
      <c r="M811" s="28">
        <f>'Historical Data'!AJ808</f>
        <v/>
      </c>
      <c r="N811" s="28">
        <f>'Historical Data'!AK808</f>
        <v/>
      </c>
      <c r="O811" s="3">
        <f>'Historical Data'!AA808</f>
        <v/>
      </c>
      <c r="P811" s="3">
        <f>'Historical Data'!AB808</f>
        <v/>
      </c>
      <c r="Q811" s="3">
        <f>'Historical Data'!AN808</f>
        <v/>
      </c>
      <c r="R811" s="3">
        <f>'Historical Data'!AC808</f>
        <v/>
      </c>
      <c r="S811" s="3">
        <f>'Historical Data'!AE808</f>
        <v/>
      </c>
      <c r="T811" s="3">
        <f>'Historical Data'!AH808</f>
        <v/>
      </c>
      <c r="U811" s="3">
        <f>'Historical Data'!BA808</f>
        <v/>
      </c>
      <c r="V811" s="3" t="n"/>
      <c r="W811" s="3" t="n"/>
      <c r="X811" s="3" t="n"/>
      <c r="Y811" s="3" t="n"/>
      <c r="Z811" s="3" t="n"/>
    </row>
    <row r="812" hidden="1" ht="15.75" customHeight="1" s="174">
      <c r="A812" s="3">
        <f>'Historical Data'!A809</f>
        <v/>
      </c>
      <c r="B812" s="3">
        <f>'Historical Data'!B809</f>
        <v/>
      </c>
      <c r="C812" s="3">
        <f>'Historical Data'!D809</f>
        <v/>
      </c>
      <c r="D812" s="23">
        <f>'Historical Data'!E809</f>
        <v/>
      </c>
      <c r="E812" s="3">
        <f>'Historical Data'!G809</f>
        <v/>
      </c>
      <c r="F812" s="3">
        <f>'Historical Data'!Y809</f>
        <v/>
      </c>
      <c r="G812" s="3">
        <f>'Historical Data'!K809</f>
        <v/>
      </c>
      <c r="H812" s="3">
        <f>'Historical Data'!L809</f>
        <v/>
      </c>
      <c r="I812" s="26">
        <f>'Historical Data'!M809</f>
        <v/>
      </c>
      <c r="J812" s="28">
        <f>'Historical Data'!N809</f>
        <v/>
      </c>
      <c r="K812" s="28">
        <f>'Historical Data'!Q809</f>
        <v/>
      </c>
      <c r="L812" s="30">
        <f>'Historical Data'!S809</f>
        <v/>
      </c>
      <c r="M812" s="28">
        <f>'Historical Data'!AJ809</f>
        <v/>
      </c>
      <c r="N812" s="28">
        <f>'Historical Data'!AK809</f>
        <v/>
      </c>
      <c r="O812" s="3">
        <f>'Historical Data'!AA809</f>
        <v/>
      </c>
      <c r="P812" s="3">
        <f>'Historical Data'!AB809</f>
        <v/>
      </c>
      <c r="Q812" s="3">
        <f>'Historical Data'!AN809</f>
        <v/>
      </c>
      <c r="R812" s="3">
        <f>'Historical Data'!AC809</f>
        <v/>
      </c>
      <c r="S812" s="3">
        <f>'Historical Data'!AE809</f>
        <v/>
      </c>
      <c r="T812" s="3">
        <f>'Historical Data'!AH809</f>
        <v/>
      </c>
      <c r="U812" s="3">
        <f>'Historical Data'!BA809</f>
        <v/>
      </c>
      <c r="V812" s="3" t="n"/>
      <c r="W812" s="3" t="n"/>
      <c r="X812" s="3" t="n"/>
      <c r="Y812" s="3" t="n"/>
      <c r="Z812" s="3" t="n"/>
    </row>
    <row r="813" hidden="1" ht="15.75" customHeight="1" s="174">
      <c r="A813" s="3">
        <f>'Historical Data'!A810</f>
        <v/>
      </c>
      <c r="B813" s="3">
        <f>'Historical Data'!B810</f>
        <v/>
      </c>
      <c r="C813" s="3">
        <f>'Historical Data'!D810</f>
        <v/>
      </c>
      <c r="D813" s="23">
        <f>'Historical Data'!E810</f>
        <v/>
      </c>
      <c r="E813" s="3">
        <f>'Historical Data'!G810</f>
        <v/>
      </c>
      <c r="F813" s="3">
        <f>'Historical Data'!Y810</f>
        <v/>
      </c>
      <c r="G813" s="3">
        <f>'Historical Data'!K810</f>
        <v/>
      </c>
      <c r="H813" s="3">
        <f>'Historical Data'!L810</f>
        <v/>
      </c>
      <c r="I813" s="26">
        <f>'Historical Data'!M810</f>
        <v/>
      </c>
      <c r="J813" s="28">
        <f>'Historical Data'!N810</f>
        <v/>
      </c>
      <c r="K813" s="28">
        <f>'Historical Data'!Q810</f>
        <v/>
      </c>
      <c r="L813" s="30">
        <f>'Historical Data'!S810</f>
        <v/>
      </c>
      <c r="M813" s="28">
        <f>'Historical Data'!AJ810</f>
        <v/>
      </c>
      <c r="N813" s="28">
        <f>'Historical Data'!AK810</f>
        <v/>
      </c>
      <c r="O813" s="3">
        <f>'Historical Data'!AA810</f>
        <v/>
      </c>
      <c r="P813" s="3">
        <f>'Historical Data'!AB810</f>
        <v/>
      </c>
      <c r="Q813" s="3">
        <f>'Historical Data'!AN810</f>
        <v/>
      </c>
      <c r="R813" s="3">
        <f>'Historical Data'!AC810</f>
        <v/>
      </c>
      <c r="S813" s="3">
        <f>'Historical Data'!AE810</f>
        <v/>
      </c>
      <c r="T813" s="3">
        <f>'Historical Data'!AH810</f>
        <v/>
      </c>
      <c r="U813" s="3">
        <f>'Historical Data'!BA810</f>
        <v/>
      </c>
      <c r="V813" s="3" t="n"/>
      <c r="W813" s="3" t="n"/>
      <c r="X813" s="3" t="n"/>
      <c r="Y813" s="3" t="n"/>
      <c r="Z813" s="3" t="n"/>
    </row>
    <row r="814" hidden="1" ht="15.75" customHeight="1" s="174">
      <c r="A814" s="3">
        <f>'Historical Data'!A811</f>
        <v/>
      </c>
      <c r="B814" s="3">
        <f>'Historical Data'!B811</f>
        <v/>
      </c>
      <c r="C814" s="3">
        <f>'Historical Data'!D811</f>
        <v/>
      </c>
      <c r="D814" s="23">
        <f>'Historical Data'!E811</f>
        <v/>
      </c>
      <c r="E814" s="3">
        <f>'Historical Data'!G811</f>
        <v/>
      </c>
      <c r="F814" s="3">
        <f>'Historical Data'!Y811</f>
        <v/>
      </c>
      <c r="G814" s="3">
        <f>'Historical Data'!K811</f>
        <v/>
      </c>
      <c r="H814" s="3">
        <f>'Historical Data'!L811</f>
        <v/>
      </c>
      <c r="I814" s="26">
        <f>'Historical Data'!M811</f>
        <v/>
      </c>
      <c r="J814" s="28">
        <f>'Historical Data'!N811</f>
        <v/>
      </c>
      <c r="K814" s="28">
        <f>'Historical Data'!Q811</f>
        <v/>
      </c>
      <c r="L814" s="30">
        <f>'Historical Data'!S811</f>
        <v/>
      </c>
      <c r="M814" s="28">
        <f>'Historical Data'!AJ811</f>
        <v/>
      </c>
      <c r="N814" s="28">
        <f>'Historical Data'!AK811</f>
        <v/>
      </c>
      <c r="O814" s="3">
        <f>'Historical Data'!AA811</f>
        <v/>
      </c>
      <c r="P814" s="3">
        <f>'Historical Data'!AB811</f>
        <v/>
      </c>
      <c r="Q814" s="3">
        <f>'Historical Data'!AN811</f>
        <v/>
      </c>
      <c r="R814" s="3">
        <f>'Historical Data'!AC811</f>
        <v/>
      </c>
      <c r="S814" s="3">
        <f>'Historical Data'!AE811</f>
        <v/>
      </c>
      <c r="T814" s="3">
        <f>'Historical Data'!AH811</f>
        <v/>
      </c>
      <c r="U814" s="3">
        <f>'Historical Data'!BA811</f>
        <v/>
      </c>
      <c r="V814" s="3" t="n"/>
      <c r="W814" s="3" t="n"/>
      <c r="X814" s="3" t="n"/>
      <c r="Y814" s="3" t="n"/>
      <c r="Z814" s="3" t="n"/>
    </row>
    <row r="815" hidden="1" ht="15.75" customHeight="1" s="174">
      <c r="A815" s="3">
        <f>'Historical Data'!A812</f>
        <v/>
      </c>
      <c r="B815" s="3">
        <f>'Historical Data'!B812</f>
        <v/>
      </c>
      <c r="C815" s="3">
        <f>'Historical Data'!D812</f>
        <v/>
      </c>
      <c r="D815" s="23">
        <f>'Historical Data'!E812</f>
        <v/>
      </c>
      <c r="E815" s="3">
        <f>'Historical Data'!G812</f>
        <v/>
      </c>
      <c r="F815" s="3">
        <f>'Historical Data'!Y812</f>
        <v/>
      </c>
      <c r="G815" s="3">
        <f>'Historical Data'!K812</f>
        <v/>
      </c>
      <c r="H815" s="3">
        <f>'Historical Data'!L812</f>
        <v/>
      </c>
      <c r="I815" s="26">
        <f>'Historical Data'!M812</f>
        <v/>
      </c>
      <c r="J815" s="28">
        <f>'Historical Data'!N812</f>
        <v/>
      </c>
      <c r="K815" s="28">
        <f>'Historical Data'!Q812</f>
        <v/>
      </c>
      <c r="L815" s="30">
        <f>'Historical Data'!S812</f>
        <v/>
      </c>
      <c r="M815" s="28">
        <f>'Historical Data'!AJ812</f>
        <v/>
      </c>
      <c r="N815" s="28">
        <f>'Historical Data'!AK812</f>
        <v/>
      </c>
      <c r="O815" s="3">
        <f>'Historical Data'!AA812</f>
        <v/>
      </c>
      <c r="P815" s="3">
        <f>'Historical Data'!AB812</f>
        <v/>
      </c>
      <c r="Q815" s="3">
        <f>'Historical Data'!AN812</f>
        <v/>
      </c>
      <c r="R815" s="3">
        <f>'Historical Data'!AC812</f>
        <v/>
      </c>
      <c r="S815" s="3">
        <f>'Historical Data'!AE812</f>
        <v/>
      </c>
      <c r="T815" s="3">
        <f>'Historical Data'!AH812</f>
        <v/>
      </c>
      <c r="U815" s="3">
        <f>'Historical Data'!BA812</f>
        <v/>
      </c>
      <c r="V815" s="3" t="n"/>
      <c r="W815" s="3" t="n"/>
      <c r="X815" s="3" t="n"/>
      <c r="Y815" s="3" t="n"/>
      <c r="Z815" s="3" t="n"/>
    </row>
    <row r="816" hidden="1" ht="15.75" customHeight="1" s="174">
      <c r="A816" s="3">
        <f>'Historical Data'!A813</f>
        <v/>
      </c>
      <c r="B816" s="3">
        <f>'Historical Data'!B813</f>
        <v/>
      </c>
      <c r="C816" s="3">
        <f>'Historical Data'!D813</f>
        <v/>
      </c>
      <c r="D816" s="23">
        <f>'Historical Data'!E813</f>
        <v/>
      </c>
      <c r="E816" s="3">
        <f>'Historical Data'!G813</f>
        <v/>
      </c>
      <c r="F816" s="3">
        <f>'Historical Data'!Y813</f>
        <v/>
      </c>
      <c r="G816" s="3">
        <f>'Historical Data'!K813</f>
        <v/>
      </c>
      <c r="H816" s="3">
        <f>'Historical Data'!L813</f>
        <v/>
      </c>
      <c r="I816" s="26">
        <f>'Historical Data'!M813</f>
        <v/>
      </c>
      <c r="J816" s="28">
        <f>'Historical Data'!N813</f>
        <v/>
      </c>
      <c r="K816" s="28">
        <f>'Historical Data'!Q813</f>
        <v/>
      </c>
      <c r="L816" s="30">
        <f>'Historical Data'!S813</f>
        <v/>
      </c>
      <c r="M816" s="28">
        <f>'Historical Data'!AJ813</f>
        <v/>
      </c>
      <c r="N816" s="28">
        <f>'Historical Data'!AK813</f>
        <v/>
      </c>
      <c r="O816" s="3">
        <f>'Historical Data'!AA813</f>
        <v/>
      </c>
      <c r="P816" s="3">
        <f>'Historical Data'!AB813</f>
        <v/>
      </c>
      <c r="Q816" s="3">
        <f>'Historical Data'!AN813</f>
        <v/>
      </c>
      <c r="R816" s="3">
        <f>'Historical Data'!AC813</f>
        <v/>
      </c>
      <c r="S816" s="3">
        <f>'Historical Data'!AE813</f>
        <v/>
      </c>
      <c r="T816" s="3">
        <f>'Historical Data'!AH813</f>
        <v/>
      </c>
      <c r="U816" s="3">
        <f>'Historical Data'!BA813</f>
        <v/>
      </c>
      <c r="V816" s="3" t="n"/>
      <c r="W816" s="3" t="n"/>
      <c r="X816" s="3" t="n"/>
      <c r="Y816" s="3" t="n"/>
      <c r="Z816" s="3" t="n"/>
    </row>
    <row r="817" hidden="1" ht="15.75" customHeight="1" s="174">
      <c r="A817" s="3">
        <f>'Historical Data'!A814</f>
        <v/>
      </c>
      <c r="B817" s="3">
        <f>'Historical Data'!B814</f>
        <v/>
      </c>
      <c r="C817" s="3">
        <f>'Historical Data'!D814</f>
        <v/>
      </c>
      <c r="D817" s="23">
        <f>'Historical Data'!E814</f>
        <v/>
      </c>
      <c r="E817" s="3">
        <f>'Historical Data'!G814</f>
        <v/>
      </c>
      <c r="F817" s="3">
        <f>'Historical Data'!Y814</f>
        <v/>
      </c>
      <c r="G817" s="3">
        <f>'Historical Data'!K814</f>
        <v/>
      </c>
      <c r="H817" s="3">
        <f>'Historical Data'!L814</f>
        <v/>
      </c>
      <c r="I817" s="26">
        <f>'Historical Data'!M814</f>
        <v/>
      </c>
      <c r="J817" s="28">
        <f>'Historical Data'!N814</f>
        <v/>
      </c>
      <c r="K817" s="28">
        <f>'Historical Data'!Q814</f>
        <v/>
      </c>
      <c r="L817" s="30">
        <f>'Historical Data'!S814</f>
        <v/>
      </c>
      <c r="M817" s="28">
        <f>'Historical Data'!AJ814</f>
        <v/>
      </c>
      <c r="N817" s="28">
        <f>'Historical Data'!AK814</f>
        <v/>
      </c>
      <c r="O817" s="3">
        <f>'Historical Data'!AA814</f>
        <v/>
      </c>
      <c r="P817" s="3">
        <f>'Historical Data'!AB814</f>
        <v/>
      </c>
      <c r="Q817" s="3">
        <f>'Historical Data'!AN814</f>
        <v/>
      </c>
      <c r="R817" s="3">
        <f>'Historical Data'!AC814</f>
        <v/>
      </c>
      <c r="S817" s="3">
        <f>'Historical Data'!AE814</f>
        <v/>
      </c>
      <c r="T817" s="3">
        <f>'Historical Data'!AH814</f>
        <v/>
      </c>
      <c r="U817" s="3">
        <f>'Historical Data'!BA814</f>
        <v/>
      </c>
      <c r="V817" s="3" t="n"/>
      <c r="W817" s="3" t="n"/>
      <c r="X817" s="3" t="n"/>
      <c r="Y817" s="3" t="n"/>
      <c r="Z817" s="3" t="n"/>
    </row>
    <row r="818" hidden="1" ht="15.75" customHeight="1" s="174">
      <c r="A818" s="3">
        <f>'Historical Data'!A815</f>
        <v/>
      </c>
      <c r="B818" s="3">
        <f>'Historical Data'!B815</f>
        <v/>
      </c>
      <c r="C818" s="3">
        <f>'Historical Data'!D815</f>
        <v/>
      </c>
      <c r="D818" s="23">
        <f>'Historical Data'!E815</f>
        <v/>
      </c>
      <c r="E818" s="3">
        <f>'Historical Data'!G815</f>
        <v/>
      </c>
      <c r="F818" s="3">
        <f>'Historical Data'!Y815</f>
        <v/>
      </c>
      <c r="G818" s="3">
        <f>'Historical Data'!K815</f>
        <v/>
      </c>
      <c r="H818" s="3">
        <f>'Historical Data'!L815</f>
        <v/>
      </c>
      <c r="I818" s="26">
        <f>'Historical Data'!M815</f>
        <v/>
      </c>
      <c r="J818" s="28">
        <f>'Historical Data'!N815</f>
        <v/>
      </c>
      <c r="K818" s="28">
        <f>'Historical Data'!Q815</f>
        <v/>
      </c>
      <c r="L818" s="30">
        <f>'Historical Data'!S815</f>
        <v/>
      </c>
      <c r="M818" s="28">
        <f>'Historical Data'!AJ815</f>
        <v/>
      </c>
      <c r="N818" s="28">
        <f>'Historical Data'!AK815</f>
        <v/>
      </c>
      <c r="O818" s="3">
        <f>'Historical Data'!AA815</f>
        <v/>
      </c>
      <c r="P818" s="3">
        <f>'Historical Data'!AB815</f>
        <v/>
      </c>
      <c r="Q818" s="3">
        <f>'Historical Data'!AN815</f>
        <v/>
      </c>
      <c r="R818" s="3">
        <f>'Historical Data'!AC815</f>
        <v/>
      </c>
      <c r="S818" s="3">
        <f>'Historical Data'!AE815</f>
        <v/>
      </c>
      <c r="T818" s="3">
        <f>'Historical Data'!AH815</f>
        <v/>
      </c>
      <c r="U818" s="3">
        <f>'Historical Data'!BA815</f>
        <v/>
      </c>
      <c r="V818" s="3" t="n"/>
      <c r="W818" s="3" t="n"/>
      <c r="X818" s="3" t="n"/>
      <c r="Y818" s="3" t="n"/>
      <c r="Z818" s="3" t="n"/>
    </row>
    <row r="819" hidden="1" ht="15.75" customHeight="1" s="174">
      <c r="A819" s="3">
        <f>'Historical Data'!A816</f>
        <v/>
      </c>
      <c r="B819" s="3">
        <f>'Historical Data'!B816</f>
        <v/>
      </c>
      <c r="C819" s="3">
        <f>'Historical Data'!D816</f>
        <v/>
      </c>
      <c r="D819" s="23">
        <f>'Historical Data'!E816</f>
        <v/>
      </c>
      <c r="E819" s="3">
        <f>'Historical Data'!G816</f>
        <v/>
      </c>
      <c r="F819" s="3">
        <f>'Historical Data'!Y816</f>
        <v/>
      </c>
      <c r="G819" s="3">
        <f>'Historical Data'!K816</f>
        <v/>
      </c>
      <c r="H819" s="3">
        <f>'Historical Data'!L816</f>
        <v/>
      </c>
      <c r="I819" s="26">
        <f>'Historical Data'!M816</f>
        <v/>
      </c>
      <c r="J819" s="28">
        <f>'Historical Data'!N816</f>
        <v/>
      </c>
      <c r="K819" s="28">
        <f>'Historical Data'!Q816</f>
        <v/>
      </c>
      <c r="L819" s="30">
        <f>'Historical Data'!S816</f>
        <v/>
      </c>
      <c r="M819" s="28">
        <f>'Historical Data'!AJ816</f>
        <v/>
      </c>
      <c r="N819" s="28">
        <f>'Historical Data'!AK816</f>
        <v/>
      </c>
      <c r="O819" s="3">
        <f>'Historical Data'!AA816</f>
        <v/>
      </c>
      <c r="P819" s="3">
        <f>'Historical Data'!AB816</f>
        <v/>
      </c>
      <c r="Q819" s="3">
        <f>'Historical Data'!AN816</f>
        <v/>
      </c>
      <c r="R819" s="3">
        <f>'Historical Data'!AC816</f>
        <v/>
      </c>
      <c r="S819" s="3">
        <f>'Historical Data'!AE816</f>
        <v/>
      </c>
      <c r="T819" s="3">
        <f>'Historical Data'!AH816</f>
        <v/>
      </c>
      <c r="U819" s="3">
        <f>'Historical Data'!BA816</f>
        <v/>
      </c>
      <c r="V819" s="3" t="n"/>
      <c r="W819" s="3" t="n"/>
      <c r="X819" s="3" t="n"/>
      <c r="Y819" s="3" t="n"/>
      <c r="Z819" s="3" t="n"/>
    </row>
    <row r="820" hidden="1" ht="15.75" customHeight="1" s="174">
      <c r="A820" s="3">
        <f>'Historical Data'!A817</f>
        <v/>
      </c>
      <c r="B820" s="3">
        <f>'Historical Data'!B817</f>
        <v/>
      </c>
      <c r="C820" s="3">
        <f>'Historical Data'!D817</f>
        <v/>
      </c>
      <c r="D820" s="23">
        <f>'Historical Data'!E817</f>
        <v/>
      </c>
      <c r="E820" s="3">
        <f>'Historical Data'!G817</f>
        <v/>
      </c>
      <c r="F820" s="3">
        <f>'Historical Data'!Y817</f>
        <v/>
      </c>
      <c r="G820" s="3">
        <f>'Historical Data'!K817</f>
        <v/>
      </c>
      <c r="H820" s="3">
        <f>'Historical Data'!L817</f>
        <v/>
      </c>
      <c r="I820" s="26">
        <f>'Historical Data'!M817</f>
        <v/>
      </c>
      <c r="J820" s="28">
        <f>'Historical Data'!N817</f>
        <v/>
      </c>
      <c r="K820" s="28">
        <f>'Historical Data'!Q817</f>
        <v/>
      </c>
      <c r="L820" s="30">
        <f>'Historical Data'!S817</f>
        <v/>
      </c>
      <c r="M820" s="28">
        <f>'Historical Data'!AJ817</f>
        <v/>
      </c>
      <c r="N820" s="28">
        <f>'Historical Data'!AK817</f>
        <v/>
      </c>
      <c r="O820" s="3">
        <f>'Historical Data'!AA817</f>
        <v/>
      </c>
      <c r="P820" s="3">
        <f>'Historical Data'!AB817</f>
        <v/>
      </c>
      <c r="Q820" s="3">
        <f>'Historical Data'!AN817</f>
        <v/>
      </c>
      <c r="R820" s="3">
        <f>'Historical Data'!AC817</f>
        <v/>
      </c>
      <c r="S820" s="3">
        <f>'Historical Data'!AE817</f>
        <v/>
      </c>
      <c r="T820" s="3">
        <f>'Historical Data'!AH817</f>
        <v/>
      </c>
      <c r="U820" s="3">
        <f>'Historical Data'!BA817</f>
        <v/>
      </c>
      <c r="V820" s="3" t="n"/>
      <c r="W820" s="3" t="n"/>
      <c r="X820" s="3" t="n"/>
      <c r="Y820" s="3" t="n"/>
      <c r="Z820" s="3" t="n"/>
    </row>
    <row r="821" hidden="1" ht="15.75" customHeight="1" s="174">
      <c r="A821" s="3">
        <f>'Historical Data'!A818</f>
        <v/>
      </c>
      <c r="B821" s="3">
        <f>'Historical Data'!B818</f>
        <v/>
      </c>
      <c r="C821" s="3">
        <f>'Historical Data'!D818</f>
        <v/>
      </c>
      <c r="D821" s="23">
        <f>'Historical Data'!E818</f>
        <v/>
      </c>
      <c r="E821" s="3">
        <f>'Historical Data'!G818</f>
        <v/>
      </c>
      <c r="F821" s="3">
        <f>'Historical Data'!Y818</f>
        <v/>
      </c>
      <c r="G821" s="3">
        <f>'Historical Data'!K818</f>
        <v/>
      </c>
      <c r="H821" s="3">
        <f>'Historical Data'!L818</f>
        <v/>
      </c>
      <c r="I821" s="26">
        <f>'Historical Data'!M818</f>
        <v/>
      </c>
      <c r="J821" s="28">
        <f>'Historical Data'!N818</f>
        <v/>
      </c>
      <c r="K821" s="28">
        <f>'Historical Data'!Q818</f>
        <v/>
      </c>
      <c r="L821" s="30">
        <f>'Historical Data'!S818</f>
        <v/>
      </c>
      <c r="M821" s="28">
        <f>'Historical Data'!AJ818</f>
        <v/>
      </c>
      <c r="N821" s="28">
        <f>'Historical Data'!AK818</f>
        <v/>
      </c>
      <c r="O821" s="3">
        <f>'Historical Data'!AA818</f>
        <v/>
      </c>
      <c r="P821" s="3">
        <f>'Historical Data'!AB818</f>
        <v/>
      </c>
      <c r="Q821" s="3">
        <f>'Historical Data'!AN818</f>
        <v/>
      </c>
      <c r="R821" s="3">
        <f>'Historical Data'!AC818</f>
        <v/>
      </c>
      <c r="S821" s="3">
        <f>'Historical Data'!AE818</f>
        <v/>
      </c>
      <c r="T821" s="3">
        <f>'Historical Data'!AH818</f>
        <v/>
      </c>
      <c r="U821" s="3">
        <f>'Historical Data'!BA818</f>
        <v/>
      </c>
      <c r="V821" s="3" t="n"/>
      <c r="W821" s="3" t="n"/>
      <c r="X821" s="3" t="n"/>
      <c r="Y821" s="3" t="n"/>
      <c r="Z821" s="3" t="n"/>
    </row>
    <row r="822" hidden="1" ht="15.75" customHeight="1" s="174">
      <c r="A822" s="3">
        <f>'Historical Data'!A819</f>
        <v/>
      </c>
      <c r="B822" s="3">
        <f>'Historical Data'!B819</f>
        <v/>
      </c>
      <c r="C822" s="3">
        <f>'Historical Data'!D819</f>
        <v/>
      </c>
      <c r="D822" s="23">
        <f>'Historical Data'!E819</f>
        <v/>
      </c>
      <c r="E822" s="3">
        <f>'Historical Data'!G819</f>
        <v/>
      </c>
      <c r="F822" s="3">
        <f>'Historical Data'!Y819</f>
        <v/>
      </c>
      <c r="G822" s="3">
        <f>'Historical Data'!K819</f>
        <v/>
      </c>
      <c r="H822" s="3">
        <f>'Historical Data'!L819</f>
        <v/>
      </c>
      <c r="I822" s="26">
        <f>'Historical Data'!M819</f>
        <v/>
      </c>
      <c r="J822" s="28">
        <f>'Historical Data'!N819</f>
        <v/>
      </c>
      <c r="K822" s="28">
        <f>'Historical Data'!Q819</f>
        <v/>
      </c>
      <c r="L822" s="30">
        <f>'Historical Data'!S819</f>
        <v/>
      </c>
      <c r="M822" s="28">
        <f>'Historical Data'!AJ819</f>
        <v/>
      </c>
      <c r="N822" s="28">
        <f>'Historical Data'!AK819</f>
        <v/>
      </c>
      <c r="O822" s="3">
        <f>'Historical Data'!AA819</f>
        <v/>
      </c>
      <c r="P822" s="3">
        <f>'Historical Data'!AB819</f>
        <v/>
      </c>
      <c r="Q822" s="3">
        <f>'Historical Data'!AN819</f>
        <v/>
      </c>
      <c r="R822" s="3">
        <f>'Historical Data'!AC819</f>
        <v/>
      </c>
      <c r="S822" s="3">
        <f>'Historical Data'!AE819</f>
        <v/>
      </c>
      <c r="T822" s="3">
        <f>'Historical Data'!AH819</f>
        <v/>
      </c>
      <c r="U822" s="3">
        <f>'Historical Data'!BA819</f>
        <v/>
      </c>
      <c r="V822" s="3" t="n"/>
      <c r="W822" s="3" t="n"/>
      <c r="X822" s="3" t="n"/>
      <c r="Y822" s="3" t="n"/>
      <c r="Z822" s="3" t="n"/>
    </row>
    <row r="823" hidden="1" ht="15.75" customHeight="1" s="174">
      <c r="A823" s="3">
        <f>'Historical Data'!A820</f>
        <v/>
      </c>
      <c r="B823" s="3">
        <f>'Historical Data'!B820</f>
        <v/>
      </c>
      <c r="C823" s="3">
        <f>'Historical Data'!D820</f>
        <v/>
      </c>
      <c r="D823" s="23">
        <f>'Historical Data'!E820</f>
        <v/>
      </c>
      <c r="E823" s="3">
        <f>'Historical Data'!G820</f>
        <v/>
      </c>
      <c r="F823" s="3">
        <f>'Historical Data'!Y820</f>
        <v/>
      </c>
      <c r="G823" s="3">
        <f>'Historical Data'!K820</f>
        <v/>
      </c>
      <c r="H823" s="3">
        <f>'Historical Data'!L820</f>
        <v/>
      </c>
      <c r="I823" s="26">
        <f>'Historical Data'!M820</f>
        <v/>
      </c>
      <c r="J823" s="28">
        <f>'Historical Data'!N820</f>
        <v/>
      </c>
      <c r="K823" s="28">
        <f>'Historical Data'!Q820</f>
        <v/>
      </c>
      <c r="L823" s="30">
        <f>'Historical Data'!S820</f>
        <v/>
      </c>
      <c r="M823" s="28">
        <f>'Historical Data'!AJ820</f>
        <v/>
      </c>
      <c r="N823" s="28">
        <f>'Historical Data'!AK820</f>
        <v/>
      </c>
      <c r="O823" s="3">
        <f>'Historical Data'!AA820</f>
        <v/>
      </c>
      <c r="P823" s="3">
        <f>'Historical Data'!AB820</f>
        <v/>
      </c>
      <c r="Q823" s="3">
        <f>'Historical Data'!AN820</f>
        <v/>
      </c>
      <c r="R823" s="3">
        <f>'Historical Data'!AC820</f>
        <v/>
      </c>
      <c r="S823" s="3">
        <f>'Historical Data'!AE820</f>
        <v/>
      </c>
      <c r="T823" s="3">
        <f>'Historical Data'!AH820</f>
        <v/>
      </c>
      <c r="U823" s="3">
        <f>'Historical Data'!BA820</f>
        <v/>
      </c>
      <c r="V823" s="3" t="n"/>
      <c r="W823" s="3" t="n"/>
      <c r="X823" s="3" t="n"/>
      <c r="Y823" s="3" t="n"/>
      <c r="Z823" s="3" t="n"/>
    </row>
    <row r="824" hidden="1" ht="15.75" customHeight="1" s="174">
      <c r="A824" s="3">
        <f>'Historical Data'!A821</f>
        <v/>
      </c>
      <c r="B824" s="3">
        <f>'Historical Data'!B821</f>
        <v/>
      </c>
      <c r="C824" s="3">
        <f>'Historical Data'!D821</f>
        <v/>
      </c>
      <c r="D824" s="23">
        <f>'Historical Data'!E821</f>
        <v/>
      </c>
      <c r="E824" s="3">
        <f>'Historical Data'!G821</f>
        <v/>
      </c>
      <c r="F824" s="3">
        <f>'Historical Data'!Y821</f>
        <v/>
      </c>
      <c r="G824" s="3">
        <f>'Historical Data'!K821</f>
        <v/>
      </c>
      <c r="H824" s="3">
        <f>'Historical Data'!L821</f>
        <v/>
      </c>
      <c r="I824" s="26">
        <f>'Historical Data'!M821</f>
        <v/>
      </c>
      <c r="J824" s="28">
        <f>'Historical Data'!N821</f>
        <v/>
      </c>
      <c r="K824" s="28">
        <f>'Historical Data'!Q821</f>
        <v/>
      </c>
      <c r="L824" s="30">
        <f>'Historical Data'!S821</f>
        <v/>
      </c>
      <c r="M824" s="28">
        <f>'Historical Data'!AJ821</f>
        <v/>
      </c>
      <c r="N824" s="28">
        <f>'Historical Data'!AK821</f>
        <v/>
      </c>
      <c r="O824" s="3">
        <f>'Historical Data'!AA821</f>
        <v/>
      </c>
      <c r="P824" s="3">
        <f>'Historical Data'!AB821</f>
        <v/>
      </c>
      <c r="Q824" s="3">
        <f>'Historical Data'!AN821</f>
        <v/>
      </c>
      <c r="R824" s="3">
        <f>'Historical Data'!AC821</f>
        <v/>
      </c>
      <c r="S824" s="3">
        <f>'Historical Data'!AE821</f>
        <v/>
      </c>
      <c r="T824" s="3">
        <f>'Historical Data'!AH821</f>
        <v/>
      </c>
      <c r="U824" s="3">
        <f>'Historical Data'!BA821</f>
        <v/>
      </c>
      <c r="V824" s="3" t="n"/>
      <c r="W824" s="3" t="n"/>
      <c r="X824" s="3" t="n"/>
      <c r="Y824" s="3" t="n"/>
      <c r="Z824" s="3" t="n"/>
    </row>
    <row r="825" hidden="1" ht="15.75" customHeight="1" s="174">
      <c r="A825" s="3">
        <f>'Historical Data'!A822</f>
        <v/>
      </c>
      <c r="B825" s="3">
        <f>'Historical Data'!B822</f>
        <v/>
      </c>
      <c r="C825" s="3">
        <f>'Historical Data'!D822</f>
        <v/>
      </c>
      <c r="D825" s="23">
        <f>'Historical Data'!E822</f>
        <v/>
      </c>
      <c r="E825" s="3">
        <f>'Historical Data'!G822</f>
        <v/>
      </c>
      <c r="F825" s="3">
        <f>'Historical Data'!Y822</f>
        <v/>
      </c>
      <c r="G825" s="3">
        <f>'Historical Data'!K822</f>
        <v/>
      </c>
      <c r="H825" s="3">
        <f>'Historical Data'!L822</f>
        <v/>
      </c>
      <c r="I825" s="26">
        <f>'Historical Data'!M822</f>
        <v/>
      </c>
      <c r="J825" s="28">
        <f>'Historical Data'!N822</f>
        <v/>
      </c>
      <c r="K825" s="28">
        <f>'Historical Data'!Q822</f>
        <v/>
      </c>
      <c r="L825" s="30">
        <f>'Historical Data'!S822</f>
        <v/>
      </c>
      <c r="M825" s="28">
        <f>'Historical Data'!AJ822</f>
        <v/>
      </c>
      <c r="N825" s="28">
        <f>'Historical Data'!AK822</f>
        <v/>
      </c>
      <c r="O825" s="3">
        <f>'Historical Data'!AA822</f>
        <v/>
      </c>
      <c r="P825" s="3">
        <f>'Historical Data'!AB822</f>
        <v/>
      </c>
      <c r="Q825" s="3">
        <f>'Historical Data'!AN822</f>
        <v/>
      </c>
      <c r="R825" s="3">
        <f>'Historical Data'!AC822</f>
        <v/>
      </c>
      <c r="S825" s="3">
        <f>'Historical Data'!AE822</f>
        <v/>
      </c>
      <c r="T825" s="3">
        <f>'Historical Data'!AH822</f>
        <v/>
      </c>
      <c r="U825" s="3">
        <f>'Historical Data'!BA822</f>
        <v/>
      </c>
      <c r="V825" s="3" t="n"/>
      <c r="W825" s="3" t="n"/>
      <c r="X825" s="3" t="n"/>
      <c r="Y825" s="3" t="n"/>
      <c r="Z825" s="3" t="n"/>
    </row>
    <row r="826" hidden="1" ht="15.75" customHeight="1" s="174">
      <c r="A826" s="3">
        <f>'Historical Data'!A823</f>
        <v/>
      </c>
      <c r="B826" s="3">
        <f>'Historical Data'!B823</f>
        <v/>
      </c>
      <c r="C826" s="3">
        <f>'Historical Data'!D823</f>
        <v/>
      </c>
      <c r="D826" s="23">
        <f>'Historical Data'!E823</f>
        <v/>
      </c>
      <c r="E826" s="3">
        <f>'Historical Data'!G823</f>
        <v/>
      </c>
      <c r="F826" s="3">
        <f>'Historical Data'!Y823</f>
        <v/>
      </c>
      <c r="G826" s="3">
        <f>'Historical Data'!K823</f>
        <v/>
      </c>
      <c r="H826" s="3">
        <f>'Historical Data'!L823</f>
        <v/>
      </c>
      <c r="I826" s="26">
        <f>'Historical Data'!M823</f>
        <v/>
      </c>
      <c r="J826" s="28">
        <f>'Historical Data'!N823</f>
        <v/>
      </c>
      <c r="K826" s="28">
        <f>'Historical Data'!Q823</f>
        <v/>
      </c>
      <c r="L826" s="30">
        <f>'Historical Data'!S823</f>
        <v/>
      </c>
      <c r="M826" s="28">
        <f>'Historical Data'!AJ823</f>
        <v/>
      </c>
      <c r="N826" s="28">
        <f>'Historical Data'!AK823</f>
        <v/>
      </c>
      <c r="O826" s="3">
        <f>'Historical Data'!AA823</f>
        <v/>
      </c>
      <c r="P826" s="3">
        <f>'Historical Data'!AB823</f>
        <v/>
      </c>
      <c r="Q826" s="3">
        <f>'Historical Data'!AN823</f>
        <v/>
      </c>
      <c r="R826" s="3">
        <f>'Historical Data'!AC823</f>
        <v/>
      </c>
      <c r="S826" s="3">
        <f>'Historical Data'!AE823</f>
        <v/>
      </c>
      <c r="T826" s="3">
        <f>'Historical Data'!AH823</f>
        <v/>
      </c>
      <c r="U826" s="3">
        <f>'Historical Data'!BA823</f>
        <v/>
      </c>
      <c r="V826" s="3" t="n"/>
      <c r="W826" s="3" t="n"/>
      <c r="X826" s="3" t="n"/>
      <c r="Y826" s="3" t="n"/>
      <c r="Z826" s="3" t="n"/>
    </row>
    <row r="827" hidden="1" ht="15.75" customHeight="1" s="174">
      <c r="A827" s="3">
        <f>'Historical Data'!A824</f>
        <v/>
      </c>
      <c r="B827" s="3">
        <f>'Historical Data'!B824</f>
        <v/>
      </c>
      <c r="C827" s="3">
        <f>'Historical Data'!D824</f>
        <v/>
      </c>
      <c r="D827" s="23">
        <f>'Historical Data'!E824</f>
        <v/>
      </c>
      <c r="E827" s="3">
        <f>'Historical Data'!G824</f>
        <v/>
      </c>
      <c r="F827" s="3">
        <f>'Historical Data'!Y824</f>
        <v/>
      </c>
      <c r="G827" s="3">
        <f>'Historical Data'!K824</f>
        <v/>
      </c>
      <c r="H827" s="3">
        <f>'Historical Data'!L824</f>
        <v/>
      </c>
      <c r="I827" s="26">
        <f>'Historical Data'!M824</f>
        <v/>
      </c>
      <c r="J827" s="28">
        <f>'Historical Data'!N824</f>
        <v/>
      </c>
      <c r="K827" s="28">
        <f>'Historical Data'!Q824</f>
        <v/>
      </c>
      <c r="L827" s="30">
        <f>'Historical Data'!S824</f>
        <v/>
      </c>
      <c r="M827" s="28">
        <f>'Historical Data'!AJ824</f>
        <v/>
      </c>
      <c r="N827" s="28">
        <f>'Historical Data'!AK824</f>
        <v/>
      </c>
      <c r="O827" s="3">
        <f>'Historical Data'!AA824</f>
        <v/>
      </c>
      <c r="P827" s="3">
        <f>'Historical Data'!AB824</f>
        <v/>
      </c>
      <c r="Q827" s="3">
        <f>'Historical Data'!AN824</f>
        <v/>
      </c>
      <c r="R827" s="3">
        <f>'Historical Data'!AC824</f>
        <v/>
      </c>
      <c r="S827" s="3">
        <f>'Historical Data'!AE824</f>
        <v/>
      </c>
      <c r="T827" s="3">
        <f>'Historical Data'!AH824</f>
        <v/>
      </c>
      <c r="U827" s="3">
        <f>'Historical Data'!BA824</f>
        <v/>
      </c>
      <c r="V827" s="3" t="n"/>
      <c r="W827" s="3" t="n"/>
      <c r="X827" s="3" t="n"/>
      <c r="Y827" s="3" t="n"/>
      <c r="Z827" s="3" t="n"/>
    </row>
    <row r="828" hidden="1" ht="15.75" customHeight="1" s="174">
      <c r="A828" s="3">
        <f>'Historical Data'!A825</f>
        <v/>
      </c>
      <c r="B828" s="3">
        <f>'Historical Data'!B825</f>
        <v/>
      </c>
      <c r="C828" s="3">
        <f>'Historical Data'!D825</f>
        <v/>
      </c>
      <c r="D828" s="23">
        <f>'Historical Data'!E825</f>
        <v/>
      </c>
      <c r="E828" s="3">
        <f>'Historical Data'!G825</f>
        <v/>
      </c>
      <c r="F828" s="3">
        <f>'Historical Data'!Y825</f>
        <v/>
      </c>
      <c r="G828" s="3">
        <f>'Historical Data'!K825</f>
        <v/>
      </c>
      <c r="H828" s="3">
        <f>'Historical Data'!L825</f>
        <v/>
      </c>
      <c r="I828" s="26">
        <f>'Historical Data'!M825</f>
        <v/>
      </c>
      <c r="J828" s="28">
        <f>'Historical Data'!N825</f>
        <v/>
      </c>
      <c r="K828" s="28">
        <f>'Historical Data'!Q825</f>
        <v/>
      </c>
      <c r="L828" s="30">
        <f>'Historical Data'!S825</f>
        <v/>
      </c>
      <c r="M828" s="28">
        <f>'Historical Data'!AJ825</f>
        <v/>
      </c>
      <c r="N828" s="28">
        <f>'Historical Data'!AK825</f>
        <v/>
      </c>
      <c r="O828" s="3">
        <f>'Historical Data'!AA825</f>
        <v/>
      </c>
      <c r="P828" s="3">
        <f>'Historical Data'!AB825</f>
        <v/>
      </c>
      <c r="Q828" s="3">
        <f>'Historical Data'!AN825</f>
        <v/>
      </c>
      <c r="R828" s="3">
        <f>'Historical Data'!AC825</f>
        <v/>
      </c>
      <c r="S828" s="3">
        <f>'Historical Data'!AE825</f>
        <v/>
      </c>
      <c r="T828" s="3">
        <f>'Historical Data'!AH825</f>
        <v/>
      </c>
      <c r="U828" s="3">
        <f>'Historical Data'!BA825</f>
        <v/>
      </c>
      <c r="V828" s="3" t="n"/>
      <c r="W828" s="3" t="n"/>
      <c r="X828" s="3" t="n"/>
      <c r="Y828" s="3" t="n"/>
      <c r="Z828" s="3" t="n"/>
    </row>
    <row r="829" hidden="1" ht="15.75" customHeight="1" s="174">
      <c r="A829" s="3">
        <f>'Historical Data'!A826</f>
        <v/>
      </c>
      <c r="B829" s="3">
        <f>'Historical Data'!B826</f>
        <v/>
      </c>
      <c r="C829" s="3">
        <f>'Historical Data'!D826</f>
        <v/>
      </c>
      <c r="D829" s="23">
        <f>'Historical Data'!E826</f>
        <v/>
      </c>
      <c r="E829" s="3">
        <f>'Historical Data'!G826</f>
        <v/>
      </c>
      <c r="F829" s="3">
        <f>'Historical Data'!Y826</f>
        <v/>
      </c>
      <c r="G829" s="3">
        <f>'Historical Data'!K826</f>
        <v/>
      </c>
      <c r="H829" s="3">
        <f>'Historical Data'!L826</f>
        <v/>
      </c>
      <c r="I829" s="26">
        <f>'Historical Data'!M826</f>
        <v/>
      </c>
      <c r="J829" s="28">
        <f>'Historical Data'!N826</f>
        <v/>
      </c>
      <c r="K829" s="28">
        <f>'Historical Data'!Q826</f>
        <v/>
      </c>
      <c r="L829" s="30">
        <f>'Historical Data'!S826</f>
        <v/>
      </c>
      <c r="M829" s="28">
        <f>'Historical Data'!AJ826</f>
        <v/>
      </c>
      <c r="N829" s="28">
        <f>'Historical Data'!AK826</f>
        <v/>
      </c>
      <c r="O829" s="3">
        <f>'Historical Data'!AA826</f>
        <v/>
      </c>
      <c r="P829" s="3">
        <f>'Historical Data'!AB826</f>
        <v/>
      </c>
      <c r="Q829" s="3">
        <f>'Historical Data'!AN826</f>
        <v/>
      </c>
      <c r="R829" s="3">
        <f>'Historical Data'!AC826</f>
        <v/>
      </c>
      <c r="S829" s="3">
        <f>'Historical Data'!AE826</f>
        <v/>
      </c>
      <c r="T829" s="3">
        <f>'Historical Data'!AH826</f>
        <v/>
      </c>
      <c r="U829" s="3">
        <f>'Historical Data'!BA826</f>
        <v/>
      </c>
      <c r="V829" s="3" t="n"/>
      <c r="W829" s="3" t="n"/>
      <c r="X829" s="3" t="n"/>
      <c r="Y829" s="3" t="n"/>
      <c r="Z829" s="3" t="n"/>
    </row>
    <row r="830" hidden="1" ht="15.75" customHeight="1" s="174">
      <c r="A830" s="3">
        <f>'Historical Data'!A827</f>
        <v/>
      </c>
      <c r="B830" s="3">
        <f>'Historical Data'!B827</f>
        <v/>
      </c>
      <c r="C830" s="3">
        <f>'Historical Data'!D827</f>
        <v/>
      </c>
      <c r="D830" s="23">
        <f>'Historical Data'!E827</f>
        <v/>
      </c>
      <c r="E830" s="3">
        <f>'Historical Data'!G827</f>
        <v/>
      </c>
      <c r="F830" s="3">
        <f>'Historical Data'!Y827</f>
        <v/>
      </c>
      <c r="G830" s="3">
        <f>'Historical Data'!K827</f>
        <v/>
      </c>
      <c r="H830" s="3">
        <f>'Historical Data'!L827</f>
        <v/>
      </c>
      <c r="I830" s="26">
        <f>'Historical Data'!M827</f>
        <v/>
      </c>
      <c r="J830" s="28">
        <f>'Historical Data'!N827</f>
        <v/>
      </c>
      <c r="K830" s="28">
        <f>'Historical Data'!Q827</f>
        <v/>
      </c>
      <c r="L830" s="30">
        <f>'Historical Data'!S827</f>
        <v/>
      </c>
      <c r="M830" s="28">
        <f>'Historical Data'!AJ827</f>
        <v/>
      </c>
      <c r="N830" s="28">
        <f>'Historical Data'!AK827</f>
        <v/>
      </c>
      <c r="O830" s="3">
        <f>'Historical Data'!AA827</f>
        <v/>
      </c>
      <c r="P830" s="3">
        <f>'Historical Data'!AB827</f>
        <v/>
      </c>
      <c r="Q830" s="3">
        <f>'Historical Data'!AN827</f>
        <v/>
      </c>
      <c r="R830" s="3">
        <f>'Historical Data'!AC827</f>
        <v/>
      </c>
      <c r="S830" s="3">
        <f>'Historical Data'!AE827</f>
        <v/>
      </c>
      <c r="T830" s="3">
        <f>'Historical Data'!AH827</f>
        <v/>
      </c>
      <c r="U830" s="3">
        <f>'Historical Data'!BA827</f>
        <v/>
      </c>
      <c r="V830" s="3" t="n"/>
      <c r="W830" s="3" t="n"/>
      <c r="X830" s="3" t="n"/>
      <c r="Y830" s="3" t="n"/>
      <c r="Z830" s="3" t="n"/>
    </row>
    <row r="831" hidden="1" ht="15.75" customHeight="1" s="174">
      <c r="A831" s="3">
        <f>'Historical Data'!A828</f>
        <v/>
      </c>
      <c r="B831" s="3">
        <f>'Historical Data'!B828</f>
        <v/>
      </c>
      <c r="C831" s="3">
        <f>'Historical Data'!D828</f>
        <v/>
      </c>
      <c r="D831" s="23">
        <f>'Historical Data'!E828</f>
        <v/>
      </c>
      <c r="E831" s="3">
        <f>'Historical Data'!G828</f>
        <v/>
      </c>
      <c r="F831" s="3">
        <f>'Historical Data'!Y828</f>
        <v/>
      </c>
      <c r="G831" s="3">
        <f>'Historical Data'!K828</f>
        <v/>
      </c>
      <c r="H831" s="3">
        <f>'Historical Data'!L828</f>
        <v/>
      </c>
      <c r="I831" s="26">
        <f>'Historical Data'!M828</f>
        <v/>
      </c>
      <c r="J831" s="28">
        <f>'Historical Data'!N828</f>
        <v/>
      </c>
      <c r="K831" s="28">
        <f>'Historical Data'!Q828</f>
        <v/>
      </c>
      <c r="L831" s="30">
        <f>'Historical Data'!S828</f>
        <v/>
      </c>
      <c r="M831" s="28">
        <f>'Historical Data'!AJ828</f>
        <v/>
      </c>
      <c r="N831" s="28">
        <f>'Historical Data'!AK828</f>
        <v/>
      </c>
      <c r="O831" s="3">
        <f>'Historical Data'!AA828</f>
        <v/>
      </c>
      <c r="P831" s="3">
        <f>'Historical Data'!AB828</f>
        <v/>
      </c>
      <c r="Q831" s="3">
        <f>'Historical Data'!AN828</f>
        <v/>
      </c>
      <c r="R831" s="3">
        <f>'Historical Data'!AC828</f>
        <v/>
      </c>
      <c r="S831" s="3">
        <f>'Historical Data'!AE828</f>
        <v/>
      </c>
      <c r="T831" s="3">
        <f>'Historical Data'!AH828</f>
        <v/>
      </c>
      <c r="U831" s="3">
        <f>'Historical Data'!BA828</f>
        <v/>
      </c>
      <c r="V831" s="3" t="n"/>
      <c r="W831" s="3" t="n"/>
      <c r="X831" s="3" t="n"/>
      <c r="Y831" s="3" t="n"/>
      <c r="Z831" s="3" t="n"/>
    </row>
    <row r="832" hidden="1" ht="15.75" customHeight="1" s="174">
      <c r="A832" s="3">
        <f>'Historical Data'!A829</f>
        <v/>
      </c>
      <c r="B832" s="3">
        <f>'Historical Data'!B829</f>
        <v/>
      </c>
      <c r="C832" s="3">
        <f>'Historical Data'!D829</f>
        <v/>
      </c>
      <c r="D832" s="23">
        <f>'Historical Data'!E829</f>
        <v/>
      </c>
      <c r="E832" s="3">
        <f>'Historical Data'!G829</f>
        <v/>
      </c>
      <c r="F832" s="3">
        <f>'Historical Data'!Y829</f>
        <v/>
      </c>
      <c r="G832" s="3">
        <f>'Historical Data'!K829</f>
        <v/>
      </c>
      <c r="H832" s="3">
        <f>'Historical Data'!L829</f>
        <v/>
      </c>
      <c r="I832" s="26">
        <f>'Historical Data'!M829</f>
        <v/>
      </c>
      <c r="J832" s="28">
        <f>'Historical Data'!N829</f>
        <v/>
      </c>
      <c r="K832" s="28">
        <f>'Historical Data'!Q829</f>
        <v/>
      </c>
      <c r="L832" s="30">
        <f>'Historical Data'!S829</f>
        <v/>
      </c>
      <c r="M832" s="28">
        <f>'Historical Data'!AJ829</f>
        <v/>
      </c>
      <c r="N832" s="28">
        <f>'Historical Data'!AK829</f>
        <v/>
      </c>
      <c r="O832" s="3">
        <f>'Historical Data'!AA829</f>
        <v/>
      </c>
      <c r="P832" s="3">
        <f>'Historical Data'!AB829</f>
        <v/>
      </c>
      <c r="Q832" s="3">
        <f>'Historical Data'!AN829</f>
        <v/>
      </c>
      <c r="R832" s="3">
        <f>'Historical Data'!AC829</f>
        <v/>
      </c>
      <c r="S832" s="3">
        <f>'Historical Data'!AE829</f>
        <v/>
      </c>
      <c r="T832" s="3">
        <f>'Historical Data'!AH829</f>
        <v/>
      </c>
      <c r="U832" s="3">
        <f>'Historical Data'!BA829</f>
        <v/>
      </c>
      <c r="V832" s="3" t="n"/>
      <c r="W832" s="3" t="n"/>
      <c r="X832" s="3" t="n"/>
      <c r="Y832" s="3" t="n"/>
      <c r="Z832" s="3" t="n"/>
    </row>
    <row r="833" hidden="1" ht="15.75" customHeight="1" s="174">
      <c r="A833" s="3">
        <f>'Historical Data'!A830</f>
        <v/>
      </c>
      <c r="B833" s="3">
        <f>'Historical Data'!B830</f>
        <v/>
      </c>
      <c r="C833" s="3">
        <f>'Historical Data'!D830</f>
        <v/>
      </c>
      <c r="D833" s="23">
        <f>'Historical Data'!E830</f>
        <v/>
      </c>
      <c r="E833" s="3">
        <f>'Historical Data'!G830</f>
        <v/>
      </c>
      <c r="F833" s="3">
        <f>'Historical Data'!Y830</f>
        <v/>
      </c>
      <c r="G833" s="3">
        <f>'Historical Data'!K830</f>
        <v/>
      </c>
      <c r="H833" s="3">
        <f>'Historical Data'!L830</f>
        <v/>
      </c>
      <c r="I833" s="26">
        <f>'Historical Data'!M830</f>
        <v/>
      </c>
      <c r="J833" s="28">
        <f>'Historical Data'!N830</f>
        <v/>
      </c>
      <c r="K833" s="28">
        <f>'Historical Data'!Q830</f>
        <v/>
      </c>
      <c r="L833" s="30">
        <f>'Historical Data'!S830</f>
        <v/>
      </c>
      <c r="M833" s="28">
        <f>'Historical Data'!AJ830</f>
        <v/>
      </c>
      <c r="N833" s="28">
        <f>'Historical Data'!AK830</f>
        <v/>
      </c>
      <c r="O833" s="3">
        <f>'Historical Data'!AA830</f>
        <v/>
      </c>
      <c r="P833" s="3">
        <f>'Historical Data'!AB830</f>
        <v/>
      </c>
      <c r="Q833" s="3">
        <f>'Historical Data'!AN830</f>
        <v/>
      </c>
      <c r="R833" s="3">
        <f>'Historical Data'!AC830</f>
        <v/>
      </c>
      <c r="S833" s="3">
        <f>'Historical Data'!AE830</f>
        <v/>
      </c>
      <c r="T833" s="3">
        <f>'Historical Data'!AH830</f>
        <v/>
      </c>
      <c r="U833" s="3">
        <f>'Historical Data'!BA830</f>
        <v/>
      </c>
      <c r="V833" s="3" t="n"/>
      <c r="W833" s="3" t="n"/>
      <c r="X833" s="3" t="n"/>
      <c r="Y833" s="3" t="n"/>
      <c r="Z833" s="3" t="n"/>
    </row>
    <row r="834" hidden="1" ht="15.75" customHeight="1" s="174">
      <c r="A834" s="3">
        <f>'Historical Data'!A831</f>
        <v/>
      </c>
      <c r="B834" s="3">
        <f>'Historical Data'!B831</f>
        <v/>
      </c>
      <c r="C834" s="3">
        <f>'Historical Data'!D831</f>
        <v/>
      </c>
      <c r="D834" s="23">
        <f>'Historical Data'!E831</f>
        <v/>
      </c>
      <c r="E834" s="3">
        <f>'Historical Data'!G831</f>
        <v/>
      </c>
      <c r="F834" s="3">
        <f>'Historical Data'!Y831</f>
        <v/>
      </c>
      <c r="G834" s="3">
        <f>'Historical Data'!K831</f>
        <v/>
      </c>
      <c r="H834" s="3">
        <f>'Historical Data'!L831</f>
        <v/>
      </c>
      <c r="I834" s="26">
        <f>'Historical Data'!M831</f>
        <v/>
      </c>
      <c r="J834" s="28">
        <f>'Historical Data'!N831</f>
        <v/>
      </c>
      <c r="K834" s="28">
        <f>'Historical Data'!Q831</f>
        <v/>
      </c>
      <c r="L834" s="30">
        <f>'Historical Data'!S831</f>
        <v/>
      </c>
      <c r="M834" s="28">
        <f>'Historical Data'!AJ831</f>
        <v/>
      </c>
      <c r="N834" s="28">
        <f>'Historical Data'!AK831</f>
        <v/>
      </c>
      <c r="O834" s="3">
        <f>'Historical Data'!AA831</f>
        <v/>
      </c>
      <c r="P834" s="3">
        <f>'Historical Data'!AB831</f>
        <v/>
      </c>
      <c r="Q834" s="3">
        <f>'Historical Data'!AN831</f>
        <v/>
      </c>
      <c r="R834" s="3">
        <f>'Historical Data'!AC831</f>
        <v/>
      </c>
      <c r="S834" s="3">
        <f>'Historical Data'!AE831</f>
        <v/>
      </c>
      <c r="T834" s="3">
        <f>'Historical Data'!AH831</f>
        <v/>
      </c>
      <c r="U834" s="3">
        <f>'Historical Data'!BA831</f>
        <v/>
      </c>
      <c r="V834" s="3" t="n"/>
      <c r="W834" s="3" t="n"/>
      <c r="X834" s="3" t="n"/>
      <c r="Y834" s="3" t="n"/>
      <c r="Z834" s="3" t="n"/>
    </row>
    <row r="835" hidden="1" ht="15.75" customHeight="1" s="174">
      <c r="A835" s="3">
        <f>'Historical Data'!A832</f>
        <v/>
      </c>
      <c r="B835" s="3">
        <f>'Historical Data'!B832</f>
        <v/>
      </c>
      <c r="C835" s="3">
        <f>'Historical Data'!D832</f>
        <v/>
      </c>
      <c r="D835" s="23">
        <f>'Historical Data'!E832</f>
        <v/>
      </c>
      <c r="E835" s="3">
        <f>'Historical Data'!G832</f>
        <v/>
      </c>
      <c r="F835" s="3">
        <f>'Historical Data'!Y832</f>
        <v/>
      </c>
      <c r="G835" s="3">
        <f>'Historical Data'!K832</f>
        <v/>
      </c>
      <c r="H835" s="3">
        <f>'Historical Data'!L832</f>
        <v/>
      </c>
      <c r="I835" s="26">
        <f>'Historical Data'!M832</f>
        <v/>
      </c>
      <c r="J835" s="28">
        <f>'Historical Data'!N832</f>
        <v/>
      </c>
      <c r="K835" s="28">
        <f>'Historical Data'!Q832</f>
        <v/>
      </c>
      <c r="L835" s="30">
        <f>'Historical Data'!S832</f>
        <v/>
      </c>
      <c r="M835" s="28">
        <f>'Historical Data'!AJ832</f>
        <v/>
      </c>
      <c r="N835" s="28">
        <f>'Historical Data'!AK832</f>
        <v/>
      </c>
      <c r="O835" s="3">
        <f>'Historical Data'!AA832</f>
        <v/>
      </c>
      <c r="P835" s="3">
        <f>'Historical Data'!AB832</f>
        <v/>
      </c>
      <c r="Q835" s="3">
        <f>'Historical Data'!AN832</f>
        <v/>
      </c>
      <c r="R835" s="3">
        <f>'Historical Data'!AC832</f>
        <v/>
      </c>
      <c r="S835" s="3">
        <f>'Historical Data'!AE832</f>
        <v/>
      </c>
      <c r="T835" s="3">
        <f>'Historical Data'!AH832</f>
        <v/>
      </c>
      <c r="U835" s="3">
        <f>'Historical Data'!BA832</f>
        <v/>
      </c>
      <c r="V835" s="3" t="n"/>
      <c r="W835" s="3" t="n"/>
      <c r="X835" s="3" t="n"/>
      <c r="Y835" s="3" t="n"/>
      <c r="Z835" s="3" t="n"/>
    </row>
    <row r="836" hidden="1" ht="15.75" customHeight="1" s="174">
      <c r="A836" s="3">
        <f>'Historical Data'!A833</f>
        <v/>
      </c>
      <c r="B836" s="3">
        <f>'Historical Data'!B833</f>
        <v/>
      </c>
      <c r="C836" s="3">
        <f>'Historical Data'!D833</f>
        <v/>
      </c>
      <c r="D836" s="23">
        <f>'Historical Data'!E833</f>
        <v/>
      </c>
      <c r="E836" s="3">
        <f>'Historical Data'!G833</f>
        <v/>
      </c>
      <c r="F836" s="3">
        <f>'Historical Data'!Y833</f>
        <v/>
      </c>
      <c r="G836" s="3">
        <f>'Historical Data'!K833</f>
        <v/>
      </c>
      <c r="H836" s="3">
        <f>'Historical Data'!L833</f>
        <v/>
      </c>
      <c r="I836" s="26">
        <f>'Historical Data'!M833</f>
        <v/>
      </c>
      <c r="J836" s="28">
        <f>'Historical Data'!N833</f>
        <v/>
      </c>
      <c r="K836" s="28">
        <f>'Historical Data'!Q833</f>
        <v/>
      </c>
      <c r="L836" s="30">
        <f>'Historical Data'!S833</f>
        <v/>
      </c>
      <c r="M836" s="28">
        <f>'Historical Data'!AJ833</f>
        <v/>
      </c>
      <c r="N836" s="28">
        <f>'Historical Data'!AK833</f>
        <v/>
      </c>
      <c r="O836" s="3">
        <f>'Historical Data'!AA833</f>
        <v/>
      </c>
      <c r="P836" s="3">
        <f>'Historical Data'!AB833</f>
        <v/>
      </c>
      <c r="Q836" s="3">
        <f>'Historical Data'!AN833</f>
        <v/>
      </c>
      <c r="R836" s="3">
        <f>'Historical Data'!AC833</f>
        <v/>
      </c>
      <c r="S836" s="3">
        <f>'Historical Data'!AE833</f>
        <v/>
      </c>
      <c r="T836" s="3">
        <f>'Historical Data'!AH833</f>
        <v/>
      </c>
      <c r="U836" s="3">
        <f>'Historical Data'!BA833</f>
        <v/>
      </c>
      <c r="V836" s="3" t="n"/>
      <c r="W836" s="3" t="n"/>
      <c r="X836" s="3" t="n"/>
      <c r="Y836" s="3" t="n"/>
      <c r="Z836" s="3" t="n"/>
    </row>
    <row r="837" hidden="1" ht="15.75" customHeight="1" s="174">
      <c r="A837" s="3">
        <f>'Historical Data'!A834</f>
        <v/>
      </c>
      <c r="B837" s="3">
        <f>'Historical Data'!B834</f>
        <v/>
      </c>
      <c r="C837" s="3">
        <f>'Historical Data'!D834</f>
        <v/>
      </c>
      <c r="D837" s="23">
        <f>'Historical Data'!E834</f>
        <v/>
      </c>
      <c r="E837" s="3">
        <f>'Historical Data'!G834</f>
        <v/>
      </c>
      <c r="F837" s="3">
        <f>'Historical Data'!Y834</f>
        <v/>
      </c>
      <c r="G837" s="3">
        <f>'Historical Data'!K834</f>
        <v/>
      </c>
      <c r="H837" s="3">
        <f>'Historical Data'!L834</f>
        <v/>
      </c>
      <c r="I837" s="26">
        <f>'Historical Data'!M834</f>
        <v/>
      </c>
      <c r="J837" s="28">
        <f>'Historical Data'!N834</f>
        <v/>
      </c>
      <c r="K837" s="28">
        <f>'Historical Data'!Q834</f>
        <v/>
      </c>
      <c r="L837" s="30">
        <f>'Historical Data'!S834</f>
        <v/>
      </c>
      <c r="M837" s="28">
        <f>'Historical Data'!AJ834</f>
        <v/>
      </c>
      <c r="N837" s="28">
        <f>'Historical Data'!AK834</f>
        <v/>
      </c>
      <c r="O837" s="3">
        <f>'Historical Data'!AA834</f>
        <v/>
      </c>
      <c r="P837" s="3">
        <f>'Historical Data'!AB834</f>
        <v/>
      </c>
      <c r="Q837" s="3">
        <f>'Historical Data'!AN834</f>
        <v/>
      </c>
      <c r="R837" s="3">
        <f>'Historical Data'!AC834</f>
        <v/>
      </c>
      <c r="S837" s="3">
        <f>'Historical Data'!AE834</f>
        <v/>
      </c>
      <c r="T837" s="3">
        <f>'Historical Data'!AH834</f>
        <v/>
      </c>
      <c r="U837" s="3">
        <f>'Historical Data'!BA834</f>
        <v/>
      </c>
      <c r="V837" s="3" t="n"/>
      <c r="W837" s="3" t="n"/>
      <c r="X837" s="3" t="n"/>
      <c r="Y837" s="3" t="n"/>
      <c r="Z837" s="3" t="n"/>
    </row>
    <row r="838" hidden="1" ht="15.75" customHeight="1" s="174">
      <c r="A838" s="3">
        <f>'Historical Data'!A835</f>
        <v/>
      </c>
      <c r="B838" s="3">
        <f>'Historical Data'!B835</f>
        <v/>
      </c>
      <c r="C838" s="3">
        <f>'Historical Data'!D835</f>
        <v/>
      </c>
      <c r="D838" s="23">
        <f>'Historical Data'!E835</f>
        <v/>
      </c>
      <c r="E838" s="3">
        <f>'Historical Data'!G835</f>
        <v/>
      </c>
      <c r="F838" s="3">
        <f>'Historical Data'!Y835</f>
        <v/>
      </c>
      <c r="G838" s="3">
        <f>'Historical Data'!K835</f>
        <v/>
      </c>
      <c r="H838" s="3">
        <f>'Historical Data'!L835</f>
        <v/>
      </c>
      <c r="I838" s="26">
        <f>'Historical Data'!M835</f>
        <v/>
      </c>
      <c r="J838" s="28">
        <f>'Historical Data'!N835</f>
        <v/>
      </c>
      <c r="K838" s="28">
        <f>'Historical Data'!Q835</f>
        <v/>
      </c>
      <c r="L838" s="30">
        <f>'Historical Data'!S835</f>
        <v/>
      </c>
      <c r="M838" s="28">
        <f>'Historical Data'!AJ835</f>
        <v/>
      </c>
      <c r="N838" s="28">
        <f>'Historical Data'!AK835</f>
        <v/>
      </c>
      <c r="O838" s="3">
        <f>'Historical Data'!AA835</f>
        <v/>
      </c>
      <c r="P838" s="3">
        <f>'Historical Data'!AB835</f>
        <v/>
      </c>
      <c r="Q838" s="3">
        <f>'Historical Data'!AN835</f>
        <v/>
      </c>
      <c r="R838" s="3">
        <f>'Historical Data'!AC835</f>
        <v/>
      </c>
      <c r="S838" s="3">
        <f>'Historical Data'!AE835</f>
        <v/>
      </c>
      <c r="T838" s="3">
        <f>'Historical Data'!AH835</f>
        <v/>
      </c>
      <c r="U838" s="3">
        <f>'Historical Data'!BA835</f>
        <v/>
      </c>
      <c r="V838" s="3" t="n"/>
      <c r="W838" s="3" t="n"/>
      <c r="X838" s="3" t="n"/>
      <c r="Y838" s="3" t="n"/>
      <c r="Z838" s="3" t="n"/>
    </row>
    <row r="839" hidden="1" ht="15.75" customHeight="1" s="174">
      <c r="A839" s="3">
        <f>'Historical Data'!A836</f>
        <v/>
      </c>
      <c r="B839" s="3">
        <f>'Historical Data'!B836</f>
        <v/>
      </c>
      <c r="C839" s="3">
        <f>'Historical Data'!D836</f>
        <v/>
      </c>
      <c r="D839" s="23">
        <f>'Historical Data'!E836</f>
        <v/>
      </c>
      <c r="E839" s="3">
        <f>'Historical Data'!G836</f>
        <v/>
      </c>
      <c r="F839" s="3">
        <f>'Historical Data'!Y836</f>
        <v/>
      </c>
      <c r="G839" s="3">
        <f>'Historical Data'!K836</f>
        <v/>
      </c>
      <c r="H839" s="3">
        <f>'Historical Data'!L836</f>
        <v/>
      </c>
      <c r="I839" s="26">
        <f>'Historical Data'!M836</f>
        <v/>
      </c>
      <c r="J839" s="28">
        <f>'Historical Data'!N836</f>
        <v/>
      </c>
      <c r="K839" s="28">
        <f>'Historical Data'!Q836</f>
        <v/>
      </c>
      <c r="L839" s="30">
        <f>'Historical Data'!S836</f>
        <v/>
      </c>
      <c r="M839" s="28">
        <f>'Historical Data'!AJ836</f>
        <v/>
      </c>
      <c r="N839" s="28">
        <f>'Historical Data'!AK836</f>
        <v/>
      </c>
      <c r="O839" s="3">
        <f>'Historical Data'!AA836</f>
        <v/>
      </c>
      <c r="P839" s="3">
        <f>'Historical Data'!AB836</f>
        <v/>
      </c>
      <c r="Q839" s="3">
        <f>'Historical Data'!AN836</f>
        <v/>
      </c>
      <c r="R839" s="3">
        <f>'Historical Data'!AC836</f>
        <v/>
      </c>
      <c r="S839" s="3">
        <f>'Historical Data'!AE836</f>
        <v/>
      </c>
      <c r="T839" s="3">
        <f>'Historical Data'!AH836</f>
        <v/>
      </c>
      <c r="U839" s="3">
        <f>'Historical Data'!BA836</f>
        <v/>
      </c>
      <c r="V839" s="3" t="n"/>
      <c r="W839" s="3" t="n"/>
      <c r="X839" s="3" t="n"/>
      <c r="Y839" s="3" t="n"/>
      <c r="Z839" s="3" t="n"/>
    </row>
    <row r="840" hidden="1" ht="15.75" customHeight="1" s="174">
      <c r="A840" s="3">
        <f>'Historical Data'!A837</f>
        <v/>
      </c>
      <c r="B840" s="3">
        <f>'Historical Data'!B837</f>
        <v/>
      </c>
      <c r="C840" s="3">
        <f>'Historical Data'!D837</f>
        <v/>
      </c>
      <c r="D840" s="23">
        <f>'Historical Data'!E837</f>
        <v/>
      </c>
      <c r="E840" s="3">
        <f>'Historical Data'!G837</f>
        <v/>
      </c>
      <c r="F840" s="3">
        <f>'Historical Data'!Y837</f>
        <v/>
      </c>
      <c r="G840" s="3">
        <f>'Historical Data'!K837</f>
        <v/>
      </c>
      <c r="H840" s="3">
        <f>'Historical Data'!L837</f>
        <v/>
      </c>
      <c r="I840" s="26">
        <f>'Historical Data'!M837</f>
        <v/>
      </c>
      <c r="J840" s="28">
        <f>'Historical Data'!N837</f>
        <v/>
      </c>
      <c r="K840" s="28">
        <f>'Historical Data'!Q837</f>
        <v/>
      </c>
      <c r="L840" s="30">
        <f>'Historical Data'!S837</f>
        <v/>
      </c>
      <c r="M840" s="28">
        <f>'Historical Data'!AJ837</f>
        <v/>
      </c>
      <c r="N840" s="28">
        <f>'Historical Data'!AK837</f>
        <v/>
      </c>
      <c r="O840" s="3">
        <f>'Historical Data'!AA837</f>
        <v/>
      </c>
      <c r="P840" s="3">
        <f>'Historical Data'!AB837</f>
        <v/>
      </c>
      <c r="Q840" s="3">
        <f>'Historical Data'!AN837</f>
        <v/>
      </c>
      <c r="R840" s="3">
        <f>'Historical Data'!AC837</f>
        <v/>
      </c>
      <c r="S840" s="3">
        <f>'Historical Data'!AE837</f>
        <v/>
      </c>
      <c r="T840" s="3">
        <f>'Historical Data'!AH837</f>
        <v/>
      </c>
      <c r="U840" s="3">
        <f>'Historical Data'!BA837</f>
        <v/>
      </c>
      <c r="V840" s="3" t="n"/>
      <c r="W840" s="3" t="n"/>
      <c r="X840" s="3" t="n"/>
      <c r="Y840" s="3" t="n"/>
      <c r="Z840" s="3" t="n"/>
    </row>
    <row r="841" hidden="1" ht="15.75" customHeight="1" s="174">
      <c r="A841" s="3">
        <f>'Historical Data'!A838</f>
        <v/>
      </c>
      <c r="B841" s="3">
        <f>'Historical Data'!B838</f>
        <v/>
      </c>
      <c r="C841" s="3">
        <f>'Historical Data'!D838</f>
        <v/>
      </c>
      <c r="D841" s="23">
        <f>'Historical Data'!E838</f>
        <v/>
      </c>
      <c r="E841" s="3">
        <f>'Historical Data'!G838</f>
        <v/>
      </c>
      <c r="F841" s="3">
        <f>'Historical Data'!Y838</f>
        <v/>
      </c>
      <c r="G841" s="3">
        <f>'Historical Data'!K838</f>
        <v/>
      </c>
      <c r="H841" s="3">
        <f>'Historical Data'!L838</f>
        <v/>
      </c>
      <c r="I841" s="26">
        <f>'Historical Data'!M838</f>
        <v/>
      </c>
      <c r="J841" s="28">
        <f>'Historical Data'!N838</f>
        <v/>
      </c>
      <c r="K841" s="28">
        <f>'Historical Data'!Q838</f>
        <v/>
      </c>
      <c r="L841" s="30">
        <f>'Historical Data'!S838</f>
        <v/>
      </c>
      <c r="M841" s="28">
        <f>'Historical Data'!AJ838</f>
        <v/>
      </c>
      <c r="N841" s="28">
        <f>'Historical Data'!AK838</f>
        <v/>
      </c>
      <c r="O841" s="3">
        <f>'Historical Data'!AA838</f>
        <v/>
      </c>
      <c r="P841" s="3">
        <f>'Historical Data'!AB838</f>
        <v/>
      </c>
      <c r="Q841" s="3">
        <f>'Historical Data'!AN838</f>
        <v/>
      </c>
      <c r="R841" s="3">
        <f>'Historical Data'!AC838</f>
        <v/>
      </c>
      <c r="S841" s="3">
        <f>'Historical Data'!AE838</f>
        <v/>
      </c>
      <c r="T841" s="3">
        <f>'Historical Data'!AH838</f>
        <v/>
      </c>
      <c r="U841" s="3">
        <f>'Historical Data'!BA838</f>
        <v/>
      </c>
      <c r="V841" s="3" t="n"/>
      <c r="W841" s="3" t="n"/>
      <c r="X841" s="3" t="n"/>
      <c r="Y841" s="3" t="n"/>
      <c r="Z841" s="3" t="n"/>
    </row>
    <row r="842" hidden="1" ht="15.75" customHeight="1" s="174">
      <c r="A842" s="3">
        <f>'Historical Data'!A839</f>
        <v/>
      </c>
      <c r="B842" s="3">
        <f>'Historical Data'!B839</f>
        <v/>
      </c>
      <c r="C842" s="3">
        <f>'Historical Data'!D839</f>
        <v/>
      </c>
      <c r="D842" s="23">
        <f>'Historical Data'!E839</f>
        <v/>
      </c>
      <c r="E842" s="3">
        <f>'Historical Data'!G839</f>
        <v/>
      </c>
      <c r="F842" s="3">
        <f>'Historical Data'!Y839</f>
        <v/>
      </c>
      <c r="G842" s="3">
        <f>'Historical Data'!K839</f>
        <v/>
      </c>
      <c r="H842" s="3">
        <f>'Historical Data'!L839</f>
        <v/>
      </c>
      <c r="I842" s="26">
        <f>'Historical Data'!M839</f>
        <v/>
      </c>
      <c r="J842" s="28">
        <f>'Historical Data'!N839</f>
        <v/>
      </c>
      <c r="K842" s="28">
        <f>'Historical Data'!Q839</f>
        <v/>
      </c>
      <c r="L842" s="30">
        <f>'Historical Data'!S839</f>
        <v/>
      </c>
      <c r="M842" s="28">
        <f>'Historical Data'!AJ839</f>
        <v/>
      </c>
      <c r="N842" s="28">
        <f>'Historical Data'!AK839</f>
        <v/>
      </c>
      <c r="O842" s="3">
        <f>'Historical Data'!AA839</f>
        <v/>
      </c>
      <c r="P842" s="3">
        <f>'Historical Data'!AB839</f>
        <v/>
      </c>
      <c r="Q842" s="3">
        <f>'Historical Data'!AN839</f>
        <v/>
      </c>
      <c r="R842" s="3">
        <f>'Historical Data'!AC839</f>
        <v/>
      </c>
      <c r="S842" s="3">
        <f>'Historical Data'!AE839</f>
        <v/>
      </c>
      <c r="T842" s="3">
        <f>'Historical Data'!AH839</f>
        <v/>
      </c>
      <c r="U842" s="3">
        <f>'Historical Data'!BA839</f>
        <v/>
      </c>
      <c r="V842" s="3" t="n"/>
      <c r="W842" s="3" t="n"/>
      <c r="X842" s="3" t="n"/>
      <c r="Y842" s="3" t="n"/>
      <c r="Z842" s="3" t="n"/>
    </row>
    <row r="843" hidden="1" ht="15.75" customHeight="1" s="174">
      <c r="A843" s="3">
        <f>'Historical Data'!A840</f>
        <v/>
      </c>
      <c r="B843" s="3">
        <f>'Historical Data'!B840</f>
        <v/>
      </c>
      <c r="C843" s="3">
        <f>'Historical Data'!D840</f>
        <v/>
      </c>
      <c r="D843" s="23">
        <f>'Historical Data'!E840</f>
        <v/>
      </c>
      <c r="E843" s="3">
        <f>'Historical Data'!G840</f>
        <v/>
      </c>
      <c r="F843" s="3">
        <f>'Historical Data'!Y840</f>
        <v/>
      </c>
      <c r="G843" s="3">
        <f>'Historical Data'!K840</f>
        <v/>
      </c>
      <c r="H843" s="3">
        <f>'Historical Data'!L840</f>
        <v/>
      </c>
      <c r="I843" s="26">
        <f>'Historical Data'!M840</f>
        <v/>
      </c>
      <c r="J843" s="28">
        <f>'Historical Data'!N840</f>
        <v/>
      </c>
      <c r="K843" s="28">
        <f>'Historical Data'!Q840</f>
        <v/>
      </c>
      <c r="L843" s="30">
        <f>'Historical Data'!S840</f>
        <v/>
      </c>
      <c r="M843" s="28">
        <f>'Historical Data'!AJ840</f>
        <v/>
      </c>
      <c r="N843" s="28">
        <f>'Historical Data'!AK840</f>
        <v/>
      </c>
      <c r="O843" s="3">
        <f>'Historical Data'!AA840</f>
        <v/>
      </c>
      <c r="P843" s="3">
        <f>'Historical Data'!AB840</f>
        <v/>
      </c>
      <c r="Q843" s="3">
        <f>'Historical Data'!AN840</f>
        <v/>
      </c>
      <c r="R843" s="3">
        <f>'Historical Data'!AC840</f>
        <v/>
      </c>
      <c r="S843" s="3">
        <f>'Historical Data'!AE840</f>
        <v/>
      </c>
      <c r="T843" s="3">
        <f>'Historical Data'!AH840</f>
        <v/>
      </c>
      <c r="U843" s="3">
        <f>'Historical Data'!BA840</f>
        <v/>
      </c>
      <c r="V843" s="3" t="n"/>
      <c r="W843" s="3" t="n"/>
      <c r="X843" s="3" t="n"/>
      <c r="Y843" s="3" t="n"/>
      <c r="Z843" s="3" t="n"/>
    </row>
    <row r="844" hidden="1" ht="15.75" customHeight="1" s="174">
      <c r="A844" s="3">
        <f>'Historical Data'!A841</f>
        <v/>
      </c>
      <c r="B844" s="3">
        <f>'Historical Data'!B841</f>
        <v/>
      </c>
      <c r="C844" s="3">
        <f>'Historical Data'!D841</f>
        <v/>
      </c>
      <c r="D844" s="23">
        <f>'Historical Data'!E841</f>
        <v/>
      </c>
      <c r="E844" s="3">
        <f>'Historical Data'!G841</f>
        <v/>
      </c>
      <c r="F844" s="3">
        <f>'Historical Data'!Y841</f>
        <v/>
      </c>
      <c r="G844" s="3">
        <f>'Historical Data'!K841</f>
        <v/>
      </c>
      <c r="H844" s="3">
        <f>'Historical Data'!L841</f>
        <v/>
      </c>
      <c r="I844" s="26">
        <f>'Historical Data'!M841</f>
        <v/>
      </c>
      <c r="J844" s="28">
        <f>'Historical Data'!N841</f>
        <v/>
      </c>
      <c r="K844" s="28">
        <f>'Historical Data'!Q841</f>
        <v/>
      </c>
      <c r="L844" s="30">
        <f>'Historical Data'!S841</f>
        <v/>
      </c>
      <c r="M844" s="28">
        <f>'Historical Data'!AJ841</f>
        <v/>
      </c>
      <c r="N844" s="28">
        <f>'Historical Data'!AK841</f>
        <v/>
      </c>
      <c r="O844" s="3">
        <f>'Historical Data'!AA841</f>
        <v/>
      </c>
      <c r="P844" s="3">
        <f>'Historical Data'!AB841</f>
        <v/>
      </c>
      <c r="Q844" s="3">
        <f>'Historical Data'!AN841</f>
        <v/>
      </c>
      <c r="R844" s="3">
        <f>'Historical Data'!AC841</f>
        <v/>
      </c>
      <c r="S844" s="3">
        <f>'Historical Data'!AE841</f>
        <v/>
      </c>
      <c r="T844" s="3">
        <f>'Historical Data'!AH841</f>
        <v/>
      </c>
      <c r="U844" s="3">
        <f>'Historical Data'!BA841</f>
        <v/>
      </c>
      <c r="V844" s="3" t="n"/>
      <c r="W844" s="3" t="n"/>
      <c r="X844" s="3" t="n"/>
      <c r="Y844" s="3" t="n"/>
      <c r="Z844" s="3" t="n"/>
    </row>
    <row r="845" hidden="1" ht="15.75" customHeight="1" s="174">
      <c r="A845" s="3">
        <f>'Historical Data'!A842</f>
        <v/>
      </c>
      <c r="B845" s="3">
        <f>'Historical Data'!B842</f>
        <v/>
      </c>
      <c r="C845" s="3">
        <f>'Historical Data'!D842</f>
        <v/>
      </c>
      <c r="D845" s="23">
        <f>'Historical Data'!E842</f>
        <v/>
      </c>
      <c r="E845" s="3">
        <f>'Historical Data'!G842</f>
        <v/>
      </c>
      <c r="F845" s="3">
        <f>'Historical Data'!Y842</f>
        <v/>
      </c>
      <c r="G845" s="3">
        <f>'Historical Data'!K842</f>
        <v/>
      </c>
      <c r="H845" s="3">
        <f>'Historical Data'!L842</f>
        <v/>
      </c>
      <c r="I845" s="26">
        <f>'Historical Data'!M842</f>
        <v/>
      </c>
      <c r="J845" s="28">
        <f>'Historical Data'!N842</f>
        <v/>
      </c>
      <c r="K845" s="28">
        <f>'Historical Data'!Q842</f>
        <v/>
      </c>
      <c r="L845" s="30">
        <f>'Historical Data'!S842</f>
        <v/>
      </c>
      <c r="M845" s="28">
        <f>'Historical Data'!AJ842</f>
        <v/>
      </c>
      <c r="N845" s="28">
        <f>'Historical Data'!AK842</f>
        <v/>
      </c>
      <c r="O845" s="3">
        <f>'Historical Data'!AA842</f>
        <v/>
      </c>
      <c r="P845" s="3">
        <f>'Historical Data'!AB842</f>
        <v/>
      </c>
      <c r="Q845" s="3">
        <f>'Historical Data'!AN842</f>
        <v/>
      </c>
      <c r="R845" s="3">
        <f>'Historical Data'!AC842</f>
        <v/>
      </c>
      <c r="S845" s="3">
        <f>'Historical Data'!AE842</f>
        <v/>
      </c>
      <c r="T845" s="3">
        <f>'Historical Data'!AH842</f>
        <v/>
      </c>
      <c r="U845" s="3">
        <f>'Historical Data'!BA842</f>
        <v/>
      </c>
      <c r="V845" s="3" t="n"/>
      <c r="W845" s="3" t="n"/>
      <c r="X845" s="3" t="n"/>
      <c r="Y845" s="3" t="n"/>
      <c r="Z845" s="3" t="n"/>
    </row>
    <row r="846" hidden="1" ht="15.75" customHeight="1" s="174">
      <c r="A846" s="3">
        <f>'Historical Data'!A843</f>
        <v/>
      </c>
      <c r="B846" s="3">
        <f>'Historical Data'!B843</f>
        <v/>
      </c>
      <c r="C846" s="3">
        <f>'Historical Data'!D843</f>
        <v/>
      </c>
      <c r="D846" s="23">
        <f>'Historical Data'!E843</f>
        <v/>
      </c>
      <c r="E846" s="3">
        <f>'Historical Data'!G843</f>
        <v/>
      </c>
      <c r="F846" s="3">
        <f>'Historical Data'!Y843</f>
        <v/>
      </c>
      <c r="G846" s="3">
        <f>'Historical Data'!K843</f>
        <v/>
      </c>
      <c r="H846" s="3">
        <f>'Historical Data'!L843</f>
        <v/>
      </c>
      <c r="I846" s="26">
        <f>'Historical Data'!M843</f>
        <v/>
      </c>
      <c r="J846" s="28">
        <f>'Historical Data'!N843</f>
        <v/>
      </c>
      <c r="K846" s="28">
        <f>'Historical Data'!Q843</f>
        <v/>
      </c>
      <c r="L846" s="30">
        <f>'Historical Data'!S843</f>
        <v/>
      </c>
      <c r="M846" s="28">
        <f>'Historical Data'!AJ843</f>
        <v/>
      </c>
      <c r="N846" s="28">
        <f>'Historical Data'!AK843</f>
        <v/>
      </c>
      <c r="O846" s="3">
        <f>'Historical Data'!AA843</f>
        <v/>
      </c>
      <c r="P846" s="3">
        <f>'Historical Data'!AB843</f>
        <v/>
      </c>
      <c r="Q846" s="3">
        <f>'Historical Data'!AN843</f>
        <v/>
      </c>
      <c r="R846" s="3">
        <f>'Historical Data'!AC843</f>
        <v/>
      </c>
      <c r="S846" s="3">
        <f>'Historical Data'!AE843</f>
        <v/>
      </c>
      <c r="T846" s="3">
        <f>'Historical Data'!AH843</f>
        <v/>
      </c>
      <c r="U846" s="3">
        <f>'Historical Data'!BA843</f>
        <v/>
      </c>
      <c r="V846" s="3" t="n"/>
      <c r="W846" s="3" t="n"/>
      <c r="X846" s="3" t="n"/>
      <c r="Y846" s="3" t="n"/>
      <c r="Z846" s="3" t="n"/>
    </row>
    <row r="847" hidden="1" ht="15.75" customHeight="1" s="174">
      <c r="A847" s="3">
        <f>'Historical Data'!A844</f>
        <v/>
      </c>
      <c r="B847" s="3">
        <f>'Historical Data'!B844</f>
        <v/>
      </c>
      <c r="C847" s="3">
        <f>'Historical Data'!D844</f>
        <v/>
      </c>
      <c r="D847" s="23">
        <f>'Historical Data'!E844</f>
        <v/>
      </c>
      <c r="E847" s="3">
        <f>'Historical Data'!G844</f>
        <v/>
      </c>
      <c r="F847" s="3">
        <f>'Historical Data'!Y844</f>
        <v/>
      </c>
      <c r="G847" s="3">
        <f>'Historical Data'!K844</f>
        <v/>
      </c>
      <c r="H847" s="3">
        <f>'Historical Data'!L844</f>
        <v/>
      </c>
      <c r="I847" s="26">
        <f>'Historical Data'!M844</f>
        <v/>
      </c>
      <c r="J847" s="28">
        <f>'Historical Data'!N844</f>
        <v/>
      </c>
      <c r="K847" s="28">
        <f>'Historical Data'!Q844</f>
        <v/>
      </c>
      <c r="L847" s="30">
        <f>'Historical Data'!S844</f>
        <v/>
      </c>
      <c r="M847" s="28">
        <f>'Historical Data'!AJ844</f>
        <v/>
      </c>
      <c r="N847" s="28">
        <f>'Historical Data'!AK844</f>
        <v/>
      </c>
      <c r="O847" s="3">
        <f>'Historical Data'!AA844</f>
        <v/>
      </c>
      <c r="P847" s="3">
        <f>'Historical Data'!AB844</f>
        <v/>
      </c>
      <c r="Q847" s="3">
        <f>'Historical Data'!AN844</f>
        <v/>
      </c>
      <c r="R847" s="3">
        <f>'Historical Data'!AC844</f>
        <v/>
      </c>
      <c r="S847" s="3">
        <f>'Historical Data'!AE844</f>
        <v/>
      </c>
      <c r="T847" s="3">
        <f>'Historical Data'!AH844</f>
        <v/>
      </c>
      <c r="U847" s="3">
        <f>'Historical Data'!BA844</f>
        <v/>
      </c>
      <c r="V847" s="3" t="n"/>
      <c r="W847" s="3" t="n"/>
      <c r="X847" s="3" t="n"/>
      <c r="Y847" s="3" t="n"/>
      <c r="Z847" s="3" t="n"/>
    </row>
    <row r="848" hidden="1" ht="15.75" customHeight="1" s="174">
      <c r="A848" s="3">
        <f>'Historical Data'!A845</f>
        <v/>
      </c>
      <c r="B848" s="3">
        <f>'Historical Data'!B845</f>
        <v/>
      </c>
      <c r="C848" s="3">
        <f>'Historical Data'!D845</f>
        <v/>
      </c>
      <c r="D848" s="23">
        <f>'Historical Data'!E845</f>
        <v/>
      </c>
      <c r="E848" s="3">
        <f>'Historical Data'!G845</f>
        <v/>
      </c>
      <c r="F848" s="3">
        <f>'Historical Data'!Y845</f>
        <v/>
      </c>
      <c r="G848" s="3">
        <f>'Historical Data'!K845</f>
        <v/>
      </c>
      <c r="H848" s="3">
        <f>'Historical Data'!L845</f>
        <v/>
      </c>
      <c r="I848" s="26">
        <f>'Historical Data'!M845</f>
        <v/>
      </c>
      <c r="J848" s="28">
        <f>'Historical Data'!N845</f>
        <v/>
      </c>
      <c r="K848" s="28">
        <f>'Historical Data'!Q845</f>
        <v/>
      </c>
      <c r="L848" s="30">
        <f>'Historical Data'!S845</f>
        <v/>
      </c>
      <c r="M848" s="28">
        <f>'Historical Data'!AJ845</f>
        <v/>
      </c>
      <c r="N848" s="28">
        <f>'Historical Data'!AK845</f>
        <v/>
      </c>
      <c r="O848" s="3">
        <f>'Historical Data'!AA845</f>
        <v/>
      </c>
      <c r="P848" s="3">
        <f>'Historical Data'!AB845</f>
        <v/>
      </c>
      <c r="Q848" s="3">
        <f>'Historical Data'!AN845</f>
        <v/>
      </c>
      <c r="R848" s="3">
        <f>'Historical Data'!AC845</f>
        <v/>
      </c>
      <c r="S848" s="3">
        <f>'Historical Data'!AE845</f>
        <v/>
      </c>
      <c r="T848" s="3">
        <f>'Historical Data'!AH845</f>
        <v/>
      </c>
      <c r="U848" s="3">
        <f>'Historical Data'!BA845</f>
        <v/>
      </c>
      <c r="V848" s="3" t="n"/>
      <c r="W848" s="3" t="n"/>
      <c r="X848" s="3" t="n"/>
      <c r="Y848" s="3" t="n"/>
      <c r="Z848" s="3" t="n"/>
    </row>
    <row r="849" hidden="1" ht="15.75" customHeight="1" s="174">
      <c r="A849" s="3">
        <f>'Historical Data'!A846</f>
        <v/>
      </c>
      <c r="B849" s="3">
        <f>'Historical Data'!B846</f>
        <v/>
      </c>
      <c r="C849" s="3">
        <f>'Historical Data'!D846</f>
        <v/>
      </c>
      <c r="D849" s="23">
        <f>'Historical Data'!E846</f>
        <v/>
      </c>
      <c r="E849" s="3">
        <f>'Historical Data'!G846</f>
        <v/>
      </c>
      <c r="F849" s="3">
        <f>'Historical Data'!Y846</f>
        <v/>
      </c>
      <c r="G849" s="3">
        <f>'Historical Data'!K846</f>
        <v/>
      </c>
      <c r="H849" s="3">
        <f>'Historical Data'!L846</f>
        <v/>
      </c>
      <c r="I849" s="26">
        <f>'Historical Data'!M846</f>
        <v/>
      </c>
      <c r="J849" s="28">
        <f>'Historical Data'!N846</f>
        <v/>
      </c>
      <c r="K849" s="28">
        <f>'Historical Data'!Q846</f>
        <v/>
      </c>
      <c r="L849" s="30">
        <f>'Historical Data'!S846</f>
        <v/>
      </c>
      <c r="M849" s="28">
        <f>'Historical Data'!AJ846</f>
        <v/>
      </c>
      <c r="N849" s="28">
        <f>'Historical Data'!AK846</f>
        <v/>
      </c>
      <c r="O849" s="3">
        <f>'Historical Data'!AA846</f>
        <v/>
      </c>
      <c r="P849" s="3">
        <f>'Historical Data'!AB846</f>
        <v/>
      </c>
      <c r="Q849" s="3">
        <f>'Historical Data'!AN846</f>
        <v/>
      </c>
      <c r="R849" s="3">
        <f>'Historical Data'!AC846</f>
        <v/>
      </c>
      <c r="S849" s="3">
        <f>'Historical Data'!AE846</f>
        <v/>
      </c>
      <c r="T849" s="3">
        <f>'Historical Data'!AH846</f>
        <v/>
      </c>
      <c r="U849" s="3">
        <f>'Historical Data'!BA846</f>
        <v/>
      </c>
      <c r="V849" s="3" t="n"/>
      <c r="W849" s="3" t="n"/>
      <c r="X849" s="3" t="n"/>
      <c r="Y849" s="3" t="n"/>
      <c r="Z849" s="3" t="n"/>
    </row>
    <row r="850" hidden="1" ht="15.75" customHeight="1" s="174">
      <c r="A850" s="3">
        <f>'Historical Data'!A847</f>
        <v/>
      </c>
      <c r="B850" s="3">
        <f>'Historical Data'!B847</f>
        <v/>
      </c>
      <c r="C850" s="3">
        <f>'Historical Data'!D847</f>
        <v/>
      </c>
      <c r="D850" s="23">
        <f>'Historical Data'!E847</f>
        <v/>
      </c>
      <c r="E850" s="3">
        <f>'Historical Data'!G847</f>
        <v/>
      </c>
      <c r="F850" s="3">
        <f>'Historical Data'!Y847</f>
        <v/>
      </c>
      <c r="G850" s="3">
        <f>'Historical Data'!K847</f>
        <v/>
      </c>
      <c r="H850" s="3">
        <f>'Historical Data'!L847</f>
        <v/>
      </c>
      <c r="I850" s="26">
        <f>'Historical Data'!M847</f>
        <v/>
      </c>
      <c r="J850" s="28">
        <f>'Historical Data'!N847</f>
        <v/>
      </c>
      <c r="K850" s="28">
        <f>'Historical Data'!Q847</f>
        <v/>
      </c>
      <c r="L850" s="30">
        <f>'Historical Data'!S847</f>
        <v/>
      </c>
      <c r="M850" s="28">
        <f>'Historical Data'!AJ847</f>
        <v/>
      </c>
      <c r="N850" s="28">
        <f>'Historical Data'!AK847</f>
        <v/>
      </c>
      <c r="O850" s="3">
        <f>'Historical Data'!AA847</f>
        <v/>
      </c>
      <c r="P850" s="3">
        <f>'Historical Data'!AB847</f>
        <v/>
      </c>
      <c r="Q850" s="3">
        <f>'Historical Data'!AN847</f>
        <v/>
      </c>
      <c r="R850" s="3">
        <f>'Historical Data'!AC847</f>
        <v/>
      </c>
      <c r="S850" s="3">
        <f>'Historical Data'!AE847</f>
        <v/>
      </c>
      <c r="T850" s="3">
        <f>'Historical Data'!AH847</f>
        <v/>
      </c>
      <c r="U850" s="3">
        <f>'Historical Data'!BA847</f>
        <v/>
      </c>
      <c r="V850" s="3" t="n"/>
      <c r="W850" s="3" t="n"/>
      <c r="X850" s="3" t="n"/>
      <c r="Y850" s="3" t="n"/>
      <c r="Z850" s="3" t="n"/>
    </row>
    <row r="851" hidden="1" ht="15.75" customHeight="1" s="174">
      <c r="A851" s="3">
        <f>'Historical Data'!A848</f>
        <v/>
      </c>
      <c r="B851" s="3">
        <f>'Historical Data'!B848</f>
        <v/>
      </c>
      <c r="C851" s="3">
        <f>'Historical Data'!D848</f>
        <v/>
      </c>
      <c r="D851" s="23">
        <f>'Historical Data'!E848</f>
        <v/>
      </c>
      <c r="E851" s="3">
        <f>'Historical Data'!G848</f>
        <v/>
      </c>
      <c r="F851" s="3">
        <f>'Historical Data'!Y848</f>
        <v/>
      </c>
      <c r="G851" s="3">
        <f>'Historical Data'!K848</f>
        <v/>
      </c>
      <c r="H851" s="3">
        <f>'Historical Data'!L848</f>
        <v/>
      </c>
      <c r="I851" s="26">
        <f>'Historical Data'!M848</f>
        <v/>
      </c>
      <c r="J851" s="28">
        <f>'Historical Data'!N848</f>
        <v/>
      </c>
      <c r="K851" s="28">
        <f>'Historical Data'!Q848</f>
        <v/>
      </c>
      <c r="L851" s="30">
        <f>'Historical Data'!S848</f>
        <v/>
      </c>
      <c r="M851" s="28">
        <f>'Historical Data'!AJ848</f>
        <v/>
      </c>
      <c r="N851" s="28">
        <f>'Historical Data'!AK848</f>
        <v/>
      </c>
      <c r="O851" s="3">
        <f>'Historical Data'!AA848</f>
        <v/>
      </c>
      <c r="P851" s="3">
        <f>'Historical Data'!AB848</f>
        <v/>
      </c>
      <c r="Q851" s="3">
        <f>'Historical Data'!AN848</f>
        <v/>
      </c>
      <c r="R851" s="3">
        <f>'Historical Data'!AC848</f>
        <v/>
      </c>
      <c r="S851" s="3">
        <f>'Historical Data'!AE848</f>
        <v/>
      </c>
      <c r="T851" s="3">
        <f>'Historical Data'!AH848</f>
        <v/>
      </c>
      <c r="U851" s="3">
        <f>'Historical Data'!BA848</f>
        <v/>
      </c>
      <c r="V851" s="3" t="n"/>
      <c r="W851" s="3" t="n"/>
      <c r="X851" s="3" t="n"/>
      <c r="Y851" s="3" t="n"/>
      <c r="Z851" s="3" t="n"/>
    </row>
    <row r="852" hidden="1" ht="15.75" customHeight="1" s="174">
      <c r="A852" s="3">
        <f>'Historical Data'!A849</f>
        <v/>
      </c>
      <c r="B852" s="3">
        <f>'Historical Data'!B849</f>
        <v/>
      </c>
      <c r="C852" s="3">
        <f>'Historical Data'!D849</f>
        <v/>
      </c>
      <c r="D852" s="23">
        <f>'Historical Data'!E849</f>
        <v/>
      </c>
      <c r="E852" s="3">
        <f>'Historical Data'!G849</f>
        <v/>
      </c>
      <c r="F852" s="3">
        <f>'Historical Data'!Y849</f>
        <v/>
      </c>
      <c r="G852" s="3">
        <f>'Historical Data'!K849</f>
        <v/>
      </c>
      <c r="H852" s="3">
        <f>'Historical Data'!L849</f>
        <v/>
      </c>
      <c r="I852" s="26">
        <f>'Historical Data'!M849</f>
        <v/>
      </c>
      <c r="J852" s="28">
        <f>'Historical Data'!N849</f>
        <v/>
      </c>
      <c r="K852" s="28">
        <f>'Historical Data'!Q849</f>
        <v/>
      </c>
      <c r="L852" s="30">
        <f>'Historical Data'!S849</f>
        <v/>
      </c>
      <c r="M852" s="28">
        <f>'Historical Data'!AJ849</f>
        <v/>
      </c>
      <c r="N852" s="28">
        <f>'Historical Data'!AK849</f>
        <v/>
      </c>
      <c r="O852" s="3">
        <f>'Historical Data'!AA849</f>
        <v/>
      </c>
      <c r="P852" s="3">
        <f>'Historical Data'!AB849</f>
        <v/>
      </c>
      <c r="Q852" s="3">
        <f>'Historical Data'!AN849</f>
        <v/>
      </c>
      <c r="R852" s="3">
        <f>'Historical Data'!AC849</f>
        <v/>
      </c>
      <c r="S852" s="3">
        <f>'Historical Data'!AE849</f>
        <v/>
      </c>
      <c r="T852" s="3">
        <f>'Historical Data'!AH849</f>
        <v/>
      </c>
      <c r="U852" s="3">
        <f>'Historical Data'!BA849</f>
        <v/>
      </c>
      <c r="V852" s="3" t="n"/>
      <c r="W852" s="3" t="n"/>
      <c r="X852" s="3" t="n"/>
      <c r="Y852" s="3" t="n"/>
      <c r="Z852" s="3" t="n"/>
    </row>
    <row r="853" hidden="1" ht="15.75" customHeight="1" s="174">
      <c r="A853" s="3">
        <f>'Historical Data'!A850</f>
        <v/>
      </c>
      <c r="B853" s="3">
        <f>'Historical Data'!B850</f>
        <v/>
      </c>
      <c r="C853" s="3">
        <f>'Historical Data'!D850</f>
        <v/>
      </c>
      <c r="D853" s="23">
        <f>'Historical Data'!E850</f>
        <v/>
      </c>
      <c r="E853" s="3">
        <f>'Historical Data'!G850</f>
        <v/>
      </c>
      <c r="F853" s="3">
        <f>'Historical Data'!Y850</f>
        <v/>
      </c>
      <c r="G853" s="3">
        <f>'Historical Data'!K850</f>
        <v/>
      </c>
      <c r="H853" s="3">
        <f>'Historical Data'!L850</f>
        <v/>
      </c>
      <c r="I853" s="26">
        <f>'Historical Data'!M850</f>
        <v/>
      </c>
      <c r="J853" s="28">
        <f>'Historical Data'!N850</f>
        <v/>
      </c>
      <c r="K853" s="28">
        <f>'Historical Data'!Q850</f>
        <v/>
      </c>
      <c r="L853" s="30">
        <f>'Historical Data'!S850</f>
        <v/>
      </c>
      <c r="M853" s="28">
        <f>'Historical Data'!AJ850</f>
        <v/>
      </c>
      <c r="N853" s="28">
        <f>'Historical Data'!AK850</f>
        <v/>
      </c>
      <c r="O853" s="3">
        <f>'Historical Data'!AA850</f>
        <v/>
      </c>
      <c r="P853" s="3">
        <f>'Historical Data'!AB850</f>
        <v/>
      </c>
      <c r="Q853" s="3">
        <f>'Historical Data'!AN850</f>
        <v/>
      </c>
      <c r="R853" s="3">
        <f>'Historical Data'!AC850</f>
        <v/>
      </c>
      <c r="S853" s="3">
        <f>'Historical Data'!AE850</f>
        <v/>
      </c>
      <c r="T853" s="3">
        <f>'Historical Data'!AH850</f>
        <v/>
      </c>
      <c r="U853" s="3">
        <f>'Historical Data'!BA850</f>
        <v/>
      </c>
      <c r="V853" s="3" t="n"/>
      <c r="W853" s="3" t="n"/>
      <c r="X853" s="3" t="n"/>
      <c r="Y853" s="3" t="n"/>
      <c r="Z853" s="3" t="n"/>
    </row>
    <row r="854" hidden="1" ht="15.75" customHeight="1" s="174">
      <c r="A854" s="3">
        <f>'Historical Data'!A851</f>
        <v/>
      </c>
      <c r="B854" s="3">
        <f>'Historical Data'!B851</f>
        <v/>
      </c>
      <c r="C854" s="3">
        <f>'Historical Data'!D851</f>
        <v/>
      </c>
      <c r="D854" s="23">
        <f>'Historical Data'!E851</f>
        <v/>
      </c>
      <c r="E854" s="3">
        <f>'Historical Data'!G851</f>
        <v/>
      </c>
      <c r="F854" s="3">
        <f>'Historical Data'!Y851</f>
        <v/>
      </c>
      <c r="G854" s="3">
        <f>'Historical Data'!K851</f>
        <v/>
      </c>
      <c r="H854" s="3">
        <f>'Historical Data'!L851</f>
        <v/>
      </c>
      <c r="I854" s="26">
        <f>'Historical Data'!M851</f>
        <v/>
      </c>
      <c r="J854" s="28">
        <f>'Historical Data'!N851</f>
        <v/>
      </c>
      <c r="K854" s="28">
        <f>'Historical Data'!Q851</f>
        <v/>
      </c>
      <c r="L854" s="30">
        <f>'Historical Data'!S851</f>
        <v/>
      </c>
      <c r="M854" s="28">
        <f>'Historical Data'!AJ851</f>
        <v/>
      </c>
      <c r="N854" s="28">
        <f>'Historical Data'!AK851</f>
        <v/>
      </c>
      <c r="O854" s="3">
        <f>'Historical Data'!AA851</f>
        <v/>
      </c>
      <c r="P854" s="3">
        <f>'Historical Data'!AB851</f>
        <v/>
      </c>
      <c r="Q854" s="3">
        <f>'Historical Data'!AN851</f>
        <v/>
      </c>
      <c r="R854" s="3">
        <f>'Historical Data'!AC851</f>
        <v/>
      </c>
      <c r="S854" s="3">
        <f>'Historical Data'!AE851</f>
        <v/>
      </c>
      <c r="T854" s="3">
        <f>'Historical Data'!AH851</f>
        <v/>
      </c>
      <c r="U854" s="3">
        <f>'Historical Data'!BA851</f>
        <v/>
      </c>
      <c r="V854" s="3" t="n"/>
      <c r="W854" s="3" t="n"/>
      <c r="X854" s="3" t="n"/>
      <c r="Y854" s="3" t="n"/>
      <c r="Z854" s="3" t="n"/>
    </row>
    <row r="855" hidden="1" ht="15.75" customHeight="1" s="174">
      <c r="A855" s="3">
        <f>'Historical Data'!A852</f>
        <v/>
      </c>
      <c r="B855" s="3">
        <f>'Historical Data'!B852</f>
        <v/>
      </c>
      <c r="C855" s="3">
        <f>'Historical Data'!D852</f>
        <v/>
      </c>
      <c r="D855" s="23">
        <f>'Historical Data'!E852</f>
        <v/>
      </c>
      <c r="E855" s="3">
        <f>'Historical Data'!G852</f>
        <v/>
      </c>
      <c r="F855" s="3">
        <f>'Historical Data'!Y852</f>
        <v/>
      </c>
      <c r="G855" s="3">
        <f>'Historical Data'!K852</f>
        <v/>
      </c>
      <c r="H855" s="3">
        <f>'Historical Data'!L852</f>
        <v/>
      </c>
      <c r="I855" s="26">
        <f>'Historical Data'!M852</f>
        <v/>
      </c>
      <c r="J855" s="28">
        <f>'Historical Data'!N852</f>
        <v/>
      </c>
      <c r="K855" s="28">
        <f>'Historical Data'!Q852</f>
        <v/>
      </c>
      <c r="L855" s="30">
        <f>'Historical Data'!S852</f>
        <v/>
      </c>
      <c r="M855" s="28">
        <f>'Historical Data'!AJ852</f>
        <v/>
      </c>
      <c r="N855" s="28">
        <f>'Historical Data'!AK852</f>
        <v/>
      </c>
      <c r="O855" s="3">
        <f>'Historical Data'!AA852</f>
        <v/>
      </c>
      <c r="P855" s="3">
        <f>'Historical Data'!AB852</f>
        <v/>
      </c>
      <c r="Q855" s="3">
        <f>'Historical Data'!AN852</f>
        <v/>
      </c>
      <c r="R855" s="3">
        <f>'Historical Data'!AC852</f>
        <v/>
      </c>
      <c r="S855" s="3">
        <f>'Historical Data'!AE852</f>
        <v/>
      </c>
      <c r="T855" s="3">
        <f>'Historical Data'!AH852</f>
        <v/>
      </c>
      <c r="U855" s="3">
        <f>'Historical Data'!BA852</f>
        <v/>
      </c>
      <c r="V855" s="3" t="n"/>
      <c r="W855" s="3" t="n"/>
      <c r="X855" s="3" t="n"/>
      <c r="Y855" s="3" t="n"/>
      <c r="Z855" s="3" t="n"/>
    </row>
    <row r="856" hidden="1" ht="15.75" customHeight="1" s="174">
      <c r="A856" s="3">
        <f>'Historical Data'!A853</f>
        <v/>
      </c>
      <c r="B856" s="3">
        <f>'Historical Data'!B853</f>
        <v/>
      </c>
      <c r="C856" s="3">
        <f>'Historical Data'!D853</f>
        <v/>
      </c>
      <c r="D856" s="23">
        <f>'Historical Data'!E853</f>
        <v/>
      </c>
      <c r="E856" s="3">
        <f>'Historical Data'!G853</f>
        <v/>
      </c>
      <c r="F856" s="3">
        <f>'Historical Data'!Y853</f>
        <v/>
      </c>
      <c r="G856" s="3">
        <f>'Historical Data'!K853</f>
        <v/>
      </c>
      <c r="H856" s="3">
        <f>'Historical Data'!L853</f>
        <v/>
      </c>
      <c r="I856" s="26">
        <f>'Historical Data'!M853</f>
        <v/>
      </c>
      <c r="J856" s="28">
        <f>'Historical Data'!N853</f>
        <v/>
      </c>
      <c r="K856" s="28">
        <f>'Historical Data'!Q853</f>
        <v/>
      </c>
      <c r="L856" s="30">
        <f>'Historical Data'!S853</f>
        <v/>
      </c>
      <c r="M856" s="28">
        <f>'Historical Data'!AJ853</f>
        <v/>
      </c>
      <c r="N856" s="28">
        <f>'Historical Data'!AK853</f>
        <v/>
      </c>
      <c r="O856" s="3">
        <f>'Historical Data'!AA853</f>
        <v/>
      </c>
      <c r="P856" s="3">
        <f>'Historical Data'!AB853</f>
        <v/>
      </c>
      <c r="Q856" s="3">
        <f>'Historical Data'!AN853</f>
        <v/>
      </c>
      <c r="R856" s="3">
        <f>'Historical Data'!AC853</f>
        <v/>
      </c>
      <c r="S856" s="3">
        <f>'Historical Data'!AE853</f>
        <v/>
      </c>
      <c r="T856" s="3">
        <f>'Historical Data'!AH853</f>
        <v/>
      </c>
      <c r="U856" s="3">
        <f>'Historical Data'!BA853</f>
        <v/>
      </c>
      <c r="V856" s="3" t="n"/>
      <c r="W856" s="3" t="n"/>
      <c r="X856" s="3" t="n"/>
      <c r="Y856" s="3" t="n"/>
      <c r="Z856" s="3" t="n"/>
    </row>
    <row r="857" hidden="1" ht="15.75" customHeight="1" s="174">
      <c r="A857" s="3">
        <f>'Historical Data'!A854</f>
        <v/>
      </c>
      <c r="B857" s="3">
        <f>'Historical Data'!B854</f>
        <v/>
      </c>
      <c r="C857" s="3">
        <f>'Historical Data'!D854</f>
        <v/>
      </c>
      <c r="D857" s="23">
        <f>'Historical Data'!E854</f>
        <v/>
      </c>
      <c r="E857" s="3">
        <f>'Historical Data'!G854</f>
        <v/>
      </c>
      <c r="F857" s="3">
        <f>'Historical Data'!Y854</f>
        <v/>
      </c>
      <c r="G857" s="3">
        <f>'Historical Data'!K854</f>
        <v/>
      </c>
      <c r="H857" s="3">
        <f>'Historical Data'!L854</f>
        <v/>
      </c>
      <c r="I857" s="26">
        <f>'Historical Data'!M854</f>
        <v/>
      </c>
      <c r="J857" s="28">
        <f>'Historical Data'!N854</f>
        <v/>
      </c>
      <c r="K857" s="28">
        <f>'Historical Data'!Q854</f>
        <v/>
      </c>
      <c r="L857" s="30">
        <f>'Historical Data'!S854</f>
        <v/>
      </c>
      <c r="M857" s="28">
        <f>'Historical Data'!AJ854</f>
        <v/>
      </c>
      <c r="N857" s="28">
        <f>'Historical Data'!AK854</f>
        <v/>
      </c>
      <c r="O857" s="3">
        <f>'Historical Data'!AA854</f>
        <v/>
      </c>
      <c r="P857" s="3">
        <f>'Historical Data'!AB854</f>
        <v/>
      </c>
      <c r="Q857" s="3">
        <f>'Historical Data'!AN854</f>
        <v/>
      </c>
      <c r="R857" s="3">
        <f>'Historical Data'!AC854</f>
        <v/>
      </c>
      <c r="S857" s="3">
        <f>'Historical Data'!AE854</f>
        <v/>
      </c>
      <c r="T857" s="3">
        <f>'Historical Data'!AH854</f>
        <v/>
      </c>
      <c r="U857" s="3">
        <f>'Historical Data'!BA854</f>
        <v/>
      </c>
      <c r="V857" s="3" t="n"/>
      <c r="W857" s="3" t="n"/>
      <c r="X857" s="3" t="n"/>
      <c r="Y857" s="3" t="n"/>
      <c r="Z857" s="3" t="n"/>
    </row>
    <row r="858" hidden="1" ht="15.75" customHeight="1" s="174">
      <c r="A858" s="3">
        <f>'Historical Data'!A855</f>
        <v/>
      </c>
      <c r="B858" s="3">
        <f>'Historical Data'!B855</f>
        <v/>
      </c>
      <c r="C858" s="3">
        <f>'Historical Data'!D855</f>
        <v/>
      </c>
      <c r="D858" s="23">
        <f>'Historical Data'!E855</f>
        <v/>
      </c>
      <c r="E858" s="3">
        <f>'Historical Data'!G855</f>
        <v/>
      </c>
      <c r="F858" s="3">
        <f>'Historical Data'!Y855</f>
        <v/>
      </c>
      <c r="G858" s="3">
        <f>'Historical Data'!K855</f>
        <v/>
      </c>
      <c r="H858" s="3">
        <f>'Historical Data'!L855</f>
        <v/>
      </c>
      <c r="I858" s="26">
        <f>'Historical Data'!M855</f>
        <v/>
      </c>
      <c r="J858" s="28">
        <f>'Historical Data'!N855</f>
        <v/>
      </c>
      <c r="K858" s="28">
        <f>'Historical Data'!Q855</f>
        <v/>
      </c>
      <c r="L858" s="30">
        <f>'Historical Data'!S855</f>
        <v/>
      </c>
      <c r="M858" s="28">
        <f>'Historical Data'!AJ855</f>
        <v/>
      </c>
      <c r="N858" s="28">
        <f>'Historical Data'!AK855</f>
        <v/>
      </c>
      <c r="O858" s="3">
        <f>'Historical Data'!AA855</f>
        <v/>
      </c>
      <c r="P858" s="3">
        <f>'Historical Data'!AB855</f>
        <v/>
      </c>
      <c r="Q858" s="3">
        <f>'Historical Data'!AN855</f>
        <v/>
      </c>
      <c r="R858" s="3">
        <f>'Historical Data'!AC855</f>
        <v/>
      </c>
      <c r="S858" s="3">
        <f>'Historical Data'!AE855</f>
        <v/>
      </c>
      <c r="T858" s="3">
        <f>'Historical Data'!AH855</f>
        <v/>
      </c>
      <c r="U858" s="3">
        <f>'Historical Data'!BA855</f>
        <v/>
      </c>
      <c r="V858" s="3" t="n"/>
      <c r="W858" s="3" t="n"/>
      <c r="X858" s="3" t="n"/>
      <c r="Y858" s="3" t="n"/>
      <c r="Z858" s="3" t="n"/>
    </row>
    <row r="859" hidden="1" ht="15.75" customHeight="1" s="174">
      <c r="A859" s="3">
        <f>'Historical Data'!A856</f>
        <v/>
      </c>
      <c r="B859" s="3">
        <f>'Historical Data'!B856</f>
        <v/>
      </c>
      <c r="C859" s="3">
        <f>'Historical Data'!D856</f>
        <v/>
      </c>
      <c r="D859" s="23">
        <f>'Historical Data'!E856</f>
        <v/>
      </c>
      <c r="E859" s="3">
        <f>'Historical Data'!G856</f>
        <v/>
      </c>
      <c r="F859" s="3">
        <f>'Historical Data'!Y856</f>
        <v/>
      </c>
      <c r="G859" s="3">
        <f>'Historical Data'!K856</f>
        <v/>
      </c>
      <c r="H859" s="3">
        <f>'Historical Data'!L856</f>
        <v/>
      </c>
      <c r="I859" s="26">
        <f>'Historical Data'!M856</f>
        <v/>
      </c>
      <c r="J859" s="28">
        <f>'Historical Data'!N856</f>
        <v/>
      </c>
      <c r="K859" s="28">
        <f>'Historical Data'!Q856</f>
        <v/>
      </c>
      <c r="L859" s="30">
        <f>'Historical Data'!S856</f>
        <v/>
      </c>
      <c r="M859" s="28">
        <f>'Historical Data'!AJ856</f>
        <v/>
      </c>
      <c r="N859" s="28">
        <f>'Historical Data'!AK856</f>
        <v/>
      </c>
      <c r="O859" s="3">
        <f>'Historical Data'!AA856</f>
        <v/>
      </c>
      <c r="P859" s="3">
        <f>'Historical Data'!AB856</f>
        <v/>
      </c>
      <c r="Q859" s="3">
        <f>'Historical Data'!AN856</f>
        <v/>
      </c>
      <c r="R859" s="3">
        <f>'Historical Data'!AC856</f>
        <v/>
      </c>
      <c r="S859" s="3">
        <f>'Historical Data'!AE856</f>
        <v/>
      </c>
      <c r="T859" s="3">
        <f>'Historical Data'!AH856</f>
        <v/>
      </c>
      <c r="U859" s="3">
        <f>'Historical Data'!BA856</f>
        <v/>
      </c>
      <c r="V859" s="3" t="n"/>
      <c r="W859" s="3" t="n"/>
      <c r="X859" s="3" t="n"/>
      <c r="Y859" s="3" t="n"/>
      <c r="Z859" s="3" t="n"/>
    </row>
    <row r="860" hidden="1" ht="15.75" customHeight="1" s="174">
      <c r="A860" s="3">
        <f>'Historical Data'!A857</f>
        <v/>
      </c>
      <c r="B860" s="3">
        <f>'Historical Data'!B857</f>
        <v/>
      </c>
      <c r="C860" s="3">
        <f>'Historical Data'!D857</f>
        <v/>
      </c>
      <c r="D860" s="23">
        <f>'Historical Data'!E857</f>
        <v/>
      </c>
      <c r="E860" s="3">
        <f>'Historical Data'!G857</f>
        <v/>
      </c>
      <c r="F860" s="3">
        <f>'Historical Data'!Y857</f>
        <v/>
      </c>
      <c r="G860" s="3">
        <f>'Historical Data'!K857</f>
        <v/>
      </c>
      <c r="H860" s="3">
        <f>'Historical Data'!L857</f>
        <v/>
      </c>
      <c r="I860" s="26">
        <f>'Historical Data'!M857</f>
        <v/>
      </c>
      <c r="J860" s="28">
        <f>'Historical Data'!N857</f>
        <v/>
      </c>
      <c r="K860" s="28">
        <f>'Historical Data'!Q857</f>
        <v/>
      </c>
      <c r="L860" s="30">
        <f>'Historical Data'!S857</f>
        <v/>
      </c>
      <c r="M860" s="28">
        <f>'Historical Data'!AJ857</f>
        <v/>
      </c>
      <c r="N860" s="28">
        <f>'Historical Data'!AK857</f>
        <v/>
      </c>
      <c r="O860" s="3">
        <f>'Historical Data'!AA857</f>
        <v/>
      </c>
      <c r="P860" s="3">
        <f>'Historical Data'!AB857</f>
        <v/>
      </c>
      <c r="Q860" s="3">
        <f>'Historical Data'!AN857</f>
        <v/>
      </c>
      <c r="R860" s="3">
        <f>'Historical Data'!AC857</f>
        <v/>
      </c>
      <c r="S860" s="3">
        <f>'Historical Data'!AE857</f>
        <v/>
      </c>
      <c r="T860" s="3">
        <f>'Historical Data'!AH857</f>
        <v/>
      </c>
      <c r="U860" s="3">
        <f>'Historical Data'!BA857</f>
        <v/>
      </c>
      <c r="V860" s="3" t="n"/>
      <c r="W860" s="3" t="n"/>
      <c r="X860" s="3" t="n"/>
      <c r="Y860" s="3" t="n"/>
      <c r="Z860" s="3" t="n"/>
    </row>
    <row r="861" hidden="1" ht="15.75" customHeight="1" s="174">
      <c r="A861" s="3">
        <f>'Historical Data'!A858</f>
        <v/>
      </c>
      <c r="B861" s="3">
        <f>'Historical Data'!B858</f>
        <v/>
      </c>
      <c r="C861" s="3">
        <f>'Historical Data'!D858</f>
        <v/>
      </c>
      <c r="D861" s="23">
        <f>'Historical Data'!E858</f>
        <v/>
      </c>
      <c r="E861" s="3">
        <f>'Historical Data'!G858</f>
        <v/>
      </c>
      <c r="F861" s="3">
        <f>'Historical Data'!Y858</f>
        <v/>
      </c>
      <c r="G861" s="3">
        <f>'Historical Data'!K858</f>
        <v/>
      </c>
      <c r="H861" s="3">
        <f>'Historical Data'!L858</f>
        <v/>
      </c>
      <c r="I861" s="26">
        <f>'Historical Data'!M858</f>
        <v/>
      </c>
      <c r="J861" s="28">
        <f>'Historical Data'!N858</f>
        <v/>
      </c>
      <c r="K861" s="28">
        <f>'Historical Data'!Q858</f>
        <v/>
      </c>
      <c r="L861" s="30">
        <f>'Historical Data'!S858</f>
        <v/>
      </c>
      <c r="M861" s="28">
        <f>'Historical Data'!AJ858</f>
        <v/>
      </c>
      <c r="N861" s="28">
        <f>'Historical Data'!AK858</f>
        <v/>
      </c>
      <c r="O861" s="3">
        <f>'Historical Data'!AA858</f>
        <v/>
      </c>
      <c r="P861" s="3">
        <f>'Historical Data'!AB858</f>
        <v/>
      </c>
      <c r="Q861" s="3">
        <f>'Historical Data'!AN858</f>
        <v/>
      </c>
      <c r="R861" s="3">
        <f>'Historical Data'!AC858</f>
        <v/>
      </c>
      <c r="S861" s="3">
        <f>'Historical Data'!AE858</f>
        <v/>
      </c>
      <c r="T861" s="3">
        <f>'Historical Data'!AH858</f>
        <v/>
      </c>
      <c r="U861" s="3">
        <f>'Historical Data'!BA858</f>
        <v/>
      </c>
      <c r="V861" s="3" t="n"/>
      <c r="W861" s="3" t="n"/>
      <c r="X861" s="3" t="n"/>
      <c r="Y861" s="3" t="n"/>
      <c r="Z861" s="3" t="n"/>
    </row>
    <row r="862" hidden="1" ht="15.75" customHeight="1" s="174">
      <c r="A862" s="3">
        <f>'Historical Data'!A859</f>
        <v/>
      </c>
      <c r="B862" s="3">
        <f>'Historical Data'!B859</f>
        <v/>
      </c>
      <c r="C862" s="3">
        <f>'Historical Data'!D859</f>
        <v/>
      </c>
      <c r="D862" s="23">
        <f>'Historical Data'!E859</f>
        <v/>
      </c>
      <c r="E862" s="3">
        <f>'Historical Data'!G859</f>
        <v/>
      </c>
      <c r="F862" s="3">
        <f>'Historical Data'!Y859</f>
        <v/>
      </c>
      <c r="G862" s="3">
        <f>'Historical Data'!K859</f>
        <v/>
      </c>
      <c r="H862" s="3">
        <f>'Historical Data'!L859</f>
        <v/>
      </c>
      <c r="I862" s="26">
        <f>'Historical Data'!M859</f>
        <v/>
      </c>
      <c r="J862" s="28">
        <f>'Historical Data'!N859</f>
        <v/>
      </c>
      <c r="K862" s="28">
        <f>'Historical Data'!Q859</f>
        <v/>
      </c>
      <c r="L862" s="30">
        <f>'Historical Data'!S859</f>
        <v/>
      </c>
      <c r="M862" s="28">
        <f>'Historical Data'!AJ859</f>
        <v/>
      </c>
      <c r="N862" s="28">
        <f>'Historical Data'!AK859</f>
        <v/>
      </c>
      <c r="O862" s="3">
        <f>'Historical Data'!AA859</f>
        <v/>
      </c>
      <c r="P862" s="3">
        <f>'Historical Data'!AB859</f>
        <v/>
      </c>
      <c r="Q862" s="3">
        <f>'Historical Data'!AN859</f>
        <v/>
      </c>
      <c r="R862" s="3">
        <f>'Historical Data'!AC859</f>
        <v/>
      </c>
      <c r="S862" s="3">
        <f>'Historical Data'!AE859</f>
        <v/>
      </c>
      <c r="T862" s="3">
        <f>'Historical Data'!AH859</f>
        <v/>
      </c>
      <c r="U862" s="3">
        <f>'Historical Data'!BA859</f>
        <v/>
      </c>
      <c r="V862" s="3" t="n"/>
      <c r="W862" s="3" t="n"/>
      <c r="X862" s="3" t="n"/>
      <c r="Y862" s="3" t="n"/>
      <c r="Z862" s="3" t="n"/>
    </row>
    <row r="863" ht="15.75" customHeight="1" s="174">
      <c r="A863" s="3">
        <f>'Historical Data'!A860</f>
        <v/>
      </c>
      <c r="B863" s="3">
        <f>'Historical Data'!B860</f>
        <v/>
      </c>
      <c r="C863" s="3">
        <f>'Historical Data'!D860</f>
        <v/>
      </c>
      <c r="D863" s="23">
        <f>'Historical Data'!E860</f>
        <v/>
      </c>
      <c r="E863" s="3">
        <f>'Historical Data'!G860</f>
        <v/>
      </c>
      <c r="F863" s="3">
        <f>'Historical Data'!Y860</f>
        <v/>
      </c>
      <c r="G863" s="3">
        <f>'Historical Data'!K860</f>
        <v/>
      </c>
      <c r="H863" s="3">
        <f>'Historical Data'!L860</f>
        <v/>
      </c>
      <c r="I863" s="26">
        <f>'Historical Data'!M860</f>
        <v/>
      </c>
      <c r="J863" s="28">
        <f>'Historical Data'!N860</f>
        <v/>
      </c>
      <c r="K863" s="28">
        <f>'Historical Data'!Q860</f>
        <v/>
      </c>
      <c r="L863" s="30">
        <f>'Historical Data'!S860</f>
        <v/>
      </c>
      <c r="M863" s="28">
        <f>'Historical Data'!AJ860</f>
        <v/>
      </c>
      <c r="N863" s="28">
        <f>'Historical Data'!AK860</f>
        <v/>
      </c>
      <c r="O863" s="3">
        <f>'Historical Data'!AA860</f>
        <v/>
      </c>
      <c r="P863" s="3">
        <f>'Historical Data'!AB860</f>
        <v/>
      </c>
      <c r="Q863" s="3">
        <f>'Historical Data'!AN860</f>
        <v/>
      </c>
      <c r="R863" s="3">
        <f>'Historical Data'!AC860</f>
        <v/>
      </c>
      <c r="S863" s="3">
        <f>'Historical Data'!AE860</f>
        <v/>
      </c>
      <c r="T863" s="3">
        <f>'Historical Data'!AH860</f>
        <v/>
      </c>
      <c r="U863" s="3">
        <f>'Historical Data'!BA860</f>
        <v/>
      </c>
      <c r="V863" s="3" t="n"/>
      <c r="W863" s="3" t="n"/>
      <c r="X863" s="3" t="n"/>
      <c r="Y863" s="3" t="n"/>
      <c r="Z863" s="3" t="n"/>
    </row>
    <row r="864" hidden="1" ht="15.75" customHeight="1" s="174">
      <c r="A864" s="3">
        <f>'Historical Data'!A861</f>
        <v/>
      </c>
      <c r="B864" s="3">
        <f>'Historical Data'!B861</f>
        <v/>
      </c>
      <c r="C864" s="3">
        <f>'Historical Data'!D861</f>
        <v/>
      </c>
      <c r="D864" s="23">
        <f>'Historical Data'!E861</f>
        <v/>
      </c>
      <c r="E864" s="3">
        <f>'Historical Data'!G861</f>
        <v/>
      </c>
      <c r="F864" s="3">
        <f>'Historical Data'!Y861</f>
        <v/>
      </c>
      <c r="G864" s="3">
        <f>'Historical Data'!K861</f>
        <v/>
      </c>
      <c r="H864" s="3">
        <f>'Historical Data'!L861</f>
        <v/>
      </c>
      <c r="I864" s="26">
        <f>'Historical Data'!M861</f>
        <v/>
      </c>
      <c r="J864" s="28">
        <f>'Historical Data'!N861</f>
        <v/>
      </c>
      <c r="K864" s="28">
        <f>'Historical Data'!Q861</f>
        <v/>
      </c>
      <c r="L864" s="30">
        <f>'Historical Data'!S861</f>
        <v/>
      </c>
      <c r="M864" s="28">
        <f>'Historical Data'!AJ861</f>
        <v/>
      </c>
      <c r="N864" s="28">
        <f>'Historical Data'!AK861</f>
        <v/>
      </c>
      <c r="O864" s="3">
        <f>'Historical Data'!AA861</f>
        <v/>
      </c>
      <c r="P864" s="3">
        <f>'Historical Data'!AB861</f>
        <v/>
      </c>
      <c r="Q864" s="3">
        <f>'Historical Data'!AN861</f>
        <v/>
      </c>
      <c r="R864" s="3">
        <f>'Historical Data'!AC861</f>
        <v/>
      </c>
      <c r="S864" s="3">
        <f>'Historical Data'!AE861</f>
        <v/>
      </c>
      <c r="T864" s="3">
        <f>'Historical Data'!AH861</f>
        <v/>
      </c>
      <c r="U864" s="3">
        <f>'Historical Data'!BA861</f>
        <v/>
      </c>
      <c r="V864" s="3" t="n"/>
      <c r="W864" s="3" t="n"/>
      <c r="X864" s="3" t="n"/>
      <c r="Y864" s="3" t="n"/>
      <c r="Z864" s="3" t="n"/>
    </row>
    <row r="865" hidden="1" ht="15.75" customHeight="1" s="174">
      <c r="A865" s="3">
        <f>'Historical Data'!A862</f>
        <v/>
      </c>
      <c r="B865" s="3">
        <f>'Historical Data'!B862</f>
        <v/>
      </c>
      <c r="C865" s="3">
        <f>'Historical Data'!D862</f>
        <v/>
      </c>
      <c r="D865" s="23">
        <f>'Historical Data'!E862</f>
        <v/>
      </c>
      <c r="E865" s="3">
        <f>'Historical Data'!G862</f>
        <v/>
      </c>
      <c r="F865" s="3">
        <f>'Historical Data'!Y862</f>
        <v/>
      </c>
      <c r="G865" s="3">
        <f>'Historical Data'!K862</f>
        <v/>
      </c>
      <c r="H865" s="3">
        <f>'Historical Data'!L862</f>
        <v/>
      </c>
      <c r="I865" s="26">
        <f>'Historical Data'!M862</f>
        <v/>
      </c>
      <c r="J865" s="28">
        <f>'Historical Data'!N862</f>
        <v/>
      </c>
      <c r="K865" s="28">
        <f>'Historical Data'!Q862</f>
        <v/>
      </c>
      <c r="L865" s="30">
        <f>'Historical Data'!S862</f>
        <v/>
      </c>
      <c r="M865" s="28">
        <f>'Historical Data'!AJ862</f>
        <v/>
      </c>
      <c r="N865" s="28">
        <f>'Historical Data'!AK862</f>
        <v/>
      </c>
      <c r="O865" s="3">
        <f>'Historical Data'!AA862</f>
        <v/>
      </c>
      <c r="P865" s="3">
        <f>'Historical Data'!AB862</f>
        <v/>
      </c>
      <c r="Q865" s="3">
        <f>'Historical Data'!AN862</f>
        <v/>
      </c>
      <c r="R865" s="3">
        <f>'Historical Data'!AC862</f>
        <v/>
      </c>
      <c r="S865" s="3">
        <f>'Historical Data'!AE862</f>
        <v/>
      </c>
      <c r="T865" s="3">
        <f>'Historical Data'!AH862</f>
        <v/>
      </c>
      <c r="U865" s="3">
        <f>'Historical Data'!BA862</f>
        <v/>
      </c>
      <c r="V865" s="3" t="n"/>
      <c r="W865" s="3" t="n"/>
      <c r="X865" s="3" t="n"/>
      <c r="Y865" s="3" t="n"/>
      <c r="Z865" s="3" t="n"/>
    </row>
    <row r="866" hidden="1" ht="15.75" customHeight="1" s="174">
      <c r="A866" s="3">
        <f>'Historical Data'!A863</f>
        <v/>
      </c>
      <c r="B866" s="3">
        <f>'Historical Data'!B863</f>
        <v/>
      </c>
      <c r="C866" s="3">
        <f>'Historical Data'!D863</f>
        <v/>
      </c>
      <c r="D866" s="23">
        <f>'Historical Data'!E863</f>
        <v/>
      </c>
      <c r="E866" s="3">
        <f>'Historical Data'!G863</f>
        <v/>
      </c>
      <c r="F866" s="3">
        <f>'Historical Data'!Y863</f>
        <v/>
      </c>
      <c r="G866" s="3">
        <f>'Historical Data'!K863</f>
        <v/>
      </c>
      <c r="H866" s="3">
        <f>'Historical Data'!L863</f>
        <v/>
      </c>
      <c r="I866" s="26">
        <f>'Historical Data'!M863</f>
        <v/>
      </c>
      <c r="J866" s="28">
        <f>'Historical Data'!N863</f>
        <v/>
      </c>
      <c r="K866" s="28">
        <f>'Historical Data'!Q863</f>
        <v/>
      </c>
      <c r="L866" s="30">
        <f>'Historical Data'!S863</f>
        <v/>
      </c>
      <c r="M866" s="28">
        <f>'Historical Data'!AJ863</f>
        <v/>
      </c>
      <c r="N866" s="28">
        <f>'Historical Data'!AK863</f>
        <v/>
      </c>
      <c r="O866" s="3">
        <f>'Historical Data'!AA863</f>
        <v/>
      </c>
      <c r="P866" s="3">
        <f>'Historical Data'!AB863</f>
        <v/>
      </c>
      <c r="Q866" s="3">
        <f>'Historical Data'!AN863</f>
        <v/>
      </c>
      <c r="R866" s="3">
        <f>'Historical Data'!AC863</f>
        <v/>
      </c>
      <c r="S866" s="3">
        <f>'Historical Data'!AE863</f>
        <v/>
      </c>
      <c r="T866" s="3">
        <f>'Historical Data'!AH863</f>
        <v/>
      </c>
      <c r="U866" s="3">
        <f>'Historical Data'!BA863</f>
        <v/>
      </c>
      <c r="V866" s="3" t="n"/>
      <c r="W866" s="3" t="n"/>
      <c r="X866" s="3" t="n"/>
      <c r="Y866" s="3" t="n"/>
      <c r="Z866" s="3" t="n"/>
    </row>
    <row r="867" hidden="1" ht="15.75" customHeight="1" s="174">
      <c r="A867" s="3">
        <f>'Historical Data'!A864</f>
        <v/>
      </c>
      <c r="B867" s="3">
        <f>'Historical Data'!B864</f>
        <v/>
      </c>
      <c r="C867" s="3">
        <f>'Historical Data'!D864</f>
        <v/>
      </c>
      <c r="D867" s="23">
        <f>'Historical Data'!E864</f>
        <v/>
      </c>
      <c r="E867" s="3">
        <f>'Historical Data'!G864</f>
        <v/>
      </c>
      <c r="F867" s="3">
        <f>'Historical Data'!Y864</f>
        <v/>
      </c>
      <c r="G867" s="3">
        <f>'Historical Data'!K864</f>
        <v/>
      </c>
      <c r="H867" s="3">
        <f>'Historical Data'!L864</f>
        <v/>
      </c>
      <c r="I867" s="26">
        <f>'Historical Data'!M864</f>
        <v/>
      </c>
      <c r="J867" s="28">
        <f>'Historical Data'!N864</f>
        <v/>
      </c>
      <c r="K867" s="28">
        <f>'Historical Data'!Q864</f>
        <v/>
      </c>
      <c r="L867" s="30">
        <f>'Historical Data'!S864</f>
        <v/>
      </c>
      <c r="M867" s="28">
        <f>'Historical Data'!AJ864</f>
        <v/>
      </c>
      <c r="N867" s="28">
        <f>'Historical Data'!AK864</f>
        <v/>
      </c>
      <c r="O867" s="3">
        <f>'Historical Data'!AA864</f>
        <v/>
      </c>
      <c r="P867" s="3">
        <f>'Historical Data'!AB864</f>
        <v/>
      </c>
      <c r="Q867" s="3">
        <f>'Historical Data'!AN864</f>
        <v/>
      </c>
      <c r="R867" s="3">
        <f>'Historical Data'!AC864</f>
        <v/>
      </c>
      <c r="S867" s="3">
        <f>'Historical Data'!AE864</f>
        <v/>
      </c>
      <c r="T867" s="3">
        <f>'Historical Data'!AH864</f>
        <v/>
      </c>
      <c r="U867" s="3">
        <f>'Historical Data'!BA864</f>
        <v/>
      </c>
      <c r="V867" s="3" t="n"/>
      <c r="W867" s="3" t="n"/>
      <c r="X867" s="3" t="n"/>
      <c r="Y867" s="3" t="n"/>
      <c r="Z867" s="3" t="n"/>
    </row>
    <row r="868" hidden="1" ht="15.75" customHeight="1" s="174">
      <c r="A868" s="3">
        <f>'Historical Data'!A865</f>
        <v/>
      </c>
      <c r="B868" s="3">
        <f>'Historical Data'!B865</f>
        <v/>
      </c>
      <c r="C868" s="3">
        <f>'Historical Data'!D865</f>
        <v/>
      </c>
      <c r="D868" s="23">
        <f>'Historical Data'!E865</f>
        <v/>
      </c>
      <c r="E868" s="3">
        <f>'Historical Data'!G865</f>
        <v/>
      </c>
      <c r="F868" s="3">
        <f>'Historical Data'!Y865</f>
        <v/>
      </c>
      <c r="G868" s="3">
        <f>'Historical Data'!K865</f>
        <v/>
      </c>
      <c r="H868" s="3">
        <f>'Historical Data'!L865</f>
        <v/>
      </c>
      <c r="I868" s="26">
        <f>'Historical Data'!M865</f>
        <v/>
      </c>
      <c r="J868" s="28">
        <f>'Historical Data'!N865</f>
        <v/>
      </c>
      <c r="K868" s="28">
        <f>'Historical Data'!Q865</f>
        <v/>
      </c>
      <c r="L868" s="30">
        <f>'Historical Data'!S865</f>
        <v/>
      </c>
      <c r="M868" s="28">
        <f>'Historical Data'!AJ865</f>
        <v/>
      </c>
      <c r="N868" s="28">
        <f>'Historical Data'!AK865</f>
        <v/>
      </c>
      <c r="O868" s="3">
        <f>'Historical Data'!AA865</f>
        <v/>
      </c>
      <c r="P868" s="3">
        <f>'Historical Data'!AB865</f>
        <v/>
      </c>
      <c r="Q868" s="3">
        <f>'Historical Data'!AN865</f>
        <v/>
      </c>
      <c r="R868" s="3">
        <f>'Historical Data'!AC865</f>
        <v/>
      </c>
      <c r="S868" s="3">
        <f>'Historical Data'!AE865</f>
        <v/>
      </c>
      <c r="T868" s="3">
        <f>'Historical Data'!AH865</f>
        <v/>
      </c>
      <c r="U868" s="3">
        <f>'Historical Data'!BA865</f>
        <v/>
      </c>
      <c r="V868" s="3" t="n"/>
      <c r="W868" s="3" t="n"/>
      <c r="X868" s="3" t="n"/>
      <c r="Y868" s="3" t="n"/>
      <c r="Z868" s="3" t="n"/>
    </row>
    <row r="869" hidden="1" ht="15.75" customHeight="1" s="174">
      <c r="A869" s="3">
        <f>'Historical Data'!A866</f>
        <v/>
      </c>
      <c r="B869" s="3">
        <f>'Historical Data'!B866</f>
        <v/>
      </c>
      <c r="C869" s="3">
        <f>'Historical Data'!D866</f>
        <v/>
      </c>
      <c r="D869" s="23">
        <f>'Historical Data'!E866</f>
        <v/>
      </c>
      <c r="E869" s="3">
        <f>'Historical Data'!G866</f>
        <v/>
      </c>
      <c r="F869" s="3">
        <f>'Historical Data'!Y866</f>
        <v/>
      </c>
      <c r="G869" s="3">
        <f>'Historical Data'!K866</f>
        <v/>
      </c>
      <c r="H869" s="3">
        <f>'Historical Data'!L866</f>
        <v/>
      </c>
      <c r="I869" s="26">
        <f>'Historical Data'!M866</f>
        <v/>
      </c>
      <c r="J869" s="28">
        <f>'Historical Data'!N866</f>
        <v/>
      </c>
      <c r="K869" s="28">
        <f>'Historical Data'!Q866</f>
        <v/>
      </c>
      <c r="L869" s="30">
        <f>'Historical Data'!S866</f>
        <v/>
      </c>
      <c r="M869" s="28">
        <f>'Historical Data'!AJ866</f>
        <v/>
      </c>
      <c r="N869" s="28">
        <f>'Historical Data'!AK866</f>
        <v/>
      </c>
      <c r="O869" s="3">
        <f>'Historical Data'!AA866</f>
        <v/>
      </c>
      <c r="P869" s="3">
        <f>'Historical Data'!AB866</f>
        <v/>
      </c>
      <c r="Q869" s="3">
        <f>'Historical Data'!AN866</f>
        <v/>
      </c>
      <c r="R869" s="3">
        <f>'Historical Data'!AC866</f>
        <v/>
      </c>
      <c r="S869" s="3">
        <f>'Historical Data'!AE866</f>
        <v/>
      </c>
      <c r="T869" s="3">
        <f>'Historical Data'!AH866</f>
        <v/>
      </c>
      <c r="U869" s="3">
        <f>'Historical Data'!BA866</f>
        <v/>
      </c>
      <c r="V869" s="3" t="n"/>
      <c r="W869" s="3" t="n"/>
      <c r="X869" s="3" t="n"/>
      <c r="Y869" s="3" t="n"/>
      <c r="Z869" s="3" t="n"/>
    </row>
    <row r="870" hidden="1" ht="15.75" customHeight="1" s="174">
      <c r="A870" s="3">
        <f>'Historical Data'!A867</f>
        <v/>
      </c>
      <c r="B870" s="3">
        <f>'Historical Data'!B867</f>
        <v/>
      </c>
      <c r="C870" s="3">
        <f>'Historical Data'!D867</f>
        <v/>
      </c>
      <c r="D870" s="23">
        <f>'Historical Data'!E867</f>
        <v/>
      </c>
      <c r="E870" s="3">
        <f>'Historical Data'!G867</f>
        <v/>
      </c>
      <c r="F870" s="3">
        <f>'Historical Data'!Y867</f>
        <v/>
      </c>
      <c r="G870" s="3">
        <f>'Historical Data'!K867</f>
        <v/>
      </c>
      <c r="H870" s="3">
        <f>'Historical Data'!L867</f>
        <v/>
      </c>
      <c r="I870" s="26">
        <f>'Historical Data'!M867</f>
        <v/>
      </c>
      <c r="J870" s="28">
        <f>'Historical Data'!N867</f>
        <v/>
      </c>
      <c r="K870" s="28">
        <f>'Historical Data'!Q867</f>
        <v/>
      </c>
      <c r="L870" s="30">
        <f>'Historical Data'!S867</f>
        <v/>
      </c>
      <c r="M870" s="28">
        <f>'Historical Data'!AJ867</f>
        <v/>
      </c>
      <c r="N870" s="28">
        <f>'Historical Data'!AK867</f>
        <v/>
      </c>
      <c r="O870" s="3">
        <f>'Historical Data'!AA867</f>
        <v/>
      </c>
      <c r="P870" s="3">
        <f>'Historical Data'!AB867</f>
        <v/>
      </c>
      <c r="Q870" s="3">
        <f>'Historical Data'!AN867</f>
        <v/>
      </c>
      <c r="R870" s="3">
        <f>'Historical Data'!AC867</f>
        <v/>
      </c>
      <c r="S870" s="3">
        <f>'Historical Data'!AE867</f>
        <v/>
      </c>
      <c r="T870" s="3">
        <f>'Historical Data'!AH867</f>
        <v/>
      </c>
      <c r="U870" s="3">
        <f>'Historical Data'!BA867</f>
        <v/>
      </c>
      <c r="V870" s="3" t="n"/>
      <c r="W870" s="3" t="n"/>
      <c r="X870" s="3" t="n"/>
      <c r="Y870" s="3" t="n"/>
      <c r="Z870" s="3" t="n"/>
    </row>
    <row r="871" hidden="1" ht="15.75" customHeight="1" s="174">
      <c r="A871" s="3">
        <f>'Historical Data'!A868</f>
        <v/>
      </c>
      <c r="B871" s="3">
        <f>'Historical Data'!B868</f>
        <v/>
      </c>
      <c r="C871" s="3">
        <f>'Historical Data'!D868</f>
        <v/>
      </c>
      <c r="D871" s="23">
        <f>'Historical Data'!E868</f>
        <v/>
      </c>
      <c r="E871" s="3">
        <f>'Historical Data'!G868</f>
        <v/>
      </c>
      <c r="F871" s="3">
        <f>'Historical Data'!Y868</f>
        <v/>
      </c>
      <c r="G871" s="3">
        <f>'Historical Data'!K868</f>
        <v/>
      </c>
      <c r="H871" s="3">
        <f>'Historical Data'!L868</f>
        <v/>
      </c>
      <c r="I871" s="26">
        <f>'Historical Data'!M868</f>
        <v/>
      </c>
      <c r="J871" s="28">
        <f>'Historical Data'!N868</f>
        <v/>
      </c>
      <c r="K871" s="28">
        <f>'Historical Data'!Q868</f>
        <v/>
      </c>
      <c r="L871" s="30">
        <f>'Historical Data'!S868</f>
        <v/>
      </c>
      <c r="M871" s="28">
        <f>'Historical Data'!AJ868</f>
        <v/>
      </c>
      <c r="N871" s="28">
        <f>'Historical Data'!AK868</f>
        <v/>
      </c>
      <c r="O871" s="3">
        <f>'Historical Data'!AA868</f>
        <v/>
      </c>
      <c r="P871" s="3">
        <f>'Historical Data'!AB868</f>
        <v/>
      </c>
      <c r="Q871" s="3">
        <f>'Historical Data'!AN868</f>
        <v/>
      </c>
      <c r="R871" s="3">
        <f>'Historical Data'!AC868</f>
        <v/>
      </c>
      <c r="S871" s="3">
        <f>'Historical Data'!AE868</f>
        <v/>
      </c>
      <c r="T871" s="3">
        <f>'Historical Data'!AH868</f>
        <v/>
      </c>
      <c r="U871" s="3">
        <f>'Historical Data'!BA868</f>
        <v/>
      </c>
      <c r="V871" s="3" t="n"/>
      <c r="W871" s="3" t="n"/>
      <c r="X871" s="3" t="n"/>
      <c r="Y871" s="3" t="n"/>
      <c r="Z871" s="3" t="n"/>
    </row>
    <row r="872" hidden="1" ht="15.75" customHeight="1" s="174">
      <c r="A872" s="3">
        <f>'Historical Data'!A869</f>
        <v/>
      </c>
      <c r="B872" s="3">
        <f>'Historical Data'!B869</f>
        <v/>
      </c>
      <c r="C872" s="3">
        <f>'Historical Data'!D869</f>
        <v/>
      </c>
      <c r="D872" s="23">
        <f>'Historical Data'!E869</f>
        <v/>
      </c>
      <c r="E872" s="3">
        <f>'Historical Data'!G869</f>
        <v/>
      </c>
      <c r="F872" s="3">
        <f>'Historical Data'!Y869</f>
        <v/>
      </c>
      <c r="G872" s="3">
        <f>'Historical Data'!K869</f>
        <v/>
      </c>
      <c r="H872" s="3">
        <f>'Historical Data'!L869</f>
        <v/>
      </c>
      <c r="I872" s="26">
        <f>'Historical Data'!M869</f>
        <v/>
      </c>
      <c r="J872" s="28">
        <f>'Historical Data'!N869</f>
        <v/>
      </c>
      <c r="K872" s="28">
        <f>'Historical Data'!Q869</f>
        <v/>
      </c>
      <c r="L872" s="30">
        <f>'Historical Data'!S869</f>
        <v/>
      </c>
      <c r="M872" s="28">
        <f>'Historical Data'!AJ869</f>
        <v/>
      </c>
      <c r="N872" s="28">
        <f>'Historical Data'!AK869</f>
        <v/>
      </c>
      <c r="O872" s="3">
        <f>'Historical Data'!AA869</f>
        <v/>
      </c>
      <c r="P872" s="3">
        <f>'Historical Data'!AB869</f>
        <v/>
      </c>
      <c r="Q872" s="3">
        <f>'Historical Data'!AN869</f>
        <v/>
      </c>
      <c r="R872" s="3">
        <f>'Historical Data'!AC869</f>
        <v/>
      </c>
      <c r="S872" s="3">
        <f>'Historical Data'!AE869</f>
        <v/>
      </c>
      <c r="T872" s="3">
        <f>'Historical Data'!AH869</f>
        <v/>
      </c>
      <c r="U872" s="3">
        <f>'Historical Data'!BA869</f>
        <v/>
      </c>
      <c r="V872" s="3" t="n"/>
      <c r="W872" s="3" t="n"/>
      <c r="X872" s="3" t="n"/>
      <c r="Y872" s="3" t="n"/>
      <c r="Z872" s="3" t="n"/>
    </row>
    <row r="873" hidden="1" ht="15.75" customHeight="1" s="174">
      <c r="A873" s="3">
        <f>'Historical Data'!A870</f>
        <v/>
      </c>
      <c r="B873" s="3">
        <f>'Historical Data'!B870</f>
        <v/>
      </c>
      <c r="C873" s="3">
        <f>'Historical Data'!D870</f>
        <v/>
      </c>
      <c r="D873" s="23">
        <f>'Historical Data'!E870</f>
        <v/>
      </c>
      <c r="E873" s="3">
        <f>'Historical Data'!G870</f>
        <v/>
      </c>
      <c r="F873" s="3">
        <f>'Historical Data'!Y870</f>
        <v/>
      </c>
      <c r="G873" s="3">
        <f>'Historical Data'!K870</f>
        <v/>
      </c>
      <c r="H873" s="3">
        <f>'Historical Data'!L870</f>
        <v/>
      </c>
      <c r="I873" s="26">
        <f>'Historical Data'!M870</f>
        <v/>
      </c>
      <c r="J873" s="28">
        <f>'Historical Data'!N870</f>
        <v/>
      </c>
      <c r="K873" s="28">
        <f>'Historical Data'!Q870</f>
        <v/>
      </c>
      <c r="L873" s="30">
        <f>'Historical Data'!S870</f>
        <v/>
      </c>
      <c r="M873" s="28">
        <f>'Historical Data'!AJ870</f>
        <v/>
      </c>
      <c r="N873" s="28">
        <f>'Historical Data'!AK870</f>
        <v/>
      </c>
      <c r="O873" s="3">
        <f>'Historical Data'!AA870</f>
        <v/>
      </c>
      <c r="P873" s="3">
        <f>'Historical Data'!AB870</f>
        <v/>
      </c>
      <c r="Q873" s="3">
        <f>'Historical Data'!AN870</f>
        <v/>
      </c>
      <c r="R873" s="3">
        <f>'Historical Data'!AC870</f>
        <v/>
      </c>
      <c r="S873" s="3">
        <f>'Historical Data'!AE870</f>
        <v/>
      </c>
      <c r="T873" s="3">
        <f>'Historical Data'!AH870</f>
        <v/>
      </c>
      <c r="U873" s="3">
        <f>'Historical Data'!BA870</f>
        <v/>
      </c>
      <c r="V873" s="3" t="n"/>
      <c r="W873" s="3" t="n"/>
      <c r="X873" s="3" t="n"/>
      <c r="Y873" s="3" t="n"/>
      <c r="Z873" s="3" t="n"/>
    </row>
    <row r="874" hidden="1" ht="15.75" customHeight="1" s="174">
      <c r="A874" s="3">
        <f>'Historical Data'!A871</f>
        <v/>
      </c>
      <c r="B874" s="3">
        <f>'Historical Data'!B871</f>
        <v/>
      </c>
      <c r="C874" s="3">
        <f>'Historical Data'!D871</f>
        <v/>
      </c>
      <c r="D874" s="23">
        <f>'Historical Data'!E871</f>
        <v/>
      </c>
      <c r="E874" s="3">
        <f>'Historical Data'!G871</f>
        <v/>
      </c>
      <c r="F874" s="3">
        <f>'Historical Data'!Y871</f>
        <v/>
      </c>
      <c r="G874" s="3">
        <f>'Historical Data'!K871</f>
        <v/>
      </c>
      <c r="H874" s="3">
        <f>'Historical Data'!L871</f>
        <v/>
      </c>
      <c r="I874" s="26">
        <f>'Historical Data'!M871</f>
        <v/>
      </c>
      <c r="J874" s="28">
        <f>'Historical Data'!N871</f>
        <v/>
      </c>
      <c r="K874" s="28">
        <f>'Historical Data'!Q871</f>
        <v/>
      </c>
      <c r="L874" s="30">
        <f>'Historical Data'!S871</f>
        <v/>
      </c>
      <c r="M874" s="28">
        <f>'Historical Data'!AJ871</f>
        <v/>
      </c>
      <c r="N874" s="28">
        <f>'Historical Data'!AK871</f>
        <v/>
      </c>
      <c r="O874" s="3">
        <f>'Historical Data'!AA871</f>
        <v/>
      </c>
      <c r="P874" s="3">
        <f>'Historical Data'!AB871</f>
        <v/>
      </c>
      <c r="Q874" s="3">
        <f>'Historical Data'!AN871</f>
        <v/>
      </c>
      <c r="R874" s="3">
        <f>'Historical Data'!AC871</f>
        <v/>
      </c>
      <c r="S874" s="3">
        <f>'Historical Data'!AE871</f>
        <v/>
      </c>
      <c r="T874" s="3">
        <f>'Historical Data'!AH871</f>
        <v/>
      </c>
      <c r="U874" s="3">
        <f>'Historical Data'!BA871</f>
        <v/>
      </c>
      <c r="V874" s="3" t="n"/>
      <c r="W874" s="3" t="n"/>
      <c r="X874" s="3" t="n"/>
      <c r="Y874" s="3" t="n"/>
      <c r="Z874" s="3" t="n"/>
    </row>
    <row r="875" hidden="1" ht="15.75" customHeight="1" s="174">
      <c r="A875" s="3">
        <f>'Historical Data'!A872</f>
        <v/>
      </c>
      <c r="B875" s="3">
        <f>'Historical Data'!B872</f>
        <v/>
      </c>
      <c r="C875" s="3">
        <f>'Historical Data'!D872</f>
        <v/>
      </c>
      <c r="D875" s="23">
        <f>'Historical Data'!E872</f>
        <v/>
      </c>
      <c r="E875" s="3">
        <f>'Historical Data'!G872</f>
        <v/>
      </c>
      <c r="F875" s="3">
        <f>'Historical Data'!Y872</f>
        <v/>
      </c>
      <c r="G875" s="3">
        <f>'Historical Data'!K872</f>
        <v/>
      </c>
      <c r="H875" s="3">
        <f>'Historical Data'!L872</f>
        <v/>
      </c>
      <c r="I875" s="26">
        <f>'Historical Data'!M872</f>
        <v/>
      </c>
      <c r="J875" s="28">
        <f>'Historical Data'!N872</f>
        <v/>
      </c>
      <c r="K875" s="28">
        <f>'Historical Data'!Q872</f>
        <v/>
      </c>
      <c r="L875" s="30">
        <f>'Historical Data'!S872</f>
        <v/>
      </c>
      <c r="M875" s="28">
        <f>'Historical Data'!AJ872</f>
        <v/>
      </c>
      <c r="N875" s="28">
        <f>'Historical Data'!AK872</f>
        <v/>
      </c>
      <c r="O875" s="3">
        <f>'Historical Data'!AA872</f>
        <v/>
      </c>
      <c r="P875" s="3">
        <f>'Historical Data'!AB872</f>
        <v/>
      </c>
      <c r="Q875" s="3">
        <f>'Historical Data'!AN872</f>
        <v/>
      </c>
      <c r="R875" s="3">
        <f>'Historical Data'!AC872</f>
        <v/>
      </c>
      <c r="S875" s="3">
        <f>'Historical Data'!AE872</f>
        <v/>
      </c>
      <c r="T875" s="3">
        <f>'Historical Data'!AH872</f>
        <v/>
      </c>
      <c r="U875" s="3">
        <f>'Historical Data'!BA872</f>
        <v/>
      </c>
      <c r="V875" s="3" t="n"/>
      <c r="W875" s="3" t="n"/>
      <c r="X875" s="3" t="n"/>
      <c r="Y875" s="3" t="n"/>
      <c r="Z875" s="3" t="n"/>
    </row>
    <row r="876" hidden="1" ht="15.75" customHeight="1" s="174">
      <c r="A876" s="3">
        <f>'Historical Data'!A873</f>
        <v/>
      </c>
      <c r="B876" s="3">
        <f>'Historical Data'!B873</f>
        <v/>
      </c>
      <c r="C876" s="3">
        <f>'Historical Data'!D873</f>
        <v/>
      </c>
      <c r="D876" s="23">
        <f>'Historical Data'!E873</f>
        <v/>
      </c>
      <c r="E876" s="3">
        <f>'Historical Data'!G873</f>
        <v/>
      </c>
      <c r="F876" s="3">
        <f>'Historical Data'!Y873</f>
        <v/>
      </c>
      <c r="G876" s="3">
        <f>'Historical Data'!K873</f>
        <v/>
      </c>
      <c r="H876" s="3">
        <f>'Historical Data'!L873</f>
        <v/>
      </c>
      <c r="I876" s="26">
        <f>'Historical Data'!M873</f>
        <v/>
      </c>
      <c r="J876" s="28">
        <f>'Historical Data'!N873</f>
        <v/>
      </c>
      <c r="K876" s="28">
        <f>'Historical Data'!Q873</f>
        <v/>
      </c>
      <c r="L876" s="30">
        <f>'Historical Data'!S873</f>
        <v/>
      </c>
      <c r="M876" s="28">
        <f>'Historical Data'!AJ873</f>
        <v/>
      </c>
      <c r="N876" s="28">
        <f>'Historical Data'!AK873</f>
        <v/>
      </c>
      <c r="O876" s="3">
        <f>'Historical Data'!AA873</f>
        <v/>
      </c>
      <c r="P876" s="3">
        <f>'Historical Data'!AB873</f>
        <v/>
      </c>
      <c r="Q876" s="3">
        <f>'Historical Data'!AN873</f>
        <v/>
      </c>
      <c r="R876" s="3">
        <f>'Historical Data'!AC873</f>
        <v/>
      </c>
      <c r="S876" s="3">
        <f>'Historical Data'!AE873</f>
        <v/>
      </c>
      <c r="T876" s="3">
        <f>'Historical Data'!AH873</f>
        <v/>
      </c>
      <c r="U876" s="3">
        <f>'Historical Data'!BA873</f>
        <v/>
      </c>
      <c r="V876" s="3" t="n"/>
      <c r="W876" s="3" t="n"/>
      <c r="X876" s="3" t="n"/>
      <c r="Y876" s="3" t="n"/>
      <c r="Z876" s="3" t="n"/>
    </row>
    <row r="877" hidden="1" ht="15.75" customHeight="1" s="174">
      <c r="A877" s="3">
        <f>'Historical Data'!A874</f>
        <v/>
      </c>
      <c r="B877" s="3">
        <f>'Historical Data'!B874</f>
        <v/>
      </c>
      <c r="C877" s="3">
        <f>'Historical Data'!D874</f>
        <v/>
      </c>
      <c r="D877" s="23">
        <f>'Historical Data'!E874</f>
        <v/>
      </c>
      <c r="E877" s="3">
        <f>'Historical Data'!G874</f>
        <v/>
      </c>
      <c r="F877" s="3">
        <f>'Historical Data'!Y874</f>
        <v/>
      </c>
      <c r="G877" s="3">
        <f>'Historical Data'!K874</f>
        <v/>
      </c>
      <c r="H877" s="3">
        <f>'Historical Data'!L874</f>
        <v/>
      </c>
      <c r="I877" s="26">
        <f>'Historical Data'!M874</f>
        <v/>
      </c>
      <c r="J877" s="28">
        <f>'Historical Data'!N874</f>
        <v/>
      </c>
      <c r="K877" s="28">
        <f>'Historical Data'!Q874</f>
        <v/>
      </c>
      <c r="L877" s="30">
        <f>'Historical Data'!S874</f>
        <v/>
      </c>
      <c r="M877" s="28">
        <f>'Historical Data'!AJ874</f>
        <v/>
      </c>
      <c r="N877" s="28">
        <f>'Historical Data'!AK874</f>
        <v/>
      </c>
      <c r="O877" s="3">
        <f>'Historical Data'!AA874</f>
        <v/>
      </c>
      <c r="P877" s="3">
        <f>'Historical Data'!AB874</f>
        <v/>
      </c>
      <c r="Q877" s="3">
        <f>'Historical Data'!AN874</f>
        <v/>
      </c>
      <c r="R877" s="3">
        <f>'Historical Data'!AC874</f>
        <v/>
      </c>
      <c r="S877" s="3">
        <f>'Historical Data'!AE874</f>
        <v/>
      </c>
      <c r="T877" s="3">
        <f>'Historical Data'!AH874</f>
        <v/>
      </c>
      <c r="U877" s="3">
        <f>'Historical Data'!BA874</f>
        <v/>
      </c>
      <c r="V877" s="3" t="n"/>
      <c r="W877" s="3" t="n"/>
      <c r="X877" s="3" t="n"/>
      <c r="Y877" s="3" t="n"/>
      <c r="Z877" s="3" t="n"/>
    </row>
    <row r="878" hidden="1" ht="15.75" customHeight="1" s="174">
      <c r="A878" s="3">
        <f>'Historical Data'!A875</f>
        <v/>
      </c>
      <c r="B878" s="3">
        <f>'Historical Data'!B875</f>
        <v/>
      </c>
      <c r="C878" s="3">
        <f>'Historical Data'!D875</f>
        <v/>
      </c>
      <c r="D878" s="23">
        <f>'Historical Data'!E875</f>
        <v/>
      </c>
      <c r="E878" s="3">
        <f>'Historical Data'!G875</f>
        <v/>
      </c>
      <c r="F878" s="3">
        <f>'Historical Data'!Y875</f>
        <v/>
      </c>
      <c r="G878" s="3">
        <f>'Historical Data'!K875</f>
        <v/>
      </c>
      <c r="H878" s="3">
        <f>'Historical Data'!L875</f>
        <v/>
      </c>
      <c r="I878" s="26">
        <f>'Historical Data'!M875</f>
        <v/>
      </c>
      <c r="J878" s="28">
        <f>'Historical Data'!N875</f>
        <v/>
      </c>
      <c r="K878" s="28">
        <f>'Historical Data'!Q875</f>
        <v/>
      </c>
      <c r="L878" s="30">
        <f>'Historical Data'!S875</f>
        <v/>
      </c>
      <c r="M878" s="28">
        <f>'Historical Data'!AJ875</f>
        <v/>
      </c>
      <c r="N878" s="28">
        <f>'Historical Data'!AK875</f>
        <v/>
      </c>
      <c r="O878" s="3">
        <f>'Historical Data'!AA875</f>
        <v/>
      </c>
      <c r="P878" s="3">
        <f>'Historical Data'!AB875</f>
        <v/>
      </c>
      <c r="Q878" s="3">
        <f>'Historical Data'!AN875</f>
        <v/>
      </c>
      <c r="R878" s="3">
        <f>'Historical Data'!AC875</f>
        <v/>
      </c>
      <c r="S878" s="3">
        <f>'Historical Data'!AE875</f>
        <v/>
      </c>
      <c r="T878" s="3">
        <f>'Historical Data'!AH875</f>
        <v/>
      </c>
      <c r="U878" s="3">
        <f>'Historical Data'!BA875</f>
        <v/>
      </c>
      <c r="V878" s="3" t="n"/>
      <c r="W878" s="3" t="n"/>
      <c r="X878" s="3" t="n"/>
      <c r="Y878" s="3" t="n"/>
      <c r="Z878" s="3" t="n"/>
    </row>
    <row r="879" hidden="1" ht="15.75" customHeight="1" s="174">
      <c r="A879" s="3">
        <f>'Historical Data'!A876</f>
        <v/>
      </c>
      <c r="B879" s="3">
        <f>'Historical Data'!B876</f>
        <v/>
      </c>
      <c r="C879" s="3">
        <f>'Historical Data'!D876</f>
        <v/>
      </c>
      <c r="D879" s="23">
        <f>'Historical Data'!E876</f>
        <v/>
      </c>
      <c r="E879" s="3">
        <f>'Historical Data'!G876</f>
        <v/>
      </c>
      <c r="F879" s="3">
        <f>'Historical Data'!Y876</f>
        <v/>
      </c>
      <c r="G879" s="3">
        <f>'Historical Data'!K876</f>
        <v/>
      </c>
      <c r="H879" s="3">
        <f>'Historical Data'!L876</f>
        <v/>
      </c>
      <c r="I879" s="26">
        <f>'Historical Data'!M876</f>
        <v/>
      </c>
      <c r="J879" s="28">
        <f>'Historical Data'!N876</f>
        <v/>
      </c>
      <c r="K879" s="28">
        <f>'Historical Data'!Q876</f>
        <v/>
      </c>
      <c r="L879" s="30">
        <f>'Historical Data'!S876</f>
        <v/>
      </c>
      <c r="M879" s="28">
        <f>'Historical Data'!AJ876</f>
        <v/>
      </c>
      <c r="N879" s="28">
        <f>'Historical Data'!AK876</f>
        <v/>
      </c>
      <c r="O879" s="3">
        <f>'Historical Data'!AA876</f>
        <v/>
      </c>
      <c r="P879" s="3">
        <f>'Historical Data'!AB876</f>
        <v/>
      </c>
      <c r="Q879" s="3">
        <f>'Historical Data'!AN876</f>
        <v/>
      </c>
      <c r="R879" s="3">
        <f>'Historical Data'!AC876</f>
        <v/>
      </c>
      <c r="S879" s="3">
        <f>'Historical Data'!AE876</f>
        <v/>
      </c>
      <c r="T879" s="3">
        <f>'Historical Data'!AH876</f>
        <v/>
      </c>
      <c r="U879" s="3">
        <f>'Historical Data'!BA876</f>
        <v/>
      </c>
      <c r="V879" s="3" t="n"/>
      <c r="W879" s="3" t="n"/>
      <c r="X879" s="3" t="n"/>
      <c r="Y879" s="3" t="n"/>
      <c r="Z879" s="3" t="n"/>
    </row>
    <row r="880" hidden="1" ht="15.75" customHeight="1" s="174">
      <c r="A880" s="3">
        <f>'Historical Data'!A877</f>
        <v/>
      </c>
      <c r="B880" s="3">
        <f>'Historical Data'!B877</f>
        <v/>
      </c>
      <c r="C880" s="3">
        <f>'Historical Data'!D877</f>
        <v/>
      </c>
      <c r="D880" s="23">
        <f>'Historical Data'!E877</f>
        <v/>
      </c>
      <c r="E880" s="3">
        <f>'Historical Data'!G877</f>
        <v/>
      </c>
      <c r="F880" s="3">
        <f>'Historical Data'!Y877</f>
        <v/>
      </c>
      <c r="G880" s="3">
        <f>'Historical Data'!K877</f>
        <v/>
      </c>
      <c r="H880" s="3">
        <f>'Historical Data'!L877</f>
        <v/>
      </c>
      <c r="I880" s="26">
        <f>'Historical Data'!M877</f>
        <v/>
      </c>
      <c r="J880" s="28">
        <f>'Historical Data'!N877</f>
        <v/>
      </c>
      <c r="K880" s="28">
        <f>'Historical Data'!Q877</f>
        <v/>
      </c>
      <c r="L880" s="30">
        <f>'Historical Data'!S877</f>
        <v/>
      </c>
      <c r="M880" s="28">
        <f>'Historical Data'!AJ877</f>
        <v/>
      </c>
      <c r="N880" s="28">
        <f>'Historical Data'!AK877</f>
        <v/>
      </c>
      <c r="O880" s="3">
        <f>'Historical Data'!AA877</f>
        <v/>
      </c>
      <c r="P880" s="3">
        <f>'Historical Data'!AB877</f>
        <v/>
      </c>
      <c r="Q880" s="3">
        <f>'Historical Data'!AN877</f>
        <v/>
      </c>
      <c r="R880" s="3">
        <f>'Historical Data'!AC877</f>
        <v/>
      </c>
      <c r="S880" s="3">
        <f>'Historical Data'!AE877</f>
        <v/>
      </c>
      <c r="T880" s="3">
        <f>'Historical Data'!AH877</f>
        <v/>
      </c>
      <c r="U880" s="3">
        <f>'Historical Data'!BA877</f>
        <v/>
      </c>
      <c r="V880" s="3" t="n"/>
      <c r="W880" s="3" t="n"/>
      <c r="X880" s="3" t="n"/>
      <c r="Y880" s="3" t="n"/>
      <c r="Z880" s="3" t="n"/>
    </row>
    <row r="881" ht="15.75" customHeight="1" s="174">
      <c r="A881" s="3">
        <f>'Historical Data'!A878</f>
        <v/>
      </c>
      <c r="B881" s="3">
        <f>'Historical Data'!B878</f>
        <v/>
      </c>
      <c r="C881" s="3">
        <f>'Historical Data'!D878</f>
        <v/>
      </c>
      <c r="D881" s="23">
        <f>'Historical Data'!E878</f>
        <v/>
      </c>
      <c r="E881" s="3">
        <f>'Historical Data'!G878</f>
        <v/>
      </c>
      <c r="F881" s="3">
        <f>'Historical Data'!Y878</f>
        <v/>
      </c>
      <c r="G881" s="3">
        <f>'Historical Data'!K878</f>
        <v/>
      </c>
      <c r="H881" s="3">
        <f>'Historical Data'!L878</f>
        <v/>
      </c>
      <c r="I881" s="26">
        <f>'Historical Data'!M878</f>
        <v/>
      </c>
      <c r="J881" s="28">
        <f>'Historical Data'!N878</f>
        <v/>
      </c>
      <c r="K881" s="28">
        <f>'Historical Data'!Q878</f>
        <v/>
      </c>
      <c r="L881" s="30">
        <f>'Historical Data'!S878</f>
        <v/>
      </c>
      <c r="M881" s="28">
        <f>'Historical Data'!AJ878</f>
        <v/>
      </c>
      <c r="N881" s="28">
        <f>'Historical Data'!AK878</f>
        <v/>
      </c>
      <c r="O881" s="3">
        <f>'Historical Data'!AA878</f>
        <v/>
      </c>
      <c r="P881" s="3">
        <f>'Historical Data'!AB878</f>
        <v/>
      </c>
      <c r="Q881" s="3">
        <f>'Historical Data'!AN878</f>
        <v/>
      </c>
      <c r="R881" s="3">
        <f>'Historical Data'!AC878</f>
        <v/>
      </c>
      <c r="S881" s="3">
        <f>'Historical Data'!AE878</f>
        <v/>
      </c>
      <c r="T881" s="3">
        <f>'Historical Data'!AH878</f>
        <v/>
      </c>
      <c r="U881" s="3">
        <f>'Historical Data'!BA878</f>
        <v/>
      </c>
      <c r="V881" s="3" t="n"/>
      <c r="W881" s="3" t="n"/>
      <c r="X881" s="3" t="n"/>
      <c r="Y881" s="3" t="n"/>
      <c r="Z881" s="3" t="n"/>
    </row>
    <row r="882" hidden="1" ht="15.75" customHeight="1" s="174">
      <c r="A882" s="3">
        <f>'Historical Data'!A879</f>
        <v/>
      </c>
      <c r="B882" s="3">
        <f>'Historical Data'!B879</f>
        <v/>
      </c>
      <c r="C882" s="3">
        <f>'Historical Data'!D879</f>
        <v/>
      </c>
      <c r="D882" s="23">
        <f>'Historical Data'!E879</f>
        <v/>
      </c>
      <c r="E882" s="3">
        <f>'Historical Data'!G879</f>
        <v/>
      </c>
      <c r="F882" s="3">
        <f>'Historical Data'!Y879</f>
        <v/>
      </c>
      <c r="G882" s="3">
        <f>'Historical Data'!K879</f>
        <v/>
      </c>
      <c r="H882" s="3">
        <f>'Historical Data'!L879</f>
        <v/>
      </c>
      <c r="I882" s="26">
        <f>'Historical Data'!M879</f>
        <v/>
      </c>
      <c r="J882" s="28">
        <f>'Historical Data'!N879</f>
        <v/>
      </c>
      <c r="K882" s="28">
        <f>'Historical Data'!Q879</f>
        <v/>
      </c>
      <c r="L882" s="30">
        <f>'Historical Data'!S879</f>
        <v/>
      </c>
      <c r="M882" s="28">
        <f>'Historical Data'!AJ879</f>
        <v/>
      </c>
      <c r="N882" s="28">
        <f>'Historical Data'!AK879</f>
        <v/>
      </c>
      <c r="O882" s="3">
        <f>'Historical Data'!AA879</f>
        <v/>
      </c>
      <c r="P882" s="3">
        <f>'Historical Data'!AB879</f>
        <v/>
      </c>
      <c r="Q882" s="3">
        <f>'Historical Data'!AN879</f>
        <v/>
      </c>
      <c r="R882" s="3">
        <f>'Historical Data'!AC879</f>
        <v/>
      </c>
      <c r="S882" s="3">
        <f>'Historical Data'!AE879</f>
        <v/>
      </c>
      <c r="T882" s="3">
        <f>'Historical Data'!AH879</f>
        <v/>
      </c>
      <c r="U882" s="3">
        <f>'Historical Data'!BA879</f>
        <v/>
      </c>
      <c r="V882" s="3" t="n"/>
      <c r="W882" s="3" t="n"/>
      <c r="X882" s="3" t="n"/>
      <c r="Y882" s="3" t="n"/>
      <c r="Z882" s="3" t="n"/>
    </row>
    <row r="883" hidden="1" ht="15.75" customHeight="1" s="174">
      <c r="A883" s="3">
        <f>'Historical Data'!A880</f>
        <v/>
      </c>
      <c r="B883" s="3">
        <f>'Historical Data'!B880</f>
        <v/>
      </c>
      <c r="C883" s="3">
        <f>'Historical Data'!D880</f>
        <v/>
      </c>
      <c r="D883" s="23">
        <f>'Historical Data'!E880</f>
        <v/>
      </c>
      <c r="E883" s="3">
        <f>'Historical Data'!G880</f>
        <v/>
      </c>
      <c r="F883" s="3">
        <f>'Historical Data'!Y880</f>
        <v/>
      </c>
      <c r="G883" s="3">
        <f>'Historical Data'!K880</f>
        <v/>
      </c>
      <c r="H883" s="3">
        <f>'Historical Data'!L880</f>
        <v/>
      </c>
      <c r="I883" s="26">
        <f>'Historical Data'!M880</f>
        <v/>
      </c>
      <c r="J883" s="28">
        <f>'Historical Data'!N880</f>
        <v/>
      </c>
      <c r="K883" s="28">
        <f>'Historical Data'!Q880</f>
        <v/>
      </c>
      <c r="L883" s="30">
        <f>'Historical Data'!S880</f>
        <v/>
      </c>
      <c r="M883" s="28">
        <f>'Historical Data'!AJ880</f>
        <v/>
      </c>
      <c r="N883" s="28">
        <f>'Historical Data'!AK880</f>
        <v/>
      </c>
      <c r="O883" s="3">
        <f>'Historical Data'!AA880</f>
        <v/>
      </c>
      <c r="P883" s="3">
        <f>'Historical Data'!AB880</f>
        <v/>
      </c>
      <c r="Q883" s="3">
        <f>'Historical Data'!AN880</f>
        <v/>
      </c>
      <c r="R883" s="3">
        <f>'Historical Data'!AC880</f>
        <v/>
      </c>
      <c r="S883" s="3">
        <f>'Historical Data'!AE880</f>
        <v/>
      </c>
      <c r="T883" s="3">
        <f>'Historical Data'!AH880</f>
        <v/>
      </c>
      <c r="U883" s="3">
        <f>'Historical Data'!BA880</f>
        <v/>
      </c>
      <c r="V883" s="3" t="n"/>
      <c r="W883" s="3" t="n"/>
      <c r="X883" s="3" t="n"/>
      <c r="Y883" s="3" t="n"/>
      <c r="Z883" s="3" t="n"/>
    </row>
    <row r="884" hidden="1" ht="15.75" customHeight="1" s="174">
      <c r="A884" s="3">
        <f>'Historical Data'!A881</f>
        <v/>
      </c>
      <c r="B884" s="3">
        <f>'Historical Data'!B881</f>
        <v/>
      </c>
      <c r="C884" s="3">
        <f>'Historical Data'!D881</f>
        <v/>
      </c>
      <c r="D884" s="23">
        <f>'Historical Data'!E881</f>
        <v/>
      </c>
      <c r="E884" s="3">
        <f>'Historical Data'!G881</f>
        <v/>
      </c>
      <c r="F884" s="3">
        <f>'Historical Data'!Y881</f>
        <v/>
      </c>
      <c r="G884" s="3">
        <f>'Historical Data'!K881</f>
        <v/>
      </c>
      <c r="H884" s="3">
        <f>'Historical Data'!L881</f>
        <v/>
      </c>
      <c r="I884" s="26">
        <f>'Historical Data'!M881</f>
        <v/>
      </c>
      <c r="J884" s="28">
        <f>'Historical Data'!N881</f>
        <v/>
      </c>
      <c r="K884" s="28">
        <f>'Historical Data'!Q881</f>
        <v/>
      </c>
      <c r="L884" s="30">
        <f>'Historical Data'!S881</f>
        <v/>
      </c>
      <c r="M884" s="28">
        <f>'Historical Data'!AJ881</f>
        <v/>
      </c>
      <c r="N884" s="28">
        <f>'Historical Data'!AK881</f>
        <v/>
      </c>
      <c r="O884" s="3">
        <f>'Historical Data'!AA881</f>
        <v/>
      </c>
      <c r="P884" s="3">
        <f>'Historical Data'!AB881</f>
        <v/>
      </c>
      <c r="Q884" s="3">
        <f>'Historical Data'!AN881</f>
        <v/>
      </c>
      <c r="R884" s="3">
        <f>'Historical Data'!AC881</f>
        <v/>
      </c>
      <c r="S884" s="3">
        <f>'Historical Data'!AE881</f>
        <v/>
      </c>
      <c r="T884" s="3">
        <f>'Historical Data'!AH881</f>
        <v/>
      </c>
      <c r="U884" s="3">
        <f>'Historical Data'!BA881</f>
        <v/>
      </c>
      <c r="V884" s="3" t="n"/>
      <c r="W884" s="3" t="n"/>
      <c r="X884" s="3" t="n"/>
      <c r="Y884" s="3" t="n"/>
      <c r="Z884" s="3" t="n"/>
    </row>
    <row r="885" hidden="1" ht="15.75" customHeight="1" s="174">
      <c r="A885" s="3">
        <f>'Historical Data'!A882</f>
        <v/>
      </c>
      <c r="B885" s="3">
        <f>'Historical Data'!B882</f>
        <v/>
      </c>
      <c r="C885" s="3">
        <f>'Historical Data'!D882</f>
        <v/>
      </c>
      <c r="D885" s="23">
        <f>'Historical Data'!E882</f>
        <v/>
      </c>
      <c r="E885" s="3">
        <f>'Historical Data'!G882</f>
        <v/>
      </c>
      <c r="F885" s="3">
        <f>'Historical Data'!Y882</f>
        <v/>
      </c>
      <c r="G885" s="3">
        <f>'Historical Data'!K882</f>
        <v/>
      </c>
      <c r="H885" s="3">
        <f>'Historical Data'!L882</f>
        <v/>
      </c>
      <c r="I885" s="26">
        <f>'Historical Data'!M882</f>
        <v/>
      </c>
      <c r="J885" s="28">
        <f>'Historical Data'!N882</f>
        <v/>
      </c>
      <c r="K885" s="28">
        <f>'Historical Data'!Q882</f>
        <v/>
      </c>
      <c r="L885" s="30">
        <f>'Historical Data'!S882</f>
        <v/>
      </c>
      <c r="M885" s="28">
        <f>'Historical Data'!AJ882</f>
        <v/>
      </c>
      <c r="N885" s="28">
        <f>'Historical Data'!AK882</f>
        <v/>
      </c>
      <c r="O885" s="3">
        <f>'Historical Data'!AA882</f>
        <v/>
      </c>
      <c r="P885" s="3">
        <f>'Historical Data'!AB882</f>
        <v/>
      </c>
      <c r="Q885" s="3">
        <f>'Historical Data'!AN882</f>
        <v/>
      </c>
      <c r="R885" s="3">
        <f>'Historical Data'!AC882</f>
        <v/>
      </c>
      <c r="S885" s="3">
        <f>'Historical Data'!AE882</f>
        <v/>
      </c>
      <c r="T885" s="3">
        <f>'Historical Data'!AH882</f>
        <v/>
      </c>
      <c r="U885" s="3">
        <f>'Historical Data'!BA882</f>
        <v/>
      </c>
      <c r="V885" s="3" t="n"/>
      <c r="W885" s="3" t="n"/>
      <c r="X885" s="3" t="n"/>
      <c r="Y885" s="3" t="n"/>
      <c r="Z885" s="3" t="n"/>
    </row>
    <row r="886" hidden="1" ht="15.75" customHeight="1" s="174">
      <c r="A886" s="3">
        <f>'Historical Data'!A883</f>
        <v/>
      </c>
      <c r="B886" s="3">
        <f>'Historical Data'!B883</f>
        <v/>
      </c>
      <c r="C886" s="3">
        <f>'Historical Data'!D883</f>
        <v/>
      </c>
      <c r="D886" s="23">
        <f>'Historical Data'!E883</f>
        <v/>
      </c>
      <c r="E886" s="3">
        <f>'Historical Data'!G883</f>
        <v/>
      </c>
      <c r="F886" s="3">
        <f>'Historical Data'!Y883</f>
        <v/>
      </c>
      <c r="G886" s="3">
        <f>'Historical Data'!K883</f>
        <v/>
      </c>
      <c r="H886" s="3">
        <f>'Historical Data'!L883</f>
        <v/>
      </c>
      <c r="I886" s="26">
        <f>'Historical Data'!M883</f>
        <v/>
      </c>
      <c r="J886" s="28">
        <f>'Historical Data'!N883</f>
        <v/>
      </c>
      <c r="K886" s="28">
        <f>'Historical Data'!Q883</f>
        <v/>
      </c>
      <c r="L886" s="30">
        <f>'Historical Data'!S883</f>
        <v/>
      </c>
      <c r="M886" s="28">
        <f>'Historical Data'!AJ883</f>
        <v/>
      </c>
      <c r="N886" s="28">
        <f>'Historical Data'!AK883</f>
        <v/>
      </c>
      <c r="O886" s="3">
        <f>'Historical Data'!AA883</f>
        <v/>
      </c>
      <c r="P886" s="3">
        <f>'Historical Data'!AB883</f>
        <v/>
      </c>
      <c r="Q886" s="3">
        <f>'Historical Data'!AN883</f>
        <v/>
      </c>
      <c r="R886" s="3">
        <f>'Historical Data'!AC883</f>
        <v/>
      </c>
      <c r="S886" s="3">
        <f>'Historical Data'!AE883</f>
        <v/>
      </c>
      <c r="T886" s="3">
        <f>'Historical Data'!AH883</f>
        <v/>
      </c>
      <c r="U886" s="3">
        <f>'Historical Data'!BA883</f>
        <v/>
      </c>
      <c r="V886" s="3" t="n"/>
      <c r="W886" s="3" t="n"/>
      <c r="X886" s="3" t="n"/>
      <c r="Y886" s="3" t="n"/>
      <c r="Z886" s="3" t="n"/>
    </row>
    <row r="887" hidden="1" ht="15.75" customHeight="1" s="174">
      <c r="A887" s="3">
        <f>'Historical Data'!A884</f>
        <v/>
      </c>
      <c r="B887" s="3">
        <f>'Historical Data'!B884</f>
        <v/>
      </c>
      <c r="C887" s="3">
        <f>'Historical Data'!D884</f>
        <v/>
      </c>
      <c r="D887" s="23">
        <f>'Historical Data'!E884</f>
        <v/>
      </c>
      <c r="E887" s="3">
        <f>'Historical Data'!G884</f>
        <v/>
      </c>
      <c r="F887" s="3">
        <f>'Historical Data'!Y884</f>
        <v/>
      </c>
      <c r="G887" s="3">
        <f>'Historical Data'!K884</f>
        <v/>
      </c>
      <c r="H887" s="3">
        <f>'Historical Data'!L884</f>
        <v/>
      </c>
      <c r="I887" s="26">
        <f>'Historical Data'!M884</f>
        <v/>
      </c>
      <c r="J887" s="28">
        <f>'Historical Data'!N884</f>
        <v/>
      </c>
      <c r="K887" s="28">
        <f>'Historical Data'!Q884</f>
        <v/>
      </c>
      <c r="L887" s="30">
        <f>'Historical Data'!S884</f>
        <v/>
      </c>
      <c r="M887" s="28">
        <f>'Historical Data'!AJ884</f>
        <v/>
      </c>
      <c r="N887" s="28">
        <f>'Historical Data'!AK884</f>
        <v/>
      </c>
      <c r="O887" s="3">
        <f>'Historical Data'!AA884</f>
        <v/>
      </c>
      <c r="P887" s="3">
        <f>'Historical Data'!AB884</f>
        <v/>
      </c>
      <c r="Q887" s="3">
        <f>'Historical Data'!AN884</f>
        <v/>
      </c>
      <c r="R887" s="3">
        <f>'Historical Data'!AC884</f>
        <v/>
      </c>
      <c r="S887" s="3">
        <f>'Historical Data'!AE884</f>
        <v/>
      </c>
      <c r="T887" s="3">
        <f>'Historical Data'!AH884</f>
        <v/>
      </c>
      <c r="U887" s="3">
        <f>'Historical Data'!BA884</f>
        <v/>
      </c>
      <c r="V887" s="3" t="n"/>
      <c r="W887" s="3" t="n"/>
      <c r="X887" s="3" t="n"/>
      <c r="Y887" s="3" t="n"/>
      <c r="Z887" s="3" t="n"/>
    </row>
    <row r="888" hidden="1" ht="15.75" customHeight="1" s="174">
      <c r="A888" s="3">
        <f>'Historical Data'!A885</f>
        <v/>
      </c>
      <c r="B888" s="3">
        <f>'Historical Data'!B885</f>
        <v/>
      </c>
      <c r="C888" s="3">
        <f>'Historical Data'!D885</f>
        <v/>
      </c>
      <c r="D888" s="23">
        <f>'Historical Data'!E885</f>
        <v/>
      </c>
      <c r="E888" s="3">
        <f>'Historical Data'!G885</f>
        <v/>
      </c>
      <c r="F888" s="3">
        <f>'Historical Data'!Y885</f>
        <v/>
      </c>
      <c r="G888" s="3">
        <f>'Historical Data'!K885</f>
        <v/>
      </c>
      <c r="H888" s="3">
        <f>'Historical Data'!L885</f>
        <v/>
      </c>
      <c r="I888" s="26">
        <f>'Historical Data'!M885</f>
        <v/>
      </c>
      <c r="J888" s="28">
        <f>'Historical Data'!N885</f>
        <v/>
      </c>
      <c r="K888" s="28">
        <f>'Historical Data'!Q885</f>
        <v/>
      </c>
      <c r="L888" s="30">
        <f>'Historical Data'!S885</f>
        <v/>
      </c>
      <c r="M888" s="28">
        <f>'Historical Data'!AJ885</f>
        <v/>
      </c>
      <c r="N888" s="28">
        <f>'Historical Data'!AK885</f>
        <v/>
      </c>
      <c r="O888" s="3">
        <f>'Historical Data'!AA885</f>
        <v/>
      </c>
      <c r="P888" s="3">
        <f>'Historical Data'!AB885</f>
        <v/>
      </c>
      <c r="Q888" s="3">
        <f>'Historical Data'!AN885</f>
        <v/>
      </c>
      <c r="R888" s="3">
        <f>'Historical Data'!AC885</f>
        <v/>
      </c>
      <c r="S888" s="3">
        <f>'Historical Data'!AE885</f>
        <v/>
      </c>
      <c r="T888" s="3">
        <f>'Historical Data'!AH885</f>
        <v/>
      </c>
      <c r="U888" s="3">
        <f>'Historical Data'!BA885</f>
        <v/>
      </c>
      <c r="V888" s="3" t="n"/>
      <c r="W888" s="3" t="n"/>
      <c r="X888" s="3" t="n"/>
      <c r="Y888" s="3" t="n"/>
      <c r="Z888" s="3" t="n"/>
    </row>
    <row r="889" hidden="1" ht="15.75" customHeight="1" s="174">
      <c r="A889" s="3">
        <f>'Historical Data'!A886</f>
        <v/>
      </c>
      <c r="B889" s="3">
        <f>'Historical Data'!B886</f>
        <v/>
      </c>
      <c r="C889" s="3">
        <f>'Historical Data'!D886</f>
        <v/>
      </c>
      <c r="D889" s="23">
        <f>'Historical Data'!E886</f>
        <v/>
      </c>
      <c r="E889" s="3">
        <f>'Historical Data'!G886</f>
        <v/>
      </c>
      <c r="F889" s="3">
        <f>'Historical Data'!Y886</f>
        <v/>
      </c>
      <c r="G889" s="3">
        <f>'Historical Data'!K886</f>
        <v/>
      </c>
      <c r="H889" s="3">
        <f>'Historical Data'!L886</f>
        <v/>
      </c>
      <c r="I889" s="26">
        <f>'Historical Data'!M886</f>
        <v/>
      </c>
      <c r="J889" s="28">
        <f>'Historical Data'!N886</f>
        <v/>
      </c>
      <c r="K889" s="28">
        <f>'Historical Data'!Q886</f>
        <v/>
      </c>
      <c r="L889" s="30">
        <f>'Historical Data'!S886</f>
        <v/>
      </c>
      <c r="M889" s="28">
        <f>'Historical Data'!AJ886</f>
        <v/>
      </c>
      <c r="N889" s="28">
        <f>'Historical Data'!AK886</f>
        <v/>
      </c>
      <c r="O889" s="3">
        <f>'Historical Data'!AA886</f>
        <v/>
      </c>
      <c r="P889" s="3">
        <f>'Historical Data'!AB886</f>
        <v/>
      </c>
      <c r="Q889" s="3">
        <f>'Historical Data'!AN886</f>
        <v/>
      </c>
      <c r="R889" s="3">
        <f>'Historical Data'!AC886</f>
        <v/>
      </c>
      <c r="S889" s="3">
        <f>'Historical Data'!AE886</f>
        <v/>
      </c>
      <c r="T889" s="3">
        <f>'Historical Data'!AH886</f>
        <v/>
      </c>
      <c r="U889" s="3">
        <f>'Historical Data'!BA886</f>
        <v/>
      </c>
      <c r="V889" s="3" t="n"/>
      <c r="W889" s="3" t="n"/>
      <c r="X889" s="3" t="n"/>
      <c r="Y889" s="3" t="n"/>
      <c r="Z889" s="3" t="n"/>
    </row>
    <row r="890" hidden="1" ht="15.75" customHeight="1" s="174">
      <c r="A890" s="3">
        <f>'Historical Data'!A887</f>
        <v/>
      </c>
      <c r="B890" s="3">
        <f>'Historical Data'!B887</f>
        <v/>
      </c>
      <c r="C890" s="3">
        <f>'Historical Data'!D887</f>
        <v/>
      </c>
      <c r="D890" s="23">
        <f>'Historical Data'!E887</f>
        <v/>
      </c>
      <c r="E890" s="3">
        <f>'Historical Data'!G887</f>
        <v/>
      </c>
      <c r="F890" s="3">
        <f>'Historical Data'!Y887</f>
        <v/>
      </c>
      <c r="G890" s="3">
        <f>'Historical Data'!K887</f>
        <v/>
      </c>
      <c r="H890" s="3">
        <f>'Historical Data'!L887</f>
        <v/>
      </c>
      <c r="I890" s="26">
        <f>'Historical Data'!M887</f>
        <v/>
      </c>
      <c r="J890" s="28">
        <f>'Historical Data'!N887</f>
        <v/>
      </c>
      <c r="K890" s="28">
        <f>'Historical Data'!Q887</f>
        <v/>
      </c>
      <c r="L890" s="30">
        <f>'Historical Data'!S887</f>
        <v/>
      </c>
      <c r="M890" s="28">
        <f>'Historical Data'!AJ887</f>
        <v/>
      </c>
      <c r="N890" s="28">
        <f>'Historical Data'!AK887</f>
        <v/>
      </c>
      <c r="O890" s="3">
        <f>'Historical Data'!AA887</f>
        <v/>
      </c>
      <c r="P890" s="3">
        <f>'Historical Data'!AB887</f>
        <v/>
      </c>
      <c r="Q890" s="3">
        <f>'Historical Data'!AN887</f>
        <v/>
      </c>
      <c r="R890" s="3">
        <f>'Historical Data'!AC887</f>
        <v/>
      </c>
      <c r="S890" s="3">
        <f>'Historical Data'!AE887</f>
        <v/>
      </c>
      <c r="T890" s="3">
        <f>'Historical Data'!AH887</f>
        <v/>
      </c>
      <c r="U890" s="3">
        <f>'Historical Data'!BA887</f>
        <v/>
      </c>
      <c r="V890" s="3" t="n"/>
      <c r="W890" s="3" t="n"/>
      <c r="X890" s="3" t="n"/>
      <c r="Y890" s="3" t="n"/>
      <c r="Z890" s="3" t="n"/>
    </row>
    <row r="891" hidden="1" ht="15.75" customHeight="1" s="174">
      <c r="A891" s="3">
        <f>'Historical Data'!A888</f>
        <v/>
      </c>
      <c r="B891" s="3">
        <f>'Historical Data'!B888</f>
        <v/>
      </c>
      <c r="C891" s="3">
        <f>'Historical Data'!D888</f>
        <v/>
      </c>
      <c r="D891" s="23">
        <f>'Historical Data'!E888</f>
        <v/>
      </c>
      <c r="E891" s="3">
        <f>'Historical Data'!G888</f>
        <v/>
      </c>
      <c r="F891" s="3">
        <f>'Historical Data'!Y888</f>
        <v/>
      </c>
      <c r="G891" s="3">
        <f>'Historical Data'!K888</f>
        <v/>
      </c>
      <c r="H891" s="3">
        <f>'Historical Data'!L888</f>
        <v/>
      </c>
      <c r="I891" s="26">
        <f>'Historical Data'!M888</f>
        <v/>
      </c>
      <c r="J891" s="28">
        <f>'Historical Data'!N888</f>
        <v/>
      </c>
      <c r="K891" s="28">
        <f>'Historical Data'!Q888</f>
        <v/>
      </c>
      <c r="L891" s="30">
        <f>'Historical Data'!S888</f>
        <v/>
      </c>
      <c r="M891" s="28">
        <f>'Historical Data'!AJ888</f>
        <v/>
      </c>
      <c r="N891" s="28">
        <f>'Historical Data'!AK888</f>
        <v/>
      </c>
      <c r="O891" s="3">
        <f>'Historical Data'!AA888</f>
        <v/>
      </c>
      <c r="P891" s="3">
        <f>'Historical Data'!AB888</f>
        <v/>
      </c>
      <c r="Q891" s="3">
        <f>'Historical Data'!AN888</f>
        <v/>
      </c>
      <c r="R891" s="3">
        <f>'Historical Data'!AC888</f>
        <v/>
      </c>
      <c r="S891" s="3">
        <f>'Historical Data'!AE888</f>
        <v/>
      </c>
      <c r="T891" s="3">
        <f>'Historical Data'!AH888</f>
        <v/>
      </c>
      <c r="U891" s="3">
        <f>'Historical Data'!BA888</f>
        <v/>
      </c>
      <c r="V891" s="3" t="n"/>
      <c r="W891" s="3" t="n"/>
      <c r="X891" s="3" t="n"/>
      <c r="Y891" s="3" t="n"/>
      <c r="Z891" s="3" t="n"/>
    </row>
    <row r="892" hidden="1" ht="15.75" customHeight="1" s="174">
      <c r="A892" s="3">
        <f>'Historical Data'!A889</f>
        <v/>
      </c>
      <c r="B892" s="3">
        <f>'Historical Data'!B889</f>
        <v/>
      </c>
      <c r="C892" s="3">
        <f>'Historical Data'!D889</f>
        <v/>
      </c>
      <c r="D892" s="23">
        <f>'Historical Data'!E889</f>
        <v/>
      </c>
      <c r="E892" s="3">
        <f>'Historical Data'!G889</f>
        <v/>
      </c>
      <c r="F892" s="3">
        <f>'Historical Data'!Y889</f>
        <v/>
      </c>
      <c r="G892" s="3">
        <f>'Historical Data'!K889</f>
        <v/>
      </c>
      <c r="H892" s="3">
        <f>'Historical Data'!L889</f>
        <v/>
      </c>
      <c r="I892" s="26">
        <f>'Historical Data'!M889</f>
        <v/>
      </c>
      <c r="J892" s="28">
        <f>'Historical Data'!N889</f>
        <v/>
      </c>
      <c r="K892" s="28">
        <f>'Historical Data'!Q889</f>
        <v/>
      </c>
      <c r="L892" s="30">
        <f>'Historical Data'!S889</f>
        <v/>
      </c>
      <c r="M892" s="28">
        <f>'Historical Data'!AJ889</f>
        <v/>
      </c>
      <c r="N892" s="28">
        <f>'Historical Data'!AK889</f>
        <v/>
      </c>
      <c r="O892" s="3">
        <f>'Historical Data'!AA889</f>
        <v/>
      </c>
      <c r="P892" s="3">
        <f>'Historical Data'!AB889</f>
        <v/>
      </c>
      <c r="Q892" s="3">
        <f>'Historical Data'!AN889</f>
        <v/>
      </c>
      <c r="R892" s="3">
        <f>'Historical Data'!AC889</f>
        <v/>
      </c>
      <c r="S892" s="3">
        <f>'Historical Data'!AE889</f>
        <v/>
      </c>
      <c r="T892" s="3">
        <f>'Historical Data'!AH889</f>
        <v/>
      </c>
      <c r="U892" s="3">
        <f>'Historical Data'!BA889</f>
        <v/>
      </c>
      <c r="V892" s="3" t="n"/>
      <c r="W892" s="3" t="n"/>
      <c r="X892" s="3" t="n"/>
      <c r="Y892" s="3" t="n"/>
      <c r="Z892" s="3" t="n"/>
    </row>
    <row r="893" hidden="1" ht="15.75" customHeight="1" s="174">
      <c r="A893" s="3">
        <f>'Historical Data'!A890</f>
        <v/>
      </c>
      <c r="B893" s="3">
        <f>'Historical Data'!B890</f>
        <v/>
      </c>
      <c r="C893" s="3">
        <f>'Historical Data'!D890</f>
        <v/>
      </c>
      <c r="D893" s="23">
        <f>'Historical Data'!E890</f>
        <v/>
      </c>
      <c r="E893" s="3">
        <f>'Historical Data'!G890</f>
        <v/>
      </c>
      <c r="F893" s="3">
        <f>'Historical Data'!Y890</f>
        <v/>
      </c>
      <c r="G893" s="3">
        <f>'Historical Data'!K890</f>
        <v/>
      </c>
      <c r="H893" s="3">
        <f>'Historical Data'!L890</f>
        <v/>
      </c>
      <c r="I893" s="26">
        <f>'Historical Data'!M890</f>
        <v/>
      </c>
      <c r="J893" s="28">
        <f>'Historical Data'!N890</f>
        <v/>
      </c>
      <c r="K893" s="28">
        <f>'Historical Data'!Q890</f>
        <v/>
      </c>
      <c r="L893" s="30">
        <f>'Historical Data'!S890</f>
        <v/>
      </c>
      <c r="M893" s="28">
        <f>'Historical Data'!AJ890</f>
        <v/>
      </c>
      <c r="N893" s="28">
        <f>'Historical Data'!AK890</f>
        <v/>
      </c>
      <c r="O893" s="3">
        <f>'Historical Data'!AA890</f>
        <v/>
      </c>
      <c r="P893" s="3">
        <f>'Historical Data'!AB890</f>
        <v/>
      </c>
      <c r="Q893" s="3">
        <f>'Historical Data'!AN890</f>
        <v/>
      </c>
      <c r="R893" s="3">
        <f>'Historical Data'!AC890</f>
        <v/>
      </c>
      <c r="S893" s="3">
        <f>'Historical Data'!AE890</f>
        <v/>
      </c>
      <c r="T893" s="3">
        <f>'Historical Data'!AH890</f>
        <v/>
      </c>
      <c r="U893" s="3">
        <f>'Historical Data'!BA890</f>
        <v/>
      </c>
      <c r="V893" s="3" t="n"/>
      <c r="W893" s="3" t="n"/>
      <c r="X893" s="3" t="n"/>
      <c r="Y893" s="3" t="n"/>
      <c r="Z893" s="3" t="n"/>
    </row>
    <row r="894" hidden="1" ht="15.75" customHeight="1" s="174">
      <c r="A894" s="3">
        <f>'Historical Data'!A891</f>
        <v/>
      </c>
      <c r="B894" s="3">
        <f>'Historical Data'!B891</f>
        <v/>
      </c>
      <c r="C894" s="3">
        <f>'Historical Data'!D891</f>
        <v/>
      </c>
      <c r="D894" s="23">
        <f>'Historical Data'!E891</f>
        <v/>
      </c>
      <c r="E894" s="3">
        <f>'Historical Data'!G891</f>
        <v/>
      </c>
      <c r="F894" s="3">
        <f>'Historical Data'!Y891</f>
        <v/>
      </c>
      <c r="G894" s="3">
        <f>'Historical Data'!K891</f>
        <v/>
      </c>
      <c r="H894" s="3">
        <f>'Historical Data'!L891</f>
        <v/>
      </c>
      <c r="I894" s="26">
        <f>'Historical Data'!M891</f>
        <v/>
      </c>
      <c r="J894" s="28">
        <f>'Historical Data'!N891</f>
        <v/>
      </c>
      <c r="K894" s="28">
        <f>'Historical Data'!Q891</f>
        <v/>
      </c>
      <c r="L894" s="30">
        <f>'Historical Data'!S891</f>
        <v/>
      </c>
      <c r="M894" s="28">
        <f>'Historical Data'!AJ891</f>
        <v/>
      </c>
      <c r="N894" s="28">
        <f>'Historical Data'!AK891</f>
        <v/>
      </c>
      <c r="O894" s="3">
        <f>'Historical Data'!AA891</f>
        <v/>
      </c>
      <c r="P894" s="3">
        <f>'Historical Data'!AB891</f>
        <v/>
      </c>
      <c r="Q894" s="3">
        <f>'Historical Data'!AN891</f>
        <v/>
      </c>
      <c r="R894" s="3">
        <f>'Historical Data'!AC891</f>
        <v/>
      </c>
      <c r="S894" s="3">
        <f>'Historical Data'!AE891</f>
        <v/>
      </c>
      <c r="T894" s="3">
        <f>'Historical Data'!AH891</f>
        <v/>
      </c>
      <c r="U894" s="3">
        <f>'Historical Data'!BA891</f>
        <v/>
      </c>
      <c r="V894" s="3" t="n"/>
      <c r="W894" s="3" t="n"/>
      <c r="X894" s="3" t="n"/>
      <c r="Y894" s="3" t="n"/>
      <c r="Z894" s="3" t="n"/>
    </row>
    <row r="895" hidden="1" ht="15.75" customHeight="1" s="174">
      <c r="A895" s="3">
        <f>'Historical Data'!A892</f>
        <v/>
      </c>
      <c r="B895" s="3">
        <f>'Historical Data'!B892</f>
        <v/>
      </c>
      <c r="C895" s="3">
        <f>'Historical Data'!D892</f>
        <v/>
      </c>
      <c r="D895" s="23">
        <f>'Historical Data'!E892</f>
        <v/>
      </c>
      <c r="E895" s="3">
        <f>'Historical Data'!G892</f>
        <v/>
      </c>
      <c r="F895" s="3">
        <f>'Historical Data'!Y892</f>
        <v/>
      </c>
      <c r="G895" s="3">
        <f>'Historical Data'!K892</f>
        <v/>
      </c>
      <c r="H895" s="3">
        <f>'Historical Data'!L892</f>
        <v/>
      </c>
      <c r="I895" s="26">
        <f>'Historical Data'!M892</f>
        <v/>
      </c>
      <c r="J895" s="28">
        <f>'Historical Data'!N892</f>
        <v/>
      </c>
      <c r="K895" s="28">
        <f>'Historical Data'!Q892</f>
        <v/>
      </c>
      <c r="L895" s="30">
        <f>'Historical Data'!S892</f>
        <v/>
      </c>
      <c r="M895" s="28">
        <f>'Historical Data'!AJ892</f>
        <v/>
      </c>
      <c r="N895" s="28">
        <f>'Historical Data'!AK892</f>
        <v/>
      </c>
      <c r="O895" s="3">
        <f>'Historical Data'!AA892</f>
        <v/>
      </c>
      <c r="P895" s="3">
        <f>'Historical Data'!AB892</f>
        <v/>
      </c>
      <c r="Q895" s="3">
        <f>'Historical Data'!AN892</f>
        <v/>
      </c>
      <c r="R895" s="3">
        <f>'Historical Data'!AC892</f>
        <v/>
      </c>
      <c r="S895" s="3">
        <f>'Historical Data'!AE892</f>
        <v/>
      </c>
      <c r="T895" s="3">
        <f>'Historical Data'!AH892</f>
        <v/>
      </c>
      <c r="U895" s="3">
        <f>'Historical Data'!BA892</f>
        <v/>
      </c>
      <c r="V895" s="3" t="n"/>
      <c r="W895" s="3" t="n"/>
      <c r="X895" s="3" t="n"/>
      <c r="Y895" s="3" t="n"/>
      <c r="Z895" s="3" t="n"/>
    </row>
    <row r="896" hidden="1" ht="15.75" customHeight="1" s="174">
      <c r="A896" s="3">
        <f>'Historical Data'!A893</f>
        <v/>
      </c>
      <c r="B896" s="3">
        <f>'Historical Data'!B893</f>
        <v/>
      </c>
      <c r="C896" s="3">
        <f>'Historical Data'!D893</f>
        <v/>
      </c>
      <c r="D896" s="23">
        <f>'Historical Data'!E893</f>
        <v/>
      </c>
      <c r="E896" s="3">
        <f>'Historical Data'!G893</f>
        <v/>
      </c>
      <c r="F896" s="3">
        <f>'Historical Data'!Y893</f>
        <v/>
      </c>
      <c r="G896" s="3">
        <f>'Historical Data'!K893</f>
        <v/>
      </c>
      <c r="H896" s="3">
        <f>'Historical Data'!L893</f>
        <v/>
      </c>
      <c r="I896" s="26">
        <f>'Historical Data'!M893</f>
        <v/>
      </c>
      <c r="J896" s="28">
        <f>'Historical Data'!N893</f>
        <v/>
      </c>
      <c r="K896" s="28">
        <f>'Historical Data'!Q893</f>
        <v/>
      </c>
      <c r="L896" s="30">
        <f>'Historical Data'!S893</f>
        <v/>
      </c>
      <c r="M896" s="28">
        <f>'Historical Data'!AJ893</f>
        <v/>
      </c>
      <c r="N896" s="28">
        <f>'Historical Data'!AK893</f>
        <v/>
      </c>
      <c r="O896" s="3">
        <f>'Historical Data'!AA893</f>
        <v/>
      </c>
      <c r="P896" s="3">
        <f>'Historical Data'!AB893</f>
        <v/>
      </c>
      <c r="Q896" s="3">
        <f>'Historical Data'!AN893</f>
        <v/>
      </c>
      <c r="R896" s="3">
        <f>'Historical Data'!AC893</f>
        <v/>
      </c>
      <c r="S896" s="3">
        <f>'Historical Data'!AE893</f>
        <v/>
      </c>
      <c r="T896" s="3">
        <f>'Historical Data'!AH893</f>
        <v/>
      </c>
      <c r="U896" s="3">
        <f>'Historical Data'!BA893</f>
        <v/>
      </c>
      <c r="V896" s="3" t="n"/>
      <c r="W896" s="3" t="n"/>
      <c r="X896" s="3" t="n"/>
      <c r="Y896" s="3" t="n"/>
      <c r="Z896" s="3" t="n"/>
    </row>
    <row r="897" hidden="1" ht="15.75" customHeight="1" s="174">
      <c r="A897" s="3">
        <f>'Historical Data'!A894</f>
        <v/>
      </c>
      <c r="B897" s="3">
        <f>'Historical Data'!B894</f>
        <v/>
      </c>
      <c r="C897" s="3">
        <f>'Historical Data'!D894</f>
        <v/>
      </c>
      <c r="D897" s="23">
        <f>'Historical Data'!E894</f>
        <v/>
      </c>
      <c r="E897" s="3">
        <f>'Historical Data'!G894</f>
        <v/>
      </c>
      <c r="F897" s="3">
        <f>'Historical Data'!Y894</f>
        <v/>
      </c>
      <c r="G897" s="3">
        <f>'Historical Data'!K894</f>
        <v/>
      </c>
      <c r="H897" s="3">
        <f>'Historical Data'!L894</f>
        <v/>
      </c>
      <c r="I897" s="26">
        <f>'Historical Data'!M894</f>
        <v/>
      </c>
      <c r="J897" s="28">
        <f>'Historical Data'!N894</f>
        <v/>
      </c>
      <c r="K897" s="28">
        <f>'Historical Data'!Q894</f>
        <v/>
      </c>
      <c r="L897" s="30">
        <f>'Historical Data'!S894</f>
        <v/>
      </c>
      <c r="M897" s="28">
        <f>'Historical Data'!AJ894</f>
        <v/>
      </c>
      <c r="N897" s="28">
        <f>'Historical Data'!AK894</f>
        <v/>
      </c>
      <c r="O897" s="3">
        <f>'Historical Data'!AA894</f>
        <v/>
      </c>
      <c r="P897" s="3">
        <f>'Historical Data'!AB894</f>
        <v/>
      </c>
      <c r="Q897" s="3">
        <f>'Historical Data'!AN894</f>
        <v/>
      </c>
      <c r="R897" s="3">
        <f>'Historical Data'!AC894</f>
        <v/>
      </c>
      <c r="S897" s="3">
        <f>'Historical Data'!AE894</f>
        <v/>
      </c>
      <c r="T897" s="3">
        <f>'Historical Data'!AH894</f>
        <v/>
      </c>
      <c r="U897" s="3">
        <f>'Historical Data'!BA894</f>
        <v/>
      </c>
      <c r="V897" s="3" t="n"/>
      <c r="W897" s="3" t="n"/>
      <c r="X897" s="3" t="n"/>
      <c r="Y897" s="3" t="n"/>
      <c r="Z897" s="3" t="n"/>
    </row>
    <row r="898" hidden="1" ht="15.75" customHeight="1" s="174">
      <c r="A898" s="3">
        <f>'Historical Data'!A895</f>
        <v/>
      </c>
      <c r="B898" s="3">
        <f>'Historical Data'!B895</f>
        <v/>
      </c>
      <c r="C898" s="3">
        <f>'Historical Data'!D895</f>
        <v/>
      </c>
      <c r="D898" s="23">
        <f>'Historical Data'!E895</f>
        <v/>
      </c>
      <c r="E898" s="3">
        <f>'Historical Data'!G895</f>
        <v/>
      </c>
      <c r="F898" s="3">
        <f>'Historical Data'!Y895</f>
        <v/>
      </c>
      <c r="G898" s="3">
        <f>'Historical Data'!K895</f>
        <v/>
      </c>
      <c r="H898" s="3">
        <f>'Historical Data'!L895</f>
        <v/>
      </c>
      <c r="I898" s="26">
        <f>'Historical Data'!M895</f>
        <v/>
      </c>
      <c r="J898" s="28">
        <f>'Historical Data'!N895</f>
        <v/>
      </c>
      <c r="K898" s="28">
        <f>'Historical Data'!Q895</f>
        <v/>
      </c>
      <c r="L898" s="30">
        <f>'Historical Data'!S895</f>
        <v/>
      </c>
      <c r="M898" s="28">
        <f>'Historical Data'!AJ895</f>
        <v/>
      </c>
      <c r="N898" s="28">
        <f>'Historical Data'!AK895</f>
        <v/>
      </c>
      <c r="O898" s="3">
        <f>'Historical Data'!AA895</f>
        <v/>
      </c>
      <c r="P898" s="3">
        <f>'Historical Data'!AB895</f>
        <v/>
      </c>
      <c r="Q898" s="3">
        <f>'Historical Data'!AN895</f>
        <v/>
      </c>
      <c r="R898" s="3">
        <f>'Historical Data'!AC895</f>
        <v/>
      </c>
      <c r="S898" s="3">
        <f>'Historical Data'!AE895</f>
        <v/>
      </c>
      <c r="T898" s="3">
        <f>'Historical Data'!AH895</f>
        <v/>
      </c>
      <c r="U898" s="3">
        <f>'Historical Data'!BA895</f>
        <v/>
      </c>
      <c r="V898" s="3" t="n"/>
      <c r="W898" s="3" t="n"/>
      <c r="X898" s="3" t="n"/>
      <c r="Y898" s="3" t="n"/>
      <c r="Z898" s="3" t="n"/>
    </row>
    <row r="899" hidden="1" ht="15.75" customHeight="1" s="174">
      <c r="A899" s="3">
        <f>'Historical Data'!A896</f>
        <v/>
      </c>
      <c r="B899" s="3">
        <f>'Historical Data'!B896</f>
        <v/>
      </c>
      <c r="C899" s="3">
        <f>'Historical Data'!D896</f>
        <v/>
      </c>
      <c r="D899" s="23">
        <f>'Historical Data'!E896</f>
        <v/>
      </c>
      <c r="E899" s="3">
        <f>'Historical Data'!G896</f>
        <v/>
      </c>
      <c r="F899" s="3">
        <f>'Historical Data'!Y896</f>
        <v/>
      </c>
      <c r="G899" s="3">
        <f>'Historical Data'!K896</f>
        <v/>
      </c>
      <c r="H899" s="3">
        <f>'Historical Data'!L896</f>
        <v/>
      </c>
      <c r="I899" s="26">
        <f>'Historical Data'!M896</f>
        <v/>
      </c>
      <c r="J899" s="28">
        <f>'Historical Data'!N896</f>
        <v/>
      </c>
      <c r="K899" s="28">
        <f>'Historical Data'!Q896</f>
        <v/>
      </c>
      <c r="L899" s="30">
        <f>'Historical Data'!S896</f>
        <v/>
      </c>
      <c r="M899" s="28">
        <f>'Historical Data'!AJ896</f>
        <v/>
      </c>
      <c r="N899" s="28">
        <f>'Historical Data'!AK896</f>
        <v/>
      </c>
      <c r="O899" s="3">
        <f>'Historical Data'!AA896</f>
        <v/>
      </c>
      <c r="P899" s="3">
        <f>'Historical Data'!AB896</f>
        <v/>
      </c>
      <c r="Q899" s="3">
        <f>'Historical Data'!AN896</f>
        <v/>
      </c>
      <c r="R899" s="3">
        <f>'Historical Data'!AC896</f>
        <v/>
      </c>
      <c r="S899" s="3">
        <f>'Historical Data'!AE896</f>
        <v/>
      </c>
      <c r="T899" s="3">
        <f>'Historical Data'!AH896</f>
        <v/>
      </c>
      <c r="U899" s="3">
        <f>'Historical Data'!BA896</f>
        <v/>
      </c>
      <c r="V899" s="3" t="n"/>
      <c r="W899" s="3" t="n"/>
      <c r="X899" s="3" t="n"/>
      <c r="Y899" s="3" t="n"/>
      <c r="Z899" s="3" t="n"/>
    </row>
    <row r="900" hidden="1" ht="15.75" customHeight="1" s="174">
      <c r="A900" s="3">
        <f>'Historical Data'!A897</f>
        <v/>
      </c>
      <c r="B900" s="3">
        <f>'Historical Data'!B897</f>
        <v/>
      </c>
      <c r="C900" s="3">
        <f>'Historical Data'!D897</f>
        <v/>
      </c>
      <c r="D900" s="23">
        <f>'Historical Data'!E897</f>
        <v/>
      </c>
      <c r="E900" s="3">
        <f>'Historical Data'!G897</f>
        <v/>
      </c>
      <c r="F900" s="3">
        <f>'Historical Data'!Y897</f>
        <v/>
      </c>
      <c r="G900" s="3">
        <f>'Historical Data'!K897</f>
        <v/>
      </c>
      <c r="H900" s="3">
        <f>'Historical Data'!L897</f>
        <v/>
      </c>
      <c r="I900" s="26">
        <f>'Historical Data'!M897</f>
        <v/>
      </c>
      <c r="J900" s="28">
        <f>'Historical Data'!N897</f>
        <v/>
      </c>
      <c r="K900" s="28">
        <f>'Historical Data'!Q897</f>
        <v/>
      </c>
      <c r="L900" s="30">
        <f>'Historical Data'!S897</f>
        <v/>
      </c>
      <c r="M900" s="28">
        <f>'Historical Data'!AJ897</f>
        <v/>
      </c>
      <c r="N900" s="28">
        <f>'Historical Data'!AK897</f>
        <v/>
      </c>
      <c r="O900" s="3">
        <f>'Historical Data'!AA897</f>
        <v/>
      </c>
      <c r="P900" s="3">
        <f>'Historical Data'!AB897</f>
        <v/>
      </c>
      <c r="Q900" s="3">
        <f>'Historical Data'!AN897</f>
        <v/>
      </c>
      <c r="R900" s="3">
        <f>'Historical Data'!AC897</f>
        <v/>
      </c>
      <c r="S900" s="3">
        <f>'Historical Data'!AE897</f>
        <v/>
      </c>
      <c r="T900" s="3">
        <f>'Historical Data'!AH897</f>
        <v/>
      </c>
      <c r="U900" s="3">
        <f>'Historical Data'!BA897</f>
        <v/>
      </c>
      <c r="V900" s="3" t="n"/>
      <c r="W900" s="3" t="n"/>
      <c r="X900" s="3" t="n"/>
      <c r="Y900" s="3" t="n"/>
      <c r="Z900" s="3" t="n"/>
    </row>
    <row r="901" hidden="1" ht="15.75" customHeight="1" s="174">
      <c r="A901" s="3">
        <f>'Historical Data'!A898</f>
        <v/>
      </c>
      <c r="B901" s="3">
        <f>'Historical Data'!B898</f>
        <v/>
      </c>
      <c r="C901" s="3">
        <f>'Historical Data'!D898</f>
        <v/>
      </c>
      <c r="D901" s="23">
        <f>'Historical Data'!E898</f>
        <v/>
      </c>
      <c r="E901" s="3">
        <f>'Historical Data'!G898</f>
        <v/>
      </c>
      <c r="F901" s="3">
        <f>'Historical Data'!Y898</f>
        <v/>
      </c>
      <c r="G901" s="3">
        <f>'Historical Data'!K898</f>
        <v/>
      </c>
      <c r="H901" s="3">
        <f>'Historical Data'!L898</f>
        <v/>
      </c>
      <c r="I901" s="26">
        <f>'Historical Data'!M898</f>
        <v/>
      </c>
      <c r="J901" s="28">
        <f>'Historical Data'!N898</f>
        <v/>
      </c>
      <c r="K901" s="28">
        <f>'Historical Data'!Q898</f>
        <v/>
      </c>
      <c r="L901" s="30">
        <f>'Historical Data'!S898</f>
        <v/>
      </c>
      <c r="M901" s="28">
        <f>'Historical Data'!AJ898</f>
        <v/>
      </c>
      <c r="N901" s="28">
        <f>'Historical Data'!AK898</f>
        <v/>
      </c>
      <c r="O901" s="3">
        <f>'Historical Data'!AA898</f>
        <v/>
      </c>
      <c r="P901" s="3">
        <f>'Historical Data'!AB898</f>
        <v/>
      </c>
      <c r="Q901" s="3">
        <f>'Historical Data'!AN898</f>
        <v/>
      </c>
      <c r="R901" s="3">
        <f>'Historical Data'!AC898</f>
        <v/>
      </c>
      <c r="S901" s="3">
        <f>'Historical Data'!AE898</f>
        <v/>
      </c>
      <c r="T901" s="3">
        <f>'Historical Data'!AH898</f>
        <v/>
      </c>
      <c r="U901" s="3">
        <f>'Historical Data'!BA898</f>
        <v/>
      </c>
      <c r="V901" s="3" t="n"/>
      <c r="W901" s="3" t="n"/>
      <c r="X901" s="3" t="n"/>
      <c r="Y901" s="3" t="n"/>
      <c r="Z901" s="3" t="n"/>
    </row>
    <row r="902" hidden="1" ht="15.75" customHeight="1" s="174">
      <c r="A902" s="3">
        <f>'Historical Data'!A899</f>
        <v/>
      </c>
      <c r="B902" s="3">
        <f>'Historical Data'!B899</f>
        <v/>
      </c>
      <c r="C902" s="3">
        <f>'Historical Data'!D899</f>
        <v/>
      </c>
      <c r="D902" s="23">
        <f>'Historical Data'!E899</f>
        <v/>
      </c>
      <c r="E902" s="3">
        <f>'Historical Data'!G899</f>
        <v/>
      </c>
      <c r="F902" s="3">
        <f>'Historical Data'!Y899</f>
        <v/>
      </c>
      <c r="G902" s="3">
        <f>'Historical Data'!K899</f>
        <v/>
      </c>
      <c r="H902" s="3">
        <f>'Historical Data'!L899</f>
        <v/>
      </c>
      <c r="I902" s="26">
        <f>'Historical Data'!M899</f>
        <v/>
      </c>
      <c r="J902" s="28">
        <f>'Historical Data'!N899</f>
        <v/>
      </c>
      <c r="K902" s="28">
        <f>'Historical Data'!Q899</f>
        <v/>
      </c>
      <c r="L902" s="30">
        <f>'Historical Data'!S899</f>
        <v/>
      </c>
      <c r="M902" s="28">
        <f>'Historical Data'!AJ899</f>
        <v/>
      </c>
      <c r="N902" s="28">
        <f>'Historical Data'!AK899</f>
        <v/>
      </c>
      <c r="O902" s="3">
        <f>'Historical Data'!AA899</f>
        <v/>
      </c>
      <c r="P902" s="3">
        <f>'Historical Data'!AB899</f>
        <v/>
      </c>
      <c r="Q902" s="3">
        <f>'Historical Data'!AN899</f>
        <v/>
      </c>
      <c r="R902" s="3">
        <f>'Historical Data'!AC899</f>
        <v/>
      </c>
      <c r="S902" s="3">
        <f>'Historical Data'!AE899</f>
        <v/>
      </c>
      <c r="T902" s="3">
        <f>'Historical Data'!AH899</f>
        <v/>
      </c>
      <c r="U902" s="3">
        <f>'Historical Data'!BA899</f>
        <v/>
      </c>
      <c r="V902" s="3" t="n"/>
      <c r="W902" s="3" t="n"/>
      <c r="X902" s="3" t="n"/>
      <c r="Y902" s="3" t="n"/>
      <c r="Z902" s="3" t="n"/>
    </row>
    <row r="903" hidden="1" ht="15.75" customHeight="1" s="174">
      <c r="A903" s="3">
        <f>'Historical Data'!A900</f>
        <v/>
      </c>
      <c r="B903" s="3">
        <f>'Historical Data'!B900</f>
        <v/>
      </c>
      <c r="C903" s="3">
        <f>'Historical Data'!D900</f>
        <v/>
      </c>
      <c r="D903" s="23">
        <f>'Historical Data'!E900</f>
        <v/>
      </c>
      <c r="E903" s="3">
        <f>'Historical Data'!G900</f>
        <v/>
      </c>
      <c r="F903" s="3">
        <f>'Historical Data'!Y900</f>
        <v/>
      </c>
      <c r="G903" s="3">
        <f>'Historical Data'!K900</f>
        <v/>
      </c>
      <c r="H903" s="3">
        <f>'Historical Data'!L900</f>
        <v/>
      </c>
      <c r="I903" s="26">
        <f>'Historical Data'!M900</f>
        <v/>
      </c>
      <c r="J903" s="28">
        <f>'Historical Data'!N900</f>
        <v/>
      </c>
      <c r="K903" s="28">
        <f>'Historical Data'!Q900</f>
        <v/>
      </c>
      <c r="L903" s="30">
        <f>'Historical Data'!S900</f>
        <v/>
      </c>
      <c r="M903" s="28">
        <f>'Historical Data'!AJ900</f>
        <v/>
      </c>
      <c r="N903" s="28">
        <f>'Historical Data'!AK900</f>
        <v/>
      </c>
      <c r="O903" s="3">
        <f>'Historical Data'!AA900</f>
        <v/>
      </c>
      <c r="P903" s="3">
        <f>'Historical Data'!AB900</f>
        <v/>
      </c>
      <c r="Q903" s="3">
        <f>'Historical Data'!AN900</f>
        <v/>
      </c>
      <c r="R903" s="3">
        <f>'Historical Data'!AC900</f>
        <v/>
      </c>
      <c r="S903" s="3">
        <f>'Historical Data'!AE900</f>
        <v/>
      </c>
      <c r="T903" s="3">
        <f>'Historical Data'!AH900</f>
        <v/>
      </c>
      <c r="U903" s="3">
        <f>'Historical Data'!BA900</f>
        <v/>
      </c>
      <c r="V903" s="3" t="n"/>
      <c r="W903" s="3" t="n"/>
      <c r="X903" s="3" t="n"/>
      <c r="Y903" s="3" t="n"/>
      <c r="Z903" s="3" t="n"/>
    </row>
    <row r="904" hidden="1" ht="15.75" customHeight="1" s="174">
      <c r="A904" s="3">
        <f>'Historical Data'!A901</f>
        <v/>
      </c>
      <c r="B904" s="3">
        <f>'Historical Data'!B901</f>
        <v/>
      </c>
      <c r="C904" s="3">
        <f>'Historical Data'!D901</f>
        <v/>
      </c>
      <c r="D904" s="23">
        <f>'Historical Data'!E901</f>
        <v/>
      </c>
      <c r="E904" s="3">
        <f>'Historical Data'!G901</f>
        <v/>
      </c>
      <c r="F904" s="3">
        <f>'Historical Data'!Y901</f>
        <v/>
      </c>
      <c r="G904" s="3">
        <f>'Historical Data'!K901</f>
        <v/>
      </c>
      <c r="H904" s="3">
        <f>'Historical Data'!L901</f>
        <v/>
      </c>
      <c r="I904" s="26">
        <f>'Historical Data'!M901</f>
        <v/>
      </c>
      <c r="J904" s="28">
        <f>'Historical Data'!N901</f>
        <v/>
      </c>
      <c r="K904" s="28">
        <f>'Historical Data'!Q901</f>
        <v/>
      </c>
      <c r="L904" s="30">
        <f>'Historical Data'!S901</f>
        <v/>
      </c>
      <c r="M904" s="28">
        <f>'Historical Data'!AJ901</f>
        <v/>
      </c>
      <c r="N904" s="28">
        <f>'Historical Data'!AK901</f>
        <v/>
      </c>
      <c r="O904" s="3">
        <f>'Historical Data'!AA901</f>
        <v/>
      </c>
      <c r="P904" s="3">
        <f>'Historical Data'!AB901</f>
        <v/>
      </c>
      <c r="Q904" s="3">
        <f>'Historical Data'!AN901</f>
        <v/>
      </c>
      <c r="R904" s="3">
        <f>'Historical Data'!AC901</f>
        <v/>
      </c>
      <c r="S904" s="3">
        <f>'Historical Data'!AE901</f>
        <v/>
      </c>
      <c r="T904" s="3">
        <f>'Historical Data'!AH901</f>
        <v/>
      </c>
      <c r="U904" s="3">
        <f>'Historical Data'!BA901</f>
        <v/>
      </c>
      <c r="V904" s="3" t="n"/>
      <c r="W904" s="3" t="n"/>
      <c r="X904" s="3" t="n"/>
      <c r="Y904" s="3" t="n"/>
      <c r="Z904" s="3" t="n"/>
    </row>
    <row r="905" hidden="1" ht="15.75" customHeight="1" s="174">
      <c r="A905" s="3">
        <f>'Historical Data'!A902</f>
        <v/>
      </c>
      <c r="B905" s="3">
        <f>'Historical Data'!B902</f>
        <v/>
      </c>
      <c r="C905" s="3">
        <f>'Historical Data'!D902</f>
        <v/>
      </c>
      <c r="D905" s="23">
        <f>'Historical Data'!E902</f>
        <v/>
      </c>
      <c r="E905" s="3">
        <f>'Historical Data'!G902</f>
        <v/>
      </c>
      <c r="F905" s="3">
        <f>'Historical Data'!Y902</f>
        <v/>
      </c>
      <c r="G905" s="3">
        <f>'Historical Data'!K902</f>
        <v/>
      </c>
      <c r="H905" s="3">
        <f>'Historical Data'!L902</f>
        <v/>
      </c>
      <c r="I905" s="26">
        <f>'Historical Data'!M902</f>
        <v/>
      </c>
      <c r="J905" s="28">
        <f>'Historical Data'!N902</f>
        <v/>
      </c>
      <c r="K905" s="28">
        <f>'Historical Data'!Q902</f>
        <v/>
      </c>
      <c r="L905" s="30">
        <f>'Historical Data'!S902</f>
        <v/>
      </c>
      <c r="M905" s="28">
        <f>'Historical Data'!AJ902</f>
        <v/>
      </c>
      <c r="N905" s="28">
        <f>'Historical Data'!AK902</f>
        <v/>
      </c>
      <c r="O905" s="3">
        <f>'Historical Data'!AA902</f>
        <v/>
      </c>
      <c r="P905" s="3">
        <f>'Historical Data'!AB902</f>
        <v/>
      </c>
      <c r="Q905" s="3">
        <f>'Historical Data'!AN902</f>
        <v/>
      </c>
      <c r="R905" s="3">
        <f>'Historical Data'!AC902</f>
        <v/>
      </c>
      <c r="S905" s="3">
        <f>'Historical Data'!AE902</f>
        <v/>
      </c>
      <c r="T905" s="3">
        <f>'Historical Data'!AH902</f>
        <v/>
      </c>
      <c r="U905" s="3">
        <f>'Historical Data'!BA902</f>
        <v/>
      </c>
      <c r="V905" s="3" t="n"/>
      <c r="W905" s="3" t="n"/>
      <c r="X905" s="3" t="n"/>
      <c r="Y905" s="3" t="n"/>
      <c r="Z905" s="3" t="n"/>
    </row>
    <row r="906" hidden="1" ht="15.75" customHeight="1" s="174">
      <c r="A906" s="3">
        <f>'Historical Data'!A903</f>
        <v/>
      </c>
      <c r="B906" s="3">
        <f>'Historical Data'!B903</f>
        <v/>
      </c>
      <c r="C906" s="3">
        <f>'Historical Data'!D903</f>
        <v/>
      </c>
      <c r="D906" s="23">
        <f>'Historical Data'!E903</f>
        <v/>
      </c>
      <c r="E906" s="3">
        <f>'Historical Data'!G903</f>
        <v/>
      </c>
      <c r="F906" s="3">
        <f>'Historical Data'!Y903</f>
        <v/>
      </c>
      <c r="G906" s="3">
        <f>'Historical Data'!K903</f>
        <v/>
      </c>
      <c r="H906" s="3">
        <f>'Historical Data'!L903</f>
        <v/>
      </c>
      <c r="I906" s="26">
        <f>'Historical Data'!M903</f>
        <v/>
      </c>
      <c r="J906" s="28">
        <f>'Historical Data'!N903</f>
        <v/>
      </c>
      <c r="K906" s="28">
        <f>'Historical Data'!Q903</f>
        <v/>
      </c>
      <c r="L906" s="30">
        <f>'Historical Data'!S903</f>
        <v/>
      </c>
      <c r="M906" s="28">
        <f>'Historical Data'!AJ903</f>
        <v/>
      </c>
      <c r="N906" s="28">
        <f>'Historical Data'!AK903</f>
        <v/>
      </c>
      <c r="O906" s="3">
        <f>'Historical Data'!AA903</f>
        <v/>
      </c>
      <c r="P906" s="3">
        <f>'Historical Data'!AB903</f>
        <v/>
      </c>
      <c r="Q906" s="3">
        <f>'Historical Data'!AN903</f>
        <v/>
      </c>
      <c r="R906" s="3">
        <f>'Historical Data'!AC903</f>
        <v/>
      </c>
      <c r="S906" s="3">
        <f>'Historical Data'!AE903</f>
        <v/>
      </c>
      <c r="T906" s="3">
        <f>'Historical Data'!AH903</f>
        <v/>
      </c>
      <c r="U906" s="3">
        <f>'Historical Data'!BA903</f>
        <v/>
      </c>
      <c r="V906" s="3" t="n"/>
      <c r="W906" s="3" t="n"/>
      <c r="X906" s="3" t="n"/>
      <c r="Y906" s="3" t="n"/>
      <c r="Z906" s="3" t="n"/>
    </row>
    <row r="907" hidden="1" ht="15.75" customHeight="1" s="174">
      <c r="A907" s="3">
        <f>'Historical Data'!A904</f>
        <v/>
      </c>
      <c r="B907" s="3">
        <f>'Historical Data'!B904</f>
        <v/>
      </c>
      <c r="C907" s="3">
        <f>'Historical Data'!D904</f>
        <v/>
      </c>
      <c r="D907" s="23">
        <f>'Historical Data'!E904</f>
        <v/>
      </c>
      <c r="E907" s="3">
        <f>'Historical Data'!G904</f>
        <v/>
      </c>
      <c r="F907" s="3">
        <f>'Historical Data'!Y904</f>
        <v/>
      </c>
      <c r="G907" s="3">
        <f>'Historical Data'!K904</f>
        <v/>
      </c>
      <c r="H907" s="3">
        <f>'Historical Data'!L904</f>
        <v/>
      </c>
      <c r="I907" s="26">
        <f>'Historical Data'!M904</f>
        <v/>
      </c>
      <c r="J907" s="28">
        <f>'Historical Data'!N904</f>
        <v/>
      </c>
      <c r="K907" s="28">
        <f>'Historical Data'!Q904</f>
        <v/>
      </c>
      <c r="L907" s="30">
        <f>'Historical Data'!S904</f>
        <v/>
      </c>
      <c r="M907" s="28">
        <f>'Historical Data'!AJ904</f>
        <v/>
      </c>
      <c r="N907" s="28">
        <f>'Historical Data'!AK904</f>
        <v/>
      </c>
      <c r="O907" s="3">
        <f>'Historical Data'!AA904</f>
        <v/>
      </c>
      <c r="P907" s="3">
        <f>'Historical Data'!AB904</f>
        <v/>
      </c>
      <c r="Q907" s="3">
        <f>'Historical Data'!AN904</f>
        <v/>
      </c>
      <c r="R907" s="3">
        <f>'Historical Data'!AC904</f>
        <v/>
      </c>
      <c r="S907" s="3">
        <f>'Historical Data'!AE904</f>
        <v/>
      </c>
      <c r="T907" s="3">
        <f>'Historical Data'!AH904</f>
        <v/>
      </c>
      <c r="U907" s="3">
        <f>'Historical Data'!BA904</f>
        <v/>
      </c>
      <c r="V907" s="3" t="n"/>
      <c r="W907" s="3" t="n"/>
      <c r="X907" s="3" t="n"/>
      <c r="Y907" s="3" t="n"/>
      <c r="Z907" s="3" t="n"/>
    </row>
    <row r="908" hidden="1" ht="15.75" customHeight="1" s="174">
      <c r="A908" s="3">
        <f>'Historical Data'!A905</f>
        <v/>
      </c>
      <c r="B908" s="3">
        <f>'Historical Data'!B905</f>
        <v/>
      </c>
      <c r="C908" s="3">
        <f>'Historical Data'!D905</f>
        <v/>
      </c>
      <c r="D908" s="23">
        <f>'Historical Data'!E905</f>
        <v/>
      </c>
      <c r="E908" s="3">
        <f>'Historical Data'!G905</f>
        <v/>
      </c>
      <c r="F908" s="3">
        <f>'Historical Data'!Y905</f>
        <v/>
      </c>
      <c r="G908" s="3">
        <f>'Historical Data'!K905</f>
        <v/>
      </c>
      <c r="H908" s="3">
        <f>'Historical Data'!L905</f>
        <v/>
      </c>
      <c r="I908" s="26">
        <f>'Historical Data'!M905</f>
        <v/>
      </c>
      <c r="J908" s="28">
        <f>'Historical Data'!N905</f>
        <v/>
      </c>
      <c r="K908" s="28">
        <f>'Historical Data'!Q905</f>
        <v/>
      </c>
      <c r="L908" s="30">
        <f>'Historical Data'!S905</f>
        <v/>
      </c>
      <c r="M908" s="28">
        <f>'Historical Data'!AJ905</f>
        <v/>
      </c>
      <c r="N908" s="28">
        <f>'Historical Data'!AK905</f>
        <v/>
      </c>
      <c r="O908" s="3">
        <f>'Historical Data'!AA905</f>
        <v/>
      </c>
      <c r="P908" s="3">
        <f>'Historical Data'!AB905</f>
        <v/>
      </c>
      <c r="Q908" s="3">
        <f>'Historical Data'!AN905</f>
        <v/>
      </c>
      <c r="R908" s="3">
        <f>'Historical Data'!AC905</f>
        <v/>
      </c>
      <c r="S908" s="3">
        <f>'Historical Data'!AE905</f>
        <v/>
      </c>
      <c r="T908" s="3">
        <f>'Historical Data'!AH905</f>
        <v/>
      </c>
      <c r="U908" s="3">
        <f>'Historical Data'!BA905</f>
        <v/>
      </c>
      <c r="V908" s="3" t="n"/>
      <c r="W908" s="3" t="n"/>
      <c r="X908" s="3" t="n"/>
      <c r="Y908" s="3" t="n"/>
      <c r="Z908" s="3" t="n"/>
    </row>
    <row r="909" hidden="1" ht="15.75" customHeight="1" s="174">
      <c r="A909" s="3">
        <f>'Historical Data'!A906</f>
        <v/>
      </c>
      <c r="B909" s="3">
        <f>'Historical Data'!B906</f>
        <v/>
      </c>
      <c r="C909" s="3">
        <f>'Historical Data'!D906</f>
        <v/>
      </c>
      <c r="D909" s="23">
        <f>'Historical Data'!E906</f>
        <v/>
      </c>
      <c r="E909" s="3">
        <f>'Historical Data'!G906</f>
        <v/>
      </c>
      <c r="F909" s="3">
        <f>'Historical Data'!Y906</f>
        <v/>
      </c>
      <c r="G909" s="3">
        <f>'Historical Data'!K906</f>
        <v/>
      </c>
      <c r="H909" s="3">
        <f>'Historical Data'!L906</f>
        <v/>
      </c>
      <c r="I909" s="26">
        <f>'Historical Data'!M906</f>
        <v/>
      </c>
      <c r="J909" s="28">
        <f>'Historical Data'!N906</f>
        <v/>
      </c>
      <c r="K909" s="28">
        <f>'Historical Data'!Q906</f>
        <v/>
      </c>
      <c r="L909" s="30">
        <f>'Historical Data'!S906</f>
        <v/>
      </c>
      <c r="M909" s="28">
        <f>'Historical Data'!AJ906</f>
        <v/>
      </c>
      <c r="N909" s="28">
        <f>'Historical Data'!AK906</f>
        <v/>
      </c>
      <c r="O909" s="3">
        <f>'Historical Data'!AA906</f>
        <v/>
      </c>
      <c r="P909" s="3">
        <f>'Historical Data'!AB906</f>
        <v/>
      </c>
      <c r="Q909" s="3">
        <f>'Historical Data'!AN906</f>
        <v/>
      </c>
      <c r="R909" s="3">
        <f>'Historical Data'!AC906</f>
        <v/>
      </c>
      <c r="S909" s="3">
        <f>'Historical Data'!AE906</f>
        <v/>
      </c>
      <c r="T909" s="3">
        <f>'Historical Data'!AH906</f>
        <v/>
      </c>
      <c r="U909" s="3">
        <f>'Historical Data'!BA906</f>
        <v/>
      </c>
      <c r="V909" s="3" t="n"/>
      <c r="W909" s="3" t="n"/>
      <c r="X909" s="3" t="n"/>
      <c r="Y909" s="3" t="n"/>
      <c r="Z909" s="3" t="n"/>
    </row>
    <row r="910" hidden="1" ht="15.75" customHeight="1" s="174">
      <c r="A910" s="3">
        <f>'Historical Data'!A907</f>
        <v/>
      </c>
      <c r="B910" s="3">
        <f>'Historical Data'!B907</f>
        <v/>
      </c>
      <c r="C910" s="3">
        <f>'Historical Data'!D907</f>
        <v/>
      </c>
      <c r="D910" s="23">
        <f>'Historical Data'!E907</f>
        <v/>
      </c>
      <c r="E910" s="3">
        <f>'Historical Data'!G907</f>
        <v/>
      </c>
      <c r="F910" s="3">
        <f>'Historical Data'!Y907</f>
        <v/>
      </c>
      <c r="G910" s="3">
        <f>'Historical Data'!K907</f>
        <v/>
      </c>
      <c r="H910" s="3">
        <f>'Historical Data'!L907</f>
        <v/>
      </c>
      <c r="I910" s="26">
        <f>'Historical Data'!M907</f>
        <v/>
      </c>
      <c r="J910" s="28">
        <f>'Historical Data'!N907</f>
        <v/>
      </c>
      <c r="K910" s="28">
        <f>'Historical Data'!Q907</f>
        <v/>
      </c>
      <c r="L910" s="30">
        <f>'Historical Data'!S907</f>
        <v/>
      </c>
      <c r="M910" s="28">
        <f>'Historical Data'!AJ907</f>
        <v/>
      </c>
      <c r="N910" s="28">
        <f>'Historical Data'!AK907</f>
        <v/>
      </c>
      <c r="O910" s="3">
        <f>'Historical Data'!AA907</f>
        <v/>
      </c>
      <c r="P910" s="3">
        <f>'Historical Data'!AB907</f>
        <v/>
      </c>
      <c r="Q910" s="3">
        <f>'Historical Data'!AN907</f>
        <v/>
      </c>
      <c r="R910" s="3">
        <f>'Historical Data'!AC907</f>
        <v/>
      </c>
      <c r="S910" s="3">
        <f>'Historical Data'!AE907</f>
        <v/>
      </c>
      <c r="T910" s="3">
        <f>'Historical Data'!AH907</f>
        <v/>
      </c>
      <c r="U910" s="3">
        <f>'Historical Data'!BA907</f>
        <v/>
      </c>
      <c r="V910" s="3" t="n"/>
      <c r="W910" s="3" t="n"/>
      <c r="X910" s="3" t="n"/>
      <c r="Y910" s="3" t="n"/>
      <c r="Z910" s="3" t="n"/>
    </row>
    <row r="911" hidden="1" ht="15.75" customHeight="1" s="174">
      <c r="A911" s="3">
        <f>'Historical Data'!A908</f>
        <v/>
      </c>
      <c r="B911" s="3">
        <f>'Historical Data'!B908</f>
        <v/>
      </c>
      <c r="C911" s="3">
        <f>'Historical Data'!D908</f>
        <v/>
      </c>
      <c r="D911" s="23">
        <f>'Historical Data'!E908</f>
        <v/>
      </c>
      <c r="E911" s="3">
        <f>'Historical Data'!G908</f>
        <v/>
      </c>
      <c r="F911" s="3">
        <f>'Historical Data'!Y908</f>
        <v/>
      </c>
      <c r="G911" s="3">
        <f>'Historical Data'!K908</f>
        <v/>
      </c>
      <c r="H911" s="3">
        <f>'Historical Data'!L908</f>
        <v/>
      </c>
      <c r="I911" s="26">
        <f>'Historical Data'!M908</f>
        <v/>
      </c>
      <c r="J911" s="28">
        <f>'Historical Data'!N908</f>
        <v/>
      </c>
      <c r="K911" s="28">
        <f>'Historical Data'!Q908</f>
        <v/>
      </c>
      <c r="L911" s="30">
        <f>'Historical Data'!S908</f>
        <v/>
      </c>
      <c r="M911" s="28">
        <f>'Historical Data'!AJ908</f>
        <v/>
      </c>
      <c r="N911" s="28">
        <f>'Historical Data'!AK908</f>
        <v/>
      </c>
      <c r="O911" s="3">
        <f>'Historical Data'!AA908</f>
        <v/>
      </c>
      <c r="P911" s="3">
        <f>'Historical Data'!AB908</f>
        <v/>
      </c>
      <c r="Q911" s="3">
        <f>'Historical Data'!AN908</f>
        <v/>
      </c>
      <c r="R911" s="3">
        <f>'Historical Data'!AC908</f>
        <v/>
      </c>
      <c r="S911" s="3">
        <f>'Historical Data'!AE908</f>
        <v/>
      </c>
      <c r="T911" s="3">
        <f>'Historical Data'!AH908</f>
        <v/>
      </c>
      <c r="U911" s="3">
        <f>'Historical Data'!BA908</f>
        <v/>
      </c>
      <c r="V911" s="3" t="n"/>
      <c r="W911" s="3" t="n"/>
      <c r="X911" s="3" t="n"/>
      <c r="Y911" s="3" t="n"/>
      <c r="Z911" s="3" t="n"/>
    </row>
    <row r="912" hidden="1" ht="15.75" customHeight="1" s="174">
      <c r="A912" s="3">
        <f>'Historical Data'!A909</f>
        <v/>
      </c>
      <c r="B912" s="3">
        <f>'Historical Data'!B909</f>
        <v/>
      </c>
      <c r="C912" s="3">
        <f>'Historical Data'!D909</f>
        <v/>
      </c>
      <c r="D912" s="23">
        <f>'Historical Data'!E909</f>
        <v/>
      </c>
      <c r="E912" s="3">
        <f>'Historical Data'!G909</f>
        <v/>
      </c>
      <c r="F912" s="3">
        <f>'Historical Data'!Y909</f>
        <v/>
      </c>
      <c r="G912" s="3">
        <f>'Historical Data'!K909</f>
        <v/>
      </c>
      <c r="H912" s="3">
        <f>'Historical Data'!L909</f>
        <v/>
      </c>
      <c r="I912" s="26">
        <f>'Historical Data'!M909</f>
        <v/>
      </c>
      <c r="J912" s="28">
        <f>'Historical Data'!N909</f>
        <v/>
      </c>
      <c r="K912" s="28">
        <f>'Historical Data'!Q909</f>
        <v/>
      </c>
      <c r="L912" s="30">
        <f>'Historical Data'!S909</f>
        <v/>
      </c>
      <c r="M912" s="28">
        <f>'Historical Data'!AJ909</f>
        <v/>
      </c>
      <c r="N912" s="28">
        <f>'Historical Data'!AK909</f>
        <v/>
      </c>
      <c r="O912" s="3">
        <f>'Historical Data'!AA909</f>
        <v/>
      </c>
      <c r="P912" s="3">
        <f>'Historical Data'!AB909</f>
        <v/>
      </c>
      <c r="Q912" s="3">
        <f>'Historical Data'!AN909</f>
        <v/>
      </c>
      <c r="R912" s="3">
        <f>'Historical Data'!AC909</f>
        <v/>
      </c>
      <c r="S912" s="3">
        <f>'Historical Data'!AE909</f>
        <v/>
      </c>
      <c r="T912" s="3">
        <f>'Historical Data'!AH909</f>
        <v/>
      </c>
      <c r="U912" s="3">
        <f>'Historical Data'!BA909</f>
        <v/>
      </c>
      <c r="V912" s="3" t="n"/>
      <c r="W912" s="3" t="n"/>
      <c r="X912" s="3" t="n"/>
      <c r="Y912" s="3" t="n"/>
      <c r="Z912" s="3" t="n"/>
    </row>
    <row r="913" hidden="1" ht="15.75" customHeight="1" s="174">
      <c r="A913" s="3">
        <f>'Historical Data'!A910</f>
        <v/>
      </c>
      <c r="B913" s="3">
        <f>'Historical Data'!B910</f>
        <v/>
      </c>
      <c r="C913" s="3">
        <f>'Historical Data'!D910</f>
        <v/>
      </c>
      <c r="D913" s="23">
        <f>'Historical Data'!E910</f>
        <v/>
      </c>
      <c r="E913" s="3">
        <f>'Historical Data'!G910</f>
        <v/>
      </c>
      <c r="F913" s="3">
        <f>'Historical Data'!Y910</f>
        <v/>
      </c>
      <c r="G913" s="3">
        <f>'Historical Data'!K910</f>
        <v/>
      </c>
      <c r="H913" s="3">
        <f>'Historical Data'!L910</f>
        <v/>
      </c>
      <c r="I913" s="26">
        <f>'Historical Data'!M910</f>
        <v/>
      </c>
      <c r="J913" s="28">
        <f>'Historical Data'!N910</f>
        <v/>
      </c>
      <c r="K913" s="28">
        <f>'Historical Data'!Q910</f>
        <v/>
      </c>
      <c r="L913" s="30">
        <f>'Historical Data'!S910</f>
        <v/>
      </c>
      <c r="M913" s="28">
        <f>'Historical Data'!AJ910</f>
        <v/>
      </c>
      <c r="N913" s="28">
        <f>'Historical Data'!AK910</f>
        <v/>
      </c>
      <c r="O913" s="3">
        <f>'Historical Data'!AA910</f>
        <v/>
      </c>
      <c r="P913" s="3">
        <f>'Historical Data'!AB910</f>
        <v/>
      </c>
      <c r="Q913" s="3">
        <f>'Historical Data'!AN910</f>
        <v/>
      </c>
      <c r="R913" s="3">
        <f>'Historical Data'!AC910</f>
        <v/>
      </c>
      <c r="S913" s="3">
        <f>'Historical Data'!AE910</f>
        <v/>
      </c>
      <c r="T913" s="3">
        <f>'Historical Data'!AH910</f>
        <v/>
      </c>
      <c r="U913" s="3">
        <f>'Historical Data'!BA910</f>
        <v/>
      </c>
      <c r="V913" s="3" t="n"/>
      <c r="W913" s="3" t="n"/>
      <c r="X913" s="3" t="n"/>
      <c r="Y913" s="3" t="n"/>
      <c r="Z913" s="3" t="n"/>
    </row>
    <row r="914" hidden="1" ht="15.75" customHeight="1" s="174">
      <c r="A914" s="3">
        <f>'Historical Data'!A911</f>
        <v/>
      </c>
      <c r="B914" s="3">
        <f>'Historical Data'!B911</f>
        <v/>
      </c>
      <c r="C914" s="3">
        <f>'Historical Data'!D911</f>
        <v/>
      </c>
      <c r="D914" s="23">
        <f>'Historical Data'!E911</f>
        <v/>
      </c>
      <c r="E914" s="3">
        <f>'Historical Data'!G911</f>
        <v/>
      </c>
      <c r="F914" s="3">
        <f>'Historical Data'!Y911</f>
        <v/>
      </c>
      <c r="G914" s="3">
        <f>'Historical Data'!K911</f>
        <v/>
      </c>
      <c r="H914" s="3">
        <f>'Historical Data'!L911</f>
        <v/>
      </c>
      <c r="I914" s="26">
        <f>'Historical Data'!M911</f>
        <v/>
      </c>
      <c r="J914" s="28">
        <f>'Historical Data'!N911</f>
        <v/>
      </c>
      <c r="K914" s="28">
        <f>'Historical Data'!Q911</f>
        <v/>
      </c>
      <c r="L914" s="30">
        <f>'Historical Data'!S911</f>
        <v/>
      </c>
      <c r="M914" s="28">
        <f>'Historical Data'!AJ911</f>
        <v/>
      </c>
      <c r="N914" s="28">
        <f>'Historical Data'!AK911</f>
        <v/>
      </c>
      <c r="O914" s="3">
        <f>'Historical Data'!AA911</f>
        <v/>
      </c>
      <c r="P914" s="3">
        <f>'Historical Data'!AB911</f>
        <v/>
      </c>
      <c r="Q914" s="3">
        <f>'Historical Data'!AN911</f>
        <v/>
      </c>
      <c r="R914" s="3">
        <f>'Historical Data'!AC911</f>
        <v/>
      </c>
      <c r="S914" s="3">
        <f>'Historical Data'!AE911</f>
        <v/>
      </c>
      <c r="T914" s="3">
        <f>'Historical Data'!AH911</f>
        <v/>
      </c>
      <c r="U914" s="3">
        <f>'Historical Data'!BA911</f>
        <v/>
      </c>
      <c r="V914" s="3" t="n"/>
      <c r="W914" s="3" t="n"/>
      <c r="X914" s="3" t="n"/>
      <c r="Y914" s="3" t="n"/>
      <c r="Z914" s="3" t="n"/>
    </row>
    <row r="915" hidden="1" ht="15.75" customHeight="1" s="174">
      <c r="A915" s="3">
        <f>'Historical Data'!A912</f>
        <v/>
      </c>
      <c r="B915" s="3">
        <f>'Historical Data'!B912</f>
        <v/>
      </c>
      <c r="C915" s="3">
        <f>'Historical Data'!D912</f>
        <v/>
      </c>
      <c r="D915" s="23">
        <f>'Historical Data'!E912</f>
        <v/>
      </c>
      <c r="E915" s="3">
        <f>'Historical Data'!G912</f>
        <v/>
      </c>
      <c r="F915" s="3">
        <f>'Historical Data'!Y912</f>
        <v/>
      </c>
      <c r="G915" s="3">
        <f>'Historical Data'!K912</f>
        <v/>
      </c>
      <c r="H915" s="3">
        <f>'Historical Data'!L912</f>
        <v/>
      </c>
      <c r="I915" s="26">
        <f>'Historical Data'!M912</f>
        <v/>
      </c>
      <c r="J915" s="28">
        <f>'Historical Data'!N912</f>
        <v/>
      </c>
      <c r="K915" s="28">
        <f>'Historical Data'!Q912</f>
        <v/>
      </c>
      <c r="L915" s="30">
        <f>'Historical Data'!S912</f>
        <v/>
      </c>
      <c r="M915" s="28">
        <f>'Historical Data'!AJ912</f>
        <v/>
      </c>
      <c r="N915" s="28">
        <f>'Historical Data'!AK912</f>
        <v/>
      </c>
      <c r="O915" s="3">
        <f>'Historical Data'!AA912</f>
        <v/>
      </c>
      <c r="P915" s="3">
        <f>'Historical Data'!AB912</f>
        <v/>
      </c>
      <c r="Q915" s="3">
        <f>'Historical Data'!AN912</f>
        <v/>
      </c>
      <c r="R915" s="3">
        <f>'Historical Data'!AC912</f>
        <v/>
      </c>
      <c r="S915" s="3">
        <f>'Historical Data'!AE912</f>
        <v/>
      </c>
      <c r="T915" s="3">
        <f>'Historical Data'!AH912</f>
        <v/>
      </c>
      <c r="U915" s="3">
        <f>'Historical Data'!BA912</f>
        <v/>
      </c>
      <c r="V915" s="3" t="n"/>
      <c r="W915" s="3" t="n"/>
      <c r="X915" s="3" t="n"/>
      <c r="Y915" s="3" t="n"/>
      <c r="Z915" s="3" t="n"/>
    </row>
    <row r="916" hidden="1" ht="15.75" customHeight="1" s="174">
      <c r="A916" s="3">
        <f>'Historical Data'!A913</f>
        <v/>
      </c>
      <c r="B916" s="3">
        <f>'Historical Data'!B913</f>
        <v/>
      </c>
      <c r="C916" s="3">
        <f>'Historical Data'!D913</f>
        <v/>
      </c>
      <c r="D916" s="23">
        <f>'Historical Data'!E913</f>
        <v/>
      </c>
      <c r="E916" s="3">
        <f>'Historical Data'!G913</f>
        <v/>
      </c>
      <c r="F916" s="3">
        <f>'Historical Data'!Y913</f>
        <v/>
      </c>
      <c r="G916" s="3">
        <f>'Historical Data'!K913</f>
        <v/>
      </c>
      <c r="H916" s="3">
        <f>'Historical Data'!L913</f>
        <v/>
      </c>
      <c r="I916" s="26">
        <f>'Historical Data'!M913</f>
        <v/>
      </c>
      <c r="J916" s="28">
        <f>'Historical Data'!N913</f>
        <v/>
      </c>
      <c r="K916" s="28">
        <f>'Historical Data'!Q913</f>
        <v/>
      </c>
      <c r="L916" s="30">
        <f>'Historical Data'!S913</f>
        <v/>
      </c>
      <c r="M916" s="28">
        <f>'Historical Data'!AJ913</f>
        <v/>
      </c>
      <c r="N916" s="28">
        <f>'Historical Data'!AK913</f>
        <v/>
      </c>
      <c r="O916" s="3">
        <f>'Historical Data'!AA913</f>
        <v/>
      </c>
      <c r="P916" s="3">
        <f>'Historical Data'!AB913</f>
        <v/>
      </c>
      <c r="Q916" s="3">
        <f>'Historical Data'!AN913</f>
        <v/>
      </c>
      <c r="R916" s="3">
        <f>'Historical Data'!AC913</f>
        <v/>
      </c>
      <c r="S916" s="3">
        <f>'Historical Data'!AE913</f>
        <v/>
      </c>
      <c r="T916" s="3">
        <f>'Historical Data'!AH913</f>
        <v/>
      </c>
      <c r="U916" s="3">
        <f>'Historical Data'!BA913</f>
        <v/>
      </c>
      <c r="V916" s="3" t="n"/>
      <c r="W916" s="3" t="n"/>
      <c r="X916" s="3" t="n"/>
      <c r="Y916" s="3" t="n"/>
      <c r="Z916" s="3" t="n"/>
    </row>
    <row r="917" hidden="1" ht="15.75" customHeight="1" s="174">
      <c r="A917" s="3">
        <f>'Historical Data'!A914</f>
        <v/>
      </c>
      <c r="B917" s="3">
        <f>'Historical Data'!B914</f>
        <v/>
      </c>
      <c r="C917" s="3">
        <f>'Historical Data'!D914</f>
        <v/>
      </c>
      <c r="D917" s="23">
        <f>'Historical Data'!E914</f>
        <v/>
      </c>
      <c r="E917" s="3">
        <f>'Historical Data'!G914</f>
        <v/>
      </c>
      <c r="F917" s="3">
        <f>'Historical Data'!Y914</f>
        <v/>
      </c>
      <c r="G917" s="3">
        <f>'Historical Data'!K914</f>
        <v/>
      </c>
      <c r="H917" s="3">
        <f>'Historical Data'!L914</f>
        <v/>
      </c>
      <c r="I917" s="26">
        <f>'Historical Data'!M914</f>
        <v/>
      </c>
      <c r="J917" s="28">
        <f>'Historical Data'!N914</f>
        <v/>
      </c>
      <c r="K917" s="28">
        <f>'Historical Data'!Q914</f>
        <v/>
      </c>
      <c r="L917" s="30">
        <f>'Historical Data'!S914</f>
        <v/>
      </c>
      <c r="M917" s="28">
        <f>'Historical Data'!AJ914</f>
        <v/>
      </c>
      <c r="N917" s="28">
        <f>'Historical Data'!AK914</f>
        <v/>
      </c>
      <c r="O917" s="3">
        <f>'Historical Data'!AA914</f>
        <v/>
      </c>
      <c r="P917" s="3">
        <f>'Historical Data'!AB914</f>
        <v/>
      </c>
      <c r="Q917" s="3">
        <f>'Historical Data'!AN914</f>
        <v/>
      </c>
      <c r="R917" s="3">
        <f>'Historical Data'!AC914</f>
        <v/>
      </c>
      <c r="S917" s="3">
        <f>'Historical Data'!AE914</f>
        <v/>
      </c>
      <c r="T917" s="3">
        <f>'Historical Data'!AH914</f>
        <v/>
      </c>
      <c r="U917" s="3">
        <f>'Historical Data'!BA914</f>
        <v/>
      </c>
      <c r="V917" s="3" t="n"/>
      <c r="W917" s="3" t="n"/>
      <c r="X917" s="3" t="n"/>
      <c r="Y917" s="3" t="n"/>
      <c r="Z917" s="3" t="n"/>
    </row>
    <row r="918" hidden="1" ht="15.75" customHeight="1" s="174">
      <c r="A918" s="3">
        <f>'Historical Data'!A915</f>
        <v/>
      </c>
      <c r="B918" s="3">
        <f>'Historical Data'!B915</f>
        <v/>
      </c>
      <c r="C918" s="3">
        <f>'Historical Data'!D915</f>
        <v/>
      </c>
      <c r="D918" s="23">
        <f>'Historical Data'!E915</f>
        <v/>
      </c>
      <c r="E918" s="3">
        <f>'Historical Data'!G915</f>
        <v/>
      </c>
      <c r="F918" s="3">
        <f>'Historical Data'!Y915</f>
        <v/>
      </c>
      <c r="G918" s="3">
        <f>'Historical Data'!K915</f>
        <v/>
      </c>
      <c r="H918" s="3">
        <f>'Historical Data'!L915</f>
        <v/>
      </c>
      <c r="I918" s="26">
        <f>'Historical Data'!M915</f>
        <v/>
      </c>
      <c r="J918" s="28">
        <f>'Historical Data'!N915</f>
        <v/>
      </c>
      <c r="K918" s="28">
        <f>'Historical Data'!Q915</f>
        <v/>
      </c>
      <c r="L918" s="30">
        <f>'Historical Data'!S915</f>
        <v/>
      </c>
      <c r="M918" s="28">
        <f>'Historical Data'!AJ915</f>
        <v/>
      </c>
      <c r="N918" s="28">
        <f>'Historical Data'!AK915</f>
        <v/>
      </c>
      <c r="O918" s="3">
        <f>'Historical Data'!AA915</f>
        <v/>
      </c>
      <c r="P918" s="3">
        <f>'Historical Data'!AB915</f>
        <v/>
      </c>
      <c r="Q918" s="3">
        <f>'Historical Data'!AN915</f>
        <v/>
      </c>
      <c r="R918" s="3">
        <f>'Historical Data'!AC915</f>
        <v/>
      </c>
      <c r="S918" s="3">
        <f>'Historical Data'!AE915</f>
        <v/>
      </c>
      <c r="T918" s="3">
        <f>'Historical Data'!AH915</f>
        <v/>
      </c>
      <c r="U918" s="3">
        <f>'Historical Data'!BA915</f>
        <v/>
      </c>
      <c r="V918" s="3" t="n"/>
      <c r="W918" s="3" t="n"/>
      <c r="X918" s="3" t="n"/>
      <c r="Y918" s="3" t="n"/>
      <c r="Z918" s="3" t="n"/>
    </row>
    <row r="919" hidden="1" ht="15.75" customHeight="1" s="174">
      <c r="A919" s="3">
        <f>'Historical Data'!A916</f>
        <v/>
      </c>
      <c r="B919" s="3">
        <f>'Historical Data'!B916</f>
        <v/>
      </c>
      <c r="C919" s="3">
        <f>'Historical Data'!D916</f>
        <v/>
      </c>
      <c r="D919" s="23">
        <f>'Historical Data'!E916</f>
        <v/>
      </c>
      <c r="E919" s="3">
        <f>'Historical Data'!G916</f>
        <v/>
      </c>
      <c r="F919" s="3">
        <f>'Historical Data'!Y916</f>
        <v/>
      </c>
      <c r="G919" s="3">
        <f>'Historical Data'!K916</f>
        <v/>
      </c>
      <c r="H919" s="3">
        <f>'Historical Data'!L916</f>
        <v/>
      </c>
      <c r="I919" s="26">
        <f>'Historical Data'!M916</f>
        <v/>
      </c>
      <c r="J919" s="28">
        <f>'Historical Data'!N916</f>
        <v/>
      </c>
      <c r="K919" s="28">
        <f>'Historical Data'!Q916</f>
        <v/>
      </c>
      <c r="L919" s="30">
        <f>'Historical Data'!S916</f>
        <v/>
      </c>
      <c r="M919" s="28">
        <f>'Historical Data'!AJ916</f>
        <v/>
      </c>
      <c r="N919" s="28">
        <f>'Historical Data'!AK916</f>
        <v/>
      </c>
      <c r="O919" s="3">
        <f>'Historical Data'!AA916</f>
        <v/>
      </c>
      <c r="P919" s="3">
        <f>'Historical Data'!AB916</f>
        <v/>
      </c>
      <c r="Q919" s="3">
        <f>'Historical Data'!AN916</f>
        <v/>
      </c>
      <c r="R919" s="3">
        <f>'Historical Data'!AC916</f>
        <v/>
      </c>
      <c r="S919" s="3">
        <f>'Historical Data'!AE916</f>
        <v/>
      </c>
      <c r="T919" s="3">
        <f>'Historical Data'!AH916</f>
        <v/>
      </c>
      <c r="U919" s="3">
        <f>'Historical Data'!BA916</f>
        <v/>
      </c>
      <c r="V919" s="3" t="n"/>
      <c r="W919" s="3" t="n"/>
      <c r="X919" s="3" t="n"/>
      <c r="Y919" s="3" t="n"/>
      <c r="Z919" s="3" t="n"/>
    </row>
    <row r="920" hidden="1" ht="15.75" customHeight="1" s="174">
      <c r="A920" s="3">
        <f>'Historical Data'!A917</f>
        <v/>
      </c>
      <c r="B920" s="3">
        <f>'Historical Data'!B917</f>
        <v/>
      </c>
      <c r="C920" s="3">
        <f>'Historical Data'!D917</f>
        <v/>
      </c>
      <c r="D920" s="23">
        <f>'Historical Data'!E917</f>
        <v/>
      </c>
      <c r="E920" s="3">
        <f>'Historical Data'!G917</f>
        <v/>
      </c>
      <c r="F920" s="3">
        <f>'Historical Data'!Y917</f>
        <v/>
      </c>
      <c r="G920" s="3">
        <f>'Historical Data'!K917</f>
        <v/>
      </c>
      <c r="H920" s="3">
        <f>'Historical Data'!L917</f>
        <v/>
      </c>
      <c r="I920" s="26">
        <f>'Historical Data'!M917</f>
        <v/>
      </c>
      <c r="J920" s="28">
        <f>'Historical Data'!N917</f>
        <v/>
      </c>
      <c r="K920" s="28">
        <f>'Historical Data'!Q917</f>
        <v/>
      </c>
      <c r="L920" s="30">
        <f>'Historical Data'!S917</f>
        <v/>
      </c>
      <c r="M920" s="28">
        <f>'Historical Data'!AJ917</f>
        <v/>
      </c>
      <c r="N920" s="28">
        <f>'Historical Data'!AK917</f>
        <v/>
      </c>
      <c r="O920" s="3">
        <f>'Historical Data'!AA917</f>
        <v/>
      </c>
      <c r="P920" s="3">
        <f>'Historical Data'!AB917</f>
        <v/>
      </c>
      <c r="Q920" s="3">
        <f>'Historical Data'!AN917</f>
        <v/>
      </c>
      <c r="R920" s="3">
        <f>'Historical Data'!AC917</f>
        <v/>
      </c>
      <c r="S920" s="3">
        <f>'Historical Data'!AE917</f>
        <v/>
      </c>
      <c r="T920" s="3">
        <f>'Historical Data'!AH917</f>
        <v/>
      </c>
      <c r="U920" s="3">
        <f>'Historical Data'!BA917</f>
        <v/>
      </c>
      <c r="V920" s="3" t="n"/>
      <c r="W920" s="3" t="n"/>
      <c r="X920" s="3" t="n"/>
      <c r="Y920" s="3" t="n"/>
      <c r="Z920" s="3" t="n"/>
    </row>
    <row r="921" hidden="1" ht="15.75" customHeight="1" s="174">
      <c r="A921" s="3">
        <f>'Historical Data'!A918</f>
        <v/>
      </c>
      <c r="B921" s="3">
        <f>'Historical Data'!B918</f>
        <v/>
      </c>
      <c r="C921" s="3">
        <f>'Historical Data'!D918</f>
        <v/>
      </c>
      <c r="D921" s="23">
        <f>'Historical Data'!E918</f>
        <v/>
      </c>
      <c r="E921" s="3">
        <f>'Historical Data'!G918</f>
        <v/>
      </c>
      <c r="F921" s="3">
        <f>'Historical Data'!Y918</f>
        <v/>
      </c>
      <c r="G921" s="3">
        <f>'Historical Data'!K918</f>
        <v/>
      </c>
      <c r="H921" s="3">
        <f>'Historical Data'!L918</f>
        <v/>
      </c>
      <c r="I921" s="26">
        <f>'Historical Data'!M918</f>
        <v/>
      </c>
      <c r="J921" s="28">
        <f>'Historical Data'!N918</f>
        <v/>
      </c>
      <c r="K921" s="28">
        <f>'Historical Data'!Q918</f>
        <v/>
      </c>
      <c r="L921" s="30">
        <f>'Historical Data'!S918</f>
        <v/>
      </c>
      <c r="M921" s="28">
        <f>'Historical Data'!AJ918</f>
        <v/>
      </c>
      <c r="N921" s="28">
        <f>'Historical Data'!AK918</f>
        <v/>
      </c>
      <c r="O921" s="3">
        <f>'Historical Data'!AA918</f>
        <v/>
      </c>
      <c r="P921" s="3">
        <f>'Historical Data'!AB918</f>
        <v/>
      </c>
      <c r="Q921" s="3">
        <f>'Historical Data'!AN918</f>
        <v/>
      </c>
      <c r="R921" s="3">
        <f>'Historical Data'!AC918</f>
        <v/>
      </c>
      <c r="S921" s="3">
        <f>'Historical Data'!AE918</f>
        <v/>
      </c>
      <c r="T921" s="3">
        <f>'Historical Data'!AH918</f>
        <v/>
      </c>
      <c r="U921" s="3">
        <f>'Historical Data'!BA918</f>
        <v/>
      </c>
      <c r="V921" s="3" t="n"/>
      <c r="W921" s="3" t="n"/>
      <c r="X921" s="3" t="n"/>
      <c r="Y921" s="3" t="n"/>
      <c r="Z921" s="3" t="n"/>
    </row>
    <row r="922" hidden="1" ht="15.75" customHeight="1" s="174">
      <c r="A922" s="3">
        <f>'Historical Data'!A919</f>
        <v/>
      </c>
      <c r="B922" s="3">
        <f>'Historical Data'!B919</f>
        <v/>
      </c>
      <c r="C922" s="3">
        <f>'Historical Data'!D919</f>
        <v/>
      </c>
      <c r="D922" s="23">
        <f>'Historical Data'!E919</f>
        <v/>
      </c>
      <c r="E922" s="3">
        <f>'Historical Data'!G919</f>
        <v/>
      </c>
      <c r="F922" s="3">
        <f>'Historical Data'!Y919</f>
        <v/>
      </c>
      <c r="G922" s="3">
        <f>'Historical Data'!K919</f>
        <v/>
      </c>
      <c r="H922" s="3">
        <f>'Historical Data'!L919</f>
        <v/>
      </c>
      <c r="I922" s="26">
        <f>'Historical Data'!M919</f>
        <v/>
      </c>
      <c r="J922" s="28">
        <f>'Historical Data'!N919</f>
        <v/>
      </c>
      <c r="K922" s="28">
        <f>'Historical Data'!Q919</f>
        <v/>
      </c>
      <c r="L922" s="30">
        <f>'Historical Data'!S919</f>
        <v/>
      </c>
      <c r="M922" s="28">
        <f>'Historical Data'!AJ919</f>
        <v/>
      </c>
      <c r="N922" s="28">
        <f>'Historical Data'!AK919</f>
        <v/>
      </c>
      <c r="O922" s="3">
        <f>'Historical Data'!AA919</f>
        <v/>
      </c>
      <c r="P922" s="3">
        <f>'Historical Data'!AB919</f>
        <v/>
      </c>
      <c r="Q922" s="3">
        <f>'Historical Data'!AN919</f>
        <v/>
      </c>
      <c r="R922" s="3">
        <f>'Historical Data'!AC919</f>
        <v/>
      </c>
      <c r="S922" s="3">
        <f>'Historical Data'!AE919</f>
        <v/>
      </c>
      <c r="T922" s="3">
        <f>'Historical Data'!AH919</f>
        <v/>
      </c>
      <c r="U922" s="3">
        <f>'Historical Data'!BA919</f>
        <v/>
      </c>
      <c r="V922" s="3" t="n"/>
      <c r="W922" s="3" t="n"/>
      <c r="X922" s="3" t="n"/>
      <c r="Y922" s="3" t="n"/>
      <c r="Z922" s="3" t="n"/>
    </row>
    <row r="923" hidden="1" ht="15.75" customHeight="1" s="174">
      <c r="A923" s="3">
        <f>'Historical Data'!A920</f>
        <v/>
      </c>
      <c r="B923" s="3">
        <f>'Historical Data'!B920</f>
        <v/>
      </c>
      <c r="C923" s="3">
        <f>'Historical Data'!D920</f>
        <v/>
      </c>
      <c r="D923" s="23">
        <f>'Historical Data'!E920</f>
        <v/>
      </c>
      <c r="E923" s="3">
        <f>'Historical Data'!G920</f>
        <v/>
      </c>
      <c r="F923" s="3">
        <f>'Historical Data'!Y920</f>
        <v/>
      </c>
      <c r="G923" s="3">
        <f>'Historical Data'!K920</f>
        <v/>
      </c>
      <c r="H923" s="3">
        <f>'Historical Data'!L920</f>
        <v/>
      </c>
      <c r="I923" s="26">
        <f>'Historical Data'!M920</f>
        <v/>
      </c>
      <c r="J923" s="28">
        <f>'Historical Data'!N920</f>
        <v/>
      </c>
      <c r="K923" s="28">
        <f>'Historical Data'!Q920</f>
        <v/>
      </c>
      <c r="L923" s="30">
        <f>'Historical Data'!S920</f>
        <v/>
      </c>
      <c r="M923" s="28">
        <f>'Historical Data'!AJ920</f>
        <v/>
      </c>
      <c r="N923" s="28">
        <f>'Historical Data'!AK920</f>
        <v/>
      </c>
      <c r="O923" s="3">
        <f>'Historical Data'!AA920</f>
        <v/>
      </c>
      <c r="P923" s="3">
        <f>'Historical Data'!AB920</f>
        <v/>
      </c>
      <c r="Q923" s="3">
        <f>'Historical Data'!AN920</f>
        <v/>
      </c>
      <c r="R923" s="3">
        <f>'Historical Data'!AC920</f>
        <v/>
      </c>
      <c r="S923" s="3">
        <f>'Historical Data'!AE920</f>
        <v/>
      </c>
      <c r="T923" s="3">
        <f>'Historical Data'!AH920</f>
        <v/>
      </c>
      <c r="U923" s="3">
        <f>'Historical Data'!BA920</f>
        <v/>
      </c>
      <c r="V923" s="3" t="n"/>
      <c r="W923" s="3" t="n"/>
      <c r="X923" s="3" t="n"/>
      <c r="Y923" s="3" t="n"/>
      <c r="Z923" s="3" t="n"/>
    </row>
    <row r="924" hidden="1" ht="15.75" customHeight="1" s="174">
      <c r="A924" s="3">
        <f>'Historical Data'!A921</f>
        <v/>
      </c>
      <c r="B924" s="3">
        <f>'Historical Data'!B921</f>
        <v/>
      </c>
      <c r="C924" s="3">
        <f>'Historical Data'!D921</f>
        <v/>
      </c>
      <c r="D924" s="23">
        <f>'Historical Data'!E921</f>
        <v/>
      </c>
      <c r="E924" s="3">
        <f>'Historical Data'!G921</f>
        <v/>
      </c>
      <c r="F924" s="3">
        <f>'Historical Data'!Y921</f>
        <v/>
      </c>
      <c r="G924" s="3">
        <f>'Historical Data'!K921</f>
        <v/>
      </c>
      <c r="H924" s="3">
        <f>'Historical Data'!L921</f>
        <v/>
      </c>
      <c r="I924" s="26">
        <f>'Historical Data'!M921</f>
        <v/>
      </c>
      <c r="J924" s="28">
        <f>'Historical Data'!N921</f>
        <v/>
      </c>
      <c r="K924" s="28">
        <f>'Historical Data'!Q921</f>
        <v/>
      </c>
      <c r="L924" s="30">
        <f>'Historical Data'!S921</f>
        <v/>
      </c>
      <c r="M924" s="28">
        <f>'Historical Data'!AJ921</f>
        <v/>
      </c>
      <c r="N924" s="28">
        <f>'Historical Data'!AK921</f>
        <v/>
      </c>
      <c r="O924" s="3">
        <f>'Historical Data'!AA921</f>
        <v/>
      </c>
      <c r="P924" s="3">
        <f>'Historical Data'!AB921</f>
        <v/>
      </c>
      <c r="Q924" s="3">
        <f>'Historical Data'!AN921</f>
        <v/>
      </c>
      <c r="R924" s="3">
        <f>'Historical Data'!AC921</f>
        <v/>
      </c>
      <c r="S924" s="3">
        <f>'Historical Data'!AE921</f>
        <v/>
      </c>
      <c r="T924" s="3">
        <f>'Historical Data'!AH921</f>
        <v/>
      </c>
      <c r="U924" s="3">
        <f>'Historical Data'!BA921</f>
        <v/>
      </c>
      <c r="V924" s="3" t="n"/>
      <c r="W924" s="3" t="n"/>
      <c r="X924" s="3" t="n"/>
      <c r="Y924" s="3" t="n"/>
      <c r="Z924" s="3" t="n"/>
    </row>
    <row r="925" hidden="1" ht="15.75" customHeight="1" s="174">
      <c r="A925" s="3">
        <f>'Historical Data'!A922</f>
        <v/>
      </c>
      <c r="B925" s="3">
        <f>'Historical Data'!B922</f>
        <v/>
      </c>
      <c r="C925" s="3">
        <f>'Historical Data'!D922</f>
        <v/>
      </c>
      <c r="D925" s="23">
        <f>'Historical Data'!E922</f>
        <v/>
      </c>
      <c r="E925" s="3">
        <f>'Historical Data'!G922</f>
        <v/>
      </c>
      <c r="F925" s="3">
        <f>'Historical Data'!Y922</f>
        <v/>
      </c>
      <c r="G925" s="3">
        <f>'Historical Data'!K922</f>
        <v/>
      </c>
      <c r="H925" s="3">
        <f>'Historical Data'!L922</f>
        <v/>
      </c>
      <c r="I925" s="26">
        <f>'Historical Data'!M922</f>
        <v/>
      </c>
      <c r="J925" s="28">
        <f>'Historical Data'!N922</f>
        <v/>
      </c>
      <c r="K925" s="28">
        <f>'Historical Data'!Q922</f>
        <v/>
      </c>
      <c r="L925" s="30">
        <f>'Historical Data'!S922</f>
        <v/>
      </c>
      <c r="M925" s="28">
        <f>'Historical Data'!AJ922</f>
        <v/>
      </c>
      <c r="N925" s="28">
        <f>'Historical Data'!AK922</f>
        <v/>
      </c>
      <c r="O925" s="3">
        <f>'Historical Data'!AA922</f>
        <v/>
      </c>
      <c r="P925" s="3">
        <f>'Historical Data'!AB922</f>
        <v/>
      </c>
      <c r="Q925" s="3">
        <f>'Historical Data'!AN922</f>
        <v/>
      </c>
      <c r="R925" s="3">
        <f>'Historical Data'!AC922</f>
        <v/>
      </c>
      <c r="S925" s="3">
        <f>'Historical Data'!AE922</f>
        <v/>
      </c>
      <c r="T925" s="3">
        <f>'Historical Data'!AH922</f>
        <v/>
      </c>
      <c r="U925" s="3">
        <f>'Historical Data'!BA922</f>
        <v/>
      </c>
      <c r="V925" s="3" t="n"/>
      <c r="W925" s="3" t="n"/>
      <c r="X925" s="3" t="n"/>
      <c r="Y925" s="3" t="n"/>
      <c r="Z925" s="3" t="n"/>
    </row>
    <row r="926" hidden="1" ht="15.75" customHeight="1" s="174">
      <c r="A926" s="3">
        <f>'Historical Data'!A923</f>
        <v/>
      </c>
      <c r="B926" s="3">
        <f>'Historical Data'!B923</f>
        <v/>
      </c>
      <c r="C926" s="3">
        <f>'Historical Data'!D923</f>
        <v/>
      </c>
      <c r="D926" s="23">
        <f>'Historical Data'!E923</f>
        <v/>
      </c>
      <c r="E926" s="3">
        <f>'Historical Data'!G923</f>
        <v/>
      </c>
      <c r="F926" s="3">
        <f>'Historical Data'!Y923</f>
        <v/>
      </c>
      <c r="G926" s="3">
        <f>'Historical Data'!K923</f>
        <v/>
      </c>
      <c r="H926" s="3">
        <f>'Historical Data'!L923</f>
        <v/>
      </c>
      <c r="I926" s="26">
        <f>'Historical Data'!M923</f>
        <v/>
      </c>
      <c r="J926" s="28">
        <f>'Historical Data'!N923</f>
        <v/>
      </c>
      <c r="K926" s="28">
        <f>'Historical Data'!Q923</f>
        <v/>
      </c>
      <c r="L926" s="30">
        <f>'Historical Data'!S923</f>
        <v/>
      </c>
      <c r="M926" s="28">
        <f>'Historical Data'!AJ923</f>
        <v/>
      </c>
      <c r="N926" s="28">
        <f>'Historical Data'!AK923</f>
        <v/>
      </c>
      <c r="O926" s="3">
        <f>'Historical Data'!AA923</f>
        <v/>
      </c>
      <c r="P926" s="3">
        <f>'Historical Data'!AB923</f>
        <v/>
      </c>
      <c r="Q926" s="3">
        <f>'Historical Data'!AN923</f>
        <v/>
      </c>
      <c r="R926" s="3">
        <f>'Historical Data'!AC923</f>
        <v/>
      </c>
      <c r="S926" s="3">
        <f>'Historical Data'!AE923</f>
        <v/>
      </c>
      <c r="T926" s="3">
        <f>'Historical Data'!AH923</f>
        <v/>
      </c>
      <c r="U926" s="3">
        <f>'Historical Data'!BA923</f>
        <v/>
      </c>
      <c r="V926" s="3" t="n"/>
      <c r="W926" s="3" t="n"/>
      <c r="X926" s="3" t="n"/>
      <c r="Y926" s="3" t="n"/>
      <c r="Z926" s="3" t="n"/>
    </row>
    <row r="927" hidden="1" ht="15.75" customHeight="1" s="174">
      <c r="A927" s="3">
        <f>'Historical Data'!A924</f>
        <v/>
      </c>
      <c r="B927" s="3">
        <f>'Historical Data'!B924</f>
        <v/>
      </c>
      <c r="C927" s="3">
        <f>'Historical Data'!D924</f>
        <v/>
      </c>
      <c r="D927" s="23">
        <f>'Historical Data'!E924</f>
        <v/>
      </c>
      <c r="E927" s="3">
        <f>'Historical Data'!G924</f>
        <v/>
      </c>
      <c r="F927" s="3">
        <f>'Historical Data'!Y924</f>
        <v/>
      </c>
      <c r="G927" s="3">
        <f>'Historical Data'!K924</f>
        <v/>
      </c>
      <c r="H927" s="3">
        <f>'Historical Data'!L924</f>
        <v/>
      </c>
      <c r="I927" s="26">
        <f>'Historical Data'!M924</f>
        <v/>
      </c>
      <c r="J927" s="28">
        <f>'Historical Data'!N924</f>
        <v/>
      </c>
      <c r="K927" s="28">
        <f>'Historical Data'!Q924</f>
        <v/>
      </c>
      <c r="L927" s="30">
        <f>'Historical Data'!S924</f>
        <v/>
      </c>
      <c r="M927" s="28">
        <f>'Historical Data'!AJ924</f>
        <v/>
      </c>
      <c r="N927" s="28">
        <f>'Historical Data'!AK924</f>
        <v/>
      </c>
      <c r="O927" s="3">
        <f>'Historical Data'!AA924</f>
        <v/>
      </c>
      <c r="P927" s="3">
        <f>'Historical Data'!AB924</f>
        <v/>
      </c>
      <c r="Q927" s="3">
        <f>'Historical Data'!AN924</f>
        <v/>
      </c>
      <c r="R927" s="3">
        <f>'Historical Data'!AC924</f>
        <v/>
      </c>
      <c r="S927" s="3">
        <f>'Historical Data'!AE924</f>
        <v/>
      </c>
      <c r="T927" s="3">
        <f>'Historical Data'!AH924</f>
        <v/>
      </c>
      <c r="U927" s="3">
        <f>'Historical Data'!BA924</f>
        <v/>
      </c>
      <c r="V927" s="3" t="n"/>
      <c r="W927" s="3" t="n"/>
      <c r="X927" s="3" t="n"/>
      <c r="Y927" s="3" t="n"/>
      <c r="Z927" s="3" t="n"/>
    </row>
    <row r="928" hidden="1" ht="15.75" customHeight="1" s="174">
      <c r="A928" s="3">
        <f>'Historical Data'!A925</f>
        <v/>
      </c>
      <c r="B928" s="3">
        <f>'Historical Data'!B925</f>
        <v/>
      </c>
      <c r="C928" s="3">
        <f>'Historical Data'!D925</f>
        <v/>
      </c>
      <c r="D928" s="23">
        <f>'Historical Data'!E925</f>
        <v/>
      </c>
      <c r="E928" s="3">
        <f>'Historical Data'!G925</f>
        <v/>
      </c>
      <c r="F928" s="3">
        <f>'Historical Data'!Y925</f>
        <v/>
      </c>
      <c r="G928" s="3">
        <f>'Historical Data'!K925</f>
        <v/>
      </c>
      <c r="H928" s="3">
        <f>'Historical Data'!L925</f>
        <v/>
      </c>
      <c r="I928" s="26">
        <f>'Historical Data'!M925</f>
        <v/>
      </c>
      <c r="J928" s="28">
        <f>'Historical Data'!N925</f>
        <v/>
      </c>
      <c r="K928" s="28">
        <f>'Historical Data'!Q925</f>
        <v/>
      </c>
      <c r="L928" s="30">
        <f>'Historical Data'!S925</f>
        <v/>
      </c>
      <c r="M928" s="28">
        <f>'Historical Data'!AJ925</f>
        <v/>
      </c>
      <c r="N928" s="28">
        <f>'Historical Data'!AK925</f>
        <v/>
      </c>
      <c r="O928" s="3">
        <f>'Historical Data'!AA925</f>
        <v/>
      </c>
      <c r="P928" s="3">
        <f>'Historical Data'!AB925</f>
        <v/>
      </c>
      <c r="Q928" s="3">
        <f>'Historical Data'!AN925</f>
        <v/>
      </c>
      <c r="R928" s="3">
        <f>'Historical Data'!AC925</f>
        <v/>
      </c>
      <c r="S928" s="3">
        <f>'Historical Data'!AE925</f>
        <v/>
      </c>
      <c r="T928" s="3">
        <f>'Historical Data'!AH925</f>
        <v/>
      </c>
      <c r="U928" s="3">
        <f>'Historical Data'!BA925</f>
        <v/>
      </c>
      <c r="V928" s="3" t="n"/>
      <c r="W928" s="3" t="n"/>
      <c r="X928" s="3" t="n"/>
      <c r="Y928" s="3" t="n"/>
      <c r="Z928" s="3" t="n"/>
    </row>
    <row r="929" hidden="1" ht="15.75" customHeight="1" s="174">
      <c r="A929" s="3">
        <f>'Historical Data'!A926</f>
        <v/>
      </c>
      <c r="B929" s="3">
        <f>'Historical Data'!B926</f>
        <v/>
      </c>
      <c r="C929" s="3">
        <f>'Historical Data'!D926</f>
        <v/>
      </c>
      <c r="D929" s="23">
        <f>'Historical Data'!E926</f>
        <v/>
      </c>
      <c r="E929" s="3">
        <f>'Historical Data'!G926</f>
        <v/>
      </c>
      <c r="F929" s="3">
        <f>'Historical Data'!Y926</f>
        <v/>
      </c>
      <c r="G929" s="3">
        <f>'Historical Data'!K926</f>
        <v/>
      </c>
      <c r="H929" s="3">
        <f>'Historical Data'!L926</f>
        <v/>
      </c>
      <c r="I929" s="26">
        <f>'Historical Data'!M926</f>
        <v/>
      </c>
      <c r="J929" s="28">
        <f>'Historical Data'!N926</f>
        <v/>
      </c>
      <c r="K929" s="28">
        <f>'Historical Data'!Q926</f>
        <v/>
      </c>
      <c r="L929" s="30">
        <f>'Historical Data'!S926</f>
        <v/>
      </c>
      <c r="M929" s="28">
        <f>'Historical Data'!AJ926</f>
        <v/>
      </c>
      <c r="N929" s="28">
        <f>'Historical Data'!AK926</f>
        <v/>
      </c>
      <c r="O929" s="3">
        <f>'Historical Data'!AA926</f>
        <v/>
      </c>
      <c r="P929" s="3">
        <f>'Historical Data'!AB926</f>
        <v/>
      </c>
      <c r="Q929" s="3">
        <f>'Historical Data'!AN926</f>
        <v/>
      </c>
      <c r="R929" s="3">
        <f>'Historical Data'!AC926</f>
        <v/>
      </c>
      <c r="S929" s="3">
        <f>'Historical Data'!AE926</f>
        <v/>
      </c>
      <c r="T929" s="3">
        <f>'Historical Data'!AH926</f>
        <v/>
      </c>
      <c r="U929" s="3">
        <f>'Historical Data'!BA926</f>
        <v/>
      </c>
      <c r="V929" s="3" t="n"/>
      <c r="W929" s="3" t="n"/>
      <c r="X929" s="3" t="n"/>
      <c r="Y929" s="3" t="n"/>
      <c r="Z929" s="3" t="n"/>
    </row>
    <row r="930" hidden="1" ht="15.75" customHeight="1" s="174">
      <c r="A930" s="3">
        <f>'Historical Data'!A927</f>
        <v/>
      </c>
      <c r="B930" s="3">
        <f>'Historical Data'!B927</f>
        <v/>
      </c>
      <c r="C930" s="3">
        <f>'Historical Data'!D927</f>
        <v/>
      </c>
      <c r="D930" s="23">
        <f>'Historical Data'!E927</f>
        <v/>
      </c>
      <c r="E930" s="3">
        <f>'Historical Data'!G927</f>
        <v/>
      </c>
      <c r="F930" s="3">
        <f>'Historical Data'!Y927</f>
        <v/>
      </c>
      <c r="G930" s="3">
        <f>'Historical Data'!K927</f>
        <v/>
      </c>
      <c r="H930" s="3">
        <f>'Historical Data'!L927</f>
        <v/>
      </c>
      <c r="I930" s="26">
        <f>'Historical Data'!M927</f>
        <v/>
      </c>
      <c r="J930" s="28">
        <f>'Historical Data'!N927</f>
        <v/>
      </c>
      <c r="K930" s="28">
        <f>'Historical Data'!Q927</f>
        <v/>
      </c>
      <c r="L930" s="30">
        <f>'Historical Data'!S927</f>
        <v/>
      </c>
      <c r="M930" s="28">
        <f>'Historical Data'!AJ927</f>
        <v/>
      </c>
      <c r="N930" s="28">
        <f>'Historical Data'!AK927</f>
        <v/>
      </c>
      <c r="O930" s="3">
        <f>'Historical Data'!AA927</f>
        <v/>
      </c>
      <c r="P930" s="3">
        <f>'Historical Data'!AB927</f>
        <v/>
      </c>
      <c r="Q930" s="3">
        <f>'Historical Data'!AN927</f>
        <v/>
      </c>
      <c r="R930" s="3">
        <f>'Historical Data'!AC927</f>
        <v/>
      </c>
      <c r="S930" s="3">
        <f>'Historical Data'!AE927</f>
        <v/>
      </c>
      <c r="T930" s="3">
        <f>'Historical Data'!AH927</f>
        <v/>
      </c>
      <c r="U930" s="3">
        <f>'Historical Data'!BA927</f>
        <v/>
      </c>
      <c r="V930" s="3" t="n"/>
      <c r="W930" s="3" t="n"/>
      <c r="X930" s="3" t="n"/>
      <c r="Y930" s="3" t="n"/>
      <c r="Z930" s="3" t="n"/>
    </row>
    <row r="931" hidden="1" ht="15.75" customHeight="1" s="174">
      <c r="A931" s="3">
        <f>'Historical Data'!A928</f>
        <v/>
      </c>
      <c r="B931" s="3">
        <f>'Historical Data'!B928</f>
        <v/>
      </c>
      <c r="C931" s="3">
        <f>'Historical Data'!D928</f>
        <v/>
      </c>
      <c r="D931" s="23">
        <f>'Historical Data'!E928</f>
        <v/>
      </c>
      <c r="E931" s="3">
        <f>'Historical Data'!G928</f>
        <v/>
      </c>
      <c r="F931" s="3">
        <f>'Historical Data'!Y928</f>
        <v/>
      </c>
      <c r="G931" s="3">
        <f>'Historical Data'!K928</f>
        <v/>
      </c>
      <c r="H931" s="3">
        <f>'Historical Data'!L928</f>
        <v/>
      </c>
      <c r="I931" s="26">
        <f>'Historical Data'!M928</f>
        <v/>
      </c>
      <c r="J931" s="28">
        <f>'Historical Data'!N928</f>
        <v/>
      </c>
      <c r="K931" s="28">
        <f>'Historical Data'!Q928</f>
        <v/>
      </c>
      <c r="L931" s="30">
        <f>'Historical Data'!S928</f>
        <v/>
      </c>
      <c r="M931" s="28">
        <f>'Historical Data'!AJ928</f>
        <v/>
      </c>
      <c r="N931" s="28">
        <f>'Historical Data'!AK928</f>
        <v/>
      </c>
      <c r="O931" s="3">
        <f>'Historical Data'!AA928</f>
        <v/>
      </c>
      <c r="P931" s="3">
        <f>'Historical Data'!AB928</f>
        <v/>
      </c>
      <c r="Q931" s="3">
        <f>'Historical Data'!AN928</f>
        <v/>
      </c>
      <c r="R931" s="3">
        <f>'Historical Data'!AC928</f>
        <v/>
      </c>
      <c r="S931" s="3">
        <f>'Historical Data'!AE928</f>
        <v/>
      </c>
      <c r="T931" s="3">
        <f>'Historical Data'!AH928</f>
        <v/>
      </c>
      <c r="U931" s="3">
        <f>'Historical Data'!BA928</f>
        <v/>
      </c>
      <c r="V931" s="3" t="n"/>
      <c r="W931" s="3" t="n"/>
      <c r="X931" s="3" t="n"/>
      <c r="Y931" s="3" t="n"/>
      <c r="Z931" s="3" t="n"/>
    </row>
    <row r="932" hidden="1" ht="15.75" customHeight="1" s="174">
      <c r="A932" s="3">
        <f>'Historical Data'!A929</f>
        <v/>
      </c>
      <c r="B932" s="3">
        <f>'Historical Data'!B929</f>
        <v/>
      </c>
      <c r="C932" s="3">
        <f>'Historical Data'!D929</f>
        <v/>
      </c>
      <c r="D932" s="23">
        <f>'Historical Data'!E929</f>
        <v/>
      </c>
      <c r="E932" s="3">
        <f>'Historical Data'!G929</f>
        <v/>
      </c>
      <c r="F932" s="3">
        <f>'Historical Data'!Y929</f>
        <v/>
      </c>
      <c r="G932" s="3">
        <f>'Historical Data'!K929</f>
        <v/>
      </c>
      <c r="H932" s="3">
        <f>'Historical Data'!L929</f>
        <v/>
      </c>
      <c r="I932" s="26">
        <f>'Historical Data'!M929</f>
        <v/>
      </c>
      <c r="J932" s="28">
        <f>'Historical Data'!N929</f>
        <v/>
      </c>
      <c r="K932" s="28">
        <f>'Historical Data'!Q929</f>
        <v/>
      </c>
      <c r="L932" s="30">
        <f>'Historical Data'!S929</f>
        <v/>
      </c>
      <c r="M932" s="28">
        <f>'Historical Data'!AJ929</f>
        <v/>
      </c>
      <c r="N932" s="28">
        <f>'Historical Data'!AK929</f>
        <v/>
      </c>
      <c r="O932" s="3">
        <f>'Historical Data'!AA929</f>
        <v/>
      </c>
      <c r="P932" s="3">
        <f>'Historical Data'!AB929</f>
        <v/>
      </c>
      <c r="Q932" s="3">
        <f>'Historical Data'!AN929</f>
        <v/>
      </c>
      <c r="R932" s="3">
        <f>'Historical Data'!AC929</f>
        <v/>
      </c>
      <c r="S932" s="3">
        <f>'Historical Data'!AE929</f>
        <v/>
      </c>
      <c r="T932" s="3">
        <f>'Historical Data'!AH929</f>
        <v/>
      </c>
      <c r="U932" s="3">
        <f>'Historical Data'!BA929</f>
        <v/>
      </c>
      <c r="V932" s="3" t="n"/>
      <c r="W932" s="3" t="n"/>
      <c r="X932" s="3" t="n"/>
      <c r="Y932" s="3" t="n"/>
      <c r="Z932" s="3" t="n"/>
    </row>
    <row r="933" hidden="1" ht="15.75" customHeight="1" s="174">
      <c r="A933" s="3">
        <f>'Historical Data'!A930</f>
        <v/>
      </c>
      <c r="B933" s="3">
        <f>'Historical Data'!B930</f>
        <v/>
      </c>
      <c r="C933" s="3">
        <f>'Historical Data'!D930</f>
        <v/>
      </c>
      <c r="D933" s="23">
        <f>'Historical Data'!E930</f>
        <v/>
      </c>
      <c r="E933" s="3">
        <f>'Historical Data'!G930</f>
        <v/>
      </c>
      <c r="F933" s="3">
        <f>'Historical Data'!Y930</f>
        <v/>
      </c>
      <c r="G933" s="3">
        <f>'Historical Data'!K930</f>
        <v/>
      </c>
      <c r="H933" s="3">
        <f>'Historical Data'!L930</f>
        <v/>
      </c>
      <c r="I933" s="26">
        <f>'Historical Data'!M930</f>
        <v/>
      </c>
      <c r="J933" s="28">
        <f>'Historical Data'!N930</f>
        <v/>
      </c>
      <c r="K933" s="28">
        <f>'Historical Data'!Q930</f>
        <v/>
      </c>
      <c r="L933" s="30">
        <f>'Historical Data'!S930</f>
        <v/>
      </c>
      <c r="M933" s="28">
        <f>'Historical Data'!AJ930</f>
        <v/>
      </c>
      <c r="N933" s="28">
        <f>'Historical Data'!AK930</f>
        <v/>
      </c>
      <c r="O933" s="3">
        <f>'Historical Data'!AA930</f>
        <v/>
      </c>
      <c r="P933" s="3">
        <f>'Historical Data'!AB930</f>
        <v/>
      </c>
      <c r="Q933" s="3">
        <f>'Historical Data'!AN930</f>
        <v/>
      </c>
      <c r="R933" s="3">
        <f>'Historical Data'!AC930</f>
        <v/>
      </c>
      <c r="S933" s="3">
        <f>'Historical Data'!AE930</f>
        <v/>
      </c>
      <c r="T933" s="3">
        <f>'Historical Data'!AH930</f>
        <v/>
      </c>
      <c r="U933" s="3">
        <f>'Historical Data'!BA930</f>
        <v/>
      </c>
      <c r="V933" s="3" t="n"/>
      <c r="W933" s="3" t="n"/>
      <c r="X933" s="3" t="n"/>
      <c r="Y933" s="3" t="n"/>
      <c r="Z933" s="3" t="n"/>
    </row>
    <row r="934" hidden="1" ht="15.75" customHeight="1" s="174">
      <c r="A934" s="3">
        <f>'Historical Data'!A931</f>
        <v/>
      </c>
      <c r="B934" s="3">
        <f>'Historical Data'!B931</f>
        <v/>
      </c>
      <c r="C934" s="3">
        <f>'Historical Data'!D931</f>
        <v/>
      </c>
      <c r="D934" s="23">
        <f>'Historical Data'!E931</f>
        <v/>
      </c>
      <c r="E934" s="3">
        <f>'Historical Data'!G931</f>
        <v/>
      </c>
      <c r="F934" s="3">
        <f>'Historical Data'!Y931</f>
        <v/>
      </c>
      <c r="G934" s="3">
        <f>'Historical Data'!K931</f>
        <v/>
      </c>
      <c r="H934" s="3">
        <f>'Historical Data'!L931</f>
        <v/>
      </c>
      <c r="I934" s="26">
        <f>'Historical Data'!M931</f>
        <v/>
      </c>
      <c r="J934" s="28">
        <f>'Historical Data'!N931</f>
        <v/>
      </c>
      <c r="K934" s="28">
        <f>'Historical Data'!Q931</f>
        <v/>
      </c>
      <c r="L934" s="30">
        <f>'Historical Data'!S931</f>
        <v/>
      </c>
      <c r="M934" s="28">
        <f>'Historical Data'!AJ931</f>
        <v/>
      </c>
      <c r="N934" s="28">
        <f>'Historical Data'!AK931</f>
        <v/>
      </c>
      <c r="O934" s="3">
        <f>'Historical Data'!AA931</f>
        <v/>
      </c>
      <c r="P934" s="3">
        <f>'Historical Data'!AB931</f>
        <v/>
      </c>
      <c r="Q934" s="3">
        <f>'Historical Data'!AN931</f>
        <v/>
      </c>
      <c r="R934" s="3">
        <f>'Historical Data'!AC931</f>
        <v/>
      </c>
      <c r="S934" s="3">
        <f>'Historical Data'!AE931</f>
        <v/>
      </c>
      <c r="T934" s="3">
        <f>'Historical Data'!AH931</f>
        <v/>
      </c>
      <c r="U934" s="3">
        <f>'Historical Data'!BA931</f>
        <v/>
      </c>
      <c r="V934" s="3" t="n"/>
      <c r="W934" s="3" t="n"/>
      <c r="X934" s="3" t="n"/>
      <c r="Y934" s="3" t="n"/>
      <c r="Z934" s="3" t="n"/>
    </row>
    <row r="935" hidden="1" ht="15.75" customHeight="1" s="174">
      <c r="A935" s="3">
        <f>'Historical Data'!A932</f>
        <v/>
      </c>
      <c r="B935" s="3">
        <f>'Historical Data'!B932</f>
        <v/>
      </c>
      <c r="C935" s="3">
        <f>'Historical Data'!D932</f>
        <v/>
      </c>
      <c r="D935" s="23">
        <f>'Historical Data'!E932</f>
        <v/>
      </c>
      <c r="E935" s="3">
        <f>'Historical Data'!G932</f>
        <v/>
      </c>
      <c r="F935" s="3">
        <f>'Historical Data'!Y932</f>
        <v/>
      </c>
      <c r="G935" s="3">
        <f>'Historical Data'!K932</f>
        <v/>
      </c>
      <c r="H935" s="3">
        <f>'Historical Data'!L932</f>
        <v/>
      </c>
      <c r="I935" s="26">
        <f>'Historical Data'!M932</f>
        <v/>
      </c>
      <c r="J935" s="28">
        <f>'Historical Data'!N932</f>
        <v/>
      </c>
      <c r="K935" s="28">
        <f>'Historical Data'!Q932</f>
        <v/>
      </c>
      <c r="L935" s="30">
        <f>'Historical Data'!S932</f>
        <v/>
      </c>
      <c r="M935" s="28">
        <f>'Historical Data'!AJ932</f>
        <v/>
      </c>
      <c r="N935" s="28">
        <f>'Historical Data'!AK932</f>
        <v/>
      </c>
      <c r="O935" s="3">
        <f>'Historical Data'!AA932</f>
        <v/>
      </c>
      <c r="P935" s="3">
        <f>'Historical Data'!AB932</f>
        <v/>
      </c>
      <c r="Q935" s="3">
        <f>'Historical Data'!AN932</f>
        <v/>
      </c>
      <c r="R935" s="3">
        <f>'Historical Data'!AC932</f>
        <v/>
      </c>
      <c r="S935" s="3">
        <f>'Historical Data'!AE932</f>
        <v/>
      </c>
      <c r="T935" s="3">
        <f>'Historical Data'!AH932</f>
        <v/>
      </c>
      <c r="U935" s="3">
        <f>'Historical Data'!BA932</f>
        <v/>
      </c>
      <c r="V935" s="3" t="n"/>
      <c r="W935" s="3" t="n"/>
      <c r="X935" s="3" t="n"/>
      <c r="Y935" s="3" t="n"/>
      <c r="Z935" s="3" t="n"/>
    </row>
    <row r="936" hidden="1" ht="15.75" customHeight="1" s="174">
      <c r="A936" s="3">
        <f>'Historical Data'!A933</f>
        <v/>
      </c>
      <c r="B936" s="3">
        <f>'Historical Data'!B933</f>
        <v/>
      </c>
      <c r="C936" s="3">
        <f>'Historical Data'!D933</f>
        <v/>
      </c>
      <c r="D936" s="23">
        <f>'Historical Data'!E933</f>
        <v/>
      </c>
      <c r="E936" s="3">
        <f>'Historical Data'!G933</f>
        <v/>
      </c>
      <c r="F936" s="3">
        <f>'Historical Data'!Y933</f>
        <v/>
      </c>
      <c r="G936" s="3">
        <f>'Historical Data'!K933</f>
        <v/>
      </c>
      <c r="H936" s="3">
        <f>'Historical Data'!L933</f>
        <v/>
      </c>
      <c r="I936" s="26">
        <f>'Historical Data'!M933</f>
        <v/>
      </c>
      <c r="J936" s="28">
        <f>'Historical Data'!N933</f>
        <v/>
      </c>
      <c r="K936" s="28">
        <f>'Historical Data'!Q933</f>
        <v/>
      </c>
      <c r="L936" s="30">
        <f>'Historical Data'!S933</f>
        <v/>
      </c>
      <c r="M936" s="28">
        <f>'Historical Data'!AJ933</f>
        <v/>
      </c>
      <c r="N936" s="28">
        <f>'Historical Data'!AK933</f>
        <v/>
      </c>
      <c r="O936" s="3">
        <f>'Historical Data'!AA933</f>
        <v/>
      </c>
      <c r="P936" s="3">
        <f>'Historical Data'!AB933</f>
        <v/>
      </c>
      <c r="Q936" s="3">
        <f>'Historical Data'!AN933</f>
        <v/>
      </c>
      <c r="R936" s="3">
        <f>'Historical Data'!AC933</f>
        <v/>
      </c>
      <c r="S936" s="3">
        <f>'Historical Data'!AE933</f>
        <v/>
      </c>
      <c r="T936" s="3">
        <f>'Historical Data'!AH933</f>
        <v/>
      </c>
      <c r="U936" s="3">
        <f>'Historical Data'!BA933</f>
        <v/>
      </c>
      <c r="V936" s="3" t="n"/>
      <c r="W936" s="3" t="n"/>
      <c r="X936" s="3" t="n"/>
      <c r="Y936" s="3" t="n"/>
      <c r="Z936" s="3" t="n"/>
    </row>
    <row r="937" hidden="1" ht="15.75" customHeight="1" s="174">
      <c r="A937" s="3">
        <f>'Historical Data'!A934</f>
        <v/>
      </c>
      <c r="B937" s="3">
        <f>'Historical Data'!B934</f>
        <v/>
      </c>
      <c r="C937" s="3">
        <f>'Historical Data'!D934</f>
        <v/>
      </c>
      <c r="D937" s="23">
        <f>'Historical Data'!E934</f>
        <v/>
      </c>
      <c r="E937" s="3">
        <f>'Historical Data'!G934</f>
        <v/>
      </c>
      <c r="F937" s="3">
        <f>'Historical Data'!Y934</f>
        <v/>
      </c>
      <c r="G937" s="3">
        <f>'Historical Data'!K934</f>
        <v/>
      </c>
      <c r="H937" s="3">
        <f>'Historical Data'!L934</f>
        <v/>
      </c>
      <c r="I937" s="26">
        <f>'Historical Data'!M934</f>
        <v/>
      </c>
      <c r="J937" s="28">
        <f>'Historical Data'!N934</f>
        <v/>
      </c>
      <c r="K937" s="28">
        <f>'Historical Data'!Q934</f>
        <v/>
      </c>
      <c r="L937" s="30">
        <f>'Historical Data'!S934</f>
        <v/>
      </c>
      <c r="M937" s="28">
        <f>'Historical Data'!AJ934</f>
        <v/>
      </c>
      <c r="N937" s="28">
        <f>'Historical Data'!AK934</f>
        <v/>
      </c>
      <c r="O937" s="3">
        <f>'Historical Data'!AA934</f>
        <v/>
      </c>
      <c r="P937" s="3">
        <f>'Historical Data'!AB934</f>
        <v/>
      </c>
      <c r="Q937" s="3">
        <f>'Historical Data'!AN934</f>
        <v/>
      </c>
      <c r="R937" s="3">
        <f>'Historical Data'!AC934</f>
        <v/>
      </c>
      <c r="S937" s="3">
        <f>'Historical Data'!AE934</f>
        <v/>
      </c>
      <c r="T937" s="3">
        <f>'Historical Data'!AH934</f>
        <v/>
      </c>
      <c r="U937" s="3">
        <f>'Historical Data'!BA934</f>
        <v/>
      </c>
      <c r="V937" s="3" t="n"/>
      <c r="W937" s="3" t="n"/>
      <c r="X937" s="3" t="n"/>
      <c r="Y937" s="3" t="n"/>
      <c r="Z937" s="3" t="n"/>
    </row>
    <row r="938" hidden="1" ht="15.75" customHeight="1" s="174">
      <c r="A938" s="3">
        <f>'Historical Data'!A935</f>
        <v/>
      </c>
      <c r="B938" s="3">
        <f>'Historical Data'!B935</f>
        <v/>
      </c>
      <c r="C938" s="3">
        <f>'Historical Data'!D935</f>
        <v/>
      </c>
      <c r="D938" s="23">
        <f>'Historical Data'!E935</f>
        <v/>
      </c>
      <c r="E938" s="3">
        <f>'Historical Data'!G935</f>
        <v/>
      </c>
      <c r="F938" s="3">
        <f>'Historical Data'!Y935</f>
        <v/>
      </c>
      <c r="G938" s="3">
        <f>'Historical Data'!K935</f>
        <v/>
      </c>
      <c r="H938" s="3">
        <f>'Historical Data'!L935</f>
        <v/>
      </c>
      <c r="I938" s="26">
        <f>'Historical Data'!M935</f>
        <v/>
      </c>
      <c r="J938" s="28">
        <f>'Historical Data'!N935</f>
        <v/>
      </c>
      <c r="K938" s="28">
        <f>'Historical Data'!Q935</f>
        <v/>
      </c>
      <c r="L938" s="30">
        <f>'Historical Data'!S935</f>
        <v/>
      </c>
      <c r="M938" s="28">
        <f>'Historical Data'!AJ935</f>
        <v/>
      </c>
      <c r="N938" s="28">
        <f>'Historical Data'!AK935</f>
        <v/>
      </c>
      <c r="O938" s="3">
        <f>'Historical Data'!AA935</f>
        <v/>
      </c>
      <c r="P938" s="3">
        <f>'Historical Data'!AB935</f>
        <v/>
      </c>
      <c r="Q938" s="3">
        <f>'Historical Data'!AN935</f>
        <v/>
      </c>
      <c r="R938" s="3">
        <f>'Historical Data'!AC935</f>
        <v/>
      </c>
      <c r="S938" s="3">
        <f>'Historical Data'!AE935</f>
        <v/>
      </c>
      <c r="T938" s="3">
        <f>'Historical Data'!AH935</f>
        <v/>
      </c>
      <c r="U938" s="3">
        <f>'Historical Data'!BA935</f>
        <v/>
      </c>
      <c r="V938" s="3" t="n"/>
      <c r="W938" s="3" t="n"/>
      <c r="X938" s="3" t="n"/>
      <c r="Y938" s="3" t="n"/>
      <c r="Z938" s="3" t="n"/>
    </row>
    <row r="939" hidden="1" ht="15.75" customHeight="1" s="174">
      <c r="A939" s="3">
        <f>'Historical Data'!A936</f>
        <v/>
      </c>
      <c r="B939" s="3">
        <f>'Historical Data'!B936</f>
        <v/>
      </c>
      <c r="C939" s="3">
        <f>'Historical Data'!D936</f>
        <v/>
      </c>
      <c r="D939" s="23">
        <f>'Historical Data'!E936</f>
        <v/>
      </c>
      <c r="E939" s="3">
        <f>'Historical Data'!G936</f>
        <v/>
      </c>
      <c r="F939" s="3">
        <f>'Historical Data'!Y936</f>
        <v/>
      </c>
      <c r="G939" s="3">
        <f>'Historical Data'!K936</f>
        <v/>
      </c>
      <c r="H939" s="3">
        <f>'Historical Data'!L936</f>
        <v/>
      </c>
      <c r="I939" s="26">
        <f>'Historical Data'!M936</f>
        <v/>
      </c>
      <c r="J939" s="28">
        <f>'Historical Data'!N936</f>
        <v/>
      </c>
      <c r="K939" s="28">
        <f>'Historical Data'!Q936</f>
        <v/>
      </c>
      <c r="L939" s="30">
        <f>'Historical Data'!S936</f>
        <v/>
      </c>
      <c r="M939" s="28">
        <f>'Historical Data'!AJ936</f>
        <v/>
      </c>
      <c r="N939" s="28">
        <f>'Historical Data'!AK936</f>
        <v/>
      </c>
      <c r="O939" s="3">
        <f>'Historical Data'!AA936</f>
        <v/>
      </c>
      <c r="P939" s="3">
        <f>'Historical Data'!AB936</f>
        <v/>
      </c>
      <c r="Q939" s="3">
        <f>'Historical Data'!AN936</f>
        <v/>
      </c>
      <c r="R939" s="3">
        <f>'Historical Data'!AC936</f>
        <v/>
      </c>
      <c r="S939" s="3">
        <f>'Historical Data'!AE936</f>
        <v/>
      </c>
      <c r="T939" s="3">
        <f>'Historical Data'!AH936</f>
        <v/>
      </c>
      <c r="U939" s="3">
        <f>'Historical Data'!BA936</f>
        <v/>
      </c>
      <c r="V939" s="3" t="n"/>
      <c r="W939" s="3" t="n"/>
      <c r="X939" s="3" t="n"/>
      <c r="Y939" s="3" t="n"/>
      <c r="Z939" s="3" t="n"/>
    </row>
    <row r="940" hidden="1" ht="15.75" customHeight="1" s="174">
      <c r="A940" s="3">
        <f>'Historical Data'!A937</f>
        <v/>
      </c>
      <c r="B940" s="3">
        <f>'Historical Data'!B937</f>
        <v/>
      </c>
      <c r="C940" s="3">
        <f>'Historical Data'!D937</f>
        <v/>
      </c>
      <c r="D940" s="23">
        <f>'Historical Data'!E937</f>
        <v/>
      </c>
      <c r="E940" s="3">
        <f>'Historical Data'!G937</f>
        <v/>
      </c>
      <c r="F940" s="3">
        <f>'Historical Data'!Y937</f>
        <v/>
      </c>
      <c r="G940" s="3">
        <f>'Historical Data'!K937</f>
        <v/>
      </c>
      <c r="H940" s="3">
        <f>'Historical Data'!L937</f>
        <v/>
      </c>
      <c r="I940" s="26">
        <f>'Historical Data'!M937</f>
        <v/>
      </c>
      <c r="J940" s="28">
        <f>'Historical Data'!N937</f>
        <v/>
      </c>
      <c r="K940" s="28">
        <f>'Historical Data'!Q937</f>
        <v/>
      </c>
      <c r="L940" s="30">
        <f>'Historical Data'!S937</f>
        <v/>
      </c>
      <c r="M940" s="28">
        <f>'Historical Data'!AJ937</f>
        <v/>
      </c>
      <c r="N940" s="28">
        <f>'Historical Data'!AK937</f>
        <v/>
      </c>
      <c r="O940" s="3">
        <f>'Historical Data'!AA937</f>
        <v/>
      </c>
      <c r="P940" s="3">
        <f>'Historical Data'!AB937</f>
        <v/>
      </c>
      <c r="Q940" s="3">
        <f>'Historical Data'!AN937</f>
        <v/>
      </c>
      <c r="R940" s="3">
        <f>'Historical Data'!AC937</f>
        <v/>
      </c>
      <c r="S940" s="3">
        <f>'Historical Data'!AE937</f>
        <v/>
      </c>
      <c r="T940" s="3">
        <f>'Historical Data'!AH937</f>
        <v/>
      </c>
      <c r="U940" s="3">
        <f>'Historical Data'!BA937</f>
        <v/>
      </c>
      <c r="V940" s="3" t="n"/>
      <c r="W940" s="3" t="n"/>
      <c r="X940" s="3" t="n"/>
      <c r="Y940" s="3" t="n"/>
      <c r="Z940" s="3" t="n"/>
    </row>
    <row r="941" hidden="1" ht="15.75" customHeight="1" s="174">
      <c r="A941" s="3">
        <f>'Historical Data'!A938</f>
        <v/>
      </c>
      <c r="B941" s="3">
        <f>'Historical Data'!B938</f>
        <v/>
      </c>
      <c r="C941" s="3">
        <f>'Historical Data'!D938</f>
        <v/>
      </c>
      <c r="D941" s="23">
        <f>'Historical Data'!E938</f>
        <v/>
      </c>
      <c r="E941" s="3">
        <f>'Historical Data'!G938</f>
        <v/>
      </c>
      <c r="F941" s="3">
        <f>'Historical Data'!Y938</f>
        <v/>
      </c>
      <c r="G941" s="3">
        <f>'Historical Data'!K938</f>
        <v/>
      </c>
      <c r="H941" s="3">
        <f>'Historical Data'!L938</f>
        <v/>
      </c>
      <c r="I941" s="26">
        <f>'Historical Data'!M938</f>
        <v/>
      </c>
      <c r="J941" s="28">
        <f>'Historical Data'!N938</f>
        <v/>
      </c>
      <c r="K941" s="28">
        <f>'Historical Data'!Q938</f>
        <v/>
      </c>
      <c r="L941" s="30">
        <f>'Historical Data'!S938</f>
        <v/>
      </c>
      <c r="M941" s="28">
        <f>'Historical Data'!AJ938</f>
        <v/>
      </c>
      <c r="N941" s="28">
        <f>'Historical Data'!AK938</f>
        <v/>
      </c>
      <c r="O941" s="3">
        <f>'Historical Data'!AA938</f>
        <v/>
      </c>
      <c r="P941" s="3">
        <f>'Historical Data'!AB938</f>
        <v/>
      </c>
      <c r="Q941" s="3">
        <f>'Historical Data'!AN938</f>
        <v/>
      </c>
      <c r="R941" s="3">
        <f>'Historical Data'!AC938</f>
        <v/>
      </c>
      <c r="S941" s="3">
        <f>'Historical Data'!AE938</f>
        <v/>
      </c>
      <c r="T941" s="3">
        <f>'Historical Data'!AH938</f>
        <v/>
      </c>
      <c r="U941" s="3">
        <f>'Historical Data'!BA938</f>
        <v/>
      </c>
      <c r="V941" s="3" t="n"/>
      <c r="W941" s="3" t="n"/>
      <c r="X941" s="3" t="n"/>
      <c r="Y941" s="3" t="n"/>
      <c r="Z941" s="3" t="n"/>
    </row>
    <row r="942" hidden="1" ht="15.75" customHeight="1" s="174">
      <c r="A942" s="3">
        <f>'Historical Data'!A939</f>
        <v/>
      </c>
      <c r="B942" s="3">
        <f>'Historical Data'!B939</f>
        <v/>
      </c>
      <c r="C942" s="3">
        <f>'Historical Data'!D939</f>
        <v/>
      </c>
      <c r="D942" s="23">
        <f>'Historical Data'!E939</f>
        <v/>
      </c>
      <c r="E942" s="3">
        <f>'Historical Data'!G939</f>
        <v/>
      </c>
      <c r="F942" s="3">
        <f>'Historical Data'!Y939</f>
        <v/>
      </c>
      <c r="G942" s="3">
        <f>'Historical Data'!K939</f>
        <v/>
      </c>
      <c r="H942" s="3">
        <f>'Historical Data'!L939</f>
        <v/>
      </c>
      <c r="I942" s="26">
        <f>'Historical Data'!M939</f>
        <v/>
      </c>
      <c r="J942" s="28">
        <f>'Historical Data'!N939</f>
        <v/>
      </c>
      <c r="K942" s="28">
        <f>'Historical Data'!Q939</f>
        <v/>
      </c>
      <c r="L942" s="30">
        <f>'Historical Data'!S939</f>
        <v/>
      </c>
      <c r="M942" s="28">
        <f>'Historical Data'!AJ939</f>
        <v/>
      </c>
      <c r="N942" s="28">
        <f>'Historical Data'!AK939</f>
        <v/>
      </c>
      <c r="O942" s="3">
        <f>'Historical Data'!AA939</f>
        <v/>
      </c>
      <c r="P942" s="3">
        <f>'Historical Data'!AB939</f>
        <v/>
      </c>
      <c r="Q942" s="3">
        <f>'Historical Data'!AN939</f>
        <v/>
      </c>
      <c r="R942" s="3">
        <f>'Historical Data'!AC939</f>
        <v/>
      </c>
      <c r="S942" s="3">
        <f>'Historical Data'!AE939</f>
        <v/>
      </c>
      <c r="T942" s="3">
        <f>'Historical Data'!AH939</f>
        <v/>
      </c>
      <c r="U942" s="3">
        <f>'Historical Data'!BA939</f>
        <v/>
      </c>
      <c r="V942" s="3" t="n"/>
      <c r="W942" s="3" t="n"/>
      <c r="X942" s="3" t="n"/>
      <c r="Y942" s="3" t="n"/>
      <c r="Z942" s="3" t="n"/>
    </row>
    <row r="943" hidden="1" ht="15.75" customHeight="1" s="174">
      <c r="A943" s="3">
        <f>'Historical Data'!A940</f>
        <v/>
      </c>
      <c r="B943" s="3">
        <f>'Historical Data'!B940</f>
        <v/>
      </c>
      <c r="C943" s="3">
        <f>'Historical Data'!D940</f>
        <v/>
      </c>
      <c r="D943" s="23">
        <f>'Historical Data'!E940</f>
        <v/>
      </c>
      <c r="E943" s="3">
        <f>'Historical Data'!G940</f>
        <v/>
      </c>
      <c r="F943" s="3">
        <f>'Historical Data'!Y940</f>
        <v/>
      </c>
      <c r="G943" s="3">
        <f>'Historical Data'!K940</f>
        <v/>
      </c>
      <c r="H943" s="3">
        <f>'Historical Data'!L940</f>
        <v/>
      </c>
      <c r="I943" s="26">
        <f>'Historical Data'!M940</f>
        <v/>
      </c>
      <c r="J943" s="28">
        <f>'Historical Data'!N940</f>
        <v/>
      </c>
      <c r="K943" s="28">
        <f>'Historical Data'!Q940</f>
        <v/>
      </c>
      <c r="L943" s="30">
        <f>'Historical Data'!S940</f>
        <v/>
      </c>
      <c r="M943" s="28">
        <f>'Historical Data'!AJ940</f>
        <v/>
      </c>
      <c r="N943" s="28">
        <f>'Historical Data'!AK940</f>
        <v/>
      </c>
      <c r="O943" s="3">
        <f>'Historical Data'!AA940</f>
        <v/>
      </c>
      <c r="P943" s="3">
        <f>'Historical Data'!AB940</f>
        <v/>
      </c>
      <c r="Q943" s="3">
        <f>'Historical Data'!AN940</f>
        <v/>
      </c>
      <c r="R943" s="3">
        <f>'Historical Data'!AC940</f>
        <v/>
      </c>
      <c r="S943" s="3">
        <f>'Historical Data'!AE940</f>
        <v/>
      </c>
      <c r="T943" s="3">
        <f>'Historical Data'!AH940</f>
        <v/>
      </c>
      <c r="U943" s="3">
        <f>'Historical Data'!BA940</f>
        <v/>
      </c>
      <c r="V943" s="3" t="n"/>
      <c r="W943" s="3" t="n"/>
      <c r="X943" s="3" t="n"/>
      <c r="Y943" s="3" t="n"/>
      <c r="Z943" s="3" t="n"/>
    </row>
    <row r="944" hidden="1" ht="15.75" customHeight="1" s="174">
      <c r="A944" s="3">
        <f>'Historical Data'!A941</f>
        <v/>
      </c>
      <c r="B944" s="3">
        <f>'Historical Data'!B941</f>
        <v/>
      </c>
      <c r="C944" s="3">
        <f>'Historical Data'!D941</f>
        <v/>
      </c>
      <c r="D944" s="23">
        <f>'Historical Data'!E941</f>
        <v/>
      </c>
      <c r="E944" s="3">
        <f>'Historical Data'!G941</f>
        <v/>
      </c>
      <c r="F944" s="3">
        <f>'Historical Data'!Y941</f>
        <v/>
      </c>
      <c r="G944" s="3">
        <f>'Historical Data'!K941</f>
        <v/>
      </c>
      <c r="H944" s="3">
        <f>'Historical Data'!L941</f>
        <v/>
      </c>
      <c r="I944" s="26">
        <f>'Historical Data'!M941</f>
        <v/>
      </c>
      <c r="J944" s="28">
        <f>'Historical Data'!N941</f>
        <v/>
      </c>
      <c r="K944" s="28">
        <f>'Historical Data'!Q941</f>
        <v/>
      </c>
      <c r="L944" s="30">
        <f>'Historical Data'!S941</f>
        <v/>
      </c>
      <c r="M944" s="28">
        <f>'Historical Data'!AJ941</f>
        <v/>
      </c>
      <c r="N944" s="28">
        <f>'Historical Data'!AK941</f>
        <v/>
      </c>
      <c r="O944" s="3">
        <f>'Historical Data'!AA941</f>
        <v/>
      </c>
      <c r="P944" s="3">
        <f>'Historical Data'!AB941</f>
        <v/>
      </c>
      <c r="Q944" s="3">
        <f>'Historical Data'!AN941</f>
        <v/>
      </c>
      <c r="R944" s="3">
        <f>'Historical Data'!AC941</f>
        <v/>
      </c>
      <c r="S944" s="3">
        <f>'Historical Data'!AE941</f>
        <v/>
      </c>
      <c r="T944" s="3">
        <f>'Historical Data'!AH941</f>
        <v/>
      </c>
      <c r="U944" s="3">
        <f>'Historical Data'!BA941</f>
        <v/>
      </c>
      <c r="V944" s="3" t="n"/>
      <c r="W944" s="3" t="n"/>
      <c r="X944" s="3" t="n"/>
      <c r="Y944" s="3" t="n"/>
      <c r="Z944" s="3" t="n"/>
    </row>
    <row r="945" hidden="1" ht="15.75" customHeight="1" s="174">
      <c r="A945" s="3">
        <f>'Historical Data'!A942</f>
        <v/>
      </c>
      <c r="B945" s="3">
        <f>'Historical Data'!B942</f>
        <v/>
      </c>
      <c r="C945" s="3">
        <f>'Historical Data'!D942</f>
        <v/>
      </c>
      <c r="D945" s="23">
        <f>'Historical Data'!E942</f>
        <v/>
      </c>
      <c r="E945" s="3">
        <f>'Historical Data'!G942</f>
        <v/>
      </c>
      <c r="F945" s="3">
        <f>'Historical Data'!Y942</f>
        <v/>
      </c>
      <c r="G945" s="3">
        <f>'Historical Data'!K942</f>
        <v/>
      </c>
      <c r="H945" s="3">
        <f>'Historical Data'!L942</f>
        <v/>
      </c>
      <c r="I945" s="26">
        <f>'Historical Data'!M942</f>
        <v/>
      </c>
      <c r="J945" s="28">
        <f>'Historical Data'!N942</f>
        <v/>
      </c>
      <c r="K945" s="28">
        <f>'Historical Data'!Q942</f>
        <v/>
      </c>
      <c r="L945" s="30">
        <f>'Historical Data'!S942</f>
        <v/>
      </c>
      <c r="M945" s="28">
        <f>'Historical Data'!AJ942</f>
        <v/>
      </c>
      <c r="N945" s="28">
        <f>'Historical Data'!AK942</f>
        <v/>
      </c>
      <c r="O945" s="3">
        <f>'Historical Data'!AA942</f>
        <v/>
      </c>
      <c r="P945" s="3">
        <f>'Historical Data'!AB942</f>
        <v/>
      </c>
      <c r="Q945" s="3">
        <f>'Historical Data'!AN942</f>
        <v/>
      </c>
      <c r="R945" s="3">
        <f>'Historical Data'!AC942</f>
        <v/>
      </c>
      <c r="S945" s="3">
        <f>'Historical Data'!AE942</f>
        <v/>
      </c>
      <c r="T945" s="3">
        <f>'Historical Data'!AH942</f>
        <v/>
      </c>
      <c r="U945" s="3">
        <f>'Historical Data'!BA942</f>
        <v/>
      </c>
      <c r="V945" s="3" t="n"/>
      <c r="W945" s="3" t="n"/>
      <c r="X945" s="3" t="n"/>
      <c r="Y945" s="3" t="n"/>
      <c r="Z945" s="3" t="n"/>
    </row>
    <row r="946" hidden="1" ht="15.75" customHeight="1" s="174">
      <c r="A946" s="3">
        <f>'Historical Data'!A943</f>
        <v/>
      </c>
      <c r="B946" s="3">
        <f>'Historical Data'!B943</f>
        <v/>
      </c>
      <c r="C946" s="3">
        <f>'Historical Data'!D943</f>
        <v/>
      </c>
      <c r="D946" s="23">
        <f>'Historical Data'!E943</f>
        <v/>
      </c>
      <c r="E946" s="3">
        <f>'Historical Data'!G943</f>
        <v/>
      </c>
      <c r="F946" s="3">
        <f>'Historical Data'!Y943</f>
        <v/>
      </c>
      <c r="G946" s="3">
        <f>'Historical Data'!K943</f>
        <v/>
      </c>
      <c r="H946" s="3">
        <f>'Historical Data'!L943</f>
        <v/>
      </c>
      <c r="I946" s="26">
        <f>'Historical Data'!M943</f>
        <v/>
      </c>
      <c r="J946" s="28">
        <f>'Historical Data'!N943</f>
        <v/>
      </c>
      <c r="K946" s="28">
        <f>'Historical Data'!Q943</f>
        <v/>
      </c>
      <c r="L946" s="30">
        <f>'Historical Data'!S943</f>
        <v/>
      </c>
      <c r="M946" s="28">
        <f>'Historical Data'!AJ943</f>
        <v/>
      </c>
      <c r="N946" s="28">
        <f>'Historical Data'!AK943</f>
        <v/>
      </c>
      <c r="O946" s="3">
        <f>'Historical Data'!AA943</f>
        <v/>
      </c>
      <c r="P946" s="3">
        <f>'Historical Data'!AB943</f>
        <v/>
      </c>
      <c r="Q946" s="3">
        <f>'Historical Data'!AN943</f>
        <v/>
      </c>
      <c r="R946" s="3">
        <f>'Historical Data'!AC943</f>
        <v/>
      </c>
      <c r="S946" s="3">
        <f>'Historical Data'!AE943</f>
        <v/>
      </c>
      <c r="T946" s="3">
        <f>'Historical Data'!AH943</f>
        <v/>
      </c>
      <c r="U946" s="3">
        <f>'Historical Data'!BA943</f>
        <v/>
      </c>
      <c r="V946" s="3" t="n"/>
      <c r="W946" s="3" t="n"/>
      <c r="X946" s="3" t="n"/>
      <c r="Y946" s="3" t="n"/>
      <c r="Z946" s="3" t="n"/>
    </row>
    <row r="947" hidden="1" ht="15.75" customHeight="1" s="174">
      <c r="A947" s="3">
        <f>'Historical Data'!A944</f>
        <v/>
      </c>
      <c r="B947" s="3">
        <f>'Historical Data'!B944</f>
        <v/>
      </c>
      <c r="C947" s="3">
        <f>'Historical Data'!D944</f>
        <v/>
      </c>
      <c r="D947" s="23">
        <f>'Historical Data'!E944</f>
        <v/>
      </c>
      <c r="E947" s="3">
        <f>'Historical Data'!G944</f>
        <v/>
      </c>
      <c r="F947" s="3">
        <f>'Historical Data'!Y944</f>
        <v/>
      </c>
      <c r="G947" s="3">
        <f>'Historical Data'!K944</f>
        <v/>
      </c>
      <c r="H947" s="3">
        <f>'Historical Data'!L944</f>
        <v/>
      </c>
      <c r="I947" s="26">
        <f>'Historical Data'!M944</f>
        <v/>
      </c>
      <c r="J947" s="28">
        <f>'Historical Data'!N944</f>
        <v/>
      </c>
      <c r="K947" s="28">
        <f>'Historical Data'!Q944</f>
        <v/>
      </c>
      <c r="L947" s="30">
        <f>'Historical Data'!S944</f>
        <v/>
      </c>
      <c r="M947" s="28">
        <f>'Historical Data'!AJ944</f>
        <v/>
      </c>
      <c r="N947" s="28">
        <f>'Historical Data'!AK944</f>
        <v/>
      </c>
      <c r="O947" s="3">
        <f>'Historical Data'!AA944</f>
        <v/>
      </c>
      <c r="P947" s="3">
        <f>'Historical Data'!AB944</f>
        <v/>
      </c>
      <c r="Q947" s="3">
        <f>'Historical Data'!AN944</f>
        <v/>
      </c>
      <c r="R947" s="3">
        <f>'Historical Data'!AC944</f>
        <v/>
      </c>
      <c r="S947" s="3">
        <f>'Historical Data'!AE944</f>
        <v/>
      </c>
      <c r="T947" s="3">
        <f>'Historical Data'!AH944</f>
        <v/>
      </c>
      <c r="U947" s="3">
        <f>'Historical Data'!BA944</f>
        <v/>
      </c>
      <c r="V947" s="3" t="n"/>
      <c r="W947" s="3" t="n"/>
      <c r="X947" s="3" t="n"/>
      <c r="Y947" s="3" t="n"/>
      <c r="Z947" s="3" t="n"/>
    </row>
    <row r="948" hidden="1" ht="15.75" customHeight="1" s="174">
      <c r="A948" s="3">
        <f>'Historical Data'!A945</f>
        <v/>
      </c>
      <c r="B948" s="3">
        <f>'Historical Data'!B945</f>
        <v/>
      </c>
      <c r="C948" s="3">
        <f>'Historical Data'!D945</f>
        <v/>
      </c>
      <c r="D948" s="23">
        <f>'Historical Data'!E945</f>
        <v/>
      </c>
      <c r="E948" s="3">
        <f>'Historical Data'!G945</f>
        <v/>
      </c>
      <c r="F948" s="3">
        <f>'Historical Data'!Y945</f>
        <v/>
      </c>
      <c r="G948" s="3">
        <f>'Historical Data'!K945</f>
        <v/>
      </c>
      <c r="H948" s="3">
        <f>'Historical Data'!L945</f>
        <v/>
      </c>
      <c r="I948" s="26">
        <f>'Historical Data'!M945</f>
        <v/>
      </c>
      <c r="J948" s="28">
        <f>'Historical Data'!N945</f>
        <v/>
      </c>
      <c r="K948" s="28">
        <f>'Historical Data'!Q945</f>
        <v/>
      </c>
      <c r="L948" s="30">
        <f>'Historical Data'!S945</f>
        <v/>
      </c>
      <c r="M948" s="28">
        <f>'Historical Data'!AJ945</f>
        <v/>
      </c>
      <c r="N948" s="28">
        <f>'Historical Data'!AK945</f>
        <v/>
      </c>
      <c r="O948" s="3">
        <f>'Historical Data'!AA945</f>
        <v/>
      </c>
      <c r="P948" s="3">
        <f>'Historical Data'!AB945</f>
        <v/>
      </c>
      <c r="Q948" s="3">
        <f>'Historical Data'!AN945</f>
        <v/>
      </c>
      <c r="R948" s="3">
        <f>'Historical Data'!AC945</f>
        <v/>
      </c>
      <c r="S948" s="3">
        <f>'Historical Data'!AE945</f>
        <v/>
      </c>
      <c r="T948" s="3">
        <f>'Historical Data'!AH945</f>
        <v/>
      </c>
      <c r="U948" s="3">
        <f>'Historical Data'!BA945</f>
        <v/>
      </c>
      <c r="V948" s="3" t="n"/>
      <c r="W948" s="3" t="n"/>
      <c r="X948" s="3" t="n"/>
      <c r="Y948" s="3" t="n"/>
      <c r="Z948" s="3" t="n"/>
    </row>
    <row r="949" hidden="1" ht="15.75" customHeight="1" s="174">
      <c r="A949" s="3">
        <f>'Historical Data'!A946</f>
        <v/>
      </c>
      <c r="B949" s="3">
        <f>'Historical Data'!B946</f>
        <v/>
      </c>
      <c r="C949" s="3">
        <f>'Historical Data'!D946</f>
        <v/>
      </c>
      <c r="D949" s="23">
        <f>'Historical Data'!E946</f>
        <v/>
      </c>
      <c r="E949" s="3">
        <f>'Historical Data'!G946</f>
        <v/>
      </c>
      <c r="F949" s="3">
        <f>'Historical Data'!Y946</f>
        <v/>
      </c>
      <c r="G949" s="3">
        <f>'Historical Data'!K946</f>
        <v/>
      </c>
      <c r="H949" s="3">
        <f>'Historical Data'!L946</f>
        <v/>
      </c>
      <c r="I949" s="26">
        <f>'Historical Data'!M946</f>
        <v/>
      </c>
      <c r="J949" s="28">
        <f>'Historical Data'!N946</f>
        <v/>
      </c>
      <c r="K949" s="28">
        <f>'Historical Data'!Q946</f>
        <v/>
      </c>
      <c r="L949" s="30">
        <f>'Historical Data'!S946</f>
        <v/>
      </c>
      <c r="M949" s="28">
        <f>'Historical Data'!AJ946</f>
        <v/>
      </c>
      <c r="N949" s="28">
        <f>'Historical Data'!AK946</f>
        <v/>
      </c>
      <c r="O949" s="3">
        <f>'Historical Data'!AA946</f>
        <v/>
      </c>
      <c r="P949" s="3">
        <f>'Historical Data'!AB946</f>
        <v/>
      </c>
      <c r="Q949" s="3">
        <f>'Historical Data'!AN946</f>
        <v/>
      </c>
      <c r="R949" s="3">
        <f>'Historical Data'!AC946</f>
        <v/>
      </c>
      <c r="S949" s="3">
        <f>'Historical Data'!AE946</f>
        <v/>
      </c>
      <c r="T949" s="3">
        <f>'Historical Data'!AH946</f>
        <v/>
      </c>
      <c r="U949" s="3">
        <f>'Historical Data'!BA946</f>
        <v/>
      </c>
      <c r="V949" s="3" t="n"/>
      <c r="W949" s="3" t="n"/>
      <c r="X949" s="3" t="n"/>
      <c r="Y949" s="3" t="n"/>
      <c r="Z949" s="3" t="n"/>
    </row>
    <row r="950" hidden="1" ht="15.75" customHeight="1" s="174">
      <c r="A950" s="3">
        <f>'Historical Data'!A947</f>
        <v/>
      </c>
      <c r="B950" s="3">
        <f>'Historical Data'!B947</f>
        <v/>
      </c>
      <c r="C950" s="3">
        <f>'Historical Data'!D947</f>
        <v/>
      </c>
      <c r="D950" s="23">
        <f>'Historical Data'!E947</f>
        <v/>
      </c>
      <c r="E950" s="3">
        <f>'Historical Data'!G947</f>
        <v/>
      </c>
      <c r="F950" s="3">
        <f>'Historical Data'!Y947</f>
        <v/>
      </c>
      <c r="G950" s="3">
        <f>'Historical Data'!K947</f>
        <v/>
      </c>
      <c r="H950" s="3">
        <f>'Historical Data'!L947</f>
        <v/>
      </c>
      <c r="I950" s="26">
        <f>'Historical Data'!M947</f>
        <v/>
      </c>
      <c r="J950" s="28">
        <f>'Historical Data'!N947</f>
        <v/>
      </c>
      <c r="K950" s="28">
        <f>'Historical Data'!Q947</f>
        <v/>
      </c>
      <c r="L950" s="30">
        <f>'Historical Data'!S947</f>
        <v/>
      </c>
      <c r="M950" s="28">
        <f>'Historical Data'!AJ947</f>
        <v/>
      </c>
      <c r="N950" s="28">
        <f>'Historical Data'!AK947</f>
        <v/>
      </c>
      <c r="O950" s="3">
        <f>'Historical Data'!AA947</f>
        <v/>
      </c>
      <c r="P950" s="3">
        <f>'Historical Data'!AB947</f>
        <v/>
      </c>
      <c r="Q950" s="3">
        <f>'Historical Data'!AN947</f>
        <v/>
      </c>
      <c r="R950" s="3">
        <f>'Historical Data'!AC947</f>
        <v/>
      </c>
      <c r="S950" s="3">
        <f>'Historical Data'!AE947</f>
        <v/>
      </c>
      <c r="T950" s="3">
        <f>'Historical Data'!AH947</f>
        <v/>
      </c>
      <c r="U950" s="3">
        <f>'Historical Data'!BA947</f>
        <v/>
      </c>
      <c r="V950" s="3" t="n"/>
      <c r="W950" s="3" t="n"/>
      <c r="X950" s="3" t="n"/>
      <c r="Y950" s="3" t="n"/>
      <c r="Z950" s="3" t="n"/>
    </row>
    <row r="951" hidden="1" ht="15.75" customHeight="1" s="174">
      <c r="A951" s="3">
        <f>'Historical Data'!A948</f>
        <v/>
      </c>
      <c r="B951" s="3">
        <f>'Historical Data'!B948</f>
        <v/>
      </c>
      <c r="C951" s="3">
        <f>'Historical Data'!D948</f>
        <v/>
      </c>
      <c r="D951" s="23">
        <f>'Historical Data'!E948</f>
        <v/>
      </c>
      <c r="E951" s="3">
        <f>'Historical Data'!G948</f>
        <v/>
      </c>
      <c r="F951" s="3">
        <f>'Historical Data'!Y948</f>
        <v/>
      </c>
      <c r="G951" s="3">
        <f>'Historical Data'!K948</f>
        <v/>
      </c>
      <c r="H951" s="3">
        <f>'Historical Data'!L948</f>
        <v/>
      </c>
      <c r="I951" s="26">
        <f>'Historical Data'!M948</f>
        <v/>
      </c>
      <c r="J951" s="28">
        <f>'Historical Data'!N948</f>
        <v/>
      </c>
      <c r="K951" s="28">
        <f>'Historical Data'!Q948</f>
        <v/>
      </c>
      <c r="L951" s="30">
        <f>'Historical Data'!S948</f>
        <v/>
      </c>
      <c r="M951" s="28">
        <f>'Historical Data'!AJ948</f>
        <v/>
      </c>
      <c r="N951" s="28">
        <f>'Historical Data'!AK948</f>
        <v/>
      </c>
      <c r="O951" s="3">
        <f>'Historical Data'!AA948</f>
        <v/>
      </c>
      <c r="P951" s="3">
        <f>'Historical Data'!AB948</f>
        <v/>
      </c>
      <c r="Q951" s="3">
        <f>'Historical Data'!AN948</f>
        <v/>
      </c>
      <c r="R951" s="3">
        <f>'Historical Data'!AC948</f>
        <v/>
      </c>
      <c r="S951" s="3">
        <f>'Historical Data'!AE948</f>
        <v/>
      </c>
      <c r="T951" s="3">
        <f>'Historical Data'!AH948</f>
        <v/>
      </c>
      <c r="U951" s="3">
        <f>'Historical Data'!BA948</f>
        <v/>
      </c>
      <c r="V951" s="3" t="n"/>
      <c r="W951" s="3" t="n"/>
      <c r="X951" s="3" t="n"/>
      <c r="Y951" s="3" t="n"/>
      <c r="Z951" s="3" t="n"/>
    </row>
    <row r="952" hidden="1" ht="15.75" customHeight="1" s="174">
      <c r="A952" s="3">
        <f>'Historical Data'!A949</f>
        <v/>
      </c>
      <c r="B952" s="3">
        <f>'Historical Data'!B949</f>
        <v/>
      </c>
      <c r="C952" s="3">
        <f>'Historical Data'!D949</f>
        <v/>
      </c>
      <c r="D952" s="23">
        <f>'Historical Data'!E949</f>
        <v/>
      </c>
      <c r="E952" s="3">
        <f>'Historical Data'!G949</f>
        <v/>
      </c>
      <c r="F952" s="3">
        <f>'Historical Data'!Y949</f>
        <v/>
      </c>
      <c r="G952" s="3">
        <f>'Historical Data'!K949</f>
        <v/>
      </c>
      <c r="H952" s="3">
        <f>'Historical Data'!L949</f>
        <v/>
      </c>
      <c r="I952" s="26">
        <f>'Historical Data'!M949</f>
        <v/>
      </c>
      <c r="J952" s="28">
        <f>'Historical Data'!N949</f>
        <v/>
      </c>
      <c r="K952" s="28">
        <f>'Historical Data'!Q949</f>
        <v/>
      </c>
      <c r="L952" s="30">
        <f>'Historical Data'!S949</f>
        <v/>
      </c>
      <c r="M952" s="28">
        <f>'Historical Data'!AJ949</f>
        <v/>
      </c>
      <c r="N952" s="28">
        <f>'Historical Data'!AK949</f>
        <v/>
      </c>
      <c r="O952" s="3">
        <f>'Historical Data'!AA949</f>
        <v/>
      </c>
      <c r="P952" s="3">
        <f>'Historical Data'!AB949</f>
        <v/>
      </c>
      <c r="Q952" s="3">
        <f>'Historical Data'!AN949</f>
        <v/>
      </c>
      <c r="R952" s="3">
        <f>'Historical Data'!AC949</f>
        <v/>
      </c>
      <c r="S952" s="3">
        <f>'Historical Data'!AE949</f>
        <v/>
      </c>
      <c r="T952" s="3">
        <f>'Historical Data'!AH949</f>
        <v/>
      </c>
      <c r="U952" s="3">
        <f>'Historical Data'!BA949</f>
        <v/>
      </c>
      <c r="V952" s="3" t="n"/>
      <c r="W952" s="3" t="n"/>
      <c r="X952" s="3" t="n"/>
      <c r="Y952" s="3" t="n"/>
      <c r="Z952" s="3" t="n"/>
    </row>
    <row r="953" hidden="1" ht="15.75" customHeight="1" s="174">
      <c r="A953" s="3">
        <f>'Historical Data'!A950</f>
        <v/>
      </c>
      <c r="B953" s="3">
        <f>'Historical Data'!B950</f>
        <v/>
      </c>
      <c r="C953" s="3">
        <f>'Historical Data'!D950</f>
        <v/>
      </c>
      <c r="D953" s="23">
        <f>'Historical Data'!E950</f>
        <v/>
      </c>
      <c r="E953" s="3">
        <f>'Historical Data'!G950</f>
        <v/>
      </c>
      <c r="F953" s="3">
        <f>'Historical Data'!Y950</f>
        <v/>
      </c>
      <c r="G953" s="3">
        <f>'Historical Data'!K950</f>
        <v/>
      </c>
      <c r="H953" s="3">
        <f>'Historical Data'!L950</f>
        <v/>
      </c>
      <c r="I953" s="26">
        <f>'Historical Data'!M950</f>
        <v/>
      </c>
      <c r="J953" s="28">
        <f>'Historical Data'!N950</f>
        <v/>
      </c>
      <c r="K953" s="28">
        <f>'Historical Data'!Q950</f>
        <v/>
      </c>
      <c r="L953" s="30">
        <f>'Historical Data'!S950</f>
        <v/>
      </c>
      <c r="M953" s="28">
        <f>'Historical Data'!AJ950</f>
        <v/>
      </c>
      <c r="N953" s="28">
        <f>'Historical Data'!AK950</f>
        <v/>
      </c>
      <c r="O953" s="3">
        <f>'Historical Data'!AA950</f>
        <v/>
      </c>
      <c r="P953" s="3">
        <f>'Historical Data'!AB950</f>
        <v/>
      </c>
      <c r="Q953" s="3">
        <f>'Historical Data'!AN950</f>
        <v/>
      </c>
      <c r="R953" s="3">
        <f>'Historical Data'!AC950</f>
        <v/>
      </c>
      <c r="S953" s="3">
        <f>'Historical Data'!AE950</f>
        <v/>
      </c>
      <c r="T953" s="3">
        <f>'Historical Data'!AH950</f>
        <v/>
      </c>
      <c r="U953" s="3">
        <f>'Historical Data'!BA950</f>
        <v/>
      </c>
      <c r="V953" s="3" t="n"/>
      <c r="W953" s="3" t="n"/>
      <c r="X953" s="3" t="n"/>
      <c r="Y953" s="3" t="n"/>
      <c r="Z953" s="3" t="n"/>
    </row>
    <row r="954" hidden="1" ht="15.75" customHeight="1" s="174">
      <c r="A954" s="3">
        <f>'Historical Data'!A951</f>
        <v/>
      </c>
      <c r="B954" s="3">
        <f>'Historical Data'!B951</f>
        <v/>
      </c>
      <c r="C954" s="3">
        <f>'Historical Data'!D951</f>
        <v/>
      </c>
      <c r="D954" s="23">
        <f>'Historical Data'!E951</f>
        <v/>
      </c>
      <c r="E954" s="3">
        <f>'Historical Data'!G951</f>
        <v/>
      </c>
      <c r="F954" s="3">
        <f>'Historical Data'!Y951</f>
        <v/>
      </c>
      <c r="G954" s="3">
        <f>'Historical Data'!K951</f>
        <v/>
      </c>
      <c r="H954" s="3">
        <f>'Historical Data'!L951</f>
        <v/>
      </c>
      <c r="I954" s="26">
        <f>'Historical Data'!M951</f>
        <v/>
      </c>
      <c r="J954" s="28">
        <f>'Historical Data'!N951</f>
        <v/>
      </c>
      <c r="K954" s="28">
        <f>'Historical Data'!Q951</f>
        <v/>
      </c>
      <c r="L954" s="30">
        <f>'Historical Data'!S951</f>
        <v/>
      </c>
      <c r="M954" s="28">
        <f>'Historical Data'!AJ951</f>
        <v/>
      </c>
      <c r="N954" s="28">
        <f>'Historical Data'!AK951</f>
        <v/>
      </c>
      <c r="O954" s="3">
        <f>'Historical Data'!AA951</f>
        <v/>
      </c>
      <c r="P954" s="3">
        <f>'Historical Data'!AB951</f>
        <v/>
      </c>
      <c r="Q954" s="3">
        <f>'Historical Data'!AN951</f>
        <v/>
      </c>
      <c r="R954" s="3">
        <f>'Historical Data'!AC951</f>
        <v/>
      </c>
      <c r="S954" s="3">
        <f>'Historical Data'!AE951</f>
        <v/>
      </c>
      <c r="T954" s="3">
        <f>'Historical Data'!AH951</f>
        <v/>
      </c>
      <c r="U954" s="3">
        <f>'Historical Data'!BA951</f>
        <v/>
      </c>
      <c r="V954" s="3" t="n"/>
      <c r="W954" s="3" t="n"/>
      <c r="X954" s="3" t="n"/>
      <c r="Y954" s="3" t="n"/>
      <c r="Z954" s="3" t="n"/>
    </row>
    <row r="955" hidden="1" ht="15.75" customHeight="1" s="174">
      <c r="A955" s="3">
        <f>'Historical Data'!A952</f>
        <v/>
      </c>
      <c r="B955" s="3">
        <f>'Historical Data'!B952</f>
        <v/>
      </c>
      <c r="C955" s="3">
        <f>'Historical Data'!D952</f>
        <v/>
      </c>
      <c r="D955" s="23">
        <f>'Historical Data'!E952</f>
        <v/>
      </c>
      <c r="E955" s="3">
        <f>'Historical Data'!G952</f>
        <v/>
      </c>
      <c r="F955" s="3">
        <f>'Historical Data'!Y952</f>
        <v/>
      </c>
      <c r="G955" s="3">
        <f>'Historical Data'!K952</f>
        <v/>
      </c>
      <c r="H955" s="3">
        <f>'Historical Data'!L952</f>
        <v/>
      </c>
      <c r="I955" s="26">
        <f>'Historical Data'!M952</f>
        <v/>
      </c>
      <c r="J955" s="28">
        <f>'Historical Data'!N952</f>
        <v/>
      </c>
      <c r="K955" s="28">
        <f>'Historical Data'!Q952</f>
        <v/>
      </c>
      <c r="L955" s="30">
        <f>'Historical Data'!S952</f>
        <v/>
      </c>
      <c r="M955" s="28">
        <f>'Historical Data'!AJ952</f>
        <v/>
      </c>
      <c r="N955" s="28">
        <f>'Historical Data'!AK952</f>
        <v/>
      </c>
      <c r="O955" s="3">
        <f>'Historical Data'!AA952</f>
        <v/>
      </c>
      <c r="P955" s="3">
        <f>'Historical Data'!AB952</f>
        <v/>
      </c>
      <c r="Q955" s="3">
        <f>'Historical Data'!AN952</f>
        <v/>
      </c>
      <c r="R955" s="3">
        <f>'Historical Data'!AC952</f>
        <v/>
      </c>
      <c r="S955" s="3">
        <f>'Historical Data'!AE952</f>
        <v/>
      </c>
      <c r="T955" s="3">
        <f>'Historical Data'!AH952</f>
        <v/>
      </c>
      <c r="U955" s="3">
        <f>'Historical Data'!BA952</f>
        <v/>
      </c>
      <c r="V955" s="3" t="n"/>
      <c r="W955" s="3" t="n"/>
      <c r="X955" s="3" t="n"/>
      <c r="Y955" s="3" t="n"/>
      <c r="Z955" s="3" t="n"/>
    </row>
    <row r="956" hidden="1" ht="15.75" customHeight="1" s="174">
      <c r="A956" s="3">
        <f>'Historical Data'!A953</f>
        <v/>
      </c>
      <c r="B956" s="3">
        <f>'Historical Data'!B953</f>
        <v/>
      </c>
      <c r="C956" s="3">
        <f>'Historical Data'!D953</f>
        <v/>
      </c>
      <c r="D956" s="23">
        <f>'Historical Data'!E953</f>
        <v/>
      </c>
      <c r="E956" s="3">
        <f>'Historical Data'!G953</f>
        <v/>
      </c>
      <c r="F956" s="3">
        <f>'Historical Data'!Y953</f>
        <v/>
      </c>
      <c r="G956" s="3">
        <f>'Historical Data'!K953</f>
        <v/>
      </c>
      <c r="H956" s="3">
        <f>'Historical Data'!L953</f>
        <v/>
      </c>
      <c r="I956" s="26">
        <f>'Historical Data'!M953</f>
        <v/>
      </c>
      <c r="J956" s="28">
        <f>'Historical Data'!N953</f>
        <v/>
      </c>
      <c r="K956" s="28">
        <f>'Historical Data'!Q953</f>
        <v/>
      </c>
      <c r="L956" s="30">
        <f>'Historical Data'!S953</f>
        <v/>
      </c>
      <c r="M956" s="28">
        <f>'Historical Data'!AJ953</f>
        <v/>
      </c>
      <c r="N956" s="28">
        <f>'Historical Data'!AK953</f>
        <v/>
      </c>
      <c r="O956" s="3">
        <f>'Historical Data'!AA953</f>
        <v/>
      </c>
      <c r="P956" s="3">
        <f>'Historical Data'!AB953</f>
        <v/>
      </c>
      <c r="Q956" s="3">
        <f>'Historical Data'!AN953</f>
        <v/>
      </c>
      <c r="R956" s="3">
        <f>'Historical Data'!AC953</f>
        <v/>
      </c>
      <c r="S956" s="3">
        <f>'Historical Data'!AE953</f>
        <v/>
      </c>
      <c r="T956" s="3">
        <f>'Historical Data'!AH953</f>
        <v/>
      </c>
      <c r="U956" s="3">
        <f>'Historical Data'!BA953</f>
        <v/>
      </c>
      <c r="V956" s="3" t="n"/>
      <c r="W956" s="3" t="n"/>
      <c r="X956" s="3" t="n"/>
      <c r="Y956" s="3" t="n"/>
      <c r="Z956" s="3" t="n"/>
    </row>
    <row r="957" hidden="1" ht="15.75" customHeight="1" s="174">
      <c r="A957" s="3">
        <f>'Historical Data'!A954</f>
        <v/>
      </c>
      <c r="B957" s="3">
        <f>'Historical Data'!B954</f>
        <v/>
      </c>
      <c r="C957" s="3">
        <f>'Historical Data'!D954</f>
        <v/>
      </c>
      <c r="D957" s="23">
        <f>'Historical Data'!E954</f>
        <v/>
      </c>
      <c r="E957" s="3">
        <f>'Historical Data'!G954</f>
        <v/>
      </c>
      <c r="F957" s="3">
        <f>'Historical Data'!Y954</f>
        <v/>
      </c>
      <c r="G957" s="3">
        <f>'Historical Data'!K954</f>
        <v/>
      </c>
      <c r="H957" s="3">
        <f>'Historical Data'!L954</f>
        <v/>
      </c>
      <c r="I957" s="26">
        <f>'Historical Data'!M954</f>
        <v/>
      </c>
      <c r="J957" s="28">
        <f>'Historical Data'!N954</f>
        <v/>
      </c>
      <c r="K957" s="28">
        <f>'Historical Data'!Q954</f>
        <v/>
      </c>
      <c r="L957" s="30">
        <f>'Historical Data'!S954</f>
        <v/>
      </c>
      <c r="M957" s="28">
        <f>'Historical Data'!AJ954</f>
        <v/>
      </c>
      <c r="N957" s="28">
        <f>'Historical Data'!AK954</f>
        <v/>
      </c>
      <c r="O957" s="3">
        <f>'Historical Data'!AA954</f>
        <v/>
      </c>
      <c r="P957" s="3">
        <f>'Historical Data'!AB954</f>
        <v/>
      </c>
      <c r="Q957" s="3">
        <f>'Historical Data'!AN954</f>
        <v/>
      </c>
      <c r="R957" s="3">
        <f>'Historical Data'!AC954</f>
        <v/>
      </c>
      <c r="S957" s="3">
        <f>'Historical Data'!AE954</f>
        <v/>
      </c>
      <c r="T957" s="3">
        <f>'Historical Data'!AH954</f>
        <v/>
      </c>
      <c r="U957" s="3">
        <f>'Historical Data'!BA954</f>
        <v/>
      </c>
      <c r="V957" s="3" t="n"/>
      <c r="W957" s="3" t="n"/>
      <c r="X957" s="3" t="n"/>
      <c r="Y957" s="3" t="n"/>
      <c r="Z957" s="3" t="n"/>
    </row>
    <row r="958" hidden="1" ht="15.75" customHeight="1" s="174">
      <c r="A958" s="3">
        <f>'Historical Data'!A955</f>
        <v/>
      </c>
      <c r="B958" s="3">
        <f>'Historical Data'!B955</f>
        <v/>
      </c>
      <c r="C958" s="3">
        <f>'Historical Data'!D955</f>
        <v/>
      </c>
      <c r="D958" s="23">
        <f>'Historical Data'!E955</f>
        <v/>
      </c>
      <c r="E958" s="3">
        <f>'Historical Data'!G955</f>
        <v/>
      </c>
      <c r="F958" s="3">
        <f>'Historical Data'!Y955</f>
        <v/>
      </c>
      <c r="G958" s="3">
        <f>'Historical Data'!K955</f>
        <v/>
      </c>
      <c r="H958" s="3">
        <f>'Historical Data'!L955</f>
        <v/>
      </c>
      <c r="I958" s="26">
        <f>'Historical Data'!M955</f>
        <v/>
      </c>
      <c r="J958" s="28">
        <f>'Historical Data'!N955</f>
        <v/>
      </c>
      <c r="K958" s="28">
        <f>'Historical Data'!Q955</f>
        <v/>
      </c>
      <c r="L958" s="30">
        <f>'Historical Data'!S955</f>
        <v/>
      </c>
      <c r="M958" s="28">
        <f>'Historical Data'!AJ955</f>
        <v/>
      </c>
      <c r="N958" s="28">
        <f>'Historical Data'!AK955</f>
        <v/>
      </c>
      <c r="O958" s="3">
        <f>'Historical Data'!AA955</f>
        <v/>
      </c>
      <c r="P958" s="3">
        <f>'Historical Data'!AB955</f>
        <v/>
      </c>
      <c r="Q958" s="3">
        <f>'Historical Data'!AN955</f>
        <v/>
      </c>
      <c r="R958" s="3">
        <f>'Historical Data'!AC955</f>
        <v/>
      </c>
      <c r="S958" s="3">
        <f>'Historical Data'!AE955</f>
        <v/>
      </c>
      <c r="T958" s="3">
        <f>'Historical Data'!AH955</f>
        <v/>
      </c>
      <c r="U958" s="3">
        <f>'Historical Data'!BA955</f>
        <v/>
      </c>
      <c r="V958" s="3" t="n"/>
      <c r="W958" s="3" t="n"/>
      <c r="X958" s="3" t="n"/>
      <c r="Y958" s="3" t="n"/>
      <c r="Z958" s="3" t="n"/>
    </row>
    <row r="959" hidden="1" ht="15.75" customHeight="1" s="174">
      <c r="A959" s="3">
        <f>'Historical Data'!A956</f>
        <v/>
      </c>
      <c r="B959" s="3">
        <f>'Historical Data'!B956</f>
        <v/>
      </c>
      <c r="C959" s="3">
        <f>'Historical Data'!D956</f>
        <v/>
      </c>
      <c r="D959" s="23">
        <f>'Historical Data'!E956</f>
        <v/>
      </c>
      <c r="E959" s="3">
        <f>'Historical Data'!G956</f>
        <v/>
      </c>
      <c r="F959" s="3">
        <f>'Historical Data'!Y956</f>
        <v/>
      </c>
      <c r="G959" s="3">
        <f>'Historical Data'!K956</f>
        <v/>
      </c>
      <c r="H959" s="3">
        <f>'Historical Data'!L956</f>
        <v/>
      </c>
      <c r="I959" s="26">
        <f>'Historical Data'!M956</f>
        <v/>
      </c>
      <c r="J959" s="28">
        <f>'Historical Data'!N956</f>
        <v/>
      </c>
      <c r="K959" s="28">
        <f>'Historical Data'!Q956</f>
        <v/>
      </c>
      <c r="L959" s="30">
        <f>'Historical Data'!S956</f>
        <v/>
      </c>
      <c r="M959" s="28">
        <f>'Historical Data'!AJ956</f>
        <v/>
      </c>
      <c r="N959" s="28">
        <f>'Historical Data'!AK956</f>
        <v/>
      </c>
      <c r="O959" s="3">
        <f>'Historical Data'!AA956</f>
        <v/>
      </c>
      <c r="P959" s="3">
        <f>'Historical Data'!AB956</f>
        <v/>
      </c>
      <c r="Q959" s="3">
        <f>'Historical Data'!AN956</f>
        <v/>
      </c>
      <c r="R959" s="3">
        <f>'Historical Data'!AC956</f>
        <v/>
      </c>
      <c r="S959" s="3">
        <f>'Historical Data'!AE956</f>
        <v/>
      </c>
      <c r="T959" s="3">
        <f>'Historical Data'!AH956</f>
        <v/>
      </c>
      <c r="U959" s="3">
        <f>'Historical Data'!BA956</f>
        <v/>
      </c>
      <c r="V959" s="3" t="n"/>
      <c r="W959" s="3" t="n"/>
      <c r="X959" s="3" t="n"/>
      <c r="Y959" s="3" t="n"/>
      <c r="Z959" s="3" t="n"/>
    </row>
    <row r="960" hidden="1" ht="15.75" customHeight="1" s="174">
      <c r="A960" s="3">
        <f>'Historical Data'!A957</f>
        <v/>
      </c>
      <c r="B960" s="3">
        <f>'Historical Data'!B957</f>
        <v/>
      </c>
      <c r="C960" s="3">
        <f>'Historical Data'!D957</f>
        <v/>
      </c>
      <c r="D960" s="23">
        <f>'Historical Data'!E957</f>
        <v/>
      </c>
      <c r="E960" s="3">
        <f>'Historical Data'!G957</f>
        <v/>
      </c>
      <c r="F960" s="3">
        <f>'Historical Data'!Y957</f>
        <v/>
      </c>
      <c r="G960" s="3">
        <f>'Historical Data'!K957</f>
        <v/>
      </c>
      <c r="H960" s="3">
        <f>'Historical Data'!L957</f>
        <v/>
      </c>
      <c r="I960" s="26">
        <f>'Historical Data'!M957</f>
        <v/>
      </c>
      <c r="J960" s="28">
        <f>'Historical Data'!N957</f>
        <v/>
      </c>
      <c r="K960" s="28">
        <f>'Historical Data'!Q957</f>
        <v/>
      </c>
      <c r="L960" s="30">
        <f>'Historical Data'!S957</f>
        <v/>
      </c>
      <c r="M960" s="28">
        <f>'Historical Data'!AJ957</f>
        <v/>
      </c>
      <c r="N960" s="28">
        <f>'Historical Data'!AK957</f>
        <v/>
      </c>
      <c r="O960" s="3">
        <f>'Historical Data'!AA957</f>
        <v/>
      </c>
      <c r="P960" s="3">
        <f>'Historical Data'!AB957</f>
        <v/>
      </c>
      <c r="Q960" s="3">
        <f>'Historical Data'!AN957</f>
        <v/>
      </c>
      <c r="R960" s="3">
        <f>'Historical Data'!AC957</f>
        <v/>
      </c>
      <c r="S960" s="3">
        <f>'Historical Data'!AE957</f>
        <v/>
      </c>
      <c r="T960" s="3">
        <f>'Historical Data'!AH957</f>
        <v/>
      </c>
      <c r="U960" s="3">
        <f>'Historical Data'!BA957</f>
        <v/>
      </c>
      <c r="V960" s="3" t="n"/>
      <c r="W960" s="3" t="n"/>
      <c r="X960" s="3" t="n"/>
      <c r="Y960" s="3" t="n"/>
      <c r="Z960" s="3" t="n"/>
    </row>
    <row r="961" ht="15.75" customHeight="1" s="174">
      <c r="A961" s="3">
        <f>'Historical Data'!A958</f>
        <v/>
      </c>
      <c r="B961" s="3">
        <f>'Historical Data'!B958</f>
        <v/>
      </c>
      <c r="C961" s="3">
        <f>'Historical Data'!D958</f>
        <v/>
      </c>
      <c r="D961" s="23">
        <f>'Historical Data'!E958</f>
        <v/>
      </c>
      <c r="E961" s="3">
        <f>'Historical Data'!G958</f>
        <v/>
      </c>
      <c r="F961" s="3">
        <f>'Historical Data'!Y958</f>
        <v/>
      </c>
      <c r="G961" s="3">
        <f>'Historical Data'!K958</f>
        <v/>
      </c>
      <c r="H961" s="3">
        <f>'Historical Data'!L958</f>
        <v/>
      </c>
      <c r="I961" s="26">
        <f>'Historical Data'!M958</f>
        <v/>
      </c>
      <c r="J961" s="28">
        <f>'Historical Data'!N958</f>
        <v/>
      </c>
      <c r="K961" s="28">
        <f>'Historical Data'!Q958</f>
        <v/>
      </c>
      <c r="L961" s="30">
        <f>'Historical Data'!S958</f>
        <v/>
      </c>
      <c r="M961" s="28">
        <f>'Historical Data'!AJ958</f>
        <v/>
      </c>
      <c r="N961" s="28">
        <f>'Historical Data'!AK958</f>
        <v/>
      </c>
      <c r="O961" s="3">
        <f>'Historical Data'!AA958</f>
        <v/>
      </c>
      <c r="P961" s="3">
        <f>'Historical Data'!AB958</f>
        <v/>
      </c>
      <c r="Q961" s="3">
        <f>'Historical Data'!AN958</f>
        <v/>
      </c>
      <c r="R961" s="3">
        <f>'Historical Data'!AC958</f>
        <v/>
      </c>
      <c r="S961" s="3">
        <f>'Historical Data'!AE958</f>
        <v/>
      </c>
      <c r="T961" s="3">
        <f>'Historical Data'!AH958</f>
        <v/>
      </c>
      <c r="U961" s="3">
        <f>'Historical Data'!BA958</f>
        <v/>
      </c>
      <c r="V961" s="3" t="n"/>
      <c r="W961" s="3" t="n"/>
      <c r="X961" s="3" t="n"/>
      <c r="Y961" s="3" t="n"/>
      <c r="Z961" s="3" t="n"/>
    </row>
    <row r="962" hidden="1" ht="15.75" customHeight="1" s="174">
      <c r="A962" s="3">
        <f>'Historical Data'!A959</f>
        <v/>
      </c>
      <c r="B962" s="3">
        <f>'Historical Data'!B959</f>
        <v/>
      </c>
      <c r="C962" s="3">
        <f>'Historical Data'!D959</f>
        <v/>
      </c>
      <c r="D962" s="23">
        <f>'Historical Data'!E959</f>
        <v/>
      </c>
      <c r="E962" s="3">
        <f>'Historical Data'!G959</f>
        <v/>
      </c>
      <c r="F962" s="3">
        <f>'Historical Data'!Y959</f>
        <v/>
      </c>
      <c r="G962" s="3">
        <f>'Historical Data'!K959</f>
        <v/>
      </c>
      <c r="H962" s="3">
        <f>'Historical Data'!L959</f>
        <v/>
      </c>
      <c r="I962" s="26">
        <f>'Historical Data'!M959</f>
        <v/>
      </c>
      <c r="J962" s="28">
        <f>'Historical Data'!N959</f>
        <v/>
      </c>
      <c r="K962" s="28">
        <f>'Historical Data'!Q959</f>
        <v/>
      </c>
      <c r="L962" s="30">
        <f>'Historical Data'!S959</f>
        <v/>
      </c>
      <c r="M962" s="28">
        <f>'Historical Data'!AJ959</f>
        <v/>
      </c>
      <c r="N962" s="28">
        <f>'Historical Data'!AK959</f>
        <v/>
      </c>
      <c r="O962" s="3">
        <f>'Historical Data'!AA959</f>
        <v/>
      </c>
      <c r="P962" s="3">
        <f>'Historical Data'!AB959</f>
        <v/>
      </c>
      <c r="Q962" s="3">
        <f>'Historical Data'!AN959</f>
        <v/>
      </c>
      <c r="R962" s="3">
        <f>'Historical Data'!AC959</f>
        <v/>
      </c>
      <c r="S962" s="3">
        <f>'Historical Data'!AE959</f>
        <v/>
      </c>
      <c r="T962" s="3">
        <f>'Historical Data'!AH959</f>
        <v/>
      </c>
      <c r="U962" s="3">
        <f>'Historical Data'!BA959</f>
        <v/>
      </c>
      <c r="V962" s="3" t="n"/>
      <c r="W962" s="3" t="n"/>
      <c r="X962" s="3" t="n"/>
      <c r="Y962" s="3" t="n"/>
      <c r="Z962" s="3" t="n"/>
    </row>
    <row r="963" hidden="1" ht="15.75" customHeight="1" s="174">
      <c r="A963" s="3">
        <f>'Historical Data'!A960</f>
        <v/>
      </c>
      <c r="B963" s="3">
        <f>'Historical Data'!B960</f>
        <v/>
      </c>
      <c r="C963" s="3">
        <f>'Historical Data'!D960</f>
        <v/>
      </c>
      <c r="D963" s="23">
        <f>'Historical Data'!E960</f>
        <v/>
      </c>
      <c r="E963" s="3">
        <f>'Historical Data'!G960</f>
        <v/>
      </c>
      <c r="F963" s="3">
        <f>'Historical Data'!Y960</f>
        <v/>
      </c>
      <c r="G963" s="3">
        <f>'Historical Data'!K960</f>
        <v/>
      </c>
      <c r="H963" s="3">
        <f>'Historical Data'!L960</f>
        <v/>
      </c>
      <c r="I963" s="26">
        <f>'Historical Data'!M960</f>
        <v/>
      </c>
      <c r="J963" s="28">
        <f>'Historical Data'!N960</f>
        <v/>
      </c>
      <c r="K963" s="28">
        <f>'Historical Data'!Q960</f>
        <v/>
      </c>
      <c r="L963" s="30">
        <f>'Historical Data'!S960</f>
        <v/>
      </c>
      <c r="M963" s="28">
        <f>'Historical Data'!AJ960</f>
        <v/>
      </c>
      <c r="N963" s="28">
        <f>'Historical Data'!AK960</f>
        <v/>
      </c>
      <c r="O963" s="3">
        <f>'Historical Data'!AA960</f>
        <v/>
      </c>
      <c r="P963" s="3">
        <f>'Historical Data'!AB960</f>
        <v/>
      </c>
      <c r="Q963" s="3">
        <f>'Historical Data'!AN960</f>
        <v/>
      </c>
      <c r="R963" s="3">
        <f>'Historical Data'!AC960</f>
        <v/>
      </c>
      <c r="S963" s="3">
        <f>'Historical Data'!AE960</f>
        <v/>
      </c>
      <c r="T963" s="3">
        <f>'Historical Data'!AH960</f>
        <v/>
      </c>
      <c r="U963" s="3">
        <f>'Historical Data'!BA960</f>
        <v/>
      </c>
      <c r="V963" s="3" t="n"/>
      <c r="W963" s="3" t="n"/>
      <c r="X963" s="3" t="n"/>
      <c r="Y963" s="3" t="n"/>
      <c r="Z963" s="3" t="n"/>
    </row>
    <row r="964" hidden="1" ht="15.75" customHeight="1" s="174">
      <c r="A964" s="3">
        <f>'Historical Data'!A961</f>
        <v/>
      </c>
      <c r="B964" s="3">
        <f>'Historical Data'!B961</f>
        <v/>
      </c>
      <c r="C964" s="3">
        <f>'Historical Data'!D961</f>
        <v/>
      </c>
      <c r="D964" s="23">
        <f>'Historical Data'!E961</f>
        <v/>
      </c>
      <c r="E964" s="3">
        <f>'Historical Data'!G961</f>
        <v/>
      </c>
      <c r="F964" s="3">
        <f>'Historical Data'!Y961</f>
        <v/>
      </c>
      <c r="G964" s="3">
        <f>'Historical Data'!K961</f>
        <v/>
      </c>
      <c r="H964" s="3">
        <f>'Historical Data'!L961</f>
        <v/>
      </c>
      <c r="I964" s="26">
        <f>'Historical Data'!M961</f>
        <v/>
      </c>
      <c r="J964" s="28">
        <f>'Historical Data'!N961</f>
        <v/>
      </c>
      <c r="K964" s="28">
        <f>'Historical Data'!Q961</f>
        <v/>
      </c>
      <c r="L964" s="30">
        <f>'Historical Data'!S961</f>
        <v/>
      </c>
      <c r="M964" s="28">
        <f>'Historical Data'!AJ961</f>
        <v/>
      </c>
      <c r="N964" s="28">
        <f>'Historical Data'!AK961</f>
        <v/>
      </c>
      <c r="O964" s="3">
        <f>'Historical Data'!AA961</f>
        <v/>
      </c>
      <c r="P964" s="3">
        <f>'Historical Data'!AB961</f>
        <v/>
      </c>
      <c r="Q964" s="3">
        <f>'Historical Data'!AN961</f>
        <v/>
      </c>
      <c r="R964" s="3">
        <f>'Historical Data'!AC961</f>
        <v/>
      </c>
      <c r="S964" s="3">
        <f>'Historical Data'!AE961</f>
        <v/>
      </c>
      <c r="T964" s="3">
        <f>'Historical Data'!AH961</f>
        <v/>
      </c>
      <c r="U964" s="3">
        <f>'Historical Data'!BA961</f>
        <v/>
      </c>
      <c r="V964" s="3" t="n"/>
      <c r="W964" s="3" t="n"/>
      <c r="X964" s="3" t="n"/>
      <c r="Y964" s="3" t="n"/>
      <c r="Z964" s="3" t="n"/>
    </row>
    <row r="965" hidden="1" ht="15.75" customHeight="1" s="174">
      <c r="A965" s="3">
        <f>'Historical Data'!A962</f>
        <v/>
      </c>
      <c r="B965" s="3">
        <f>'Historical Data'!B962</f>
        <v/>
      </c>
      <c r="C965" s="3">
        <f>'Historical Data'!D962</f>
        <v/>
      </c>
      <c r="D965" s="23">
        <f>'Historical Data'!E962</f>
        <v/>
      </c>
      <c r="E965" s="3">
        <f>'Historical Data'!G962</f>
        <v/>
      </c>
      <c r="F965" s="3">
        <f>'Historical Data'!Y962</f>
        <v/>
      </c>
      <c r="G965" s="3">
        <f>'Historical Data'!K962</f>
        <v/>
      </c>
      <c r="H965" s="3">
        <f>'Historical Data'!L962</f>
        <v/>
      </c>
      <c r="I965" s="26">
        <f>'Historical Data'!M962</f>
        <v/>
      </c>
      <c r="J965" s="28">
        <f>'Historical Data'!N962</f>
        <v/>
      </c>
      <c r="K965" s="28">
        <f>'Historical Data'!Q962</f>
        <v/>
      </c>
      <c r="L965" s="30">
        <f>'Historical Data'!S962</f>
        <v/>
      </c>
      <c r="M965" s="28">
        <f>'Historical Data'!AJ962</f>
        <v/>
      </c>
      <c r="N965" s="28">
        <f>'Historical Data'!AK962</f>
        <v/>
      </c>
      <c r="O965" s="3">
        <f>'Historical Data'!AA962</f>
        <v/>
      </c>
      <c r="P965" s="3">
        <f>'Historical Data'!AB962</f>
        <v/>
      </c>
      <c r="Q965" s="3">
        <f>'Historical Data'!AN962</f>
        <v/>
      </c>
      <c r="R965" s="3">
        <f>'Historical Data'!AC962</f>
        <v/>
      </c>
      <c r="S965" s="3">
        <f>'Historical Data'!AE962</f>
        <v/>
      </c>
      <c r="T965" s="3">
        <f>'Historical Data'!AH962</f>
        <v/>
      </c>
      <c r="U965" s="3">
        <f>'Historical Data'!BA962</f>
        <v/>
      </c>
      <c r="V965" s="3" t="n"/>
      <c r="W965" s="3" t="n"/>
      <c r="X965" s="3" t="n"/>
      <c r="Y965" s="3" t="n"/>
      <c r="Z965" s="3" t="n"/>
    </row>
    <row r="966" hidden="1" ht="15.75" customHeight="1" s="174">
      <c r="A966" s="3">
        <f>'Historical Data'!A963</f>
        <v/>
      </c>
      <c r="B966" s="3">
        <f>'Historical Data'!B963</f>
        <v/>
      </c>
      <c r="C966" s="3">
        <f>'Historical Data'!D963</f>
        <v/>
      </c>
      <c r="D966" s="23">
        <f>'Historical Data'!E963</f>
        <v/>
      </c>
      <c r="E966" s="3">
        <f>'Historical Data'!G963</f>
        <v/>
      </c>
      <c r="F966" s="3">
        <f>'Historical Data'!Y963</f>
        <v/>
      </c>
      <c r="G966" s="3">
        <f>'Historical Data'!K963</f>
        <v/>
      </c>
      <c r="H966" s="3">
        <f>'Historical Data'!L963</f>
        <v/>
      </c>
      <c r="I966" s="26">
        <f>'Historical Data'!M963</f>
        <v/>
      </c>
      <c r="J966" s="28">
        <f>'Historical Data'!N963</f>
        <v/>
      </c>
      <c r="K966" s="28">
        <f>'Historical Data'!Q963</f>
        <v/>
      </c>
      <c r="L966" s="30">
        <f>'Historical Data'!S963</f>
        <v/>
      </c>
      <c r="M966" s="28">
        <f>'Historical Data'!AJ963</f>
        <v/>
      </c>
      <c r="N966" s="28">
        <f>'Historical Data'!AK963</f>
        <v/>
      </c>
      <c r="O966" s="3">
        <f>'Historical Data'!AA963</f>
        <v/>
      </c>
      <c r="P966" s="3">
        <f>'Historical Data'!AB963</f>
        <v/>
      </c>
      <c r="Q966" s="3">
        <f>'Historical Data'!AN963</f>
        <v/>
      </c>
      <c r="R966" s="3">
        <f>'Historical Data'!AC963</f>
        <v/>
      </c>
      <c r="S966" s="3">
        <f>'Historical Data'!AE963</f>
        <v/>
      </c>
      <c r="T966" s="3">
        <f>'Historical Data'!AH963</f>
        <v/>
      </c>
      <c r="U966" s="3">
        <f>'Historical Data'!BA963</f>
        <v/>
      </c>
      <c r="V966" s="3" t="n"/>
      <c r="W966" s="3" t="n"/>
      <c r="X966" s="3" t="n"/>
      <c r="Y966" s="3" t="n"/>
      <c r="Z966" s="3" t="n"/>
    </row>
    <row r="967" hidden="1" ht="15.75" customHeight="1" s="174">
      <c r="A967" s="3">
        <f>'Historical Data'!A964</f>
        <v/>
      </c>
      <c r="B967" s="3">
        <f>'Historical Data'!B964</f>
        <v/>
      </c>
      <c r="C967" s="3">
        <f>'Historical Data'!D964</f>
        <v/>
      </c>
      <c r="D967" s="23">
        <f>'Historical Data'!E964</f>
        <v/>
      </c>
      <c r="E967" s="3">
        <f>'Historical Data'!G964</f>
        <v/>
      </c>
      <c r="F967" s="3">
        <f>'Historical Data'!Y964</f>
        <v/>
      </c>
      <c r="G967" s="3">
        <f>'Historical Data'!K964</f>
        <v/>
      </c>
      <c r="H967" s="3">
        <f>'Historical Data'!L964</f>
        <v/>
      </c>
      <c r="I967" s="26">
        <f>'Historical Data'!M964</f>
        <v/>
      </c>
      <c r="J967" s="28">
        <f>'Historical Data'!N964</f>
        <v/>
      </c>
      <c r="K967" s="28">
        <f>'Historical Data'!Q964</f>
        <v/>
      </c>
      <c r="L967" s="30">
        <f>'Historical Data'!S964</f>
        <v/>
      </c>
      <c r="M967" s="28">
        <f>'Historical Data'!AJ964</f>
        <v/>
      </c>
      <c r="N967" s="28">
        <f>'Historical Data'!AK964</f>
        <v/>
      </c>
      <c r="O967" s="3">
        <f>'Historical Data'!AA964</f>
        <v/>
      </c>
      <c r="P967" s="3">
        <f>'Historical Data'!AB964</f>
        <v/>
      </c>
      <c r="Q967" s="3">
        <f>'Historical Data'!AN964</f>
        <v/>
      </c>
      <c r="R967" s="3">
        <f>'Historical Data'!AC964</f>
        <v/>
      </c>
      <c r="S967" s="3">
        <f>'Historical Data'!AE964</f>
        <v/>
      </c>
      <c r="T967" s="3">
        <f>'Historical Data'!AH964</f>
        <v/>
      </c>
      <c r="U967" s="3">
        <f>'Historical Data'!BA964</f>
        <v/>
      </c>
      <c r="V967" s="3" t="n"/>
      <c r="W967" s="3" t="n"/>
      <c r="X967" s="3" t="n"/>
      <c r="Y967" s="3" t="n"/>
      <c r="Z967" s="3" t="n"/>
    </row>
    <row r="968" hidden="1" ht="15.75" customHeight="1" s="174">
      <c r="A968" s="3">
        <f>'Historical Data'!A965</f>
        <v/>
      </c>
      <c r="B968" s="3">
        <f>'Historical Data'!B965</f>
        <v/>
      </c>
      <c r="C968" s="3">
        <f>'Historical Data'!D965</f>
        <v/>
      </c>
      <c r="D968" s="23">
        <f>'Historical Data'!E965</f>
        <v/>
      </c>
      <c r="E968" s="3">
        <f>'Historical Data'!G965</f>
        <v/>
      </c>
      <c r="F968" s="3">
        <f>'Historical Data'!Y965</f>
        <v/>
      </c>
      <c r="G968" s="3">
        <f>'Historical Data'!K965</f>
        <v/>
      </c>
      <c r="H968" s="3">
        <f>'Historical Data'!L965</f>
        <v/>
      </c>
      <c r="I968" s="26">
        <f>'Historical Data'!M965</f>
        <v/>
      </c>
      <c r="J968" s="28">
        <f>'Historical Data'!N965</f>
        <v/>
      </c>
      <c r="K968" s="28">
        <f>'Historical Data'!Q965</f>
        <v/>
      </c>
      <c r="L968" s="30">
        <f>'Historical Data'!S965</f>
        <v/>
      </c>
      <c r="M968" s="28">
        <f>'Historical Data'!AJ965</f>
        <v/>
      </c>
      <c r="N968" s="28">
        <f>'Historical Data'!AK965</f>
        <v/>
      </c>
      <c r="O968" s="3">
        <f>'Historical Data'!AA965</f>
        <v/>
      </c>
      <c r="P968" s="3">
        <f>'Historical Data'!AB965</f>
        <v/>
      </c>
      <c r="Q968" s="3">
        <f>'Historical Data'!AN965</f>
        <v/>
      </c>
      <c r="R968" s="3">
        <f>'Historical Data'!AC965</f>
        <v/>
      </c>
      <c r="S968" s="3">
        <f>'Historical Data'!AE965</f>
        <v/>
      </c>
      <c r="T968" s="3">
        <f>'Historical Data'!AH965</f>
        <v/>
      </c>
      <c r="U968" s="3">
        <f>'Historical Data'!BA965</f>
        <v/>
      </c>
      <c r="V968" s="3" t="n"/>
      <c r="W968" s="3" t="n"/>
      <c r="X968" s="3" t="n"/>
      <c r="Y968" s="3" t="n"/>
      <c r="Z968" s="3" t="n"/>
    </row>
    <row r="969" hidden="1" ht="15.75" customHeight="1" s="174">
      <c r="A969" s="3">
        <f>'Historical Data'!A966</f>
        <v/>
      </c>
      <c r="B969" s="3">
        <f>'Historical Data'!B966</f>
        <v/>
      </c>
      <c r="C969" s="3">
        <f>'Historical Data'!D966</f>
        <v/>
      </c>
      <c r="D969" s="23">
        <f>'Historical Data'!E966</f>
        <v/>
      </c>
      <c r="E969" s="3">
        <f>'Historical Data'!G966</f>
        <v/>
      </c>
      <c r="F969" s="3">
        <f>'Historical Data'!Y966</f>
        <v/>
      </c>
      <c r="G969" s="3">
        <f>'Historical Data'!K966</f>
        <v/>
      </c>
      <c r="H969" s="3">
        <f>'Historical Data'!L966</f>
        <v/>
      </c>
      <c r="I969" s="26">
        <f>'Historical Data'!M966</f>
        <v/>
      </c>
      <c r="J969" s="28">
        <f>'Historical Data'!N966</f>
        <v/>
      </c>
      <c r="K969" s="28">
        <f>'Historical Data'!Q966</f>
        <v/>
      </c>
      <c r="L969" s="30">
        <f>'Historical Data'!S966</f>
        <v/>
      </c>
      <c r="M969" s="28">
        <f>'Historical Data'!AJ966</f>
        <v/>
      </c>
      <c r="N969" s="28">
        <f>'Historical Data'!AK966</f>
        <v/>
      </c>
      <c r="O969" s="3">
        <f>'Historical Data'!AA966</f>
        <v/>
      </c>
      <c r="P969" s="3">
        <f>'Historical Data'!AB966</f>
        <v/>
      </c>
      <c r="Q969" s="3">
        <f>'Historical Data'!AN966</f>
        <v/>
      </c>
      <c r="R969" s="3">
        <f>'Historical Data'!AC966</f>
        <v/>
      </c>
      <c r="S969" s="3">
        <f>'Historical Data'!AE966</f>
        <v/>
      </c>
      <c r="T969" s="3">
        <f>'Historical Data'!AH966</f>
        <v/>
      </c>
      <c r="U969" s="3">
        <f>'Historical Data'!BA966</f>
        <v/>
      </c>
      <c r="V969" s="3" t="n"/>
      <c r="W969" s="3" t="n"/>
      <c r="X969" s="3" t="n"/>
      <c r="Y969" s="3" t="n"/>
      <c r="Z969" s="3" t="n"/>
    </row>
    <row r="970" hidden="1" ht="15.75" customHeight="1" s="174">
      <c r="A970" s="3">
        <f>'Historical Data'!A967</f>
        <v/>
      </c>
      <c r="B970" s="3">
        <f>'Historical Data'!B967</f>
        <v/>
      </c>
      <c r="C970" s="3">
        <f>'Historical Data'!D967</f>
        <v/>
      </c>
      <c r="D970" s="23">
        <f>'Historical Data'!E967</f>
        <v/>
      </c>
      <c r="E970" s="3">
        <f>'Historical Data'!G967</f>
        <v/>
      </c>
      <c r="F970" s="3">
        <f>'Historical Data'!Y967</f>
        <v/>
      </c>
      <c r="G970" s="3">
        <f>'Historical Data'!K967</f>
        <v/>
      </c>
      <c r="H970" s="3">
        <f>'Historical Data'!L967</f>
        <v/>
      </c>
      <c r="I970" s="26">
        <f>'Historical Data'!M967</f>
        <v/>
      </c>
      <c r="J970" s="28">
        <f>'Historical Data'!N967</f>
        <v/>
      </c>
      <c r="K970" s="28">
        <f>'Historical Data'!Q967</f>
        <v/>
      </c>
      <c r="L970" s="30">
        <f>'Historical Data'!S967</f>
        <v/>
      </c>
      <c r="M970" s="28">
        <f>'Historical Data'!AJ967</f>
        <v/>
      </c>
      <c r="N970" s="28">
        <f>'Historical Data'!AK967</f>
        <v/>
      </c>
      <c r="O970" s="3">
        <f>'Historical Data'!AA967</f>
        <v/>
      </c>
      <c r="P970" s="3">
        <f>'Historical Data'!AB967</f>
        <v/>
      </c>
      <c r="Q970" s="3">
        <f>'Historical Data'!AN967</f>
        <v/>
      </c>
      <c r="R970" s="3">
        <f>'Historical Data'!AC967</f>
        <v/>
      </c>
      <c r="S970" s="3">
        <f>'Historical Data'!AE967</f>
        <v/>
      </c>
      <c r="T970" s="3">
        <f>'Historical Data'!AH967</f>
        <v/>
      </c>
      <c r="U970" s="3">
        <f>'Historical Data'!BA967</f>
        <v/>
      </c>
      <c r="V970" s="3" t="n"/>
      <c r="W970" s="3" t="n"/>
      <c r="X970" s="3" t="n"/>
      <c r="Y970" s="3" t="n"/>
      <c r="Z970" s="3" t="n"/>
    </row>
    <row r="971" hidden="1" ht="15.75" customHeight="1" s="174">
      <c r="A971" s="3">
        <f>'Historical Data'!A968</f>
        <v/>
      </c>
      <c r="B971" s="3">
        <f>'Historical Data'!B968</f>
        <v/>
      </c>
      <c r="C971" s="3">
        <f>'Historical Data'!D968</f>
        <v/>
      </c>
      <c r="D971" s="23">
        <f>'Historical Data'!E968</f>
        <v/>
      </c>
      <c r="E971" s="3">
        <f>'Historical Data'!G968</f>
        <v/>
      </c>
      <c r="F971" s="3">
        <f>'Historical Data'!Y968</f>
        <v/>
      </c>
      <c r="G971" s="3">
        <f>'Historical Data'!K968</f>
        <v/>
      </c>
      <c r="H971" s="3">
        <f>'Historical Data'!L968</f>
        <v/>
      </c>
      <c r="I971" s="26">
        <f>'Historical Data'!M968</f>
        <v/>
      </c>
      <c r="J971" s="28">
        <f>'Historical Data'!N968</f>
        <v/>
      </c>
      <c r="K971" s="28">
        <f>'Historical Data'!Q968</f>
        <v/>
      </c>
      <c r="L971" s="30">
        <f>'Historical Data'!S968</f>
        <v/>
      </c>
      <c r="M971" s="28">
        <f>'Historical Data'!AJ968</f>
        <v/>
      </c>
      <c r="N971" s="28">
        <f>'Historical Data'!AK968</f>
        <v/>
      </c>
      <c r="O971" s="3">
        <f>'Historical Data'!AA968</f>
        <v/>
      </c>
      <c r="P971" s="3">
        <f>'Historical Data'!AB968</f>
        <v/>
      </c>
      <c r="Q971" s="3">
        <f>'Historical Data'!AN968</f>
        <v/>
      </c>
      <c r="R971" s="3">
        <f>'Historical Data'!AC968</f>
        <v/>
      </c>
      <c r="S971" s="3">
        <f>'Historical Data'!AE968</f>
        <v/>
      </c>
      <c r="T971" s="3">
        <f>'Historical Data'!AH968</f>
        <v/>
      </c>
      <c r="U971" s="3">
        <f>'Historical Data'!BA968</f>
        <v/>
      </c>
      <c r="V971" s="3" t="n"/>
      <c r="W971" s="3" t="n"/>
      <c r="X971" s="3" t="n"/>
      <c r="Y971" s="3" t="n"/>
      <c r="Z971" s="3" t="n"/>
    </row>
    <row r="972" hidden="1" ht="15.75" customHeight="1" s="174">
      <c r="A972" s="3">
        <f>'Historical Data'!A969</f>
        <v/>
      </c>
      <c r="B972" s="3">
        <f>'Historical Data'!B969</f>
        <v/>
      </c>
      <c r="C972" s="3">
        <f>'Historical Data'!D969</f>
        <v/>
      </c>
      <c r="D972" s="23">
        <f>'Historical Data'!E969</f>
        <v/>
      </c>
      <c r="E972" s="3">
        <f>'Historical Data'!G969</f>
        <v/>
      </c>
      <c r="F972" s="3">
        <f>'Historical Data'!Y969</f>
        <v/>
      </c>
      <c r="G972" s="3">
        <f>'Historical Data'!K969</f>
        <v/>
      </c>
      <c r="H972" s="3">
        <f>'Historical Data'!L969</f>
        <v/>
      </c>
      <c r="I972" s="26">
        <f>'Historical Data'!M969</f>
        <v/>
      </c>
      <c r="J972" s="28">
        <f>'Historical Data'!N969</f>
        <v/>
      </c>
      <c r="K972" s="28">
        <f>'Historical Data'!Q969</f>
        <v/>
      </c>
      <c r="L972" s="30">
        <f>'Historical Data'!S969</f>
        <v/>
      </c>
      <c r="M972" s="28">
        <f>'Historical Data'!AJ969</f>
        <v/>
      </c>
      <c r="N972" s="28">
        <f>'Historical Data'!AK969</f>
        <v/>
      </c>
      <c r="O972" s="3">
        <f>'Historical Data'!AA969</f>
        <v/>
      </c>
      <c r="P972" s="3">
        <f>'Historical Data'!AB969</f>
        <v/>
      </c>
      <c r="Q972" s="3">
        <f>'Historical Data'!AN969</f>
        <v/>
      </c>
      <c r="R972" s="3">
        <f>'Historical Data'!AC969</f>
        <v/>
      </c>
      <c r="S972" s="3">
        <f>'Historical Data'!AE969</f>
        <v/>
      </c>
      <c r="T972" s="3">
        <f>'Historical Data'!AH969</f>
        <v/>
      </c>
      <c r="U972" s="3">
        <f>'Historical Data'!BA969</f>
        <v/>
      </c>
      <c r="V972" s="3" t="n"/>
      <c r="W972" s="3" t="n"/>
      <c r="X972" s="3" t="n"/>
      <c r="Y972" s="3" t="n"/>
      <c r="Z972" s="3" t="n"/>
    </row>
    <row r="973" hidden="1" ht="15.75" customHeight="1" s="174">
      <c r="A973" s="3">
        <f>'Historical Data'!A970</f>
        <v/>
      </c>
      <c r="B973" s="3">
        <f>'Historical Data'!B970</f>
        <v/>
      </c>
      <c r="C973" s="3">
        <f>'Historical Data'!D970</f>
        <v/>
      </c>
      <c r="D973" s="23">
        <f>'Historical Data'!E970</f>
        <v/>
      </c>
      <c r="E973" s="3">
        <f>'Historical Data'!G970</f>
        <v/>
      </c>
      <c r="F973" s="3">
        <f>'Historical Data'!Y970</f>
        <v/>
      </c>
      <c r="G973" s="3">
        <f>'Historical Data'!K970</f>
        <v/>
      </c>
      <c r="H973" s="3">
        <f>'Historical Data'!L970</f>
        <v/>
      </c>
      <c r="I973" s="26">
        <f>'Historical Data'!M970</f>
        <v/>
      </c>
      <c r="J973" s="28">
        <f>'Historical Data'!N970</f>
        <v/>
      </c>
      <c r="K973" s="28">
        <f>'Historical Data'!Q970</f>
        <v/>
      </c>
      <c r="L973" s="30">
        <f>'Historical Data'!S970</f>
        <v/>
      </c>
      <c r="M973" s="28">
        <f>'Historical Data'!AJ970</f>
        <v/>
      </c>
      <c r="N973" s="28">
        <f>'Historical Data'!AK970</f>
        <v/>
      </c>
      <c r="O973" s="3">
        <f>'Historical Data'!AA970</f>
        <v/>
      </c>
      <c r="P973" s="3">
        <f>'Historical Data'!AB970</f>
        <v/>
      </c>
      <c r="Q973" s="3">
        <f>'Historical Data'!AN970</f>
        <v/>
      </c>
      <c r="R973" s="3">
        <f>'Historical Data'!AC970</f>
        <v/>
      </c>
      <c r="S973" s="3">
        <f>'Historical Data'!AE970</f>
        <v/>
      </c>
      <c r="T973" s="3">
        <f>'Historical Data'!AH970</f>
        <v/>
      </c>
      <c r="U973" s="3">
        <f>'Historical Data'!BA970</f>
        <v/>
      </c>
      <c r="V973" s="3" t="n"/>
      <c r="W973" s="3" t="n"/>
      <c r="X973" s="3" t="n"/>
      <c r="Y973" s="3" t="n"/>
      <c r="Z973" s="3" t="n"/>
    </row>
    <row r="974" hidden="1" ht="15.75" customHeight="1" s="174">
      <c r="A974" s="3">
        <f>'Historical Data'!A971</f>
        <v/>
      </c>
      <c r="B974" s="3">
        <f>'Historical Data'!B971</f>
        <v/>
      </c>
      <c r="C974" s="3">
        <f>'Historical Data'!D971</f>
        <v/>
      </c>
      <c r="D974" s="23">
        <f>'Historical Data'!E971</f>
        <v/>
      </c>
      <c r="E974" s="3">
        <f>'Historical Data'!G971</f>
        <v/>
      </c>
      <c r="F974" s="3">
        <f>'Historical Data'!Y971</f>
        <v/>
      </c>
      <c r="G974" s="3">
        <f>'Historical Data'!K971</f>
        <v/>
      </c>
      <c r="H974" s="3">
        <f>'Historical Data'!L971</f>
        <v/>
      </c>
      <c r="I974" s="26">
        <f>'Historical Data'!M971</f>
        <v/>
      </c>
      <c r="J974" s="28">
        <f>'Historical Data'!N971</f>
        <v/>
      </c>
      <c r="K974" s="28">
        <f>'Historical Data'!Q971</f>
        <v/>
      </c>
      <c r="L974" s="30">
        <f>'Historical Data'!S971</f>
        <v/>
      </c>
      <c r="M974" s="28">
        <f>'Historical Data'!AJ971</f>
        <v/>
      </c>
      <c r="N974" s="28">
        <f>'Historical Data'!AK971</f>
        <v/>
      </c>
      <c r="O974" s="3">
        <f>'Historical Data'!AA971</f>
        <v/>
      </c>
      <c r="P974" s="3">
        <f>'Historical Data'!AB971</f>
        <v/>
      </c>
      <c r="Q974" s="3">
        <f>'Historical Data'!AN971</f>
        <v/>
      </c>
      <c r="R974" s="3">
        <f>'Historical Data'!AC971</f>
        <v/>
      </c>
      <c r="S974" s="3">
        <f>'Historical Data'!AE971</f>
        <v/>
      </c>
      <c r="T974" s="3">
        <f>'Historical Data'!AH971</f>
        <v/>
      </c>
      <c r="U974" s="3">
        <f>'Historical Data'!BA971</f>
        <v/>
      </c>
      <c r="V974" s="3" t="n"/>
      <c r="W974" s="3" t="n"/>
      <c r="X974" s="3" t="n"/>
      <c r="Y974" s="3" t="n"/>
      <c r="Z974" s="3" t="n"/>
    </row>
    <row r="975" hidden="1" ht="15.75" customHeight="1" s="174">
      <c r="A975" s="3">
        <f>'Historical Data'!A972</f>
        <v/>
      </c>
      <c r="B975" s="3">
        <f>'Historical Data'!B972</f>
        <v/>
      </c>
      <c r="C975" s="3">
        <f>'Historical Data'!D972</f>
        <v/>
      </c>
      <c r="D975" s="23">
        <f>'Historical Data'!E972</f>
        <v/>
      </c>
      <c r="E975" s="3">
        <f>'Historical Data'!G972</f>
        <v/>
      </c>
      <c r="F975" s="3">
        <f>'Historical Data'!Y972</f>
        <v/>
      </c>
      <c r="G975" s="3">
        <f>'Historical Data'!K972</f>
        <v/>
      </c>
      <c r="H975" s="3">
        <f>'Historical Data'!L972</f>
        <v/>
      </c>
      <c r="I975" s="26">
        <f>'Historical Data'!M972</f>
        <v/>
      </c>
      <c r="J975" s="28">
        <f>'Historical Data'!N972</f>
        <v/>
      </c>
      <c r="K975" s="28">
        <f>'Historical Data'!Q972</f>
        <v/>
      </c>
      <c r="L975" s="30">
        <f>'Historical Data'!S972</f>
        <v/>
      </c>
      <c r="M975" s="28">
        <f>'Historical Data'!AJ972</f>
        <v/>
      </c>
      <c r="N975" s="28">
        <f>'Historical Data'!AK972</f>
        <v/>
      </c>
      <c r="O975" s="3">
        <f>'Historical Data'!AA972</f>
        <v/>
      </c>
      <c r="P975" s="3">
        <f>'Historical Data'!AB972</f>
        <v/>
      </c>
      <c r="Q975" s="3">
        <f>'Historical Data'!AN972</f>
        <v/>
      </c>
      <c r="R975" s="3">
        <f>'Historical Data'!AC972</f>
        <v/>
      </c>
      <c r="S975" s="3">
        <f>'Historical Data'!AE972</f>
        <v/>
      </c>
      <c r="T975" s="3">
        <f>'Historical Data'!AH972</f>
        <v/>
      </c>
      <c r="U975" s="3">
        <f>'Historical Data'!BA972</f>
        <v/>
      </c>
      <c r="V975" s="3" t="n"/>
      <c r="W975" s="3" t="n"/>
      <c r="X975" s="3" t="n"/>
      <c r="Y975" s="3" t="n"/>
      <c r="Z975" s="3" t="n"/>
    </row>
    <row r="976" hidden="1" ht="15.75" customHeight="1" s="174">
      <c r="A976" s="3">
        <f>'Historical Data'!A973</f>
        <v/>
      </c>
      <c r="B976" s="3">
        <f>'Historical Data'!B973</f>
        <v/>
      </c>
      <c r="C976" s="3">
        <f>'Historical Data'!D973</f>
        <v/>
      </c>
      <c r="D976" s="23">
        <f>'Historical Data'!E973</f>
        <v/>
      </c>
      <c r="E976" s="3">
        <f>'Historical Data'!G973</f>
        <v/>
      </c>
      <c r="F976" s="3">
        <f>'Historical Data'!Y973</f>
        <v/>
      </c>
      <c r="G976" s="3">
        <f>'Historical Data'!K973</f>
        <v/>
      </c>
      <c r="H976" s="3">
        <f>'Historical Data'!L973</f>
        <v/>
      </c>
      <c r="I976" s="26">
        <f>'Historical Data'!M973</f>
        <v/>
      </c>
      <c r="J976" s="28">
        <f>'Historical Data'!N973</f>
        <v/>
      </c>
      <c r="K976" s="28">
        <f>'Historical Data'!Q973</f>
        <v/>
      </c>
      <c r="L976" s="30">
        <f>'Historical Data'!S973</f>
        <v/>
      </c>
      <c r="M976" s="28">
        <f>'Historical Data'!AJ973</f>
        <v/>
      </c>
      <c r="N976" s="28">
        <f>'Historical Data'!AK973</f>
        <v/>
      </c>
      <c r="O976" s="3">
        <f>'Historical Data'!AA973</f>
        <v/>
      </c>
      <c r="P976" s="3">
        <f>'Historical Data'!AB973</f>
        <v/>
      </c>
      <c r="Q976" s="3">
        <f>'Historical Data'!AN973</f>
        <v/>
      </c>
      <c r="R976" s="3">
        <f>'Historical Data'!AC973</f>
        <v/>
      </c>
      <c r="S976" s="3">
        <f>'Historical Data'!AE973</f>
        <v/>
      </c>
      <c r="T976" s="3">
        <f>'Historical Data'!AH973</f>
        <v/>
      </c>
      <c r="U976" s="3">
        <f>'Historical Data'!BA973</f>
        <v/>
      </c>
      <c r="V976" s="3" t="n"/>
      <c r="W976" s="3" t="n"/>
      <c r="X976" s="3" t="n"/>
      <c r="Y976" s="3" t="n"/>
      <c r="Z976" s="3" t="n"/>
    </row>
    <row r="977" hidden="1" ht="15.75" customHeight="1" s="174">
      <c r="A977" s="3">
        <f>'Historical Data'!A974</f>
        <v/>
      </c>
      <c r="B977" s="3">
        <f>'Historical Data'!B974</f>
        <v/>
      </c>
      <c r="C977" s="3">
        <f>'Historical Data'!D974</f>
        <v/>
      </c>
      <c r="D977" s="23">
        <f>'Historical Data'!E974</f>
        <v/>
      </c>
      <c r="E977" s="3">
        <f>'Historical Data'!G974</f>
        <v/>
      </c>
      <c r="F977" s="3">
        <f>'Historical Data'!Y974</f>
        <v/>
      </c>
      <c r="G977" s="3">
        <f>'Historical Data'!K974</f>
        <v/>
      </c>
      <c r="H977" s="3">
        <f>'Historical Data'!L974</f>
        <v/>
      </c>
      <c r="I977" s="26">
        <f>'Historical Data'!M974</f>
        <v/>
      </c>
      <c r="J977" s="28">
        <f>'Historical Data'!N974</f>
        <v/>
      </c>
      <c r="K977" s="28">
        <f>'Historical Data'!Q974</f>
        <v/>
      </c>
      <c r="L977" s="30">
        <f>'Historical Data'!S974</f>
        <v/>
      </c>
      <c r="M977" s="28">
        <f>'Historical Data'!AJ974</f>
        <v/>
      </c>
      <c r="N977" s="28">
        <f>'Historical Data'!AK974</f>
        <v/>
      </c>
      <c r="O977" s="3">
        <f>'Historical Data'!AA974</f>
        <v/>
      </c>
      <c r="P977" s="3">
        <f>'Historical Data'!AB974</f>
        <v/>
      </c>
      <c r="Q977" s="3">
        <f>'Historical Data'!AN974</f>
        <v/>
      </c>
      <c r="R977" s="3">
        <f>'Historical Data'!AC974</f>
        <v/>
      </c>
      <c r="S977" s="3">
        <f>'Historical Data'!AE974</f>
        <v/>
      </c>
      <c r="T977" s="3">
        <f>'Historical Data'!AH974</f>
        <v/>
      </c>
      <c r="U977" s="3">
        <f>'Historical Data'!BA974</f>
        <v/>
      </c>
      <c r="V977" s="3" t="n"/>
      <c r="W977" s="3" t="n"/>
      <c r="X977" s="3" t="n"/>
      <c r="Y977" s="3" t="n"/>
      <c r="Z977" s="3" t="n"/>
    </row>
    <row r="978" hidden="1" ht="15.75" customHeight="1" s="174">
      <c r="A978" s="3">
        <f>'Historical Data'!A975</f>
        <v/>
      </c>
      <c r="B978" s="3">
        <f>'Historical Data'!B975</f>
        <v/>
      </c>
      <c r="C978" s="3">
        <f>'Historical Data'!D975</f>
        <v/>
      </c>
      <c r="D978" s="23">
        <f>'Historical Data'!E975</f>
        <v/>
      </c>
      <c r="E978" s="3">
        <f>'Historical Data'!G975</f>
        <v/>
      </c>
      <c r="F978" s="3">
        <f>'Historical Data'!Y975</f>
        <v/>
      </c>
      <c r="G978" s="3">
        <f>'Historical Data'!K975</f>
        <v/>
      </c>
      <c r="H978" s="3">
        <f>'Historical Data'!L975</f>
        <v/>
      </c>
      <c r="I978" s="26">
        <f>'Historical Data'!M975</f>
        <v/>
      </c>
      <c r="J978" s="28">
        <f>'Historical Data'!N975</f>
        <v/>
      </c>
      <c r="K978" s="28">
        <f>'Historical Data'!Q975</f>
        <v/>
      </c>
      <c r="L978" s="30">
        <f>'Historical Data'!S975</f>
        <v/>
      </c>
      <c r="M978" s="28">
        <f>'Historical Data'!AJ975</f>
        <v/>
      </c>
      <c r="N978" s="28">
        <f>'Historical Data'!AK975</f>
        <v/>
      </c>
      <c r="O978" s="3">
        <f>'Historical Data'!AA975</f>
        <v/>
      </c>
      <c r="P978" s="3">
        <f>'Historical Data'!AB975</f>
        <v/>
      </c>
      <c r="Q978" s="3">
        <f>'Historical Data'!AN975</f>
        <v/>
      </c>
      <c r="R978" s="3">
        <f>'Historical Data'!AC975</f>
        <v/>
      </c>
      <c r="S978" s="3">
        <f>'Historical Data'!AE975</f>
        <v/>
      </c>
      <c r="T978" s="3">
        <f>'Historical Data'!AH975</f>
        <v/>
      </c>
      <c r="U978" s="3">
        <f>'Historical Data'!BA975</f>
        <v/>
      </c>
      <c r="V978" s="3" t="n"/>
      <c r="W978" s="3" t="n"/>
      <c r="X978" s="3" t="n"/>
      <c r="Y978" s="3" t="n"/>
      <c r="Z978" s="3" t="n"/>
    </row>
    <row r="979" hidden="1" ht="15.75" customHeight="1" s="174">
      <c r="A979" s="3">
        <f>'Historical Data'!A976</f>
        <v/>
      </c>
      <c r="B979" s="3">
        <f>'Historical Data'!B976</f>
        <v/>
      </c>
      <c r="C979" s="3">
        <f>'Historical Data'!D976</f>
        <v/>
      </c>
      <c r="D979" s="23">
        <f>'Historical Data'!E976</f>
        <v/>
      </c>
      <c r="E979" s="3">
        <f>'Historical Data'!G976</f>
        <v/>
      </c>
      <c r="F979" s="3">
        <f>'Historical Data'!Y976</f>
        <v/>
      </c>
      <c r="G979" s="3">
        <f>'Historical Data'!K976</f>
        <v/>
      </c>
      <c r="H979" s="3">
        <f>'Historical Data'!L976</f>
        <v/>
      </c>
      <c r="I979" s="26">
        <f>'Historical Data'!M976</f>
        <v/>
      </c>
      <c r="J979" s="28">
        <f>'Historical Data'!N976</f>
        <v/>
      </c>
      <c r="K979" s="28">
        <f>'Historical Data'!Q976</f>
        <v/>
      </c>
      <c r="L979" s="30">
        <f>'Historical Data'!S976</f>
        <v/>
      </c>
      <c r="M979" s="28">
        <f>'Historical Data'!AJ976</f>
        <v/>
      </c>
      <c r="N979" s="28">
        <f>'Historical Data'!AK976</f>
        <v/>
      </c>
      <c r="O979" s="3">
        <f>'Historical Data'!AA976</f>
        <v/>
      </c>
      <c r="P979" s="3">
        <f>'Historical Data'!AB976</f>
        <v/>
      </c>
      <c r="Q979" s="3">
        <f>'Historical Data'!AN976</f>
        <v/>
      </c>
      <c r="R979" s="3">
        <f>'Historical Data'!AC976</f>
        <v/>
      </c>
      <c r="S979" s="3">
        <f>'Historical Data'!AE976</f>
        <v/>
      </c>
      <c r="T979" s="3">
        <f>'Historical Data'!AH976</f>
        <v/>
      </c>
      <c r="U979" s="3">
        <f>'Historical Data'!BA976</f>
        <v/>
      </c>
      <c r="V979" s="3" t="n"/>
      <c r="W979" s="3" t="n"/>
      <c r="X979" s="3" t="n"/>
      <c r="Y979" s="3" t="n"/>
      <c r="Z979" s="3" t="n"/>
    </row>
    <row r="980" hidden="1" ht="15.75" customHeight="1" s="174">
      <c r="A980" s="3">
        <f>'Historical Data'!A977</f>
        <v/>
      </c>
      <c r="B980" s="3">
        <f>'Historical Data'!B977</f>
        <v/>
      </c>
      <c r="C980" s="3">
        <f>'Historical Data'!D977</f>
        <v/>
      </c>
      <c r="D980" s="23">
        <f>'Historical Data'!E977</f>
        <v/>
      </c>
      <c r="E980" s="3">
        <f>'Historical Data'!G977</f>
        <v/>
      </c>
      <c r="F980" s="3">
        <f>'Historical Data'!Y977</f>
        <v/>
      </c>
      <c r="G980" s="3">
        <f>'Historical Data'!K977</f>
        <v/>
      </c>
      <c r="H980" s="3">
        <f>'Historical Data'!L977</f>
        <v/>
      </c>
      <c r="I980" s="26">
        <f>'Historical Data'!M977</f>
        <v/>
      </c>
      <c r="J980" s="28">
        <f>'Historical Data'!N977</f>
        <v/>
      </c>
      <c r="K980" s="28">
        <f>'Historical Data'!Q977</f>
        <v/>
      </c>
      <c r="L980" s="30">
        <f>'Historical Data'!S977</f>
        <v/>
      </c>
      <c r="M980" s="28">
        <f>'Historical Data'!AJ977</f>
        <v/>
      </c>
      <c r="N980" s="28">
        <f>'Historical Data'!AK977</f>
        <v/>
      </c>
      <c r="O980" s="3">
        <f>'Historical Data'!AA977</f>
        <v/>
      </c>
      <c r="P980" s="3">
        <f>'Historical Data'!AB977</f>
        <v/>
      </c>
      <c r="Q980" s="3">
        <f>'Historical Data'!AN977</f>
        <v/>
      </c>
      <c r="R980" s="3">
        <f>'Historical Data'!AC977</f>
        <v/>
      </c>
      <c r="S980" s="3">
        <f>'Historical Data'!AE977</f>
        <v/>
      </c>
      <c r="T980" s="3">
        <f>'Historical Data'!AH977</f>
        <v/>
      </c>
      <c r="U980" s="3">
        <f>'Historical Data'!BA977</f>
        <v/>
      </c>
      <c r="V980" s="3" t="n"/>
      <c r="W980" s="3" t="n"/>
      <c r="X980" s="3" t="n"/>
      <c r="Y980" s="3" t="n"/>
      <c r="Z980" s="3" t="n"/>
    </row>
    <row r="981" hidden="1" ht="15.75" customHeight="1" s="174">
      <c r="A981" s="3">
        <f>'Historical Data'!A978</f>
        <v/>
      </c>
      <c r="B981" s="3">
        <f>'Historical Data'!B978</f>
        <v/>
      </c>
      <c r="C981" s="3">
        <f>'Historical Data'!D978</f>
        <v/>
      </c>
      <c r="D981" s="23">
        <f>'Historical Data'!E978</f>
        <v/>
      </c>
      <c r="E981" s="3">
        <f>'Historical Data'!G978</f>
        <v/>
      </c>
      <c r="F981" s="3">
        <f>'Historical Data'!Y978</f>
        <v/>
      </c>
      <c r="G981" s="3">
        <f>'Historical Data'!K978</f>
        <v/>
      </c>
      <c r="H981" s="3">
        <f>'Historical Data'!L978</f>
        <v/>
      </c>
      <c r="I981" s="26">
        <f>'Historical Data'!M978</f>
        <v/>
      </c>
      <c r="J981" s="28">
        <f>'Historical Data'!N978</f>
        <v/>
      </c>
      <c r="K981" s="28">
        <f>'Historical Data'!Q978</f>
        <v/>
      </c>
      <c r="L981" s="30">
        <f>'Historical Data'!S978</f>
        <v/>
      </c>
      <c r="M981" s="28">
        <f>'Historical Data'!AJ978</f>
        <v/>
      </c>
      <c r="N981" s="28">
        <f>'Historical Data'!AK978</f>
        <v/>
      </c>
      <c r="O981" s="3">
        <f>'Historical Data'!AA978</f>
        <v/>
      </c>
      <c r="P981" s="3">
        <f>'Historical Data'!AB978</f>
        <v/>
      </c>
      <c r="Q981" s="3">
        <f>'Historical Data'!AN978</f>
        <v/>
      </c>
      <c r="R981" s="3">
        <f>'Historical Data'!AC978</f>
        <v/>
      </c>
      <c r="S981" s="3">
        <f>'Historical Data'!AE978</f>
        <v/>
      </c>
      <c r="T981" s="3">
        <f>'Historical Data'!AH978</f>
        <v/>
      </c>
      <c r="U981" s="3">
        <f>'Historical Data'!BA978</f>
        <v/>
      </c>
      <c r="V981" s="3" t="n"/>
      <c r="W981" s="3" t="n"/>
      <c r="X981" s="3" t="n"/>
      <c r="Y981" s="3" t="n"/>
      <c r="Z981" s="3" t="n"/>
    </row>
    <row r="982" hidden="1" ht="15.75" customHeight="1" s="174">
      <c r="A982" s="3">
        <f>'Historical Data'!A979</f>
        <v/>
      </c>
      <c r="B982" s="3">
        <f>'Historical Data'!B979</f>
        <v/>
      </c>
      <c r="C982" s="3">
        <f>'Historical Data'!D979</f>
        <v/>
      </c>
      <c r="D982" s="23">
        <f>'Historical Data'!E979</f>
        <v/>
      </c>
      <c r="E982" s="3">
        <f>'Historical Data'!G979</f>
        <v/>
      </c>
      <c r="F982" s="3">
        <f>'Historical Data'!Y979</f>
        <v/>
      </c>
      <c r="G982" s="3">
        <f>'Historical Data'!K979</f>
        <v/>
      </c>
      <c r="H982" s="3">
        <f>'Historical Data'!L979</f>
        <v/>
      </c>
      <c r="I982" s="26">
        <f>'Historical Data'!M979</f>
        <v/>
      </c>
      <c r="J982" s="28">
        <f>'Historical Data'!N979</f>
        <v/>
      </c>
      <c r="K982" s="28">
        <f>'Historical Data'!Q979</f>
        <v/>
      </c>
      <c r="L982" s="30">
        <f>'Historical Data'!S979</f>
        <v/>
      </c>
      <c r="M982" s="28">
        <f>'Historical Data'!AJ979</f>
        <v/>
      </c>
      <c r="N982" s="28">
        <f>'Historical Data'!AK979</f>
        <v/>
      </c>
      <c r="O982" s="3">
        <f>'Historical Data'!AA979</f>
        <v/>
      </c>
      <c r="P982" s="3">
        <f>'Historical Data'!AB979</f>
        <v/>
      </c>
      <c r="Q982" s="3">
        <f>'Historical Data'!AN979</f>
        <v/>
      </c>
      <c r="R982" s="3">
        <f>'Historical Data'!AC979</f>
        <v/>
      </c>
      <c r="S982" s="3">
        <f>'Historical Data'!AE979</f>
        <v/>
      </c>
      <c r="T982" s="3">
        <f>'Historical Data'!AH979</f>
        <v/>
      </c>
      <c r="U982" s="3">
        <f>'Historical Data'!BA979</f>
        <v/>
      </c>
      <c r="V982" s="3" t="n"/>
      <c r="W982" s="3" t="n"/>
      <c r="X982" s="3" t="n"/>
      <c r="Y982" s="3" t="n"/>
      <c r="Z982" s="3" t="n"/>
    </row>
    <row r="983" hidden="1" ht="15.75" customHeight="1" s="174">
      <c r="A983" s="3">
        <f>'Historical Data'!A980</f>
        <v/>
      </c>
      <c r="B983" s="3">
        <f>'Historical Data'!B980</f>
        <v/>
      </c>
      <c r="C983" s="3">
        <f>'Historical Data'!D980</f>
        <v/>
      </c>
      <c r="D983" s="23">
        <f>'Historical Data'!E980</f>
        <v/>
      </c>
      <c r="E983" s="3">
        <f>'Historical Data'!G980</f>
        <v/>
      </c>
      <c r="F983" s="3">
        <f>'Historical Data'!Y980</f>
        <v/>
      </c>
      <c r="G983" s="3">
        <f>'Historical Data'!K980</f>
        <v/>
      </c>
      <c r="H983" s="3">
        <f>'Historical Data'!L980</f>
        <v/>
      </c>
      <c r="I983" s="26">
        <f>'Historical Data'!M980</f>
        <v/>
      </c>
      <c r="J983" s="28">
        <f>'Historical Data'!N980</f>
        <v/>
      </c>
      <c r="K983" s="28">
        <f>'Historical Data'!Q980</f>
        <v/>
      </c>
      <c r="L983" s="30">
        <f>'Historical Data'!S980</f>
        <v/>
      </c>
      <c r="M983" s="28">
        <f>'Historical Data'!AJ980</f>
        <v/>
      </c>
      <c r="N983" s="28">
        <f>'Historical Data'!AK980</f>
        <v/>
      </c>
      <c r="O983" s="3">
        <f>'Historical Data'!AA980</f>
        <v/>
      </c>
      <c r="P983" s="3">
        <f>'Historical Data'!AB980</f>
        <v/>
      </c>
      <c r="Q983" s="3">
        <f>'Historical Data'!AN980</f>
        <v/>
      </c>
      <c r="R983" s="3">
        <f>'Historical Data'!AC980</f>
        <v/>
      </c>
      <c r="S983" s="3">
        <f>'Historical Data'!AE980</f>
        <v/>
      </c>
      <c r="T983" s="3">
        <f>'Historical Data'!AH980</f>
        <v/>
      </c>
      <c r="U983" s="3">
        <f>'Historical Data'!BA980</f>
        <v/>
      </c>
      <c r="V983" s="3" t="n"/>
      <c r="W983" s="3" t="n"/>
      <c r="X983" s="3" t="n"/>
      <c r="Y983" s="3" t="n"/>
      <c r="Z983" s="3" t="n"/>
    </row>
    <row r="984" hidden="1" ht="15.75" customHeight="1" s="174">
      <c r="A984" s="3">
        <f>'Historical Data'!A981</f>
        <v/>
      </c>
      <c r="B984" s="3">
        <f>'Historical Data'!B981</f>
        <v/>
      </c>
      <c r="C984" s="3">
        <f>'Historical Data'!D981</f>
        <v/>
      </c>
      <c r="D984" s="23">
        <f>'Historical Data'!E981</f>
        <v/>
      </c>
      <c r="E984" s="3">
        <f>'Historical Data'!G981</f>
        <v/>
      </c>
      <c r="F984" s="3">
        <f>'Historical Data'!Y981</f>
        <v/>
      </c>
      <c r="G984" s="3">
        <f>'Historical Data'!K981</f>
        <v/>
      </c>
      <c r="H984" s="3">
        <f>'Historical Data'!L981</f>
        <v/>
      </c>
      <c r="I984" s="26">
        <f>'Historical Data'!M981</f>
        <v/>
      </c>
      <c r="J984" s="28">
        <f>'Historical Data'!N981</f>
        <v/>
      </c>
      <c r="K984" s="28">
        <f>'Historical Data'!Q981</f>
        <v/>
      </c>
      <c r="L984" s="30">
        <f>'Historical Data'!S981</f>
        <v/>
      </c>
      <c r="M984" s="28">
        <f>'Historical Data'!AJ981</f>
        <v/>
      </c>
      <c r="N984" s="28">
        <f>'Historical Data'!AK981</f>
        <v/>
      </c>
      <c r="O984" s="3">
        <f>'Historical Data'!AA981</f>
        <v/>
      </c>
      <c r="P984" s="3">
        <f>'Historical Data'!AB981</f>
        <v/>
      </c>
      <c r="Q984" s="3">
        <f>'Historical Data'!AN981</f>
        <v/>
      </c>
      <c r="R984" s="3">
        <f>'Historical Data'!AC981</f>
        <v/>
      </c>
      <c r="S984" s="3">
        <f>'Historical Data'!AE981</f>
        <v/>
      </c>
      <c r="T984" s="3">
        <f>'Historical Data'!AH981</f>
        <v/>
      </c>
      <c r="U984" s="3">
        <f>'Historical Data'!BA981</f>
        <v/>
      </c>
      <c r="V984" s="3" t="n"/>
      <c r="W984" s="3" t="n"/>
      <c r="X984" s="3" t="n"/>
      <c r="Y984" s="3" t="n"/>
      <c r="Z984" s="3" t="n"/>
    </row>
    <row r="985" hidden="1" ht="15.75" customHeight="1" s="174">
      <c r="A985" s="3">
        <f>'Historical Data'!A982</f>
        <v/>
      </c>
      <c r="B985" s="3">
        <f>'Historical Data'!B982</f>
        <v/>
      </c>
      <c r="C985" s="3">
        <f>'Historical Data'!D982</f>
        <v/>
      </c>
      <c r="D985" s="23">
        <f>'Historical Data'!E982</f>
        <v/>
      </c>
      <c r="E985" s="3">
        <f>'Historical Data'!G982</f>
        <v/>
      </c>
      <c r="F985" s="3">
        <f>'Historical Data'!Y982</f>
        <v/>
      </c>
      <c r="G985" s="3">
        <f>'Historical Data'!K982</f>
        <v/>
      </c>
      <c r="H985" s="3">
        <f>'Historical Data'!L982</f>
        <v/>
      </c>
      <c r="I985" s="26">
        <f>'Historical Data'!M982</f>
        <v/>
      </c>
      <c r="J985" s="28">
        <f>'Historical Data'!N982</f>
        <v/>
      </c>
      <c r="K985" s="28">
        <f>'Historical Data'!Q982</f>
        <v/>
      </c>
      <c r="L985" s="30">
        <f>'Historical Data'!S982</f>
        <v/>
      </c>
      <c r="M985" s="28">
        <f>'Historical Data'!AJ982</f>
        <v/>
      </c>
      <c r="N985" s="28">
        <f>'Historical Data'!AK982</f>
        <v/>
      </c>
      <c r="O985" s="3">
        <f>'Historical Data'!AA982</f>
        <v/>
      </c>
      <c r="P985" s="3">
        <f>'Historical Data'!AB982</f>
        <v/>
      </c>
      <c r="Q985" s="3">
        <f>'Historical Data'!AN982</f>
        <v/>
      </c>
      <c r="R985" s="3">
        <f>'Historical Data'!AC982</f>
        <v/>
      </c>
      <c r="S985" s="3">
        <f>'Historical Data'!AE982</f>
        <v/>
      </c>
      <c r="T985" s="3">
        <f>'Historical Data'!AH982</f>
        <v/>
      </c>
      <c r="U985" s="3">
        <f>'Historical Data'!BA982</f>
        <v/>
      </c>
      <c r="V985" s="3" t="n"/>
      <c r="W985" s="3" t="n"/>
      <c r="X985" s="3" t="n"/>
      <c r="Y985" s="3" t="n"/>
      <c r="Z985" s="3" t="n"/>
    </row>
    <row r="986" hidden="1" ht="15.75" customHeight="1" s="174">
      <c r="A986" s="3">
        <f>'Historical Data'!A983</f>
        <v/>
      </c>
      <c r="B986" s="3">
        <f>'Historical Data'!B983</f>
        <v/>
      </c>
      <c r="C986" s="3">
        <f>'Historical Data'!D983</f>
        <v/>
      </c>
      <c r="D986" s="23">
        <f>'Historical Data'!E983</f>
        <v/>
      </c>
      <c r="E986" s="3">
        <f>'Historical Data'!G983</f>
        <v/>
      </c>
      <c r="F986" s="3">
        <f>'Historical Data'!Y983</f>
        <v/>
      </c>
      <c r="G986" s="3">
        <f>'Historical Data'!K983</f>
        <v/>
      </c>
      <c r="H986" s="3">
        <f>'Historical Data'!L983</f>
        <v/>
      </c>
      <c r="I986" s="26">
        <f>'Historical Data'!M983</f>
        <v/>
      </c>
      <c r="J986" s="28">
        <f>'Historical Data'!N983</f>
        <v/>
      </c>
      <c r="K986" s="28">
        <f>'Historical Data'!Q983</f>
        <v/>
      </c>
      <c r="L986" s="30">
        <f>'Historical Data'!S983</f>
        <v/>
      </c>
      <c r="M986" s="28">
        <f>'Historical Data'!AJ983</f>
        <v/>
      </c>
      <c r="N986" s="28">
        <f>'Historical Data'!AK983</f>
        <v/>
      </c>
      <c r="O986" s="3">
        <f>'Historical Data'!AA983</f>
        <v/>
      </c>
      <c r="P986" s="3">
        <f>'Historical Data'!AB983</f>
        <v/>
      </c>
      <c r="Q986" s="3">
        <f>'Historical Data'!AN983</f>
        <v/>
      </c>
      <c r="R986" s="3">
        <f>'Historical Data'!AC983</f>
        <v/>
      </c>
      <c r="S986" s="3">
        <f>'Historical Data'!AE983</f>
        <v/>
      </c>
      <c r="T986" s="3">
        <f>'Historical Data'!AH983</f>
        <v/>
      </c>
      <c r="U986" s="3">
        <f>'Historical Data'!BA983</f>
        <v/>
      </c>
      <c r="V986" s="3" t="n"/>
      <c r="W986" s="3" t="n"/>
      <c r="X986" s="3" t="n"/>
      <c r="Y986" s="3" t="n"/>
      <c r="Z986" s="3" t="n"/>
    </row>
    <row r="987" hidden="1" ht="15.75" customHeight="1" s="174">
      <c r="A987" s="3">
        <f>'Historical Data'!A984</f>
        <v/>
      </c>
      <c r="B987" s="3">
        <f>'Historical Data'!B984</f>
        <v/>
      </c>
      <c r="C987" s="3">
        <f>'Historical Data'!D984</f>
        <v/>
      </c>
      <c r="D987" s="23">
        <f>'Historical Data'!E984</f>
        <v/>
      </c>
      <c r="E987" s="3">
        <f>'Historical Data'!G984</f>
        <v/>
      </c>
      <c r="F987" s="3">
        <f>'Historical Data'!Y984</f>
        <v/>
      </c>
      <c r="G987" s="3">
        <f>'Historical Data'!K984</f>
        <v/>
      </c>
      <c r="H987" s="3">
        <f>'Historical Data'!L984</f>
        <v/>
      </c>
      <c r="I987" s="26">
        <f>'Historical Data'!M984</f>
        <v/>
      </c>
      <c r="J987" s="28">
        <f>'Historical Data'!N984</f>
        <v/>
      </c>
      <c r="K987" s="28">
        <f>'Historical Data'!Q984</f>
        <v/>
      </c>
      <c r="L987" s="30">
        <f>'Historical Data'!S984</f>
        <v/>
      </c>
      <c r="M987" s="28">
        <f>'Historical Data'!AJ984</f>
        <v/>
      </c>
      <c r="N987" s="28">
        <f>'Historical Data'!AK984</f>
        <v/>
      </c>
      <c r="O987" s="3">
        <f>'Historical Data'!AA984</f>
        <v/>
      </c>
      <c r="P987" s="3">
        <f>'Historical Data'!AB984</f>
        <v/>
      </c>
      <c r="Q987" s="3">
        <f>'Historical Data'!AN984</f>
        <v/>
      </c>
      <c r="R987" s="3">
        <f>'Historical Data'!AC984</f>
        <v/>
      </c>
      <c r="S987" s="3">
        <f>'Historical Data'!AE984</f>
        <v/>
      </c>
      <c r="T987" s="3">
        <f>'Historical Data'!AH984</f>
        <v/>
      </c>
      <c r="U987" s="3">
        <f>'Historical Data'!BA984</f>
        <v/>
      </c>
      <c r="V987" s="3" t="n"/>
      <c r="W987" s="3" t="n"/>
      <c r="X987" s="3" t="n"/>
      <c r="Y987" s="3" t="n"/>
      <c r="Z987" s="3" t="n"/>
    </row>
    <row r="988" hidden="1" ht="15.75" customHeight="1" s="174">
      <c r="A988" s="3">
        <f>'Historical Data'!A985</f>
        <v/>
      </c>
      <c r="B988" s="3">
        <f>'Historical Data'!B985</f>
        <v/>
      </c>
      <c r="C988" s="3">
        <f>'Historical Data'!D985</f>
        <v/>
      </c>
      <c r="D988" s="23">
        <f>'Historical Data'!E985</f>
        <v/>
      </c>
      <c r="E988" s="3">
        <f>'Historical Data'!G985</f>
        <v/>
      </c>
      <c r="F988" s="3">
        <f>'Historical Data'!Y985</f>
        <v/>
      </c>
      <c r="G988" s="3">
        <f>'Historical Data'!K985</f>
        <v/>
      </c>
      <c r="H988" s="3">
        <f>'Historical Data'!L985</f>
        <v/>
      </c>
      <c r="I988" s="26">
        <f>'Historical Data'!M985</f>
        <v/>
      </c>
      <c r="J988" s="28">
        <f>'Historical Data'!N985</f>
        <v/>
      </c>
      <c r="K988" s="28">
        <f>'Historical Data'!Q985</f>
        <v/>
      </c>
      <c r="L988" s="30">
        <f>'Historical Data'!S985</f>
        <v/>
      </c>
      <c r="M988" s="28">
        <f>'Historical Data'!AJ985</f>
        <v/>
      </c>
      <c r="N988" s="28">
        <f>'Historical Data'!AK985</f>
        <v/>
      </c>
      <c r="O988" s="3">
        <f>'Historical Data'!AA985</f>
        <v/>
      </c>
      <c r="P988" s="3">
        <f>'Historical Data'!AB985</f>
        <v/>
      </c>
      <c r="Q988" s="3">
        <f>'Historical Data'!AN985</f>
        <v/>
      </c>
      <c r="R988" s="3">
        <f>'Historical Data'!AC985</f>
        <v/>
      </c>
      <c r="S988" s="3">
        <f>'Historical Data'!AE985</f>
        <v/>
      </c>
      <c r="T988" s="3">
        <f>'Historical Data'!AH985</f>
        <v/>
      </c>
      <c r="U988" s="3">
        <f>'Historical Data'!BA985</f>
        <v/>
      </c>
      <c r="V988" s="3" t="n"/>
      <c r="W988" s="3" t="n"/>
      <c r="X988" s="3" t="n"/>
      <c r="Y988" s="3" t="n"/>
      <c r="Z988" s="3" t="n"/>
    </row>
    <row r="989" hidden="1" ht="15.75" customHeight="1" s="174">
      <c r="A989" s="3">
        <f>'Historical Data'!A986</f>
        <v/>
      </c>
      <c r="B989" s="3">
        <f>'Historical Data'!B986</f>
        <v/>
      </c>
      <c r="C989" s="3">
        <f>'Historical Data'!D986</f>
        <v/>
      </c>
      <c r="D989" s="23">
        <f>'Historical Data'!E986</f>
        <v/>
      </c>
      <c r="E989" s="3">
        <f>'Historical Data'!G986</f>
        <v/>
      </c>
      <c r="F989" s="3">
        <f>'Historical Data'!Y986</f>
        <v/>
      </c>
      <c r="G989" s="3">
        <f>'Historical Data'!K986</f>
        <v/>
      </c>
      <c r="H989" s="3">
        <f>'Historical Data'!L986</f>
        <v/>
      </c>
      <c r="I989" s="26">
        <f>'Historical Data'!M986</f>
        <v/>
      </c>
      <c r="J989" s="28">
        <f>'Historical Data'!N986</f>
        <v/>
      </c>
      <c r="K989" s="28">
        <f>'Historical Data'!Q986</f>
        <v/>
      </c>
      <c r="L989" s="30">
        <f>'Historical Data'!S986</f>
        <v/>
      </c>
      <c r="M989" s="28">
        <f>'Historical Data'!AJ986</f>
        <v/>
      </c>
      <c r="N989" s="28">
        <f>'Historical Data'!AK986</f>
        <v/>
      </c>
      <c r="O989" s="3">
        <f>'Historical Data'!AA986</f>
        <v/>
      </c>
      <c r="P989" s="3">
        <f>'Historical Data'!AB986</f>
        <v/>
      </c>
      <c r="Q989" s="3">
        <f>'Historical Data'!AN986</f>
        <v/>
      </c>
      <c r="R989" s="3">
        <f>'Historical Data'!AC986</f>
        <v/>
      </c>
      <c r="S989" s="3">
        <f>'Historical Data'!AE986</f>
        <v/>
      </c>
      <c r="T989" s="3">
        <f>'Historical Data'!AH986</f>
        <v/>
      </c>
      <c r="U989" s="3">
        <f>'Historical Data'!BA986</f>
        <v/>
      </c>
      <c r="V989" s="3" t="n"/>
      <c r="W989" s="3" t="n"/>
      <c r="X989" s="3" t="n"/>
      <c r="Y989" s="3" t="n"/>
      <c r="Z989" s="3" t="n"/>
    </row>
    <row r="990" hidden="1" ht="15.75" customHeight="1" s="174">
      <c r="A990" s="3">
        <f>'Historical Data'!A987</f>
        <v/>
      </c>
      <c r="B990" s="3">
        <f>'Historical Data'!B987</f>
        <v/>
      </c>
      <c r="C990" s="3">
        <f>'Historical Data'!D987</f>
        <v/>
      </c>
      <c r="D990" s="23">
        <f>'Historical Data'!E987</f>
        <v/>
      </c>
      <c r="E990" s="3">
        <f>'Historical Data'!G987</f>
        <v/>
      </c>
      <c r="F990" s="3">
        <f>'Historical Data'!Y987</f>
        <v/>
      </c>
      <c r="G990" s="3">
        <f>'Historical Data'!K987</f>
        <v/>
      </c>
      <c r="H990" s="3">
        <f>'Historical Data'!L987</f>
        <v/>
      </c>
      <c r="I990" s="26">
        <f>'Historical Data'!M987</f>
        <v/>
      </c>
      <c r="J990" s="28">
        <f>'Historical Data'!N987</f>
        <v/>
      </c>
      <c r="K990" s="28">
        <f>'Historical Data'!Q987</f>
        <v/>
      </c>
      <c r="L990" s="30">
        <f>'Historical Data'!S987</f>
        <v/>
      </c>
      <c r="M990" s="28">
        <f>'Historical Data'!AJ987</f>
        <v/>
      </c>
      <c r="N990" s="28">
        <f>'Historical Data'!AK987</f>
        <v/>
      </c>
      <c r="O990" s="3">
        <f>'Historical Data'!AA987</f>
        <v/>
      </c>
      <c r="P990" s="3">
        <f>'Historical Data'!AB987</f>
        <v/>
      </c>
      <c r="Q990" s="3">
        <f>'Historical Data'!AN987</f>
        <v/>
      </c>
      <c r="R990" s="3">
        <f>'Historical Data'!AC987</f>
        <v/>
      </c>
      <c r="S990" s="3">
        <f>'Historical Data'!AE987</f>
        <v/>
      </c>
      <c r="T990" s="3">
        <f>'Historical Data'!AH987</f>
        <v/>
      </c>
      <c r="U990" s="3">
        <f>'Historical Data'!BA987</f>
        <v/>
      </c>
      <c r="V990" s="3" t="n"/>
      <c r="W990" s="3" t="n"/>
      <c r="X990" s="3" t="n"/>
      <c r="Y990" s="3" t="n"/>
      <c r="Z990" s="3" t="n"/>
    </row>
    <row r="991" hidden="1" ht="15.75" customHeight="1" s="174">
      <c r="A991" s="3">
        <f>'Historical Data'!A988</f>
        <v/>
      </c>
      <c r="B991" s="3">
        <f>'Historical Data'!B988</f>
        <v/>
      </c>
      <c r="C991" s="3">
        <f>'Historical Data'!D988</f>
        <v/>
      </c>
      <c r="D991" s="23">
        <f>'Historical Data'!E988</f>
        <v/>
      </c>
      <c r="E991" s="3">
        <f>'Historical Data'!G988</f>
        <v/>
      </c>
      <c r="F991" s="3">
        <f>'Historical Data'!Y988</f>
        <v/>
      </c>
      <c r="G991" s="3">
        <f>'Historical Data'!K988</f>
        <v/>
      </c>
      <c r="H991" s="3">
        <f>'Historical Data'!L988</f>
        <v/>
      </c>
      <c r="I991" s="26">
        <f>'Historical Data'!M988</f>
        <v/>
      </c>
      <c r="J991" s="28">
        <f>'Historical Data'!N988</f>
        <v/>
      </c>
      <c r="K991" s="28">
        <f>'Historical Data'!Q988</f>
        <v/>
      </c>
      <c r="L991" s="30">
        <f>'Historical Data'!S988</f>
        <v/>
      </c>
      <c r="M991" s="28">
        <f>'Historical Data'!AJ988</f>
        <v/>
      </c>
      <c r="N991" s="28">
        <f>'Historical Data'!AK988</f>
        <v/>
      </c>
      <c r="O991" s="3">
        <f>'Historical Data'!AA988</f>
        <v/>
      </c>
      <c r="P991" s="3">
        <f>'Historical Data'!AB988</f>
        <v/>
      </c>
      <c r="Q991" s="3">
        <f>'Historical Data'!AN988</f>
        <v/>
      </c>
      <c r="R991" s="3">
        <f>'Historical Data'!AC988</f>
        <v/>
      </c>
      <c r="S991" s="3">
        <f>'Historical Data'!AE988</f>
        <v/>
      </c>
      <c r="T991" s="3">
        <f>'Historical Data'!AH988</f>
        <v/>
      </c>
      <c r="U991" s="3">
        <f>'Historical Data'!BA988</f>
        <v/>
      </c>
      <c r="V991" s="3" t="n"/>
      <c r="W991" s="3" t="n"/>
      <c r="X991" s="3" t="n"/>
      <c r="Y991" s="3" t="n"/>
      <c r="Z991" s="3" t="n"/>
    </row>
    <row r="992" hidden="1" ht="15.75" customHeight="1" s="174">
      <c r="A992" s="3">
        <f>'Historical Data'!A989</f>
        <v/>
      </c>
      <c r="B992" s="3">
        <f>'Historical Data'!B989</f>
        <v/>
      </c>
      <c r="C992" s="3">
        <f>'Historical Data'!D989</f>
        <v/>
      </c>
      <c r="D992" s="23">
        <f>'Historical Data'!E989</f>
        <v/>
      </c>
      <c r="E992" s="3">
        <f>'Historical Data'!G989</f>
        <v/>
      </c>
      <c r="F992" s="3">
        <f>'Historical Data'!Y989</f>
        <v/>
      </c>
      <c r="G992" s="3">
        <f>'Historical Data'!K989</f>
        <v/>
      </c>
      <c r="H992" s="3">
        <f>'Historical Data'!L989</f>
        <v/>
      </c>
      <c r="I992" s="26">
        <f>'Historical Data'!M989</f>
        <v/>
      </c>
      <c r="J992" s="28">
        <f>'Historical Data'!N989</f>
        <v/>
      </c>
      <c r="K992" s="28">
        <f>'Historical Data'!Q989</f>
        <v/>
      </c>
      <c r="L992" s="30">
        <f>'Historical Data'!S989</f>
        <v/>
      </c>
      <c r="M992" s="28">
        <f>'Historical Data'!AJ989</f>
        <v/>
      </c>
      <c r="N992" s="28">
        <f>'Historical Data'!AK989</f>
        <v/>
      </c>
      <c r="O992" s="3">
        <f>'Historical Data'!AA989</f>
        <v/>
      </c>
      <c r="P992" s="3">
        <f>'Historical Data'!AB989</f>
        <v/>
      </c>
      <c r="Q992" s="3">
        <f>'Historical Data'!AN989</f>
        <v/>
      </c>
      <c r="R992" s="3">
        <f>'Historical Data'!AC989</f>
        <v/>
      </c>
      <c r="S992" s="3">
        <f>'Historical Data'!AE989</f>
        <v/>
      </c>
      <c r="T992" s="3">
        <f>'Historical Data'!AH989</f>
        <v/>
      </c>
      <c r="U992" s="3">
        <f>'Historical Data'!BA989</f>
        <v/>
      </c>
      <c r="V992" s="3" t="n"/>
      <c r="W992" s="3" t="n"/>
      <c r="X992" s="3" t="n"/>
      <c r="Y992" s="3" t="n"/>
      <c r="Z992" s="3" t="n"/>
    </row>
    <row r="993" hidden="1" ht="15.75" customHeight="1" s="174">
      <c r="A993" s="3">
        <f>'Historical Data'!A990</f>
        <v/>
      </c>
      <c r="B993" s="3">
        <f>'Historical Data'!B990</f>
        <v/>
      </c>
      <c r="C993" s="3">
        <f>'Historical Data'!D990</f>
        <v/>
      </c>
      <c r="D993" s="23">
        <f>'Historical Data'!E990</f>
        <v/>
      </c>
      <c r="E993" s="3">
        <f>'Historical Data'!G990</f>
        <v/>
      </c>
      <c r="F993" s="3">
        <f>'Historical Data'!Y990</f>
        <v/>
      </c>
      <c r="G993" s="3">
        <f>'Historical Data'!K990</f>
        <v/>
      </c>
      <c r="H993" s="3">
        <f>'Historical Data'!L990</f>
        <v/>
      </c>
      <c r="I993" s="26">
        <f>'Historical Data'!M990</f>
        <v/>
      </c>
      <c r="J993" s="28">
        <f>'Historical Data'!N990</f>
        <v/>
      </c>
      <c r="K993" s="28">
        <f>'Historical Data'!Q990</f>
        <v/>
      </c>
      <c r="L993" s="30">
        <f>'Historical Data'!S990</f>
        <v/>
      </c>
      <c r="M993" s="28">
        <f>'Historical Data'!AJ990</f>
        <v/>
      </c>
      <c r="N993" s="28">
        <f>'Historical Data'!AK990</f>
        <v/>
      </c>
      <c r="O993" s="3">
        <f>'Historical Data'!AA990</f>
        <v/>
      </c>
      <c r="P993" s="3">
        <f>'Historical Data'!AB990</f>
        <v/>
      </c>
      <c r="Q993" s="3">
        <f>'Historical Data'!AN990</f>
        <v/>
      </c>
      <c r="R993" s="3">
        <f>'Historical Data'!AC990</f>
        <v/>
      </c>
      <c r="S993" s="3">
        <f>'Historical Data'!AE990</f>
        <v/>
      </c>
      <c r="T993" s="3">
        <f>'Historical Data'!AH990</f>
        <v/>
      </c>
      <c r="U993" s="3">
        <f>'Historical Data'!BA990</f>
        <v/>
      </c>
      <c r="V993" s="3" t="n"/>
      <c r="W993" s="3" t="n"/>
      <c r="X993" s="3" t="n"/>
      <c r="Y993" s="3" t="n"/>
      <c r="Z993" s="3" t="n"/>
    </row>
    <row r="994" hidden="1" ht="15.75" customHeight="1" s="174">
      <c r="A994" s="3">
        <f>'Historical Data'!A991</f>
        <v/>
      </c>
      <c r="B994" s="3">
        <f>'Historical Data'!B991</f>
        <v/>
      </c>
      <c r="C994" s="3">
        <f>'Historical Data'!D991</f>
        <v/>
      </c>
      <c r="D994" s="23">
        <f>'Historical Data'!E991</f>
        <v/>
      </c>
      <c r="E994" s="3">
        <f>'Historical Data'!G991</f>
        <v/>
      </c>
      <c r="F994" s="3">
        <f>'Historical Data'!Y991</f>
        <v/>
      </c>
      <c r="G994" s="3">
        <f>'Historical Data'!K991</f>
        <v/>
      </c>
      <c r="H994" s="3">
        <f>'Historical Data'!L991</f>
        <v/>
      </c>
      <c r="I994" s="26">
        <f>'Historical Data'!M991</f>
        <v/>
      </c>
      <c r="J994" s="28">
        <f>'Historical Data'!N991</f>
        <v/>
      </c>
      <c r="K994" s="28">
        <f>'Historical Data'!Q991</f>
        <v/>
      </c>
      <c r="L994" s="30">
        <f>'Historical Data'!S991</f>
        <v/>
      </c>
      <c r="M994" s="28">
        <f>'Historical Data'!AJ991</f>
        <v/>
      </c>
      <c r="N994" s="28">
        <f>'Historical Data'!AK991</f>
        <v/>
      </c>
      <c r="O994" s="3">
        <f>'Historical Data'!AA991</f>
        <v/>
      </c>
      <c r="P994" s="3">
        <f>'Historical Data'!AB991</f>
        <v/>
      </c>
      <c r="Q994" s="3">
        <f>'Historical Data'!AN991</f>
        <v/>
      </c>
      <c r="R994" s="3">
        <f>'Historical Data'!AC991</f>
        <v/>
      </c>
      <c r="S994" s="3">
        <f>'Historical Data'!AE991</f>
        <v/>
      </c>
      <c r="T994" s="3">
        <f>'Historical Data'!AH991</f>
        <v/>
      </c>
      <c r="U994" s="3">
        <f>'Historical Data'!BA991</f>
        <v/>
      </c>
      <c r="V994" s="3" t="n"/>
      <c r="W994" s="3" t="n"/>
      <c r="X994" s="3" t="n"/>
      <c r="Y994" s="3" t="n"/>
      <c r="Z994" s="3" t="n"/>
    </row>
    <row r="995" hidden="1" ht="15.75" customHeight="1" s="174">
      <c r="A995" s="3">
        <f>'Historical Data'!A992</f>
        <v/>
      </c>
      <c r="B995" s="3">
        <f>'Historical Data'!B992</f>
        <v/>
      </c>
      <c r="C995" s="3">
        <f>'Historical Data'!D992</f>
        <v/>
      </c>
      <c r="D995" s="23">
        <f>'Historical Data'!E992</f>
        <v/>
      </c>
      <c r="E995" s="3">
        <f>'Historical Data'!G992</f>
        <v/>
      </c>
      <c r="F995" s="3">
        <f>'Historical Data'!Y992</f>
        <v/>
      </c>
      <c r="G995" s="3">
        <f>'Historical Data'!K992</f>
        <v/>
      </c>
      <c r="H995" s="3">
        <f>'Historical Data'!L992</f>
        <v/>
      </c>
      <c r="I995" s="26">
        <f>'Historical Data'!M992</f>
        <v/>
      </c>
      <c r="J995" s="28">
        <f>'Historical Data'!N992</f>
        <v/>
      </c>
      <c r="K995" s="28">
        <f>'Historical Data'!Q992</f>
        <v/>
      </c>
      <c r="L995" s="30">
        <f>'Historical Data'!S992</f>
        <v/>
      </c>
      <c r="M995" s="28">
        <f>'Historical Data'!AJ992</f>
        <v/>
      </c>
      <c r="N995" s="28">
        <f>'Historical Data'!AK992</f>
        <v/>
      </c>
      <c r="O995" s="3">
        <f>'Historical Data'!AA992</f>
        <v/>
      </c>
      <c r="P995" s="3">
        <f>'Historical Data'!AB992</f>
        <v/>
      </c>
      <c r="Q995" s="3">
        <f>'Historical Data'!AN992</f>
        <v/>
      </c>
      <c r="R995" s="3">
        <f>'Historical Data'!AC992</f>
        <v/>
      </c>
      <c r="S995" s="3">
        <f>'Historical Data'!AE992</f>
        <v/>
      </c>
      <c r="T995" s="3">
        <f>'Historical Data'!AH992</f>
        <v/>
      </c>
      <c r="U995" s="3">
        <f>'Historical Data'!BA992</f>
        <v/>
      </c>
      <c r="V995" s="3" t="n"/>
      <c r="W995" s="3" t="n"/>
      <c r="X995" s="3" t="n"/>
      <c r="Y995" s="3" t="n"/>
      <c r="Z995" s="3" t="n"/>
    </row>
    <row r="996" hidden="1" ht="15.75" customHeight="1" s="174">
      <c r="A996" s="3">
        <f>'Historical Data'!A993</f>
        <v/>
      </c>
      <c r="B996" s="3">
        <f>'Historical Data'!B993</f>
        <v/>
      </c>
      <c r="C996" s="3">
        <f>'Historical Data'!D993</f>
        <v/>
      </c>
      <c r="D996" s="23">
        <f>'Historical Data'!E993</f>
        <v/>
      </c>
      <c r="E996" s="3">
        <f>'Historical Data'!G993</f>
        <v/>
      </c>
      <c r="F996" s="3">
        <f>'Historical Data'!Y993</f>
        <v/>
      </c>
      <c r="G996" s="3">
        <f>'Historical Data'!K993</f>
        <v/>
      </c>
      <c r="H996" s="3">
        <f>'Historical Data'!L993</f>
        <v/>
      </c>
      <c r="I996" s="26">
        <f>'Historical Data'!M993</f>
        <v/>
      </c>
      <c r="J996" s="28">
        <f>'Historical Data'!N993</f>
        <v/>
      </c>
      <c r="K996" s="28">
        <f>'Historical Data'!Q993</f>
        <v/>
      </c>
      <c r="L996" s="30">
        <f>'Historical Data'!S993</f>
        <v/>
      </c>
      <c r="M996" s="28">
        <f>'Historical Data'!AJ993</f>
        <v/>
      </c>
      <c r="N996" s="28">
        <f>'Historical Data'!AK993</f>
        <v/>
      </c>
      <c r="O996" s="3">
        <f>'Historical Data'!AA993</f>
        <v/>
      </c>
      <c r="P996" s="3">
        <f>'Historical Data'!AB993</f>
        <v/>
      </c>
      <c r="Q996" s="3">
        <f>'Historical Data'!AN993</f>
        <v/>
      </c>
      <c r="R996" s="3">
        <f>'Historical Data'!AC993</f>
        <v/>
      </c>
      <c r="S996" s="3">
        <f>'Historical Data'!AE993</f>
        <v/>
      </c>
      <c r="T996" s="3">
        <f>'Historical Data'!AH993</f>
        <v/>
      </c>
      <c r="U996" s="3">
        <f>'Historical Data'!BA993</f>
        <v/>
      </c>
      <c r="V996" s="3" t="n"/>
      <c r="W996" s="3" t="n"/>
      <c r="X996" s="3" t="n"/>
      <c r="Y996" s="3" t="n"/>
      <c r="Z996" s="3" t="n"/>
    </row>
    <row r="997" hidden="1" ht="15.75" customHeight="1" s="174">
      <c r="A997" s="3">
        <f>'Historical Data'!A994</f>
        <v/>
      </c>
      <c r="B997" s="3">
        <f>'Historical Data'!B994</f>
        <v/>
      </c>
      <c r="C997" s="3">
        <f>'Historical Data'!D994</f>
        <v/>
      </c>
      <c r="D997" s="23">
        <f>'Historical Data'!E994</f>
        <v/>
      </c>
      <c r="E997" s="3">
        <f>'Historical Data'!G994</f>
        <v/>
      </c>
      <c r="F997" s="3">
        <f>'Historical Data'!Y994</f>
        <v/>
      </c>
      <c r="G997" s="3">
        <f>'Historical Data'!K994</f>
        <v/>
      </c>
      <c r="H997" s="3">
        <f>'Historical Data'!L994</f>
        <v/>
      </c>
      <c r="I997" s="26">
        <f>'Historical Data'!M994</f>
        <v/>
      </c>
      <c r="J997" s="28">
        <f>'Historical Data'!N994</f>
        <v/>
      </c>
      <c r="K997" s="28">
        <f>'Historical Data'!Q994</f>
        <v/>
      </c>
      <c r="L997" s="30">
        <f>'Historical Data'!S994</f>
        <v/>
      </c>
      <c r="M997" s="28">
        <f>'Historical Data'!AJ994</f>
        <v/>
      </c>
      <c r="N997" s="28">
        <f>'Historical Data'!AK994</f>
        <v/>
      </c>
      <c r="O997" s="3">
        <f>'Historical Data'!AA994</f>
        <v/>
      </c>
      <c r="P997" s="3">
        <f>'Historical Data'!AB994</f>
        <v/>
      </c>
      <c r="Q997" s="3">
        <f>'Historical Data'!AN994</f>
        <v/>
      </c>
      <c r="R997" s="3">
        <f>'Historical Data'!AC994</f>
        <v/>
      </c>
      <c r="S997" s="3">
        <f>'Historical Data'!AE994</f>
        <v/>
      </c>
      <c r="T997" s="3">
        <f>'Historical Data'!AH994</f>
        <v/>
      </c>
      <c r="U997" s="3">
        <f>'Historical Data'!BA994</f>
        <v/>
      </c>
      <c r="V997" s="3" t="n"/>
      <c r="W997" s="3" t="n"/>
      <c r="X997" s="3" t="n"/>
      <c r="Y997" s="3" t="n"/>
      <c r="Z997" s="3" t="n"/>
    </row>
    <row r="998" hidden="1" ht="15.75" customHeight="1" s="174">
      <c r="A998" s="3">
        <f>'Historical Data'!A995</f>
        <v/>
      </c>
      <c r="B998" s="3">
        <f>'Historical Data'!B995</f>
        <v/>
      </c>
      <c r="C998" s="3">
        <f>'Historical Data'!D995</f>
        <v/>
      </c>
      <c r="D998" s="23">
        <f>'Historical Data'!E995</f>
        <v/>
      </c>
      <c r="E998" s="3">
        <f>'Historical Data'!G995</f>
        <v/>
      </c>
      <c r="F998" s="3">
        <f>'Historical Data'!Y995</f>
        <v/>
      </c>
      <c r="G998" s="3">
        <f>'Historical Data'!K995</f>
        <v/>
      </c>
      <c r="H998" s="3">
        <f>'Historical Data'!L995</f>
        <v/>
      </c>
      <c r="I998" s="26">
        <f>'Historical Data'!M995</f>
        <v/>
      </c>
      <c r="J998" s="28">
        <f>'Historical Data'!N995</f>
        <v/>
      </c>
      <c r="K998" s="28">
        <f>'Historical Data'!Q995</f>
        <v/>
      </c>
      <c r="L998" s="30">
        <f>'Historical Data'!S995</f>
        <v/>
      </c>
      <c r="M998" s="28">
        <f>'Historical Data'!AJ995</f>
        <v/>
      </c>
      <c r="N998" s="28">
        <f>'Historical Data'!AK995</f>
        <v/>
      </c>
      <c r="O998" s="3">
        <f>'Historical Data'!AA995</f>
        <v/>
      </c>
      <c r="P998" s="3">
        <f>'Historical Data'!AB995</f>
        <v/>
      </c>
      <c r="Q998" s="3">
        <f>'Historical Data'!AN995</f>
        <v/>
      </c>
      <c r="R998" s="3">
        <f>'Historical Data'!AC995</f>
        <v/>
      </c>
      <c r="S998" s="3">
        <f>'Historical Data'!AE995</f>
        <v/>
      </c>
      <c r="T998" s="3">
        <f>'Historical Data'!AH995</f>
        <v/>
      </c>
      <c r="U998" s="3">
        <f>'Historical Data'!BA995</f>
        <v/>
      </c>
      <c r="V998" s="3" t="n"/>
      <c r="W998" s="3" t="n"/>
      <c r="X998" s="3" t="n"/>
      <c r="Y998" s="3" t="n"/>
      <c r="Z998" s="3" t="n"/>
    </row>
    <row r="999" hidden="1" ht="15.75" customHeight="1" s="174">
      <c r="A999" s="3">
        <f>'Historical Data'!A996</f>
        <v/>
      </c>
      <c r="B999" s="3">
        <f>'Historical Data'!B996</f>
        <v/>
      </c>
      <c r="C999" s="3">
        <f>'Historical Data'!D996</f>
        <v/>
      </c>
      <c r="D999" s="23">
        <f>'Historical Data'!E996</f>
        <v/>
      </c>
      <c r="E999" s="3">
        <f>'Historical Data'!G996</f>
        <v/>
      </c>
      <c r="F999" s="3">
        <f>'Historical Data'!Y996</f>
        <v/>
      </c>
      <c r="G999" s="3">
        <f>'Historical Data'!K996</f>
        <v/>
      </c>
      <c r="H999" s="3">
        <f>'Historical Data'!L996</f>
        <v/>
      </c>
      <c r="I999" s="26">
        <f>'Historical Data'!M996</f>
        <v/>
      </c>
      <c r="J999" s="28">
        <f>'Historical Data'!N996</f>
        <v/>
      </c>
      <c r="K999" s="28">
        <f>'Historical Data'!Q996</f>
        <v/>
      </c>
      <c r="L999" s="30">
        <f>'Historical Data'!S996</f>
        <v/>
      </c>
      <c r="M999" s="28">
        <f>'Historical Data'!AJ996</f>
        <v/>
      </c>
      <c r="N999" s="28">
        <f>'Historical Data'!AK996</f>
        <v/>
      </c>
      <c r="O999" s="3">
        <f>'Historical Data'!AA996</f>
        <v/>
      </c>
      <c r="P999" s="3">
        <f>'Historical Data'!AB996</f>
        <v/>
      </c>
      <c r="Q999" s="3">
        <f>'Historical Data'!AN996</f>
        <v/>
      </c>
      <c r="R999" s="3">
        <f>'Historical Data'!AC996</f>
        <v/>
      </c>
      <c r="S999" s="3">
        <f>'Historical Data'!AE996</f>
        <v/>
      </c>
      <c r="T999" s="3">
        <f>'Historical Data'!AH996</f>
        <v/>
      </c>
      <c r="U999" s="3">
        <f>'Historical Data'!BA996</f>
        <v/>
      </c>
      <c r="V999" s="3" t="n"/>
      <c r="W999" s="3" t="n"/>
      <c r="X999" s="3" t="n"/>
      <c r="Y999" s="3" t="n"/>
      <c r="Z999" s="3" t="n"/>
    </row>
    <row r="1000" hidden="1" ht="15.75" customHeight="1" s="174">
      <c r="A1000" s="3">
        <f>'Historical Data'!A997</f>
        <v/>
      </c>
      <c r="B1000" s="3">
        <f>'Historical Data'!B997</f>
        <v/>
      </c>
      <c r="C1000" s="3">
        <f>'Historical Data'!D997</f>
        <v/>
      </c>
      <c r="D1000" s="23">
        <f>'Historical Data'!E997</f>
        <v/>
      </c>
      <c r="E1000" s="3">
        <f>'Historical Data'!G997</f>
        <v/>
      </c>
      <c r="F1000" s="3">
        <f>'Historical Data'!Y997</f>
        <v/>
      </c>
      <c r="G1000" s="3">
        <f>'Historical Data'!K997</f>
        <v/>
      </c>
      <c r="H1000" s="3">
        <f>'Historical Data'!L997</f>
        <v/>
      </c>
      <c r="I1000" s="26">
        <f>'Historical Data'!M997</f>
        <v/>
      </c>
      <c r="J1000" s="28">
        <f>'Historical Data'!N997</f>
        <v/>
      </c>
      <c r="K1000" s="28">
        <f>'Historical Data'!Q997</f>
        <v/>
      </c>
      <c r="L1000" s="30">
        <f>'Historical Data'!S997</f>
        <v/>
      </c>
      <c r="M1000" s="28">
        <f>'Historical Data'!AJ997</f>
        <v/>
      </c>
      <c r="N1000" s="28">
        <f>'Historical Data'!AK997</f>
        <v/>
      </c>
      <c r="O1000" s="3">
        <f>'Historical Data'!AA997</f>
        <v/>
      </c>
      <c r="P1000" s="3">
        <f>'Historical Data'!AB997</f>
        <v/>
      </c>
      <c r="Q1000" s="3">
        <f>'Historical Data'!AN997</f>
        <v/>
      </c>
      <c r="R1000" s="3">
        <f>'Historical Data'!AC997</f>
        <v/>
      </c>
      <c r="S1000" s="3">
        <f>'Historical Data'!AE997</f>
        <v/>
      </c>
      <c r="T1000" s="3">
        <f>'Historical Data'!AH997</f>
        <v/>
      </c>
      <c r="U1000" s="3">
        <f>'Historical Data'!BA997</f>
        <v/>
      </c>
      <c r="V1000" s="3" t="n"/>
      <c r="W1000" s="3" t="n"/>
      <c r="X1000" s="3" t="n"/>
      <c r="Y1000" s="3" t="n"/>
      <c r="Z1000" s="3" t="n"/>
    </row>
    <row r="1001" hidden="1" ht="15" customHeight="1" s="174">
      <c r="A1001" s="3">
        <f>'Historical Data'!A998</f>
        <v/>
      </c>
      <c r="B1001" s="3">
        <f>'Historical Data'!B998</f>
        <v/>
      </c>
      <c r="C1001" s="3">
        <f>'Historical Data'!D998</f>
        <v/>
      </c>
      <c r="D1001" s="23">
        <f>'Historical Data'!E998</f>
        <v/>
      </c>
      <c r="E1001" s="3">
        <f>'Historical Data'!G998</f>
        <v/>
      </c>
      <c r="F1001" s="3">
        <f>'Historical Data'!Y998</f>
        <v/>
      </c>
      <c r="G1001" s="3">
        <f>'Historical Data'!K998</f>
        <v/>
      </c>
      <c r="H1001" s="3">
        <f>'Historical Data'!L998</f>
        <v/>
      </c>
      <c r="I1001" s="26">
        <f>'Historical Data'!M998</f>
        <v/>
      </c>
      <c r="J1001" s="28">
        <f>'Historical Data'!N998</f>
        <v/>
      </c>
      <c r="K1001" s="28">
        <f>'Historical Data'!Q998</f>
        <v/>
      </c>
      <c r="L1001" s="30">
        <f>'Historical Data'!S998</f>
        <v/>
      </c>
      <c r="M1001" s="28">
        <f>'Historical Data'!AJ998</f>
        <v/>
      </c>
      <c r="N1001" s="28">
        <f>'Historical Data'!AK998</f>
        <v/>
      </c>
      <c r="O1001" s="3">
        <f>'Historical Data'!AA998</f>
        <v/>
      </c>
      <c r="P1001" s="3">
        <f>'Historical Data'!AB998</f>
        <v/>
      </c>
      <c r="Q1001" s="3">
        <f>'Historical Data'!AN998</f>
        <v/>
      </c>
      <c r="R1001" s="3">
        <f>'Historical Data'!AC998</f>
        <v/>
      </c>
      <c r="S1001" s="3">
        <f>'Historical Data'!AE998</f>
        <v/>
      </c>
      <c r="T1001" s="3">
        <f>'Historical Data'!AH998</f>
        <v/>
      </c>
      <c r="U1001" s="3">
        <f>'Historical Data'!BA998</f>
        <v/>
      </c>
      <c r="V1001" s="3" t="n"/>
      <c r="W1001" s="3" t="n"/>
      <c r="X1001" s="3" t="n"/>
      <c r="Y1001" s="3" t="n"/>
      <c r="Z1001" s="3" t="n"/>
    </row>
    <row r="1002" hidden="1" ht="15" customHeight="1" s="174">
      <c r="A1002" s="3">
        <f>'Historical Data'!A999</f>
        <v/>
      </c>
      <c r="B1002" s="3">
        <f>'Historical Data'!B999</f>
        <v/>
      </c>
      <c r="C1002" s="3">
        <f>'Historical Data'!D999</f>
        <v/>
      </c>
      <c r="D1002" s="23">
        <f>'Historical Data'!E999</f>
        <v/>
      </c>
      <c r="E1002" s="3">
        <f>'Historical Data'!G999</f>
        <v/>
      </c>
      <c r="F1002" s="3">
        <f>'Historical Data'!Y999</f>
        <v/>
      </c>
      <c r="G1002" s="3">
        <f>'Historical Data'!K999</f>
        <v/>
      </c>
      <c r="H1002" s="3">
        <f>'Historical Data'!L999</f>
        <v/>
      </c>
      <c r="I1002" s="26">
        <f>'Historical Data'!M999</f>
        <v/>
      </c>
      <c r="J1002" s="28">
        <f>'Historical Data'!N999</f>
        <v/>
      </c>
      <c r="K1002" s="28">
        <f>'Historical Data'!Q999</f>
        <v/>
      </c>
      <c r="L1002" s="30">
        <f>'Historical Data'!S999</f>
        <v/>
      </c>
      <c r="M1002" s="28">
        <f>'Historical Data'!AJ999</f>
        <v/>
      </c>
      <c r="N1002" s="28">
        <f>'Historical Data'!AK999</f>
        <v/>
      </c>
      <c r="O1002" s="3">
        <f>'Historical Data'!AA999</f>
        <v/>
      </c>
      <c r="P1002" s="3">
        <f>'Historical Data'!AB999</f>
        <v/>
      </c>
      <c r="Q1002" s="3">
        <f>'Historical Data'!AN999</f>
        <v/>
      </c>
      <c r="R1002" s="3">
        <f>'Historical Data'!AC999</f>
        <v/>
      </c>
      <c r="S1002" s="3">
        <f>'Historical Data'!AE999</f>
        <v/>
      </c>
      <c r="T1002" s="3">
        <f>'Historical Data'!AH999</f>
        <v/>
      </c>
      <c r="U1002" s="3">
        <f>'Historical Data'!BA999</f>
        <v/>
      </c>
      <c r="V1002" s="3" t="n"/>
      <c r="W1002" s="3" t="n"/>
      <c r="X1002" s="3" t="n"/>
      <c r="Y1002" s="3" t="n"/>
      <c r="Z1002" s="3" t="n"/>
    </row>
    <row r="1003" hidden="1" ht="15" customHeight="1" s="174">
      <c r="A1003" s="3">
        <f>'Historical Data'!A1000</f>
        <v/>
      </c>
      <c r="B1003" s="3">
        <f>'Historical Data'!B1000</f>
        <v/>
      </c>
      <c r="C1003" s="3">
        <f>'Historical Data'!D1000</f>
        <v/>
      </c>
      <c r="D1003" s="23">
        <f>'Historical Data'!E1000</f>
        <v/>
      </c>
      <c r="E1003" s="3">
        <f>'Historical Data'!G1000</f>
        <v/>
      </c>
      <c r="F1003" s="3">
        <f>'Historical Data'!Y1000</f>
        <v/>
      </c>
      <c r="G1003" s="3">
        <f>'Historical Data'!K1000</f>
        <v/>
      </c>
      <c r="H1003" s="3">
        <f>'Historical Data'!L1000</f>
        <v/>
      </c>
      <c r="I1003" s="26">
        <f>'Historical Data'!M1000</f>
        <v/>
      </c>
      <c r="J1003" s="28">
        <f>'Historical Data'!N1000</f>
        <v/>
      </c>
      <c r="K1003" s="28">
        <f>'Historical Data'!Q1000</f>
        <v/>
      </c>
      <c r="L1003" s="30">
        <f>'Historical Data'!S1000</f>
        <v/>
      </c>
      <c r="M1003" s="28">
        <f>'Historical Data'!AJ1000</f>
        <v/>
      </c>
      <c r="N1003" s="28">
        <f>'Historical Data'!AK1000</f>
        <v/>
      </c>
      <c r="O1003" s="3">
        <f>'Historical Data'!AA1000</f>
        <v/>
      </c>
      <c r="P1003" s="3">
        <f>'Historical Data'!AB1000</f>
        <v/>
      </c>
      <c r="Q1003" s="3">
        <f>'Historical Data'!AN1000</f>
        <v/>
      </c>
      <c r="R1003" s="3">
        <f>'Historical Data'!AC1000</f>
        <v/>
      </c>
      <c r="S1003" s="3">
        <f>'Historical Data'!AE1000</f>
        <v/>
      </c>
      <c r="T1003" s="3">
        <f>'Historical Data'!AH1000</f>
        <v/>
      </c>
      <c r="U1003" s="3">
        <f>'Historical Data'!BA1000</f>
        <v/>
      </c>
      <c r="V1003" s="3" t="n"/>
      <c r="W1003" s="3" t="n"/>
      <c r="X1003" s="3" t="n"/>
      <c r="Y1003" s="3" t="n"/>
      <c r="Z1003" s="3" t="n"/>
    </row>
    <row r="1004" hidden="1" ht="15" customHeight="1" s="174">
      <c r="A1004" s="3">
        <f>'Historical Data'!A1001</f>
        <v/>
      </c>
      <c r="B1004" s="3">
        <f>'Historical Data'!B1001</f>
        <v/>
      </c>
      <c r="C1004" s="3">
        <f>'Historical Data'!D1001</f>
        <v/>
      </c>
      <c r="D1004" s="23">
        <f>'Historical Data'!E1001</f>
        <v/>
      </c>
      <c r="E1004" s="3">
        <f>'Historical Data'!G1001</f>
        <v/>
      </c>
      <c r="F1004" s="3">
        <f>'Historical Data'!Y1001</f>
        <v/>
      </c>
      <c r="G1004" s="3">
        <f>'Historical Data'!K1001</f>
        <v/>
      </c>
      <c r="H1004" s="3">
        <f>'Historical Data'!L1001</f>
        <v/>
      </c>
      <c r="I1004" s="26">
        <f>'Historical Data'!M1001</f>
        <v/>
      </c>
      <c r="J1004" s="28">
        <f>'Historical Data'!N1001</f>
        <v/>
      </c>
      <c r="K1004" s="28">
        <f>'Historical Data'!Q1001</f>
        <v/>
      </c>
      <c r="L1004" s="30">
        <f>'Historical Data'!S1001</f>
        <v/>
      </c>
      <c r="M1004" s="28">
        <f>'Historical Data'!AJ1001</f>
        <v/>
      </c>
      <c r="N1004" s="28">
        <f>'Historical Data'!AK1001</f>
        <v/>
      </c>
      <c r="O1004" s="3">
        <f>'Historical Data'!AA1001</f>
        <v/>
      </c>
      <c r="P1004" s="3">
        <f>'Historical Data'!AB1001</f>
        <v/>
      </c>
      <c r="Q1004" s="3">
        <f>'Historical Data'!AN1001</f>
        <v/>
      </c>
      <c r="R1004" s="3">
        <f>'Historical Data'!AC1001</f>
        <v/>
      </c>
      <c r="S1004" s="3">
        <f>'Historical Data'!AE1001</f>
        <v/>
      </c>
      <c r="T1004" s="3">
        <f>'Historical Data'!AH1001</f>
        <v/>
      </c>
      <c r="U1004" s="3">
        <f>'Historical Data'!BA1001</f>
        <v/>
      </c>
      <c r="V1004" s="3" t="n"/>
      <c r="W1004" s="3" t="n"/>
      <c r="X1004" s="3" t="n"/>
      <c r="Y1004" s="3" t="n"/>
      <c r="Z1004" s="3" t="n"/>
    </row>
    <row r="1005" hidden="1" ht="15" customHeight="1" s="174">
      <c r="A1005" s="3">
        <f>'Historical Data'!A1002</f>
        <v/>
      </c>
      <c r="B1005" s="3">
        <f>'Historical Data'!B1002</f>
        <v/>
      </c>
      <c r="C1005" s="3">
        <f>'Historical Data'!D1002</f>
        <v/>
      </c>
      <c r="D1005" s="23">
        <f>'Historical Data'!E1002</f>
        <v/>
      </c>
      <c r="E1005" s="3">
        <f>'Historical Data'!G1002</f>
        <v/>
      </c>
      <c r="F1005" s="3">
        <f>'Historical Data'!Y1002</f>
        <v/>
      </c>
      <c r="G1005" s="3">
        <f>'Historical Data'!K1002</f>
        <v/>
      </c>
      <c r="H1005" s="3">
        <f>'Historical Data'!L1002</f>
        <v/>
      </c>
      <c r="I1005" s="26">
        <f>'Historical Data'!M1002</f>
        <v/>
      </c>
      <c r="J1005" s="28">
        <f>'Historical Data'!N1002</f>
        <v/>
      </c>
      <c r="K1005" s="28">
        <f>'Historical Data'!Q1002</f>
        <v/>
      </c>
      <c r="L1005" s="30">
        <f>'Historical Data'!S1002</f>
        <v/>
      </c>
      <c r="M1005" s="28">
        <f>'Historical Data'!AJ1002</f>
        <v/>
      </c>
      <c r="N1005" s="28">
        <f>'Historical Data'!AK1002</f>
        <v/>
      </c>
      <c r="O1005" s="3">
        <f>'Historical Data'!AA1002</f>
        <v/>
      </c>
      <c r="P1005" s="3">
        <f>'Historical Data'!AB1002</f>
        <v/>
      </c>
      <c r="Q1005" s="3">
        <f>'Historical Data'!AN1002</f>
        <v/>
      </c>
      <c r="R1005" s="3">
        <f>'Historical Data'!AC1002</f>
        <v/>
      </c>
      <c r="S1005" s="3">
        <f>'Historical Data'!AE1002</f>
        <v/>
      </c>
      <c r="T1005" s="3">
        <f>'Historical Data'!AH1002</f>
        <v/>
      </c>
      <c r="U1005" s="3">
        <f>'Historical Data'!BA1002</f>
        <v/>
      </c>
      <c r="V1005" s="3" t="n"/>
      <c r="W1005" s="3" t="n"/>
      <c r="X1005" s="3" t="n"/>
      <c r="Y1005" s="3" t="n"/>
      <c r="Z1005" s="3" t="n"/>
    </row>
    <row r="1006" hidden="1" ht="15" customHeight="1" s="174">
      <c r="A1006" s="3">
        <f>'Historical Data'!A1003</f>
        <v/>
      </c>
      <c r="B1006" s="3">
        <f>'Historical Data'!B1003</f>
        <v/>
      </c>
      <c r="C1006" s="3">
        <f>'Historical Data'!D1003</f>
        <v/>
      </c>
      <c r="D1006" s="23">
        <f>'Historical Data'!E1003</f>
        <v/>
      </c>
      <c r="E1006" s="3">
        <f>'Historical Data'!G1003</f>
        <v/>
      </c>
      <c r="F1006" s="3">
        <f>'Historical Data'!Y1003</f>
        <v/>
      </c>
      <c r="G1006" s="3">
        <f>'Historical Data'!K1003</f>
        <v/>
      </c>
      <c r="H1006" s="3">
        <f>'Historical Data'!L1003</f>
        <v/>
      </c>
      <c r="I1006" s="26">
        <f>'Historical Data'!M1003</f>
        <v/>
      </c>
      <c r="J1006" s="28">
        <f>'Historical Data'!N1003</f>
        <v/>
      </c>
      <c r="K1006" s="28">
        <f>'Historical Data'!Q1003</f>
        <v/>
      </c>
      <c r="L1006" s="30">
        <f>'Historical Data'!S1003</f>
        <v/>
      </c>
      <c r="M1006" s="28">
        <f>'Historical Data'!AJ1003</f>
        <v/>
      </c>
      <c r="N1006" s="28">
        <f>'Historical Data'!AK1003</f>
        <v/>
      </c>
      <c r="O1006" s="3">
        <f>'Historical Data'!AA1003</f>
        <v/>
      </c>
      <c r="P1006" s="3">
        <f>'Historical Data'!AB1003</f>
        <v/>
      </c>
      <c r="Q1006" s="3">
        <f>'Historical Data'!AN1003</f>
        <v/>
      </c>
      <c r="R1006" s="3">
        <f>'Historical Data'!AC1003</f>
        <v/>
      </c>
      <c r="S1006" s="3">
        <f>'Historical Data'!AE1003</f>
        <v/>
      </c>
      <c r="T1006" s="3">
        <f>'Historical Data'!AH1003</f>
        <v/>
      </c>
      <c r="U1006" s="3">
        <f>'Historical Data'!BA1003</f>
        <v/>
      </c>
      <c r="V1006" s="3" t="n"/>
      <c r="W1006" s="3" t="n"/>
      <c r="X1006" s="3" t="n"/>
      <c r="Y1006" s="3" t="n"/>
      <c r="Z1006" s="3" t="n"/>
    </row>
    <row r="1007" hidden="1" ht="15" customHeight="1" s="174">
      <c r="A1007" s="3">
        <f>'Historical Data'!A1004</f>
        <v/>
      </c>
      <c r="B1007" s="3">
        <f>'Historical Data'!B1004</f>
        <v/>
      </c>
      <c r="C1007" s="3">
        <f>'Historical Data'!D1004</f>
        <v/>
      </c>
      <c r="D1007" s="23">
        <f>'Historical Data'!E1004</f>
        <v/>
      </c>
      <c r="E1007" s="3">
        <f>'Historical Data'!G1004</f>
        <v/>
      </c>
      <c r="F1007" s="3">
        <f>'Historical Data'!Y1004</f>
        <v/>
      </c>
      <c r="G1007" s="3">
        <f>'Historical Data'!K1004</f>
        <v/>
      </c>
      <c r="H1007" s="3">
        <f>'Historical Data'!L1004</f>
        <v/>
      </c>
      <c r="I1007" s="26">
        <f>'Historical Data'!M1004</f>
        <v/>
      </c>
      <c r="J1007" s="28">
        <f>'Historical Data'!N1004</f>
        <v/>
      </c>
      <c r="K1007" s="28">
        <f>'Historical Data'!Q1004</f>
        <v/>
      </c>
      <c r="L1007" s="30">
        <f>'Historical Data'!S1004</f>
        <v/>
      </c>
      <c r="M1007" s="28">
        <f>'Historical Data'!AJ1004</f>
        <v/>
      </c>
      <c r="N1007" s="28">
        <f>'Historical Data'!AK1004</f>
        <v/>
      </c>
      <c r="O1007" s="3">
        <f>'Historical Data'!AA1004</f>
        <v/>
      </c>
      <c r="P1007" s="3">
        <f>'Historical Data'!AB1004</f>
        <v/>
      </c>
      <c r="Q1007" s="3">
        <f>'Historical Data'!AN1004</f>
        <v/>
      </c>
      <c r="R1007" s="3">
        <f>'Historical Data'!AC1004</f>
        <v/>
      </c>
      <c r="S1007" s="3">
        <f>'Historical Data'!AE1004</f>
        <v/>
      </c>
      <c r="T1007" s="3">
        <f>'Historical Data'!AH1004</f>
        <v/>
      </c>
      <c r="U1007" s="3">
        <f>'Historical Data'!BA1004</f>
        <v/>
      </c>
      <c r="V1007" s="3" t="n"/>
      <c r="W1007" s="3" t="n"/>
      <c r="X1007" s="3" t="n"/>
      <c r="Y1007" s="3" t="n"/>
      <c r="Z1007" s="3" t="n"/>
    </row>
    <row r="1008" hidden="1" ht="15" customHeight="1" s="174">
      <c r="A1008" s="3">
        <f>'Historical Data'!A1005</f>
        <v/>
      </c>
      <c r="B1008" s="3">
        <f>'Historical Data'!B1005</f>
        <v/>
      </c>
      <c r="C1008" s="3">
        <f>'Historical Data'!D1005</f>
        <v/>
      </c>
      <c r="D1008" s="23">
        <f>'Historical Data'!E1005</f>
        <v/>
      </c>
      <c r="E1008" s="3">
        <f>'Historical Data'!G1005</f>
        <v/>
      </c>
      <c r="F1008" s="3">
        <f>'Historical Data'!Y1005</f>
        <v/>
      </c>
      <c r="G1008" s="3">
        <f>'Historical Data'!K1005</f>
        <v/>
      </c>
      <c r="H1008" s="3">
        <f>'Historical Data'!L1005</f>
        <v/>
      </c>
      <c r="I1008" s="26">
        <f>'Historical Data'!M1005</f>
        <v/>
      </c>
      <c r="J1008" s="28">
        <f>'Historical Data'!N1005</f>
        <v/>
      </c>
      <c r="K1008" s="28">
        <f>'Historical Data'!Q1005</f>
        <v/>
      </c>
      <c r="L1008" s="30">
        <f>'Historical Data'!S1005</f>
        <v/>
      </c>
      <c r="M1008" s="28">
        <f>'Historical Data'!AJ1005</f>
        <v/>
      </c>
      <c r="N1008" s="28">
        <f>'Historical Data'!AK1005</f>
        <v/>
      </c>
      <c r="O1008" s="3">
        <f>'Historical Data'!AA1005</f>
        <v/>
      </c>
      <c r="P1008" s="3">
        <f>'Historical Data'!AB1005</f>
        <v/>
      </c>
      <c r="Q1008" s="3">
        <f>'Historical Data'!AN1005</f>
        <v/>
      </c>
      <c r="R1008" s="3">
        <f>'Historical Data'!AC1005</f>
        <v/>
      </c>
      <c r="S1008" s="3">
        <f>'Historical Data'!AE1005</f>
        <v/>
      </c>
      <c r="T1008" s="3">
        <f>'Historical Data'!AH1005</f>
        <v/>
      </c>
      <c r="U1008" s="3">
        <f>'Historical Data'!BA1005</f>
        <v/>
      </c>
      <c r="V1008" s="3" t="n"/>
      <c r="W1008" s="3" t="n"/>
      <c r="X1008" s="3" t="n"/>
      <c r="Y1008" s="3" t="n"/>
      <c r="Z1008" s="3" t="n"/>
    </row>
    <row r="1009" hidden="1" ht="15" customHeight="1" s="174">
      <c r="A1009" s="3">
        <f>'Historical Data'!A1006</f>
        <v/>
      </c>
      <c r="B1009" s="3">
        <f>'Historical Data'!B1006</f>
        <v/>
      </c>
      <c r="C1009" s="3">
        <f>'Historical Data'!D1006</f>
        <v/>
      </c>
      <c r="D1009" s="23">
        <f>'Historical Data'!E1006</f>
        <v/>
      </c>
      <c r="E1009" s="3">
        <f>'Historical Data'!G1006</f>
        <v/>
      </c>
      <c r="F1009" s="3">
        <f>'Historical Data'!Y1006</f>
        <v/>
      </c>
      <c r="G1009" s="3">
        <f>'Historical Data'!K1006</f>
        <v/>
      </c>
      <c r="H1009" s="3">
        <f>'Historical Data'!L1006</f>
        <v/>
      </c>
      <c r="I1009" s="26">
        <f>'Historical Data'!M1006</f>
        <v/>
      </c>
      <c r="J1009" s="28">
        <f>'Historical Data'!N1006</f>
        <v/>
      </c>
      <c r="K1009" s="28">
        <f>'Historical Data'!Q1006</f>
        <v/>
      </c>
      <c r="L1009" s="30">
        <f>'Historical Data'!S1006</f>
        <v/>
      </c>
      <c r="M1009" s="28">
        <f>'Historical Data'!AJ1006</f>
        <v/>
      </c>
      <c r="N1009" s="28">
        <f>'Historical Data'!AK1006</f>
        <v/>
      </c>
      <c r="O1009" s="3">
        <f>'Historical Data'!AA1006</f>
        <v/>
      </c>
      <c r="P1009" s="3">
        <f>'Historical Data'!AB1006</f>
        <v/>
      </c>
      <c r="Q1009" s="3">
        <f>'Historical Data'!AN1006</f>
        <v/>
      </c>
      <c r="R1009" s="3">
        <f>'Historical Data'!AC1006</f>
        <v/>
      </c>
      <c r="S1009" s="3">
        <f>'Historical Data'!AE1006</f>
        <v/>
      </c>
      <c r="T1009" s="3">
        <f>'Historical Data'!AH1006</f>
        <v/>
      </c>
      <c r="U1009" s="3">
        <f>'Historical Data'!BA1006</f>
        <v/>
      </c>
      <c r="V1009" s="3" t="n"/>
      <c r="W1009" s="3" t="n"/>
      <c r="X1009" s="3" t="n"/>
      <c r="Y1009" s="3" t="n"/>
      <c r="Z1009" s="3" t="n"/>
    </row>
    <row r="1010" hidden="1" ht="15" customHeight="1" s="174">
      <c r="A1010" s="3">
        <f>'Historical Data'!A1007</f>
        <v/>
      </c>
      <c r="B1010" s="3">
        <f>'Historical Data'!B1007</f>
        <v/>
      </c>
      <c r="C1010" s="3">
        <f>'Historical Data'!D1007</f>
        <v/>
      </c>
      <c r="D1010" s="23">
        <f>'Historical Data'!E1007</f>
        <v/>
      </c>
      <c r="E1010" s="3">
        <f>'Historical Data'!G1007</f>
        <v/>
      </c>
      <c r="F1010" s="3">
        <f>'Historical Data'!Y1007</f>
        <v/>
      </c>
      <c r="G1010" s="3">
        <f>'Historical Data'!K1007</f>
        <v/>
      </c>
      <c r="H1010" s="3">
        <f>'Historical Data'!L1007</f>
        <v/>
      </c>
      <c r="I1010" s="26">
        <f>'Historical Data'!M1007</f>
        <v/>
      </c>
      <c r="J1010" s="28">
        <f>'Historical Data'!N1007</f>
        <v/>
      </c>
      <c r="K1010" s="28">
        <f>'Historical Data'!Q1007</f>
        <v/>
      </c>
      <c r="L1010" s="30">
        <f>'Historical Data'!S1007</f>
        <v/>
      </c>
      <c r="M1010" s="28">
        <f>'Historical Data'!AJ1007</f>
        <v/>
      </c>
      <c r="N1010" s="28">
        <f>'Historical Data'!AK1007</f>
        <v/>
      </c>
      <c r="O1010" s="3">
        <f>'Historical Data'!AA1007</f>
        <v/>
      </c>
      <c r="P1010" s="3">
        <f>'Historical Data'!AB1007</f>
        <v/>
      </c>
      <c r="Q1010" s="3">
        <f>'Historical Data'!AN1007</f>
        <v/>
      </c>
      <c r="R1010" s="3">
        <f>'Historical Data'!AC1007</f>
        <v/>
      </c>
      <c r="S1010" s="3">
        <f>'Historical Data'!AE1007</f>
        <v/>
      </c>
      <c r="T1010" s="3">
        <f>'Historical Data'!AH1007</f>
        <v/>
      </c>
      <c r="U1010" s="3">
        <f>'Historical Data'!BA1007</f>
        <v/>
      </c>
      <c r="V1010" s="3" t="n"/>
      <c r="W1010" s="3" t="n"/>
      <c r="X1010" s="3" t="n"/>
      <c r="Y1010" s="3" t="n"/>
      <c r="Z1010" s="3" t="n"/>
    </row>
    <row r="1011" hidden="1" ht="15" customHeight="1" s="174">
      <c r="A1011" s="3">
        <f>'Historical Data'!A1008</f>
        <v/>
      </c>
      <c r="B1011" s="3">
        <f>'Historical Data'!B1008</f>
        <v/>
      </c>
      <c r="C1011" s="3">
        <f>'Historical Data'!D1008</f>
        <v/>
      </c>
      <c r="D1011" s="23">
        <f>'Historical Data'!E1008</f>
        <v/>
      </c>
      <c r="E1011" s="3">
        <f>'Historical Data'!G1008</f>
        <v/>
      </c>
      <c r="F1011" s="3">
        <f>'Historical Data'!Y1008</f>
        <v/>
      </c>
      <c r="G1011" s="3">
        <f>'Historical Data'!K1008</f>
        <v/>
      </c>
      <c r="H1011" s="3">
        <f>'Historical Data'!L1008</f>
        <v/>
      </c>
      <c r="I1011" s="26">
        <f>'Historical Data'!M1008</f>
        <v/>
      </c>
      <c r="J1011" s="28">
        <f>'Historical Data'!N1008</f>
        <v/>
      </c>
      <c r="K1011" s="28">
        <f>'Historical Data'!Q1008</f>
        <v/>
      </c>
      <c r="L1011" s="30">
        <f>'Historical Data'!S1008</f>
        <v/>
      </c>
      <c r="M1011" s="28">
        <f>'Historical Data'!AJ1008</f>
        <v/>
      </c>
      <c r="N1011" s="28">
        <f>'Historical Data'!AK1008</f>
        <v/>
      </c>
      <c r="O1011" s="3">
        <f>'Historical Data'!AA1008</f>
        <v/>
      </c>
      <c r="P1011" s="3">
        <f>'Historical Data'!AB1008</f>
        <v/>
      </c>
      <c r="Q1011" s="3">
        <f>'Historical Data'!AN1008</f>
        <v/>
      </c>
      <c r="R1011" s="3">
        <f>'Historical Data'!AC1008</f>
        <v/>
      </c>
      <c r="S1011" s="3">
        <f>'Historical Data'!AE1008</f>
        <v/>
      </c>
      <c r="T1011" s="3">
        <f>'Historical Data'!AH1008</f>
        <v/>
      </c>
      <c r="U1011" s="3">
        <f>'Historical Data'!BA1008</f>
        <v/>
      </c>
      <c r="V1011" s="3" t="n"/>
      <c r="W1011" s="3" t="n"/>
      <c r="X1011" s="3" t="n"/>
      <c r="Y1011" s="3" t="n"/>
      <c r="Z1011" s="3" t="n"/>
    </row>
    <row r="1012" ht="15" customHeight="1" s="174">
      <c r="A1012" s="3">
        <f>'Historical Data'!A1009</f>
        <v/>
      </c>
      <c r="B1012" s="3">
        <f>'Historical Data'!B1009</f>
        <v/>
      </c>
      <c r="C1012" s="3">
        <f>'Historical Data'!D1009</f>
        <v/>
      </c>
      <c r="D1012" s="23">
        <f>'Historical Data'!E1009</f>
        <v/>
      </c>
      <c r="E1012" s="3">
        <f>'Historical Data'!G1009</f>
        <v/>
      </c>
      <c r="F1012" s="3">
        <f>'Historical Data'!Y1009</f>
        <v/>
      </c>
      <c r="G1012" s="3">
        <f>'Historical Data'!K1009</f>
        <v/>
      </c>
      <c r="H1012" s="3">
        <f>'Historical Data'!L1009</f>
        <v/>
      </c>
      <c r="I1012" s="26">
        <f>'Historical Data'!M1009</f>
        <v/>
      </c>
      <c r="J1012" s="28">
        <f>'Historical Data'!N1009</f>
        <v/>
      </c>
      <c r="K1012" s="28">
        <f>'Historical Data'!Q1009</f>
        <v/>
      </c>
      <c r="L1012" s="30">
        <f>'Historical Data'!S1009</f>
        <v/>
      </c>
      <c r="M1012" s="28">
        <f>'Historical Data'!AJ1009</f>
        <v/>
      </c>
      <c r="N1012" s="28">
        <f>'Historical Data'!AK1009</f>
        <v/>
      </c>
      <c r="O1012" s="3">
        <f>'Historical Data'!AA1009</f>
        <v/>
      </c>
      <c r="P1012" s="3">
        <f>'Historical Data'!AB1009</f>
        <v/>
      </c>
      <c r="Q1012" s="3">
        <f>'Historical Data'!AN1009</f>
        <v/>
      </c>
      <c r="R1012" s="3">
        <f>'Historical Data'!AC1009</f>
        <v/>
      </c>
      <c r="S1012" s="3">
        <f>'Historical Data'!AE1009</f>
        <v/>
      </c>
      <c r="T1012" s="3">
        <f>'Historical Data'!AH1009</f>
        <v/>
      </c>
      <c r="U1012" s="3">
        <f>'Historical Data'!BA1009</f>
        <v/>
      </c>
      <c r="V1012" s="3" t="n"/>
      <c r="W1012" s="3" t="n"/>
      <c r="X1012" s="3" t="n"/>
      <c r="Y1012" s="3" t="n"/>
      <c r="Z1012" s="3" t="n"/>
    </row>
    <row r="1013" hidden="1" ht="15" customHeight="1" s="174">
      <c r="A1013" s="3">
        <f>'Historical Data'!A1010</f>
        <v/>
      </c>
      <c r="B1013" s="3">
        <f>'Historical Data'!B1010</f>
        <v/>
      </c>
      <c r="C1013" s="3">
        <f>'Historical Data'!D1010</f>
        <v/>
      </c>
      <c r="D1013" s="23">
        <f>'Historical Data'!E1010</f>
        <v/>
      </c>
      <c r="E1013" s="3">
        <f>'Historical Data'!G1010</f>
        <v/>
      </c>
      <c r="F1013" s="3">
        <f>'Historical Data'!Y1010</f>
        <v/>
      </c>
      <c r="G1013" s="3">
        <f>'Historical Data'!K1010</f>
        <v/>
      </c>
      <c r="H1013" s="3">
        <f>'Historical Data'!L1010</f>
        <v/>
      </c>
      <c r="I1013" s="26">
        <f>'Historical Data'!M1010</f>
        <v/>
      </c>
      <c r="J1013" s="28">
        <f>'Historical Data'!N1010</f>
        <v/>
      </c>
      <c r="K1013" s="28">
        <f>'Historical Data'!Q1010</f>
        <v/>
      </c>
      <c r="L1013" s="30">
        <f>'Historical Data'!S1010</f>
        <v/>
      </c>
      <c r="M1013" s="28">
        <f>'Historical Data'!AJ1010</f>
        <v/>
      </c>
      <c r="N1013" s="28">
        <f>'Historical Data'!AK1010</f>
        <v/>
      </c>
      <c r="O1013" s="3">
        <f>'Historical Data'!AA1010</f>
        <v/>
      </c>
      <c r="P1013" s="3">
        <f>'Historical Data'!AB1010</f>
        <v/>
      </c>
      <c r="Q1013" s="3">
        <f>'Historical Data'!AN1010</f>
        <v/>
      </c>
      <c r="R1013" s="3">
        <f>'Historical Data'!AC1010</f>
        <v/>
      </c>
      <c r="S1013" s="3">
        <f>'Historical Data'!AE1010</f>
        <v/>
      </c>
      <c r="T1013" s="3">
        <f>'Historical Data'!AH1010</f>
        <v/>
      </c>
      <c r="U1013" s="3">
        <f>'Historical Data'!BA1010</f>
        <v/>
      </c>
      <c r="V1013" s="3" t="n"/>
      <c r="W1013" s="3" t="n"/>
      <c r="X1013" s="3" t="n"/>
      <c r="Y1013" s="3" t="n"/>
      <c r="Z1013" s="3" t="n"/>
    </row>
    <row r="1014" hidden="1" ht="15" customHeight="1" s="174">
      <c r="A1014" s="3">
        <f>'Historical Data'!A1011</f>
        <v/>
      </c>
      <c r="B1014" s="3">
        <f>'Historical Data'!B1011</f>
        <v/>
      </c>
      <c r="C1014" s="3">
        <f>'Historical Data'!D1011</f>
        <v/>
      </c>
      <c r="D1014" s="23">
        <f>'Historical Data'!E1011</f>
        <v/>
      </c>
      <c r="E1014" s="3">
        <f>'Historical Data'!G1011</f>
        <v/>
      </c>
      <c r="F1014" s="3">
        <f>'Historical Data'!Y1011</f>
        <v/>
      </c>
      <c r="G1014" s="3">
        <f>'Historical Data'!K1011</f>
        <v/>
      </c>
      <c r="H1014" s="3">
        <f>'Historical Data'!L1011</f>
        <v/>
      </c>
      <c r="I1014" s="26">
        <f>'Historical Data'!M1011</f>
        <v/>
      </c>
      <c r="J1014" s="28">
        <f>'Historical Data'!N1011</f>
        <v/>
      </c>
      <c r="K1014" s="28">
        <f>'Historical Data'!Q1011</f>
        <v/>
      </c>
      <c r="L1014" s="30">
        <f>'Historical Data'!S1011</f>
        <v/>
      </c>
      <c r="M1014" s="28">
        <f>'Historical Data'!AJ1011</f>
        <v/>
      </c>
      <c r="N1014" s="28">
        <f>'Historical Data'!AK1011</f>
        <v/>
      </c>
      <c r="O1014" s="3">
        <f>'Historical Data'!AA1011</f>
        <v/>
      </c>
      <c r="P1014" s="3">
        <f>'Historical Data'!AB1011</f>
        <v/>
      </c>
      <c r="Q1014" s="3">
        <f>'Historical Data'!AN1011</f>
        <v/>
      </c>
      <c r="R1014" s="3">
        <f>'Historical Data'!AC1011</f>
        <v/>
      </c>
      <c r="S1014" s="3">
        <f>'Historical Data'!AE1011</f>
        <v/>
      </c>
      <c r="T1014" s="3">
        <f>'Historical Data'!AH1011</f>
        <v/>
      </c>
      <c r="U1014" s="3">
        <f>'Historical Data'!BA1011</f>
        <v/>
      </c>
      <c r="V1014" s="3" t="n"/>
      <c r="W1014" s="3" t="n"/>
      <c r="X1014" s="3" t="n"/>
      <c r="Y1014" s="3" t="n"/>
      <c r="Z1014" s="3" t="n"/>
    </row>
    <row r="1015" hidden="1" ht="15" customHeight="1" s="174">
      <c r="A1015" s="3">
        <f>'Historical Data'!A1012</f>
        <v/>
      </c>
      <c r="B1015" s="3">
        <f>'Historical Data'!B1012</f>
        <v/>
      </c>
      <c r="C1015" s="3">
        <f>'Historical Data'!D1012</f>
        <v/>
      </c>
      <c r="D1015" s="23">
        <f>'Historical Data'!E1012</f>
        <v/>
      </c>
      <c r="E1015" s="3">
        <f>'Historical Data'!G1012</f>
        <v/>
      </c>
      <c r="F1015" s="3">
        <f>'Historical Data'!Y1012</f>
        <v/>
      </c>
      <c r="G1015" s="3">
        <f>'Historical Data'!K1012</f>
        <v/>
      </c>
      <c r="H1015" s="3">
        <f>'Historical Data'!L1012</f>
        <v/>
      </c>
      <c r="I1015" s="26">
        <f>'Historical Data'!M1012</f>
        <v/>
      </c>
      <c r="J1015" s="28">
        <f>'Historical Data'!N1012</f>
        <v/>
      </c>
      <c r="K1015" s="28">
        <f>'Historical Data'!Q1012</f>
        <v/>
      </c>
      <c r="L1015" s="30">
        <f>'Historical Data'!S1012</f>
        <v/>
      </c>
      <c r="M1015" s="28">
        <f>'Historical Data'!AJ1012</f>
        <v/>
      </c>
      <c r="N1015" s="28">
        <f>'Historical Data'!AK1012</f>
        <v/>
      </c>
      <c r="O1015" s="3">
        <f>'Historical Data'!AA1012</f>
        <v/>
      </c>
      <c r="P1015" s="3">
        <f>'Historical Data'!AB1012</f>
        <v/>
      </c>
      <c r="Q1015" s="3">
        <f>'Historical Data'!AN1012</f>
        <v/>
      </c>
      <c r="R1015" s="3">
        <f>'Historical Data'!AC1012</f>
        <v/>
      </c>
      <c r="S1015" s="3">
        <f>'Historical Data'!AE1012</f>
        <v/>
      </c>
      <c r="T1015" s="3">
        <f>'Historical Data'!AH1012</f>
        <v/>
      </c>
      <c r="U1015" s="3">
        <f>'Historical Data'!BA1012</f>
        <v/>
      </c>
      <c r="V1015" s="3" t="n"/>
      <c r="W1015" s="3" t="n"/>
      <c r="X1015" s="3" t="n"/>
      <c r="Y1015" s="3" t="n"/>
      <c r="Z1015" s="3" t="n"/>
    </row>
    <row r="1016" hidden="1" ht="15" customHeight="1" s="174">
      <c r="A1016" s="3">
        <f>'Historical Data'!A1013</f>
        <v/>
      </c>
      <c r="B1016" s="3">
        <f>'Historical Data'!B1013</f>
        <v/>
      </c>
      <c r="C1016" s="3">
        <f>'Historical Data'!D1013</f>
        <v/>
      </c>
      <c r="D1016" s="23">
        <f>'Historical Data'!E1013</f>
        <v/>
      </c>
      <c r="E1016" s="3">
        <f>'Historical Data'!G1013</f>
        <v/>
      </c>
      <c r="F1016" s="3">
        <f>'Historical Data'!Y1013</f>
        <v/>
      </c>
      <c r="G1016" s="3">
        <f>'Historical Data'!K1013</f>
        <v/>
      </c>
      <c r="H1016" s="3">
        <f>'Historical Data'!L1013</f>
        <v/>
      </c>
      <c r="I1016" s="26">
        <f>'Historical Data'!M1013</f>
        <v/>
      </c>
      <c r="J1016" s="28">
        <f>'Historical Data'!N1013</f>
        <v/>
      </c>
      <c r="K1016" s="28">
        <f>'Historical Data'!Q1013</f>
        <v/>
      </c>
      <c r="L1016" s="30">
        <f>'Historical Data'!S1013</f>
        <v/>
      </c>
      <c r="M1016" s="28">
        <f>'Historical Data'!AJ1013</f>
        <v/>
      </c>
      <c r="N1016" s="28">
        <f>'Historical Data'!AK1013</f>
        <v/>
      </c>
      <c r="O1016" s="3">
        <f>'Historical Data'!AA1013</f>
        <v/>
      </c>
      <c r="P1016" s="3">
        <f>'Historical Data'!AB1013</f>
        <v/>
      </c>
      <c r="Q1016" s="3">
        <f>'Historical Data'!AN1013</f>
        <v/>
      </c>
      <c r="R1016" s="3">
        <f>'Historical Data'!AC1013</f>
        <v/>
      </c>
      <c r="S1016" s="3">
        <f>'Historical Data'!AE1013</f>
        <v/>
      </c>
      <c r="T1016" s="3">
        <f>'Historical Data'!AH1013</f>
        <v/>
      </c>
      <c r="U1016" s="3">
        <f>'Historical Data'!BA1013</f>
        <v/>
      </c>
      <c r="V1016" s="3" t="n"/>
      <c r="W1016" s="3" t="n"/>
      <c r="X1016" s="3" t="n"/>
      <c r="Y1016" s="3" t="n"/>
      <c r="Z1016" s="3" t="n"/>
    </row>
    <row r="1017" hidden="1" ht="15" customHeight="1" s="174">
      <c r="A1017" s="3">
        <f>'Historical Data'!A1014</f>
        <v/>
      </c>
      <c r="B1017" s="3">
        <f>'Historical Data'!B1014</f>
        <v/>
      </c>
      <c r="C1017" s="3">
        <f>'Historical Data'!D1014</f>
        <v/>
      </c>
      <c r="D1017" s="23">
        <f>'Historical Data'!E1014</f>
        <v/>
      </c>
      <c r="E1017" s="3">
        <f>'Historical Data'!G1014</f>
        <v/>
      </c>
      <c r="F1017" s="3">
        <f>'Historical Data'!Y1014</f>
        <v/>
      </c>
      <c r="G1017" s="3">
        <f>'Historical Data'!K1014</f>
        <v/>
      </c>
      <c r="H1017" s="3">
        <f>'Historical Data'!L1014</f>
        <v/>
      </c>
      <c r="I1017" s="26">
        <f>'Historical Data'!M1014</f>
        <v/>
      </c>
      <c r="J1017" s="28">
        <f>'Historical Data'!N1014</f>
        <v/>
      </c>
      <c r="K1017" s="28">
        <f>'Historical Data'!Q1014</f>
        <v/>
      </c>
      <c r="L1017" s="30">
        <f>'Historical Data'!S1014</f>
        <v/>
      </c>
      <c r="M1017" s="28">
        <f>'Historical Data'!AJ1014</f>
        <v/>
      </c>
      <c r="N1017" s="28">
        <f>'Historical Data'!AK1014</f>
        <v/>
      </c>
      <c r="O1017" s="3">
        <f>'Historical Data'!AA1014</f>
        <v/>
      </c>
      <c r="P1017" s="3">
        <f>'Historical Data'!AB1014</f>
        <v/>
      </c>
      <c r="Q1017" s="3">
        <f>'Historical Data'!AN1014</f>
        <v/>
      </c>
      <c r="R1017" s="3">
        <f>'Historical Data'!AC1014</f>
        <v/>
      </c>
      <c r="S1017" s="3">
        <f>'Historical Data'!AE1014</f>
        <v/>
      </c>
      <c r="T1017" s="3">
        <f>'Historical Data'!AH1014</f>
        <v/>
      </c>
      <c r="U1017" s="3">
        <f>'Historical Data'!BA1014</f>
        <v/>
      </c>
      <c r="V1017" s="3" t="n"/>
      <c r="W1017" s="3" t="n"/>
      <c r="X1017" s="3" t="n"/>
      <c r="Y1017" s="3" t="n"/>
      <c r="Z1017" s="3" t="n"/>
    </row>
    <row r="1018" hidden="1" ht="15" customHeight="1" s="174">
      <c r="A1018" s="3">
        <f>'Historical Data'!A1015</f>
        <v/>
      </c>
      <c r="B1018" s="3">
        <f>'Historical Data'!B1015</f>
        <v/>
      </c>
      <c r="C1018" s="3">
        <f>'Historical Data'!D1015</f>
        <v/>
      </c>
      <c r="D1018" s="23">
        <f>'Historical Data'!E1015</f>
        <v/>
      </c>
      <c r="E1018" s="3">
        <f>'Historical Data'!G1015</f>
        <v/>
      </c>
      <c r="F1018" s="3">
        <f>'Historical Data'!Y1015</f>
        <v/>
      </c>
      <c r="G1018" s="3">
        <f>'Historical Data'!K1015</f>
        <v/>
      </c>
      <c r="H1018" s="3">
        <f>'Historical Data'!L1015</f>
        <v/>
      </c>
      <c r="I1018" s="26">
        <f>'Historical Data'!M1015</f>
        <v/>
      </c>
      <c r="J1018" s="28">
        <f>'Historical Data'!N1015</f>
        <v/>
      </c>
      <c r="K1018" s="28">
        <f>'Historical Data'!Q1015</f>
        <v/>
      </c>
      <c r="L1018" s="30">
        <f>'Historical Data'!S1015</f>
        <v/>
      </c>
      <c r="M1018" s="28">
        <f>'Historical Data'!AJ1015</f>
        <v/>
      </c>
      <c r="N1018" s="28">
        <f>'Historical Data'!AK1015</f>
        <v/>
      </c>
      <c r="O1018" s="3">
        <f>'Historical Data'!AA1015</f>
        <v/>
      </c>
      <c r="P1018" s="3">
        <f>'Historical Data'!AB1015</f>
        <v/>
      </c>
      <c r="Q1018" s="3">
        <f>'Historical Data'!AN1015</f>
        <v/>
      </c>
      <c r="R1018" s="3">
        <f>'Historical Data'!AC1015</f>
        <v/>
      </c>
      <c r="S1018" s="3">
        <f>'Historical Data'!AE1015</f>
        <v/>
      </c>
      <c r="T1018" s="3">
        <f>'Historical Data'!AH1015</f>
        <v/>
      </c>
      <c r="U1018" s="3">
        <f>'Historical Data'!BA1015</f>
        <v/>
      </c>
      <c r="V1018" s="3" t="n"/>
      <c r="W1018" s="3" t="n"/>
      <c r="X1018" s="3" t="n"/>
      <c r="Y1018" s="3" t="n"/>
      <c r="Z1018" s="3" t="n"/>
    </row>
    <row r="1019" hidden="1" ht="15" customHeight="1" s="174">
      <c r="A1019" s="3">
        <f>'Historical Data'!A1016</f>
        <v/>
      </c>
      <c r="B1019" s="3">
        <f>'Historical Data'!B1016</f>
        <v/>
      </c>
      <c r="C1019" s="3">
        <f>'Historical Data'!D1016</f>
        <v/>
      </c>
      <c r="D1019" s="23">
        <f>'Historical Data'!E1016</f>
        <v/>
      </c>
      <c r="E1019" s="3">
        <f>'Historical Data'!G1016</f>
        <v/>
      </c>
      <c r="F1019" s="3">
        <f>'Historical Data'!Y1016</f>
        <v/>
      </c>
      <c r="G1019" s="3">
        <f>'Historical Data'!K1016</f>
        <v/>
      </c>
      <c r="H1019" s="3">
        <f>'Historical Data'!L1016</f>
        <v/>
      </c>
      <c r="I1019" s="26">
        <f>'Historical Data'!M1016</f>
        <v/>
      </c>
      <c r="J1019" s="28">
        <f>'Historical Data'!N1016</f>
        <v/>
      </c>
      <c r="K1019" s="28">
        <f>'Historical Data'!Q1016</f>
        <v/>
      </c>
      <c r="L1019" s="30">
        <f>'Historical Data'!S1016</f>
        <v/>
      </c>
      <c r="M1019" s="28">
        <f>'Historical Data'!AJ1016</f>
        <v/>
      </c>
      <c r="N1019" s="28">
        <f>'Historical Data'!AK1016</f>
        <v/>
      </c>
      <c r="O1019" s="3">
        <f>'Historical Data'!AA1016</f>
        <v/>
      </c>
      <c r="P1019" s="3">
        <f>'Historical Data'!AB1016</f>
        <v/>
      </c>
      <c r="Q1019" s="3">
        <f>'Historical Data'!AN1016</f>
        <v/>
      </c>
      <c r="R1019" s="3">
        <f>'Historical Data'!AC1016</f>
        <v/>
      </c>
      <c r="S1019" s="3">
        <f>'Historical Data'!AE1016</f>
        <v/>
      </c>
      <c r="T1019" s="3">
        <f>'Historical Data'!AH1016</f>
        <v/>
      </c>
      <c r="U1019" s="3">
        <f>'Historical Data'!BA1016</f>
        <v/>
      </c>
      <c r="V1019" s="3" t="n"/>
      <c r="W1019" s="3" t="n"/>
      <c r="X1019" s="3" t="n"/>
      <c r="Y1019" s="3" t="n"/>
      <c r="Z1019" s="3" t="n"/>
    </row>
    <row r="1020" hidden="1" ht="15" customHeight="1" s="174">
      <c r="A1020" s="3">
        <f>'Historical Data'!A1017</f>
        <v/>
      </c>
      <c r="B1020" s="3">
        <f>'Historical Data'!B1017</f>
        <v/>
      </c>
      <c r="C1020" s="3">
        <f>'Historical Data'!D1017</f>
        <v/>
      </c>
      <c r="D1020" s="23">
        <f>'Historical Data'!E1017</f>
        <v/>
      </c>
      <c r="E1020" s="3">
        <f>'Historical Data'!G1017</f>
        <v/>
      </c>
      <c r="F1020" s="3">
        <f>'Historical Data'!Y1017</f>
        <v/>
      </c>
      <c r="G1020" s="3">
        <f>'Historical Data'!K1017</f>
        <v/>
      </c>
      <c r="H1020" s="3">
        <f>'Historical Data'!L1017</f>
        <v/>
      </c>
      <c r="I1020" s="26">
        <f>'Historical Data'!M1017</f>
        <v/>
      </c>
      <c r="J1020" s="28">
        <f>'Historical Data'!N1017</f>
        <v/>
      </c>
      <c r="K1020" s="28">
        <f>'Historical Data'!Q1017</f>
        <v/>
      </c>
      <c r="L1020" s="30">
        <f>'Historical Data'!S1017</f>
        <v/>
      </c>
      <c r="M1020" s="28">
        <f>'Historical Data'!AJ1017</f>
        <v/>
      </c>
      <c r="N1020" s="28">
        <f>'Historical Data'!AK1017</f>
        <v/>
      </c>
      <c r="O1020" s="3">
        <f>'Historical Data'!AA1017</f>
        <v/>
      </c>
      <c r="P1020" s="3">
        <f>'Historical Data'!AB1017</f>
        <v/>
      </c>
      <c r="Q1020" s="3">
        <f>'Historical Data'!AN1017</f>
        <v/>
      </c>
      <c r="R1020" s="3">
        <f>'Historical Data'!AC1017</f>
        <v/>
      </c>
      <c r="S1020" s="3">
        <f>'Historical Data'!AE1017</f>
        <v/>
      </c>
      <c r="T1020" s="3">
        <f>'Historical Data'!AH1017</f>
        <v/>
      </c>
      <c r="U1020" s="3">
        <f>'Historical Data'!BA1017</f>
        <v/>
      </c>
      <c r="V1020" s="3" t="n"/>
      <c r="W1020" s="3" t="n"/>
      <c r="X1020" s="3" t="n"/>
      <c r="Y1020" s="3" t="n"/>
      <c r="Z1020" s="3" t="n"/>
    </row>
    <row r="1021" hidden="1" ht="15" customHeight="1" s="174">
      <c r="A1021" s="3">
        <f>'Historical Data'!A1018</f>
        <v/>
      </c>
      <c r="B1021" s="3">
        <f>'Historical Data'!B1018</f>
        <v/>
      </c>
      <c r="C1021" s="3">
        <f>'Historical Data'!D1018</f>
        <v/>
      </c>
      <c r="D1021" s="23">
        <f>'Historical Data'!E1018</f>
        <v/>
      </c>
      <c r="E1021" s="3">
        <f>'Historical Data'!G1018</f>
        <v/>
      </c>
      <c r="F1021" s="3">
        <f>'Historical Data'!Y1018</f>
        <v/>
      </c>
      <c r="G1021" s="3">
        <f>'Historical Data'!K1018</f>
        <v/>
      </c>
      <c r="H1021" s="3">
        <f>'Historical Data'!L1018</f>
        <v/>
      </c>
      <c r="I1021" s="26">
        <f>'Historical Data'!M1018</f>
        <v/>
      </c>
      <c r="J1021" s="28">
        <f>'Historical Data'!N1018</f>
        <v/>
      </c>
      <c r="K1021" s="28">
        <f>'Historical Data'!Q1018</f>
        <v/>
      </c>
      <c r="L1021" s="30">
        <f>'Historical Data'!S1018</f>
        <v/>
      </c>
      <c r="M1021" s="28">
        <f>'Historical Data'!AJ1018</f>
        <v/>
      </c>
      <c r="N1021" s="28">
        <f>'Historical Data'!AK1018</f>
        <v/>
      </c>
      <c r="O1021" s="3">
        <f>'Historical Data'!AA1018</f>
        <v/>
      </c>
      <c r="P1021" s="3">
        <f>'Historical Data'!AB1018</f>
        <v/>
      </c>
      <c r="Q1021" s="3">
        <f>'Historical Data'!AN1018</f>
        <v/>
      </c>
      <c r="R1021" s="3">
        <f>'Historical Data'!AC1018</f>
        <v/>
      </c>
      <c r="S1021" s="3">
        <f>'Historical Data'!AE1018</f>
        <v/>
      </c>
      <c r="T1021" s="3">
        <f>'Historical Data'!AH1018</f>
        <v/>
      </c>
      <c r="U1021" s="3">
        <f>'Historical Data'!BA1018</f>
        <v/>
      </c>
      <c r="V1021" s="3" t="n"/>
      <c r="W1021" s="3" t="n"/>
      <c r="X1021" s="3" t="n"/>
      <c r="Y1021" s="3" t="n"/>
      <c r="Z1021" s="3" t="n"/>
    </row>
    <row r="1022" hidden="1" ht="15" customHeight="1" s="174">
      <c r="A1022" s="3">
        <f>'Historical Data'!A1019</f>
        <v/>
      </c>
      <c r="B1022" s="3">
        <f>'Historical Data'!B1019</f>
        <v/>
      </c>
      <c r="C1022" s="3">
        <f>'Historical Data'!D1019</f>
        <v/>
      </c>
      <c r="D1022" s="23">
        <f>'Historical Data'!E1019</f>
        <v/>
      </c>
      <c r="E1022" s="3">
        <f>'Historical Data'!G1019</f>
        <v/>
      </c>
      <c r="F1022" s="3">
        <f>'Historical Data'!Y1019</f>
        <v/>
      </c>
      <c r="G1022" s="3">
        <f>'Historical Data'!K1019</f>
        <v/>
      </c>
      <c r="H1022" s="3">
        <f>'Historical Data'!L1019</f>
        <v/>
      </c>
      <c r="I1022" s="26">
        <f>'Historical Data'!M1019</f>
        <v/>
      </c>
      <c r="J1022" s="28">
        <f>'Historical Data'!N1019</f>
        <v/>
      </c>
      <c r="K1022" s="28">
        <f>'Historical Data'!Q1019</f>
        <v/>
      </c>
      <c r="L1022" s="30">
        <f>'Historical Data'!S1019</f>
        <v/>
      </c>
      <c r="M1022" s="28">
        <f>'Historical Data'!AJ1019</f>
        <v/>
      </c>
      <c r="N1022" s="28">
        <f>'Historical Data'!AK1019</f>
        <v/>
      </c>
      <c r="O1022" s="3">
        <f>'Historical Data'!AA1019</f>
        <v/>
      </c>
      <c r="P1022" s="3">
        <f>'Historical Data'!AB1019</f>
        <v/>
      </c>
      <c r="Q1022" s="3">
        <f>'Historical Data'!AN1019</f>
        <v/>
      </c>
      <c r="R1022" s="3">
        <f>'Historical Data'!AC1019</f>
        <v/>
      </c>
      <c r="S1022" s="3">
        <f>'Historical Data'!AE1019</f>
        <v/>
      </c>
      <c r="T1022" s="3">
        <f>'Historical Data'!AH1019</f>
        <v/>
      </c>
      <c r="U1022" s="3">
        <f>'Historical Data'!BA1019</f>
        <v/>
      </c>
      <c r="V1022" s="3" t="n"/>
      <c r="W1022" s="3" t="n"/>
      <c r="X1022" s="3" t="n"/>
      <c r="Y1022" s="3" t="n"/>
      <c r="Z1022" s="3" t="n"/>
    </row>
    <row r="1023" hidden="1" ht="15" customHeight="1" s="174">
      <c r="A1023" s="3">
        <f>'Historical Data'!A1020</f>
        <v/>
      </c>
      <c r="B1023" s="3">
        <f>'Historical Data'!B1020</f>
        <v/>
      </c>
      <c r="C1023" s="3">
        <f>'Historical Data'!D1020</f>
        <v/>
      </c>
      <c r="D1023" s="23">
        <f>'Historical Data'!E1020</f>
        <v/>
      </c>
      <c r="E1023" s="3">
        <f>'Historical Data'!G1020</f>
        <v/>
      </c>
      <c r="F1023" s="3">
        <f>'Historical Data'!Y1020</f>
        <v/>
      </c>
      <c r="G1023" s="3">
        <f>'Historical Data'!K1020</f>
        <v/>
      </c>
      <c r="H1023" s="3">
        <f>'Historical Data'!L1020</f>
        <v/>
      </c>
      <c r="I1023" s="26">
        <f>'Historical Data'!M1020</f>
        <v/>
      </c>
      <c r="J1023" s="28">
        <f>'Historical Data'!N1020</f>
        <v/>
      </c>
      <c r="K1023" s="28">
        <f>'Historical Data'!Q1020</f>
        <v/>
      </c>
      <c r="L1023" s="30">
        <f>'Historical Data'!S1020</f>
        <v/>
      </c>
      <c r="M1023" s="28">
        <f>'Historical Data'!AJ1020</f>
        <v/>
      </c>
      <c r="N1023" s="28">
        <f>'Historical Data'!AK1020</f>
        <v/>
      </c>
      <c r="O1023" s="3">
        <f>'Historical Data'!AA1020</f>
        <v/>
      </c>
      <c r="P1023" s="3">
        <f>'Historical Data'!AB1020</f>
        <v/>
      </c>
      <c r="Q1023" s="3">
        <f>'Historical Data'!AN1020</f>
        <v/>
      </c>
      <c r="R1023" s="3">
        <f>'Historical Data'!AC1020</f>
        <v/>
      </c>
      <c r="S1023" s="3">
        <f>'Historical Data'!AE1020</f>
        <v/>
      </c>
      <c r="T1023" s="3">
        <f>'Historical Data'!AH1020</f>
        <v/>
      </c>
      <c r="U1023" s="3">
        <f>'Historical Data'!BA1020</f>
        <v/>
      </c>
      <c r="V1023" s="3" t="n"/>
      <c r="W1023" s="3" t="n"/>
      <c r="X1023" s="3" t="n"/>
      <c r="Y1023" s="3" t="n"/>
      <c r="Z1023" s="3" t="n"/>
    </row>
    <row r="1024" hidden="1" ht="15" customHeight="1" s="174">
      <c r="A1024" s="3">
        <f>'Historical Data'!A1021</f>
        <v/>
      </c>
      <c r="B1024" s="3">
        <f>'Historical Data'!B1021</f>
        <v/>
      </c>
      <c r="C1024" s="3">
        <f>'Historical Data'!D1021</f>
        <v/>
      </c>
      <c r="D1024" s="23">
        <f>'Historical Data'!E1021</f>
        <v/>
      </c>
      <c r="E1024" s="3">
        <f>'Historical Data'!G1021</f>
        <v/>
      </c>
      <c r="F1024" s="3">
        <f>'Historical Data'!Y1021</f>
        <v/>
      </c>
      <c r="G1024" s="3">
        <f>'Historical Data'!K1021</f>
        <v/>
      </c>
      <c r="H1024" s="3">
        <f>'Historical Data'!L1021</f>
        <v/>
      </c>
      <c r="I1024" s="26">
        <f>'Historical Data'!M1021</f>
        <v/>
      </c>
      <c r="J1024" s="28">
        <f>'Historical Data'!N1021</f>
        <v/>
      </c>
      <c r="K1024" s="28">
        <f>'Historical Data'!Q1021</f>
        <v/>
      </c>
      <c r="L1024" s="30">
        <f>'Historical Data'!S1021</f>
        <v/>
      </c>
      <c r="M1024" s="28">
        <f>'Historical Data'!AJ1021</f>
        <v/>
      </c>
      <c r="N1024" s="28">
        <f>'Historical Data'!AK1021</f>
        <v/>
      </c>
      <c r="O1024" s="3">
        <f>'Historical Data'!AA1021</f>
        <v/>
      </c>
      <c r="P1024" s="3">
        <f>'Historical Data'!AB1021</f>
        <v/>
      </c>
      <c r="Q1024" s="3">
        <f>'Historical Data'!AN1021</f>
        <v/>
      </c>
      <c r="R1024" s="3">
        <f>'Historical Data'!AC1021</f>
        <v/>
      </c>
      <c r="S1024" s="3">
        <f>'Historical Data'!AE1021</f>
        <v/>
      </c>
      <c r="T1024" s="3">
        <f>'Historical Data'!AH1021</f>
        <v/>
      </c>
      <c r="U1024" s="3">
        <f>'Historical Data'!BA1021</f>
        <v/>
      </c>
      <c r="V1024" s="3" t="n"/>
      <c r="W1024" s="3" t="n"/>
      <c r="X1024" s="3" t="n"/>
      <c r="Y1024" s="3" t="n"/>
      <c r="Z1024" s="3" t="n"/>
    </row>
    <row r="1025" hidden="1" ht="15" customHeight="1" s="174">
      <c r="A1025" s="3">
        <f>'Historical Data'!A1022</f>
        <v/>
      </c>
      <c r="B1025" s="3">
        <f>'Historical Data'!B1022</f>
        <v/>
      </c>
      <c r="C1025" s="3">
        <f>'Historical Data'!D1022</f>
        <v/>
      </c>
      <c r="D1025" s="23">
        <f>'Historical Data'!E1022</f>
        <v/>
      </c>
      <c r="E1025" s="3">
        <f>'Historical Data'!G1022</f>
        <v/>
      </c>
      <c r="F1025" s="3">
        <f>'Historical Data'!Y1022</f>
        <v/>
      </c>
      <c r="G1025" s="3">
        <f>'Historical Data'!K1022</f>
        <v/>
      </c>
      <c r="H1025" s="3">
        <f>'Historical Data'!L1022</f>
        <v/>
      </c>
      <c r="I1025" s="26">
        <f>'Historical Data'!M1022</f>
        <v/>
      </c>
      <c r="J1025" s="28">
        <f>'Historical Data'!N1022</f>
        <v/>
      </c>
      <c r="K1025" s="28">
        <f>'Historical Data'!Q1022</f>
        <v/>
      </c>
      <c r="L1025" s="30">
        <f>'Historical Data'!S1022</f>
        <v/>
      </c>
      <c r="M1025" s="28">
        <f>'Historical Data'!AJ1022</f>
        <v/>
      </c>
      <c r="N1025" s="28">
        <f>'Historical Data'!AK1022</f>
        <v/>
      </c>
      <c r="O1025" s="3">
        <f>'Historical Data'!AA1022</f>
        <v/>
      </c>
      <c r="P1025" s="3">
        <f>'Historical Data'!AB1022</f>
        <v/>
      </c>
      <c r="Q1025" s="3">
        <f>'Historical Data'!AN1022</f>
        <v/>
      </c>
      <c r="R1025" s="3">
        <f>'Historical Data'!AC1022</f>
        <v/>
      </c>
      <c r="S1025" s="3">
        <f>'Historical Data'!AE1022</f>
        <v/>
      </c>
      <c r="T1025" s="3">
        <f>'Historical Data'!AH1022</f>
        <v/>
      </c>
      <c r="U1025" s="3">
        <f>'Historical Data'!BA1022</f>
        <v/>
      </c>
      <c r="V1025" s="3" t="n"/>
      <c r="W1025" s="3" t="n"/>
      <c r="X1025" s="3" t="n"/>
      <c r="Y1025" s="3" t="n"/>
      <c r="Z1025" s="3" t="n"/>
    </row>
    <row r="1026" hidden="1" ht="15" customHeight="1" s="174">
      <c r="A1026" s="3">
        <f>'Historical Data'!A1023</f>
        <v/>
      </c>
      <c r="B1026" s="3">
        <f>'Historical Data'!B1023</f>
        <v/>
      </c>
      <c r="C1026" s="3">
        <f>'Historical Data'!D1023</f>
        <v/>
      </c>
      <c r="D1026" s="23">
        <f>'Historical Data'!E1023</f>
        <v/>
      </c>
      <c r="E1026" s="3">
        <f>'Historical Data'!G1023</f>
        <v/>
      </c>
      <c r="F1026" s="3">
        <f>'Historical Data'!Y1023</f>
        <v/>
      </c>
      <c r="G1026" s="3">
        <f>'Historical Data'!K1023</f>
        <v/>
      </c>
      <c r="H1026" s="3">
        <f>'Historical Data'!L1023</f>
        <v/>
      </c>
      <c r="I1026" s="26">
        <f>'Historical Data'!M1023</f>
        <v/>
      </c>
      <c r="J1026" s="28">
        <f>'Historical Data'!N1023</f>
        <v/>
      </c>
      <c r="K1026" s="28">
        <f>'Historical Data'!Q1023</f>
        <v/>
      </c>
      <c r="L1026" s="30">
        <f>'Historical Data'!S1023</f>
        <v/>
      </c>
      <c r="M1026" s="28">
        <f>'Historical Data'!AJ1023</f>
        <v/>
      </c>
      <c r="N1026" s="28">
        <f>'Historical Data'!AK1023</f>
        <v/>
      </c>
      <c r="O1026" s="3">
        <f>'Historical Data'!AA1023</f>
        <v/>
      </c>
      <c r="P1026" s="3">
        <f>'Historical Data'!AB1023</f>
        <v/>
      </c>
      <c r="Q1026" s="3">
        <f>'Historical Data'!AN1023</f>
        <v/>
      </c>
      <c r="R1026" s="3">
        <f>'Historical Data'!AC1023</f>
        <v/>
      </c>
      <c r="S1026" s="3">
        <f>'Historical Data'!AE1023</f>
        <v/>
      </c>
      <c r="T1026" s="3">
        <f>'Historical Data'!AH1023</f>
        <v/>
      </c>
      <c r="U1026" s="3">
        <f>'Historical Data'!BA1023</f>
        <v/>
      </c>
      <c r="V1026" s="3" t="n"/>
      <c r="W1026" s="3" t="n"/>
      <c r="X1026" s="3" t="n"/>
      <c r="Y1026" s="3" t="n"/>
      <c r="Z1026" s="3" t="n"/>
    </row>
    <row r="1027" hidden="1" ht="15" customHeight="1" s="174">
      <c r="A1027" s="3">
        <f>'Historical Data'!A1024</f>
        <v/>
      </c>
      <c r="B1027" s="3">
        <f>'Historical Data'!B1024</f>
        <v/>
      </c>
      <c r="C1027" s="3">
        <f>'Historical Data'!D1024</f>
        <v/>
      </c>
      <c r="D1027" s="23">
        <f>'Historical Data'!E1024</f>
        <v/>
      </c>
      <c r="E1027" s="3">
        <f>'Historical Data'!G1024</f>
        <v/>
      </c>
      <c r="F1027" s="3">
        <f>'Historical Data'!Y1024</f>
        <v/>
      </c>
      <c r="G1027" s="3">
        <f>'Historical Data'!K1024</f>
        <v/>
      </c>
      <c r="H1027" s="3">
        <f>'Historical Data'!L1024</f>
        <v/>
      </c>
      <c r="I1027" s="26">
        <f>'Historical Data'!M1024</f>
        <v/>
      </c>
      <c r="J1027" s="28">
        <f>'Historical Data'!N1024</f>
        <v/>
      </c>
      <c r="K1027" s="28">
        <f>'Historical Data'!Q1024</f>
        <v/>
      </c>
      <c r="L1027" s="30">
        <f>'Historical Data'!S1024</f>
        <v/>
      </c>
      <c r="M1027" s="28">
        <f>'Historical Data'!AJ1024</f>
        <v/>
      </c>
      <c r="N1027" s="28">
        <f>'Historical Data'!AK1024</f>
        <v/>
      </c>
      <c r="O1027" s="3">
        <f>'Historical Data'!AA1024</f>
        <v/>
      </c>
      <c r="P1027" s="3">
        <f>'Historical Data'!AB1024</f>
        <v/>
      </c>
      <c r="Q1027" s="3">
        <f>'Historical Data'!AN1024</f>
        <v/>
      </c>
      <c r="R1027" s="3">
        <f>'Historical Data'!AC1024</f>
        <v/>
      </c>
      <c r="S1027" s="3">
        <f>'Historical Data'!AE1024</f>
        <v/>
      </c>
      <c r="T1027" s="3">
        <f>'Historical Data'!AH1024</f>
        <v/>
      </c>
      <c r="U1027" s="3">
        <f>'Historical Data'!BA1024</f>
        <v/>
      </c>
      <c r="V1027" s="3" t="n"/>
      <c r="W1027" s="3" t="n"/>
      <c r="X1027" s="3" t="n"/>
      <c r="Y1027" s="3" t="n"/>
      <c r="Z1027" s="3" t="n"/>
    </row>
    <row r="1028" hidden="1" ht="15" customHeight="1" s="174">
      <c r="A1028" s="3">
        <f>'Historical Data'!A1025</f>
        <v/>
      </c>
      <c r="B1028" s="3">
        <f>'Historical Data'!B1025</f>
        <v/>
      </c>
      <c r="C1028" s="3">
        <f>'Historical Data'!D1025</f>
        <v/>
      </c>
      <c r="D1028" s="23">
        <f>'Historical Data'!E1025</f>
        <v/>
      </c>
      <c r="E1028" s="3">
        <f>'Historical Data'!G1025</f>
        <v/>
      </c>
      <c r="F1028" s="3">
        <f>'Historical Data'!Y1025</f>
        <v/>
      </c>
      <c r="G1028" s="3">
        <f>'Historical Data'!K1025</f>
        <v/>
      </c>
      <c r="H1028" s="3">
        <f>'Historical Data'!L1025</f>
        <v/>
      </c>
      <c r="I1028" s="26">
        <f>'Historical Data'!M1025</f>
        <v/>
      </c>
      <c r="J1028" s="28">
        <f>'Historical Data'!N1025</f>
        <v/>
      </c>
      <c r="K1028" s="28">
        <f>'Historical Data'!Q1025</f>
        <v/>
      </c>
      <c r="L1028" s="30">
        <f>'Historical Data'!S1025</f>
        <v/>
      </c>
      <c r="M1028" s="28">
        <f>'Historical Data'!AJ1025</f>
        <v/>
      </c>
      <c r="N1028" s="28">
        <f>'Historical Data'!AK1025</f>
        <v/>
      </c>
      <c r="O1028" s="3">
        <f>'Historical Data'!AA1025</f>
        <v/>
      </c>
      <c r="P1028" s="3">
        <f>'Historical Data'!AB1025</f>
        <v/>
      </c>
      <c r="Q1028" s="3">
        <f>'Historical Data'!AN1025</f>
        <v/>
      </c>
      <c r="R1028" s="3">
        <f>'Historical Data'!AC1025</f>
        <v/>
      </c>
      <c r="S1028" s="3">
        <f>'Historical Data'!AE1025</f>
        <v/>
      </c>
      <c r="T1028" s="3">
        <f>'Historical Data'!AH1025</f>
        <v/>
      </c>
      <c r="U1028" s="3">
        <f>'Historical Data'!BA1025</f>
        <v/>
      </c>
      <c r="V1028" s="3" t="n"/>
      <c r="W1028" s="3" t="n"/>
      <c r="X1028" s="3" t="n"/>
      <c r="Y1028" s="3" t="n"/>
      <c r="Z1028" s="3" t="n"/>
    </row>
    <row r="1029" hidden="1" ht="15" customHeight="1" s="174">
      <c r="A1029" s="3">
        <f>'Historical Data'!A1026</f>
        <v/>
      </c>
      <c r="B1029" s="3">
        <f>'Historical Data'!B1026</f>
        <v/>
      </c>
      <c r="C1029" s="3">
        <f>'Historical Data'!D1026</f>
        <v/>
      </c>
      <c r="D1029" s="23">
        <f>'Historical Data'!E1026</f>
        <v/>
      </c>
      <c r="E1029" s="3">
        <f>'Historical Data'!G1026</f>
        <v/>
      </c>
      <c r="F1029" s="3">
        <f>'Historical Data'!Y1026</f>
        <v/>
      </c>
      <c r="G1029" s="3">
        <f>'Historical Data'!K1026</f>
        <v/>
      </c>
      <c r="H1029" s="3">
        <f>'Historical Data'!L1026</f>
        <v/>
      </c>
      <c r="I1029" s="26">
        <f>'Historical Data'!M1026</f>
        <v/>
      </c>
      <c r="J1029" s="28">
        <f>'Historical Data'!N1026</f>
        <v/>
      </c>
      <c r="K1029" s="28">
        <f>'Historical Data'!Q1026</f>
        <v/>
      </c>
      <c r="L1029" s="30">
        <f>'Historical Data'!S1026</f>
        <v/>
      </c>
      <c r="M1029" s="28">
        <f>'Historical Data'!AJ1026</f>
        <v/>
      </c>
      <c r="N1029" s="28">
        <f>'Historical Data'!AK1026</f>
        <v/>
      </c>
      <c r="O1029" s="3">
        <f>'Historical Data'!AA1026</f>
        <v/>
      </c>
      <c r="P1029" s="3">
        <f>'Historical Data'!AB1026</f>
        <v/>
      </c>
      <c r="Q1029" s="3">
        <f>'Historical Data'!AN1026</f>
        <v/>
      </c>
      <c r="R1029" s="3">
        <f>'Historical Data'!AC1026</f>
        <v/>
      </c>
      <c r="S1029" s="3">
        <f>'Historical Data'!AE1026</f>
        <v/>
      </c>
      <c r="T1029" s="3">
        <f>'Historical Data'!AH1026</f>
        <v/>
      </c>
      <c r="U1029" s="3">
        <f>'Historical Data'!BA1026</f>
        <v/>
      </c>
      <c r="V1029" s="3" t="n"/>
      <c r="W1029" s="3" t="n"/>
      <c r="X1029" s="3" t="n"/>
      <c r="Y1029" s="3" t="n"/>
      <c r="Z1029" s="3" t="n"/>
    </row>
    <row r="1030" hidden="1" ht="15" customHeight="1" s="174">
      <c r="A1030" s="3">
        <f>'Historical Data'!A1027</f>
        <v/>
      </c>
      <c r="B1030" s="3">
        <f>'Historical Data'!B1027</f>
        <v/>
      </c>
      <c r="C1030" s="3">
        <f>'Historical Data'!D1027</f>
        <v/>
      </c>
      <c r="D1030" s="23">
        <f>'Historical Data'!E1027</f>
        <v/>
      </c>
      <c r="E1030" s="3">
        <f>'Historical Data'!G1027</f>
        <v/>
      </c>
      <c r="F1030" s="3">
        <f>'Historical Data'!Y1027</f>
        <v/>
      </c>
      <c r="G1030" s="3">
        <f>'Historical Data'!K1027</f>
        <v/>
      </c>
      <c r="H1030" s="3">
        <f>'Historical Data'!L1027</f>
        <v/>
      </c>
      <c r="I1030" s="26">
        <f>'Historical Data'!M1027</f>
        <v/>
      </c>
      <c r="J1030" s="28">
        <f>'Historical Data'!N1027</f>
        <v/>
      </c>
      <c r="K1030" s="28">
        <f>'Historical Data'!Q1027</f>
        <v/>
      </c>
      <c r="L1030" s="30">
        <f>'Historical Data'!S1027</f>
        <v/>
      </c>
      <c r="M1030" s="28">
        <f>'Historical Data'!AJ1027</f>
        <v/>
      </c>
      <c r="N1030" s="28">
        <f>'Historical Data'!AK1027</f>
        <v/>
      </c>
      <c r="O1030" s="3">
        <f>'Historical Data'!AA1027</f>
        <v/>
      </c>
      <c r="P1030" s="3">
        <f>'Historical Data'!AB1027</f>
        <v/>
      </c>
      <c r="Q1030" s="3">
        <f>'Historical Data'!AN1027</f>
        <v/>
      </c>
      <c r="R1030" s="3">
        <f>'Historical Data'!AC1027</f>
        <v/>
      </c>
      <c r="S1030" s="3">
        <f>'Historical Data'!AE1027</f>
        <v/>
      </c>
      <c r="T1030" s="3">
        <f>'Historical Data'!AH1027</f>
        <v/>
      </c>
      <c r="U1030" s="3">
        <f>'Historical Data'!BA1027</f>
        <v/>
      </c>
      <c r="V1030" s="3" t="n"/>
      <c r="W1030" s="3" t="n"/>
      <c r="X1030" s="3" t="n"/>
      <c r="Y1030" s="3" t="n"/>
      <c r="Z1030" s="3" t="n"/>
    </row>
    <row r="1031" hidden="1" ht="15" customHeight="1" s="174">
      <c r="A1031" s="3">
        <f>'Historical Data'!A1028</f>
        <v/>
      </c>
      <c r="B1031" s="3">
        <f>'Historical Data'!B1028</f>
        <v/>
      </c>
      <c r="C1031" s="3">
        <f>'Historical Data'!D1028</f>
        <v/>
      </c>
      <c r="D1031" s="23">
        <f>'Historical Data'!E1028</f>
        <v/>
      </c>
      <c r="E1031" s="3">
        <f>'Historical Data'!G1028</f>
        <v/>
      </c>
      <c r="F1031" s="3">
        <f>'Historical Data'!Y1028</f>
        <v/>
      </c>
      <c r="G1031" s="3">
        <f>'Historical Data'!K1028</f>
        <v/>
      </c>
      <c r="H1031" s="3">
        <f>'Historical Data'!L1028</f>
        <v/>
      </c>
      <c r="I1031" s="26">
        <f>'Historical Data'!M1028</f>
        <v/>
      </c>
      <c r="J1031" s="28">
        <f>'Historical Data'!N1028</f>
        <v/>
      </c>
      <c r="K1031" s="28">
        <f>'Historical Data'!Q1028</f>
        <v/>
      </c>
      <c r="L1031" s="30">
        <f>'Historical Data'!S1028</f>
        <v/>
      </c>
      <c r="M1031" s="28">
        <f>'Historical Data'!AJ1028</f>
        <v/>
      </c>
      <c r="N1031" s="28">
        <f>'Historical Data'!AK1028</f>
        <v/>
      </c>
      <c r="O1031" s="3">
        <f>'Historical Data'!AA1028</f>
        <v/>
      </c>
      <c r="P1031" s="3">
        <f>'Historical Data'!AB1028</f>
        <v/>
      </c>
      <c r="Q1031" s="3">
        <f>'Historical Data'!AN1028</f>
        <v/>
      </c>
      <c r="R1031" s="3">
        <f>'Historical Data'!AC1028</f>
        <v/>
      </c>
      <c r="S1031" s="3">
        <f>'Historical Data'!AE1028</f>
        <v/>
      </c>
      <c r="T1031" s="3">
        <f>'Historical Data'!AH1028</f>
        <v/>
      </c>
      <c r="U1031" s="3">
        <f>'Historical Data'!BA1028</f>
        <v/>
      </c>
      <c r="V1031" s="3" t="n"/>
      <c r="W1031" s="3" t="n"/>
      <c r="X1031" s="3" t="n"/>
      <c r="Y1031" s="3" t="n"/>
      <c r="Z1031" s="3" t="n"/>
    </row>
    <row r="1032" hidden="1" ht="15" customHeight="1" s="174">
      <c r="A1032" s="3">
        <f>'Historical Data'!A1029</f>
        <v/>
      </c>
      <c r="B1032" s="3">
        <f>'Historical Data'!B1029</f>
        <v/>
      </c>
      <c r="C1032" s="3">
        <f>'Historical Data'!D1029</f>
        <v/>
      </c>
      <c r="D1032" s="23">
        <f>'Historical Data'!E1029</f>
        <v/>
      </c>
      <c r="E1032" s="3">
        <f>'Historical Data'!G1029</f>
        <v/>
      </c>
      <c r="F1032" s="3">
        <f>'Historical Data'!Y1029</f>
        <v/>
      </c>
      <c r="G1032" s="3">
        <f>'Historical Data'!K1029</f>
        <v/>
      </c>
      <c r="H1032" s="3">
        <f>'Historical Data'!L1029</f>
        <v/>
      </c>
      <c r="I1032" s="26">
        <f>'Historical Data'!M1029</f>
        <v/>
      </c>
      <c r="J1032" s="28">
        <f>'Historical Data'!N1029</f>
        <v/>
      </c>
      <c r="K1032" s="28">
        <f>'Historical Data'!Q1029</f>
        <v/>
      </c>
      <c r="L1032" s="30">
        <f>'Historical Data'!S1029</f>
        <v/>
      </c>
      <c r="M1032" s="28">
        <f>'Historical Data'!AJ1029</f>
        <v/>
      </c>
      <c r="N1032" s="28">
        <f>'Historical Data'!AK1029</f>
        <v/>
      </c>
      <c r="O1032" s="3">
        <f>'Historical Data'!AA1029</f>
        <v/>
      </c>
      <c r="P1032" s="3">
        <f>'Historical Data'!AB1029</f>
        <v/>
      </c>
      <c r="Q1032" s="3">
        <f>'Historical Data'!AN1029</f>
        <v/>
      </c>
      <c r="R1032" s="3">
        <f>'Historical Data'!AC1029</f>
        <v/>
      </c>
      <c r="S1032" s="3">
        <f>'Historical Data'!AE1029</f>
        <v/>
      </c>
      <c r="T1032" s="3">
        <f>'Historical Data'!AH1029</f>
        <v/>
      </c>
      <c r="U1032" s="3">
        <f>'Historical Data'!BA1029</f>
        <v/>
      </c>
      <c r="V1032" s="3" t="n"/>
      <c r="W1032" s="3" t="n"/>
      <c r="X1032" s="3" t="n"/>
      <c r="Y1032" s="3" t="n"/>
      <c r="Z1032" s="3" t="n"/>
    </row>
    <row r="1033" hidden="1" ht="15" customHeight="1" s="174">
      <c r="A1033" s="3">
        <f>'Historical Data'!A1030</f>
        <v/>
      </c>
      <c r="B1033" s="3">
        <f>'Historical Data'!B1030</f>
        <v/>
      </c>
      <c r="C1033" s="3">
        <f>'Historical Data'!D1030</f>
        <v/>
      </c>
      <c r="D1033" s="23">
        <f>'Historical Data'!E1030</f>
        <v/>
      </c>
      <c r="E1033" s="3">
        <f>'Historical Data'!G1030</f>
        <v/>
      </c>
      <c r="F1033" s="3">
        <f>'Historical Data'!Y1030</f>
        <v/>
      </c>
      <c r="G1033" s="3">
        <f>'Historical Data'!K1030</f>
        <v/>
      </c>
      <c r="H1033" s="3">
        <f>'Historical Data'!L1030</f>
        <v/>
      </c>
      <c r="I1033" s="26">
        <f>'Historical Data'!M1030</f>
        <v/>
      </c>
      <c r="J1033" s="28">
        <f>'Historical Data'!N1030</f>
        <v/>
      </c>
      <c r="K1033" s="28">
        <f>'Historical Data'!Q1030</f>
        <v/>
      </c>
      <c r="L1033" s="30">
        <f>'Historical Data'!S1030</f>
        <v/>
      </c>
      <c r="M1033" s="28">
        <f>'Historical Data'!AJ1030</f>
        <v/>
      </c>
      <c r="N1033" s="28">
        <f>'Historical Data'!AK1030</f>
        <v/>
      </c>
      <c r="O1033" s="3">
        <f>'Historical Data'!AA1030</f>
        <v/>
      </c>
      <c r="P1033" s="3">
        <f>'Historical Data'!AB1030</f>
        <v/>
      </c>
      <c r="Q1033" s="3">
        <f>'Historical Data'!AN1030</f>
        <v/>
      </c>
      <c r="R1033" s="3">
        <f>'Historical Data'!AC1030</f>
        <v/>
      </c>
      <c r="S1033" s="3">
        <f>'Historical Data'!AE1030</f>
        <v/>
      </c>
      <c r="T1033" s="3">
        <f>'Historical Data'!AH1030</f>
        <v/>
      </c>
      <c r="U1033" s="3">
        <f>'Historical Data'!BA1030</f>
        <v/>
      </c>
      <c r="V1033" s="3" t="n"/>
      <c r="W1033" s="3" t="n"/>
      <c r="X1033" s="3" t="n"/>
      <c r="Y1033" s="3" t="n"/>
      <c r="Z1033" s="3" t="n"/>
    </row>
    <row r="1034" hidden="1" ht="15" customHeight="1" s="174">
      <c r="A1034" s="3">
        <f>'Historical Data'!A1031</f>
        <v/>
      </c>
      <c r="B1034" s="3">
        <f>'Historical Data'!B1031</f>
        <v/>
      </c>
      <c r="C1034" s="3">
        <f>'Historical Data'!D1031</f>
        <v/>
      </c>
      <c r="D1034" s="23">
        <f>'Historical Data'!E1031</f>
        <v/>
      </c>
      <c r="E1034" s="3">
        <f>'Historical Data'!G1031</f>
        <v/>
      </c>
      <c r="F1034" s="3">
        <f>'Historical Data'!Y1031</f>
        <v/>
      </c>
      <c r="G1034" s="3">
        <f>'Historical Data'!K1031</f>
        <v/>
      </c>
      <c r="H1034" s="3">
        <f>'Historical Data'!L1031</f>
        <v/>
      </c>
      <c r="I1034" s="26">
        <f>'Historical Data'!M1031</f>
        <v/>
      </c>
      <c r="J1034" s="28">
        <f>'Historical Data'!N1031</f>
        <v/>
      </c>
      <c r="K1034" s="28">
        <f>'Historical Data'!Q1031</f>
        <v/>
      </c>
      <c r="L1034" s="30">
        <f>'Historical Data'!S1031</f>
        <v/>
      </c>
      <c r="M1034" s="28">
        <f>'Historical Data'!AJ1031</f>
        <v/>
      </c>
      <c r="N1034" s="28">
        <f>'Historical Data'!AK1031</f>
        <v/>
      </c>
      <c r="O1034" s="3">
        <f>'Historical Data'!AA1031</f>
        <v/>
      </c>
      <c r="P1034" s="3">
        <f>'Historical Data'!AB1031</f>
        <v/>
      </c>
      <c r="Q1034" s="3">
        <f>'Historical Data'!AN1031</f>
        <v/>
      </c>
      <c r="R1034" s="3">
        <f>'Historical Data'!AC1031</f>
        <v/>
      </c>
      <c r="S1034" s="3">
        <f>'Historical Data'!AE1031</f>
        <v/>
      </c>
      <c r="T1034" s="3">
        <f>'Historical Data'!AH1031</f>
        <v/>
      </c>
      <c r="U1034" s="3">
        <f>'Historical Data'!BA1031</f>
        <v/>
      </c>
      <c r="V1034" s="3" t="n"/>
      <c r="W1034" s="3" t="n"/>
      <c r="X1034" s="3" t="n"/>
      <c r="Y1034" s="3" t="n"/>
      <c r="Z1034" s="3" t="n"/>
    </row>
    <row r="1035" hidden="1" ht="15" customHeight="1" s="174">
      <c r="A1035" s="3">
        <f>'Historical Data'!A1032</f>
        <v/>
      </c>
      <c r="B1035" s="3">
        <f>'Historical Data'!B1032</f>
        <v/>
      </c>
      <c r="C1035" s="3">
        <f>'Historical Data'!D1032</f>
        <v/>
      </c>
      <c r="D1035" s="23">
        <f>'Historical Data'!E1032</f>
        <v/>
      </c>
      <c r="E1035" s="3">
        <f>'Historical Data'!G1032</f>
        <v/>
      </c>
      <c r="F1035" s="3">
        <f>'Historical Data'!Y1032</f>
        <v/>
      </c>
      <c r="G1035" s="3">
        <f>'Historical Data'!K1032</f>
        <v/>
      </c>
      <c r="H1035" s="3">
        <f>'Historical Data'!L1032</f>
        <v/>
      </c>
      <c r="I1035" s="26">
        <f>'Historical Data'!M1032</f>
        <v/>
      </c>
      <c r="J1035" s="28">
        <f>'Historical Data'!N1032</f>
        <v/>
      </c>
      <c r="K1035" s="28">
        <f>'Historical Data'!Q1032</f>
        <v/>
      </c>
      <c r="L1035" s="30">
        <f>'Historical Data'!S1032</f>
        <v/>
      </c>
      <c r="M1035" s="28">
        <f>'Historical Data'!AJ1032</f>
        <v/>
      </c>
      <c r="N1035" s="28">
        <f>'Historical Data'!AK1032</f>
        <v/>
      </c>
      <c r="O1035" s="3">
        <f>'Historical Data'!AA1032</f>
        <v/>
      </c>
      <c r="P1035" s="3">
        <f>'Historical Data'!AB1032</f>
        <v/>
      </c>
      <c r="Q1035" s="3">
        <f>'Historical Data'!AN1032</f>
        <v/>
      </c>
      <c r="R1035" s="3">
        <f>'Historical Data'!AC1032</f>
        <v/>
      </c>
      <c r="S1035" s="3">
        <f>'Historical Data'!AE1032</f>
        <v/>
      </c>
      <c r="T1035" s="3">
        <f>'Historical Data'!AH1032</f>
        <v/>
      </c>
      <c r="U1035" s="3">
        <f>'Historical Data'!BA1032</f>
        <v/>
      </c>
      <c r="V1035" s="3" t="n"/>
      <c r="W1035" s="3" t="n"/>
      <c r="X1035" s="3" t="n"/>
      <c r="Y1035" s="3" t="n"/>
      <c r="Z1035" s="3" t="n"/>
    </row>
    <row r="1036" hidden="1" ht="15" customHeight="1" s="174">
      <c r="A1036" s="3">
        <f>'Historical Data'!A1033</f>
        <v/>
      </c>
      <c r="B1036" s="3">
        <f>'Historical Data'!B1033</f>
        <v/>
      </c>
      <c r="C1036" s="3">
        <f>'Historical Data'!D1033</f>
        <v/>
      </c>
      <c r="D1036" s="23">
        <f>'Historical Data'!E1033</f>
        <v/>
      </c>
      <c r="E1036" s="3">
        <f>'Historical Data'!G1033</f>
        <v/>
      </c>
      <c r="F1036" s="3">
        <f>'Historical Data'!Y1033</f>
        <v/>
      </c>
      <c r="G1036" s="3">
        <f>'Historical Data'!K1033</f>
        <v/>
      </c>
      <c r="H1036" s="3">
        <f>'Historical Data'!L1033</f>
        <v/>
      </c>
      <c r="I1036" s="26">
        <f>'Historical Data'!M1033</f>
        <v/>
      </c>
      <c r="J1036" s="28">
        <f>'Historical Data'!N1033</f>
        <v/>
      </c>
      <c r="K1036" s="28">
        <f>'Historical Data'!Q1033</f>
        <v/>
      </c>
      <c r="L1036" s="30">
        <f>'Historical Data'!S1033</f>
        <v/>
      </c>
      <c r="M1036" s="28">
        <f>'Historical Data'!AJ1033</f>
        <v/>
      </c>
      <c r="N1036" s="28">
        <f>'Historical Data'!AK1033</f>
        <v/>
      </c>
      <c r="O1036" s="3">
        <f>'Historical Data'!AA1033</f>
        <v/>
      </c>
      <c r="P1036" s="3">
        <f>'Historical Data'!AB1033</f>
        <v/>
      </c>
      <c r="Q1036" s="3">
        <f>'Historical Data'!AN1033</f>
        <v/>
      </c>
      <c r="R1036" s="3">
        <f>'Historical Data'!AC1033</f>
        <v/>
      </c>
      <c r="S1036" s="3">
        <f>'Historical Data'!AE1033</f>
        <v/>
      </c>
      <c r="T1036" s="3">
        <f>'Historical Data'!AH1033</f>
        <v/>
      </c>
      <c r="U1036" s="3">
        <f>'Historical Data'!BA1033</f>
        <v/>
      </c>
      <c r="V1036" s="3" t="n"/>
      <c r="W1036" s="3" t="n"/>
      <c r="X1036" s="3" t="n"/>
      <c r="Y1036" s="3" t="n"/>
      <c r="Z1036" s="3" t="n"/>
    </row>
    <row r="1037" hidden="1" ht="15" customHeight="1" s="174">
      <c r="A1037" s="3">
        <f>'Historical Data'!A1034</f>
        <v/>
      </c>
      <c r="B1037" s="3">
        <f>'Historical Data'!B1034</f>
        <v/>
      </c>
      <c r="C1037" s="3">
        <f>'Historical Data'!D1034</f>
        <v/>
      </c>
      <c r="D1037" s="23">
        <f>'Historical Data'!E1034</f>
        <v/>
      </c>
      <c r="E1037" s="3">
        <f>'Historical Data'!G1034</f>
        <v/>
      </c>
      <c r="F1037" s="3">
        <f>'Historical Data'!Y1034</f>
        <v/>
      </c>
      <c r="G1037" s="3">
        <f>'Historical Data'!K1034</f>
        <v/>
      </c>
      <c r="H1037" s="3">
        <f>'Historical Data'!L1034</f>
        <v/>
      </c>
      <c r="I1037" s="26">
        <f>'Historical Data'!M1034</f>
        <v/>
      </c>
      <c r="J1037" s="28">
        <f>'Historical Data'!N1034</f>
        <v/>
      </c>
      <c r="K1037" s="28">
        <f>'Historical Data'!Q1034</f>
        <v/>
      </c>
      <c r="L1037" s="30">
        <f>'Historical Data'!S1034</f>
        <v/>
      </c>
      <c r="M1037" s="28">
        <f>'Historical Data'!AJ1034</f>
        <v/>
      </c>
      <c r="N1037" s="28">
        <f>'Historical Data'!AK1034</f>
        <v/>
      </c>
      <c r="O1037" s="3">
        <f>'Historical Data'!AA1034</f>
        <v/>
      </c>
      <c r="P1037" s="3">
        <f>'Historical Data'!AB1034</f>
        <v/>
      </c>
      <c r="Q1037" s="3">
        <f>'Historical Data'!AN1034</f>
        <v/>
      </c>
      <c r="R1037" s="3">
        <f>'Historical Data'!AC1034</f>
        <v/>
      </c>
      <c r="S1037" s="3">
        <f>'Historical Data'!AE1034</f>
        <v/>
      </c>
      <c r="T1037" s="3">
        <f>'Historical Data'!AH1034</f>
        <v/>
      </c>
      <c r="U1037" s="3">
        <f>'Historical Data'!BA1034</f>
        <v/>
      </c>
      <c r="V1037" s="3" t="n"/>
      <c r="W1037" s="3" t="n"/>
      <c r="X1037" s="3" t="n"/>
      <c r="Y1037" s="3" t="n"/>
      <c r="Z1037" s="3" t="n"/>
    </row>
    <row r="1038" hidden="1" ht="15" customHeight="1" s="174">
      <c r="A1038" s="3">
        <f>'Historical Data'!A1035</f>
        <v/>
      </c>
      <c r="B1038" s="3">
        <f>'Historical Data'!B1035</f>
        <v/>
      </c>
      <c r="C1038" s="3">
        <f>'Historical Data'!D1035</f>
        <v/>
      </c>
      <c r="D1038" s="23">
        <f>'Historical Data'!E1035</f>
        <v/>
      </c>
      <c r="E1038" s="3">
        <f>'Historical Data'!G1035</f>
        <v/>
      </c>
      <c r="F1038" s="3">
        <f>'Historical Data'!Y1035</f>
        <v/>
      </c>
      <c r="G1038" s="3">
        <f>'Historical Data'!K1035</f>
        <v/>
      </c>
      <c r="H1038" s="3">
        <f>'Historical Data'!L1035</f>
        <v/>
      </c>
      <c r="I1038" s="26">
        <f>'Historical Data'!M1035</f>
        <v/>
      </c>
      <c r="J1038" s="28">
        <f>'Historical Data'!N1035</f>
        <v/>
      </c>
      <c r="K1038" s="28">
        <f>'Historical Data'!Q1035</f>
        <v/>
      </c>
      <c r="L1038" s="30">
        <f>'Historical Data'!S1035</f>
        <v/>
      </c>
      <c r="M1038" s="28">
        <f>'Historical Data'!AJ1035</f>
        <v/>
      </c>
      <c r="N1038" s="28">
        <f>'Historical Data'!AK1035</f>
        <v/>
      </c>
      <c r="O1038" s="3">
        <f>'Historical Data'!AA1035</f>
        <v/>
      </c>
      <c r="P1038" s="3">
        <f>'Historical Data'!AB1035</f>
        <v/>
      </c>
      <c r="Q1038" s="3">
        <f>'Historical Data'!AN1035</f>
        <v/>
      </c>
      <c r="R1038" s="3">
        <f>'Historical Data'!AC1035</f>
        <v/>
      </c>
      <c r="S1038" s="3">
        <f>'Historical Data'!AE1035</f>
        <v/>
      </c>
      <c r="T1038" s="3">
        <f>'Historical Data'!AH1035</f>
        <v/>
      </c>
      <c r="U1038" s="3">
        <f>'Historical Data'!BA1035</f>
        <v/>
      </c>
      <c r="V1038" s="3" t="n"/>
      <c r="W1038" s="3" t="n"/>
      <c r="X1038" s="3" t="n"/>
      <c r="Y1038" s="3" t="n"/>
      <c r="Z1038" s="3" t="n"/>
    </row>
    <row r="1039" hidden="1" ht="15" customHeight="1" s="174">
      <c r="A1039" s="3">
        <f>'Historical Data'!A1036</f>
        <v/>
      </c>
      <c r="B1039" s="3">
        <f>'Historical Data'!B1036</f>
        <v/>
      </c>
      <c r="C1039" s="3">
        <f>'Historical Data'!D1036</f>
        <v/>
      </c>
      <c r="D1039" s="23">
        <f>'Historical Data'!E1036</f>
        <v/>
      </c>
      <c r="E1039" s="3">
        <f>'Historical Data'!G1036</f>
        <v/>
      </c>
      <c r="F1039" s="3">
        <f>'Historical Data'!Y1036</f>
        <v/>
      </c>
      <c r="G1039" s="3">
        <f>'Historical Data'!K1036</f>
        <v/>
      </c>
      <c r="H1039" s="3">
        <f>'Historical Data'!L1036</f>
        <v/>
      </c>
      <c r="I1039" s="26">
        <f>'Historical Data'!M1036</f>
        <v/>
      </c>
      <c r="J1039" s="28">
        <f>'Historical Data'!N1036</f>
        <v/>
      </c>
      <c r="K1039" s="28">
        <f>'Historical Data'!Q1036</f>
        <v/>
      </c>
      <c r="L1039" s="30">
        <f>'Historical Data'!S1036</f>
        <v/>
      </c>
      <c r="M1039" s="28">
        <f>'Historical Data'!AJ1036</f>
        <v/>
      </c>
      <c r="N1039" s="28">
        <f>'Historical Data'!AK1036</f>
        <v/>
      </c>
      <c r="O1039" s="3">
        <f>'Historical Data'!AA1036</f>
        <v/>
      </c>
      <c r="P1039" s="3">
        <f>'Historical Data'!AB1036</f>
        <v/>
      </c>
      <c r="Q1039" s="3">
        <f>'Historical Data'!AN1036</f>
        <v/>
      </c>
      <c r="R1039" s="3">
        <f>'Historical Data'!AC1036</f>
        <v/>
      </c>
      <c r="S1039" s="3">
        <f>'Historical Data'!AE1036</f>
        <v/>
      </c>
      <c r="T1039" s="3">
        <f>'Historical Data'!AH1036</f>
        <v/>
      </c>
      <c r="U1039" s="3">
        <f>'Historical Data'!BA1036</f>
        <v/>
      </c>
      <c r="V1039" s="3" t="n"/>
      <c r="W1039" s="3" t="n"/>
      <c r="X1039" s="3" t="n"/>
      <c r="Y1039" s="3" t="n"/>
      <c r="Z1039" s="3" t="n"/>
    </row>
    <row r="1040" hidden="1" ht="15" customHeight="1" s="174">
      <c r="A1040" s="3">
        <f>'Historical Data'!A1037</f>
        <v/>
      </c>
      <c r="B1040" s="3">
        <f>'Historical Data'!B1037</f>
        <v/>
      </c>
      <c r="C1040" s="3">
        <f>'Historical Data'!D1037</f>
        <v/>
      </c>
      <c r="D1040" s="23">
        <f>'Historical Data'!E1037</f>
        <v/>
      </c>
      <c r="E1040" s="3">
        <f>'Historical Data'!G1037</f>
        <v/>
      </c>
      <c r="F1040" s="3">
        <f>'Historical Data'!Y1037</f>
        <v/>
      </c>
      <c r="G1040" s="3">
        <f>'Historical Data'!K1037</f>
        <v/>
      </c>
      <c r="H1040" s="3">
        <f>'Historical Data'!L1037</f>
        <v/>
      </c>
      <c r="I1040" s="26">
        <f>'Historical Data'!M1037</f>
        <v/>
      </c>
      <c r="J1040" s="28">
        <f>'Historical Data'!N1037</f>
        <v/>
      </c>
      <c r="K1040" s="28">
        <f>'Historical Data'!Q1037</f>
        <v/>
      </c>
      <c r="L1040" s="30">
        <f>'Historical Data'!S1037</f>
        <v/>
      </c>
      <c r="M1040" s="28">
        <f>'Historical Data'!AJ1037</f>
        <v/>
      </c>
      <c r="N1040" s="28">
        <f>'Historical Data'!AK1037</f>
        <v/>
      </c>
      <c r="O1040" s="3">
        <f>'Historical Data'!AA1037</f>
        <v/>
      </c>
      <c r="P1040" s="3">
        <f>'Historical Data'!AB1037</f>
        <v/>
      </c>
      <c r="Q1040" s="3">
        <f>'Historical Data'!AN1037</f>
        <v/>
      </c>
      <c r="R1040" s="3">
        <f>'Historical Data'!AC1037</f>
        <v/>
      </c>
      <c r="S1040" s="3">
        <f>'Historical Data'!AE1037</f>
        <v/>
      </c>
      <c r="T1040" s="3">
        <f>'Historical Data'!AH1037</f>
        <v/>
      </c>
      <c r="U1040" s="3">
        <f>'Historical Data'!BA1037</f>
        <v/>
      </c>
      <c r="V1040" s="3" t="n"/>
      <c r="W1040" s="3" t="n"/>
      <c r="X1040" s="3" t="n"/>
      <c r="Y1040" s="3" t="n"/>
      <c r="Z1040" s="3" t="n"/>
    </row>
    <row r="1041" hidden="1" ht="15" customHeight="1" s="174">
      <c r="A1041" s="3">
        <f>'Historical Data'!A1038</f>
        <v/>
      </c>
      <c r="B1041" s="3">
        <f>'Historical Data'!B1038</f>
        <v/>
      </c>
      <c r="C1041" s="3">
        <f>'Historical Data'!D1038</f>
        <v/>
      </c>
      <c r="D1041" s="23">
        <f>'Historical Data'!E1038</f>
        <v/>
      </c>
      <c r="E1041" s="3">
        <f>'Historical Data'!G1038</f>
        <v/>
      </c>
      <c r="F1041" s="3">
        <f>'Historical Data'!Y1038</f>
        <v/>
      </c>
      <c r="G1041" s="3">
        <f>'Historical Data'!K1038</f>
        <v/>
      </c>
      <c r="H1041" s="3">
        <f>'Historical Data'!L1038</f>
        <v/>
      </c>
      <c r="I1041" s="26">
        <f>'Historical Data'!M1038</f>
        <v/>
      </c>
      <c r="J1041" s="28">
        <f>'Historical Data'!N1038</f>
        <v/>
      </c>
      <c r="K1041" s="28">
        <f>'Historical Data'!Q1038</f>
        <v/>
      </c>
      <c r="L1041" s="30">
        <f>'Historical Data'!S1038</f>
        <v/>
      </c>
      <c r="M1041" s="28">
        <f>'Historical Data'!AJ1038</f>
        <v/>
      </c>
      <c r="N1041" s="28">
        <f>'Historical Data'!AK1038</f>
        <v/>
      </c>
      <c r="O1041" s="3">
        <f>'Historical Data'!AA1038</f>
        <v/>
      </c>
      <c r="P1041" s="3">
        <f>'Historical Data'!AB1038</f>
        <v/>
      </c>
      <c r="Q1041" s="3">
        <f>'Historical Data'!AN1038</f>
        <v/>
      </c>
      <c r="R1041" s="3">
        <f>'Historical Data'!AC1038</f>
        <v/>
      </c>
      <c r="S1041" s="3">
        <f>'Historical Data'!AE1038</f>
        <v/>
      </c>
      <c r="T1041" s="3">
        <f>'Historical Data'!AH1038</f>
        <v/>
      </c>
      <c r="U1041" s="3">
        <f>'Historical Data'!BA1038</f>
        <v/>
      </c>
      <c r="V1041" s="3" t="n"/>
      <c r="W1041" s="3" t="n"/>
      <c r="X1041" s="3" t="n"/>
      <c r="Y1041" s="3" t="n"/>
      <c r="Z1041" s="3" t="n"/>
    </row>
    <row r="1042" hidden="1" ht="15" customHeight="1" s="174">
      <c r="A1042" s="3">
        <f>'Historical Data'!A1039</f>
        <v/>
      </c>
      <c r="B1042" s="3">
        <f>'Historical Data'!B1039</f>
        <v/>
      </c>
      <c r="C1042" s="3">
        <f>'Historical Data'!D1039</f>
        <v/>
      </c>
      <c r="D1042" s="23">
        <f>'Historical Data'!E1039</f>
        <v/>
      </c>
      <c r="E1042" s="3">
        <f>'Historical Data'!G1039</f>
        <v/>
      </c>
      <c r="F1042" s="3">
        <f>'Historical Data'!Y1039</f>
        <v/>
      </c>
      <c r="G1042" s="3">
        <f>'Historical Data'!K1039</f>
        <v/>
      </c>
      <c r="H1042" s="3">
        <f>'Historical Data'!L1039</f>
        <v/>
      </c>
      <c r="I1042" s="26">
        <f>'Historical Data'!M1039</f>
        <v/>
      </c>
      <c r="J1042" s="28">
        <f>'Historical Data'!N1039</f>
        <v/>
      </c>
      <c r="K1042" s="28">
        <f>'Historical Data'!Q1039</f>
        <v/>
      </c>
      <c r="L1042" s="30">
        <f>'Historical Data'!S1039</f>
        <v/>
      </c>
      <c r="M1042" s="28">
        <f>'Historical Data'!AJ1039</f>
        <v/>
      </c>
      <c r="N1042" s="28">
        <f>'Historical Data'!AK1039</f>
        <v/>
      </c>
      <c r="O1042" s="3">
        <f>'Historical Data'!AA1039</f>
        <v/>
      </c>
      <c r="P1042" s="3">
        <f>'Historical Data'!AB1039</f>
        <v/>
      </c>
      <c r="Q1042" s="3">
        <f>'Historical Data'!AN1039</f>
        <v/>
      </c>
      <c r="R1042" s="3">
        <f>'Historical Data'!AC1039</f>
        <v/>
      </c>
      <c r="S1042" s="3">
        <f>'Historical Data'!AE1039</f>
        <v/>
      </c>
      <c r="T1042" s="3">
        <f>'Historical Data'!AH1039</f>
        <v/>
      </c>
      <c r="U1042" s="3">
        <f>'Historical Data'!BA1039</f>
        <v/>
      </c>
      <c r="V1042" s="3" t="n"/>
      <c r="W1042" s="3" t="n"/>
      <c r="X1042" s="3" t="n"/>
      <c r="Y1042" s="3" t="n"/>
      <c r="Z1042" s="3" t="n"/>
    </row>
    <row r="1043" hidden="1" ht="15" customHeight="1" s="174">
      <c r="A1043" s="3">
        <f>'Historical Data'!A1040</f>
        <v/>
      </c>
      <c r="B1043" s="3">
        <f>'Historical Data'!B1040</f>
        <v/>
      </c>
      <c r="C1043" s="3">
        <f>'Historical Data'!D1040</f>
        <v/>
      </c>
      <c r="D1043" s="23">
        <f>'Historical Data'!E1040</f>
        <v/>
      </c>
      <c r="E1043" s="3">
        <f>'Historical Data'!G1040</f>
        <v/>
      </c>
      <c r="F1043" s="3">
        <f>'Historical Data'!Y1040</f>
        <v/>
      </c>
      <c r="G1043" s="3">
        <f>'Historical Data'!K1040</f>
        <v/>
      </c>
      <c r="H1043" s="3">
        <f>'Historical Data'!L1040</f>
        <v/>
      </c>
      <c r="I1043" s="26">
        <f>'Historical Data'!M1040</f>
        <v/>
      </c>
      <c r="J1043" s="28">
        <f>'Historical Data'!N1040</f>
        <v/>
      </c>
      <c r="K1043" s="28">
        <f>'Historical Data'!Q1040</f>
        <v/>
      </c>
      <c r="L1043" s="30">
        <f>'Historical Data'!S1040</f>
        <v/>
      </c>
      <c r="M1043" s="28">
        <f>'Historical Data'!AJ1040</f>
        <v/>
      </c>
      <c r="N1043" s="28">
        <f>'Historical Data'!AK1040</f>
        <v/>
      </c>
      <c r="O1043" s="3">
        <f>'Historical Data'!AA1040</f>
        <v/>
      </c>
      <c r="P1043" s="3">
        <f>'Historical Data'!AB1040</f>
        <v/>
      </c>
      <c r="Q1043" s="3">
        <f>'Historical Data'!AN1040</f>
        <v/>
      </c>
      <c r="R1043" s="3">
        <f>'Historical Data'!AC1040</f>
        <v/>
      </c>
      <c r="S1043" s="3">
        <f>'Historical Data'!AE1040</f>
        <v/>
      </c>
      <c r="T1043" s="3">
        <f>'Historical Data'!AH1040</f>
        <v/>
      </c>
      <c r="U1043" s="3">
        <f>'Historical Data'!BA1040</f>
        <v/>
      </c>
      <c r="V1043" s="3" t="n"/>
      <c r="W1043" s="3" t="n"/>
      <c r="X1043" s="3" t="n"/>
      <c r="Y1043" s="3" t="n"/>
      <c r="Z1043" s="3" t="n"/>
    </row>
    <row r="1044" hidden="1" ht="15" customHeight="1" s="174">
      <c r="A1044" s="3">
        <f>'Historical Data'!A1041</f>
        <v/>
      </c>
      <c r="B1044" s="3">
        <f>'Historical Data'!B1041</f>
        <v/>
      </c>
      <c r="C1044" s="3">
        <f>'Historical Data'!D1041</f>
        <v/>
      </c>
      <c r="D1044" s="23">
        <f>'Historical Data'!E1041</f>
        <v/>
      </c>
      <c r="E1044" s="3">
        <f>'Historical Data'!G1041</f>
        <v/>
      </c>
      <c r="F1044" s="3">
        <f>'Historical Data'!Y1041</f>
        <v/>
      </c>
      <c r="G1044" s="3">
        <f>'Historical Data'!K1041</f>
        <v/>
      </c>
      <c r="H1044" s="3">
        <f>'Historical Data'!L1041</f>
        <v/>
      </c>
      <c r="I1044" s="26">
        <f>'Historical Data'!M1041</f>
        <v/>
      </c>
      <c r="J1044" s="28">
        <f>'Historical Data'!N1041</f>
        <v/>
      </c>
      <c r="K1044" s="28">
        <f>'Historical Data'!Q1041</f>
        <v/>
      </c>
      <c r="L1044" s="30">
        <f>'Historical Data'!S1041</f>
        <v/>
      </c>
      <c r="M1044" s="28">
        <f>'Historical Data'!AJ1041</f>
        <v/>
      </c>
      <c r="N1044" s="28">
        <f>'Historical Data'!AK1041</f>
        <v/>
      </c>
      <c r="O1044" s="3">
        <f>'Historical Data'!AA1041</f>
        <v/>
      </c>
      <c r="P1044" s="3">
        <f>'Historical Data'!AB1041</f>
        <v/>
      </c>
      <c r="Q1044" s="3">
        <f>'Historical Data'!AN1041</f>
        <v/>
      </c>
      <c r="R1044" s="3">
        <f>'Historical Data'!AC1041</f>
        <v/>
      </c>
      <c r="S1044" s="3">
        <f>'Historical Data'!AE1041</f>
        <v/>
      </c>
      <c r="T1044" s="3">
        <f>'Historical Data'!AH1041</f>
        <v/>
      </c>
      <c r="U1044" s="3">
        <f>'Historical Data'!BA1041</f>
        <v/>
      </c>
      <c r="V1044" s="3" t="n"/>
      <c r="W1044" s="3" t="n"/>
      <c r="X1044" s="3" t="n"/>
      <c r="Y1044" s="3" t="n"/>
      <c r="Z1044" s="3" t="n"/>
    </row>
    <row r="1045" hidden="1" ht="15" customHeight="1" s="174">
      <c r="A1045" s="3">
        <f>'Historical Data'!A1042</f>
        <v/>
      </c>
      <c r="B1045" s="3">
        <f>'Historical Data'!B1042</f>
        <v/>
      </c>
      <c r="C1045" s="3">
        <f>'Historical Data'!D1042</f>
        <v/>
      </c>
      <c r="D1045" s="23">
        <f>'Historical Data'!E1042</f>
        <v/>
      </c>
      <c r="E1045" s="3">
        <f>'Historical Data'!G1042</f>
        <v/>
      </c>
      <c r="F1045" s="3">
        <f>'Historical Data'!Y1042</f>
        <v/>
      </c>
      <c r="G1045" s="3">
        <f>'Historical Data'!K1042</f>
        <v/>
      </c>
      <c r="H1045" s="3">
        <f>'Historical Data'!L1042</f>
        <v/>
      </c>
      <c r="I1045" s="26">
        <f>'Historical Data'!M1042</f>
        <v/>
      </c>
      <c r="J1045" s="28">
        <f>'Historical Data'!N1042</f>
        <v/>
      </c>
      <c r="K1045" s="28">
        <f>'Historical Data'!Q1042</f>
        <v/>
      </c>
      <c r="L1045" s="30">
        <f>'Historical Data'!S1042</f>
        <v/>
      </c>
      <c r="M1045" s="28">
        <f>'Historical Data'!AJ1042</f>
        <v/>
      </c>
      <c r="N1045" s="28">
        <f>'Historical Data'!AK1042</f>
        <v/>
      </c>
      <c r="O1045" s="3">
        <f>'Historical Data'!AA1042</f>
        <v/>
      </c>
      <c r="P1045" s="3">
        <f>'Historical Data'!AB1042</f>
        <v/>
      </c>
      <c r="Q1045" s="3">
        <f>'Historical Data'!AN1042</f>
        <v/>
      </c>
      <c r="R1045" s="3">
        <f>'Historical Data'!AC1042</f>
        <v/>
      </c>
      <c r="S1045" s="3">
        <f>'Historical Data'!AE1042</f>
        <v/>
      </c>
      <c r="T1045" s="3">
        <f>'Historical Data'!AH1042</f>
        <v/>
      </c>
      <c r="U1045" s="3">
        <f>'Historical Data'!BA1042</f>
        <v/>
      </c>
      <c r="V1045" s="3" t="n"/>
      <c r="W1045" s="3" t="n"/>
      <c r="X1045" s="3" t="n"/>
      <c r="Y1045" s="3" t="n"/>
      <c r="Z1045" s="3" t="n"/>
    </row>
    <row r="1046" hidden="1" ht="15" customHeight="1" s="174">
      <c r="A1046" s="3">
        <f>'Historical Data'!A1043</f>
        <v/>
      </c>
      <c r="B1046" s="3">
        <f>'Historical Data'!B1043</f>
        <v/>
      </c>
      <c r="C1046" s="3">
        <f>'Historical Data'!D1043</f>
        <v/>
      </c>
      <c r="D1046" s="23">
        <f>'Historical Data'!E1043</f>
        <v/>
      </c>
      <c r="E1046" s="3">
        <f>'Historical Data'!G1043</f>
        <v/>
      </c>
      <c r="F1046" s="3">
        <f>'Historical Data'!Y1043</f>
        <v/>
      </c>
      <c r="G1046" s="3">
        <f>'Historical Data'!K1043</f>
        <v/>
      </c>
      <c r="H1046" s="3">
        <f>'Historical Data'!L1043</f>
        <v/>
      </c>
      <c r="I1046" s="26">
        <f>'Historical Data'!M1043</f>
        <v/>
      </c>
      <c r="J1046" s="28">
        <f>'Historical Data'!N1043</f>
        <v/>
      </c>
      <c r="K1046" s="28">
        <f>'Historical Data'!Q1043</f>
        <v/>
      </c>
      <c r="L1046" s="30">
        <f>'Historical Data'!S1043</f>
        <v/>
      </c>
      <c r="M1046" s="28">
        <f>'Historical Data'!AJ1043</f>
        <v/>
      </c>
      <c r="N1046" s="28">
        <f>'Historical Data'!AK1043</f>
        <v/>
      </c>
      <c r="O1046" s="3">
        <f>'Historical Data'!AA1043</f>
        <v/>
      </c>
      <c r="P1046" s="3">
        <f>'Historical Data'!AB1043</f>
        <v/>
      </c>
      <c r="Q1046" s="3">
        <f>'Historical Data'!AN1043</f>
        <v/>
      </c>
      <c r="R1046" s="3">
        <f>'Historical Data'!AC1043</f>
        <v/>
      </c>
      <c r="S1046" s="3">
        <f>'Historical Data'!AE1043</f>
        <v/>
      </c>
      <c r="T1046" s="3">
        <f>'Historical Data'!AH1043</f>
        <v/>
      </c>
      <c r="U1046" s="3">
        <f>'Historical Data'!BA1043</f>
        <v/>
      </c>
      <c r="V1046" s="3" t="n"/>
      <c r="W1046" s="3" t="n"/>
      <c r="X1046" s="3" t="n"/>
      <c r="Y1046" s="3" t="n"/>
      <c r="Z1046" s="3" t="n"/>
    </row>
    <row r="1047" hidden="1" ht="15" customHeight="1" s="174">
      <c r="A1047" s="3">
        <f>'Historical Data'!A1044</f>
        <v/>
      </c>
      <c r="B1047" s="3">
        <f>'Historical Data'!B1044</f>
        <v/>
      </c>
      <c r="C1047" s="3">
        <f>'Historical Data'!D1044</f>
        <v/>
      </c>
      <c r="D1047" s="23">
        <f>'Historical Data'!E1044</f>
        <v/>
      </c>
      <c r="E1047" s="3">
        <f>'Historical Data'!G1044</f>
        <v/>
      </c>
      <c r="F1047" s="3">
        <f>'Historical Data'!Y1044</f>
        <v/>
      </c>
      <c r="G1047" s="3">
        <f>'Historical Data'!K1044</f>
        <v/>
      </c>
      <c r="H1047" s="3">
        <f>'Historical Data'!L1044</f>
        <v/>
      </c>
      <c r="I1047" s="26">
        <f>'Historical Data'!M1044</f>
        <v/>
      </c>
      <c r="J1047" s="28">
        <f>'Historical Data'!N1044</f>
        <v/>
      </c>
      <c r="K1047" s="28">
        <f>'Historical Data'!Q1044</f>
        <v/>
      </c>
      <c r="L1047" s="30">
        <f>'Historical Data'!S1044</f>
        <v/>
      </c>
      <c r="M1047" s="28">
        <f>'Historical Data'!AJ1044</f>
        <v/>
      </c>
      <c r="N1047" s="28">
        <f>'Historical Data'!AK1044</f>
        <v/>
      </c>
      <c r="O1047" s="3">
        <f>'Historical Data'!AA1044</f>
        <v/>
      </c>
      <c r="P1047" s="3">
        <f>'Historical Data'!AB1044</f>
        <v/>
      </c>
      <c r="Q1047" s="3">
        <f>'Historical Data'!AN1044</f>
        <v/>
      </c>
      <c r="R1047" s="3">
        <f>'Historical Data'!AC1044</f>
        <v/>
      </c>
      <c r="S1047" s="3">
        <f>'Historical Data'!AE1044</f>
        <v/>
      </c>
      <c r="T1047" s="3">
        <f>'Historical Data'!AH1044</f>
        <v/>
      </c>
      <c r="U1047" s="3">
        <f>'Historical Data'!BA1044</f>
        <v/>
      </c>
      <c r="V1047" s="3" t="n"/>
      <c r="W1047" s="3" t="n"/>
      <c r="X1047" s="3" t="n"/>
      <c r="Y1047" s="3" t="n"/>
      <c r="Z1047" s="3" t="n"/>
    </row>
    <row r="1048" hidden="1" ht="15" customHeight="1" s="174">
      <c r="A1048" s="3">
        <f>'Historical Data'!A1045</f>
        <v/>
      </c>
      <c r="B1048" s="3">
        <f>'Historical Data'!B1045</f>
        <v/>
      </c>
      <c r="C1048" s="3">
        <f>'Historical Data'!D1045</f>
        <v/>
      </c>
      <c r="D1048" s="23">
        <f>'Historical Data'!E1045</f>
        <v/>
      </c>
      <c r="E1048" s="3">
        <f>'Historical Data'!G1045</f>
        <v/>
      </c>
      <c r="F1048" s="3">
        <f>'Historical Data'!Y1045</f>
        <v/>
      </c>
      <c r="G1048" s="3">
        <f>'Historical Data'!K1045</f>
        <v/>
      </c>
      <c r="H1048" s="3">
        <f>'Historical Data'!L1045</f>
        <v/>
      </c>
      <c r="I1048" s="26">
        <f>'Historical Data'!M1045</f>
        <v/>
      </c>
      <c r="J1048" s="28">
        <f>'Historical Data'!N1045</f>
        <v/>
      </c>
      <c r="K1048" s="28">
        <f>'Historical Data'!Q1045</f>
        <v/>
      </c>
      <c r="L1048" s="30">
        <f>'Historical Data'!S1045</f>
        <v/>
      </c>
      <c r="M1048" s="28">
        <f>'Historical Data'!AJ1045</f>
        <v/>
      </c>
      <c r="N1048" s="28">
        <f>'Historical Data'!AK1045</f>
        <v/>
      </c>
      <c r="O1048" s="3">
        <f>'Historical Data'!AA1045</f>
        <v/>
      </c>
      <c r="P1048" s="3">
        <f>'Historical Data'!AB1045</f>
        <v/>
      </c>
      <c r="Q1048" s="3">
        <f>'Historical Data'!AN1045</f>
        <v/>
      </c>
      <c r="R1048" s="3">
        <f>'Historical Data'!AC1045</f>
        <v/>
      </c>
      <c r="S1048" s="3">
        <f>'Historical Data'!AE1045</f>
        <v/>
      </c>
      <c r="T1048" s="3">
        <f>'Historical Data'!AH1045</f>
        <v/>
      </c>
      <c r="U1048" s="3">
        <f>'Historical Data'!BA1045</f>
        <v/>
      </c>
      <c r="V1048" s="3" t="n"/>
      <c r="W1048" s="3" t="n"/>
      <c r="X1048" s="3" t="n"/>
      <c r="Y1048" s="3" t="n"/>
      <c r="Z1048" s="3" t="n"/>
    </row>
    <row r="1049" hidden="1" ht="15" customHeight="1" s="174">
      <c r="A1049" s="3">
        <f>'Historical Data'!A1046</f>
        <v/>
      </c>
      <c r="B1049" s="3">
        <f>'Historical Data'!B1046</f>
        <v/>
      </c>
      <c r="C1049" s="3">
        <f>'Historical Data'!D1046</f>
        <v/>
      </c>
      <c r="D1049" s="23">
        <f>'Historical Data'!E1046</f>
        <v/>
      </c>
      <c r="E1049" s="3">
        <f>'Historical Data'!G1046</f>
        <v/>
      </c>
      <c r="F1049" s="3">
        <f>'Historical Data'!Y1046</f>
        <v/>
      </c>
      <c r="G1049" s="3">
        <f>'Historical Data'!K1046</f>
        <v/>
      </c>
      <c r="H1049" s="3">
        <f>'Historical Data'!L1046</f>
        <v/>
      </c>
      <c r="I1049" s="26">
        <f>'Historical Data'!M1046</f>
        <v/>
      </c>
      <c r="J1049" s="28">
        <f>'Historical Data'!N1046</f>
        <v/>
      </c>
      <c r="K1049" s="28">
        <f>'Historical Data'!Q1046</f>
        <v/>
      </c>
      <c r="L1049" s="30">
        <f>'Historical Data'!S1046</f>
        <v/>
      </c>
      <c r="M1049" s="28">
        <f>'Historical Data'!AJ1046</f>
        <v/>
      </c>
      <c r="N1049" s="28">
        <f>'Historical Data'!AK1046</f>
        <v/>
      </c>
      <c r="O1049" s="3">
        <f>'Historical Data'!AA1046</f>
        <v/>
      </c>
      <c r="P1049" s="3">
        <f>'Historical Data'!AB1046</f>
        <v/>
      </c>
      <c r="Q1049" s="3">
        <f>'Historical Data'!AN1046</f>
        <v/>
      </c>
      <c r="R1049" s="3">
        <f>'Historical Data'!AC1046</f>
        <v/>
      </c>
      <c r="S1049" s="3">
        <f>'Historical Data'!AE1046</f>
        <v/>
      </c>
      <c r="T1049" s="3">
        <f>'Historical Data'!AH1046</f>
        <v/>
      </c>
      <c r="U1049" s="3">
        <f>'Historical Data'!BA1046</f>
        <v/>
      </c>
      <c r="V1049" s="3" t="n"/>
      <c r="W1049" s="3" t="n"/>
      <c r="X1049" s="3" t="n"/>
      <c r="Y1049" s="3" t="n"/>
      <c r="Z1049" s="3" t="n"/>
    </row>
    <row r="1050" hidden="1" ht="15" customHeight="1" s="174">
      <c r="A1050" s="3">
        <f>'Historical Data'!A1047</f>
        <v/>
      </c>
      <c r="B1050" s="3">
        <f>'Historical Data'!B1047</f>
        <v/>
      </c>
      <c r="C1050" s="3">
        <f>'Historical Data'!D1047</f>
        <v/>
      </c>
      <c r="D1050" s="23">
        <f>'Historical Data'!E1047</f>
        <v/>
      </c>
      <c r="E1050" s="3">
        <f>'Historical Data'!G1047</f>
        <v/>
      </c>
      <c r="F1050" s="3">
        <f>'Historical Data'!Y1047</f>
        <v/>
      </c>
      <c r="G1050" s="3">
        <f>'Historical Data'!K1047</f>
        <v/>
      </c>
      <c r="H1050" s="3">
        <f>'Historical Data'!L1047</f>
        <v/>
      </c>
      <c r="I1050" s="26">
        <f>'Historical Data'!M1047</f>
        <v/>
      </c>
      <c r="J1050" s="28">
        <f>'Historical Data'!N1047</f>
        <v/>
      </c>
      <c r="K1050" s="28">
        <f>'Historical Data'!Q1047</f>
        <v/>
      </c>
      <c r="L1050" s="30">
        <f>'Historical Data'!S1047</f>
        <v/>
      </c>
      <c r="M1050" s="28">
        <f>'Historical Data'!AJ1047</f>
        <v/>
      </c>
      <c r="N1050" s="28">
        <f>'Historical Data'!AK1047</f>
        <v/>
      </c>
      <c r="O1050" s="3">
        <f>'Historical Data'!AA1047</f>
        <v/>
      </c>
      <c r="P1050" s="3">
        <f>'Historical Data'!AB1047</f>
        <v/>
      </c>
      <c r="Q1050" s="3">
        <f>'Historical Data'!AN1047</f>
        <v/>
      </c>
      <c r="R1050" s="3">
        <f>'Historical Data'!AC1047</f>
        <v/>
      </c>
      <c r="S1050" s="3">
        <f>'Historical Data'!AE1047</f>
        <v/>
      </c>
      <c r="T1050" s="3">
        <f>'Historical Data'!AH1047</f>
        <v/>
      </c>
      <c r="U1050" s="3">
        <f>'Historical Data'!BA1047</f>
        <v/>
      </c>
      <c r="V1050" s="3" t="n"/>
      <c r="W1050" s="3" t="n"/>
      <c r="X1050" s="3" t="n"/>
      <c r="Y1050" s="3" t="n"/>
      <c r="Z1050" s="3" t="n"/>
    </row>
    <row r="1051" hidden="1" ht="15" customHeight="1" s="174">
      <c r="A1051" s="3">
        <f>'Historical Data'!A1048</f>
        <v/>
      </c>
      <c r="B1051" s="3">
        <f>'Historical Data'!B1048</f>
        <v/>
      </c>
      <c r="C1051" s="3">
        <f>'Historical Data'!D1048</f>
        <v/>
      </c>
      <c r="D1051" s="23">
        <f>'Historical Data'!E1048</f>
        <v/>
      </c>
      <c r="E1051" s="3">
        <f>'Historical Data'!G1048</f>
        <v/>
      </c>
      <c r="F1051" s="3">
        <f>'Historical Data'!Y1048</f>
        <v/>
      </c>
      <c r="G1051" s="3">
        <f>'Historical Data'!K1048</f>
        <v/>
      </c>
      <c r="H1051" s="3">
        <f>'Historical Data'!L1048</f>
        <v/>
      </c>
      <c r="I1051" s="26">
        <f>'Historical Data'!M1048</f>
        <v/>
      </c>
      <c r="J1051" s="28">
        <f>'Historical Data'!N1048</f>
        <v/>
      </c>
      <c r="K1051" s="28">
        <f>'Historical Data'!Q1048</f>
        <v/>
      </c>
      <c r="L1051" s="30">
        <f>'Historical Data'!S1048</f>
        <v/>
      </c>
      <c r="M1051" s="28">
        <f>'Historical Data'!AJ1048</f>
        <v/>
      </c>
      <c r="N1051" s="28">
        <f>'Historical Data'!AK1048</f>
        <v/>
      </c>
      <c r="O1051" s="3">
        <f>'Historical Data'!AA1048</f>
        <v/>
      </c>
      <c r="P1051" s="3">
        <f>'Historical Data'!AB1048</f>
        <v/>
      </c>
      <c r="Q1051" s="3">
        <f>'Historical Data'!AN1048</f>
        <v/>
      </c>
      <c r="R1051" s="3">
        <f>'Historical Data'!AC1048</f>
        <v/>
      </c>
      <c r="S1051" s="3">
        <f>'Historical Data'!AE1048</f>
        <v/>
      </c>
      <c r="T1051" s="3">
        <f>'Historical Data'!AH1048</f>
        <v/>
      </c>
      <c r="U1051" s="3">
        <f>'Historical Data'!BA1048</f>
        <v/>
      </c>
      <c r="V1051" s="3" t="n"/>
      <c r="W1051" s="3" t="n"/>
      <c r="X1051" s="3" t="n"/>
      <c r="Y1051" s="3" t="n"/>
      <c r="Z1051" s="3" t="n"/>
    </row>
    <row r="1052" hidden="1" ht="15" customHeight="1" s="174">
      <c r="A1052" s="3">
        <f>'Historical Data'!A1049</f>
        <v/>
      </c>
      <c r="B1052" s="3">
        <f>'Historical Data'!B1049</f>
        <v/>
      </c>
      <c r="C1052" s="3">
        <f>'Historical Data'!D1049</f>
        <v/>
      </c>
      <c r="D1052" s="23">
        <f>'Historical Data'!E1049</f>
        <v/>
      </c>
      <c r="E1052" s="3">
        <f>'Historical Data'!G1049</f>
        <v/>
      </c>
      <c r="F1052" s="3">
        <f>'Historical Data'!Y1049</f>
        <v/>
      </c>
      <c r="G1052" s="3">
        <f>'Historical Data'!K1049</f>
        <v/>
      </c>
      <c r="H1052" s="3">
        <f>'Historical Data'!L1049</f>
        <v/>
      </c>
      <c r="I1052" s="26">
        <f>'Historical Data'!M1049</f>
        <v/>
      </c>
      <c r="J1052" s="28">
        <f>'Historical Data'!N1049</f>
        <v/>
      </c>
      <c r="K1052" s="28">
        <f>'Historical Data'!Q1049</f>
        <v/>
      </c>
      <c r="L1052" s="30">
        <f>'Historical Data'!S1049</f>
        <v/>
      </c>
      <c r="M1052" s="28">
        <f>'Historical Data'!AJ1049</f>
        <v/>
      </c>
      <c r="N1052" s="28">
        <f>'Historical Data'!AK1049</f>
        <v/>
      </c>
      <c r="O1052" s="3">
        <f>'Historical Data'!AA1049</f>
        <v/>
      </c>
      <c r="P1052" s="3">
        <f>'Historical Data'!AB1049</f>
        <v/>
      </c>
      <c r="Q1052" s="3">
        <f>'Historical Data'!AN1049</f>
        <v/>
      </c>
      <c r="R1052" s="3">
        <f>'Historical Data'!AC1049</f>
        <v/>
      </c>
      <c r="S1052" s="3">
        <f>'Historical Data'!AE1049</f>
        <v/>
      </c>
      <c r="T1052" s="3">
        <f>'Historical Data'!AH1049</f>
        <v/>
      </c>
      <c r="U1052" s="3">
        <f>'Historical Data'!BA1049</f>
        <v/>
      </c>
      <c r="V1052" s="3" t="n"/>
      <c r="W1052" s="3" t="n"/>
      <c r="X1052" s="3" t="n"/>
      <c r="Y1052" s="3" t="n"/>
      <c r="Z1052" s="3" t="n"/>
    </row>
    <row r="1053" hidden="1" ht="15" customHeight="1" s="174">
      <c r="A1053" s="3">
        <f>'Historical Data'!A1050</f>
        <v/>
      </c>
      <c r="B1053" s="3">
        <f>'Historical Data'!B1050</f>
        <v/>
      </c>
      <c r="C1053" s="3">
        <f>'Historical Data'!D1050</f>
        <v/>
      </c>
      <c r="D1053" s="23">
        <f>'Historical Data'!E1050</f>
        <v/>
      </c>
      <c r="E1053" s="3">
        <f>'Historical Data'!G1050</f>
        <v/>
      </c>
      <c r="F1053" s="3">
        <f>'Historical Data'!Y1050</f>
        <v/>
      </c>
      <c r="G1053" s="3">
        <f>'Historical Data'!K1050</f>
        <v/>
      </c>
      <c r="H1053" s="3">
        <f>'Historical Data'!L1050</f>
        <v/>
      </c>
      <c r="I1053" s="26">
        <f>'Historical Data'!M1050</f>
        <v/>
      </c>
      <c r="J1053" s="28">
        <f>'Historical Data'!N1050</f>
        <v/>
      </c>
      <c r="K1053" s="28">
        <f>'Historical Data'!Q1050</f>
        <v/>
      </c>
      <c r="L1053" s="30">
        <f>'Historical Data'!S1050</f>
        <v/>
      </c>
      <c r="M1053" s="28">
        <f>'Historical Data'!AJ1050</f>
        <v/>
      </c>
      <c r="N1053" s="28">
        <f>'Historical Data'!AK1050</f>
        <v/>
      </c>
      <c r="O1053" s="3">
        <f>'Historical Data'!AA1050</f>
        <v/>
      </c>
      <c r="P1053" s="3">
        <f>'Historical Data'!AB1050</f>
        <v/>
      </c>
      <c r="Q1053" s="3">
        <f>'Historical Data'!AN1050</f>
        <v/>
      </c>
      <c r="R1053" s="3">
        <f>'Historical Data'!AC1050</f>
        <v/>
      </c>
      <c r="S1053" s="3">
        <f>'Historical Data'!AE1050</f>
        <v/>
      </c>
      <c r="T1053" s="3">
        <f>'Historical Data'!AH1050</f>
        <v/>
      </c>
      <c r="U1053" s="3">
        <f>'Historical Data'!BA1050</f>
        <v/>
      </c>
      <c r="V1053" s="3" t="n"/>
      <c r="W1053" s="3" t="n"/>
      <c r="X1053" s="3" t="n"/>
      <c r="Y1053" s="3" t="n"/>
      <c r="Z1053" s="3" t="n"/>
    </row>
    <row r="1054" hidden="1" ht="15" customHeight="1" s="174">
      <c r="A1054" s="3">
        <f>'Historical Data'!A1051</f>
        <v/>
      </c>
      <c r="B1054" s="3">
        <f>'Historical Data'!B1051</f>
        <v/>
      </c>
      <c r="C1054" s="3">
        <f>'Historical Data'!D1051</f>
        <v/>
      </c>
      <c r="D1054" s="23">
        <f>'Historical Data'!E1051</f>
        <v/>
      </c>
      <c r="E1054" s="3">
        <f>'Historical Data'!G1051</f>
        <v/>
      </c>
      <c r="F1054" s="3">
        <f>'Historical Data'!Y1051</f>
        <v/>
      </c>
      <c r="G1054" s="3">
        <f>'Historical Data'!K1051</f>
        <v/>
      </c>
      <c r="H1054" s="3">
        <f>'Historical Data'!L1051</f>
        <v/>
      </c>
      <c r="I1054" s="26">
        <f>'Historical Data'!M1051</f>
        <v/>
      </c>
      <c r="J1054" s="28">
        <f>'Historical Data'!N1051</f>
        <v/>
      </c>
      <c r="K1054" s="28">
        <f>'Historical Data'!Q1051</f>
        <v/>
      </c>
      <c r="L1054" s="30">
        <f>'Historical Data'!S1051</f>
        <v/>
      </c>
      <c r="M1054" s="28">
        <f>'Historical Data'!AJ1051</f>
        <v/>
      </c>
      <c r="N1054" s="28">
        <f>'Historical Data'!AK1051</f>
        <v/>
      </c>
      <c r="O1054" s="3">
        <f>'Historical Data'!AA1051</f>
        <v/>
      </c>
      <c r="P1054" s="3">
        <f>'Historical Data'!AB1051</f>
        <v/>
      </c>
      <c r="Q1054" s="3">
        <f>'Historical Data'!AN1051</f>
        <v/>
      </c>
      <c r="R1054" s="3">
        <f>'Historical Data'!AC1051</f>
        <v/>
      </c>
      <c r="S1054" s="3">
        <f>'Historical Data'!AE1051</f>
        <v/>
      </c>
      <c r="T1054" s="3">
        <f>'Historical Data'!AH1051</f>
        <v/>
      </c>
      <c r="U1054" s="3">
        <f>'Historical Data'!BA1051</f>
        <v/>
      </c>
      <c r="V1054" s="3" t="n"/>
      <c r="W1054" s="3" t="n"/>
      <c r="X1054" s="3" t="n"/>
      <c r="Y1054" s="3" t="n"/>
      <c r="Z1054" s="3" t="n"/>
    </row>
    <row r="1055" hidden="1" ht="15" customHeight="1" s="174">
      <c r="A1055" s="3">
        <f>'Historical Data'!A1052</f>
        <v/>
      </c>
      <c r="B1055" s="3">
        <f>'Historical Data'!B1052</f>
        <v/>
      </c>
      <c r="C1055" s="3">
        <f>'Historical Data'!D1052</f>
        <v/>
      </c>
      <c r="D1055" s="23">
        <f>'Historical Data'!E1052</f>
        <v/>
      </c>
      <c r="E1055" s="3">
        <f>'Historical Data'!G1052</f>
        <v/>
      </c>
      <c r="F1055" s="3">
        <f>'Historical Data'!Y1052</f>
        <v/>
      </c>
      <c r="G1055" s="3">
        <f>'Historical Data'!K1052</f>
        <v/>
      </c>
      <c r="H1055" s="3">
        <f>'Historical Data'!L1052</f>
        <v/>
      </c>
      <c r="I1055" s="26">
        <f>'Historical Data'!M1052</f>
        <v/>
      </c>
      <c r="J1055" s="28">
        <f>'Historical Data'!N1052</f>
        <v/>
      </c>
      <c r="K1055" s="28">
        <f>'Historical Data'!Q1052</f>
        <v/>
      </c>
      <c r="L1055" s="30">
        <f>'Historical Data'!S1052</f>
        <v/>
      </c>
      <c r="M1055" s="28">
        <f>'Historical Data'!AJ1052</f>
        <v/>
      </c>
      <c r="N1055" s="28">
        <f>'Historical Data'!AK1052</f>
        <v/>
      </c>
      <c r="O1055" s="3">
        <f>'Historical Data'!AA1052</f>
        <v/>
      </c>
      <c r="P1055" s="3">
        <f>'Historical Data'!AB1052</f>
        <v/>
      </c>
      <c r="Q1055" s="3">
        <f>'Historical Data'!AN1052</f>
        <v/>
      </c>
      <c r="R1055" s="3">
        <f>'Historical Data'!AC1052</f>
        <v/>
      </c>
      <c r="S1055" s="3">
        <f>'Historical Data'!AE1052</f>
        <v/>
      </c>
      <c r="T1055" s="3">
        <f>'Historical Data'!AH1052</f>
        <v/>
      </c>
      <c r="U1055" s="3">
        <f>'Historical Data'!BA1052</f>
        <v/>
      </c>
      <c r="V1055" s="3" t="n"/>
      <c r="W1055" s="3" t="n"/>
      <c r="X1055" s="3" t="n"/>
      <c r="Y1055" s="3" t="n"/>
      <c r="Z1055" s="3" t="n"/>
    </row>
    <row r="1056" hidden="1" ht="15" customHeight="1" s="174">
      <c r="A1056" s="3">
        <f>'Historical Data'!A1053</f>
        <v/>
      </c>
      <c r="B1056" s="3">
        <f>'Historical Data'!B1053</f>
        <v/>
      </c>
      <c r="C1056" s="3">
        <f>'Historical Data'!D1053</f>
        <v/>
      </c>
      <c r="D1056" s="23">
        <f>'Historical Data'!E1053</f>
        <v/>
      </c>
      <c r="E1056" s="3">
        <f>'Historical Data'!G1053</f>
        <v/>
      </c>
      <c r="F1056" s="3">
        <f>'Historical Data'!Y1053</f>
        <v/>
      </c>
      <c r="G1056" s="3">
        <f>'Historical Data'!K1053</f>
        <v/>
      </c>
      <c r="H1056" s="3">
        <f>'Historical Data'!L1053</f>
        <v/>
      </c>
      <c r="I1056" s="26">
        <f>'Historical Data'!M1053</f>
        <v/>
      </c>
      <c r="J1056" s="28">
        <f>'Historical Data'!N1053</f>
        <v/>
      </c>
      <c r="K1056" s="28">
        <f>'Historical Data'!Q1053</f>
        <v/>
      </c>
      <c r="L1056" s="30">
        <f>'Historical Data'!S1053</f>
        <v/>
      </c>
      <c r="M1056" s="28">
        <f>'Historical Data'!AJ1053</f>
        <v/>
      </c>
      <c r="N1056" s="28">
        <f>'Historical Data'!AK1053</f>
        <v/>
      </c>
      <c r="O1056" s="3">
        <f>'Historical Data'!AA1053</f>
        <v/>
      </c>
      <c r="P1056" s="3">
        <f>'Historical Data'!AB1053</f>
        <v/>
      </c>
      <c r="Q1056" s="3">
        <f>'Historical Data'!AN1053</f>
        <v/>
      </c>
      <c r="R1056" s="3">
        <f>'Historical Data'!AC1053</f>
        <v/>
      </c>
      <c r="S1056" s="3">
        <f>'Historical Data'!AE1053</f>
        <v/>
      </c>
      <c r="T1056" s="3">
        <f>'Historical Data'!AH1053</f>
        <v/>
      </c>
      <c r="U1056" s="3">
        <f>'Historical Data'!BA1053</f>
        <v/>
      </c>
      <c r="V1056" s="3" t="n"/>
      <c r="W1056" s="3" t="n"/>
      <c r="X1056" s="3" t="n"/>
      <c r="Y1056" s="3" t="n"/>
      <c r="Z1056" s="3" t="n"/>
    </row>
    <row r="1057" hidden="1" ht="15" customHeight="1" s="174">
      <c r="A1057" s="3">
        <f>'Historical Data'!A1054</f>
        <v/>
      </c>
      <c r="B1057" s="3">
        <f>'Historical Data'!B1054</f>
        <v/>
      </c>
      <c r="C1057" s="3">
        <f>'Historical Data'!D1054</f>
        <v/>
      </c>
      <c r="D1057" s="23">
        <f>'Historical Data'!E1054</f>
        <v/>
      </c>
      <c r="E1057" s="3">
        <f>'Historical Data'!G1054</f>
        <v/>
      </c>
      <c r="F1057" s="3">
        <f>'Historical Data'!Y1054</f>
        <v/>
      </c>
      <c r="G1057" s="3">
        <f>'Historical Data'!K1054</f>
        <v/>
      </c>
      <c r="H1057" s="3">
        <f>'Historical Data'!L1054</f>
        <v/>
      </c>
      <c r="I1057" s="26">
        <f>'Historical Data'!M1054</f>
        <v/>
      </c>
      <c r="J1057" s="28">
        <f>'Historical Data'!N1054</f>
        <v/>
      </c>
      <c r="K1057" s="28">
        <f>'Historical Data'!Q1054</f>
        <v/>
      </c>
      <c r="L1057" s="30">
        <f>'Historical Data'!S1054</f>
        <v/>
      </c>
      <c r="M1057" s="28">
        <f>'Historical Data'!AJ1054</f>
        <v/>
      </c>
      <c r="N1057" s="28">
        <f>'Historical Data'!AK1054</f>
        <v/>
      </c>
      <c r="O1057" s="3">
        <f>'Historical Data'!AA1054</f>
        <v/>
      </c>
      <c r="P1057" s="3">
        <f>'Historical Data'!AB1054</f>
        <v/>
      </c>
      <c r="Q1057" s="3">
        <f>'Historical Data'!AN1054</f>
        <v/>
      </c>
      <c r="R1057" s="3">
        <f>'Historical Data'!AC1054</f>
        <v/>
      </c>
      <c r="S1057" s="3">
        <f>'Historical Data'!AE1054</f>
        <v/>
      </c>
      <c r="T1057" s="3">
        <f>'Historical Data'!AH1054</f>
        <v/>
      </c>
      <c r="U1057" s="3">
        <f>'Historical Data'!BA1054</f>
        <v/>
      </c>
      <c r="V1057" s="3" t="n"/>
      <c r="W1057" s="3" t="n"/>
      <c r="X1057" s="3" t="n"/>
      <c r="Y1057" s="3" t="n"/>
      <c r="Z1057" s="3" t="n"/>
    </row>
    <row r="1058" hidden="1" ht="15" customHeight="1" s="174">
      <c r="A1058" s="3">
        <f>'Historical Data'!A1055</f>
        <v/>
      </c>
      <c r="B1058" s="3">
        <f>'Historical Data'!B1055</f>
        <v/>
      </c>
      <c r="C1058" s="3">
        <f>'Historical Data'!D1055</f>
        <v/>
      </c>
      <c r="D1058" s="23">
        <f>'Historical Data'!E1055</f>
        <v/>
      </c>
      <c r="E1058" s="3">
        <f>'Historical Data'!G1055</f>
        <v/>
      </c>
      <c r="F1058" s="3">
        <f>'Historical Data'!Y1055</f>
        <v/>
      </c>
      <c r="G1058" s="3">
        <f>'Historical Data'!K1055</f>
        <v/>
      </c>
      <c r="H1058" s="3">
        <f>'Historical Data'!L1055</f>
        <v/>
      </c>
      <c r="I1058" s="26">
        <f>'Historical Data'!M1055</f>
        <v/>
      </c>
      <c r="J1058" s="28">
        <f>'Historical Data'!N1055</f>
        <v/>
      </c>
      <c r="K1058" s="28">
        <f>'Historical Data'!Q1055</f>
        <v/>
      </c>
      <c r="L1058" s="30">
        <f>'Historical Data'!S1055</f>
        <v/>
      </c>
      <c r="M1058" s="28">
        <f>'Historical Data'!AJ1055</f>
        <v/>
      </c>
      <c r="N1058" s="28">
        <f>'Historical Data'!AK1055</f>
        <v/>
      </c>
      <c r="O1058" s="3">
        <f>'Historical Data'!AA1055</f>
        <v/>
      </c>
      <c r="P1058" s="3">
        <f>'Historical Data'!AB1055</f>
        <v/>
      </c>
      <c r="Q1058" s="3">
        <f>'Historical Data'!AN1055</f>
        <v/>
      </c>
      <c r="R1058" s="3">
        <f>'Historical Data'!AC1055</f>
        <v/>
      </c>
      <c r="S1058" s="3">
        <f>'Historical Data'!AE1055</f>
        <v/>
      </c>
      <c r="T1058" s="3">
        <f>'Historical Data'!AH1055</f>
        <v/>
      </c>
      <c r="U1058" s="3">
        <f>'Historical Data'!BA1055</f>
        <v/>
      </c>
      <c r="V1058" s="3" t="n"/>
      <c r="W1058" s="3" t="n"/>
      <c r="X1058" s="3" t="n"/>
      <c r="Y1058" s="3" t="n"/>
      <c r="Z1058" s="3" t="n"/>
    </row>
    <row r="1059" hidden="1" ht="15" customHeight="1" s="174">
      <c r="A1059" s="3">
        <f>'Historical Data'!A1056</f>
        <v/>
      </c>
      <c r="B1059" s="3">
        <f>'Historical Data'!B1056</f>
        <v/>
      </c>
      <c r="C1059" s="3">
        <f>'Historical Data'!D1056</f>
        <v/>
      </c>
      <c r="D1059" s="23">
        <f>'Historical Data'!E1056</f>
        <v/>
      </c>
      <c r="E1059" s="3">
        <f>'Historical Data'!G1056</f>
        <v/>
      </c>
      <c r="F1059" s="3">
        <f>'Historical Data'!Y1056</f>
        <v/>
      </c>
      <c r="G1059" s="3">
        <f>'Historical Data'!K1056</f>
        <v/>
      </c>
      <c r="H1059" s="3">
        <f>'Historical Data'!L1056</f>
        <v/>
      </c>
      <c r="I1059" s="26">
        <f>'Historical Data'!M1056</f>
        <v/>
      </c>
      <c r="J1059" s="28">
        <f>'Historical Data'!N1056</f>
        <v/>
      </c>
      <c r="K1059" s="28">
        <f>'Historical Data'!Q1056</f>
        <v/>
      </c>
      <c r="L1059" s="30">
        <f>'Historical Data'!S1056</f>
        <v/>
      </c>
      <c r="M1059" s="28">
        <f>'Historical Data'!AJ1056</f>
        <v/>
      </c>
      <c r="N1059" s="28">
        <f>'Historical Data'!AK1056</f>
        <v/>
      </c>
      <c r="O1059" s="3">
        <f>'Historical Data'!AA1056</f>
        <v/>
      </c>
      <c r="P1059" s="3">
        <f>'Historical Data'!AB1056</f>
        <v/>
      </c>
      <c r="Q1059" s="3">
        <f>'Historical Data'!AN1056</f>
        <v/>
      </c>
      <c r="R1059" s="3">
        <f>'Historical Data'!AC1056</f>
        <v/>
      </c>
      <c r="S1059" s="3">
        <f>'Historical Data'!AE1056</f>
        <v/>
      </c>
      <c r="T1059" s="3">
        <f>'Historical Data'!AH1056</f>
        <v/>
      </c>
      <c r="U1059" s="3">
        <f>'Historical Data'!BA1056</f>
        <v/>
      </c>
      <c r="V1059" s="3" t="n"/>
      <c r="W1059" s="3" t="n"/>
      <c r="X1059" s="3" t="n"/>
      <c r="Y1059" s="3" t="n"/>
      <c r="Z1059" s="3" t="n"/>
    </row>
    <row r="1060" hidden="1" ht="15" customHeight="1" s="174">
      <c r="A1060" s="3">
        <f>'Historical Data'!A1057</f>
        <v/>
      </c>
      <c r="B1060" s="3">
        <f>'Historical Data'!B1057</f>
        <v/>
      </c>
      <c r="C1060" s="3">
        <f>'Historical Data'!D1057</f>
        <v/>
      </c>
      <c r="D1060" s="23">
        <f>'Historical Data'!E1057</f>
        <v/>
      </c>
      <c r="E1060" s="3">
        <f>'Historical Data'!G1057</f>
        <v/>
      </c>
      <c r="F1060" s="3">
        <f>'Historical Data'!Y1057</f>
        <v/>
      </c>
      <c r="G1060" s="3">
        <f>'Historical Data'!K1057</f>
        <v/>
      </c>
      <c r="H1060" s="3">
        <f>'Historical Data'!L1057</f>
        <v/>
      </c>
      <c r="I1060" s="26">
        <f>'Historical Data'!M1057</f>
        <v/>
      </c>
      <c r="J1060" s="28">
        <f>'Historical Data'!N1057</f>
        <v/>
      </c>
      <c r="K1060" s="28">
        <f>'Historical Data'!Q1057</f>
        <v/>
      </c>
      <c r="L1060" s="30">
        <f>'Historical Data'!S1057</f>
        <v/>
      </c>
      <c r="M1060" s="28">
        <f>'Historical Data'!AJ1057</f>
        <v/>
      </c>
      <c r="N1060" s="28">
        <f>'Historical Data'!AK1057</f>
        <v/>
      </c>
      <c r="O1060" s="3">
        <f>'Historical Data'!AA1057</f>
        <v/>
      </c>
      <c r="P1060" s="3">
        <f>'Historical Data'!AB1057</f>
        <v/>
      </c>
      <c r="Q1060" s="3">
        <f>'Historical Data'!AN1057</f>
        <v/>
      </c>
      <c r="R1060" s="3">
        <f>'Historical Data'!AC1057</f>
        <v/>
      </c>
      <c r="S1060" s="3">
        <f>'Historical Data'!AE1057</f>
        <v/>
      </c>
      <c r="T1060" s="3">
        <f>'Historical Data'!AH1057</f>
        <v/>
      </c>
      <c r="U1060" s="3">
        <f>'Historical Data'!BA1057</f>
        <v/>
      </c>
      <c r="V1060" s="3" t="n"/>
      <c r="W1060" s="3" t="n"/>
      <c r="X1060" s="3" t="n"/>
      <c r="Y1060" s="3" t="n"/>
      <c r="Z1060" s="3" t="n"/>
    </row>
    <row r="1061" hidden="1" ht="15" customHeight="1" s="174">
      <c r="A1061" s="3">
        <f>'Historical Data'!A1058</f>
        <v/>
      </c>
      <c r="B1061" s="3">
        <f>'Historical Data'!B1058</f>
        <v/>
      </c>
      <c r="C1061" s="3">
        <f>'Historical Data'!D1058</f>
        <v/>
      </c>
      <c r="D1061" s="23">
        <f>'Historical Data'!E1058</f>
        <v/>
      </c>
      <c r="E1061" s="3">
        <f>'Historical Data'!G1058</f>
        <v/>
      </c>
      <c r="F1061" s="3">
        <f>'Historical Data'!Y1058</f>
        <v/>
      </c>
      <c r="G1061" s="3">
        <f>'Historical Data'!K1058</f>
        <v/>
      </c>
      <c r="H1061" s="3">
        <f>'Historical Data'!L1058</f>
        <v/>
      </c>
      <c r="I1061" s="26">
        <f>'Historical Data'!M1058</f>
        <v/>
      </c>
      <c r="J1061" s="28">
        <f>'Historical Data'!N1058</f>
        <v/>
      </c>
      <c r="K1061" s="28">
        <f>'Historical Data'!Q1058</f>
        <v/>
      </c>
      <c r="L1061" s="30">
        <f>'Historical Data'!S1058</f>
        <v/>
      </c>
      <c r="M1061" s="28">
        <f>'Historical Data'!AJ1058</f>
        <v/>
      </c>
      <c r="N1061" s="28">
        <f>'Historical Data'!AK1058</f>
        <v/>
      </c>
      <c r="O1061" s="3">
        <f>'Historical Data'!AA1058</f>
        <v/>
      </c>
      <c r="P1061" s="3">
        <f>'Historical Data'!AB1058</f>
        <v/>
      </c>
      <c r="Q1061" s="3">
        <f>'Historical Data'!AN1058</f>
        <v/>
      </c>
      <c r="R1061" s="3">
        <f>'Historical Data'!AC1058</f>
        <v/>
      </c>
      <c r="S1061" s="3">
        <f>'Historical Data'!AE1058</f>
        <v/>
      </c>
      <c r="T1061" s="3">
        <f>'Historical Data'!AH1058</f>
        <v/>
      </c>
      <c r="U1061" s="3">
        <f>'Historical Data'!BA1058</f>
        <v/>
      </c>
      <c r="V1061" s="3" t="n"/>
      <c r="W1061" s="3" t="n"/>
      <c r="X1061" s="3" t="n"/>
      <c r="Y1061" s="3" t="n"/>
      <c r="Z1061" s="3" t="n"/>
    </row>
    <row r="1062" hidden="1" ht="15" customHeight="1" s="174">
      <c r="A1062" s="3">
        <f>'Historical Data'!A1059</f>
        <v/>
      </c>
      <c r="B1062" s="3">
        <f>'Historical Data'!B1059</f>
        <v/>
      </c>
      <c r="C1062" s="3">
        <f>'Historical Data'!D1059</f>
        <v/>
      </c>
      <c r="D1062" s="23">
        <f>'Historical Data'!E1059</f>
        <v/>
      </c>
      <c r="E1062" s="3">
        <f>'Historical Data'!G1059</f>
        <v/>
      </c>
      <c r="F1062" s="3">
        <f>'Historical Data'!Y1059</f>
        <v/>
      </c>
      <c r="G1062" s="3">
        <f>'Historical Data'!K1059</f>
        <v/>
      </c>
      <c r="H1062" s="3">
        <f>'Historical Data'!L1059</f>
        <v/>
      </c>
      <c r="I1062" s="26">
        <f>'Historical Data'!M1059</f>
        <v/>
      </c>
      <c r="J1062" s="28">
        <f>'Historical Data'!N1059</f>
        <v/>
      </c>
      <c r="K1062" s="28">
        <f>'Historical Data'!Q1059</f>
        <v/>
      </c>
      <c r="L1062" s="30">
        <f>'Historical Data'!S1059</f>
        <v/>
      </c>
      <c r="M1062" s="28">
        <f>'Historical Data'!AJ1059</f>
        <v/>
      </c>
      <c r="N1062" s="28">
        <f>'Historical Data'!AK1059</f>
        <v/>
      </c>
      <c r="O1062" s="3">
        <f>'Historical Data'!AA1059</f>
        <v/>
      </c>
      <c r="P1062" s="3">
        <f>'Historical Data'!AB1059</f>
        <v/>
      </c>
      <c r="Q1062" s="3">
        <f>'Historical Data'!AN1059</f>
        <v/>
      </c>
      <c r="R1062" s="3">
        <f>'Historical Data'!AC1059</f>
        <v/>
      </c>
      <c r="S1062" s="3">
        <f>'Historical Data'!AE1059</f>
        <v/>
      </c>
      <c r="T1062" s="3">
        <f>'Historical Data'!AH1059</f>
        <v/>
      </c>
      <c r="U1062" s="3">
        <f>'Historical Data'!BA1059</f>
        <v/>
      </c>
      <c r="V1062" s="3" t="n"/>
      <c r="W1062" s="3" t="n"/>
      <c r="X1062" s="3" t="n"/>
      <c r="Y1062" s="3" t="n"/>
      <c r="Z1062" s="3" t="n"/>
    </row>
    <row r="1063" hidden="1" ht="15" customHeight="1" s="174">
      <c r="A1063" s="3">
        <f>'Historical Data'!A1060</f>
        <v/>
      </c>
      <c r="B1063" s="3">
        <f>'Historical Data'!B1060</f>
        <v/>
      </c>
      <c r="C1063" s="3">
        <f>'Historical Data'!D1060</f>
        <v/>
      </c>
      <c r="D1063" s="23">
        <f>'Historical Data'!E1060</f>
        <v/>
      </c>
      <c r="E1063" s="3">
        <f>'Historical Data'!G1060</f>
        <v/>
      </c>
      <c r="F1063" s="3">
        <f>'Historical Data'!Y1060</f>
        <v/>
      </c>
      <c r="G1063" s="3">
        <f>'Historical Data'!K1060</f>
        <v/>
      </c>
      <c r="H1063" s="3">
        <f>'Historical Data'!L1060</f>
        <v/>
      </c>
      <c r="I1063" s="26">
        <f>'Historical Data'!M1060</f>
        <v/>
      </c>
      <c r="J1063" s="28">
        <f>'Historical Data'!N1060</f>
        <v/>
      </c>
      <c r="K1063" s="28">
        <f>'Historical Data'!Q1060</f>
        <v/>
      </c>
      <c r="L1063" s="30">
        <f>'Historical Data'!S1060</f>
        <v/>
      </c>
      <c r="M1063" s="28">
        <f>'Historical Data'!AJ1060</f>
        <v/>
      </c>
      <c r="N1063" s="28">
        <f>'Historical Data'!AK1060</f>
        <v/>
      </c>
      <c r="O1063" s="3">
        <f>'Historical Data'!AA1060</f>
        <v/>
      </c>
      <c r="P1063" s="3">
        <f>'Historical Data'!AB1060</f>
        <v/>
      </c>
      <c r="Q1063" s="3">
        <f>'Historical Data'!AN1060</f>
        <v/>
      </c>
      <c r="R1063" s="3">
        <f>'Historical Data'!AC1060</f>
        <v/>
      </c>
      <c r="S1063" s="3">
        <f>'Historical Data'!AE1060</f>
        <v/>
      </c>
      <c r="T1063" s="3">
        <f>'Historical Data'!AH1060</f>
        <v/>
      </c>
      <c r="U1063" s="3">
        <f>'Historical Data'!BA1060</f>
        <v/>
      </c>
      <c r="V1063" s="3" t="n"/>
      <c r="W1063" s="3" t="n"/>
      <c r="X1063" s="3" t="n"/>
      <c r="Y1063" s="3" t="n"/>
      <c r="Z1063" s="3" t="n"/>
    </row>
    <row r="1064" hidden="1" ht="15" customHeight="1" s="174">
      <c r="A1064" s="3">
        <f>'Historical Data'!A1061</f>
        <v/>
      </c>
      <c r="B1064" s="3">
        <f>'Historical Data'!B1061</f>
        <v/>
      </c>
      <c r="C1064" s="3">
        <f>'Historical Data'!D1061</f>
        <v/>
      </c>
      <c r="D1064" s="23">
        <f>'Historical Data'!E1061</f>
        <v/>
      </c>
      <c r="E1064" s="3">
        <f>'Historical Data'!G1061</f>
        <v/>
      </c>
      <c r="F1064" s="3">
        <f>'Historical Data'!Y1061</f>
        <v/>
      </c>
      <c r="G1064" s="3">
        <f>'Historical Data'!K1061</f>
        <v/>
      </c>
      <c r="H1064" s="3">
        <f>'Historical Data'!L1061</f>
        <v/>
      </c>
      <c r="I1064" s="26">
        <f>'Historical Data'!M1061</f>
        <v/>
      </c>
      <c r="J1064" s="28">
        <f>'Historical Data'!N1061</f>
        <v/>
      </c>
      <c r="K1064" s="28">
        <f>'Historical Data'!Q1061</f>
        <v/>
      </c>
      <c r="L1064" s="30">
        <f>'Historical Data'!S1061</f>
        <v/>
      </c>
      <c r="M1064" s="28">
        <f>'Historical Data'!AJ1061</f>
        <v/>
      </c>
      <c r="N1064" s="28">
        <f>'Historical Data'!AK1061</f>
        <v/>
      </c>
      <c r="O1064" s="3">
        <f>'Historical Data'!AA1061</f>
        <v/>
      </c>
      <c r="P1064" s="3">
        <f>'Historical Data'!AB1061</f>
        <v/>
      </c>
      <c r="Q1064" s="3">
        <f>'Historical Data'!AN1061</f>
        <v/>
      </c>
      <c r="R1064" s="3">
        <f>'Historical Data'!AC1061</f>
        <v/>
      </c>
      <c r="S1064" s="3">
        <f>'Historical Data'!AE1061</f>
        <v/>
      </c>
      <c r="T1064" s="3">
        <f>'Historical Data'!AH1061</f>
        <v/>
      </c>
      <c r="U1064" s="3">
        <f>'Historical Data'!BA1061</f>
        <v/>
      </c>
      <c r="V1064" s="3" t="n"/>
      <c r="W1064" s="3" t="n"/>
      <c r="X1064" s="3" t="n"/>
      <c r="Y1064" s="3" t="n"/>
      <c r="Z1064" s="3" t="n"/>
    </row>
    <row r="1065" hidden="1" ht="15" customHeight="1" s="174">
      <c r="A1065" s="3">
        <f>'Historical Data'!A1062</f>
        <v/>
      </c>
      <c r="B1065" s="3">
        <f>'Historical Data'!B1062</f>
        <v/>
      </c>
      <c r="C1065" s="3">
        <f>'Historical Data'!D1062</f>
        <v/>
      </c>
      <c r="D1065" s="23">
        <f>'Historical Data'!E1062</f>
        <v/>
      </c>
      <c r="E1065" s="3">
        <f>'Historical Data'!G1062</f>
        <v/>
      </c>
      <c r="F1065" s="3">
        <f>'Historical Data'!Y1062</f>
        <v/>
      </c>
      <c r="G1065" s="3">
        <f>'Historical Data'!K1062</f>
        <v/>
      </c>
      <c r="H1065" s="3">
        <f>'Historical Data'!L1062</f>
        <v/>
      </c>
      <c r="I1065" s="26">
        <f>'Historical Data'!M1062</f>
        <v/>
      </c>
      <c r="J1065" s="28">
        <f>'Historical Data'!N1062</f>
        <v/>
      </c>
      <c r="K1065" s="28">
        <f>'Historical Data'!Q1062</f>
        <v/>
      </c>
      <c r="L1065" s="30">
        <f>'Historical Data'!S1062</f>
        <v/>
      </c>
      <c r="M1065" s="28">
        <f>'Historical Data'!AJ1062</f>
        <v/>
      </c>
      <c r="N1065" s="28">
        <f>'Historical Data'!AK1062</f>
        <v/>
      </c>
      <c r="O1065" s="3">
        <f>'Historical Data'!AA1062</f>
        <v/>
      </c>
      <c r="P1065" s="3">
        <f>'Historical Data'!AB1062</f>
        <v/>
      </c>
      <c r="Q1065" s="3">
        <f>'Historical Data'!AN1062</f>
        <v/>
      </c>
      <c r="R1065" s="3">
        <f>'Historical Data'!AC1062</f>
        <v/>
      </c>
      <c r="S1065" s="3">
        <f>'Historical Data'!AE1062</f>
        <v/>
      </c>
      <c r="T1065" s="3">
        <f>'Historical Data'!AH1062</f>
        <v/>
      </c>
      <c r="U1065" s="3">
        <f>'Historical Data'!BA1062</f>
        <v/>
      </c>
      <c r="V1065" s="3" t="n"/>
      <c r="W1065" s="3" t="n"/>
      <c r="X1065" s="3" t="n"/>
      <c r="Y1065" s="3" t="n"/>
      <c r="Z1065" s="3" t="n"/>
    </row>
    <row r="1066" hidden="1" ht="15" customHeight="1" s="174">
      <c r="A1066" s="3">
        <f>'Historical Data'!A1063</f>
        <v/>
      </c>
      <c r="B1066" s="3">
        <f>'Historical Data'!B1063</f>
        <v/>
      </c>
      <c r="C1066" s="3">
        <f>'Historical Data'!D1063</f>
        <v/>
      </c>
      <c r="D1066" s="23">
        <f>'Historical Data'!E1063</f>
        <v/>
      </c>
      <c r="E1066" s="3">
        <f>'Historical Data'!G1063</f>
        <v/>
      </c>
      <c r="F1066" s="3">
        <f>'Historical Data'!Y1063</f>
        <v/>
      </c>
      <c r="G1066" s="3">
        <f>'Historical Data'!K1063</f>
        <v/>
      </c>
      <c r="H1066" s="3">
        <f>'Historical Data'!L1063</f>
        <v/>
      </c>
      <c r="I1066" s="26">
        <f>'Historical Data'!M1063</f>
        <v/>
      </c>
      <c r="J1066" s="28">
        <f>'Historical Data'!N1063</f>
        <v/>
      </c>
      <c r="K1066" s="28">
        <f>'Historical Data'!Q1063</f>
        <v/>
      </c>
      <c r="L1066" s="30">
        <f>'Historical Data'!S1063</f>
        <v/>
      </c>
      <c r="M1066" s="28">
        <f>'Historical Data'!AJ1063</f>
        <v/>
      </c>
      <c r="N1066" s="28">
        <f>'Historical Data'!AK1063</f>
        <v/>
      </c>
      <c r="O1066" s="3">
        <f>'Historical Data'!AA1063</f>
        <v/>
      </c>
      <c r="P1066" s="3">
        <f>'Historical Data'!AB1063</f>
        <v/>
      </c>
      <c r="Q1066" s="3">
        <f>'Historical Data'!AN1063</f>
        <v/>
      </c>
      <c r="R1066" s="3">
        <f>'Historical Data'!AC1063</f>
        <v/>
      </c>
      <c r="S1066" s="3">
        <f>'Historical Data'!AE1063</f>
        <v/>
      </c>
      <c r="T1066" s="3">
        <f>'Historical Data'!AH1063</f>
        <v/>
      </c>
      <c r="U1066" s="3">
        <f>'Historical Data'!BA1063</f>
        <v/>
      </c>
      <c r="V1066" s="3" t="n"/>
      <c r="W1066" s="3" t="n"/>
      <c r="X1066" s="3" t="n"/>
      <c r="Y1066" s="3" t="n"/>
      <c r="Z1066" s="3" t="n"/>
    </row>
    <row r="1067" hidden="1" ht="15" customHeight="1" s="174">
      <c r="A1067" s="3">
        <f>'Historical Data'!A1064</f>
        <v/>
      </c>
      <c r="B1067" s="3">
        <f>'Historical Data'!B1064</f>
        <v/>
      </c>
      <c r="C1067" s="3">
        <f>'Historical Data'!D1064</f>
        <v/>
      </c>
      <c r="D1067" s="23">
        <f>'Historical Data'!E1064</f>
        <v/>
      </c>
      <c r="E1067" s="3">
        <f>'Historical Data'!G1064</f>
        <v/>
      </c>
      <c r="F1067" s="3">
        <f>'Historical Data'!Y1064</f>
        <v/>
      </c>
      <c r="G1067" s="3">
        <f>'Historical Data'!K1064</f>
        <v/>
      </c>
      <c r="H1067" s="3">
        <f>'Historical Data'!L1064</f>
        <v/>
      </c>
      <c r="I1067" s="26">
        <f>'Historical Data'!M1064</f>
        <v/>
      </c>
      <c r="J1067" s="28">
        <f>'Historical Data'!N1064</f>
        <v/>
      </c>
      <c r="K1067" s="28">
        <f>'Historical Data'!Q1064</f>
        <v/>
      </c>
      <c r="L1067" s="30">
        <f>'Historical Data'!S1064</f>
        <v/>
      </c>
      <c r="M1067" s="28">
        <f>'Historical Data'!AJ1064</f>
        <v/>
      </c>
      <c r="N1067" s="28">
        <f>'Historical Data'!AK1064</f>
        <v/>
      </c>
      <c r="O1067" s="3">
        <f>'Historical Data'!AA1064</f>
        <v/>
      </c>
      <c r="P1067" s="3">
        <f>'Historical Data'!AB1064</f>
        <v/>
      </c>
      <c r="Q1067" s="3">
        <f>'Historical Data'!AN1064</f>
        <v/>
      </c>
      <c r="R1067" s="3">
        <f>'Historical Data'!AC1064</f>
        <v/>
      </c>
      <c r="S1067" s="3">
        <f>'Historical Data'!AE1064</f>
        <v/>
      </c>
      <c r="T1067" s="3">
        <f>'Historical Data'!AH1064</f>
        <v/>
      </c>
      <c r="U1067" s="3">
        <f>'Historical Data'!BA1064</f>
        <v/>
      </c>
      <c r="V1067" s="3" t="n"/>
      <c r="W1067" s="3" t="n"/>
      <c r="X1067" s="3" t="n"/>
      <c r="Y1067" s="3" t="n"/>
      <c r="Z1067" s="3" t="n"/>
    </row>
    <row r="1068" hidden="1" ht="15" customHeight="1" s="174">
      <c r="A1068" s="3">
        <f>'Historical Data'!A1065</f>
        <v/>
      </c>
      <c r="B1068" s="3">
        <f>'Historical Data'!B1065</f>
        <v/>
      </c>
      <c r="C1068" s="3">
        <f>'Historical Data'!D1065</f>
        <v/>
      </c>
      <c r="D1068" s="23">
        <f>'Historical Data'!E1065</f>
        <v/>
      </c>
      <c r="E1068" s="3">
        <f>'Historical Data'!G1065</f>
        <v/>
      </c>
      <c r="F1068" s="3">
        <f>'Historical Data'!Y1065</f>
        <v/>
      </c>
      <c r="G1068" s="3">
        <f>'Historical Data'!K1065</f>
        <v/>
      </c>
      <c r="H1068" s="3">
        <f>'Historical Data'!L1065</f>
        <v/>
      </c>
      <c r="I1068" s="26">
        <f>'Historical Data'!M1065</f>
        <v/>
      </c>
      <c r="J1068" s="28">
        <f>'Historical Data'!N1065</f>
        <v/>
      </c>
      <c r="K1068" s="28">
        <f>'Historical Data'!Q1065</f>
        <v/>
      </c>
      <c r="L1068" s="30">
        <f>'Historical Data'!S1065</f>
        <v/>
      </c>
      <c r="M1068" s="28">
        <f>'Historical Data'!AJ1065</f>
        <v/>
      </c>
      <c r="N1068" s="28">
        <f>'Historical Data'!AK1065</f>
        <v/>
      </c>
      <c r="O1068" s="3">
        <f>'Historical Data'!AA1065</f>
        <v/>
      </c>
      <c r="P1068" s="3">
        <f>'Historical Data'!AB1065</f>
        <v/>
      </c>
      <c r="Q1068" s="3">
        <f>'Historical Data'!AN1065</f>
        <v/>
      </c>
      <c r="R1068" s="3">
        <f>'Historical Data'!AC1065</f>
        <v/>
      </c>
      <c r="S1068" s="3">
        <f>'Historical Data'!AE1065</f>
        <v/>
      </c>
      <c r="T1068" s="3">
        <f>'Historical Data'!AH1065</f>
        <v/>
      </c>
      <c r="U1068" s="3">
        <f>'Historical Data'!BA1065</f>
        <v/>
      </c>
      <c r="V1068" s="3" t="n"/>
      <c r="W1068" s="3" t="n"/>
      <c r="X1068" s="3" t="n"/>
      <c r="Y1068" s="3" t="n"/>
      <c r="Z1068" s="3" t="n"/>
    </row>
    <row r="1069" hidden="1" ht="15" customHeight="1" s="174">
      <c r="A1069" s="3">
        <f>'Historical Data'!A1066</f>
        <v/>
      </c>
      <c r="B1069" s="3">
        <f>'Historical Data'!B1066</f>
        <v/>
      </c>
      <c r="C1069" s="3">
        <f>'Historical Data'!D1066</f>
        <v/>
      </c>
      <c r="D1069" s="23">
        <f>'Historical Data'!E1066</f>
        <v/>
      </c>
      <c r="E1069" s="3">
        <f>'Historical Data'!G1066</f>
        <v/>
      </c>
      <c r="F1069" s="3">
        <f>'Historical Data'!Y1066</f>
        <v/>
      </c>
      <c r="G1069" s="3">
        <f>'Historical Data'!K1066</f>
        <v/>
      </c>
      <c r="H1069" s="3">
        <f>'Historical Data'!L1066</f>
        <v/>
      </c>
      <c r="I1069" s="26">
        <f>'Historical Data'!M1066</f>
        <v/>
      </c>
      <c r="J1069" s="28">
        <f>'Historical Data'!N1066</f>
        <v/>
      </c>
      <c r="K1069" s="28">
        <f>'Historical Data'!Q1066</f>
        <v/>
      </c>
      <c r="L1069" s="30">
        <f>'Historical Data'!S1066</f>
        <v/>
      </c>
      <c r="M1069" s="28">
        <f>'Historical Data'!AJ1066</f>
        <v/>
      </c>
      <c r="N1069" s="28">
        <f>'Historical Data'!AK1066</f>
        <v/>
      </c>
      <c r="O1069" s="3">
        <f>'Historical Data'!AA1066</f>
        <v/>
      </c>
      <c r="P1069" s="3">
        <f>'Historical Data'!AB1066</f>
        <v/>
      </c>
      <c r="Q1069" s="3">
        <f>'Historical Data'!AN1066</f>
        <v/>
      </c>
      <c r="R1069" s="3">
        <f>'Historical Data'!AC1066</f>
        <v/>
      </c>
      <c r="S1069" s="3">
        <f>'Historical Data'!AE1066</f>
        <v/>
      </c>
      <c r="T1069" s="3">
        <f>'Historical Data'!AH1066</f>
        <v/>
      </c>
      <c r="U1069" s="3">
        <f>'Historical Data'!BA1066</f>
        <v/>
      </c>
      <c r="V1069" s="3" t="n"/>
      <c r="W1069" s="3" t="n"/>
      <c r="X1069" s="3" t="n"/>
      <c r="Y1069" s="3" t="n"/>
      <c r="Z1069" s="3" t="n"/>
    </row>
    <row r="1070" hidden="1" ht="15" customHeight="1" s="174">
      <c r="A1070" s="3">
        <f>'Historical Data'!A1067</f>
        <v/>
      </c>
      <c r="B1070" s="3">
        <f>'Historical Data'!B1067</f>
        <v/>
      </c>
      <c r="C1070" s="3">
        <f>'Historical Data'!D1067</f>
        <v/>
      </c>
      <c r="D1070" s="23">
        <f>'Historical Data'!E1067</f>
        <v/>
      </c>
      <c r="E1070" s="3">
        <f>'Historical Data'!G1067</f>
        <v/>
      </c>
      <c r="F1070" s="3">
        <f>'Historical Data'!Y1067</f>
        <v/>
      </c>
      <c r="G1070" s="3">
        <f>'Historical Data'!K1067</f>
        <v/>
      </c>
      <c r="H1070" s="3">
        <f>'Historical Data'!L1067</f>
        <v/>
      </c>
      <c r="I1070" s="26">
        <f>'Historical Data'!M1067</f>
        <v/>
      </c>
      <c r="J1070" s="28">
        <f>'Historical Data'!N1067</f>
        <v/>
      </c>
      <c r="K1070" s="28">
        <f>'Historical Data'!Q1067</f>
        <v/>
      </c>
      <c r="L1070" s="30">
        <f>'Historical Data'!S1067</f>
        <v/>
      </c>
      <c r="M1070" s="28">
        <f>'Historical Data'!AJ1067</f>
        <v/>
      </c>
      <c r="N1070" s="28">
        <f>'Historical Data'!AK1067</f>
        <v/>
      </c>
      <c r="O1070" s="3">
        <f>'Historical Data'!AA1067</f>
        <v/>
      </c>
      <c r="P1070" s="3">
        <f>'Historical Data'!AB1067</f>
        <v/>
      </c>
      <c r="Q1070" s="3">
        <f>'Historical Data'!AN1067</f>
        <v/>
      </c>
      <c r="R1070" s="3">
        <f>'Historical Data'!AC1067</f>
        <v/>
      </c>
      <c r="S1070" s="3">
        <f>'Historical Data'!AE1067</f>
        <v/>
      </c>
      <c r="T1070" s="3">
        <f>'Historical Data'!AH1067</f>
        <v/>
      </c>
      <c r="U1070" s="3">
        <f>'Historical Data'!BA1067</f>
        <v/>
      </c>
      <c r="V1070" s="3" t="n"/>
      <c r="W1070" s="3" t="n"/>
      <c r="X1070" s="3" t="n"/>
      <c r="Y1070" s="3" t="n"/>
      <c r="Z1070" s="3" t="n"/>
    </row>
    <row r="1071" hidden="1" ht="15" customHeight="1" s="174">
      <c r="A1071" s="3">
        <f>'Historical Data'!A1068</f>
        <v/>
      </c>
      <c r="B1071" s="3">
        <f>'Historical Data'!B1068</f>
        <v/>
      </c>
      <c r="C1071" s="3">
        <f>'Historical Data'!D1068</f>
        <v/>
      </c>
      <c r="D1071" s="23">
        <f>'Historical Data'!E1068</f>
        <v/>
      </c>
      <c r="E1071" s="3">
        <f>'Historical Data'!G1068</f>
        <v/>
      </c>
      <c r="F1071" s="3">
        <f>'Historical Data'!Y1068</f>
        <v/>
      </c>
      <c r="G1071" s="3">
        <f>'Historical Data'!K1068</f>
        <v/>
      </c>
      <c r="H1071" s="3">
        <f>'Historical Data'!L1068</f>
        <v/>
      </c>
      <c r="I1071" s="26">
        <f>'Historical Data'!M1068</f>
        <v/>
      </c>
      <c r="J1071" s="28">
        <f>'Historical Data'!N1068</f>
        <v/>
      </c>
      <c r="K1071" s="28">
        <f>'Historical Data'!Q1068</f>
        <v/>
      </c>
      <c r="L1071" s="30">
        <f>'Historical Data'!S1068</f>
        <v/>
      </c>
      <c r="M1071" s="28">
        <f>'Historical Data'!AJ1068</f>
        <v/>
      </c>
      <c r="N1071" s="28">
        <f>'Historical Data'!AK1068</f>
        <v/>
      </c>
      <c r="O1071" s="3">
        <f>'Historical Data'!AA1068</f>
        <v/>
      </c>
      <c r="P1071" s="3">
        <f>'Historical Data'!AB1068</f>
        <v/>
      </c>
      <c r="Q1071" s="3">
        <f>'Historical Data'!AN1068</f>
        <v/>
      </c>
      <c r="R1071" s="3">
        <f>'Historical Data'!AC1068</f>
        <v/>
      </c>
      <c r="S1071" s="3">
        <f>'Historical Data'!AE1068</f>
        <v/>
      </c>
      <c r="T1071" s="3">
        <f>'Historical Data'!AH1068</f>
        <v/>
      </c>
      <c r="U1071" s="3">
        <f>'Historical Data'!BA1068</f>
        <v/>
      </c>
      <c r="V1071" s="3" t="n"/>
      <c r="W1071" s="3" t="n"/>
      <c r="X1071" s="3" t="n"/>
      <c r="Y1071" s="3" t="n"/>
      <c r="Z1071" s="3" t="n"/>
    </row>
    <row r="1072" ht="15" customHeight="1" s="174">
      <c r="A1072" s="3" t="n"/>
      <c r="B1072" s="3" t="n"/>
      <c r="C1072" s="3" t="n"/>
      <c r="D1072" s="3" t="n"/>
      <c r="E1072" s="3" t="n"/>
      <c r="F1072" s="3" t="n"/>
      <c r="G1072" s="3" t="n"/>
      <c r="H1072" s="3" t="n"/>
      <c r="I1072" s="3" t="n"/>
      <c r="J1072" s="3" t="n"/>
      <c r="K1072" s="3" t="n"/>
      <c r="L1072" s="3" t="n"/>
      <c r="M1072" s="3" t="n"/>
      <c r="N1072" s="3" t="n"/>
      <c r="O1072" s="3" t="n"/>
      <c r="P1072" s="3" t="n"/>
      <c r="Q1072" s="3" t="n"/>
      <c r="R1072" s="3" t="n"/>
      <c r="S1072" s="3" t="n"/>
      <c r="T1072" s="3" t="n"/>
      <c r="U1072" s="3" t="n"/>
      <c r="V1072" s="3" t="n"/>
      <c r="W1072" s="3" t="n"/>
      <c r="X1072" s="3" t="n"/>
      <c r="Y1072" s="3" t="n"/>
      <c r="Z1072" s="3" t="n"/>
    </row>
  </sheetData>
  <autoFilter ref="$A$4:$U$1071">
    <filterColumn colId="20" hiddenButton="0" showButton="1">
      <filters>
        <filter val="1"/>
      </filters>
    </filterColumn>
  </autoFilter>
  <mergeCells count="1">
    <mergeCell ref="A1:B1"/>
  </mergeCells>
  <pageMargins left="0.75" right="0.75" top="1" bottom="1" header="0" footer="0"/>
  <pageSetup orientation="portrait"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C1079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baseColWidth="8" defaultColWidth="14.43" defaultRowHeight="15" customHeight="1"/>
  <cols>
    <col width="12" customWidth="1" style="174" min="1" max="1"/>
    <col width="26" customWidth="1" style="174" min="2" max="3"/>
    <col width="18" customWidth="1" style="174" min="4" max="4"/>
    <col width="8.57" customWidth="1" style="174" min="5" max="10"/>
    <col width="24" customWidth="1" style="174" min="11" max="11"/>
    <col width="8.57" customWidth="1" style="174" min="12" max="24"/>
    <col width="26" customWidth="1" style="174" min="25" max="25"/>
    <col width="8.57" customWidth="1" style="174" min="26" max="55"/>
  </cols>
  <sheetData>
    <row r="1" ht="42" customHeight="1" s="174">
      <c r="A1" s="88" t="inlineStr">
        <is>
          <t>Contract ID</t>
        </is>
      </c>
      <c r="B1" s="88" t="inlineStr">
        <is>
          <t>DBA</t>
        </is>
      </c>
      <c r="C1" s="88" t="inlineStr">
        <is>
          <t>Legal name</t>
        </is>
      </c>
      <c r="D1" s="88" t="inlineStr">
        <is>
          <t>Status</t>
        </is>
      </c>
      <c r="E1" s="88" t="inlineStr">
        <is>
          <t>Start date</t>
        </is>
      </c>
      <c r="F1" s="88" t="inlineStr">
        <is>
          <t>Last active</t>
        </is>
      </c>
      <c r="G1" s="88" t="inlineStr">
        <is>
          <t>Position</t>
        </is>
      </c>
      <c r="H1" s="88" t="inlineStr">
        <is>
          <t>SIC</t>
        </is>
      </c>
      <c r="I1" s="88" t="inlineStr">
        <is>
          <t>SIC2</t>
        </is>
      </c>
      <c r="J1" s="88" t="inlineStr">
        <is>
          <t>State</t>
        </is>
      </c>
      <c r="K1" s="88" t="inlineStr">
        <is>
          <t>ISO</t>
        </is>
      </c>
      <c r="L1" s="88" t="inlineStr">
        <is>
          <t>New or renewal</t>
        </is>
      </c>
      <c r="M1" s="88" t="inlineStr">
        <is>
          <t>Factor</t>
        </is>
      </c>
      <c r="N1" s="88" t="inlineStr">
        <is>
          <t>Advance</t>
        </is>
      </c>
      <c r="O1" s="88" t="inlineStr">
        <is>
          <t>Commission</t>
        </is>
      </c>
      <c r="P1" s="88" t="inlineStr">
        <is>
          <t>Payback</t>
        </is>
      </c>
      <c r="Q1" s="88" t="inlineStr">
        <is>
          <t>Collected</t>
        </is>
      </c>
      <c r="R1" s="88" t="inlineStr">
        <is>
          <t>Balance</t>
        </is>
      </c>
      <c r="S1" s="88" t="inlineStr">
        <is>
          <t>% paid</t>
        </is>
      </c>
      <c r="T1" s="88" t="inlineStr">
        <is>
          <t>Exp dur (raw)</t>
        </is>
      </c>
      <c r="U1" s="88" t="inlineStr">
        <is>
          <t>NSF count</t>
        </is>
      </c>
      <c r="V1" s="88" t="inlineStr">
        <is>
          <t>Avg rev/mo</t>
        </is>
      </c>
      <c r="W1" s="88" t="inlineStr">
        <is>
          <t>Holdback %</t>
        </is>
      </c>
      <c r="X1" s="88" t="inlineStr">
        <is>
          <t>Biz start</t>
        </is>
      </c>
      <c r="Y1" s="36" t="inlineStr">
        <is>
          <t>Industry</t>
        </is>
      </c>
      <c r="Z1" s="36" t="inlineStr">
        <is>
          <t>Pay frequency</t>
        </is>
      </c>
      <c r="AA1" s="36" t="inlineStr">
        <is>
          <t>Term (bus. days)</t>
        </is>
      </c>
      <c r="AB1" s="36" t="inlineStr">
        <is>
          <t>Age at as-of (bus. days)</t>
        </is>
      </c>
      <c r="AC1" s="36" t="inlineStr">
        <is>
          <t>Seasoned</t>
        </is>
      </c>
      <c r="AD1" s="36" t="inlineStr">
        <is>
          <t>In window</t>
        </is>
      </c>
      <c r="AE1" s="36" t="inlineStr">
        <is>
          <t>Default</t>
        </is>
      </c>
      <c r="AF1" s="36" t="inlineStr">
        <is>
          <t>Resolved</t>
        </is>
      </c>
      <c r="AG1" s="36" t="inlineStr">
        <is>
          <t>Closed family</t>
        </is>
      </c>
      <c r="AH1" s="36" t="inlineStr">
        <is>
          <t>Open</t>
        </is>
      </c>
      <c r="AI1" s="36" t="inlineStr">
        <is>
          <t>Status valid</t>
        </is>
      </c>
      <c r="AJ1" s="36" t="inlineStr">
        <is>
          <t>Net cash</t>
        </is>
      </c>
      <c r="AK1" s="36" t="inlineStr">
        <is>
          <t>Principal lost</t>
        </is>
      </c>
      <c r="AL1" s="36" t="inlineStr">
        <is>
          <t>Adv / revenue</t>
        </is>
      </c>
      <c r="AM1" s="36" t="inlineStr">
        <is>
          <t>Has revenue</t>
        </is>
      </c>
      <c r="AN1" s="36" t="inlineStr">
        <is>
          <t>Days on book (bus.)</t>
        </is>
      </c>
      <c r="AO1" s="36" t="inlineStr">
        <is>
          <t>Renewal</t>
        </is>
      </c>
      <c r="AP1" s="36" t="inlineStr">
        <is>
          <t>Eligible (seasoned &amp; in window)</t>
        </is>
      </c>
      <c r="AQ1" s="36" t="inlineStr">
        <is>
          <t>m: position</t>
        </is>
      </c>
      <c r="AR1" s="36" t="inlineStr">
        <is>
          <t>m: new/renewal</t>
        </is>
      </c>
      <c r="AS1" s="36" t="inlineStr">
        <is>
          <t>m: industry</t>
        </is>
      </c>
      <c r="AT1" s="36" t="inlineStr">
        <is>
          <t>m: ISO</t>
        </is>
      </c>
      <c r="AU1" s="198" t="inlineStr">
        <is>
          <t>(retired - combos now defined by the flag table on Historical Score)</t>
        </is>
      </c>
      <c r="AV1" s="36" t="n"/>
      <c r="AW1" s="36" t="n"/>
      <c r="AX1" s="36" t="n"/>
      <c r="AY1" s="36" t="n"/>
      <c r="AZ1" s="36" t="n"/>
      <c r="BA1" s="36" t="inlineStr">
        <is>
          <t>In primary cohort</t>
        </is>
      </c>
      <c r="BB1" s="36" t="n"/>
      <c r="BC1" s="36" t="n"/>
    </row>
    <row r="2" ht="15" customHeight="1" s="174">
      <c r="A2" s="3" t="inlineStr">
        <is>
          <t>5674142980</t>
        </is>
      </c>
      <c r="B2" s="3" t="inlineStr">
        <is>
          <t>The rustic charm bar and grill</t>
        </is>
      </c>
      <c r="C2" s="3" t="inlineStr">
        <is>
          <t>The rustic charm LLC</t>
        </is>
      </c>
      <c r="D2" s="3" t="inlineStr">
        <is>
          <t>Legal</t>
        </is>
      </c>
      <c r="E2" s="23" t="n">
        <v>45616</v>
      </c>
      <c r="F2" s="23" t="n">
        <v>46118</v>
      </c>
      <c r="G2" s="3" t="n">
        <v>1</v>
      </c>
      <c r="H2" s="3" t="inlineStr">
        <is>
          <t>5813</t>
        </is>
      </c>
      <c r="I2" s="3" t="inlineStr">
        <is>
          <t>58</t>
        </is>
      </c>
      <c r="J2" s="3" t="inlineStr">
        <is>
          <t>CO</t>
        </is>
      </c>
      <c r="K2" s="3" t="inlineStr">
        <is>
          <t>GREYSTONE</t>
        </is>
      </c>
      <c r="L2" s="3" t="inlineStr">
        <is>
          <t>New Deal</t>
        </is>
      </c>
      <c r="M2" s="3" t="n">
        <v>1.49</v>
      </c>
      <c r="N2" s="28" t="n">
        <v>15000</v>
      </c>
      <c r="O2" s="28" t="n">
        <v>2100</v>
      </c>
      <c r="P2" s="28" t="n">
        <v>22350</v>
      </c>
      <c r="Q2" s="28" t="n">
        <v>16835.64</v>
      </c>
      <c r="R2" s="28" t="n">
        <v>5514.36</v>
      </c>
      <c r="S2" s="42" t="n">
        <v>0.753272483221476</v>
      </c>
      <c r="T2" s="3" t="n">
        <v>2.754</v>
      </c>
      <c r="U2" s="3" t="n">
        <v>5</v>
      </c>
      <c r="V2" s="3" t="n">
        <v>50000</v>
      </c>
      <c r="W2" s="42" t="n">
        <v>0.05</v>
      </c>
      <c r="X2" s="23" t="n">
        <v>44701</v>
      </c>
      <c r="Y2" s="3">
        <f>IF(I2="","No SIC",IFERROR(VLOOKUP(I2,Ref!$A$2:$B$65,2,FALSE()),"Unclassified"))</f>
        <v/>
      </c>
      <c r="Z2" s="3">
        <f>IF(T2="","",IF(T2&lt;12,"Daily","Weekly"))</f>
        <v/>
      </c>
      <c r="AA2" s="3">
        <f>IF(T2="",0,IF(T2&lt;12,T2*Controls!$B$13,T2*5))</f>
        <v/>
      </c>
      <c r="AB2" s="3">
        <f>IF(E2="",0,NETWORKDAYS(E2,Controls!$B$20,Ref!$K$2:$K$42))</f>
        <v/>
      </c>
      <c r="AC2" s="3">
        <f>IF(OR(AF2=1,AND(AA2&gt;0,AB2&gt;=Controls!$B$23*AA2)),1,0)</f>
        <v/>
      </c>
      <c r="AD2" s="3">
        <f>IF(AND(E2&lt;&gt;"",E2&gt;=Controls!$B$21,E2&lt;=Controls!$B$22),1,0)</f>
        <v/>
      </c>
      <c r="AE2" s="3">
        <f>IF(IFERROR(VLOOKUP(D2,Controls!$A$36:$E$46,2,FALSE()),"No")="Yes",1,0)</f>
        <v/>
      </c>
      <c r="AF2" s="3">
        <f>IF(IFERROR(VLOOKUP(D2,Controls!$A$36:$E$46,3,FALSE()),"No")="Yes",1,0)</f>
        <v/>
      </c>
      <c r="AG2" s="3">
        <f>IF(IFERROR(VLOOKUP(D2,Controls!$A$36:$E$46,4,FALSE()),"No")="Yes",1,0)</f>
        <v/>
      </c>
      <c r="AH2" s="3">
        <f>IF(IFERROR(VLOOKUP(D2,Controls!$A$36:$E$46,5,FALSE()),"No")="Yes",1,0)</f>
        <v/>
      </c>
      <c r="AI2" s="3">
        <f>IF(ISNUMBER(MATCH(D2,Controls!$A$36:$A$46,0)),1,0)</f>
        <v/>
      </c>
      <c r="AJ2" s="28">
        <f>Q2-N2</f>
        <v/>
      </c>
      <c r="AK2" s="3">
        <f>IF(AE2=1,MAX(0,N2-Q2),0)</f>
        <v/>
      </c>
      <c r="AL2" s="3">
        <f>IF(OR(V2="",V2=0),0,N2/V2)</f>
        <v/>
      </c>
      <c r="AM2" s="3">
        <f>IF(OR(V2="",V2=0),0,1)</f>
        <v/>
      </c>
      <c r="AN2" s="3">
        <f>IF(OR(E2="",F2=""),0,NETWORKDAYS(E2,F2,Ref!$K$2:$K$42))</f>
        <v/>
      </c>
      <c r="AO2" s="3">
        <f>IF(L2="Renewal",1,0)</f>
        <v/>
      </c>
      <c r="AP2" s="3">
        <f>AC2*AD2</f>
        <v/>
      </c>
      <c r="AQ2" s="3">
        <f>IF(AND(G2&lt;&gt;"",'Historical Score'!$C$6&lt;&gt;""),IF(G2='Historical Score'!$C$6,1,0),0)</f>
        <v/>
      </c>
      <c r="AR2" s="3">
        <f>IF(AND(L2&lt;&gt;"",'Historical Score'!$C$5&lt;&gt;""),IF(L2='Historical Score'!$C$5,1,0),0)</f>
        <v/>
      </c>
      <c r="AS2" s="3">
        <f>IF(AND(Y2&lt;&gt;"",'Historical Score'!$C$7&lt;&gt;""),IF(Y2='Historical Score'!$C$7,1,0),0)</f>
        <v/>
      </c>
      <c r="AT2" s="3">
        <f>IF(AND(K2&lt;&gt;"",'Historical Score'!$C$8&lt;&gt;""),IF(K2='Historical Score'!$C$8,1,0),0)</f>
        <v/>
      </c>
      <c r="AU2" s="3" t="n"/>
      <c r="AV2" s="3" t="n"/>
      <c r="AW2" s="3" t="n"/>
      <c r="AX2" s="3" t="n"/>
      <c r="AY2" s="3" t="n"/>
      <c r="AZ2" s="3" t="n"/>
      <c r="BA2" s="182">
        <f>IF(AD2=1,(AR2*'Historical Score'!$K$29+1-'Historical Score'!$K$29)*(AT2*'Historical Score'!$L$29+1-'Historical Score'!$L$29)*(AS2*'Historical Score'!$M$29+1-'Historical Score'!$M$29)*(AQ2*'Historical Score'!$N$29+1-'Historical Score'!$N$29),0)</f>
        <v/>
      </c>
      <c r="BB2" s="3" t="n"/>
      <c r="BC2" s="3" t="n"/>
    </row>
    <row r="3" ht="15" customHeight="1" s="174">
      <c r="A3" s="3" t="inlineStr">
        <is>
          <t>5674143732</t>
        </is>
      </c>
      <c r="B3" s="3" t="inlineStr">
        <is>
          <t>GUADALUPE CASTANEDA</t>
        </is>
      </c>
      <c r="C3" s="3" t="inlineStr">
        <is>
          <t>GUADALUPE CASTANEDA</t>
        </is>
      </c>
      <c r="D3" s="3" t="inlineStr">
        <is>
          <t>Written-Off</t>
        </is>
      </c>
      <c r="E3" s="23" t="n">
        <v>45625</v>
      </c>
      <c r="F3" s="23" t="n">
        <v>45786</v>
      </c>
      <c r="G3" s="3" t="n">
        <v>3</v>
      </c>
      <c r="H3" s="3" t="inlineStr">
        <is>
          <t>1442</t>
        </is>
      </c>
      <c r="I3" s="3" t="inlineStr">
        <is>
          <t>14</t>
        </is>
      </c>
      <c r="J3" s="3" t="inlineStr">
        <is>
          <t>CA</t>
        </is>
      </c>
      <c r="K3" s="3" t="inlineStr">
        <is>
          <t>BFA 3</t>
        </is>
      </c>
      <c r="L3" s="3" t="inlineStr">
        <is>
          <t>New Deal</t>
        </is>
      </c>
      <c r="M3" s="3" t="n">
        <v>1.49</v>
      </c>
      <c r="N3" s="28" t="n">
        <v>5000</v>
      </c>
      <c r="O3" s="28" t="n">
        <v>700</v>
      </c>
      <c r="P3" s="28" t="n">
        <v>7450</v>
      </c>
      <c r="Q3" s="28" t="n">
        <v>6305.98</v>
      </c>
      <c r="R3" s="28" t="n">
        <v>1144.02</v>
      </c>
      <c r="S3" s="42" t="n">
        <v>0.846440268456376</v>
      </c>
      <c r="T3" s="3" t="n">
        <v>2.623</v>
      </c>
      <c r="U3" s="3" t="n">
        <v>24</v>
      </c>
      <c r="V3" s="3" t="n">
        <v>100000</v>
      </c>
      <c r="W3" s="42" t="n">
        <v>0.12</v>
      </c>
      <c r="X3" s="23" t="n">
        <v>34575</v>
      </c>
      <c r="Y3" s="3">
        <f>IF(I3="","No SIC",IFERROR(VLOOKUP(I3,Ref!$A$2:$B$65,2,FALSE()),"Unclassified"))</f>
        <v/>
      </c>
      <c r="Z3" s="3">
        <f>IF(T3="","",IF(T3&lt;12,"Daily","Weekly"))</f>
        <v/>
      </c>
      <c r="AA3" s="3">
        <f>IF(T3="",0,IF(T3&lt;12,T3*Controls!$B$13,T3*5))</f>
        <v/>
      </c>
      <c r="AB3" s="3">
        <f>IF(E3="",0,NETWORKDAYS(E3,Controls!$B$20,Ref!$K$2:$K$42))</f>
        <v/>
      </c>
      <c r="AC3" s="3">
        <f>IF(OR(AF3=1,AND(AA3&gt;0,AB3&gt;=Controls!$B$23*AA3)),1,0)</f>
        <v/>
      </c>
      <c r="AD3" s="3">
        <f>IF(AND(E3&lt;&gt;"",E3&gt;=Controls!$B$21,E3&lt;=Controls!$B$22),1,0)</f>
        <v/>
      </c>
      <c r="AE3" s="3">
        <f>IF(IFERROR(VLOOKUP(D3,Controls!$A$36:$E$46,2,FALSE()),"No")="Yes",1,0)</f>
        <v/>
      </c>
      <c r="AF3" s="3">
        <f>IF(IFERROR(VLOOKUP(D3,Controls!$A$36:$E$46,3,FALSE()),"No")="Yes",1,0)</f>
        <v/>
      </c>
      <c r="AG3" s="3">
        <f>IF(IFERROR(VLOOKUP(D3,Controls!$A$36:$E$46,4,FALSE()),"No")="Yes",1,0)</f>
        <v/>
      </c>
      <c r="AH3" s="3">
        <f>IF(IFERROR(VLOOKUP(D3,Controls!$A$36:$E$46,5,FALSE()),"No")="Yes",1,0)</f>
        <v/>
      </c>
      <c r="AI3" s="3">
        <f>IF(ISNUMBER(MATCH(D3,Controls!$A$36:$A$46,0)),1,0)</f>
        <v/>
      </c>
      <c r="AJ3" s="28">
        <f>Q3-N3</f>
        <v/>
      </c>
      <c r="AK3" s="3">
        <f>IF(AE3=1,MAX(0,N3-Q3),0)</f>
        <v/>
      </c>
      <c r="AL3" s="3">
        <f>IF(OR(V3="",V3=0),0,N3/V3)</f>
        <v/>
      </c>
      <c r="AM3" s="3">
        <f>IF(OR(V3="",V3=0),0,1)</f>
        <v/>
      </c>
      <c r="AN3" s="3">
        <f>IF(OR(E3="",F3=""),0,NETWORKDAYS(E3,F3,Ref!$K$2:$K$42))</f>
        <v/>
      </c>
      <c r="AO3" s="3">
        <f>IF(L3="Renewal",1,0)</f>
        <v/>
      </c>
      <c r="AP3" s="3">
        <f>AC3*AD3</f>
        <v/>
      </c>
      <c r="AQ3" s="3">
        <f>IF(AND(G3&lt;&gt;"",'Historical Score'!$C$6&lt;&gt;""),IF(G3='Historical Score'!$C$6,1,0),0)</f>
        <v/>
      </c>
      <c r="AR3" s="3">
        <f>IF(AND(L3&lt;&gt;"",'Historical Score'!$C$5&lt;&gt;""),IF(L3='Historical Score'!$C$5,1,0),0)</f>
        <v/>
      </c>
      <c r="AS3" s="3">
        <f>IF(AND(Y3&lt;&gt;"",'Historical Score'!$C$7&lt;&gt;""),IF(Y3='Historical Score'!$C$7,1,0),0)</f>
        <v/>
      </c>
      <c r="AT3" s="3">
        <f>IF(AND(K3&lt;&gt;"",'Historical Score'!$C$8&lt;&gt;""),IF(K3='Historical Score'!$C$8,1,0),0)</f>
        <v/>
      </c>
      <c r="AU3" s="3" t="n"/>
      <c r="AV3" s="3" t="n"/>
      <c r="AW3" s="3" t="n"/>
      <c r="AX3" s="3" t="n"/>
      <c r="AY3" s="3" t="n"/>
      <c r="AZ3" s="3" t="n"/>
      <c r="BA3" s="182">
        <f>IF(AD3=1,(AR3*'Historical Score'!$K$29+1-'Historical Score'!$K$29)*(AT3*'Historical Score'!$L$29+1-'Historical Score'!$L$29)*(AS3*'Historical Score'!$M$29+1-'Historical Score'!$M$29)*(AQ3*'Historical Score'!$N$29+1-'Historical Score'!$N$29),0)</f>
        <v/>
      </c>
      <c r="BB3" s="3" t="n"/>
      <c r="BC3" s="3" t="n"/>
    </row>
    <row r="4" ht="15" customHeight="1" s="174">
      <c r="A4" s="3" t="inlineStr">
        <is>
          <t>5674144092</t>
        </is>
      </c>
      <c r="B4" s="3" t="inlineStr">
        <is>
          <t>DALE JOHNSON SOLE MBR</t>
        </is>
      </c>
      <c r="C4" s="3" t="inlineStr">
        <is>
          <t>LEVEL 4 TRANSPORT LLC</t>
        </is>
      </c>
      <c r="D4" s="3" t="inlineStr">
        <is>
          <t>Legal</t>
        </is>
      </c>
      <c r="E4" s="23" t="n">
        <v>45630</v>
      </c>
      <c r="F4" s="23" t="n">
        <v>45666</v>
      </c>
      <c r="G4" s="3" t="n">
        <v>2</v>
      </c>
      <c r="H4" s="3" t="inlineStr">
        <is>
          <t>4213</t>
        </is>
      </c>
      <c r="I4" s="3" t="inlineStr">
        <is>
          <t>42</t>
        </is>
      </c>
      <c r="J4" s="3" t="inlineStr">
        <is>
          <t>CA</t>
        </is>
      </c>
      <c r="K4" s="3" t="inlineStr">
        <is>
          <t>Liberty Bell Capital</t>
        </is>
      </c>
      <c r="L4" s="3" t="inlineStr">
        <is>
          <t>New Deal</t>
        </is>
      </c>
      <c r="M4" s="3" t="n">
        <v>1.49</v>
      </c>
      <c r="N4" s="28" t="n">
        <v>10000</v>
      </c>
      <c r="O4" s="28" t="n">
        <v>0</v>
      </c>
      <c r="P4" s="28" t="n">
        <v>14900</v>
      </c>
      <c r="Q4" s="28" t="n">
        <v>2421.25</v>
      </c>
      <c r="R4" s="28" t="n">
        <v>12478.75</v>
      </c>
      <c r="S4" s="42" t="n">
        <v>0.1625</v>
      </c>
      <c r="T4" s="3" t="n">
        <v>2.623</v>
      </c>
      <c r="U4" s="3" t="n">
        <v>5</v>
      </c>
      <c r="V4" s="3" t="n">
        <v>60000</v>
      </c>
      <c r="W4" s="42" t="n">
        <v>0.07000000000000001</v>
      </c>
      <c r="X4" s="23" t="n">
        <v>43873</v>
      </c>
      <c r="Y4" s="3">
        <f>IF(I4="","No SIC",IFERROR(VLOOKUP(I4,Ref!$A$2:$B$65,2,FALSE()),"Unclassified"))</f>
        <v/>
      </c>
      <c r="Z4" s="3">
        <f>IF(T4="","",IF(T4&lt;12,"Daily","Weekly"))</f>
        <v/>
      </c>
      <c r="AA4" s="3">
        <f>IF(T4="",0,IF(T4&lt;12,T4*Controls!$B$13,T4*5))</f>
        <v/>
      </c>
      <c r="AB4" s="3">
        <f>IF(E4="",0,NETWORKDAYS(E4,Controls!$B$20,Ref!$K$2:$K$42))</f>
        <v/>
      </c>
      <c r="AC4" s="3">
        <f>IF(OR(AF4=1,AND(AA4&gt;0,AB4&gt;=Controls!$B$23*AA4)),1,0)</f>
        <v/>
      </c>
      <c r="AD4" s="3">
        <f>IF(AND(E4&lt;&gt;"",E4&gt;=Controls!$B$21,E4&lt;=Controls!$B$22),1,0)</f>
        <v/>
      </c>
      <c r="AE4" s="3">
        <f>IF(IFERROR(VLOOKUP(D4,Controls!$A$36:$E$46,2,FALSE()),"No")="Yes",1,0)</f>
        <v/>
      </c>
      <c r="AF4" s="3">
        <f>IF(IFERROR(VLOOKUP(D4,Controls!$A$36:$E$46,3,FALSE()),"No")="Yes",1,0)</f>
        <v/>
      </c>
      <c r="AG4" s="3">
        <f>IF(IFERROR(VLOOKUP(D4,Controls!$A$36:$E$46,4,FALSE()),"No")="Yes",1,0)</f>
        <v/>
      </c>
      <c r="AH4" s="3">
        <f>IF(IFERROR(VLOOKUP(D4,Controls!$A$36:$E$46,5,FALSE()),"No")="Yes",1,0)</f>
        <v/>
      </c>
      <c r="AI4" s="3">
        <f>IF(ISNUMBER(MATCH(D4,Controls!$A$36:$A$46,0)),1,0)</f>
        <v/>
      </c>
      <c r="AJ4" s="28">
        <f>Q4-N4</f>
        <v/>
      </c>
      <c r="AK4" s="3">
        <f>IF(AE4=1,MAX(0,N4-Q4),0)</f>
        <v/>
      </c>
      <c r="AL4" s="3">
        <f>IF(OR(V4="",V4=0),0,N4/V4)</f>
        <v/>
      </c>
      <c r="AM4" s="3">
        <f>IF(OR(V4="",V4=0),0,1)</f>
        <v/>
      </c>
      <c r="AN4" s="3">
        <f>IF(OR(E4="",F4=""),0,NETWORKDAYS(E4,F4,Ref!$K$2:$K$42))</f>
        <v/>
      </c>
      <c r="AO4" s="3">
        <f>IF(L4="Renewal",1,0)</f>
        <v/>
      </c>
      <c r="AP4" s="3">
        <f>AC4*AD4</f>
        <v/>
      </c>
      <c r="AQ4" s="3">
        <f>IF(AND(G4&lt;&gt;"",'Historical Score'!$C$6&lt;&gt;""),IF(G4='Historical Score'!$C$6,1,0),0)</f>
        <v/>
      </c>
      <c r="AR4" s="3">
        <f>IF(AND(L4&lt;&gt;"",'Historical Score'!$C$5&lt;&gt;""),IF(L4='Historical Score'!$C$5,1,0),0)</f>
        <v/>
      </c>
      <c r="AS4" s="3">
        <f>IF(AND(Y4&lt;&gt;"",'Historical Score'!$C$7&lt;&gt;""),IF(Y4='Historical Score'!$C$7,1,0),0)</f>
        <v/>
      </c>
      <c r="AT4" s="3">
        <f>IF(AND(K4&lt;&gt;"",'Historical Score'!$C$8&lt;&gt;""),IF(K4='Historical Score'!$C$8,1,0),0)</f>
        <v/>
      </c>
      <c r="AU4" s="3" t="n"/>
      <c r="AV4" s="3" t="n"/>
      <c r="AW4" s="3" t="n"/>
      <c r="AX4" s="3" t="n"/>
      <c r="AY4" s="3" t="n"/>
      <c r="AZ4" s="3" t="n"/>
      <c r="BA4" s="182">
        <f>IF(AD4=1,(AR4*'Historical Score'!$K$29+1-'Historical Score'!$K$29)*(AT4*'Historical Score'!$L$29+1-'Historical Score'!$L$29)*(AS4*'Historical Score'!$M$29+1-'Historical Score'!$M$29)*(AQ4*'Historical Score'!$N$29+1-'Historical Score'!$N$29),0)</f>
        <v/>
      </c>
      <c r="BB4" s="3" t="n"/>
      <c r="BC4" s="3" t="n"/>
    </row>
    <row r="5" ht="15" customHeight="1" s="174">
      <c r="A5" s="3" t="inlineStr">
        <is>
          <t>5674144406</t>
        </is>
      </c>
      <c r="B5" s="3" t="inlineStr">
        <is>
          <t>Lupotec</t>
        </is>
      </c>
      <c r="C5" s="3" t="inlineStr">
        <is>
          <t>LUPOTEC INC</t>
        </is>
      </c>
      <c r="D5" s="3" t="inlineStr">
        <is>
          <t>Legal</t>
        </is>
      </c>
      <c r="E5" s="23" t="n">
        <v>45632</v>
      </c>
      <c r="F5" s="23" t="n">
        <v>45666</v>
      </c>
      <c r="G5" s="3" t="n">
        <v>2</v>
      </c>
      <c r="H5" s="3" t="inlineStr">
        <is>
          <t>2821</t>
        </is>
      </c>
      <c r="I5" s="3" t="inlineStr">
        <is>
          <t>28</t>
        </is>
      </c>
      <c r="J5" s="3" t="inlineStr">
        <is>
          <t>CA</t>
        </is>
      </c>
      <c r="K5" s="3" t="inlineStr">
        <is>
          <t>Fidelity Funding</t>
        </is>
      </c>
      <c r="L5" s="3" t="inlineStr">
        <is>
          <t>New Deal</t>
        </is>
      </c>
      <c r="M5" s="3" t="n">
        <v>1.49</v>
      </c>
      <c r="N5" s="28" t="n">
        <v>20000</v>
      </c>
      <c r="O5" s="28" t="n">
        <v>0</v>
      </c>
      <c r="P5" s="28" t="n">
        <v>29800</v>
      </c>
      <c r="Q5" s="28" t="n">
        <v>3140</v>
      </c>
      <c r="R5" s="28" t="n">
        <v>26660</v>
      </c>
      <c r="S5" s="42" t="n">
        <v>0.105369127516779</v>
      </c>
      <c r="T5" s="3" t="n">
        <v>3.279</v>
      </c>
      <c r="U5" s="3" t="n">
        <v>6</v>
      </c>
      <c r="V5" s="3" t="n">
        <v>80000</v>
      </c>
      <c r="W5" s="42" t="n">
        <v>0.09</v>
      </c>
      <c r="X5" s="23" t="n">
        <v>44539</v>
      </c>
      <c r="Y5" s="3">
        <f>IF(I5="","No SIC",IFERROR(VLOOKUP(I5,Ref!$A$2:$B$65,2,FALSE()),"Unclassified"))</f>
        <v/>
      </c>
      <c r="Z5" s="3">
        <f>IF(T5="","",IF(T5&lt;12,"Daily","Weekly"))</f>
        <v/>
      </c>
      <c r="AA5" s="3">
        <f>IF(T5="",0,IF(T5&lt;12,T5*Controls!$B$13,T5*5))</f>
        <v/>
      </c>
      <c r="AB5" s="3">
        <f>IF(E5="",0,NETWORKDAYS(E5,Controls!$B$20,Ref!$K$2:$K$42))</f>
        <v/>
      </c>
      <c r="AC5" s="3">
        <f>IF(OR(AF5=1,AND(AA5&gt;0,AB5&gt;=Controls!$B$23*AA5)),1,0)</f>
        <v/>
      </c>
      <c r="AD5" s="3">
        <f>IF(AND(E5&lt;&gt;"",E5&gt;=Controls!$B$21,E5&lt;=Controls!$B$22),1,0)</f>
        <v/>
      </c>
      <c r="AE5" s="3">
        <f>IF(IFERROR(VLOOKUP(D5,Controls!$A$36:$E$46,2,FALSE()),"No")="Yes",1,0)</f>
        <v/>
      </c>
      <c r="AF5" s="3">
        <f>IF(IFERROR(VLOOKUP(D5,Controls!$A$36:$E$46,3,FALSE()),"No")="Yes",1,0)</f>
        <v/>
      </c>
      <c r="AG5" s="3">
        <f>IF(IFERROR(VLOOKUP(D5,Controls!$A$36:$E$46,4,FALSE()),"No")="Yes",1,0)</f>
        <v/>
      </c>
      <c r="AH5" s="3">
        <f>IF(IFERROR(VLOOKUP(D5,Controls!$A$36:$E$46,5,FALSE()),"No")="Yes",1,0)</f>
        <v/>
      </c>
      <c r="AI5" s="3">
        <f>IF(ISNUMBER(MATCH(D5,Controls!$A$36:$A$46,0)),1,0)</f>
        <v/>
      </c>
      <c r="AJ5" s="28">
        <f>Q5-N5</f>
        <v/>
      </c>
      <c r="AK5" s="3">
        <f>IF(AE5=1,MAX(0,N5-Q5),0)</f>
        <v/>
      </c>
      <c r="AL5" s="3">
        <f>IF(OR(V5="",V5=0),0,N5/V5)</f>
        <v/>
      </c>
      <c r="AM5" s="3">
        <f>IF(OR(V5="",V5=0),0,1)</f>
        <v/>
      </c>
      <c r="AN5" s="3">
        <f>IF(OR(E5="",F5=""),0,NETWORKDAYS(E5,F5,Ref!$K$2:$K$42))</f>
        <v/>
      </c>
      <c r="AO5" s="3">
        <f>IF(L5="Renewal",1,0)</f>
        <v/>
      </c>
      <c r="AP5" s="3">
        <f>AC5*AD5</f>
        <v/>
      </c>
      <c r="AQ5" s="3">
        <f>IF(AND(G5&lt;&gt;"",'Historical Score'!$C$6&lt;&gt;""),IF(G5='Historical Score'!$C$6,1,0),0)</f>
        <v/>
      </c>
      <c r="AR5" s="3">
        <f>IF(AND(L5&lt;&gt;"",'Historical Score'!$C$5&lt;&gt;""),IF(L5='Historical Score'!$C$5,1,0),0)</f>
        <v/>
      </c>
      <c r="AS5" s="3">
        <f>IF(AND(Y5&lt;&gt;"",'Historical Score'!$C$7&lt;&gt;""),IF(Y5='Historical Score'!$C$7,1,0),0)</f>
        <v/>
      </c>
      <c r="AT5" s="3">
        <f>IF(AND(K5&lt;&gt;"",'Historical Score'!$C$8&lt;&gt;""),IF(K5='Historical Score'!$C$8,1,0),0)</f>
        <v/>
      </c>
      <c r="AU5" s="3" t="n"/>
      <c r="AV5" s="3" t="n"/>
      <c r="AW5" s="3" t="n"/>
      <c r="AX5" s="3" t="n"/>
      <c r="AY5" s="3" t="n"/>
      <c r="AZ5" s="3" t="n"/>
      <c r="BA5" s="182">
        <f>IF(AD5=1,(AR5*'Historical Score'!$K$29+1-'Historical Score'!$K$29)*(AT5*'Historical Score'!$L$29+1-'Historical Score'!$L$29)*(AS5*'Historical Score'!$M$29+1-'Historical Score'!$M$29)*(AQ5*'Historical Score'!$N$29+1-'Historical Score'!$N$29),0)</f>
        <v/>
      </c>
      <c r="BB5" s="3" t="n"/>
      <c r="BC5" s="3" t="n"/>
    </row>
    <row r="6" ht="15" customHeight="1" s="174">
      <c r="A6" s="3" t="inlineStr">
        <is>
          <t>5674144409</t>
        </is>
      </c>
      <c r="B6" s="3" t="inlineStr">
        <is>
          <t>AWK ENGINEERING &amp; TRADING LLC</t>
        </is>
      </c>
      <c r="C6" s="3" t="inlineStr">
        <is>
          <t>AWK ENGINEERING &amp; TRADING LLC</t>
        </is>
      </c>
      <c r="D6" s="3" t="inlineStr">
        <is>
          <t>Legal</t>
        </is>
      </c>
      <c r="E6" s="23" t="n">
        <v>45632</v>
      </c>
      <c r="F6" s="23" t="n">
        <v>45707</v>
      </c>
      <c r="G6" s="3" t="n">
        <v>3</v>
      </c>
      <c r="H6" s="3" t="inlineStr">
        <is>
          <t>8711</t>
        </is>
      </c>
      <c r="I6" s="3" t="inlineStr">
        <is>
          <t>87</t>
        </is>
      </c>
      <c r="J6" s="3" t="inlineStr">
        <is>
          <t>CA</t>
        </is>
      </c>
      <c r="K6" s="3" t="inlineStr">
        <is>
          <t>J Capital Solutions</t>
        </is>
      </c>
      <c r="L6" s="3" t="inlineStr">
        <is>
          <t>New Deal</t>
        </is>
      </c>
      <c r="M6" s="3" t="n">
        <v>1.49</v>
      </c>
      <c r="N6" s="28" t="n">
        <v>6000</v>
      </c>
      <c r="O6" s="28" t="n">
        <v>840</v>
      </c>
      <c r="P6" s="28" t="n">
        <v>8940</v>
      </c>
      <c r="Q6" s="28" t="n">
        <v>2136.24</v>
      </c>
      <c r="R6" s="28" t="n">
        <v>6803.76</v>
      </c>
      <c r="S6" s="42" t="n">
        <v>0.238953020134228</v>
      </c>
      <c r="T6" s="3" t="n">
        <v>3.705</v>
      </c>
      <c r="U6" s="3" t="n">
        <v>12</v>
      </c>
      <c r="V6" s="3" t="n">
        <v>20000</v>
      </c>
      <c r="W6" s="42" t="n">
        <v>0.04</v>
      </c>
      <c r="X6" s="23" t="n">
        <v>44471</v>
      </c>
      <c r="Y6" s="3">
        <f>IF(I6="","No SIC",IFERROR(VLOOKUP(I6,Ref!$A$2:$B$65,2,FALSE()),"Unclassified"))</f>
        <v/>
      </c>
      <c r="Z6" s="3">
        <f>IF(T6="","",IF(T6&lt;12,"Daily","Weekly"))</f>
        <v/>
      </c>
      <c r="AA6" s="3">
        <f>IF(T6="",0,IF(T6&lt;12,T6*Controls!$B$13,T6*5))</f>
        <v/>
      </c>
      <c r="AB6" s="3">
        <f>IF(E6="",0,NETWORKDAYS(E6,Controls!$B$20,Ref!$K$2:$K$42))</f>
        <v/>
      </c>
      <c r="AC6" s="3">
        <f>IF(OR(AF6=1,AND(AA6&gt;0,AB6&gt;=Controls!$B$23*AA6)),1,0)</f>
        <v/>
      </c>
      <c r="AD6" s="3">
        <f>IF(AND(E6&lt;&gt;"",E6&gt;=Controls!$B$21,E6&lt;=Controls!$B$22),1,0)</f>
        <v/>
      </c>
      <c r="AE6" s="3">
        <f>IF(IFERROR(VLOOKUP(D6,Controls!$A$36:$E$46,2,FALSE()),"No")="Yes",1,0)</f>
        <v/>
      </c>
      <c r="AF6" s="3">
        <f>IF(IFERROR(VLOOKUP(D6,Controls!$A$36:$E$46,3,FALSE()),"No")="Yes",1,0)</f>
        <v/>
      </c>
      <c r="AG6" s="3">
        <f>IF(IFERROR(VLOOKUP(D6,Controls!$A$36:$E$46,4,FALSE()),"No")="Yes",1,0)</f>
        <v/>
      </c>
      <c r="AH6" s="3">
        <f>IF(IFERROR(VLOOKUP(D6,Controls!$A$36:$E$46,5,FALSE()),"No")="Yes",1,0)</f>
        <v/>
      </c>
      <c r="AI6" s="3">
        <f>IF(ISNUMBER(MATCH(D6,Controls!$A$36:$A$46,0)),1,0)</f>
        <v/>
      </c>
      <c r="AJ6" s="28">
        <f>Q6-N6</f>
        <v/>
      </c>
      <c r="AK6" s="3">
        <f>IF(AE6=1,MAX(0,N6-Q6),0)</f>
        <v/>
      </c>
      <c r="AL6" s="3">
        <f>IF(OR(V6="",V6=0),0,N6/V6)</f>
        <v/>
      </c>
      <c r="AM6" s="3">
        <f>IF(OR(V6="",V6=0),0,1)</f>
        <v/>
      </c>
      <c r="AN6" s="3">
        <f>IF(OR(E6="",F6=""),0,NETWORKDAYS(E6,F6,Ref!$K$2:$K$42))</f>
        <v/>
      </c>
      <c r="AO6" s="3">
        <f>IF(L6="Renewal",1,0)</f>
        <v/>
      </c>
      <c r="AP6" s="3">
        <f>AC6*AD6</f>
        <v/>
      </c>
      <c r="AQ6" s="3">
        <f>IF(AND(G6&lt;&gt;"",'Historical Score'!$C$6&lt;&gt;""),IF(G6='Historical Score'!$C$6,1,0),0)</f>
        <v/>
      </c>
      <c r="AR6" s="3">
        <f>IF(AND(L6&lt;&gt;"",'Historical Score'!$C$5&lt;&gt;""),IF(L6='Historical Score'!$C$5,1,0),0)</f>
        <v/>
      </c>
      <c r="AS6" s="3">
        <f>IF(AND(Y6&lt;&gt;"",'Historical Score'!$C$7&lt;&gt;""),IF(Y6='Historical Score'!$C$7,1,0),0)</f>
        <v/>
      </c>
      <c r="AT6" s="3">
        <f>IF(AND(K6&lt;&gt;"",'Historical Score'!$C$8&lt;&gt;""),IF(K6='Historical Score'!$C$8,1,0),0)</f>
        <v/>
      </c>
      <c r="AU6" s="3" t="n"/>
      <c r="AV6" s="3" t="n"/>
      <c r="AW6" s="3" t="n"/>
      <c r="AX6" s="3" t="n"/>
      <c r="AY6" s="3" t="n"/>
      <c r="AZ6" s="3" t="n"/>
      <c r="BA6" s="182">
        <f>IF(AD6=1,(AR6*'Historical Score'!$K$29+1-'Historical Score'!$K$29)*(AT6*'Historical Score'!$L$29+1-'Historical Score'!$L$29)*(AS6*'Historical Score'!$M$29+1-'Historical Score'!$M$29)*(AQ6*'Historical Score'!$N$29+1-'Historical Score'!$N$29),0)</f>
        <v/>
      </c>
      <c r="BB6" s="3" t="n"/>
      <c r="BC6" s="3" t="n"/>
    </row>
    <row r="7" ht="15" customHeight="1" s="174">
      <c r="A7" s="3" t="inlineStr">
        <is>
          <t>5674145076</t>
        </is>
      </c>
      <c r="B7" s="3" t="inlineStr">
        <is>
          <t>GLOBAL RESEARCH CONSULTANTS, LLC</t>
        </is>
      </c>
      <c r="C7" s="3" t="inlineStr">
        <is>
          <t>GLOBAL RESEARCH CONSULTANTS, LLC</t>
        </is>
      </c>
      <c r="D7" s="3" t="inlineStr">
        <is>
          <t>Closed</t>
        </is>
      </c>
      <c r="E7" s="23" t="n">
        <v>45638</v>
      </c>
      <c r="F7" s="23" t="n">
        <v>45755</v>
      </c>
      <c r="G7" s="3" t="n">
        <v>2</v>
      </c>
      <c r="H7" s="3" t="inlineStr">
        <is>
          <t>8748</t>
        </is>
      </c>
      <c r="I7" s="3" t="inlineStr">
        <is>
          <t>87</t>
        </is>
      </c>
      <c r="J7" s="3" t="inlineStr">
        <is>
          <t>GA</t>
        </is>
      </c>
      <c r="K7" s="3" t="inlineStr">
        <is>
          <t>Secure Capital Solutions 7</t>
        </is>
      </c>
      <c r="L7" s="3" t="inlineStr">
        <is>
          <t>New Deal</t>
        </is>
      </c>
      <c r="M7" s="3" t="n">
        <v>1.49</v>
      </c>
      <c r="N7" s="28" t="n">
        <v>5000</v>
      </c>
      <c r="O7" s="28" t="n">
        <v>700</v>
      </c>
      <c r="P7" s="28" t="n">
        <v>7450</v>
      </c>
      <c r="Q7" s="28" t="n">
        <v>7450</v>
      </c>
      <c r="R7" s="28" t="n">
        <v>0</v>
      </c>
      <c r="S7" s="42" t="n">
        <v>1</v>
      </c>
      <c r="T7" s="3" t="n">
        <v>2.538</v>
      </c>
      <c r="U7" s="3" t="n">
        <v>0</v>
      </c>
      <c r="V7" s="3" t="n">
        <v>100000</v>
      </c>
      <c r="W7" s="42" t="n">
        <v>0.09</v>
      </c>
      <c r="X7" s="23" t="n">
        <v>44305</v>
      </c>
      <c r="Y7" s="3">
        <f>IF(I7="","No SIC",IFERROR(VLOOKUP(I7,Ref!$A$2:$B$65,2,FALSE()),"Unclassified"))</f>
        <v/>
      </c>
      <c r="Z7" s="3">
        <f>IF(T7="","",IF(T7&lt;12,"Daily","Weekly"))</f>
        <v/>
      </c>
      <c r="AA7" s="3">
        <f>IF(T7="",0,IF(T7&lt;12,T7*Controls!$B$13,T7*5))</f>
        <v/>
      </c>
      <c r="AB7" s="3">
        <f>IF(E7="",0,NETWORKDAYS(E7,Controls!$B$20,Ref!$K$2:$K$42))</f>
        <v/>
      </c>
      <c r="AC7" s="3">
        <f>IF(OR(AF7=1,AND(AA7&gt;0,AB7&gt;=Controls!$B$23*AA7)),1,0)</f>
        <v/>
      </c>
      <c r="AD7" s="3">
        <f>IF(AND(E7&lt;&gt;"",E7&gt;=Controls!$B$21,E7&lt;=Controls!$B$22),1,0)</f>
        <v/>
      </c>
      <c r="AE7" s="3">
        <f>IF(IFERROR(VLOOKUP(D7,Controls!$A$36:$E$46,2,FALSE()),"No")="Yes",1,0)</f>
        <v/>
      </c>
      <c r="AF7" s="3">
        <f>IF(IFERROR(VLOOKUP(D7,Controls!$A$36:$E$46,3,FALSE()),"No")="Yes",1,0)</f>
        <v/>
      </c>
      <c r="AG7" s="3">
        <f>IF(IFERROR(VLOOKUP(D7,Controls!$A$36:$E$46,4,FALSE()),"No")="Yes",1,0)</f>
        <v/>
      </c>
      <c r="AH7" s="3">
        <f>IF(IFERROR(VLOOKUP(D7,Controls!$A$36:$E$46,5,FALSE()),"No")="Yes",1,0)</f>
        <v/>
      </c>
      <c r="AI7" s="3">
        <f>IF(ISNUMBER(MATCH(D7,Controls!$A$36:$A$46,0)),1,0)</f>
        <v/>
      </c>
      <c r="AJ7" s="28">
        <f>Q7-N7</f>
        <v/>
      </c>
      <c r="AK7" s="3">
        <f>IF(AE7=1,MAX(0,N7-Q7),0)</f>
        <v/>
      </c>
      <c r="AL7" s="3">
        <f>IF(OR(V7="",V7=0),0,N7/V7)</f>
        <v/>
      </c>
      <c r="AM7" s="3">
        <f>IF(OR(V7="",V7=0),0,1)</f>
        <v/>
      </c>
      <c r="AN7" s="3">
        <f>IF(OR(E7="",F7=""),0,NETWORKDAYS(E7,F7,Ref!$K$2:$K$42))</f>
        <v/>
      </c>
      <c r="AO7" s="3">
        <f>IF(L7="Renewal",1,0)</f>
        <v/>
      </c>
      <c r="AP7" s="3">
        <f>AC7*AD7</f>
        <v/>
      </c>
      <c r="AQ7" s="3">
        <f>IF(AND(G7&lt;&gt;"",'Historical Score'!$C$6&lt;&gt;""),IF(G7='Historical Score'!$C$6,1,0),0)</f>
        <v/>
      </c>
      <c r="AR7" s="3">
        <f>IF(AND(L7&lt;&gt;"",'Historical Score'!$C$5&lt;&gt;""),IF(L7='Historical Score'!$C$5,1,0),0)</f>
        <v/>
      </c>
      <c r="AS7" s="3">
        <f>IF(AND(Y7&lt;&gt;"",'Historical Score'!$C$7&lt;&gt;""),IF(Y7='Historical Score'!$C$7,1,0),0)</f>
        <v/>
      </c>
      <c r="AT7" s="3">
        <f>IF(AND(K7&lt;&gt;"",'Historical Score'!$C$8&lt;&gt;""),IF(K7='Historical Score'!$C$8,1,0),0)</f>
        <v/>
      </c>
      <c r="AU7" s="3" t="n"/>
      <c r="AV7" s="3" t="n"/>
      <c r="AW7" s="3" t="n"/>
      <c r="AX7" s="3" t="n"/>
      <c r="AY7" s="3" t="n"/>
      <c r="AZ7" s="3" t="n"/>
      <c r="BA7" s="182">
        <f>IF(AD7=1,(AR7*'Historical Score'!$K$29+1-'Historical Score'!$K$29)*(AT7*'Historical Score'!$L$29+1-'Historical Score'!$L$29)*(AS7*'Historical Score'!$M$29+1-'Historical Score'!$M$29)*(AQ7*'Historical Score'!$N$29+1-'Historical Score'!$N$29),0)</f>
        <v/>
      </c>
      <c r="BB7" s="3" t="n"/>
      <c r="BC7" s="3" t="n"/>
    </row>
    <row r="8" ht="15" customHeight="1" s="174">
      <c r="A8" s="3" t="inlineStr">
        <is>
          <t>5674146645</t>
        </is>
      </c>
      <c r="B8" s="3" t="inlineStr">
        <is>
          <t>ELIZABETH CONVENIENT STORE &amp; HAIR BRAIDING</t>
        </is>
      </c>
      <c r="C8" s="3" t="inlineStr">
        <is>
          <t>ELIZABETH CONVENIENT STORE &amp; HAIR BRAIDING LLC</t>
        </is>
      </c>
      <c r="D8" s="3" t="inlineStr">
        <is>
          <t>Closed</t>
        </is>
      </c>
      <c r="E8" s="23" t="n">
        <v>45660</v>
      </c>
      <c r="F8" s="23" t="n">
        <v>45702</v>
      </c>
      <c r="G8" s="3" t="n">
        <v>5</v>
      </c>
      <c r="H8" s="3" t="inlineStr">
        <is>
          <t>5411</t>
        </is>
      </c>
      <c r="I8" s="3" t="inlineStr">
        <is>
          <t>54</t>
        </is>
      </c>
      <c r="J8" s="3" t="inlineStr">
        <is>
          <t>AZ</t>
        </is>
      </c>
      <c r="K8" s="3" t="inlineStr">
        <is>
          <t>ELITE FUNDING PARTNERS LLC 6</t>
        </is>
      </c>
      <c r="L8" s="3" t="inlineStr">
        <is>
          <t>Renewal</t>
        </is>
      </c>
      <c r="M8" s="3" t="n">
        <v>1.4575</v>
      </c>
      <c r="N8" s="28" t="n">
        <v>4000</v>
      </c>
      <c r="O8" s="28" t="n">
        <v>560</v>
      </c>
      <c r="P8" s="28" t="n">
        <v>5830</v>
      </c>
      <c r="Q8" s="28" t="n">
        <v>5830</v>
      </c>
      <c r="R8" s="28" t="n">
        <v>0</v>
      </c>
      <c r="S8" s="42" t="n">
        <v>1</v>
      </c>
      <c r="T8" s="3" t="n">
        <v>1.967</v>
      </c>
      <c r="U8" s="3" t="n">
        <v>2</v>
      </c>
      <c r="V8" s="3" t="n">
        <v>250000</v>
      </c>
      <c r="W8" s="42" t="n">
        <v>0.04</v>
      </c>
      <c r="X8" s="23" t="n">
        <v>41745</v>
      </c>
      <c r="Y8" s="3">
        <f>IF(I8="","No SIC",IFERROR(VLOOKUP(I8,Ref!$A$2:$B$65,2,FALSE()),"Unclassified"))</f>
        <v/>
      </c>
      <c r="Z8" s="3">
        <f>IF(T8="","",IF(T8&lt;12,"Daily","Weekly"))</f>
        <v/>
      </c>
      <c r="AA8" s="3">
        <f>IF(T8="",0,IF(T8&lt;12,T8*Controls!$B$13,T8*5))</f>
        <v/>
      </c>
      <c r="AB8" s="3">
        <f>IF(E8="",0,NETWORKDAYS(E8,Controls!$B$20,Ref!$K$2:$K$42))</f>
        <v/>
      </c>
      <c r="AC8" s="3">
        <f>IF(OR(AF8=1,AND(AA8&gt;0,AB8&gt;=Controls!$B$23*AA8)),1,0)</f>
        <v/>
      </c>
      <c r="AD8" s="3">
        <f>IF(AND(E8&lt;&gt;"",E8&gt;=Controls!$B$21,E8&lt;=Controls!$B$22),1,0)</f>
        <v/>
      </c>
      <c r="AE8" s="3">
        <f>IF(IFERROR(VLOOKUP(D8,Controls!$A$36:$E$46,2,FALSE()),"No")="Yes",1,0)</f>
        <v/>
      </c>
      <c r="AF8" s="3">
        <f>IF(IFERROR(VLOOKUP(D8,Controls!$A$36:$E$46,3,FALSE()),"No")="Yes",1,0)</f>
        <v/>
      </c>
      <c r="AG8" s="3">
        <f>IF(IFERROR(VLOOKUP(D8,Controls!$A$36:$E$46,4,FALSE()),"No")="Yes",1,0)</f>
        <v/>
      </c>
      <c r="AH8" s="3">
        <f>IF(IFERROR(VLOOKUP(D8,Controls!$A$36:$E$46,5,FALSE()),"No")="Yes",1,0)</f>
        <v/>
      </c>
      <c r="AI8" s="3">
        <f>IF(ISNUMBER(MATCH(D8,Controls!$A$36:$A$46,0)),1,0)</f>
        <v/>
      </c>
      <c r="AJ8" s="28">
        <f>Q8-N8</f>
        <v/>
      </c>
      <c r="AK8" s="3">
        <f>IF(AE8=1,MAX(0,N8-Q8),0)</f>
        <v/>
      </c>
      <c r="AL8" s="3">
        <f>IF(OR(V8="",V8=0),0,N8/V8)</f>
        <v/>
      </c>
      <c r="AM8" s="3">
        <f>IF(OR(V8="",V8=0),0,1)</f>
        <v/>
      </c>
      <c r="AN8" s="3">
        <f>IF(OR(E8="",F8=""),0,NETWORKDAYS(E8,F8,Ref!$K$2:$K$42))</f>
        <v/>
      </c>
      <c r="AO8" s="3">
        <f>IF(L8="Renewal",1,0)</f>
        <v/>
      </c>
      <c r="AP8" s="3">
        <f>AC8*AD8</f>
        <v/>
      </c>
      <c r="AQ8" s="3">
        <f>IF(AND(G8&lt;&gt;"",'Historical Score'!$C$6&lt;&gt;""),IF(G8='Historical Score'!$C$6,1,0),0)</f>
        <v/>
      </c>
      <c r="AR8" s="3">
        <f>IF(AND(L8&lt;&gt;"",'Historical Score'!$C$5&lt;&gt;""),IF(L8='Historical Score'!$C$5,1,0),0)</f>
        <v/>
      </c>
      <c r="AS8" s="3">
        <f>IF(AND(Y8&lt;&gt;"",'Historical Score'!$C$7&lt;&gt;""),IF(Y8='Historical Score'!$C$7,1,0),0)</f>
        <v/>
      </c>
      <c r="AT8" s="3">
        <f>IF(AND(K8&lt;&gt;"",'Historical Score'!$C$8&lt;&gt;""),IF(K8='Historical Score'!$C$8,1,0),0)</f>
        <v/>
      </c>
      <c r="AU8" s="3" t="n"/>
      <c r="AV8" s="3" t="n"/>
      <c r="AW8" s="3" t="n"/>
      <c r="AX8" s="3" t="n"/>
      <c r="AY8" s="3" t="n"/>
      <c r="AZ8" s="3" t="n"/>
      <c r="BA8" s="182">
        <f>IF(AD8=1,(AR8*'Historical Score'!$K$29+1-'Historical Score'!$K$29)*(AT8*'Historical Score'!$L$29+1-'Historical Score'!$L$29)*(AS8*'Historical Score'!$M$29+1-'Historical Score'!$M$29)*(AQ8*'Historical Score'!$N$29+1-'Historical Score'!$N$29),0)</f>
        <v/>
      </c>
      <c r="BB8" s="3" t="n"/>
      <c r="BC8" s="3" t="n"/>
    </row>
    <row r="9" ht="15" customHeight="1" s="174">
      <c r="A9" s="3" t="inlineStr">
        <is>
          <t>5674147185</t>
        </is>
      </c>
      <c r="B9" s="3" t="inlineStr">
        <is>
          <t>Arete Gallery Inc</t>
        </is>
      </c>
      <c r="C9" s="3" t="inlineStr">
        <is>
          <t>Arete Gallery Inc</t>
        </is>
      </c>
      <c r="D9" s="3" t="inlineStr">
        <is>
          <t>Closed</t>
        </is>
      </c>
      <c r="E9" s="23" t="n">
        <v>45665</v>
      </c>
      <c r="F9" s="23" t="n">
        <v>45772</v>
      </c>
      <c r="G9" s="3" t="n">
        <v>4</v>
      </c>
      <c r="H9" s="3" t="inlineStr">
        <is>
          <t>8412</t>
        </is>
      </c>
      <c r="I9" s="3" t="inlineStr">
        <is>
          <t>84</t>
        </is>
      </c>
      <c r="J9" s="3" t="inlineStr">
        <is>
          <t>PA</t>
        </is>
      </c>
      <c r="K9" s="3" t="inlineStr">
        <is>
          <t>Pathway Catalyst</t>
        </is>
      </c>
      <c r="L9" s="3" t="inlineStr">
        <is>
          <t>New Deal</t>
        </is>
      </c>
      <c r="M9" s="3" t="n">
        <v>1.49</v>
      </c>
      <c r="N9" s="28" t="n">
        <v>3500</v>
      </c>
      <c r="O9" s="28" t="n">
        <v>490</v>
      </c>
      <c r="P9" s="28" t="n">
        <v>5215</v>
      </c>
      <c r="Q9" s="28" t="n">
        <v>5215</v>
      </c>
      <c r="R9" s="28" t="n">
        <v>0</v>
      </c>
      <c r="S9" s="42" t="n">
        <v>1</v>
      </c>
      <c r="T9" s="3" t="n">
        <v>1.937</v>
      </c>
      <c r="U9" s="3" t="n">
        <v>0</v>
      </c>
      <c r="V9" s="3" t="n"/>
      <c r="W9" s="42" t="n">
        <v>0.15</v>
      </c>
      <c r="X9" s="23" t="n">
        <v>44105</v>
      </c>
      <c r="Y9" s="3">
        <f>IF(I9="","No SIC",IFERROR(VLOOKUP(I9,Ref!$A$2:$B$65,2,FALSE()),"Unclassified"))</f>
        <v/>
      </c>
      <c r="Z9" s="3">
        <f>IF(T9="","",IF(T9&lt;12,"Daily","Weekly"))</f>
        <v/>
      </c>
      <c r="AA9" s="3">
        <f>IF(T9="",0,IF(T9&lt;12,T9*Controls!$B$13,T9*5))</f>
        <v/>
      </c>
      <c r="AB9" s="3">
        <f>IF(E9="",0,NETWORKDAYS(E9,Controls!$B$20,Ref!$K$2:$K$42))</f>
        <v/>
      </c>
      <c r="AC9" s="3">
        <f>IF(OR(AF9=1,AND(AA9&gt;0,AB9&gt;=Controls!$B$23*AA9)),1,0)</f>
        <v/>
      </c>
      <c r="AD9" s="3">
        <f>IF(AND(E9&lt;&gt;"",E9&gt;=Controls!$B$21,E9&lt;=Controls!$B$22),1,0)</f>
        <v/>
      </c>
      <c r="AE9" s="3">
        <f>IF(IFERROR(VLOOKUP(D9,Controls!$A$36:$E$46,2,FALSE()),"No")="Yes",1,0)</f>
        <v/>
      </c>
      <c r="AF9" s="3">
        <f>IF(IFERROR(VLOOKUP(D9,Controls!$A$36:$E$46,3,FALSE()),"No")="Yes",1,0)</f>
        <v/>
      </c>
      <c r="AG9" s="3">
        <f>IF(IFERROR(VLOOKUP(D9,Controls!$A$36:$E$46,4,FALSE()),"No")="Yes",1,0)</f>
        <v/>
      </c>
      <c r="AH9" s="3">
        <f>IF(IFERROR(VLOOKUP(D9,Controls!$A$36:$E$46,5,FALSE()),"No")="Yes",1,0)</f>
        <v/>
      </c>
      <c r="AI9" s="3">
        <f>IF(ISNUMBER(MATCH(D9,Controls!$A$36:$A$46,0)),1,0)</f>
        <v/>
      </c>
      <c r="AJ9" s="28">
        <f>Q9-N9</f>
        <v/>
      </c>
      <c r="AK9" s="3">
        <f>IF(AE9=1,MAX(0,N9-Q9),0)</f>
        <v/>
      </c>
      <c r="AL9" s="3">
        <f>IF(OR(V9="",V9=0),0,N9/V9)</f>
        <v/>
      </c>
      <c r="AM9" s="3">
        <f>IF(OR(V9="",V9=0),0,1)</f>
        <v/>
      </c>
      <c r="AN9" s="3">
        <f>IF(OR(E9="",F9=""),0,NETWORKDAYS(E9,F9,Ref!$K$2:$K$42))</f>
        <v/>
      </c>
      <c r="AO9" s="3">
        <f>IF(L9="Renewal",1,0)</f>
        <v/>
      </c>
      <c r="AP9" s="3">
        <f>AC9*AD9</f>
        <v/>
      </c>
      <c r="AQ9" s="3">
        <f>IF(AND(G9&lt;&gt;"",'Historical Score'!$C$6&lt;&gt;""),IF(G9='Historical Score'!$C$6,1,0),0)</f>
        <v/>
      </c>
      <c r="AR9" s="3">
        <f>IF(AND(L9&lt;&gt;"",'Historical Score'!$C$5&lt;&gt;""),IF(L9='Historical Score'!$C$5,1,0),0)</f>
        <v/>
      </c>
      <c r="AS9" s="3">
        <f>IF(AND(Y9&lt;&gt;"",'Historical Score'!$C$7&lt;&gt;""),IF(Y9='Historical Score'!$C$7,1,0),0)</f>
        <v/>
      </c>
      <c r="AT9" s="3">
        <f>IF(AND(K9&lt;&gt;"",'Historical Score'!$C$8&lt;&gt;""),IF(K9='Historical Score'!$C$8,1,0),0)</f>
        <v/>
      </c>
      <c r="AU9" s="3" t="n"/>
      <c r="AV9" s="3" t="n"/>
      <c r="AW9" s="3" t="n"/>
      <c r="AX9" s="3" t="n"/>
      <c r="AY9" s="3" t="n"/>
      <c r="AZ9" s="3" t="n"/>
      <c r="BA9" s="182">
        <f>IF(AD9=1,(AR9*'Historical Score'!$K$29+1-'Historical Score'!$K$29)*(AT9*'Historical Score'!$L$29+1-'Historical Score'!$L$29)*(AS9*'Historical Score'!$M$29+1-'Historical Score'!$M$29)*(AQ9*'Historical Score'!$N$29+1-'Historical Score'!$N$29),0)</f>
        <v/>
      </c>
      <c r="BB9" s="3" t="n"/>
      <c r="BC9" s="3" t="n"/>
    </row>
    <row r="10" ht="15" customHeight="1" s="174">
      <c r="A10" s="3" t="inlineStr">
        <is>
          <t>5674147188</t>
        </is>
      </c>
      <c r="B10" s="3" t="inlineStr">
        <is>
          <t>S&amp;E ENTERPRISE</t>
        </is>
      </c>
      <c r="C10" s="3" t="inlineStr">
        <is>
          <t>S&amp;E ENTERPRISE LLC</t>
        </is>
      </c>
      <c r="D10" s="3" t="inlineStr">
        <is>
          <t>Closed</t>
        </is>
      </c>
      <c r="E10" s="23" t="n">
        <v>45666</v>
      </c>
      <c r="F10" s="23" t="n">
        <v>45722</v>
      </c>
      <c r="G10" s="3" t="n">
        <v>2</v>
      </c>
      <c r="H10" s="3" t="inlineStr">
        <is>
          <t>6531</t>
        </is>
      </c>
      <c r="I10" s="3" t="inlineStr">
        <is>
          <t>65</t>
        </is>
      </c>
      <c r="J10" s="3" t="inlineStr">
        <is>
          <t>RI</t>
        </is>
      </c>
      <c r="K10" s="3" t="inlineStr">
        <is>
          <t>Triumph Cap Fund</t>
        </is>
      </c>
      <c r="L10" s="3" t="inlineStr">
        <is>
          <t>New Deal</t>
        </is>
      </c>
      <c r="M10" s="3" t="n">
        <v>1.49</v>
      </c>
      <c r="N10" s="28" t="n">
        <v>5000</v>
      </c>
      <c r="O10" s="28" t="n">
        <v>700</v>
      </c>
      <c r="P10" s="28" t="n">
        <v>7450</v>
      </c>
      <c r="Q10" s="28" t="n">
        <v>7450</v>
      </c>
      <c r="R10" s="28" t="n">
        <v>0</v>
      </c>
      <c r="S10" s="42" t="n">
        <v>1</v>
      </c>
      <c r="T10" s="3" t="n">
        <v>2.443</v>
      </c>
      <c r="U10" s="3" t="n">
        <v>0</v>
      </c>
      <c r="V10" s="3" t="n"/>
      <c r="W10" s="42" t="n">
        <v>0.06</v>
      </c>
      <c r="X10" s="23" t="n">
        <v>45005</v>
      </c>
      <c r="Y10" s="3">
        <f>IF(I10="","No SIC",IFERROR(VLOOKUP(I10,Ref!$A$2:$B$65,2,FALSE()),"Unclassified"))</f>
        <v/>
      </c>
      <c r="Z10" s="3">
        <f>IF(T10="","",IF(T10&lt;12,"Daily","Weekly"))</f>
        <v/>
      </c>
      <c r="AA10" s="3">
        <f>IF(T10="",0,IF(T10&lt;12,T10*Controls!$B$13,T10*5))</f>
        <v/>
      </c>
      <c r="AB10" s="3">
        <f>IF(E10="",0,NETWORKDAYS(E10,Controls!$B$20,Ref!$K$2:$K$42))</f>
        <v/>
      </c>
      <c r="AC10" s="3">
        <f>IF(OR(AF10=1,AND(AA10&gt;0,AB10&gt;=Controls!$B$23*AA10)),1,0)</f>
        <v/>
      </c>
      <c r="AD10" s="3">
        <f>IF(AND(E10&lt;&gt;"",E10&gt;=Controls!$B$21,E10&lt;=Controls!$B$22),1,0)</f>
        <v/>
      </c>
      <c r="AE10" s="3">
        <f>IF(IFERROR(VLOOKUP(D10,Controls!$A$36:$E$46,2,FALSE()),"No")="Yes",1,0)</f>
        <v/>
      </c>
      <c r="AF10" s="3">
        <f>IF(IFERROR(VLOOKUP(D10,Controls!$A$36:$E$46,3,FALSE()),"No")="Yes",1,0)</f>
        <v/>
      </c>
      <c r="AG10" s="3">
        <f>IF(IFERROR(VLOOKUP(D10,Controls!$A$36:$E$46,4,FALSE()),"No")="Yes",1,0)</f>
        <v/>
      </c>
      <c r="AH10" s="3">
        <f>IF(IFERROR(VLOOKUP(D10,Controls!$A$36:$E$46,5,FALSE()),"No")="Yes",1,0)</f>
        <v/>
      </c>
      <c r="AI10" s="3">
        <f>IF(ISNUMBER(MATCH(D10,Controls!$A$36:$A$46,0)),1,0)</f>
        <v/>
      </c>
      <c r="AJ10" s="28">
        <f>Q10-N10</f>
        <v/>
      </c>
      <c r="AK10" s="3">
        <f>IF(AE10=1,MAX(0,N10-Q10),0)</f>
        <v/>
      </c>
      <c r="AL10" s="3">
        <f>IF(OR(V10="",V10=0),0,N10/V10)</f>
        <v/>
      </c>
      <c r="AM10" s="3">
        <f>IF(OR(V10="",V10=0),0,1)</f>
        <v/>
      </c>
      <c r="AN10" s="3">
        <f>IF(OR(E10="",F10=""),0,NETWORKDAYS(E10,F10,Ref!$K$2:$K$42))</f>
        <v/>
      </c>
      <c r="AO10" s="3">
        <f>IF(L10="Renewal",1,0)</f>
        <v/>
      </c>
      <c r="AP10" s="3">
        <f>AC10*AD10</f>
        <v/>
      </c>
      <c r="AQ10" s="3">
        <f>IF(AND(G10&lt;&gt;"",'Historical Score'!$C$6&lt;&gt;""),IF(G10='Historical Score'!$C$6,1,0),0)</f>
        <v/>
      </c>
      <c r="AR10" s="3">
        <f>IF(AND(L10&lt;&gt;"",'Historical Score'!$C$5&lt;&gt;""),IF(L10='Historical Score'!$C$5,1,0),0)</f>
        <v/>
      </c>
      <c r="AS10" s="3">
        <f>IF(AND(Y10&lt;&gt;"",'Historical Score'!$C$7&lt;&gt;""),IF(Y10='Historical Score'!$C$7,1,0),0)</f>
        <v/>
      </c>
      <c r="AT10" s="3">
        <f>IF(AND(K10&lt;&gt;"",'Historical Score'!$C$8&lt;&gt;""),IF(K10='Historical Score'!$C$8,1,0),0)</f>
        <v/>
      </c>
      <c r="AU10" s="3" t="n"/>
      <c r="AV10" s="3" t="n"/>
      <c r="AW10" s="3" t="n"/>
      <c r="AX10" s="3" t="n"/>
      <c r="AY10" s="3" t="n"/>
      <c r="AZ10" s="3" t="n"/>
      <c r="BA10" s="182">
        <f>IF(AD10=1,(AR10*'Historical Score'!$K$29+1-'Historical Score'!$K$29)*(AT10*'Historical Score'!$L$29+1-'Historical Score'!$L$29)*(AS10*'Historical Score'!$M$29+1-'Historical Score'!$M$29)*(AQ10*'Historical Score'!$N$29+1-'Historical Score'!$N$29),0)</f>
        <v/>
      </c>
      <c r="BB10" s="3" t="n"/>
      <c r="BC10" s="3" t="n"/>
    </row>
    <row r="11" ht="15" customHeight="1" s="174">
      <c r="A11" s="3" t="inlineStr">
        <is>
          <t>5674147393</t>
        </is>
      </c>
      <c r="B11" s="3" t="inlineStr">
        <is>
          <t>Beeson Farms &amp; Hauling LLC</t>
        </is>
      </c>
      <c r="C11" s="3" t="inlineStr">
        <is>
          <t>Beeson Farms &amp; Hauling LLC</t>
        </is>
      </c>
      <c r="D11" s="3" t="inlineStr">
        <is>
          <t>Closed</t>
        </is>
      </c>
      <c r="E11" s="23" t="n">
        <v>45667</v>
      </c>
      <c r="F11" s="23" t="n">
        <v>45756</v>
      </c>
      <c r="G11" s="3" t="n">
        <v>5</v>
      </c>
      <c r="H11" s="3" t="inlineStr">
        <is>
          <t>0191</t>
        </is>
      </c>
      <c r="I11" s="3" t="inlineStr">
        <is>
          <t>01</t>
        </is>
      </c>
      <c r="J11" s="3" t="inlineStr">
        <is>
          <t>NC</t>
        </is>
      </c>
      <c r="K11" s="3" t="inlineStr">
        <is>
          <t>Key Capital Funding</t>
        </is>
      </c>
      <c r="L11" s="3" t="inlineStr">
        <is>
          <t>New Deal</t>
        </is>
      </c>
      <c r="M11" s="3" t="n">
        <v>1.49</v>
      </c>
      <c r="N11" s="28" t="n">
        <v>30000</v>
      </c>
      <c r="O11" s="28" t="n">
        <v>4200</v>
      </c>
      <c r="P11" s="28" t="n">
        <v>44700</v>
      </c>
      <c r="Q11" s="28" t="n">
        <v>44700</v>
      </c>
      <c r="R11" s="28" t="n">
        <v>0</v>
      </c>
      <c r="S11" s="42" t="n">
        <v>1</v>
      </c>
      <c r="T11" s="3" t="n">
        <v>20.19</v>
      </c>
      <c r="U11" s="3" t="n">
        <v>0</v>
      </c>
      <c r="V11" s="3" t="n"/>
      <c r="W11" s="42" t="n">
        <v>0.05</v>
      </c>
      <c r="X11" s="23" t="n">
        <v>43579</v>
      </c>
      <c r="Y11" s="3">
        <f>IF(I11="","No SIC",IFERROR(VLOOKUP(I11,Ref!$A$2:$B$65,2,FALSE()),"Unclassified"))</f>
        <v/>
      </c>
      <c r="Z11" s="3">
        <f>IF(T11="","",IF(T11&lt;12,"Daily","Weekly"))</f>
        <v/>
      </c>
      <c r="AA11" s="3">
        <f>IF(T11="",0,IF(T11&lt;12,T11*Controls!$B$13,T11*5))</f>
        <v/>
      </c>
      <c r="AB11" s="3">
        <f>IF(E11="",0,NETWORKDAYS(E11,Controls!$B$20,Ref!$K$2:$K$42))</f>
        <v/>
      </c>
      <c r="AC11" s="3">
        <f>IF(OR(AF11=1,AND(AA11&gt;0,AB11&gt;=Controls!$B$23*AA11)),1,0)</f>
        <v/>
      </c>
      <c r="AD11" s="3">
        <f>IF(AND(E11&lt;&gt;"",E11&gt;=Controls!$B$21,E11&lt;=Controls!$B$22),1,0)</f>
        <v/>
      </c>
      <c r="AE11" s="3">
        <f>IF(IFERROR(VLOOKUP(D11,Controls!$A$36:$E$46,2,FALSE()),"No")="Yes",1,0)</f>
        <v/>
      </c>
      <c r="AF11" s="3">
        <f>IF(IFERROR(VLOOKUP(D11,Controls!$A$36:$E$46,3,FALSE()),"No")="Yes",1,0)</f>
        <v/>
      </c>
      <c r="AG11" s="3">
        <f>IF(IFERROR(VLOOKUP(D11,Controls!$A$36:$E$46,4,FALSE()),"No")="Yes",1,0)</f>
        <v/>
      </c>
      <c r="AH11" s="3">
        <f>IF(IFERROR(VLOOKUP(D11,Controls!$A$36:$E$46,5,FALSE()),"No")="Yes",1,0)</f>
        <v/>
      </c>
      <c r="AI11" s="3">
        <f>IF(ISNUMBER(MATCH(D11,Controls!$A$36:$A$46,0)),1,0)</f>
        <v/>
      </c>
      <c r="AJ11" s="28">
        <f>Q11-N11</f>
        <v/>
      </c>
      <c r="AK11" s="3">
        <f>IF(AE11=1,MAX(0,N11-Q11),0)</f>
        <v/>
      </c>
      <c r="AL11" s="3">
        <f>IF(OR(V11="",V11=0),0,N11/V11)</f>
        <v/>
      </c>
      <c r="AM11" s="3">
        <f>IF(OR(V11="",V11=0),0,1)</f>
        <v/>
      </c>
      <c r="AN11" s="3">
        <f>IF(OR(E11="",F11=""),0,NETWORKDAYS(E11,F11,Ref!$K$2:$K$42))</f>
        <v/>
      </c>
      <c r="AO11" s="3">
        <f>IF(L11="Renewal",1,0)</f>
        <v/>
      </c>
      <c r="AP11" s="3">
        <f>AC11*AD11</f>
        <v/>
      </c>
      <c r="AQ11" s="3">
        <f>IF(AND(G11&lt;&gt;"",'Historical Score'!$C$6&lt;&gt;""),IF(G11='Historical Score'!$C$6,1,0),0)</f>
        <v/>
      </c>
      <c r="AR11" s="3">
        <f>IF(AND(L11&lt;&gt;"",'Historical Score'!$C$5&lt;&gt;""),IF(L11='Historical Score'!$C$5,1,0),0)</f>
        <v/>
      </c>
      <c r="AS11" s="3">
        <f>IF(AND(Y11&lt;&gt;"",'Historical Score'!$C$7&lt;&gt;""),IF(Y11='Historical Score'!$C$7,1,0),0)</f>
        <v/>
      </c>
      <c r="AT11" s="3">
        <f>IF(AND(K11&lt;&gt;"",'Historical Score'!$C$8&lt;&gt;""),IF(K11='Historical Score'!$C$8,1,0),0)</f>
        <v/>
      </c>
      <c r="AU11" s="3" t="n"/>
      <c r="AV11" s="3" t="n"/>
      <c r="AW11" s="3" t="n"/>
      <c r="AX11" s="3" t="n"/>
      <c r="AY11" s="3" t="n"/>
      <c r="AZ11" s="3" t="n"/>
      <c r="BA11" s="182">
        <f>IF(AD11=1,(AR11*'Historical Score'!$K$29+1-'Historical Score'!$K$29)*(AT11*'Historical Score'!$L$29+1-'Historical Score'!$L$29)*(AS11*'Historical Score'!$M$29+1-'Historical Score'!$M$29)*(AQ11*'Historical Score'!$N$29+1-'Historical Score'!$N$29),0)</f>
        <v/>
      </c>
      <c r="BB11" s="3" t="n"/>
      <c r="BC11" s="3" t="n"/>
    </row>
    <row r="12" ht="15" customHeight="1" s="174">
      <c r="A12" s="3" t="inlineStr">
        <is>
          <t>5674147441</t>
        </is>
      </c>
      <c r="B12" s="3" t="inlineStr">
        <is>
          <t>SJ HOSPICE SERVICES</t>
        </is>
      </c>
      <c r="C12" s="3" t="inlineStr">
        <is>
          <t>SJ HOSPICE SERVICES LLC</t>
        </is>
      </c>
      <c r="D12" s="3" t="inlineStr">
        <is>
          <t>Closed</t>
        </is>
      </c>
      <c r="E12" s="23" t="n">
        <v>45670</v>
      </c>
      <c r="F12" s="23" t="n">
        <v>45783</v>
      </c>
      <c r="G12" s="3" t="n">
        <v>2</v>
      </c>
      <c r="H12" s="3" t="inlineStr">
        <is>
          <t>8082</t>
        </is>
      </c>
      <c r="I12" s="3" t="inlineStr">
        <is>
          <t>80</t>
        </is>
      </c>
      <c r="J12" s="3" t="inlineStr">
        <is>
          <t>TX</t>
        </is>
      </c>
      <c r="K12" s="3" t="inlineStr">
        <is>
          <t>ICB FUNDING</t>
        </is>
      </c>
      <c r="L12" s="3" t="inlineStr">
        <is>
          <t>New Deal</t>
        </is>
      </c>
      <c r="M12" s="3" t="n">
        <v>1.39</v>
      </c>
      <c r="N12" s="28" t="n">
        <v>8500</v>
      </c>
      <c r="O12" s="28" t="n">
        <v>765</v>
      </c>
      <c r="P12" s="28" t="n">
        <v>11815</v>
      </c>
      <c r="Q12" s="28" t="n">
        <v>11815</v>
      </c>
      <c r="R12" s="28" t="n">
        <v>0</v>
      </c>
      <c r="S12" s="42" t="n">
        <v>1</v>
      </c>
      <c r="T12" s="3" t="n">
        <v>2.539</v>
      </c>
      <c r="U12" s="3" t="n">
        <v>0</v>
      </c>
      <c r="V12" s="3" t="n"/>
      <c r="W12" s="42" t="n">
        <v>0.04</v>
      </c>
      <c r="X12" s="23" t="n">
        <v>42892</v>
      </c>
      <c r="Y12" s="3">
        <f>IF(I12="","No SIC",IFERROR(VLOOKUP(I12,Ref!$A$2:$B$65,2,FALSE()),"Unclassified"))</f>
        <v/>
      </c>
      <c r="Z12" s="3">
        <f>IF(T12="","",IF(T12&lt;12,"Daily","Weekly"))</f>
        <v/>
      </c>
      <c r="AA12" s="3">
        <f>IF(T12="",0,IF(T12&lt;12,T12*Controls!$B$13,T12*5))</f>
        <v/>
      </c>
      <c r="AB12" s="3">
        <f>IF(E12="",0,NETWORKDAYS(E12,Controls!$B$20,Ref!$K$2:$K$42))</f>
        <v/>
      </c>
      <c r="AC12" s="3">
        <f>IF(OR(AF12=1,AND(AA12&gt;0,AB12&gt;=Controls!$B$23*AA12)),1,0)</f>
        <v/>
      </c>
      <c r="AD12" s="3">
        <f>IF(AND(E12&lt;&gt;"",E12&gt;=Controls!$B$21,E12&lt;=Controls!$B$22),1,0)</f>
        <v/>
      </c>
      <c r="AE12" s="3">
        <f>IF(IFERROR(VLOOKUP(D12,Controls!$A$36:$E$46,2,FALSE()),"No")="Yes",1,0)</f>
        <v/>
      </c>
      <c r="AF12" s="3">
        <f>IF(IFERROR(VLOOKUP(D12,Controls!$A$36:$E$46,3,FALSE()),"No")="Yes",1,0)</f>
        <v/>
      </c>
      <c r="AG12" s="3">
        <f>IF(IFERROR(VLOOKUP(D12,Controls!$A$36:$E$46,4,FALSE()),"No")="Yes",1,0)</f>
        <v/>
      </c>
      <c r="AH12" s="3">
        <f>IF(IFERROR(VLOOKUP(D12,Controls!$A$36:$E$46,5,FALSE()),"No")="Yes",1,0)</f>
        <v/>
      </c>
      <c r="AI12" s="3">
        <f>IF(ISNUMBER(MATCH(D12,Controls!$A$36:$A$46,0)),1,0)</f>
        <v/>
      </c>
      <c r="AJ12" s="28">
        <f>Q12-N12</f>
        <v/>
      </c>
      <c r="AK12" s="3">
        <f>IF(AE12=1,MAX(0,N12-Q12),0)</f>
        <v/>
      </c>
      <c r="AL12" s="3">
        <f>IF(OR(V12="",V12=0),0,N12/V12)</f>
        <v/>
      </c>
      <c r="AM12" s="3">
        <f>IF(OR(V12="",V12=0),0,1)</f>
        <v/>
      </c>
      <c r="AN12" s="3">
        <f>IF(OR(E12="",F12=""),0,NETWORKDAYS(E12,F12,Ref!$K$2:$K$42))</f>
        <v/>
      </c>
      <c r="AO12" s="3">
        <f>IF(L12="Renewal",1,0)</f>
        <v/>
      </c>
      <c r="AP12" s="3">
        <f>AC12*AD12</f>
        <v/>
      </c>
      <c r="AQ12" s="3">
        <f>IF(AND(G12&lt;&gt;"",'Historical Score'!$C$6&lt;&gt;""),IF(G12='Historical Score'!$C$6,1,0),0)</f>
        <v/>
      </c>
      <c r="AR12" s="3">
        <f>IF(AND(L12&lt;&gt;"",'Historical Score'!$C$5&lt;&gt;""),IF(L12='Historical Score'!$C$5,1,0),0)</f>
        <v/>
      </c>
      <c r="AS12" s="3">
        <f>IF(AND(Y12&lt;&gt;"",'Historical Score'!$C$7&lt;&gt;""),IF(Y12='Historical Score'!$C$7,1,0),0)</f>
        <v/>
      </c>
      <c r="AT12" s="3">
        <f>IF(AND(K12&lt;&gt;"",'Historical Score'!$C$8&lt;&gt;""),IF(K12='Historical Score'!$C$8,1,0),0)</f>
        <v/>
      </c>
      <c r="AU12" s="3" t="n"/>
      <c r="AV12" s="3" t="n"/>
      <c r="AW12" s="3" t="n"/>
      <c r="AX12" s="3" t="n"/>
      <c r="AY12" s="3" t="n"/>
      <c r="AZ12" s="3" t="n"/>
      <c r="BA12" s="182">
        <f>IF(AD12=1,(AR12*'Historical Score'!$K$29+1-'Historical Score'!$K$29)*(AT12*'Historical Score'!$L$29+1-'Historical Score'!$L$29)*(AS12*'Historical Score'!$M$29+1-'Historical Score'!$M$29)*(AQ12*'Historical Score'!$N$29+1-'Historical Score'!$N$29),0)</f>
        <v/>
      </c>
      <c r="BB12" s="3" t="n"/>
      <c r="BC12" s="3" t="n"/>
    </row>
    <row r="13" ht="15" customHeight="1" s="174">
      <c r="A13" s="3" t="inlineStr">
        <is>
          <t>5674147491</t>
        </is>
      </c>
      <c r="B13" s="3" t="inlineStr">
        <is>
          <t>ROPP JERSEY CHEESE LLC</t>
        </is>
      </c>
      <c r="C13" s="3" t="inlineStr">
        <is>
          <t>ROPP JERSEY CHEESE LLC</t>
        </is>
      </c>
      <c r="D13" s="3" t="inlineStr">
        <is>
          <t>Legal</t>
        </is>
      </c>
      <c r="E13" s="23" t="n">
        <v>45670</v>
      </c>
      <c r="F13" s="23" t="n">
        <v>46234</v>
      </c>
      <c r="G13" s="3" t="n">
        <v>1</v>
      </c>
      <c r="H13" s="3" t="inlineStr">
        <is>
          <t>5812</t>
        </is>
      </c>
      <c r="I13" s="3" t="inlineStr">
        <is>
          <t>58</t>
        </is>
      </c>
      <c r="J13" s="3" t="inlineStr">
        <is>
          <t>IL</t>
        </is>
      </c>
      <c r="K13" s="3" t="inlineStr">
        <is>
          <t>ROYAL FUNDING GROUP</t>
        </is>
      </c>
      <c r="L13" s="3" t="inlineStr">
        <is>
          <t>New Deal</t>
        </is>
      </c>
      <c r="M13" s="3" t="n">
        <v>1.49</v>
      </c>
      <c r="N13" s="28" t="n">
        <v>12000</v>
      </c>
      <c r="O13" s="28" t="n">
        <v>1680</v>
      </c>
      <c r="P13" s="28" t="n">
        <v>17880</v>
      </c>
      <c r="Q13" s="28" t="n">
        <v>9022</v>
      </c>
      <c r="R13" s="28" t="n">
        <v>8858</v>
      </c>
      <c r="S13" s="42" t="n">
        <v>0.504586129753915</v>
      </c>
      <c r="T13" s="3" t="n">
        <v>2.706</v>
      </c>
      <c r="U13" s="3" t="n">
        <v>12</v>
      </c>
      <c r="V13" s="3" t="n"/>
      <c r="W13" s="42" t="n">
        <v>0.13</v>
      </c>
      <c r="X13" s="23" t="n">
        <v>38507</v>
      </c>
      <c r="Y13" s="3">
        <f>IF(I13="","No SIC",IFERROR(VLOOKUP(I13,Ref!$A$2:$B$65,2,FALSE()),"Unclassified"))</f>
        <v/>
      </c>
      <c r="Z13" s="3">
        <f>IF(T13="","",IF(T13&lt;12,"Daily","Weekly"))</f>
        <v/>
      </c>
      <c r="AA13" s="3">
        <f>IF(T13="",0,IF(T13&lt;12,T13*Controls!$B$13,T13*5))</f>
        <v/>
      </c>
      <c r="AB13" s="3">
        <f>IF(E13="",0,NETWORKDAYS(E13,Controls!$B$20,Ref!$K$2:$K$42))</f>
        <v/>
      </c>
      <c r="AC13" s="3">
        <f>IF(OR(AF13=1,AND(AA13&gt;0,AB13&gt;=Controls!$B$23*AA13)),1,0)</f>
        <v/>
      </c>
      <c r="AD13" s="3">
        <f>IF(AND(E13&lt;&gt;"",E13&gt;=Controls!$B$21,E13&lt;=Controls!$B$22),1,0)</f>
        <v/>
      </c>
      <c r="AE13" s="3">
        <f>IF(IFERROR(VLOOKUP(D13,Controls!$A$36:$E$46,2,FALSE()),"No")="Yes",1,0)</f>
        <v/>
      </c>
      <c r="AF13" s="3">
        <f>IF(IFERROR(VLOOKUP(D13,Controls!$A$36:$E$46,3,FALSE()),"No")="Yes",1,0)</f>
        <v/>
      </c>
      <c r="AG13" s="3">
        <f>IF(IFERROR(VLOOKUP(D13,Controls!$A$36:$E$46,4,FALSE()),"No")="Yes",1,0)</f>
        <v/>
      </c>
      <c r="AH13" s="3">
        <f>IF(IFERROR(VLOOKUP(D13,Controls!$A$36:$E$46,5,FALSE()),"No")="Yes",1,0)</f>
        <v/>
      </c>
      <c r="AI13" s="3">
        <f>IF(ISNUMBER(MATCH(D13,Controls!$A$36:$A$46,0)),1,0)</f>
        <v/>
      </c>
      <c r="AJ13" s="28">
        <f>Q13-N13</f>
        <v/>
      </c>
      <c r="AK13" s="3">
        <f>IF(AE13=1,MAX(0,N13-Q13),0)</f>
        <v/>
      </c>
      <c r="AL13" s="3">
        <f>IF(OR(V13="",V13=0),0,N13/V13)</f>
        <v/>
      </c>
      <c r="AM13" s="3">
        <f>IF(OR(V13="",V13=0),0,1)</f>
        <v/>
      </c>
      <c r="AN13" s="3">
        <f>IF(OR(E13="",F13=""),0,NETWORKDAYS(E13,F13,Ref!$K$2:$K$42))</f>
        <v/>
      </c>
      <c r="AO13" s="3">
        <f>IF(L13="Renewal",1,0)</f>
        <v/>
      </c>
      <c r="AP13" s="3">
        <f>AC13*AD13</f>
        <v/>
      </c>
      <c r="AQ13" s="3">
        <f>IF(AND(G13&lt;&gt;"",'Historical Score'!$C$6&lt;&gt;""),IF(G13='Historical Score'!$C$6,1,0),0)</f>
        <v/>
      </c>
      <c r="AR13" s="3">
        <f>IF(AND(L13&lt;&gt;"",'Historical Score'!$C$5&lt;&gt;""),IF(L13='Historical Score'!$C$5,1,0),0)</f>
        <v/>
      </c>
      <c r="AS13" s="3">
        <f>IF(AND(Y13&lt;&gt;"",'Historical Score'!$C$7&lt;&gt;""),IF(Y13='Historical Score'!$C$7,1,0),0)</f>
        <v/>
      </c>
      <c r="AT13" s="3">
        <f>IF(AND(K13&lt;&gt;"",'Historical Score'!$C$8&lt;&gt;""),IF(K13='Historical Score'!$C$8,1,0),0)</f>
        <v/>
      </c>
      <c r="AU13" s="3" t="n"/>
      <c r="AV13" s="3" t="n"/>
      <c r="AW13" s="3" t="n"/>
      <c r="AX13" s="3" t="n"/>
      <c r="AY13" s="3" t="n"/>
      <c r="AZ13" s="3" t="n"/>
      <c r="BA13" s="182">
        <f>IF(AD13=1,(AR13*'Historical Score'!$K$29+1-'Historical Score'!$K$29)*(AT13*'Historical Score'!$L$29+1-'Historical Score'!$L$29)*(AS13*'Historical Score'!$M$29+1-'Historical Score'!$M$29)*(AQ13*'Historical Score'!$N$29+1-'Historical Score'!$N$29),0)</f>
        <v/>
      </c>
      <c r="BB13" s="3" t="n"/>
      <c r="BC13" s="3" t="n"/>
    </row>
    <row r="14" ht="15" customHeight="1" s="174">
      <c r="A14" s="3" t="inlineStr">
        <is>
          <t>5674147495</t>
        </is>
      </c>
      <c r="B14" s="3" t="inlineStr">
        <is>
          <t>ISHI MEDICAL EQUIPMENT &amp; SUPPLIES INC Calle Primera</t>
        </is>
      </c>
      <c r="C14" s="3" t="inlineStr">
        <is>
          <t>ISHI MEDICAL EQUIPMENT &amp; SUPPLIES INC Calle Primera</t>
        </is>
      </c>
      <c r="D14" s="3" t="inlineStr">
        <is>
          <t>Legal</t>
        </is>
      </c>
      <c r="E14" s="23" t="n">
        <v>45670</v>
      </c>
      <c r="F14" s="23" t="n">
        <v>45721</v>
      </c>
      <c r="G14" s="3" t="n">
        <v>3</v>
      </c>
      <c r="H14" s="3" t="inlineStr">
        <is>
          <t>5047</t>
        </is>
      </c>
      <c r="I14" s="3" t="inlineStr">
        <is>
          <t>50</t>
        </is>
      </c>
      <c r="J14" s="3" t="inlineStr">
        <is>
          <t>CA</t>
        </is>
      </c>
      <c r="K14" s="3" t="inlineStr">
        <is>
          <t>Key Capital Funding</t>
        </is>
      </c>
      <c r="L14" s="3" t="inlineStr">
        <is>
          <t>New Deal</t>
        </is>
      </c>
      <c r="M14" s="3" t="n">
        <v>1.49</v>
      </c>
      <c r="N14" s="28" t="n">
        <v>12000</v>
      </c>
      <c r="O14" s="28" t="n">
        <v>1680</v>
      </c>
      <c r="P14" s="28" t="n">
        <v>17880</v>
      </c>
      <c r="Q14" s="28" t="n">
        <v>3184</v>
      </c>
      <c r="R14" s="28" t="n">
        <v>14696</v>
      </c>
      <c r="S14" s="42" t="n">
        <v>0.178076062639821</v>
      </c>
      <c r="T14" s="3" t="n">
        <v>2.951</v>
      </c>
      <c r="U14" s="3" t="n">
        <v>15</v>
      </c>
      <c r="V14" s="3" t="n"/>
      <c r="W14" s="42" t="n">
        <v>0.09</v>
      </c>
      <c r="X14" s="23" t="n">
        <v>38507</v>
      </c>
      <c r="Y14" s="3">
        <f>IF(I14="","No SIC",IFERROR(VLOOKUP(I14,Ref!$A$2:$B$65,2,FALSE()),"Unclassified"))</f>
        <v/>
      </c>
      <c r="Z14" s="3">
        <f>IF(T14="","",IF(T14&lt;12,"Daily","Weekly"))</f>
        <v/>
      </c>
      <c r="AA14" s="3">
        <f>IF(T14="",0,IF(T14&lt;12,T14*Controls!$B$13,T14*5))</f>
        <v/>
      </c>
      <c r="AB14" s="3">
        <f>IF(E14="",0,NETWORKDAYS(E14,Controls!$B$20,Ref!$K$2:$K$42))</f>
        <v/>
      </c>
      <c r="AC14" s="3">
        <f>IF(OR(AF14=1,AND(AA14&gt;0,AB14&gt;=Controls!$B$23*AA14)),1,0)</f>
        <v/>
      </c>
      <c r="AD14" s="3">
        <f>IF(AND(E14&lt;&gt;"",E14&gt;=Controls!$B$21,E14&lt;=Controls!$B$22),1,0)</f>
        <v/>
      </c>
      <c r="AE14" s="3">
        <f>IF(IFERROR(VLOOKUP(D14,Controls!$A$36:$E$46,2,FALSE()),"No")="Yes",1,0)</f>
        <v/>
      </c>
      <c r="AF14" s="3">
        <f>IF(IFERROR(VLOOKUP(D14,Controls!$A$36:$E$46,3,FALSE()),"No")="Yes",1,0)</f>
        <v/>
      </c>
      <c r="AG14" s="3">
        <f>IF(IFERROR(VLOOKUP(D14,Controls!$A$36:$E$46,4,FALSE()),"No")="Yes",1,0)</f>
        <v/>
      </c>
      <c r="AH14" s="3">
        <f>IF(IFERROR(VLOOKUP(D14,Controls!$A$36:$E$46,5,FALSE()),"No")="Yes",1,0)</f>
        <v/>
      </c>
      <c r="AI14" s="3">
        <f>IF(ISNUMBER(MATCH(D14,Controls!$A$36:$A$46,0)),1,0)</f>
        <v/>
      </c>
      <c r="AJ14" s="28">
        <f>Q14-N14</f>
        <v/>
      </c>
      <c r="AK14" s="3">
        <f>IF(AE14=1,MAX(0,N14-Q14),0)</f>
        <v/>
      </c>
      <c r="AL14" s="3">
        <f>IF(OR(V14="",V14=0),0,N14/V14)</f>
        <v/>
      </c>
      <c r="AM14" s="3">
        <f>IF(OR(V14="",V14=0),0,1)</f>
        <v/>
      </c>
      <c r="AN14" s="3">
        <f>IF(OR(E14="",F14=""),0,NETWORKDAYS(E14,F14,Ref!$K$2:$K$42))</f>
        <v/>
      </c>
      <c r="AO14" s="3">
        <f>IF(L14="Renewal",1,0)</f>
        <v/>
      </c>
      <c r="AP14" s="3">
        <f>AC14*AD14</f>
        <v/>
      </c>
      <c r="AQ14" s="3">
        <f>IF(AND(G14&lt;&gt;"",'Historical Score'!$C$6&lt;&gt;""),IF(G14='Historical Score'!$C$6,1,0),0)</f>
        <v/>
      </c>
      <c r="AR14" s="3">
        <f>IF(AND(L14&lt;&gt;"",'Historical Score'!$C$5&lt;&gt;""),IF(L14='Historical Score'!$C$5,1,0),0)</f>
        <v/>
      </c>
      <c r="AS14" s="3">
        <f>IF(AND(Y14&lt;&gt;"",'Historical Score'!$C$7&lt;&gt;""),IF(Y14='Historical Score'!$C$7,1,0),0)</f>
        <v/>
      </c>
      <c r="AT14" s="3">
        <f>IF(AND(K14&lt;&gt;"",'Historical Score'!$C$8&lt;&gt;""),IF(K14='Historical Score'!$C$8,1,0),0)</f>
        <v/>
      </c>
      <c r="AU14" s="3" t="n"/>
      <c r="AV14" s="3" t="n"/>
      <c r="AW14" s="3" t="n"/>
      <c r="AX14" s="3" t="n"/>
      <c r="AY14" s="3" t="n"/>
      <c r="AZ14" s="3" t="n"/>
      <c r="BA14" s="182">
        <f>IF(AD14=1,(AR14*'Historical Score'!$K$29+1-'Historical Score'!$K$29)*(AT14*'Historical Score'!$L$29+1-'Historical Score'!$L$29)*(AS14*'Historical Score'!$M$29+1-'Historical Score'!$M$29)*(AQ14*'Historical Score'!$N$29+1-'Historical Score'!$N$29),0)</f>
        <v/>
      </c>
      <c r="BB14" s="3" t="n"/>
      <c r="BC14" s="3" t="n"/>
    </row>
    <row r="15" ht="15" customHeight="1" s="174">
      <c r="A15" s="3" t="inlineStr">
        <is>
          <t>5674147827</t>
        </is>
      </c>
      <c r="B15" s="3" t="inlineStr">
        <is>
          <t>Delta Security Services LLC</t>
        </is>
      </c>
      <c r="C15" s="3" t="inlineStr">
        <is>
          <t>Delta Security Services LLC</t>
        </is>
      </c>
      <c r="D15" s="3" t="inlineStr">
        <is>
          <t>Closed</t>
        </is>
      </c>
      <c r="E15" s="23" t="n">
        <v>45673</v>
      </c>
      <c r="F15" s="23" t="n">
        <v>45791</v>
      </c>
      <c r="G15" s="3" t="n">
        <v>1</v>
      </c>
      <c r="H15" s="3" t="inlineStr">
        <is>
          <t>7382</t>
        </is>
      </c>
      <c r="I15" s="3" t="inlineStr">
        <is>
          <t>73</t>
        </is>
      </c>
      <c r="J15" s="3" t="inlineStr">
        <is>
          <t>WA</t>
        </is>
      </c>
      <c r="K15" s="3" t="inlineStr">
        <is>
          <t>First Path Capital</t>
        </is>
      </c>
      <c r="L15" s="3" t="inlineStr">
        <is>
          <t>Renewal</t>
        </is>
      </c>
      <c r="M15" s="3" t="n">
        <v>1.49</v>
      </c>
      <c r="N15" s="28" t="n">
        <v>5000</v>
      </c>
      <c r="O15" s="28" t="n">
        <v>700</v>
      </c>
      <c r="P15" s="28" t="n">
        <v>7450</v>
      </c>
      <c r="Q15" s="28" t="n">
        <v>7450</v>
      </c>
      <c r="R15" s="28" t="n">
        <v>0</v>
      </c>
      <c r="S15" s="42" t="n">
        <v>1</v>
      </c>
      <c r="T15" s="3" t="n">
        <v>2.623</v>
      </c>
      <c r="U15" s="3" t="n">
        <v>0</v>
      </c>
      <c r="V15" s="3" t="n"/>
      <c r="W15" s="42" t="n">
        <v>0.06</v>
      </c>
      <c r="X15" s="23" t="n"/>
      <c r="Y15" s="3">
        <f>IF(I15="","No SIC",IFERROR(VLOOKUP(I15,Ref!$A$2:$B$65,2,FALSE()),"Unclassified"))</f>
        <v/>
      </c>
      <c r="Z15" s="3">
        <f>IF(T15="","",IF(T15&lt;12,"Daily","Weekly"))</f>
        <v/>
      </c>
      <c r="AA15" s="3">
        <f>IF(T15="",0,IF(T15&lt;12,T15*Controls!$B$13,T15*5))</f>
        <v/>
      </c>
      <c r="AB15" s="3">
        <f>IF(E15="",0,NETWORKDAYS(E15,Controls!$B$20,Ref!$K$2:$K$42))</f>
        <v/>
      </c>
      <c r="AC15" s="3">
        <f>IF(OR(AF15=1,AND(AA15&gt;0,AB15&gt;=Controls!$B$23*AA15)),1,0)</f>
        <v/>
      </c>
      <c r="AD15" s="3">
        <f>IF(AND(E15&lt;&gt;"",E15&gt;=Controls!$B$21,E15&lt;=Controls!$B$22),1,0)</f>
        <v/>
      </c>
      <c r="AE15" s="3">
        <f>IF(IFERROR(VLOOKUP(D15,Controls!$A$36:$E$46,2,FALSE()),"No")="Yes",1,0)</f>
        <v/>
      </c>
      <c r="AF15" s="3">
        <f>IF(IFERROR(VLOOKUP(D15,Controls!$A$36:$E$46,3,FALSE()),"No")="Yes",1,0)</f>
        <v/>
      </c>
      <c r="AG15" s="3">
        <f>IF(IFERROR(VLOOKUP(D15,Controls!$A$36:$E$46,4,FALSE()),"No")="Yes",1,0)</f>
        <v/>
      </c>
      <c r="AH15" s="3">
        <f>IF(IFERROR(VLOOKUP(D15,Controls!$A$36:$E$46,5,FALSE()),"No")="Yes",1,0)</f>
        <v/>
      </c>
      <c r="AI15" s="3">
        <f>IF(ISNUMBER(MATCH(D15,Controls!$A$36:$A$46,0)),1,0)</f>
        <v/>
      </c>
      <c r="AJ15" s="28">
        <f>Q15-N15</f>
        <v/>
      </c>
      <c r="AK15" s="3">
        <f>IF(AE15=1,MAX(0,N15-Q15),0)</f>
        <v/>
      </c>
      <c r="AL15" s="3">
        <f>IF(OR(V15="",V15=0),0,N15/V15)</f>
        <v/>
      </c>
      <c r="AM15" s="3">
        <f>IF(OR(V15="",V15=0),0,1)</f>
        <v/>
      </c>
      <c r="AN15" s="3">
        <f>IF(OR(E15="",F15=""),0,NETWORKDAYS(E15,F15,Ref!$K$2:$K$42))</f>
        <v/>
      </c>
      <c r="AO15" s="3">
        <f>IF(L15="Renewal",1,0)</f>
        <v/>
      </c>
      <c r="AP15" s="3">
        <f>AC15*AD15</f>
        <v/>
      </c>
      <c r="AQ15" s="3">
        <f>IF(AND(G15&lt;&gt;"",'Historical Score'!$C$6&lt;&gt;""),IF(G15='Historical Score'!$C$6,1,0),0)</f>
        <v/>
      </c>
      <c r="AR15" s="3">
        <f>IF(AND(L15&lt;&gt;"",'Historical Score'!$C$5&lt;&gt;""),IF(L15='Historical Score'!$C$5,1,0),0)</f>
        <v/>
      </c>
      <c r="AS15" s="3">
        <f>IF(AND(Y15&lt;&gt;"",'Historical Score'!$C$7&lt;&gt;""),IF(Y15='Historical Score'!$C$7,1,0),0)</f>
        <v/>
      </c>
      <c r="AT15" s="3">
        <f>IF(AND(K15&lt;&gt;"",'Historical Score'!$C$8&lt;&gt;""),IF(K15='Historical Score'!$C$8,1,0),0)</f>
        <v/>
      </c>
      <c r="AU15" s="3" t="n"/>
      <c r="AV15" s="3" t="n"/>
      <c r="AW15" s="3" t="n"/>
      <c r="AX15" s="3" t="n"/>
      <c r="AY15" s="3" t="n"/>
      <c r="AZ15" s="3" t="n"/>
      <c r="BA15" s="182">
        <f>IF(AD15=1,(AR15*'Historical Score'!$K$29+1-'Historical Score'!$K$29)*(AT15*'Historical Score'!$L$29+1-'Historical Score'!$L$29)*(AS15*'Historical Score'!$M$29+1-'Historical Score'!$M$29)*(AQ15*'Historical Score'!$N$29+1-'Historical Score'!$N$29),0)</f>
        <v/>
      </c>
      <c r="BB15" s="3" t="n"/>
      <c r="BC15" s="3" t="n"/>
    </row>
    <row r="16" ht="15" customHeight="1" s="174">
      <c r="A16" s="3" t="inlineStr">
        <is>
          <t>5674148218</t>
        </is>
      </c>
      <c r="B16" s="3" t="inlineStr">
        <is>
          <t>LTV EVENTS LLC</t>
        </is>
      </c>
      <c r="C16" s="3" t="inlineStr">
        <is>
          <t>LTV EVENTS LLC</t>
        </is>
      </c>
      <c r="D16" s="3" t="inlineStr">
        <is>
          <t>Closed</t>
        </is>
      </c>
      <c r="E16" s="23" t="n">
        <v>45679</v>
      </c>
      <c r="F16" s="23" t="n">
        <v>45768</v>
      </c>
      <c r="G16" s="3" t="n">
        <v>7</v>
      </c>
      <c r="H16" s="3" t="inlineStr">
        <is>
          <t>7299</t>
        </is>
      </c>
      <c r="I16" s="3" t="inlineStr">
        <is>
          <t>72</t>
        </is>
      </c>
      <c r="J16" s="3" t="inlineStr">
        <is>
          <t>IL</t>
        </is>
      </c>
      <c r="K16" s="3" t="inlineStr">
        <is>
          <t>Redline Capital</t>
        </is>
      </c>
      <c r="L16" s="3" t="inlineStr">
        <is>
          <t>New Deal</t>
        </is>
      </c>
      <c r="M16" s="3" t="n">
        <v>1.47</v>
      </c>
      <c r="N16" s="28" t="n">
        <v>4500</v>
      </c>
      <c r="O16" s="28" t="n">
        <v>630</v>
      </c>
      <c r="P16" s="28" t="n">
        <v>6615</v>
      </c>
      <c r="Q16" s="28" t="n">
        <v>6615</v>
      </c>
      <c r="R16" s="28" t="n">
        <v>0</v>
      </c>
      <c r="S16" s="42" t="n">
        <v>1</v>
      </c>
      <c r="T16" s="3" t="n">
        <v>1.928</v>
      </c>
      <c r="U16" s="3" t="n">
        <v>0</v>
      </c>
      <c r="V16" s="3" t="n"/>
      <c r="W16" s="42" t="n">
        <v>0.083</v>
      </c>
      <c r="X16" s="23" t="n">
        <v>44256</v>
      </c>
      <c r="Y16" s="3">
        <f>IF(I16="","No SIC",IFERROR(VLOOKUP(I16,Ref!$A$2:$B$65,2,FALSE()),"Unclassified"))</f>
        <v/>
      </c>
      <c r="Z16" s="3">
        <f>IF(T16="","",IF(T16&lt;12,"Daily","Weekly"))</f>
        <v/>
      </c>
      <c r="AA16" s="3">
        <f>IF(T16="",0,IF(T16&lt;12,T16*Controls!$B$13,T16*5))</f>
        <v/>
      </c>
      <c r="AB16" s="3">
        <f>IF(E16="",0,NETWORKDAYS(E16,Controls!$B$20,Ref!$K$2:$K$42))</f>
        <v/>
      </c>
      <c r="AC16" s="3">
        <f>IF(OR(AF16=1,AND(AA16&gt;0,AB16&gt;=Controls!$B$23*AA16)),1,0)</f>
        <v/>
      </c>
      <c r="AD16" s="3">
        <f>IF(AND(E16&lt;&gt;"",E16&gt;=Controls!$B$21,E16&lt;=Controls!$B$22),1,0)</f>
        <v/>
      </c>
      <c r="AE16" s="3">
        <f>IF(IFERROR(VLOOKUP(D16,Controls!$A$36:$E$46,2,FALSE()),"No")="Yes",1,0)</f>
        <v/>
      </c>
      <c r="AF16" s="3">
        <f>IF(IFERROR(VLOOKUP(D16,Controls!$A$36:$E$46,3,FALSE()),"No")="Yes",1,0)</f>
        <v/>
      </c>
      <c r="AG16" s="3">
        <f>IF(IFERROR(VLOOKUP(D16,Controls!$A$36:$E$46,4,FALSE()),"No")="Yes",1,0)</f>
        <v/>
      </c>
      <c r="AH16" s="3">
        <f>IF(IFERROR(VLOOKUP(D16,Controls!$A$36:$E$46,5,FALSE()),"No")="Yes",1,0)</f>
        <v/>
      </c>
      <c r="AI16" s="3">
        <f>IF(ISNUMBER(MATCH(D16,Controls!$A$36:$A$46,0)),1,0)</f>
        <v/>
      </c>
      <c r="AJ16" s="28">
        <f>Q16-N16</f>
        <v/>
      </c>
      <c r="AK16" s="3">
        <f>IF(AE16=1,MAX(0,N16-Q16),0)</f>
        <v/>
      </c>
      <c r="AL16" s="3">
        <f>IF(OR(V16="",V16=0),0,N16/V16)</f>
        <v/>
      </c>
      <c r="AM16" s="3">
        <f>IF(OR(V16="",V16=0),0,1)</f>
        <v/>
      </c>
      <c r="AN16" s="3">
        <f>IF(OR(E16="",F16=""),0,NETWORKDAYS(E16,F16,Ref!$K$2:$K$42))</f>
        <v/>
      </c>
      <c r="AO16" s="3">
        <f>IF(L16="Renewal",1,0)</f>
        <v/>
      </c>
      <c r="AP16" s="3">
        <f>AC16*AD16</f>
        <v/>
      </c>
      <c r="AQ16" s="3">
        <f>IF(AND(G16&lt;&gt;"",'Historical Score'!$C$6&lt;&gt;""),IF(G16='Historical Score'!$C$6,1,0),0)</f>
        <v/>
      </c>
      <c r="AR16" s="3">
        <f>IF(AND(L16&lt;&gt;"",'Historical Score'!$C$5&lt;&gt;""),IF(L16='Historical Score'!$C$5,1,0),0)</f>
        <v/>
      </c>
      <c r="AS16" s="3">
        <f>IF(AND(Y16&lt;&gt;"",'Historical Score'!$C$7&lt;&gt;""),IF(Y16='Historical Score'!$C$7,1,0),0)</f>
        <v/>
      </c>
      <c r="AT16" s="3">
        <f>IF(AND(K16&lt;&gt;"",'Historical Score'!$C$8&lt;&gt;""),IF(K16='Historical Score'!$C$8,1,0),0)</f>
        <v/>
      </c>
      <c r="AU16" s="3" t="n"/>
      <c r="AV16" s="3" t="n"/>
      <c r="AW16" s="3" t="n"/>
      <c r="AX16" s="3" t="n"/>
      <c r="AY16" s="3" t="n"/>
      <c r="AZ16" s="3" t="n"/>
      <c r="BA16" s="182">
        <f>IF(AD16=1,(AR16*'Historical Score'!$K$29+1-'Historical Score'!$K$29)*(AT16*'Historical Score'!$L$29+1-'Historical Score'!$L$29)*(AS16*'Historical Score'!$M$29+1-'Historical Score'!$M$29)*(AQ16*'Historical Score'!$N$29+1-'Historical Score'!$N$29),0)</f>
        <v/>
      </c>
      <c r="BB16" s="3" t="n"/>
      <c r="BC16" s="3" t="n"/>
    </row>
    <row r="17" ht="15" customHeight="1" s="174">
      <c r="A17" s="3" t="inlineStr">
        <is>
          <t>5674148220</t>
        </is>
      </c>
      <c r="B17" s="3" t="inlineStr">
        <is>
          <t>The Tailors</t>
        </is>
      </c>
      <c r="C17" s="3" t="inlineStr">
        <is>
          <t>Jojo's Sewing Co. LLC</t>
        </is>
      </c>
      <c r="D17" s="3" t="inlineStr">
        <is>
          <t>Legal</t>
        </is>
      </c>
      <c r="E17" s="23" t="n">
        <v>45679</v>
      </c>
      <c r="F17" s="23" t="n">
        <v>45735</v>
      </c>
      <c r="G17" s="3" t="n">
        <v>2</v>
      </c>
      <c r="H17" s="3" t="inlineStr">
        <is>
          <t>5699</t>
        </is>
      </c>
      <c r="I17" s="3" t="inlineStr">
        <is>
          <t>56</t>
        </is>
      </c>
      <c r="J17" s="3" t="inlineStr">
        <is>
          <t>MI</t>
        </is>
      </c>
      <c r="K17" s="3" t="inlineStr">
        <is>
          <t>Platform Funding</t>
        </is>
      </c>
      <c r="L17" s="3" t="inlineStr">
        <is>
          <t>New Deal</t>
        </is>
      </c>
      <c r="M17" s="3" t="n">
        <v>1.49</v>
      </c>
      <c r="N17" s="28" t="n">
        <v>4500</v>
      </c>
      <c r="O17" s="28" t="n">
        <v>630</v>
      </c>
      <c r="P17" s="28" t="n">
        <v>6705</v>
      </c>
      <c r="Q17" s="28" t="n">
        <v>2863.14</v>
      </c>
      <c r="R17" s="28" t="n">
        <v>3841.86</v>
      </c>
      <c r="S17" s="42" t="n">
        <v>0.427015659955257</v>
      </c>
      <c r="T17" s="3" t="n">
        <v>2.459</v>
      </c>
      <c r="U17" s="3" t="n">
        <v>7</v>
      </c>
      <c r="V17" s="3" t="n"/>
      <c r="W17" s="42" t="n">
        <v>0.11</v>
      </c>
      <c r="X17" s="23" t="n">
        <v>44927</v>
      </c>
      <c r="Y17" s="3">
        <f>IF(I17="","No SIC",IFERROR(VLOOKUP(I17,Ref!$A$2:$B$65,2,FALSE()),"Unclassified"))</f>
        <v/>
      </c>
      <c r="Z17" s="3">
        <f>IF(T17="","",IF(T17&lt;12,"Daily","Weekly"))</f>
        <v/>
      </c>
      <c r="AA17" s="3">
        <f>IF(T17="",0,IF(T17&lt;12,T17*Controls!$B$13,T17*5))</f>
        <v/>
      </c>
      <c r="AB17" s="3">
        <f>IF(E17="",0,NETWORKDAYS(E17,Controls!$B$20,Ref!$K$2:$K$42))</f>
        <v/>
      </c>
      <c r="AC17" s="3">
        <f>IF(OR(AF17=1,AND(AA17&gt;0,AB17&gt;=Controls!$B$23*AA17)),1,0)</f>
        <v/>
      </c>
      <c r="AD17" s="3">
        <f>IF(AND(E17&lt;&gt;"",E17&gt;=Controls!$B$21,E17&lt;=Controls!$B$22),1,0)</f>
        <v/>
      </c>
      <c r="AE17" s="3">
        <f>IF(IFERROR(VLOOKUP(D17,Controls!$A$36:$E$46,2,FALSE()),"No")="Yes",1,0)</f>
        <v/>
      </c>
      <c r="AF17" s="3">
        <f>IF(IFERROR(VLOOKUP(D17,Controls!$A$36:$E$46,3,FALSE()),"No")="Yes",1,0)</f>
        <v/>
      </c>
      <c r="AG17" s="3">
        <f>IF(IFERROR(VLOOKUP(D17,Controls!$A$36:$E$46,4,FALSE()),"No")="Yes",1,0)</f>
        <v/>
      </c>
      <c r="AH17" s="3">
        <f>IF(IFERROR(VLOOKUP(D17,Controls!$A$36:$E$46,5,FALSE()),"No")="Yes",1,0)</f>
        <v/>
      </c>
      <c r="AI17" s="3">
        <f>IF(ISNUMBER(MATCH(D17,Controls!$A$36:$A$46,0)),1,0)</f>
        <v/>
      </c>
      <c r="AJ17" s="28">
        <f>Q17-N17</f>
        <v/>
      </c>
      <c r="AK17" s="3">
        <f>IF(AE17=1,MAX(0,N17-Q17),0)</f>
        <v/>
      </c>
      <c r="AL17" s="3">
        <f>IF(OR(V17="",V17=0),0,N17/V17)</f>
        <v/>
      </c>
      <c r="AM17" s="3">
        <f>IF(OR(V17="",V17=0),0,1)</f>
        <v/>
      </c>
      <c r="AN17" s="3">
        <f>IF(OR(E17="",F17=""),0,NETWORKDAYS(E17,F17,Ref!$K$2:$K$42))</f>
        <v/>
      </c>
      <c r="AO17" s="3">
        <f>IF(L17="Renewal",1,0)</f>
        <v/>
      </c>
      <c r="AP17" s="3">
        <f>AC17*AD17</f>
        <v/>
      </c>
      <c r="AQ17" s="3">
        <f>IF(AND(G17&lt;&gt;"",'Historical Score'!$C$6&lt;&gt;""),IF(G17='Historical Score'!$C$6,1,0),0)</f>
        <v/>
      </c>
      <c r="AR17" s="3">
        <f>IF(AND(L17&lt;&gt;"",'Historical Score'!$C$5&lt;&gt;""),IF(L17='Historical Score'!$C$5,1,0),0)</f>
        <v/>
      </c>
      <c r="AS17" s="3">
        <f>IF(AND(Y17&lt;&gt;"",'Historical Score'!$C$7&lt;&gt;""),IF(Y17='Historical Score'!$C$7,1,0),0)</f>
        <v/>
      </c>
      <c r="AT17" s="3">
        <f>IF(AND(K17&lt;&gt;"",'Historical Score'!$C$8&lt;&gt;""),IF(K17='Historical Score'!$C$8,1,0),0)</f>
        <v/>
      </c>
      <c r="AU17" s="3" t="n"/>
      <c r="AV17" s="3" t="n"/>
      <c r="AW17" s="3" t="n"/>
      <c r="AX17" s="3" t="n"/>
      <c r="AY17" s="3" t="n"/>
      <c r="AZ17" s="3" t="n"/>
      <c r="BA17" s="182">
        <f>IF(AD17=1,(AR17*'Historical Score'!$K$29+1-'Historical Score'!$K$29)*(AT17*'Historical Score'!$L$29+1-'Historical Score'!$L$29)*(AS17*'Historical Score'!$M$29+1-'Historical Score'!$M$29)*(AQ17*'Historical Score'!$N$29+1-'Historical Score'!$N$29),0)</f>
        <v/>
      </c>
      <c r="BB17" s="3" t="n"/>
      <c r="BC17" s="3" t="n"/>
    </row>
    <row r="18" ht="15" customHeight="1" s="174">
      <c r="A18" s="3" t="inlineStr">
        <is>
          <t>5674149050</t>
        </is>
      </c>
      <c r="B18" s="3" t="inlineStr">
        <is>
          <t>Bright Future Academy</t>
        </is>
      </c>
      <c r="C18" s="3" t="inlineStr">
        <is>
          <t>Bright Future Academy</t>
        </is>
      </c>
      <c r="D18" s="3" t="inlineStr">
        <is>
          <t>Closed</t>
        </is>
      </c>
      <c r="E18" s="23" t="n">
        <v>45686</v>
      </c>
      <c r="F18" s="23" t="n">
        <v>45799</v>
      </c>
      <c r="G18" s="3" t="n">
        <v>4</v>
      </c>
      <c r="H18" s="3" t="inlineStr">
        <is>
          <t>8351</t>
        </is>
      </c>
      <c r="I18" s="3" t="inlineStr">
        <is>
          <t>83</t>
        </is>
      </c>
      <c r="J18" s="3" t="inlineStr">
        <is>
          <t>MN</t>
        </is>
      </c>
      <c r="K18" s="3" t="inlineStr">
        <is>
          <t>Key Capital Funding</t>
        </is>
      </c>
      <c r="L18" s="3" t="inlineStr">
        <is>
          <t>Renewal</t>
        </is>
      </c>
      <c r="M18" s="3" t="n">
        <v>1.41</v>
      </c>
      <c r="N18" s="28" t="n">
        <v>5000</v>
      </c>
      <c r="O18" s="28" t="n">
        <v>500</v>
      </c>
      <c r="P18" s="28" t="n">
        <v>7050</v>
      </c>
      <c r="Q18" s="28" t="n">
        <v>7050</v>
      </c>
      <c r="R18" s="28" t="n">
        <v>0</v>
      </c>
      <c r="S18" s="42" t="n">
        <v>1</v>
      </c>
      <c r="T18" s="3" t="n">
        <v>2.295</v>
      </c>
      <c r="U18" s="3" t="n">
        <v>4</v>
      </c>
      <c r="V18" s="3" t="n"/>
      <c r="W18" s="42" t="n">
        <v>0.12</v>
      </c>
      <c r="X18" s="23" t="n">
        <v>43617</v>
      </c>
      <c r="Y18" s="3">
        <f>IF(I18="","No SIC",IFERROR(VLOOKUP(I18,Ref!$A$2:$B$65,2,FALSE()),"Unclassified"))</f>
        <v/>
      </c>
      <c r="Z18" s="3">
        <f>IF(T18="","",IF(T18&lt;12,"Daily","Weekly"))</f>
        <v/>
      </c>
      <c r="AA18" s="3">
        <f>IF(T18="",0,IF(T18&lt;12,T18*Controls!$B$13,T18*5))</f>
        <v/>
      </c>
      <c r="AB18" s="3">
        <f>IF(E18="",0,NETWORKDAYS(E18,Controls!$B$20,Ref!$K$2:$K$42))</f>
        <v/>
      </c>
      <c r="AC18" s="3">
        <f>IF(OR(AF18=1,AND(AA18&gt;0,AB18&gt;=Controls!$B$23*AA18)),1,0)</f>
        <v/>
      </c>
      <c r="AD18" s="3">
        <f>IF(AND(E18&lt;&gt;"",E18&gt;=Controls!$B$21,E18&lt;=Controls!$B$22),1,0)</f>
        <v/>
      </c>
      <c r="AE18" s="3">
        <f>IF(IFERROR(VLOOKUP(D18,Controls!$A$36:$E$46,2,FALSE()),"No")="Yes",1,0)</f>
        <v/>
      </c>
      <c r="AF18" s="3">
        <f>IF(IFERROR(VLOOKUP(D18,Controls!$A$36:$E$46,3,FALSE()),"No")="Yes",1,0)</f>
        <v/>
      </c>
      <c r="AG18" s="3">
        <f>IF(IFERROR(VLOOKUP(D18,Controls!$A$36:$E$46,4,FALSE()),"No")="Yes",1,0)</f>
        <v/>
      </c>
      <c r="AH18" s="3">
        <f>IF(IFERROR(VLOOKUP(D18,Controls!$A$36:$E$46,5,FALSE()),"No")="Yes",1,0)</f>
        <v/>
      </c>
      <c r="AI18" s="3">
        <f>IF(ISNUMBER(MATCH(D18,Controls!$A$36:$A$46,0)),1,0)</f>
        <v/>
      </c>
      <c r="AJ18" s="28">
        <f>Q18-N18</f>
        <v/>
      </c>
      <c r="AK18" s="3">
        <f>IF(AE18=1,MAX(0,N18-Q18),0)</f>
        <v/>
      </c>
      <c r="AL18" s="3">
        <f>IF(OR(V18="",V18=0),0,N18/V18)</f>
        <v/>
      </c>
      <c r="AM18" s="3">
        <f>IF(OR(V18="",V18=0),0,1)</f>
        <v/>
      </c>
      <c r="AN18" s="3">
        <f>IF(OR(E18="",F18=""),0,NETWORKDAYS(E18,F18,Ref!$K$2:$K$42))</f>
        <v/>
      </c>
      <c r="AO18" s="3">
        <f>IF(L18="Renewal",1,0)</f>
        <v/>
      </c>
      <c r="AP18" s="3">
        <f>AC18*AD18</f>
        <v/>
      </c>
      <c r="AQ18" s="3">
        <f>IF(AND(G18&lt;&gt;"",'Historical Score'!$C$6&lt;&gt;""),IF(G18='Historical Score'!$C$6,1,0),0)</f>
        <v/>
      </c>
      <c r="AR18" s="3">
        <f>IF(AND(L18&lt;&gt;"",'Historical Score'!$C$5&lt;&gt;""),IF(L18='Historical Score'!$C$5,1,0),0)</f>
        <v/>
      </c>
      <c r="AS18" s="3">
        <f>IF(AND(Y18&lt;&gt;"",'Historical Score'!$C$7&lt;&gt;""),IF(Y18='Historical Score'!$C$7,1,0),0)</f>
        <v/>
      </c>
      <c r="AT18" s="3">
        <f>IF(AND(K18&lt;&gt;"",'Historical Score'!$C$8&lt;&gt;""),IF(K18='Historical Score'!$C$8,1,0),0)</f>
        <v/>
      </c>
      <c r="AU18" s="3" t="n"/>
      <c r="AV18" s="3" t="n"/>
      <c r="AW18" s="3" t="n"/>
      <c r="AX18" s="3" t="n"/>
      <c r="AY18" s="3" t="n"/>
      <c r="AZ18" s="3" t="n"/>
      <c r="BA18" s="182">
        <f>IF(AD18=1,(AR18*'Historical Score'!$K$29+1-'Historical Score'!$K$29)*(AT18*'Historical Score'!$L$29+1-'Historical Score'!$L$29)*(AS18*'Historical Score'!$M$29+1-'Historical Score'!$M$29)*(AQ18*'Historical Score'!$N$29+1-'Historical Score'!$N$29),0)</f>
        <v/>
      </c>
      <c r="BB18" s="3" t="n"/>
      <c r="BC18" s="3" t="n"/>
    </row>
    <row r="19" ht="15" customHeight="1" s="174">
      <c r="A19" s="3" t="inlineStr">
        <is>
          <t>5674149117</t>
        </is>
      </c>
      <c r="B19" s="3" t="inlineStr">
        <is>
          <t>PRADO SALES</t>
        </is>
      </c>
      <c r="C19" s="3" t="inlineStr">
        <is>
          <t>P &amp; F Family Construction</t>
        </is>
      </c>
      <c r="D19" s="3" t="inlineStr">
        <is>
          <t>Closed</t>
        </is>
      </c>
      <c r="E19" s="23" t="n">
        <v>45687</v>
      </c>
      <c r="F19" s="23" t="n">
        <v>45776</v>
      </c>
      <c r="G19" s="3" t="n">
        <v>6</v>
      </c>
      <c r="H19" s="3" t="inlineStr">
        <is>
          <t>1521</t>
        </is>
      </c>
      <c r="I19" s="3" t="inlineStr">
        <is>
          <t>15</t>
        </is>
      </c>
      <c r="J19" s="3" t="inlineStr">
        <is>
          <t>CA</t>
        </is>
      </c>
      <c r="K19" s="3" t="inlineStr">
        <is>
          <t>Merchant ReFi</t>
        </is>
      </c>
      <c r="L19" s="3" t="inlineStr">
        <is>
          <t>New Deal</t>
        </is>
      </c>
      <c r="M19" s="3" t="n">
        <v>1.49</v>
      </c>
      <c r="N19" s="28" t="n">
        <v>6000</v>
      </c>
      <c r="O19" s="28" t="n">
        <v>840</v>
      </c>
      <c r="P19" s="28" t="n">
        <v>8940</v>
      </c>
      <c r="Q19" s="28" t="n">
        <v>8940</v>
      </c>
      <c r="R19" s="28" t="n">
        <v>0</v>
      </c>
      <c r="S19" s="42" t="n">
        <v>1</v>
      </c>
      <c r="T19" s="3" t="n">
        <v>2.623</v>
      </c>
      <c r="U19" s="3" t="n">
        <v>0</v>
      </c>
      <c r="V19" s="3" t="n"/>
      <c r="W19" s="42" t="n">
        <v>0.0835</v>
      </c>
      <c r="X19" s="23" t="n">
        <v>43739</v>
      </c>
      <c r="Y19" s="3">
        <f>IF(I19="","No SIC",IFERROR(VLOOKUP(I19,Ref!$A$2:$B$65,2,FALSE()),"Unclassified"))</f>
        <v/>
      </c>
      <c r="Z19" s="3">
        <f>IF(T19="","",IF(T19&lt;12,"Daily","Weekly"))</f>
        <v/>
      </c>
      <c r="AA19" s="3">
        <f>IF(T19="",0,IF(T19&lt;12,T19*Controls!$B$13,T19*5))</f>
        <v/>
      </c>
      <c r="AB19" s="3">
        <f>IF(E19="",0,NETWORKDAYS(E19,Controls!$B$20,Ref!$K$2:$K$42))</f>
        <v/>
      </c>
      <c r="AC19" s="3">
        <f>IF(OR(AF19=1,AND(AA19&gt;0,AB19&gt;=Controls!$B$23*AA19)),1,0)</f>
        <v/>
      </c>
      <c r="AD19" s="3">
        <f>IF(AND(E19&lt;&gt;"",E19&gt;=Controls!$B$21,E19&lt;=Controls!$B$22),1,0)</f>
        <v/>
      </c>
      <c r="AE19" s="3">
        <f>IF(IFERROR(VLOOKUP(D19,Controls!$A$36:$E$46,2,FALSE()),"No")="Yes",1,0)</f>
        <v/>
      </c>
      <c r="AF19" s="3">
        <f>IF(IFERROR(VLOOKUP(D19,Controls!$A$36:$E$46,3,FALSE()),"No")="Yes",1,0)</f>
        <v/>
      </c>
      <c r="AG19" s="3">
        <f>IF(IFERROR(VLOOKUP(D19,Controls!$A$36:$E$46,4,FALSE()),"No")="Yes",1,0)</f>
        <v/>
      </c>
      <c r="AH19" s="3">
        <f>IF(IFERROR(VLOOKUP(D19,Controls!$A$36:$E$46,5,FALSE()),"No")="Yes",1,0)</f>
        <v/>
      </c>
      <c r="AI19" s="3">
        <f>IF(ISNUMBER(MATCH(D19,Controls!$A$36:$A$46,0)),1,0)</f>
        <v/>
      </c>
      <c r="AJ19" s="28">
        <f>Q19-N19</f>
        <v/>
      </c>
      <c r="AK19" s="3">
        <f>IF(AE19=1,MAX(0,N19-Q19),0)</f>
        <v/>
      </c>
      <c r="AL19" s="3">
        <f>IF(OR(V19="",V19=0),0,N19/V19)</f>
        <v/>
      </c>
      <c r="AM19" s="3">
        <f>IF(OR(V19="",V19=0),0,1)</f>
        <v/>
      </c>
      <c r="AN19" s="3">
        <f>IF(OR(E19="",F19=""),0,NETWORKDAYS(E19,F19,Ref!$K$2:$K$42))</f>
        <v/>
      </c>
      <c r="AO19" s="3">
        <f>IF(L19="Renewal",1,0)</f>
        <v/>
      </c>
      <c r="AP19" s="3">
        <f>AC19*AD19</f>
        <v/>
      </c>
      <c r="AQ19" s="3">
        <f>IF(AND(G19&lt;&gt;"",'Historical Score'!$C$6&lt;&gt;""),IF(G19='Historical Score'!$C$6,1,0),0)</f>
        <v/>
      </c>
      <c r="AR19" s="3">
        <f>IF(AND(L19&lt;&gt;"",'Historical Score'!$C$5&lt;&gt;""),IF(L19='Historical Score'!$C$5,1,0),0)</f>
        <v/>
      </c>
      <c r="AS19" s="3">
        <f>IF(AND(Y19&lt;&gt;"",'Historical Score'!$C$7&lt;&gt;""),IF(Y19='Historical Score'!$C$7,1,0),0)</f>
        <v/>
      </c>
      <c r="AT19" s="3">
        <f>IF(AND(K19&lt;&gt;"",'Historical Score'!$C$8&lt;&gt;""),IF(K19='Historical Score'!$C$8,1,0),0)</f>
        <v/>
      </c>
      <c r="AU19" s="3" t="n"/>
      <c r="AV19" s="3" t="n"/>
      <c r="AW19" s="3" t="n"/>
      <c r="AX19" s="3" t="n"/>
      <c r="AY19" s="3" t="n"/>
      <c r="AZ19" s="3" t="n"/>
      <c r="BA19" s="182">
        <f>IF(AD19=1,(AR19*'Historical Score'!$K$29+1-'Historical Score'!$K$29)*(AT19*'Historical Score'!$L$29+1-'Historical Score'!$L$29)*(AS19*'Historical Score'!$M$29+1-'Historical Score'!$M$29)*(AQ19*'Historical Score'!$N$29+1-'Historical Score'!$N$29),0)</f>
        <v/>
      </c>
      <c r="BB19" s="3" t="n"/>
      <c r="BC19" s="3" t="n"/>
    </row>
    <row r="20" ht="15" customHeight="1" s="174">
      <c r="A20" s="3" t="inlineStr">
        <is>
          <t>5674149282</t>
        </is>
      </c>
      <c r="B20" s="3" t="inlineStr">
        <is>
          <t>The Garrison</t>
        </is>
      </c>
      <c r="C20" s="3" t="inlineStr">
        <is>
          <t>Garrison Restaurant &amp; cocktail lounge llc</t>
        </is>
      </c>
      <c r="D20" s="3" t="inlineStr">
        <is>
          <t>Closed</t>
        </is>
      </c>
      <c r="E20" s="23" t="n">
        <v>45691</v>
      </c>
      <c r="F20" s="23" t="n">
        <v>45782</v>
      </c>
      <c r="G20" s="3" t="n">
        <v>1</v>
      </c>
      <c r="H20" s="3" t="inlineStr">
        <is>
          <t>5812</t>
        </is>
      </c>
      <c r="I20" s="3" t="inlineStr">
        <is>
          <t>58</t>
        </is>
      </c>
      <c r="J20" s="3" t="inlineStr">
        <is>
          <t>TX</t>
        </is>
      </c>
      <c r="K20" s="3" t="inlineStr">
        <is>
          <t>Platform Funding</t>
        </is>
      </c>
      <c r="L20" s="3" t="inlineStr">
        <is>
          <t>Renewal</t>
        </is>
      </c>
      <c r="M20" s="3" t="n">
        <v>1.35</v>
      </c>
      <c r="N20" s="28" t="n">
        <v>20000</v>
      </c>
      <c r="O20" s="28" t="n">
        <v>1400</v>
      </c>
      <c r="P20" s="28" t="n">
        <v>27000</v>
      </c>
      <c r="Q20" s="28" t="n">
        <v>27000</v>
      </c>
      <c r="R20" s="28" t="n">
        <v>0</v>
      </c>
      <c r="S20" s="42" t="n">
        <v>1</v>
      </c>
      <c r="T20" s="3" t="n">
        <v>2.623</v>
      </c>
      <c r="U20" s="3" t="n">
        <v>26</v>
      </c>
      <c r="V20" s="3" t="n"/>
      <c r="W20" s="42" t="n">
        <v>0.0771</v>
      </c>
      <c r="X20" s="23" t="n">
        <v>44562</v>
      </c>
      <c r="Y20" s="3">
        <f>IF(I20="","No SIC",IFERROR(VLOOKUP(I20,Ref!$A$2:$B$65,2,FALSE()),"Unclassified"))</f>
        <v/>
      </c>
      <c r="Z20" s="3">
        <f>IF(T20="","",IF(T20&lt;12,"Daily","Weekly"))</f>
        <v/>
      </c>
      <c r="AA20" s="3">
        <f>IF(T20="",0,IF(T20&lt;12,T20*Controls!$B$13,T20*5))</f>
        <v/>
      </c>
      <c r="AB20" s="3">
        <f>IF(E20="",0,NETWORKDAYS(E20,Controls!$B$20,Ref!$K$2:$K$42))</f>
        <v/>
      </c>
      <c r="AC20" s="3">
        <f>IF(OR(AF20=1,AND(AA20&gt;0,AB20&gt;=Controls!$B$23*AA20)),1,0)</f>
        <v/>
      </c>
      <c r="AD20" s="3">
        <f>IF(AND(E20&lt;&gt;"",E20&gt;=Controls!$B$21,E20&lt;=Controls!$B$22),1,0)</f>
        <v/>
      </c>
      <c r="AE20" s="3">
        <f>IF(IFERROR(VLOOKUP(D20,Controls!$A$36:$E$46,2,FALSE()),"No")="Yes",1,0)</f>
        <v/>
      </c>
      <c r="AF20" s="3">
        <f>IF(IFERROR(VLOOKUP(D20,Controls!$A$36:$E$46,3,FALSE()),"No")="Yes",1,0)</f>
        <v/>
      </c>
      <c r="AG20" s="3">
        <f>IF(IFERROR(VLOOKUP(D20,Controls!$A$36:$E$46,4,FALSE()),"No")="Yes",1,0)</f>
        <v/>
      </c>
      <c r="AH20" s="3">
        <f>IF(IFERROR(VLOOKUP(D20,Controls!$A$36:$E$46,5,FALSE()),"No")="Yes",1,0)</f>
        <v/>
      </c>
      <c r="AI20" s="3">
        <f>IF(ISNUMBER(MATCH(D20,Controls!$A$36:$A$46,0)),1,0)</f>
        <v/>
      </c>
      <c r="AJ20" s="28">
        <f>Q20-N20</f>
        <v/>
      </c>
      <c r="AK20" s="3">
        <f>IF(AE20=1,MAX(0,N20-Q20),0)</f>
        <v/>
      </c>
      <c r="AL20" s="3">
        <f>IF(OR(V20="",V20=0),0,N20/V20)</f>
        <v/>
      </c>
      <c r="AM20" s="3">
        <f>IF(OR(V20="",V20=0),0,1)</f>
        <v/>
      </c>
      <c r="AN20" s="3">
        <f>IF(OR(E20="",F20=""),0,NETWORKDAYS(E20,F20,Ref!$K$2:$K$42))</f>
        <v/>
      </c>
      <c r="AO20" s="3">
        <f>IF(L20="Renewal",1,0)</f>
        <v/>
      </c>
      <c r="AP20" s="3">
        <f>AC20*AD20</f>
        <v/>
      </c>
      <c r="AQ20" s="3">
        <f>IF(AND(G20&lt;&gt;"",'Historical Score'!$C$6&lt;&gt;""),IF(G20='Historical Score'!$C$6,1,0),0)</f>
        <v/>
      </c>
      <c r="AR20" s="3">
        <f>IF(AND(L20&lt;&gt;"",'Historical Score'!$C$5&lt;&gt;""),IF(L20='Historical Score'!$C$5,1,0),0)</f>
        <v/>
      </c>
      <c r="AS20" s="3">
        <f>IF(AND(Y20&lt;&gt;"",'Historical Score'!$C$7&lt;&gt;""),IF(Y20='Historical Score'!$C$7,1,0),0)</f>
        <v/>
      </c>
      <c r="AT20" s="3">
        <f>IF(AND(K20&lt;&gt;"",'Historical Score'!$C$8&lt;&gt;""),IF(K20='Historical Score'!$C$8,1,0),0)</f>
        <v/>
      </c>
      <c r="AU20" s="3" t="n"/>
      <c r="AV20" s="3" t="n"/>
      <c r="AW20" s="3" t="n"/>
      <c r="AX20" s="3" t="n"/>
      <c r="AY20" s="3" t="n"/>
      <c r="AZ20" s="3" t="n"/>
      <c r="BA20" s="182">
        <f>IF(AD20=1,(AR20*'Historical Score'!$K$29+1-'Historical Score'!$K$29)*(AT20*'Historical Score'!$L$29+1-'Historical Score'!$L$29)*(AS20*'Historical Score'!$M$29+1-'Historical Score'!$M$29)*(AQ20*'Historical Score'!$N$29+1-'Historical Score'!$N$29),0)</f>
        <v/>
      </c>
      <c r="BB20" s="3" t="n"/>
      <c r="BC20" s="3" t="n"/>
    </row>
    <row r="21" ht="15.75" customHeight="1" s="174">
      <c r="A21" s="3" t="inlineStr">
        <is>
          <t>5674149485</t>
        </is>
      </c>
      <c r="B21" s="3" t="inlineStr">
        <is>
          <t>Cloud IX salon</t>
        </is>
      </c>
      <c r="C21" s="3" t="inlineStr">
        <is>
          <t>IX llc</t>
        </is>
      </c>
      <c r="D21" s="3" t="inlineStr">
        <is>
          <t>Closed</t>
        </is>
      </c>
      <c r="E21" s="23" t="n">
        <v>45692</v>
      </c>
      <c r="F21" s="23" t="n">
        <v>45783</v>
      </c>
      <c r="G21" s="3" t="n">
        <v>4</v>
      </c>
      <c r="H21" s="3" t="inlineStr">
        <is>
          <t>7231</t>
        </is>
      </c>
      <c r="I21" s="3" t="inlineStr">
        <is>
          <t>72</t>
        </is>
      </c>
      <c r="J21" s="3" t="inlineStr">
        <is>
          <t>FL</t>
        </is>
      </c>
      <c r="K21" s="3" t="inlineStr">
        <is>
          <t>GREYSTONE</t>
        </is>
      </c>
      <c r="L21" s="3" t="inlineStr">
        <is>
          <t>Renewal</t>
        </is>
      </c>
      <c r="M21" s="3" t="n">
        <v>1.49</v>
      </c>
      <c r="N21" s="28" t="n">
        <v>15000</v>
      </c>
      <c r="O21" s="28" t="n">
        <v>2100</v>
      </c>
      <c r="P21" s="28" t="n">
        <v>22350</v>
      </c>
      <c r="Q21" s="28" t="n">
        <v>22350</v>
      </c>
      <c r="R21" s="28" t="n">
        <v>0</v>
      </c>
      <c r="S21" s="42" t="n">
        <v>1</v>
      </c>
      <c r="T21" s="3" t="n">
        <v>2.459</v>
      </c>
      <c r="U21" s="3" t="n">
        <v>1</v>
      </c>
      <c r="V21" s="3" t="n"/>
      <c r="W21" s="42" t="n">
        <v>0.0553</v>
      </c>
      <c r="X21" s="23" t="n">
        <v>45402</v>
      </c>
      <c r="Y21" s="3">
        <f>IF(I21="","No SIC",IFERROR(VLOOKUP(I21,Ref!$A$2:$B$65,2,FALSE()),"Unclassified"))</f>
        <v/>
      </c>
      <c r="Z21" s="3">
        <f>IF(T21="","",IF(T21&lt;12,"Daily","Weekly"))</f>
        <v/>
      </c>
      <c r="AA21" s="3">
        <f>IF(T21="",0,IF(T21&lt;12,T21*Controls!$B$13,T21*5))</f>
        <v/>
      </c>
      <c r="AB21" s="3">
        <f>IF(E21="",0,NETWORKDAYS(E21,Controls!$B$20,Ref!$K$2:$K$42))</f>
        <v/>
      </c>
      <c r="AC21" s="3">
        <f>IF(OR(AF21=1,AND(AA21&gt;0,AB21&gt;=Controls!$B$23*AA21)),1,0)</f>
        <v/>
      </c>
      <c r="AD21" s="3">
        <f>IF(AND(E21&lt;&gt;"",E21&gt;=Controls!$B$21,E21&lt;=Controls!$B$22),1,0)</f>
        <v/>
      </c>
      <c r="AE21" s="3">
        <f>IF(IFERROR(VLOOKUP(D21,Controls!$A$36:$E$46,2,FALSE()),"No")="Yes",1,0)</f>
        <v/>
      </c>
      <c r="AF21" s="3">
        <f>IF(IFERROR(VLOOKUP(D21,Controls!$A$36:$E$46,3,FALSE()),"No")="Yes",1,0)</f>
        <v/>
      </c>
      <c r="AG21" s="3">
        <f>IF(IFERROR(VLOOKUP(D21,Controls!$A$36:$E$46,4,FALSE()),"No")="Yes",1,0)</f>
        <v/>
      </c>
      <c r="AH21" s="3">
        <f>IF(IFERROR(VLOOKUP(D21,Controls!$A$36:$E$46,5,FALSE()),"No")="Yes",1,0)</f>
        <v/>
      </c>
      <c r="AI21" s="3">
        <f>IF(ISNUMBER(MATCH(D21,Controls!$A$36:$A$46,0)),1,0)</f>
        <v/>
      </c>
      <c r="AJ21" s="28">
        <f>Q21-N21</f>
        <v/>
      </c>
      <c r="AK21" s="3">
        <f>IF(AE21=1,MAX(0,N21-Q21),0)</f>
        <v/>
      </c>
      <c r="AL21" s="3">
        <f>IF(OR(V21="",V21=0),0,N21/V21)</f>
        <v/>
      </c>
      <c r="AM21" s="3">
        <f>IF(OR(V21="",V21=0),0,1)</f>
        <v/>
      </c>
      <c r="AN21" s="3">
        <f>IF(OR(E21="",F21=""),0,NETWORKDAYS(E21,F21,Ref!$K$2:$K$42))</f>
        <v/>
      </c>
      <c r="AO21" s="3">
        <f>IF(L21="Renewal",1,0)</f>
        <v/>
      </c>
      <c r="AP21" s="3">
        <f>AC21*AD21</f>
        <v/>
      </c>
      <c r="AQ21" s="3">
        <f>IF(AND(G21&lt;&gt;"",'Historical Score'!$C$6&lt;&gt;""),IF(G21='Historical Score'!$C$6,1,0),0)</f>
        <v/>
      </c>
      <c r="AR21" s="3">
        <f>IF(AND(L21&lt;&gt;"",'Historical Score'!$C$5&lt;&gt;""),IF(L21='Historical Score'!$C$5,1,0),0)</f>
        <v/>
      </c>
      <c r="AS21" s="3">
        <f>IF(AND(Y21&lt;&gt;"",'Historical Score'!$C$7&lt;&gt;""),IF(Y21='Historical Score'!$C$7,1,0),0)</f>
        <v/>
      </c>
      <c r="AT21" s="3">
        <f>IF(AND(K21&lt;&gt;"",'Historical Score'!$C$8&lt;&gt;""),IF(K21='Historical Score'!$C$8,1,0),0)</f>
        <v/>
      </c>
      <c r="AU21" s="3" t="n"/>
      <c r="AV21" s="3" t="n"/>
      <c r="AW21" s="3" t="n"/>
      <c r="AX21" s="3" t="n"/>
      <c r="AY21" s="3" t="n"/>
      <c r="AZ21" s="3" t="n"/>
      <c r="BA21" s="182">
        <f>IF(AD21=1,(AR21*'Historical Score'!$K$29+1-'Historical Score'!$K$29)*(AT21*'Historical Score'!$L$29+1-'Historical Score'!$L$29)*(AS21*'Historical Score'!$M$29+1-'Historical Score'!$M$29)*(AQ21*'Historical Score'!$N$29+1-'Historical Score'!$N$29),0)</f>
        <v/>
      </c>
      <c r="BB21" s="3" t="n"/>
      <c r="BC21" s="3" t="n"/>
    </row>
    <row r="22" ht="15.75" customHeight="1" s="174">
      <c r="A22" s="3" t="inlineStr">
        <is>
          <t>5674149599</t>
        </is>
      </c>
      <c r="B22" s="3" t="inlineStr">
        <is>
          <t>Robola Pizzeria</t>
        </is>
      </c>
      <c r="C22" s="3" t="inlineStr">
        <is>
          <t>AMC Fair Dealing</t>
        </is>
      </c>
      <c r="D22" s="3" t="inlineStr">
        <is>
          <t>Closed</t>
        </is>
      </c>
      <c r="E22" s="23" t="n">
        <v>45693</v>
      </c>
      <c r="F22" s="23" t="n">
        <v>45798</v>
      </c>
      <c r="G22" s="3" t="n">
        <v>6</v>
      </c>
      <c r="H22" s="3" t="inlineStr">
        <is>
          <t>5812</t>
        </is>
      </c>
      <c r="I22" s="3" t="inlineStr">
        <is>
          <t>58</t>
        </is>
      </c>
      <c r="J22" s="3" t="inlineStr">
        <is>
          <t>PA</t>
        </is>
      </c>
      <c r="K22" s="3" t="inlineStr">
        <is>
          <t>Splash</t>
        </is>
      </c>
      <c r="L22" s="3" t="inlineStr">
        <is>
          <t>Renewal</t>
        </is>
      </c>
      <c r="M22" s="3" t="n">
        <v>1.49</v>
      </c>
      <c r="N22" s="28" t="n">
        <v>5000</v>
      </c>
      <c r="O22" s="28" t="n">
        <v>700</v>
      </c>
      <c r="P22" s="28" t="n">
        <v>7450</v>
      </c>
      <c r="Q22" s="28" t="n">
        <v>7450</v>
      </c>
      <c r="R22" s="28" t="n">
        <v>0</v>
      </c>
      <c r="S22" s="42" t="n">
        <v>1</v>
      </c>
      <c r="T22" s="3" t="n">
        <v>2.459</v>
      </c>
      <c r="U22" s="3" t="n">
        <v>7</v>
      </c>
      <c r="V22" s="3" t="n"/>
      <c r="W22" s="42" t="n">
        <v>0.12</v>
      </c>
      <c r="X22" s="23" t="n">
        <v>41030</v>
      </c>
      <c r="Y22" s="3">
        <f>IF(I22="","No SIC",IFERROR(VLOOKUP(I22,Ref!$A$2:$B$65,2,FALSE()),"Unclassified"))</f>
        <v/>
      </c>
      <c r="Z22" s="3">
        <f>IF(T22="","",IF(T22&lt;12,"Daily","Weekly"))</f>
        <v/>
      </c>
      <c r="AA22" s="3">
        <f>IF(T22="",0,IF(T22&lt;12,T22*Controls!$B$13,T22*5))</f>
        <v/>
      </c>
      <c r="AB22" s="3">
        <f>IF(E22="",0,NETWORKDAYS(E22,Controls!$B$20,Ref!$K$2:$K$42))</f>
        <v/>
      </c>
      <c r="AC22" s="3">
        <f>IF(OR(AF22=1,AND(AA22&gt;0,AB22&gt;=Controls!$B$23*AA22)),1,0)</f>
        <v/>
      </c>
      <c r="AD22" s="3">
        <f>IF(AND(E22&lt;&gt;"",E22&gt;=Controls!$B$21,E22&lt;=Controls!$B$22),1,0)</f>
        <v/>
      </c>
      <c r="AE22" s="3">
        <f>IF(IFERROR(VLOOKUP(D22,Controls!$A$36:$E$46,2,FALSE()),"No")="Yes",1,0)</f>
        <v/>
      </c>
      <c r="AF22" s="3">
        <f>IF(IFERROR(VLOOKUP(D22,Controls!$A$36:$E$46,3,FALSE()),"No")="Yes",1,0)</f>
        <v/>
      </c>
      <c r="AG22" s="3">
        <f>IF(IFERROR(VLOOKUP(D22,Controls!$A$36:$E$46,4,FALSE()),"No")="Yes",1,0)</f>
        <v/>
      </c>
      <c r="AH22" s="3">
        <f>IF(IFERROR(VLOOKUP(D22,Controls!$A$36:$E$46,5,FALSE()),"No")="Yes",1,0)</f>
        <v/>
      </c>
      <c r="AI22" s="3">
        <f>IF(ISNUMBER(MATCH(D22,Controls!$A$36:$A$46,0)),1,0)</f>
        <v/>
      </c>
      <c r="AJ22" s="28">
        <f>Q22-N22</f>
        <v/>
      </c>
      <c r="AK22" s="3">
        <f>IF(AE22=1,MAX(0,N22-Q22),0)</f>
        <v/>
      </c>
      <c r="AL22" s="3">
        <f>IF(OR(V22="",V22=0),0,N22/V22)</f>
        <v/>
      </c>
      <c r="AM22" s="3">
        <f>IF(OR(V22="",V22=0),0,1)</f>
        <v/>
      </c>
      <c r="AN22" s="3">
        <f>IF(OR(E22="",F22=""),0,NETWORKDAYS(E22,F22,Ref!$K$2:$K$42))</f>
        <v/>
      </c>
      <c r="AO22" s="3">
        <f>IF(L22="Renewal",1,0)</f>
        <v/>
      </c>
      <c r="AP22" s="3">
        <f>AC22*AD22</f>
        <v/>
      </c>
      <c r="AQ22" s="3">
        <f>IF(AND(G22&lt;&gt;"",'Historical Score'!$C$6&lt;&gt;""),IF(G22='Historical Score'!$C$6,1,0),0)</f>
        <v/>
      </c>
      <c r="AR22" s="3">
        <f>IF(AND(L22&lt;&gt;"",'Historical Score'!$C$5&lt;&gt;""),IF(L22='Historical Score'!$C$5,1,0),0)</f>
        <v/>
      </c>
      <c r="AS22" s="3">
        <f>IF(AND(Y22&lt;&gt;"",'Historical Score'!$C$7&lt;&gt;""),IF(Y22='Historical Score'!$C$7,1,0),0)</f>
        <v/>
      </c>
      <c r="AT22" s="3">
        <f>IF(AND(K22&lt;&gt;"",'Historical Score'!$C$8&lt;&gt;""),IF(K22='Historical Score'!$C$8,1,0),0)</f>
        <v/>
      </c>
      <c r="AU22" s="3" t="n"/>
      <c r="AV22" s="3" t="n"/>
      <c r="AW22" s="3" t="n"/>
      <c r="AX22" s="3" t="n"/>
      <c r="AY22" s="3" t="n"/>
      <c r="AZ22" s="3" t="n"/>
      <c r="BA22" s="182">
        <f>IF(AD22=1,(AR22*'Historical Score'!$K$29+1-'Historical Score'!$K$29)*(AT22*'Historical Score'!$L$29+1-'Historical Score'!$L$29)*(AS22*'Historical Score'!$M$29+1-'Historical Score'!$M$29)*(AQ22*'Historical Score'!$N$29+1-'Historical Score'!$N$29),0)</f>
        <v/>
      </c>
      <c r="BB22" s="3" t="n"/>
      <c r="BC22" s="3" t="n"/>
    </row>
    <row r="23" ht="15.75" customHeight="1" s="174">
      <c r="A23" s="3" t="inlineStr">
        <is>
          <t>5674150031</t>
        </is>
      </c>
      <c r="B23" s="3" t="inlineStr">
        <is>
          <t>PLLC NA</t>
        </is>
      </c>
      <c r="C23" s="3" t="inlineStr">
        <is>
          <t>Living Tree New Braunfels</t>
        </is>
      </c>
      <c r="D23" s="3" t="inlineStr">
        <is>
          <t>Closed</t>
        </is>
      </c>
      <c r="E23" s="23" t="n">
        <v>45698</v>
      </c>
      <c r="F23" s="23" t="n">
        <v>45775</v>
      </c>
      <c r="G23" s="3" t="n">
        <v>4</v>
      </c>
      <c r="H23" s="3" t="inlineStr">
        <is>
          <t>8322</t>
        </is>
      </c>
      <c r="I23" s="3" t="inlineStr">
        <is>
          <t>83</t>
        </is>
      </c>
      <c r="J23" s="3" t="inlineStr">
        <is>
          <t>TX</t>
        </is>
      </c>
      <c r="K23" s="3" t="inlineStr">
        <is>
          <t>GREYSTONE</t>
        </is>
      </c>
      <c r="L23" s="3" t="inlineStr">
        <is>
          <t>New Deal</t>
        </is>
      </c>
      <c r="M23" s="3" t="n">
        <v>1.49</v>
      </c>
      <c r="N23" s="28" t="n">
        <v>10000</v>
      </c>
      <c r="O23" s="28" t="n">
        <v>1400</v>
      </c>
      <c r="P23" s="28" t="n">
        <v>14900</v>
      </c>
      <c r="Q23" s="28" t="n">
        <v>14900</v>
      </c>
      <c r="R23" s="28" t="n">
        <v>0</v>
      </c>
      <c r="S23" s="42" t="n">
        <v>1</v>
      </c>
      <c r="T23" s="3" t="n">
        <v>1.967</v>
      </c>
      <c r="U23" s="3" t="n">
        <v>0</v>
      </c>
      <c r="V23" s="3" t="n"/>
      <c r="W23" s="42" t="n">
        <v>0.0696</v>
      </c>
      <c r="X23" s="23" t="n">
        <v>43525</v>
      </c>
      <c r="Y23" s="3">
        <f>IF(I23="","No SIC",IFERROR(VLOOKUP(I23,Ref!$A$2:$B$65,2,FALSE()),"Unclassified"))</f>
        <v/>
      </c>
      <c r="Z23" s="3">
        <f>IF(T23="","",IF(T23&lt;12,"Daily","Weekly"))</f>
        <v/>
      </c>
      <c r="AA23" s="3">
        <f>IF(T23="",0,IF(T23&lt;12,T23*Controls!$B$13,T23*5))</f>
        <v/>
      </c>
      <c r="AB23" s="3">
        <f>IF(E23="",0,NETWORKDAYS(E23,Controls!$B$20,Ref!$K$2:$K$42))</f>
        <v/>
      </c>
      <c r="AC23" s="3">
        <f>IF(OR(AF23=1,AND(AA23&gt;0,AB23&gt;=Controls!$B$23*AA23)),1,0)</f>
        <v/>
      </c>
      <c r="AD23" s="3">
        <f>IF(AND(E23&lt;&gt;"",E23&gt;=Controls!$B$21,E23&lt;=Controls!$B$22),1,0)</f>
        <v/>
      </c>
      <c r="AE23" s="3">
        <f>IF(IFERROR(VLOOKUP(D23,Controls!$A$36:$E$46,2,FALSE()),"No")="Yes",1,0)</f>
        <v/>
      </c>
      <c r="AF23" s="3">
        <f>IF(IFERROR(VLOOKUP(D23,Controls!$A$36:$E$46,3,FALSE()),"No")="Yes",1,0)</f>
        <v/>
      </c>
      <c r="AG23" s="3">
        <f>IF(IFERROR(VLOOKUP(D23,Controls!$A$36:$E$46,4,FALSE()),"No")="Yes",1,0)</f>
        <v/>
      </c>
      <c r="AH23" s="3">
        <f>IF(IFERROR(VLOOKUP(D23,Controls!$A$36:$E$46,5,FALSE()),"No")="Yes",1,0)</f>
        <v/>
      </c>
      <c r="AI23" s="3">
        <f>IF(ISNUMBER(MATCH(D23,Controls!$A$36:$A$46,0)),1,0)</f>
        <v/>
      </c>
      <c r="AJ23" s="28">
        <f>Q23-N23</f>
        <v/>
      </c>
      <c r="AK23" s="3">
        <f>IF(AE23=1,MAX(0,N23-Q23),0)</f>
        <v/>
      </c>
      <c r="AL23" s="3">
        <f>IF(OR(V23="",V23=0),0,N23/V23)</f>
        <v/>
      </c>
      <c r="AM23" s="3">
        <f>IF(OR(V23="",V23=0),0,1)</f>
        <v/>
      </c>
      <c r="AN23" s="3">
        <f>IF(OR(E23="",F23=""),0,NETWORKDAYS(E23,F23,Ref!$K$2:$K$42))</f>
        <v/>
      </c>
      <c r="AO23" s="3">
        <f>IF(L23="Renewal",1,0)</f>
        <v/>
      </c>
      <c r="AP23" s="3">
        <f>AC23*AD23</f>
        <v/>
      </c>
      <c r="AQ23" s="3">
        <f>IF(AND(G23&lt;&gt;"",'Historical Score'!$C$6&lt;&gt;""),IF(G23='Historical Score'!$C$6,1,0),0)</f>
        <v/>
      </c>
      <c r="AR23" s="3">
        <f>IF(AND(L23&lt;&gt;"",'Historical Score'!$C$5&lt;&gt;""),IF(L23='Historical Score'!$C$5,1,0),0)</f>
        <v/>
      </c>
      <c r="AS23" s="3">
        <f>IF(AND(Y23&lt;&gt;"",'Historical Score'!$C$7&lt;&gt;""),IF(Y23='Historical Score'!$C$7,1,0),0)</f>
        <v/>
      </c>
      <c r="AT23" s="3">
        <f>IF(AND(K23&lt;&gt;"",'Historical Score'!$C$8&lt;&gt;""),IF(K23='Historical Score'!$C$8,1,0),0)</f>
        <v/>
      </c>
      <c r="AU23" s="3" t="n"/>
      <c r="AV23" s="3" t="n"/>
      <c r="AW23" s="3" t="n"/>
      <c r="AX23" s="3" t="n"/>
      <c r="AY23" s="3" t="n"/>
      <c r="AZ23" s="3" t="n"/>
      <c r="BA23" s="182">
        <f>IF(AD23=1,(AR23*'Historical Score'!$K$29+1-'Historical Score'!$K$29)*(AT23*'Historical Score'!$L$29+1-'Historical Score'!$L$29)*(AS23*'Historical Score'!$M$29+1-'Historical Score'!$M$29)*(AQ23*'Historical Score'!$N$29+1-'Historical Score'!$N$29),0)</f>
        <v/>
      </c>
      <c r="BB23" s="3" t="n"/>
      <c r="BC23" s="3" t="n"/>
    </row>
    <row r="24" ht="15.75" customHeight="1" s="174">
      <c r="A24" s="3" t="inlineStr">
        <is>
          <t>5674150191</t>
        </is>
      </c>
      <c r="B24" s="3" t="inlineStr">
        <is>
          <t>Miranda shine corp</t>
        </is>
      </c>
      <c r="C24" s="3" t="inlineStr">
        <is>
          <t>Miranda shine corp</t>
        </is>
      </c>
      <c r="D24" s="3" t="inlineStr">
        <is>
          <t>Closed</t>
        </is>
      </c>
      <c r="E24" s="23" t="n">
        <v>45700</v>
      </c>
      <c r="F24" s="23" t="n">
        <v>45772</v>
      </c>
      <c r="G24" s="3" t="n">
        <v>1</v>
      </c>
      <c r="H24" s="3" t="inlineStr">
        <is>
          <t>7349</t>
        </is>
      </c>
      <c r="I24" s="3" t="inlineStr">
        <is>
          <t>73</t>
        </is>
      </c>
      <c r="J24" s="3" t="inlineStr">
        <is>
          <t>MA</t>
        </is>
      </c>
      <c r="K24" s="3" t="inlineStr">
        <is>
          <t>Tip Top Capital</t>
        </is>
      </c>
      <c r="L24" s="3" t="inlineStr">
        <is>
          <t>New Deal</t>
        </is>
      </c>
      <c r="M24" s="3" t="n">
        <v>1.499</v>
      </c>
      <c r="N24" s="28" t="n">
        <v>5000</v>
      </c>
      <c r="O24" s="28" t="n">
        <v>700</v>
      </c>
      <c r="P24" s="28" t="n">
        <v>7495</v>
      </c>
      <c r="Q24" s="28" t="n">
        <v>7495</v>
      </c>
      <c r="R24" s="28" t="n">
        <v>9.09494701772928e-13</v>
      </c>
      <c r="S24" s="42" t="n">
        <v>1</v>
      </c>
      <c r="T24" s="3" t="n">
        <v>2.295</v>
      </c>
      <c r="U24" s="3" t="n">
        <v>1</v>
      </c>
      <c r="V24" s="3" t="n"/>
      <c r="W24" s="42" t="n">
        <v>0.05</v>
      </c>
      <c r="X24" s="23" t="n">
        <v>45026</v>
      </c>
      <c r="Y24" s="3">
        <f>IF(I24="","No SIC",IFERROR(VLOOKUP(I24,Ref!$A$2:$B$65,2,FALSE()),"Unclassified"))</f>
        <v/>
      </c>
      <c r="Z24" s="3">
        <f>IF(T24="","",IF(T24&lt;12,"Daily","Weekly"))</f>
        <v/>
      </c>
      <c r="AA24" s="3">
        <f>IF(T24="",0,IF(T24&lt;12,T24*Controls!$B$13,T24*5))</f>
        <v/>
      </c>
      <c r="AB24" s="3">
        <f>IF(E24="",0,NETWORKDAYS(E24,Controls!$B$20,Ref!$K$2:$K$42))</f>
        <v/>
      </c>
      <c r="AC24" s="3">
        <f>IF(OR(AF24=1,AND(AA24&gt;0,AB24&gt;=Controls!$B$23*AA24)),1,0)</f>
        <v/>
      </c>
      <c r="AD24" s="3">
        <f>IF(AND(E24&lt;&gt;"",E24&gt;=Controls!$B$21,E24&lt;=Controls!$B$22),1,0)</f>
        <v/>
      </c>
      <c r="AE24" s="3">
        <f>IF(IFERROR(VLOOKUP(D24,Controls!$A$36:$E$46,2,FALSE()),"No")="Yes",1,0)</f>
        <v/>
      </c>
      <c r="AF24" s="3">
        <f>IF(IFERROR(VLOOKUP(D24,Controls!$A$36:$E$46,3,FALSE()),"No")="Yes",1,0)</f>
        <v/>
      </c>
      <c r="AG24" s="3">
        <f>IF(IFERROR(VLOOKUP(D24,Controls!$A$36:$E$46,4,FALSE()),"No")="Yes",1,0)</f>
        <v/>
      </c>
      <c r="AH24" s="3">
        <f>IF(IFERROR(VLOOKUP(D24,Controls!$A$36:$E$46,5,FALSE()),"No")="Yes",1,0)</f>
        <v/>
      </c>
      <c r="AI24" s="3">
        <f>IF(ISNUMBER(MATCH(D24,Controls!$A$36:$A$46,0)),1,0)</f>
        <v/>
      </c>
      <c r="AJ24" s="28">
        <f>Q24-N24</f>
        <v/>
      </c>
      <c r="AK24" s="3">
        <f>IF(AE24=1,MAX(0,N24-Q24),0)</f>
        <v/>
      </c>
      <c r="AL24" s="3">
        <f>IF(OR(V24="",V24=0),0,N24/V24)</f>
        <v/>
      </c>
      <c r="AM24" s="3">
        <f>IF(OR(V24="",V24=0),0,1)</f>
        <v/>
      </c>
      <c r="AN24" s="3">
        <f>IF(OR(E24="",F24=""),0,NETWORKDAYS(E24,F24,Ref!$K$2:$K$42))</f>
        <v/>
      </c>
      <c r="AO24" s="3">
        <f>IF(L24="Renewal",1,0)</f>
        <v/>
      </c>
      <c r="AP24" s="3">
        <f>AC24*AD24</f>
        <v/>
      </c>
      <c r="AQ24" s="3">
        <f>IF(AND(G24&lt;&gt;"",'Historical Score'!$C$6&lt;&gt;""),IF(G24='Historical Score'!$C$6,1,0),0)</f>
        <v/>
      </c>
      <c r="AR24" s="3">
        <f>IF(AND(L24&lt;&gt;"",'Historical Score'!$C$5&lt;&gt;""),IF(L24='Historical Score'!$C$5,1,0),0)</f>
        <v/>
      </c>
      <c r="AS24" s="3">
        <f>IF(AND(Y24&lt;&gt;"",'Historical Score'!$C$7&lt;&gt;""),IF(Y24='Historical Score'!$C$7,1,0),0)</f>
        <v/>
      </c>
      <c r="AT24" s="3">
        <f>IF(AND(K24&lt;&gt;"",'Historical Score'!$C$8&lt;&gt;""),IF(K24='Historical Score'!$C$8,1,0),0)</f>
        <v/>
      </c>
      <c r="AU24" s="3" t="n"/>
      <c r="AV24" s="3" t="n"/>
      <c r="AW24" s="3" t="n"/>
      <c r="AX24" s="3" t="n"/>
      <c r="AY24" s="3" t="n"/>
      <c r="AZ24" s="3" t="n"/>
      <c r="BA24" s="182">
        <f>IF(AD24=1,(AR24*'Historical Score'!$K$29+1-'Historical Score'!$K$29)*(AT24*'Historical Score'!$L$29+1-'Historical Score'!$L$29)*(AS24*'Historical Score'!$M$29+1-'Historical Score'!$M$29)*(AQ24*'Historical Score'!$N$29+1-'Historical Score'!$N$29),0)</f>
        <v/>
      </c>
      <c r="BB24" s="3" t="n"/>
      <c r="BC24" s="3" t="n"/>
    </row>
    <row r="25" ht="15.75" customHeight="1" s="174">
      <c r="A25" s="3" t="inlineStr">
        <is>
          <t>5674150528</t>
        </is>
      </c>
      <c r="B25" s="3" t="inlineStr">
        <is>
          <t>Concrete Design Solutions</t>
        </is>
      </c>
      <c r="C25" s="3" t="inlineStr">
        <is>
          <t>Concrete Design Solutions</t>
        </is>
      </c>
      <c r="D25" s="3" t="inlineStr">
        <is>
          <t>Legal</t>
        </is>
      </c>
      <c r="E25" s="23" t="n">
        <v>45702</v>
      </c>
      <c r="F25" s="23" t="n">
        <v>45820</v>
      </c>
      <c r="G25" s="3" t="n">
        <v>3</v>
      </c>
      <c r="H25" s="3" t="inlineStr">
        <is>
          <t>1611</t>
        </is>
      </c>
      <c r="I25" s="3" t="inlineStr">
        <is>
          <t>16</t>
        </is>
      </c>
      <c r="J25" s="3" t="inlineStr">
        <is>
          <t>LA</t>
        </is>
      </c>
      <c r="K25" s="3" t="inlineStr">
        <is>
          <t>Splash</t>
        </is>
      </c>
      <c r="L25" s="3" t="inlineStr">
        <is>
          <t>Renewal</t>
        </is>
      </c>
      <c r="M25" s="3" t="n">
        <v>1.49</v>
      </c>
      <c r="N25" s="28" t="n">
        <v>22500</v>
      </c>
      <c r="O25" s="28" t="n">
        <v>3150</v>
      </c>
      <c r="P25" s="28" t="n">
        <v>33525</v>
      </c>
      <c r="Q25" s="28" t="n">
        <v>3924.41</v>
      </c>
      <c r="R25" s="28" t="n">
        <v>29600.59</v>
      </c>
      <c r="S25" s="42" t="n">
        <v>0.117059209545116</v>
      </c>
      <c r="T25" s="3" t="n">
        <v>28</v>
      </c>
      <c r="U25" s="3" t="n">
        <v>4</v>
      </c>
      <c r="V25" s="3" t="n"/>
      <c r="W25" s="42" t="n">
        <v>0.1251</v>
      </c>
      <c r="X25" s="23" t="n">
        <v>39932</v>
      </c>
      <c r="Y25" s="3">
        <f>IF(I25="","No SIC",IFERROR(VLOOKUP(I25,Ref!$A$2:$B$65,2,FALSE()),"Unclassified"))</f>
        <v/>
      </c>
      <c r="Z25" s="3">
        <f>IF(T25="","",IF(T25&lt;12,"Daily","Weekly"))</f>
        <v/>
      </c>
      <c r="AA25" s="3">
        <f>IF(T25="",0,IF(T25&lt;12,T25*Controls!$B$13,T25*5))</f>
        <v/>
      </c>
      <c r="AB25" s="3">
        <f>IF(E25="",0,NETWORKDAYS(E25,Controls!$B$20,Ref!$K$2:$K$42))</f>
        <v/>
      </c>
      <c r="AC25" s="3">
        <f>IF(OR(AF25=1,AND(AA25&gt;0,AB25&gt;=Controls!$B$23*AA25)),1,0)</f>
        <v/>
      </c>
      <c r="AD25" s="3">
        <f>IF(AND(E25&lt;&gt;"",E25&gt;=Controls!$B$21,E25&lt;=Controls!$B$22),1,0)</f>
        <v/>
      </c>
      <c r="AE25" s="3">
        <f>IF(IFERROR(VLOOKUP(D25,Controls!$A$36:$E$46,2,FALSE()),"No")="Yes",1,0)</f>
        <v/>
      </c>
      <c r="AF25" s="3">
        <f>IF(IFERROR(VLOOKUP(D25,Controls!$A$36:$E$46,3,FALSE()),"No")="Yes",1,0)</f>
        <v/>
      </c>
      <c r="AG25" s="3">
        <f>IF(IFERROR(VLOOKUP(D25,Controls!$A$36:$E$46,4,FALSE()),"No")="Yes",1,0)</f>
        <v/>
      </c>
      <c r="AH25" s="3">
        <f>IF(IFERROR(VLOOKUP(D25,Controls!$A$36:$E$46,5,FALSE()),"No")="Yes",1,0)</f>
        <v/>
      </c>
      <c r="AI25" s="3">
        <f>IF(ISNUMBER(MATCH(D25,Controls!$A$36:$A$46,0)),1,0)</f>
        <v/>
      </c>
      <c r="AJ25" s="28">
        <f>Q25-N25</f>
        <v/>
      </c>
      <c r="AK25" s="3">
        <f>IF(AE25=1,MAX(0,N25-Q25),0)</f>
        <v/>
      </c>
      <c r="AL25" s="3">
        <f>IF(OR(V25="",V25=0),0,N25/V25)</f>
        <v/>
      </c>
      <c r="AM25" s="3">
        <f>IF(OR(V25="",V25=0),0,1)</f>
        <v/>
      </c>
      <c r="AN25" s="3">
        <f>IF(OR(E25="",F25=""),0,NETWORKDAYS(E25,F25,Ref!$K$2:$K$42))</f>
        <v/>
      </c>
      <c r="AO25" s="3">
        <f>IF(L25="Renewal",1,0)</f>
        <v/>
      </c>
      <c r="AP25" s="3">
        <f>AC25*AD25</f>
        <v/>
      </c>
      <c r="AQ25" s="3">
        <f>IF(AND(G25&lt;&gt;"",'Historical Score'!$C$6&lt;&gt;""),IF(G25='Historical Score'!$C$6,1,0),0)</f>
        <v/>
      </c>
      <c r="AR25" s="3">
        <f>IF(AND(L25&lt;&gt;"",'Historical Score'!$C$5&lt;&gt;""),IF(L25='Historical Score'!$C$5,1,0),0)</f>
        <v/>
      </c>
      <c r="AS25" s="3">
        <f>IF(AND(Y25&lt;&gt;"",'Historical Score'!$C$7&lt;&gt;""),IF(Y25='Historical Score'!$C$7,1,0),0)</f>
        <v/>
      </c>
      <c r="AT25" s="3">
        <f>IF(AND(K25&lt;&gt;"",'Historical Score'!$C$8&lt;&gt;""),IF(K25='Historical Score'!$C$8,1,0),0)</f>
        <v/>
      </c>
      <c r="AU25" s="3" t="n"/>
      <c r="AV25" s="3" t="n"/>
      <c r="AW25" s="3" t="n"/>
      <c r="AX25" s="3" t="n"/>
      <c r="AY25" s="3" t="n"/>
      <c r="AZ25" s="3" t="n"/>
      <c r="BA25" s="182">
        <f>IF(AD25=1,(AR25*'Historical Score'!$K$29+1-'Historical Score'!$K$29)*(AT25*'Historical Score'!$L$29+1-'Historical Score'!$L$29)*(AS25*'Historical Score'!$M$29+1-'Historical Score'!$M$29)*(AQ25*'Historical Score'!$N$29+1-'Historical Score'!$N$29),0)</f>
        <v/>
      </c>
      <c r="BB25" s="3" t="n"/>
      <c r="BC25" s="3" t="n"/>
    </row>
    <row r="26" ht="15.75" customHeight="1" s="174">
      <c r="A26" s="3" t="inlineStr">
        <is>
          <t>5674150533</t>
        </is>
      </c>
      <c r="B26" s="3" t="inlineStr">
        <is>
          <t>SIMPLY BEDLINERS &amp; MINOR AUTO BODY REPAIR</t>
        </is>
      </c>
      <c r="C26" s="3" t="inlineStr">
        <is>
          <t>SIMPLY BEDLINERS &amp; MINOR AUTO BODY REPAIR L.L.P.</t>
        </is>
      </c>
      <c r="D26" s="3" t="inlineStr">
        <is>
          <t>Legal</t>
        </is>
      </c>
      <c r="E26" s="23" t="n">
        <v>45702</v>
      </c>
      <c r="F26" s="23" t="n">
        <v>45735</v>
      </c>
      <c r="G26" s="3" t="n">
        <v>4</v>
      </c>
      <c r="H26" s="3" t="inlineStr">
        <is>
          <t>7532</t>
        </is>
      </c>
      <c r="I26" s="3" t="inlineStr">
        <is>
          <t>75</t>
        </is>
      </c>
      <c r="J26" s="3" t="inlineStr">
        <is>
          <t>AZ</t>
        </is>
      </c>
      <c r="K26" s="3" t="inlineStr">
        <is>
          <t>The Funding Channel</t>
        </is>
      </c>
      <c r="L26" s="3" t="inlineStr">
        <is>
          <t>Renewal</t>
        </is>
      </c>
      <c r="M26" s="3" t="n">
        <v>1.49</v>
      </c>
      <c r="N26" s="28" t="n">
        <v>20000</v>
      </c>
      <c r="O26" s="28" t="n">
        <v>2800</v>
      </c>
      <c r="P26" s="28" t="n">
        <v>29800</v>
      </c>
      <c r="Q26" s="28" t="n">
        <v>5962.36</v>
      </c>
      <c r="R26" s="28" t="n">
        <v>23837.64</v>
      </c>
      <c r="S26" s="42" t="n">
        <v>0.200079194630873</v>
      </c>
      <c r="T26" s="3" t="n">
        <v>20</v>
      </c>
      <c r="U26" s="3" t="n">
        <v>1</v>
      </c>
      <c r="V26" s="3" t="n"/>
      <c r="W26" s="42" t="n">
        <v>0.0964</v>
      </c>
      <c r="X26" s="23" t="n">
        <v>43617</v>
      </c>
      <c r="Y26" s="3">
        <f>IF(I26="","No SIC",IFERROR(VLOOKUP(I26,Ref!$A$2:$B$65,2,FALSE()),"Unclassified"))</f>
        <v/>
      </c>
      <c r="Z26" s="3">
        <f>IF(T26="","",IF(T26&lt;12,"Daily","Weekly"))</f>
        <v/>
      </c>
      <c r="AA26" s="3">
        <f>IF(T26="",0,IF(T26&lt;12,T26*Controls!$B$13,T26*5))</f>
        <v/>
      </c>
      <c r="AB26" s="3">
        <f>IF(E26="",0,NETWORKDAYS(E26,Controls!$B$20,Ref!$K$2:$K$42))</f>
        <v/>
      </c>
      <c r="AC26" s="3">
        <f>IF(OR(AF26=1,AND(AA26&gt;0,AB26&gt;=Controls!$B$23*AA26)),1,0)</f>
        <v/>
      </c>
      <c r="AD26" s="3">
        <f>IF(AND(E26&lt;&gt;"",E26&gt;=Controls!$B$21,E26&lt;=Controls!$B$22),1,0)</f>
        <v/>
      </c>
      <c r="AE26" s="3">
        <f>IF(IFERROR(VLOOKUP(D26,Controls!$A$36:$E$46,2,FALSE()),"No")="Yes",1,0)</f>
        <v/>
      </c>
      <c r="AF26" s="3">
        <f>IF(IFERROR(VLOOKUP(D26,Controls!$A$36:$E$46,3,FALSE()),"No")="Yes",1,0)</f>
        <v/>
      </c>
      <c r="AG26" s="3">
        <f>IF(IFERROR(VLOOKUP(D26,Controls!$A$36:$E$46,4,FALSE()),"No")="Yes",1,0)</f>
        <v/>
      </c>
      <c r="AH26" s="3">
        <f>IF(IFERROR(VLOOKUP(D26,Controls!$A$36:$E$46,5,FALSE()),"No")="Yes",1,0)</f>
        <v/>
      </c>
      <c r="AI26" s="3">
        <f>IF(ISNUMBER(MATCH(D26,Controls!$A$36:$A$46,0)),1,0)</f>
        <v/>
      </c>
      <c r="AJ26" s="28">
        <f>Q26-N26</f>
        <v/>
      </c>
      <c r="AK26" s="3">
        <f>IF(AE26=1,MAX(0,N26-Q26),0)</f>
        <v/>
      </c>
      <c r="AL26" s="3">
        <f>IF(OR(V26="",V26=0),0,N26/V26)</f>
        <v/>
      </c>
      <c r="AM26" s="3">
        <f>IF(OR(V26="",V26=0),0,1)</f>
        <v/>
      </c>
      <c r="AN26" s="3">
        <f>IF(OR(E26="",F26=""),0,NETWORKDAYS(E26,F26,Ref!$K$2:$K$42))</f>
        <v/>
      </c>
      <c r="AO26" s="3">
        <f>IF(L26="Renewal",1,0)</f>
        <v/>
      </c>
      <c r="AP26" s="3">
        <f>AC26*AD26</f>
        <v/>
      </c>
      <c r="AQ26" s="3">
        <f>IF(AND(G26&lt;&gt;"",'Historical Score'!$C$6&lt;&gt;""),IF(G26='Historical Score'!$C$6,1,0),0)</f>
        <v/>
      </c>
      <c r="AR26" s="3">
        <f>IF(AND(L26&lt;&gt;"",'Historical Score'!$C$5&lt;&gt;""),IF(L26='Historical Score'!$C$5,1,0),0)</f>
        <v/>
      </c>
      <c r="AS26" s="3">
        <f>IF(AND(Y26&lt;&gt;"",'Historical Score'!$C$7&lt;&gt;""),IF(Y26='Historical Score'!$C$7,1,0),0)</f>
        <v/>
      </c>
      <c r="AT26" s="3">
        <f>IF(AND(K26&lt;&gt;"",'Historical Score'!$C$8&lt;&gt;""),IF(K26='Historical Score'!$C$8,1,0),0)</f>
        <v/>
      </c>
      <c r="AU26" s="3" t="n"/>
      <c r="AV26" s="3" t="n"/>
      <c r="AW26" s="3" t="n"/>
      <c r="AX26" s="3" t="n"/>
      <c r="AY26" s="3" t="n"/>
      <c r="AZ26" s="3" t="n"/>
      <c r="BA26" s="182">
        <f>IF(AD26=1,(AR26*'Historical Score'!$K$29+1-'Historical Score'!$K$29)*(AT26*'Historical Score'!$L$29+1-'Historical Score'!$L$29)*(AS26*'Historical Score'!$M$29+1-'Historical Score'!$M$29)*(AQ26*'Historical Score'!$N$29+1-'Historical Score'!$N$29),0)</f>
        <v/>
      </c>
      <c r="BB26" s="3" t="n"/>
      <c r="BC26" s="3" t="n"/>
    </row>
    <row r="27" ht="15.75" customHeight="1" s="174">
      <c r="A27" s="3" t="inlineStr">
        <is>
          <t>5674150572</t>
        </is>
      </c>
      <c r="B27" s="3" t="inlineStr">
        <is>
          <t>B &amp; G Trucking LLC</t>
        </is>
      </c>
      <c r="C27" s="3" t="inlineStr">
        <is>
          <t>B &amp; G Trucking LLC</t>
        </is>
      </c>
      <c r="D27" s="3" t="inlineStr">
        <is>
          <t>Legal</t>
        </is>
      </c>
      <c r="E27" s="23" t="n">
        <v>45702</v>
      </c>
      <c r="F27" s="23" t="n">
        <v>45715</v>
      </c>
      <c r="G27" s="3" t="n">
        <v>3</v>
      </c>
      <c r="H27" s="3" t="inlineStr">
        <is>
          <t>4212</t>
        </is>
      </c>
      <c r="I27" s="3" t="inlineStr">
        <is>
          <t>42</t>
        </is>
      </c>
      <c r="J27" s="3" t="inlineStr">
        <is>
          <t>IL</t>
        </is>
      </c>
      <c r="K27" s="3" t="inlineStr">
        <is>
          <t>Tip Top Capital</t>
        </is>
      </c>
      <c r="L27" s="3" t="inlineStr">
        <is>
          <t>New Deal</t>
        </is>
      </c>
      <c r="M27" s="3" t="n">
        <v>1.35</v>
      </c>
      <c r="N27" s="28" t="n">
        <v>10000</v>
      </c>
      <c r="O27" s="28" t="n">
        <v>0</v>
      </c>
      <c r="P27" s="28" t="n">
        <v>13500</v>
      </c>
      <c r="Q27" s="28" t="n">
        <v>843.2</v>
      </c>
      <c r="R27" s="28" t="n">
        <v>12656.8</v>
      </c>
      <c r="S27" s="42" t="n">
        <v>0.0624592592592593</v>
      </c>
      <c r="T27" s="3" t="n">
        <v>2.623</v>
      </c>
      <c r="U27" s="3" t="n">
        <v>3</v>
      </c>
      <c r="V27" s="3" t="n"/>
      <c r="W27" s="42" t="n">
        <v>0.0689</v>
      </c>
      <c r="X27" s="23" t="n">
        <v>43894</v>
      </c>
      <c r="Y27" s="3">
        <f>IF(I27="","No SIC",IFERROR(VLOOKUP(I27,Ref!$A$2:$B$65,2,FALSE()),"Unclassified"))</f>
        <v/>
      </c>
      <c r="Z27" s="3">
        <f>IF(T27="","",IF(T27&lt;12,"Daily","Weekly"))</f>
        <v/>
      </c>
      <c r="AA27" s="3">
        <f>IF(T27="",0,IF(T27&lt;12,T27*Controls!$B$13,T27*5))</f>
        <v/>
      </c>
      <c r="AB27" s="3">
        <f>IF(E27="",0,NETWORKDAYS(E27,Controls!$B$20,Ref!$K$2:$K$42))</f>
        <v/>
      </c>
      <c r="AC27" s="3">
        <f>IF(OR(AF27=1,AND(AA27&gt;0,AB27&gt;=Controls!$B$23*AA27)),1,0)</f>
        <v/>
      </c>
      <c r="AD27" s="3">
        <f>IF(AND(E27&lt;&gt;"",E27&gt;=Controls!$B$21,E27&lt;=Controls!$B$22),1,0)</f>
        <v/>
      </c>
      <c r="AE27" s="3">
        <f>IF(IFERROR(VLOOKUP(D27,Controls!$A$36:$E$46,2,FALSE()),"No")="Yes",1,0)</f>
        <v/>
      </c>
      <c r="AF27" s="3">
        <f>IF(IFERROR(VLOOKUP(D27,Controls!$A$36:$E$46,3,FALSE()),"No")="Yes",1,0)</f>
        <v/>
      </c>
      <c r="AG27" s="3">
        <f>IF(IFERROR(VLOOKUP(D27,Controls!$A$36:$E$46,4,FALSE()),"No")="Yes",1,0)</f>
        <v/>
      </c>
      <c r="AH27" s="3">
        <f>IF(IFERROR(VLOOKUP(D27,Controls!$A$36:$E$46,5,FALSE()),"No")="Yes",1,0)</f>
        <v/>
      </c>
      <c r="AI27" s="3">
        <f>IF(ISNUMBER(MATCH(D27,Controls!$A$36:$A$46,0)),1,0)</f>
        <v/>
      </c>
      <c r="AJ27" s="28">
        <f>Q27-N27</f>
        <v/>
      </c>
      <c r="AK27" s="3">
        <f>IF(AE27=1,MAX(0,N27-Q27),0)</f>
        <v/>
      </c>
      <c r="AL27" s="3">
        <f>IF(OR(V27="",V27=0),0,N27/V27)</f>
        <v/>
      </c>
      <c r="AM27" s="3">
        <f>IF(OR(V27="",V27=0),0,1)</f>
        <v/>
      </c>
      <c r="AN27" s="3">
        <f>IF(OR(E27="",F27=""),0,NETWORKDAYS(E27,F27,Ref!$K$2:$K$42))</f>
        <v/>
      </c>
      <c r="AO27" s="3">
        <f>IF(L27="Renewal",1,0)</f>
        <v/>
      </c>
      <c r="AP27" s="3">
        <f>AC27*AD27</f>
        <v/>
      </c>
      <c r="AQ27" s="3">
        <f>IF(AND(G27&lt;&gt;"",'Historical Score'!$C$6&lt;&gt;""),IF(G27='Historical Score'!$C$6,1,0),0)</f>
        <v/>
      </c>
      <c r="AR27" s="3">
        <f>IF(AND(L27&lt;&gt;"",'Historical Score'!$C$5&lt;&gt;""),IF(L27='Historical Score'!$C$5,1,0),0)</f>
        <v/>
      </c>
      <c r="AS27" s="3">
        <f>IF(AND(Y27&lt;&gt;"",'Historical Score'!$C$7&lt;&gt;""),IF(Y27='Historical Score'!$C$7,1,0),0)</f>
        <v/>
      </c>
      <c r="AT27" s="3">
        <f>IF(AND(K27&lt;&gt;"",'Historical Score'!$C$8&lt;&gt;""),IF(K27='Historical Score'!$C$8,1,0),0)</f>
        <v/>
      </c>
      <c r="AU27" s="3" t="n"/>
      <c r="AV27" s="3" t="n"/>
      <c r="AW27" s="3" t="n"/>
      <c r="AX27" s="3" t="n"/>
      <c r="AY27" s="3" t="n"/>
      <c r="AZ27" s="3" t="n"/>
      <c r="BA27" s="182">
        <f>IF(AD27=1,(AR27*'Historical Score'!$K$29+1-'Historical Score'!$K$29)*(AT27*'Historical Score'!$L$29+1-'Historical Score'!$L$29)*(AS27*'Historical Score'!$M$29+1-'Historical Score'!$M$29)*(AQ27*'Historical Score'!$N$29+1-'Historical Score'!$N$29),0)</f>
        <v/>
      </c>
      <c r="BB27" s="3" t="n"/>
      <c r="BC27" s="3" t="n"/>
    </row>
    <row r="28" ht="15.75" customHeight="1" s="174">
      <c r="A28" s="3" t="inlineStr">
        <is>
          <t>5674150646</t>
        </is>
      </c>
      <c r="B28" s="3" t="inlineStr">
        <is>
          <t>DY GARAGE DOORS</t>
        </is>
      </c>
      <c r="C28" s="3" t="inlineStr">
        <is>
          <t>DY GARAGE DOORS LLC</t>
        </is>
      </c>
      <c r="D28" s="3" t="inlineStr">
        <is>
          <t>Legal</t>
        </is>
      </c>
      <c r="E28" s="23" t="n">
        <v>45705</v>
      </c>
      <c r="F28" s="23" t="n">
        <v>45726</v>
      </c>
      <c r="G28" s="3" t="n">
        <v>6</v>
      </c>
      <c r="H28" s="3" t="inlineStr">
        <is>
          <t>1751</t>
        </is>
      </c>
      <c r="I28" s="3" t="inlineStr">
        <is>
          <t>17</t>
        </is>
      </c>
      <c r="J28" s="3" t="inlineStr">
        <is>
          <t>FL</t>
        </is>
      </c>
      <c r="K28" s="3" t="inlineStr">
        <is>
          <t>Tip Top Capital</t>
        </is>
      </c>
      <c r="L28" s="3" t="inlineStr">
        <is>
          <t>New Deal</t>
        </is>
      </c>
      <c r="M28" s="3" t="n">
        <v>1.49</v>
      </c>
      <c r="N28" s="28" t="n">
        <v>12000</v>
      </c>
      <c r="O28" s="28" t="n">
        <v>1440</v>
      </c>
      <c r="P28" s="28" t="n">
        <v>17880</v>
      </c>
      <c r="Q28" s="28" t="n">
        <v>2295</v>
      </c>
      <c r="R28" s="28" t="n">
        <v>15585</v>
      </c>
      <c r="S28" s="42" t="n">
        <v>0.128355704697987</v>
      </c>
      <c r="T28" s="3" t="n">
        <v>2.296</v>
      </c>
      <c r="U28" s="3" t="n">
        <v>5</v>
      </c>
      <c r="V28" s="3" t="n"/>
      <c r="W28" s="42" t="n">
        <v>0.0493</v>
      </c>
      <c r="X28" s="23" t="n">
        <v>43069</v>
      </c>
      <c r="Y28" s="3">
        <f>IF(I28="","No SIC",IFERROR(VLOOKUP(I28,Ref!$A$2:$B$65,2,FALSE()),"Unclassified"))</f>
        <v/>
      </c>
      <c r="Z28" s="3">
        <f>IF(T28="","",IF(T28&lt;12,"Daily","Weekly"))</f>
        <v/>
      </c>
      <c r="AA28" s="3">
        <f>IF(T28="",0,IF(T28&lt;12,T28*Controls!$B$13,T28*5))</f>
        <v/>
      </c>
      <c r="AB28" s="3">
        <f>IF(E28="",0,NETWORKDAYS(E28,Controls!$B$20,Ref!$K$2:$K$42))</f>
        <v/>
      </c>
      <c r="AC28" s="3">
        <f>IF(OR(AF28=1,AND(AA28&gt;0,AB28&gt;=Controls!$B$23*AA28)),1,0)</f>
        <v/>
      </c>
      <c r="AD28" s="3">
        <f>IF(AND(E28&lt;&gt;"",E28&gt;=Controls!$B$21,E28&lt;=Controls!$B$22),1,0)</f>
        <v/>
      </c>
      <c r="AE28" s="3">
        <f>IF(IFERROR(VLOOKUP(D28,Controls!$A$36:$E$46,2,FALSE()),"No")="Yes",1,0)</f>
        <v/>
      </c>
      <c r="AF28" s="3">
        <f>IF(IFERROR(VLOOKUP(D28,Controls!$A$36:$E$46,3,FALSE()),"No")="Yes",1,0)</f>
        <v/>
      </c>
      <c r="AG28" s="3">
        <f>IF(IFERROR(VLOOKUP(D28,Controls!$A$36:$E$46,4,FALSE()),"No")="Yes",1,0)</f>
        <v/>
      </c>
      <c r="AH28" s="3">
        <f>IF(IFERROR(VLOOKUP(D28,Controls!$A$36:$E$46,5,FALSE()),"No")="Yes",1,0)</f>
        <v/>
      </c>
      <c r="AI28" s="3">
        <f>IF(ISNUMBER(MATCH(D28,Controls!$A$36:$A$46,0)),1,0)</f>
        <v/>
      </c>
      <c r="AJ28" s="28">
        <f>Q28-N28</f>
        <v/>
      </c>
      <c r="AK28" s="3">
        <f>IF(AE28=1,MAX(0,N28-Q28),0)</f>
        <v/>
      </c>
      <c r="AL28" s="3">
        <f>IF(OR(V28="",V28=0),0,N28/V28)</f>
        <v/>
      </c>
      <c r="AM28" s="3">
        <f>IF(OR(V28="",V28=0),0,1)</f>
        <v/>
      </c>
      <c r="AN28" s="3">
        <f>IF(OR(E28="",F28=""),0,NETWORKDAYS(E28,F28,Ref!$K$2:$K$42))</f>
        <v/>
      </c>
      <c r="AO28" s="3">
        <f>IF(L28="Renewal",1,0)</f>
        <v/>
      </c>
      <c r="AP28" s="3">
        <f>AC28*AD28</f>
        <v/>
      </c>
      <c r="AQ28" s="3">
        <f>IF(AND(G28&lt;&gt;"",'Historical Score'!$C$6&lt;&gt;""),IF(G28='Historical Score'!$C$6,1,0),0)</f>
        <v/>
      </c>
      <c r="AR28" s="3">
        <f>IF(AND(L28&lt;&gt;"",'Historical Score'!$C$5&lt;&gt;""),IF(L28='Historical Score'!$C$5,1,0),0)</f>
        <v/>
      </c>
      <c r="AS28" s="3">
        <f>IF(AND(Y28&lt;&gt;"",'Historical Score'!$C$7&lt;&gt;""),IF(Y28='Historical Score'!$C$7,1,0),0)</f>
        <v/>
      </c>
      <c r="AT28" s="3">
        <f>IF(AND(K28&lt;&gt;"",'Historical Score'!$C$8&lt;&gt;""),IF(K28='Historical Score'!$C$8,1,0),0)</f>
        <v/>
      </c>
      <c r="AU28" s="3" t="n"/>
      <c r="AV28" s="3" t="n"/>
      <c r="AW28" s="3" t="n"/>
      <c r="AX28" s="3" t="n"/>
      <c r="AY28" s="3" t="n"/>
      <c r="AZ28" s="3" t="n"/>
      <c r="BA28" s="182">
        <f>IF(AD28=1,(AR28*'Historical Score'!$K$29+1-'Historical Score'!$K$29)*(AT28*'Historical Score'!$L$29+1-'Historical Score'!$L$29)*(AS28*'Historical Score'!$M$29+1-'Historical Score'!$M$29)*(AQ28*'Historical Score'!$N$29+1-'Historical Score'!$N$29),0)</f>
        <v/>
      </c>
      <c r="BB28" s="3" t="n"/>
      <c r="BC28" s="3" t="n"/>
    </row>
    <row r="29" ht="15.75" customHeight="1" s="174">
      <c r="A29" s="3" t="inlineStr">
        <is>
          <t>5674150664</t>
        </is>
      </c>
      <c r="B29" s="3" t="inlineStr">
        <is>
          <t>Wyatts Feed and Seed</t>
        </is>
      </c>
      <c r="C29" s="3" t="inlineStr">
        <is>
          <t>Wyatts Feed and Seed</t>
        </is>
      </c>
      <c r="D29" s="3" t="inlineStr">
        <is>
          <t>Legal</t>
        </is>
      </c>
      <c r="E29" s="23" t="n">
        <v>45706</v>
      </c>
      <c r="F29" s="23" t="n">
        <v>45812</v>
      </c>
      <c r="G29" s="3" t="n">
        <v>3</v>
      </c>
      <c r="H29" s="3" t="inlineStr">
        <is>
          <t>2048</t>
        </is>
      </c>
      <c r="I29" s="3" t="inlineStr">
        <is>
          <t>20</t>
        </is>
      </c>
      <c r="J29" s="3" t="inlineStr">
        <is>
          <t>AL</t>
        </is>
      </c>
      <c r="K29" s="3" t="inlineStr">
        <is>
          <t>Pathway Catalyst</t>
        </is>
      </c>
      <c r="L29" s="3" t="inlineStr">
        <is>
          <t>Renewal</t>
        </is>
      </c>
      <c r="M29" s="3" t="n">
        <v>1.49</v>
      </c>
      <c r="N29" s="28" t="n">
        <v>5000</v>
      </c>
      <c r="O29" s="28" t="n">
        <v>700</v>
      </c>
      <c r="P29" s="28" t="n">
        <v>7450</v>
      </c>
      <c r="Q29" s="28" t="n">
        <v>3339</v>
      </c>
      <c r="R29" s="28" t="n">
        <v>4111</v>
      </c>
      <c r="S29" s="42" t="n">
        <v>0.448187919463087</v>
      </c>
      <c r="T29" s="3" t="n">
        <v>2.295</v>
      </c>
      <c r="U29" s="3" t="n">
        <v>29</v>
      </c>
      <c r="V29" s="3" t="n"/>
      <c r="W29" s="42" t="n">
        <v>0.0566</v>
      </c>
      <c r="X29" s="23" t="n"/>
      <c r="Y29" s="3">
        <f>IF(I29="","No SIC",IFERROR(VLOOKUP(I29,Ref!$A$2:$B$65,2,FALSE()),"Unclassified"))</f>
        <v/>
      </c>
      <c r="Z29" s="3">
        <f>IF(T29="","",IF(T29&lt;12,"Daily","Weekly"))</f>
        <v/>
      </c>
      <c r="AA29" s="3">
        <f>IF(T29="",0,IF(T29&lt;12,T29*Controls!$B$13,T29*5))</f>
        <v/>
      </c>
      <c r="AB29" s="3">
        <f>IF(E29="",0,NETWORKDAYS(E29,Controls!$B$20,Ref!$K$2:$K$42))</f>
        <v/>
      </c>
      <c r="AC29" s="3">
        <f>IF(OR(AF29=1,AND(AA29&gt;0,AB29&gt;=Controls!$B$23*AA29)),1,0)</f>
        <v/>
      </c>
      <c r="AD29" s="3">
        <f>IF(AND(E29&lt;&gt;"",E29&gt;=Controls!$B$21,E29&lt;=Controls!$B$22),1,0)</f>
        <v/>
      </c>
      <c r="AE29" s="3">
        <f>IF(IFERROR(VLOOKUP(D29,Controls!$A$36:$E$46,2,FALSE()),"No")="Yes",1,0)</f>
        <v/>
      </c>
      <c r="AF29" s="3">
        <f>IF(IFERROR(VLOOKUP(D29,Controls!$A$36:$E$46,3,FALSE()),"No")="Yes",1,0)</f>
        <v/>
      </c>
      <c r="AG29" s="3">
        <f>IF(IFERROR(VLOOKUP(D29,Controls!$A$36:$E$46,4,FALSE()),"No")="Yes",1,0)</f>
        <v/>
      </c>
      <c r="AH29" s="3">
        <f>IF(IFERROR(VLOOKUP(D29,Controls!$A$36:$E$46,5,FALSE()),"No")="Yes",1,0)</f>
        <v/>
      </c>
      <c r="AI29" s="3">
        <f>IF(ISNUMBER(MATCH(D29,Controls!$A$36:$A$46,0)),1,0)</f>
        <v/>
      </c>
      <c r="AJ29" s="28">
        <f>Q29-N29</f>
        <v/>
      </c>
      <c r="AK29" s="3">
        <f>IF(AE29=1,MAX(0,N29-Q29),0)</f>
        <v/>
      </c>
      <c r="AL29" s="3">
        <f>IF(OR(V29="",V29=0),0,N29/V29)</f>
        <v/>
      </c>
      <c r="AM29" s="3">
        <f>IF(OR(V29="",V29=0),0,1)</f>
        <v/>
      </c>
      <c r="AN29" s="3">
        <f>IF(OR(E29="",F29=""),0,NETWORKDAYS(E29,F29,Ref!$K$2:$K$42))</f>
        <v/>
      </c>
      <c r="AO29" s="3">
        <f>IF(L29="Renewal",1,0)</f>
        <v/>
      </c>
      <c r="AP29" s="3">
        <f>AC29*AD29</f>
        <v/>
      </c>
      <c r="AQ29" s="3">
        <f>IF(AND(G29&lt;&gt;"",'Historical Score'!$C$6&lt;&gt;""),IF(G29='Historical Score'!$C$6,1,0),0)</f>
        <v/>
      </c>
      <c r="AR29" s="3">
        <f>IF(AND(L29&lt;&gt;"",'Historical Score'!$C$5&lt;&gt;""),IF(L29='Historical Score'!$C$5,1,0),0)</f>
        <v/>
      </c>
      <c r="AS29" s="3">
        <f>IF(AND(Y29&lt;&gt;"",'Historical Score'!$C$7&lt;&gt;""),IF(Y29='Historical Score'!$C$7,1,0),0)</f>
        <v/>
      </c>
      <c r="AT29" s="3">
        <f>IF(AND(K29&lt;&gt;"",'Historical Score'!$C$8&lt;&gt;""),IF(K29='Historical Score'!$C$8,1,0),0)</f>
        <v/>
      </c>
      <c r="AU29" s="3" t="n"/>
      <c r="AV29" s="3" t="n"/>
      <c r="AW29" s="3" t="n"/>
      <c r="AX29" s="3" t="n"/>
      <c r="AY29" s="3" t="n"/>
      <c r="AZ29" s="3" t="n"/>
      <c r="BA29" s="182">
        <f>IF(AD29=1,(AR29*'Historical Score'!$K$29+1-'Historical Score'!$K$29)*(AT29*'Historical Score'!$L$29+1-'Historical Score'!$L$29)*(AS29*'Historical Score'!$M$29+1-'Historical Score'!$M$29)*(AQ29*'Historical Score'!$N$29+1-'Historical Score'!$N$29),0)</f>
        <v/>
      </c>
      <c r="BB29" s="3" t="n"/>
      <c r="BC29" s="3" t="n"/>
    </row>
    <row r="30" ht="15.75" customHeight="1" s="174">
      <c r="A30" s="3" t="inlineStr">
        <is>
          <t>5674150667</t>
        </is>
      </c>
      <c r="B30" s="3" t="inlineStr">
        <is>
          <t>Casteen Property Maintenance</t>
        </is>
      </c>
      <c r="C30" s="3" t="inlineStr">
        <is>
          <t>Casteen Property Maintenance</t>
        </is>
      </c>
      <c r="D30" s="3" t="inlineStr">
        <is>
          <t>Legal</t>
        </is>
      </c>
      <c r="E30" s="23" t="n">
        <v>45706</v>
      </c>
      <c r="F30" s="23" t="n">
        <v>45713</v>
      </c>
      <c r="G30" s="3" t="n">
        <v>4</v>
      </c>
      <c r="H30" s="3" t="inlineStr">
        <is>
          <t>7349</t>
        </is>
      </c>
      <c r="I30" s="3" t="inlineStr">
        <is>
          <t>73</t>
        </is>
      </c>
      <c r="J30" s="3" t="inlineStr">
        <is>
          <t>NC</t>
        </is>
      </c>
      <c r="K30" s="3" t="inlineStr">
        <is>
          <t>Tip Top Capital</t>
        </is>
      </c>
      <c r="L30" s="3" t="inlineStr">
        <is>
          <t>New Deal</t>
        </is>
      </c>
      <c r="M30" s="3" t="n">
        <v>1.49</v>
      </c>
      <c r="N30" s="28" t="n">
        <v>4000</v>
      </c>
      <c r="O30" s="28" t="n">
        <v>0</v>
      </c>
      <c r="P30" s="28" t="n">
        <v>5960</v>
      </c>
      <c r="Q30" s="28" t="n">
        <v>119.18</v>
      </c>
      <c r="R30" s="28" t="n">
        <v>5840.82</v>
      </c>
      <c r="S30" s="42" t="n">
        <v>0.019996644295302</v>
      </c>
      <c r="T30" s="3" t="n">
        <v>1.64</v>
      </c>
      <c r="U30" s="3" t="n">
        <v>3</v>
      </c>
      <c r="V30" s="3" t="n"/>
      <c r="W30" s="42" t="n">
        <v>0.09080000000000001</v>
      </c>
      <c r="X30" s="23" t="n">
        <v>43293</v>
      </c>
      <c r="Y30" s="3">
        <f>IF(I30="","No SIC",IFERROR(VLOOKUP(I30,Ref!$A$2:$B$65,2,FALSE()),"Unclassified"))</f>
        <v/>
      </c>
      <c r="Z30" s="3">
        <f>IF(T30="","",IF(T30&lt;12,"Daily","Weekly"))</f>
        <v/>
      </c>
      <c r="AA30" s="3">
        <f>IF(T30="",0,IF(T30&lt;12,T30*Controls!$B$13,T30*5))</f>
        <v/>
      </c>
      <c r="AB30" s="3">
        <f>IF(E30="",0,NETWORKDAYS(E30,Controls!$B$20,Ref!$K$2:$K$42))</f>
        <v/>
      </c>
      <c r="AC30" s="3">
        <f>IF(OR(AF30=1,AND(AA30&gt;0,AB30&gt;=Controls!$B$23*AA30)),1,0)</f>
        <v/>
      </c>
      <c r="AD30" s="3">
        <f>IF(AND(E30&lt;&gt;"",E30&gt;=Controls!$B$21,E30&lt;=Controls!$B$22),1,0)</f>
        <v/>
      </c>
      <c r="AE30" s="3">
        <f>IF(IFERROR(VLOOKUP(D30,Controls!$A$36:$E$46,2,FALSE()),"No")="Yes",1,0)</f>
        <v/>
      </c>
      <c r="AF30" s="3">
        <f>IF(IFERROR(VLOOKUP(D30,Controls!$A$36:$E$46,3,FALSE()),"No")="Yes",1,0)</f>
        <v/>
      </c>
      <c r="AG30" s="3">
        <f>IF(IFERROR(VLOOKUP(D30,Controls!$A$36:$E$46,4,FALSE()),"No")="Yes",1,0)</f>
        <v/>
      </c>
      <c r="AH30" s="3">
        <f>IF(IFERROR(VLOOKUP(D30,Controls!$A$36:$E$46,5,FALSE()),"No")="Yes",1,0)</f>
        <v/>
      </c>
      <c r="AI30" s="3">
        <f>IF(ISNUMBER(MATCH(D30,Controls!$A$36:$A$46,0)),1,0)</f>
        <v/>
      </c>
      <c r="AJ30" s="28">
        <f>Q30-N30</f>
        <v/>
      </c>
      <c r="AK30" s="3">
        <f>IF(AE30=1,MAX(0,N30-Q30),0)</f>
        <v/>
      </c>
      <c r="AL30" s="3">
        <f>IF(OR(V30="",V30=0),0,N30/V30)</f>
        <v/>
      </c>
      <c r="AM30" s="3">
        <f>IF(OR(V30="",V30=0),0,1)</f>
        <v/>
      </c>
      <c r="AN30" s="3">
        <f>IF(OR(E30="",F30=""),0,NETWORKDAYS(E30,F30,Ref!$K$2:$K$42))</f>
        <v/>
      </c>
      <c r="AO30" s="3">
        <f>IF(L30="Renewal",1,0)</f>
        <v/>
      </c>
      <c r="AP30" s="3">
        <f>AC30*AD30</f>
        <v/>
      </c>
      <c r="AQ30" s="3">
        <f>IF(AND(G30&lt;&gt;"",'Historical Score'!$C$6&lt;&gt;""),IF(G30='Historical Score'!$C$6,1,0),0)</f>
        <v/>
      </c>
      <c r="AR30" s="3">
        <f>IF(AND(L30&lt;&gt;"",'Historical Score'!$C$5&lt;&gt;""),IF(L30='Historical Score'!$C$5,1,0),0)</f>
        <v/>
      </c>
      <c r="AS30" s="3">
        <f>IF(AND(Y30&lt;&gt;"",'Historical Score'!$C$7&lt;&gt;""),IF(Y30='Historical Score'!$C$7,1,0),0)</f>
        <v/>
      </c>
      <c r="AT30" s="3">
        <f>IF(AND(K30&lt;&gt;"",'Historical Score'!$C$8&lt;&gt;""),IF(K30='Historical Score'!$C$8,1,0),0)</f>
        <v/>
      </c>
      <c r="AU30" s="3" t="n"/>
      <c r="AV30" s="3" t="n"/>
      <c r="AW30" s="3" t="n"/>
      <c r="AX30" s="3" t="n"/>
      <c r="AY30" s="3" t="n"/>
      <c r="AZ30" s="3" t="n"/>
      <c r="BA30" s="182">
        <f>IF(AD30=1,(AR30*'Historical Score'!$K$29+1-'Historical Score'!$K$29)*(AT30*'Historical Score'!$L$29+1-'Historical Score'!$L$29)*(AS30*'Historical Score'!$M$29+1-'Historical Score'!$M$29)*(AQ30*'Historical Score'!$N$29+1-'Historical Score'!$N$29),0)</f>
        <v/>
      </c>
      <c r="BB30" s="3" t="n"/>
      <c r="BC30" s="3" t="n"/>
    </row>
    <row r="31" ht="15.75" customHeight="1" s="174">
      <c r="A31" s="3" t="inlineStr">
        <is>
          <t>5674150725</t>
        </is>
      </c>
      <c r="B31" s="3" t="inlineStr">
        <is>
          <t>Arkansas Climate Control</t>
        </is>
      </c>
      <c r="C31" s="3" t="inlineStr">
        <is>
          <t>Arkansas Climate Control</t>
        </is>
      </c>
      <c r="D31" s="3" t="inlineStr">
        <is>
          <t>Legal</t>
        </is>
      </c>
      <c r="E31" s="23" t="n">
        <v>45706</v>
      </c>
      <c r="F31" s="23" t="n">
        <v>45721</v>
      </c>
      <c r="G31" s="3" t="n">
        <v>2</v>
      </c>
      <c r="H31" s="3" t="inlineStr">
        <is>
          <t>1711</t>
        </is>
      </c>
      <c r="I31" s="3" t="inlineStr">
        <is>
          <t>17</t>
        </is>
      </c>
      <c r="J31" s="3" t="inlineStr">
        <is>
          <t>AR</t>
        </is>
      </c>
      <c r="K31" s="3" t="inlineStr">
        <is>
          <t>TRUSTFI</t>
        </is>
      </c>
      <c r="L31" s="3" t="inlineStr">
        <is>
          <t>New Deal</t>
        </is>
      </c>
      <c r="M31" s="3" t="n">
        <v>1.49</v>
      </c>
      <c r="N31" s="28" t="n">
        <v>8000</v>
      </c>
      <c r="O31" s="28" t="n">
        <v>0</v>
      </c>
      <c r="P31" s="28" t="n">
        <v>11920</v>
      </c>
      <c r="Q31" s="28" t="n">
        <v>681.36</v>
      </c>
      <c r="R31" s="28" t="n">
        <v>11238.64</v>
      </c>
      <c r="S31" s="42" t="n">
        <v>0.0571610738255034</v>
      </c>
      <c r="T31" s="3" t="n">
        <v>2.295</v>
      </c>
      <c r="U31" s="3" t="n">
        <v>7</v>
      </c>
      <c r="V31" s="3" t="n"/>
      <c r="W31" s="42" t="n">
        <v>0.1561</v>
      </c>
      <c r="X31" s="23" t="n">
        <v>45505</v>
      </c>
      <c r="Y31" s="3">
        <f>IF(I31="","No SIC",IFERROR(VLOOKUP(I31,Ref!$A$2:$B$65,2,FALSE()),"Unclassified"))</f>
        <v/>
      </c>
      <c r="Z31" s="3">
        <f>IF(T31="","",IF(T31&lt;12,"Daily","Weekly"))</f>
        <v/>
      </c>
      <c r="AA31" s="3">
        <f>IF(T31="",0,IF(T31&lt;12,T31*Controls!$B$13,T31*5))</f>
        <v/>
      </c>
      <c r="AB31" s="3">
        <f>IF(E31="",0,NETWORKDAYS(E31,Controls!$B$20,Ref!$K$2:$K$42))</f>
        <v/>
      </c>
      <c r="AC31" s="3">
        <f>IF(OR(AF31=1,AND(AA31&gt;0,AB31&gt;=Controls!$B$23*AA31)),1,0)</f>
        <v/>
      </c>
      <c r="AD31" s="3">
        <f>IF(AND(E31&lt;&gt;"",E31&gt;=Controls!$B$21,E31&lt;=Controls!$B$22),1,0)</f>
        <v/>
      </c>
      <c r="AE31" s="3">
        <f>IF(IFERROR(VLOOKUP(D31,Controls!$A$36:$E$46,2,FALSE()),"No")="Yes",1,0)</f>
        <v/>
      </c>
      <c r="AF31" s="3">
        <f>IF(IFERROR(VLOOKUP(D31,Controls!$A$36:$E$46,3,FALSE()),"No")="Yes",1,0)</f>
        <v/>
      </c>
      <c r="AG31" s="3">
        <f>IF(IFERROR(VLOOKUP(D31,Controls!$A$36:$E$46,4,FALSE()),"No")="Yes",1,0)</f>
        <v/>
      </c>
      <c r="AH31" s="3">
        <f>IF(IFERROR(VLOOKUP(D31,Controls!$A$36:$E$46,5,FALSE()),"No")="Yes",1,0)</f>
        <v/>
      </c>
      <c r="AI31" s="3">
        <f>IF(ISNUMBER(MATCH(D31,Controls!$A$36:$A$46,0)),1,0)</f>
        <v/>
      </c>
      <c r="AJ31" s="28">
        <f>Q31-N31</f>
        <v/>
      </c>
      <c r="AK31" s="3">
        <f>IF(AE31=1,MAX(0,N31-Q31),0)</f>
        <v/>
      </c>
      <c r="AL31" s="3">
        <f>IF(OR(V31="",V31=0),0,N31/V31)</f>
        <v/>
      </c>
      <c r="AM31" s="3">
        <f>IF(OR(V31="",V31=0),0,1)</f>
        <v/>
      </c>
      <c r="AN31" s="3">
        <f>IF(OR(E31="",F31=""),0,NETWORKDAYS(E31,F31,Ref!$K$2:$K$42))</f>
        <v/>
      </c>
      <c r="AO31" s="3">
        <f>IF(L31="Renewal",1,0)</f>
        <v/>
      </c>
      <c r="AP31" s="3">
        <f>AC31*AD31</f>
        <v/>
      </c>
      <c r="AQ31" s="3">
        <f>IF(AND(G31&lt;&gt;"",'Historical Score'!$C$6&lt;&gt;""),IF(G31='Historical Score'!$C$6,1,0),0)</f>
        <v/>
      </c>
      <c r="AR31" s="3">
        <f>IF(AND(L31&lt;&gt;"",'Historical Score'!$C$5&lt;&gt;""),IF(L31='Historical Score'!$C$5,1,0),0)</f>
        <v/>
      </c>
      <c r="AS31" s="3">
        <f>IF(AND(Y31&lt;&gt;"",'Historical Score'!$C$7&lt;&gt;""),IF(Y31='Historical Score'!$C$7,1,0),0)</f>
        <v/>
      </c>
      <c r="AT31" s="3">
        <f>IF(AND(K31&lt;&gt;"",'Historical Score'!$C$8&lt;&gt;""),IF(K31='Historical Score'!$C$8,1,0),0)</f>
        <v/>
      </c>
      <c r="AU31" s="3" t="n"/>
      <c r="AV31" s="3" t="n"/>
      <c r="AW31" s="3" t="n"/>
      <c r="AX31" s="3" t="n"/>
      <c r="AY31" s="3" t="n"/>
      <c r="AZ31" s="3" t="n"/>
      <c r="BA31" s="182">
        <f>IF(AD31=1,(AR31*'Historical Score'!$K$29+1-'Historical Score'!$K$29)*(AT31*'Historical Score'!$L$29+1-'Historical Score'!$L$29)*(AS31*'Historical Score'!$M$29+1-'Historical Score'!$M$29)*(AQ31*'Historical Score'!$N$29+1-'Historical Score'!$N$29),0)</f>
        <v/>
      </c>
      <c r="BB31" s="3" t="n"/>
      <c r="BC31" s="3" t="n"/>
    </row>
    <row r="32" ht="15.75" customHeight="1" s="174">
      <c r="A32" s="3" t="inlineStr">
        <is>
          <t>5674150820</t>
        </is>
      </c>
      <c r="B32" s="3" t="inlineStr">
        <is>
          <t>Brake Masters</t>
        </is>
      </c>
      <c r="C32" s="3" t="inlineStr">
        <is>
          <t>SLA BRAKE MASTERS LLC</t>
        </is>
      </c>
      <c r="D32" s="3" t="inlineStr">
        <is>
          <t>Closed</t>
        </is>
      </c>
      <c r="E32" s="23" t="n">
        <v>45707</v>
      </c>
      <c r="F32" s="23" t="n">
        <v>45841</v>
      </c>
      <c r="G32" s="3" t="n">
        <v>3</v>
      </c>
      <c r="H32" s="3" t="inlineStr">
        <is>
          <t>7538</t>
        </is>
      </c>
      <c r="I32" s="3" t="inlineStr">
        <is>
          <t>75</t>
        </is>
      </c>
      <c r="J32" s="3" t="inlineStr">
        <is>
          <t>CA</t>
        </is>
      </c>
      <c r="K32" s="3" t="inlineStr">
        <is>
          <t>Fundible</t>
        </is>
      </c>
      <c r="L32" s="3" t="inlineStr">
        <is>
          <t>New Deal</t>
        </is>
      </c>
      <c r="M32" s="3" t="n">
        <v>1.49</v>
      </c>
      <c r="N32" s="28" t="n">
        <v>10000</v>
      </c>
      <c r="O32" s="28" t="n">
        <v>1400</v>
      </c>
      <c r="P32" s="28" t="n">
        <v>14900</v>
      </c>
      <c r="Q32" s="28" t="n">
        <v>14900</v>
      </c>
      <c r="R32" s="28" t="n">
        <v>0</v>
      </c>
      <c r="S32" s="42" t="n">
        <v>1</v>
      </c>
      <c r="T32" s="3" t="n">
        <v>28</v>
      </c>
      <c r="U32" s="3" t="n">
        <v>0</v>
      </c>
      <c r="V32" s="3" t="n"/>
      <c r="W32" s="42" t="n">
        <v>0.0702</v>
      </c>
      <c r="X32" s="23" t="n">
        <v>44866</v>
      </c>
      <c r="Y32" s="3">
        <f>IF(I32="","No SIC",IFERROR(VLOOKUP(I32,Ref!$A$2:$B$65,2,FALSE()),"Unclassified"))</f>
        <v/>
      </c>
      <c r="Z32" s="3">
        <f>IF(T32="","",IF(T32&lt;12,"Daily","Weekly"))</f>
        <v/>
      </c>
      <c r="AA32" s="3">
        <f>IF(T32="",0,IF(T32&lt;12,T32*Controls!$B$13,T32*5))</f>
        <v/>
      </c>
      <c r="AB32" s="3">
        <f>IF(E32="",0,NETWORKDAYS(E32,Controls!$B$20,Ref!$K$2:$K$42))</f>
        <v/>
      </c>
      <c r="AC32" s="3">
        <f>IF(OR(AF32=1,AND(AA32&gt;0,AB32&gt;=Controls!$B$23*AA32)),1,0)</f>
        <v/>
      </c>
      <c r="AD32" s="3">
        <f>IF(AND(E32&lt;&gt;"",E32&gt;=Controls!$B$21,E32&lt;=Controls!$B$22),1,0)</f>
        <v/>
      </c>
      <c r="AE32" s="3">
        <f>IF(IFERROR(VLOOKUP(D32,Controls!$A$36:$E$46,2,FALSE()),"No")="Yes",1,0)</f>
        <v/>
      </c>
      <c r="AF32" s="3">
        <f>IF(IFERROR(VLOOKUP(D32,Controls!$A$36:$E$46,3,FALSE()),"No")="Yes",1,0)</f>
        <v/>
      </c>
      <c r="AG32" s="3">
        <f>IF(IFERROR(VLOOKUP(D32,Controls!$A$36:$E$46,4,FALSE()),"No")="Yes",1,0)</f>
        <v/>
      </c>
      <c r="AH32" s="3">
        <f>IF(IFERROR(VLOOKUP(D32,Controls!$A$36:$E$46,5,FALSE()),"No")="Yes",1,0)</f>
        <v/>
      </c>
      <c r="AI32" s="3">
        <f>IF(ISNUMBER(MATCH(D32,Controls!$A$36:$A$46,0)),1,0)</f>
        <v/>
      </c>
      <c r="AJ32" s="28">
        <f>Q32-N32</f>
        <v/>
      </c>
      <c r="AK32" s="3">
        <f>IF(AE32=1,MAX(0,N32-Q32),0)</f>
        <v/>
      </c>
      <c r="AL32" s="3">
        <f>IF(OR(V32="",V32=0),0,N32/V32)</f>
        <v/>
      </c>
      <c r="AM32" s="3">
        <f>IF(OR(V32="",V32=0),0,1)</f>
        <v/>
      </c>
      <c r="AN32" s="3">
        <f>IF(OR(E32="",F32=""),0,NETWORKDAYS(E32,F32,Ref!$K$2:$K$42))</f>
        <v/>
      </c>
      <c r="AO32" s="3">
        <f>IF(L32="Renewal",1,0)</f>
        <v/>
      </c>
      <c r="AP32" s="3">
        <f>AC32*AD32</f>
        <v/>
      </c>
      <c r="AQ32" s="3">
        <f>IF(AND(G32&lt;&gt;"",'Historical Score'!$C$6&lt;&gt;""),IF(G32='Historical Score'!$C$6,1,0),0)</f>
        <v/>
      </c>
      <c r="AR32" s="3">
        <f>IF(AND(L32&lt;&gt;"",'Historical Score'!$C$5&lt;&gt;""),IF(L32='Historical Score'!$C$5,1,0),0)</f>
        <v/>
      </c>
      <c r="AS32" s="3">
        <f>IF(AND(Y32&lt;&gt;"",'Historical Score'!$C$7&lt;&gt;""),IF(Y32='Historical Score'!$C$7,1,0),0)</f>
        <v/>
      </c>
      <c r="AT32" s="3">
        <f>IF(AND(K32&lt;&gt;"",'Historical Score'!$C$8&lt;&gt;""),IF(K32='Historical Score'!$C$8,1,0),0)</f>
        <v/>
      </c>
      <c r="AU32" s="3" t="n"/>
      <c r="AV32" s="3" t="n"/>
      <c r="AW32" s="3" t="n"/>
      <c r="AX32" s="3" t="n"/>
      <c r="AY32" s="3" t="n"/>
      <c r="AZ32" s="3" t="n"/>
      <c r="BA32" s="182">
        <f>IF(AD32=1,(AR32*'Historical Score'!$K$29+1-'Historical Score'!$K$29)*(AT32*'Historical Score'!$L$29+1-'Historical Score'!$L$29)*(AS32*'Historical Score'!$M$29+1-'Historical Score'!$M$29)*(AQ32*'Historical Score'!$N$29+1-'Historical Score'!$N$29),0)</f>
        <v/>
      </c>
      <c r="BB32" s="3" t="n"/>
      <c r="BC32" s="3" t="n"/>
    </row>
    <row r="33" ht="15.75" customHeight="1" s="174">
      <c r="A33" s="3" t="inlineStr">
        <is>
          <t>5674150864</t>
        </is>
      </c>
      <c r="B33" s="3" t="inlineStr">
        <is>
          <t>Rock Hard Flooring &amp; Land Clearing of Oklahoma</t>
        </is>
      </c>
      <c r="C33" s="3" t="inlineStr">
        <is>
          <t>AKH INVESTMENT LLC</t>
        </is>
      </c>
      <c r="D33" s="3" t="inlineStr">
        <is>
          <t>Legal</t>
        </is>
      </c>
      <c r="E33" s="23" t="n">
        <v>45709</v>
      </c>
      <c r="F33" s="23" t="n">
        <v>45922</v>
      </c>
      <c r="G33" s="3" t="n">
        <v>1</v>
      </c>
      <c r="H33" s="3" t="inlineStr">
        <is>
          <t>1629</t>
        </is>
      </c>
      <c r="I33" s="3" t="inlineStr">
        <is>
          <t>16</t>
        </is>
      </c>
      <c r="J33" s="3" t="inlineStr">
        <is>
          <t>OK</t>
        </is>
      </c>
      <c r="K33" s="3" t="inlineStr">
        <is>
          <t>PEACH STATE SOLUTIONS</t>
        </is>
      </c>
      <c r="L33" s="3" t="inlineStr">
        <is>
          <t>New Deal</t>
        </is>
      </c>
      <c r="M33" s="3" t="n">
        <v>1.49</v>
      </c>
      <c r="N33" s="28" t="n">
        <v>12000</v>
      </c>
      <c r="O33" s="28" t="n">
        <v>1680</v>
      </c>
      <c r="P33" s="28" t="n">
        <v>17880</v>
      </c>
      <c r="Q33" s="28" t="n">
        <v>3988.73</v>
      </c>
      <c r="R33" s="28" t="n">
        <v>13891.27</v>
      </c>
      <c r="S33" s="42" t="n">
        <v>0.223083333333333</v>
      </c>
      <c r="T33" s="3" t="n">
        <v>18</v>
      </c>
      <c r="U33" s="3" t="n">
        <v>6</v>
      </c>
      <c r="V33" s="3" t="n"/>
      <c r="W33" s="42" t="n">
        <v>0.0653</v>
      </c>
      <c r="X33" s="23" t="n">
        <v>44367</v>
      </c>
      <c r="Y33" s="3">
        <f>IF(I33="","No SIC",IFERROR(VLOOKUP(I33,Ref!$A$2:$B$65,2,FALSE()),"Unclassified"))</f>
        <v/>
      </c>
      <c r="Z33" s="3">
        <f>IF(T33="","",IF(T33&lt;12,"Daily","Weekly"))</f>
        <v/>
      </c>
      <c r="AA33" s="3">
        <f>IF(T33="",0,IF(T33&lt;12,T33*Controls!$B$13,T33*5))</f>
        <v/>
      </c>
      <c r="AB33" s="3">
        <f>IF(E33="",0,NETWORKDAYS(E33,Controls!$B$20,Ref!$K$2:$K$42))</f>
        <v/>
      </c>
      <c r="AC33" s="3">
        <f>IF(OR(AF33=1,AND(AA33&gt;0,AB33&gt;=Controls!$B$23*AA33)),1,0)</f>
        <v/>
      </c>
      <c r="AD33" s="3">
        <f>IF(AND(E33&lt;&gt;"",E33&gt;=Controls!$B$21,E33&lt;=Controls!$B$22),1,0)</f>
        <v/>
      </c>
      <c r="AE33" s="3">
        <f>IF(IFERROR(VLOOKUP(D33,Controls!$A$36:$E$46,2,FALSE()),"No")="Yes",1,0)</f>
        <v/>
      </c>
      <c r="AF33" s="3">
        <f>IF(IFERROR(VLOOKUP(D33,Controls!$A$36:$E$46,3,FALSE()),"No")="Yes",1,0)</f>
        <v/>
      </c>
      <c r="AG33" s="3">
        <f>IF(IFERROR(VLOOKUP(D33,Controls!$A$36:$E$46,4,FALSE()),"No")="Yes",1,0)</f>
        <v/>
      </c>
      <c r="AH33" s="3">
        <f>IF(IFERROR(VLOOKUP(D33,Controls!$A$36:$E$46,5,FALSE()),"No")="Yes",1,0)</f>
        <v/>
      </c>
      <c r="AI33" s="3">
        <f>IF(ISNUMBER(MATCH(D33,Controls!$A$36:$A$46,0)),1,0)</f>
        <v/>
      </c>
      <c r="AJ33" s="28">
        <f>Q33-N33</f>
        <v/>
      </c>
      <c r="AK33" s="3">
        <f>IF(AE33=1,MAX(0,N33-Q33),0)</f>
        <v/>
      </c>
      <c r="AL33" s="3">
        <f>IF(OR(V33="",V33=0),0,N33/V33)</f>
        <v/>
      </c>
      <c r="AM33" s="3">
        <f>IF(OR(V33="",V33=0),0,1)</f>
        <v/>
      </c>
      <c r="AN33" s="3">
        <f>IF(OR(E33="",F33=""),0,NETWORKDAYS(E33,F33,Ref!$K$2:$K$42))</f>
        <v/>
      </c>
      <c r="AO33" s="3">
        <f>IF(L33="Renewal",1,0)</f>
        <v/>
      </c>
      <c r="AP33" s="3">
        <f>AC33*AD33</f>
        <v/>
      </c>
      <c r="AQ33" s="3">
        <f>IF(AND(G33&lt;&gt;"",'Historical Score'!$C$6&lt;&gt;""),IF(G33='Historical Score'!$C$6,1,0),0)</f>
        <v/>
      </c>
      <c r="AR33" s="3">
        <f>IF(AND(L33&lt;&gt;"",'Historical Score'!$C$5&lt;&gt;""),IF(L33='Historical Score'!$C$5,1,0),0)</f>
        <v/>
      </c>
      <c r="AS33" s="3">
        <f>IF(AND(Y33&lt;&gt;"",'Historical Score'!$C$7&lt;&gt;""),IF(Y33='Historical Score'!$C$7,1,0),0)</f>
        <v/>
      </c>
      <c r="AT33" s="3">
        <f>IF(AND(K33&lt;&gt;"",'Historical Score'!$C$8&lt;&gt;""),IF(K33='Historical Score'!$C$8,1,0),0)</f>
        <v/>
      </c>
      <c r="AU33" s="3" t="n"/>
      <c r="AV33" s="3" t="n"/>
      <c r="AW33" s="3" t="n"/>
      <c r="AX33" s="3" t="n"/>
      <c r="AY33" s="3" t="n"/>
      <c r="AZ33" s="3" t="n"/>
      <c r="BA33" s="182">
        <f>IF(AD33=1,(AR33*'Historical Score'!$K$29+1-'Historical Score'!$K$29)*(AT33*'Historical Score'!$L$29+1-'Historical Score'!$L$29)*(AS33*'Historical Score'!$M$29+1-'Historical Score'!$M$29)*(AQ33*'Historical Score'!$N$29+1-'Historical Score'!$N$29),0)</f>
        <v/>
      </c>
      <c r="BB33" s="3" t="n"/>
      <c r="BC33" s="3" t="n"/>
    </row>
    <row r="34" ht="15.75" customHeight="1" s="174">
      <c r="A34" s="3" t="inlineStr">
        <is>
          <t>5674151205</t>
        </is>
      </c>
      <c r="B34" s="3" t="inlineStr">
        <is>
          <t>CRAVE WINGS LLC</t>
        </is>
      </c>
      <c r="C34" s="3" t="inlineStr">
        <is>
          <t>CRAVE WINGS LLC</t>
        </is>
      </c>
      <c r="D34" s="3" t="inlineStr">
        <is>
          <t>Legal</t>
        </is>
      </c>
      <c r="E34" s="23" t="n">
        <v>45713</v>
      </c>
      <c r="F34" s="23" t="n">
        <v>46051</v>
      </c>
      <c r="G34" s="3" t="n">
        <v>4</v>
      </c>
      <c r="H34" s="3" t="inlineStr">
        <is>
          <t>5812</t>
        </is>
      </c>
      <c r="I34" s="3" t="inlineStr">
        <is>
          <t>58</t>
        </is>
      </c>
      <c r="J34" s="3" t="inlineStr">
        <is>
          <t>TN</t>
        </is>
      </c>
      <c r="K34" s="3" t="inlineStr">
        <is>
          <t>United Secured Capital 8</t>
        </is>
      </c>
      <c r="L34" s="3" t="inlineStr">
        <is>
          <t>New Deal</t>
        </is>
      </c>
      <c r="M34" s="3" t="n">
        <v>1.49</v>
      </c>
      <c r="N34" s="28" t="n">
        <v>18000</v>
      </c>
      <c r="O34" s="28" t="n">
        <v>2520</v>
      </c>
      <c r="P34" s="28" t="n">
        <v>26820</v>
      </c>
      <c r="Q34" s="28" t="n">
        <v>23960.2</v>
      </c>
      <c r="R34" s="28" t="n">
        <v>2859.8</v>
      </c>
      <c r="S34" s="42" t="n">
        <v>0.893370618941089</v>
      </c>
      <c r="T34" s="3" t="n">
        <v>2.787</v>
      </c>
      <c r="U34" s="3" t="n">
        <v>0</v>
      </c>
      <c r="V34" s="3" t="n"/>
      <c r="W34" s="42" t="n">
        <v>0.0922</v>
      </c>
      <c r="X34" s="23" t="n"/>
      <c r="Y34" s="3">
        <f>IF(I34="","No SIC",IFERROR(VLOOKUP(I34,Ref!$A$2:$B$65,2,FALSE()),"Unclassified"))</f>
        <v/>
      </c>
      <c r="Z34" s="3">
        <f>IF(T34="","",IF(T34&lt;12,"Daily","Weekly"))</f>
        <v/>
      </c>
      <c r="AA34" s="3">
        <f>IF(T34="",0,IF(T34&lt;12,T34*Controls!$B$13,T34*5))</f>
        <v/>
      </c>
      <c r="AB34" s="3">
        <f>IF(E34="",0,NETWORKDAYS(E34,Controls!$B$20,Ref!$K$2:$K$42))</f>
        <v/>
      </c>
      <c r="AC34" s="3">
        <f>IF(OR(AF34=1,AND(AA34&gt;0,AB34&gt;=Controls!$B$23*AA34)),1,0)</f>
        <v/>
      </c>
      <c r="AD34" s="3">
        <f>IF(AND(E34&lt;&gt;"",E34&gt;=Controls!$B$21,E34&lt;=Controls!$B$22),1,0)</f>
        <v/>
      </c>
      <c r="AE34" s="3">
        <f>IF(IFERROR(VLOOKUP(D34,Controls!$A$36:$E$46,2,FALSE()),"No")="Yes",1,0)</f>
        <v/>
      </c>
      <c r="AF34" s="3">
        <f>IF(IFERROR(VLOOKUP(D34,Controls!$A$36:$E$46,3,FALSE()),"No")="Yes",1,0)</f>
        <v/>
      </c>
      <c r="AG34" s="3">
        <f>IF(IFERROR(VLOOKUP(D34,Controls!$A$36:$E$46,4,FALSE()),"No")="Yes",1,0)</f>
        <v/>
      </c>
      <c r="AH34" s="3">
        <f>IF(IFERROR(VLOOKUP(D34,Controls!$A$36:$E$46,5,FALSE()),"No")="Yes",1,0)</f>
        <v/>
      </c>
      <c r="AI34" s="3">
        <f>IF(ISNUMBER(MATCH(D34,Controls!$A$36:$A$46,0)),1,0)</f>
        <v/>
      </c>
      <c r="AJ34" s="28">
        <f>Q34-N34</f>
        <v/>
      </c>
      <c r="AK34" s="3">
        <f>IF(AE34=1,MAX(0,N34-Q34),0)</f>
        <v/>
      </c>
      <c r="AL34" s="3">
        <f>IF(OR(V34="",V34=0),0,N34/V34)</f>
        <v/>
      </c>
      <c r="AM34" s="3">
        <f>IF(OR(V34="",V34=0),0,1)</f>
        <v/>
      </c>
      <c r="AN34" s="3">
        <f>IF(OR(E34="",F34=""),0,NETWORKDAYS(E34,F34,Ref!$K$2:$K$42))</f>
        <v/>
      </c>
      <c r="AO34" s="3">
        <f>IF(L34="Renewal",1,0)</f>
        <v/>
      </c>
      <c r="AP34" s="3">
        <f>AC34*AD34</f>
        <v/>
      </c>
      <c r="AQ34" s="3">
        <f>IF(AND(G34&lt;&gt;"",'Historical Score'!$C$6&lt;&gt;""),IF(G34='Historical Score'!$C$6,1,0),0)</f>
        <v/>
      </c>
      <c r="AR34" s="3">
        <f>IF(AND(L34&lt;&gt;"",'Historical Score'!$C$5&lt;&gt;""),IF(L34='Historical Score'!$C$5,1,0),0)</f>
        <v/>
      </c>
      <c r="AS34" s="3">
        <f>IF(AND(Y34&lt;&gt;"",'Historical Score'!$C$7&lt;&gt;""),IF(Y34='Historical Score'!$C$7,1,0),0)</f>
        <v/>
      </c>
      <c r="AT34" s="3">
        <f>IF(AND(K34&lt;&gt;"",'Historical Score'!$C$8&lt;&gt;""),IF(K34='Historical Score'!$C$8,1,0),0)</f>
        <v/>
      </c>
      <c r="AU34" s="3" t="n"/>
      <c r="AV34" s="3" t="n"/>
      <c r="AW34" s="3" t="n"/>
      <c r="AX34" s="3" t="n"/>
      <c r="AY34" s="3" t="n"/>
      <c r="AZ34" s="3" t="n"/>
      <c r="BA34" s="182">
        <f>IF(AD34=1,(AR34*'Historical Score'!$K$29+1-'Historical Score'!$K$29)*(AT34*'Historical Score'!$L$29+1-'Historical Score'!$L$29)*(AS34*'Historical Score'!$M$29+1-'Historical Score'!$M$29)*(AQ34*'Historical Score'!$N$29+1-'Historical Score'!$N$29),0)</f>
        <v/>
      </c>
      <c r="BB34" s="3" t="n"/>
      <c r="BC34" s="3" t="n"/>
    </row>
    <row r="35" ht="15.75" customHeight="1" s="174">
      <c r="A35" s="3" t="inlineStr">
        <is>
          <t>5674151260</t>
        </is>
      </c>
      <c r="B35" s="3" t="inlineStr">
        <is>
          <t>NFB VENTURE SERVICES CORP</t>
        </is>
      </c>
      <c r="C35" s="3" t="inlineStr">
        <is>
          <t>NFB VENTURE SERVICES CORP</t>
        </is>
      </c>
      <c r="D35" s="3" t="inlineStr">
        <is>
          <t>Closed</t>
        </is>
      </c>
      <c r="E35" s="23" t="n">
        <v>45713</v>
      </c>
      <c r="F35" s="23" t="n">
        <v>45758</v>
      </c>
      <c r="G35" s="3" t="n">
        <v>2</v>
      </c>
      <c r="H35" s="3" t="inlineStr">
        <is>
          <t>7549</t>
        </is>
      </c>
      <c r="I35" s="3" t="inlineStr">
        <is>
          <t>75</t>
        </is>
      </c>
      <c r="J35" s="3" t="inlineStr">
        <is>
          <t>MA</t>
        </is>
      </c>
      <c r="K35" s="3" t="inlineStr">
        <is>
          <t>CARE FUNDING GROUP</t>
        </is>
      </c>
      <c r="L35" s="3" t="inlineStr">
        <is>
          <t>New Deal</t>
        </is>
      </c>
      <c r="M35" s="3" t="n">
        <v>1.49</v>
      </c>
      <c r="N35" s="28" t="n">
        <v>3500</v>
      </c>
      <c r="O35" s="28" t="n">
        <v>490</v>
      </c>
      <c r="P35" s="28" t="n">
        <v>5215</v>
      </c>
      <c r="Q35" s="28" t="n">
        <v>5215</v>
      </c>
      <c r="R35" s="28" t="n">
        <v>0</v>
      </c>
      <c r="S35" s="42" t="n">
        <v>1</v>
      </c>
      <c r="T35" s="3" t="n">
        <v>1.967</v>
      </c>
      <c r="U35" s="3" t="n">
        <v>0</v>
      </c>
      <c r="V35" s="3" t="n"/>
      <c r="W35" s="42" t="n">
        <v>0.058</v>
      </c>
      <c r="X35" s="23" t="n">
        <v>45402</v>
      </c>
      <c r="Y35" s="3">
        <f>IF(I35="","No SIC",IFERROR(VLOOKUP(I35,Ref!$A$2:$B$65,2,FALSE()),"Unclassified"))</f>
        <v/>
      </c>
      <c r="Z35" s="3">
        <f>IF(T35="","",IF(T35&lt;12,"Daily","Weekly"))</f>
        <v/>
      </c>
      <c r="AA35" s="3">
        <f>IF(T35="",0,IF(T35&lt;12,T35*Controls!$B$13,T35*5))</f>
        <v/>
      </c>
      <c r="AB35" s="3">
        <f>IF(E35="",0,NETWORKDAYS(E35,Controls!$B$20,Ref!$K$2:$K$42))</f>
        <v/>
      </c>
      <c r="AC35" s="3">
        <f>IF(OR(AF35=1,AND(AA35&gt;0,AB35&gt;=Controls!$B$23*AA35)),1,0)</f>
        <v/>
      </c>
      <c r="AD35" s="3">
        <f>IF(AND(E35&lt;&gt;"",E35&gt;=Controls!$B$21,E35&lt;=Controls!$B$22),1,0)</f>
        <v/>
      </c>
      <c r="AE35" s="3">
        <f>IF(IFERROR(VLOOKUP(D35,Controls!$A$36:$E$46,2,FALSE()),"No")="Yes",1,0)</f>
        <v/>
      </c>
      <c r="AF35" s="3">
        <f>IF(IFERROR(VLOOKUP(D35,Controls!$A$36:$E$46,3,FALSE()),"No")="Yes",1,0)</f>
        <v/>
      </c>
      <c r="AG35" s="3">
        <f>IF(IFERROR(VLOOKUP(D35,Controls!$A$36:$E$46,4,FALSE()),"No")="Yes",1,0)</f>
        <v/>
      </c>
      <c r="AH35" s="3">
        <f>IF(IFERROR(VLOOKUP(D35,Controls!$A$36:$E$46,5,FALSE()),"No")="Yes",1,0)</f>
        <v/>
      </c>
      <c r="AI35" s="3">
        <f>IF(ISNUMBER(MATCH(D35,Controls!$A$36:$A$46,0)),1,0)</f>
        <v/>
      </c>
      <c r="AJ35" s="28">
        <f>Q35-N35</f>
        <v/>
      </c>
      <c r="AK35" s="3">
        <f>IF(AE35=1,MAX(0,N35-Q35),0)</f>
        <v/>
      </c>
      <c r="AL35" s="3">
        <f>IF(OR(V35="",V35=0),0,N35/V35)</f>
        <v/>
      </c>
      <c r="AM35" s="3">
        <f>IF(OR(V35="",V35=0),0,1)</f>
        <v/>
      </c>
      <c r="AN35" s="3">
        <f>IF(OR(E35="",F35=""),0,NETWORKDAYS(E35,F35,Ref!$K$2:$K$42))</f>
        <v/>
      </c>
      <c r="AO35" s="3">
        <f>IF(L35="Renewal",1,0)</f>
        <v/>
      </c>
      <c r="AP35" s="3">
        <f>AC35*AD35</f>
        <v/>
      </c>
      <c r="AQ35" s="3">
        <f>IF(AND(G35&lt;&gt;"",'Historical Score'!$C$6&lt;&gt;""),IF(G35='Historical Score'!$C$6,1,0),0)</f>
        <v/>
      </c>
      <c r="AR35" s="3">
        <f>IF(AND(L35&lt;&gt;"",'Historical Score'!$C$5&lt;&gt;""),IF(L35='Historical Score'!$C$5,1,0),0)</f>
        <v/>
      </c>
      <c r="AS35" s="3">
        <f>IF(AND(Y35&lt;&gt;"",'Historical Score'!$C$7&lt;&gt;""),IF(Y35='Historical Score'!$C$7,1,0),0)</f>
        <v/>
      </c>
      <c r="AT35" s="3">
        <f>IF(AND(K35&lt;&gt;"",'Historical Score'!$C$8&lt;&gt;""),IF(K35='Historical Score'!$C$8,1,0),0)</f>
        <v/>
      </c>
      <c r="AU35" s="3" t="n"/>
      <c r="AV35" s="3" t="n"/>
      <c r="AW35" s="3" t="n"/>
      <c r="AX35" s="3" t="n"/>
      <c r="AY35" s="3" t="n"/>
      <c r="AZ35" s="3" t="n"/>
      <c r="BA35" s="182">
        <f>IF(AD35=1,(AR35*'Historical Score'!$K$29+1-'Historical Score'!$K$29)*(AT35*'Historical Score'!$L$29+1-'Historical Score'!$L$29)*(AS35*'Historical Score'!$M$29+1-'Historical Score'!$M$29)*(AQ35*'Historical Score'!$N$29+1-'Historical Score'!$N$29),0)</f>
        <v/>
      </c>
      <c r="BB35" s="3" t="n"/>
      <c r="BC35" s="3" t="n"/>
    </row>
    <row r="36" ht="15.75" customHeight="1" s="174">
      <c r="A36" s="3" t="inlineStr">
        <is>
          <t>5674151286</t>
        </is>
      </c>
      <c r="B36" s="3" t="inlineStr">
        <is>
          <t>DEALS ON 11 LLC</t>
        </is>
      </c>
      <c r="C36" s="3" t="inlineStr">
        <is>
          <t>DEALS ON 11 LLC</t>
        </is>
      </c>
      <c r="D36" s="3" t="inlineStr">
        <is>
          <t>Closed</t>
        </is>
      </c>
      <c r="E36" s="23" t="n">
        <v>45714</v>
      </c>
      <c r="F36" s="23" t="n">
        <v>45797</v>
      </c>
      <c r="G36" s="3" t="n">
        <v>5</v>
      </c>
      <c r="H36" s="3" t="inlineStr">
        <is>
          <t>5085</t>
        </is>
      </c>
      <c r="I36" s="3" t="inlineStr">
        <is>
          <t>50</t>
        </is>
      </c>
      <c r="J36" s="3" t="inlineStr">
        <is>
          <t>AL</t>
        </is>
      </c>
      <c r="K36" s="3" t="inlineStr">
        <is>
          <t>Sky Advance</t>
        </is>
      </c>
      <c r="L36" s="3" t="inlineStr">
        <is>
          <t>New Deal</t>
        </is>
      </c>
      <c r="M36" s="3" t="n">
        <v>1.49</v>
      </c>
      <c r="N36" s="28" t="n">
        <v>5000</v>
      </c>
      <c r="O36" s="28" t="n">
        <v>700</v>
      </c>
      <c r="P36" s="28" t="n">
        <v>7450</v>
      </c>
      <c r="Q36" s="28" t="n">
        <v>7450</v>
      </c>
      <c r="R36" s="28" t="n">
        <v>0</v>
      </c>
      <c r="S36" s="42" t="n">
        <v>1</v>
      </c>
      <c r="T36" s="3" t="n">
        <v>1.967</v>
      </c>
      <c r="U36" s="3" t="n">
        <v>0</v>
      </c>
      <c r="V36" s="3" t="n"/>
      <c r="W36" s="42" t="n">
        <v>0.0639</v>
      </c>
      <c r="X36" s="23" t="n">
        <v>45554</v>
      </c>
      <c r="Y36" s="3">
        <f>IF(I36="","No SIC",IFERROR(VLOOKUP(I36,Ref!$A$2:$B$65,2,FALSE()),"Unclassified"))</f>
        <v/>
      </c>
      <c r="Z36" s="3">
        <f>IF(T36="","",IF(T36&lt;12,"Daily","Weekly"))</f>
        <v/>
      </c>
      <c r="AA36" s="3">
        <f>IF(T36="",0,IF(T36&lt;12,T36*Controls!$B$13,T36*5))</f>
        <v/>
      </c>
      <c r="AB36" s="3">
        <f>IF(E36="",0,NETWORKDAYS(E36,Controls!$B$20,Ref!$K$2:$K$42))</f>
        <v/>
      </c>
      <c r="AC36" s="3">
        <f>IF(OR(AF36=1,AND(AA36&gt;0,AB36&gt;=Controls!$B$23*AA36)),1,0)</f>
        <v/>
      </c>
      <c r="AD36" s="3">
        <f>IF(AND(E36&lt;&gt;"",E36&gt;=Controls!$B$21,E36&lt;=Controls!$B$22),1,0)</f>
        <v/>
      </c>
      <c r="AE36" s="3">
        <f>IF(IFERROR(VLOOKUP(D36,Controls!$A$36:$E$46,2,FALSE()),"No")="Yes",1,0)</f>
        <v/>
      </c>
      <c r="AF36" s="3">
        <f>IF(IFERROR(VLOOKUP(D36,Controls!$A$36:$E$46,3,FALSE()),"No")="Yes",1,0)</f>
        <v/>
      </c>
      <c r="AG36" s="3">
        <f>IF(IFERROR(VLOOKUP(D36,Controls!$A$36:$E$46,4,FALSE()),"No")="Yes",1,0)</f>
        <v/>
      </c>
      <c r="AH36" s="3">
        <f>IF(IFERROR(VLOOKUP(D36,Controls!$A$36:$E$46,5,FALSE()),"No")="Yes",1,0)</f>
        <v/>
      </c>
      <c r="AI36" s="3">
        <f>IF(ISNUMBER(MATCH(D36,Controls!$A$36:$A$46,0)),1,0)</f>
        <v/>
      </c>
      <c r="AJ36" s="28">
        <f>Q36-N36</f>
        <v/>
      </c>
      <c r="AK36" s="3">
        <f>IF(AE36=1,MAX(0,N36-Q36),0)</f>
        <v/>
      </c>
      <c r="AL36" s="3">
        <f>IF(OR(V36="",V36=0),0,N36/V36)</f>
        <v/>
      </c>
      <c r="AM36" s="3">
        <f>IF(OR(V36="",V36=0),0,1)</f>
        <v/>
      </c>
      <c r="AN36" s="3">
        <f>IF(OR(E36="",F36=""),0,NETWORKDAYS(E36,F36,Ref!$K$2:$K$42))</f>
        <v/>
      </c>
      <c r="AO36" s="3">
        <f>IF(L36="Renewal",1,0)</f>
        <v/>
      </c>
      <c r="AP36" s="3">
        <f>AC36*AD36</f>
        <v/>
      </c>
      <c r="AQ36" s="3">
        <f>IF(AND(G36&lt;&gt;"",'Historical Score'!$C$6&lt;&gt;""),IF(G36='Historical Score'!$C$6,1,0),0)</f>
        <v/>
      </c>
      <c r="AR36" s="3">
        <f>IF(AND(L36&lt;&gt;"",'Historical Score'!$C$5&lt;&gt;""),IF(L36='Historical Score'!$C$5,1,0),0)</f>
        <v/>
      </c>
      <c r="AS36" s="3">
        <f>IF(AND(Y36&lt;&gt;"",'Historical Score'!$C$7&lt;&gt;""),IF(Y36='Historical Score'!$C$7,1,0),0)</f>
        <v/>
      </c>
      <c r="AT36" s="3">
        <f>IF(AND(K36&lt;&gt;"",'Historical Score'!$C$8&lt;&gt;""),IF(K36='Historical Score'!$C$8,1,0),0)</f>
        <v/>
      </c>
      <c r="AU36" s="3" t="n"/>
      <c r="AV36" s="3" t="n"/>
      <c r="AW36" s="3" t="n"/>
      <c r="AX36" s="3" t="n"/>
      <c r="AY36" s="3" t="n"/>
      <c r="AZ36" s="3" t="n"/>
      <c r="BA36" s="182">
        <f>IF(AD36=1,(AR36*'Historical Score'!$K$29+1-'Historical Score'!$K$29)*(AT36*'Historical Score'!$L$29+1-'Historical Score'!$L$29)*(AS36*'Historical Score'!$M$29+1-'Historical Score'!$M$29)*(AQ36*'Historical Score'!$N$29+1-'Historical Score'!$N$29),0)</f>
        <v/>
      </c>
      <c r="BB36" s="3" t="n"/>
      <c r="BC36" s="3" t="n"/>
    </row>
    <row r="37" ht="15.75" customHeight="1" s="174">
      <c r="A37" s="3" t="inlineStr">
        <is>
          <t>5674151397</t>
        </is>
      </c>
      <c r="B37" s="3" t="inlineStr">
        <is>
          <t>HITCHCOCK &amp; COMPANY LLC</t>
        </is>
      </c>
      <c r="C37" s="3" t="inlineStr">
        <is>
          <t>HITCHCOCK &amp; COMPANY LLC</t>
        </is>
      </c>
      <c r="D37" s="3" t="inlineStr">
        <is>
          <t>Closed</t>
        </is>
      </c>
      <c r="E37" s="23" t="n">
        <v>45714</v>
      </c>
      <c r="F37" s="23" t="n">
        <v>45846</v>
      </c>
      <c r="G37" s="3" t="n">
        <v>4</v>
      </c>
      <c r="H37" s="3" t="inlineStr">
        <is>
          <t>1521</t>
        </is>
      </c>
      <c r="I37" s="3" t="inlineStr">
        <is>
          <t>15</t>
        </is>
      </c>
      <c r="J37" s="3" t="inlineStr">
        <is>
          <t>ME</t>
        </is>
      </c>
      <c r="K37" s="3" t="inlineStr">
        <is>
          <t>United Secured Capital 8</t>
        </is>
      </c>
      <c r="L37" s="3" t="inlineStr">
        <is>
          <t>New Deal</t>
        </is>
      </c>
      <c r="M37" s="3" t="n">
        <v>1.49</v>
      </c>
      <c r="N37" s="28" t="n">
        <v>22000</v>
      </c>
      <c r="O37" s="28" t="n">
        <v>3080</v>
      </c>
      <c r="P37" s="28" t="n">
        <v>32780</v>
      </c>
      <c r="Q37" s="28" t="n">
        <v>32780</v>
      </c>
      <c r="R37" s="28" t="n">
        <v>0</v>
      </c>
      <c r="S37" s="42" t="n">
        <v>1</v>
      </c>
      <c r="T37" s="3" t="n">
        <v>17.9</v>
      </c>
      <c r="U37" s="3" t="n">
        <v>1</v>
      </c>
      <c r="V37" s="3" t="n"/>
      <c r="W37" s="42" t="n">
        <v>0.0326</v>
      </c>
      <c r="X37" s="23" t="n">
        <v>44044</v>
      </c>
      <c r="Y37" s="3">
        <f>IF(I37="","No SIC",IFERROR(VLOOKUP(I37,Ref!$A$2:$B$65,2,FALSE()),"Unclassified"))</f>
        <v/>
      </c>
      <c r="Z37" s="3">
        <f>IF(T37="","",IF(T37&lt;12,"Daily","Weekly"))</f>
        <v/>
      </c>
      <c r="AA37" s="3">
        <f>IF(T37="",0,IF(T37&lt;12,T37*Controls!$B$13,T37*5))</f>
        <v/>
      </c>
      <c r="AB37" s="3">
        <f>IF(E37="",0,NETWORKDAYS(E37,Controls!$B$20,Ref!$K$2:$K$42))</f>
        <v/>
      </c>
      <c r="AC37" s="3">
        <f>IF(OR(AF37=1,AND(AA37&gt;0,AB37&gt;=Controls!$B$23*AA37)),1,0)</f>
        <v/>
      </c>
      <c r="AD37" s="3">
        <f>IF(AND(E37&lt;&gt;"",E37&gt;=Controls!$B$21,E37&lt;=Controls!$B$22),1,0)</f>
        <v/>
      </c>
      <c r="AE37" s="3">
        <f>IF(IFERROR(VLOOKUP(D37,Controls!$A$36:$E$46,2,FALSE()),"No")="Yes",1,0)</f>
        <v/>
      </c>
      <c r="AF37" s="3">
        <f>IF(IFERROR(VLOOKUP(D37,Controls!$A$36:$E$46,3,FALSE()),"No")="Yes",1,0)</f>
        <v/>
      </c>
      <c r="AG37" s="3">
        <f>IF(IFERROR(VLOOKUP(D37,Controls!$A$36:$E$46,4,FALSE()),"No")="Yes",1,0)</f>
        <v/>
      </c>
      <c r="AH37" s="3">
        <f>IF(IFERROR(VLOOKUP(D37,Controls!$A$36:$E$46,5,FALSE()),"No")="Yes",1,0)</f>
        <v/>
      </c>
      <c r="AI37" s="3">
        <f>IF(ISNUMBER(MATCH(D37,Controls!$A$36:$A$46,0)),1,0)</f>
        <v/>
      </c>
      <c r="AJ37" s="28">
        <f>Q37-N37</f>
        <v/>
      </c>
      <c r="AK37" s="3">
        <f>IF(AE37=1,MAX(0,N37-Q37),0)</f>
        <v/>
      </c>
      <c r="AL37" s="3">
        <f>IF(OR(V37="",V37=0),0,N37/V37)</f>
        <v/>
      </c>
      <c r="AM37" s="3">
        <f>IF(OR(V37="",V37=0),0,1)</f>
        <v/>
      </c>
      <c r="AN37" s="3">
        <f>IF(OR(E37="",F37=""),0,NETWORKDAYS(E37,F37,Ref!$K$2:$K$42))</f>
        <v/>
      </c>
      <c r="AO37" s="3">
        <f>IF(L37="Renewal",1,0)</f>
        <v/>
      </c>
      <c r="AP37" s="3">
        <f>AC37*AD37</f>
        <v/>
      </c>
      <c r="AQ37" s="3">
        <f>IF(AND(G37&lt;&gt;"",'Historical Score'!$C$6&lt;&gt;""),IF(G37='Historical Score'!$C$6,1,0),0)</f>
        <v/>
      </c>
      <c r="AR37" s="3">
        <f>IF(AND(L37&lt;&gt;"",'Historical Score'!$C$5&lt;&gt;""),IF(L37='Historical Score'!$C$5,1,0),0)</f>
        <v/>
      </c>
      <c r="AS37" s="3">
        <f>IF(AND(Y37&lt;&gt;"",'Historical Score'!$C$7&lt;&gt;""),IF(Y37='Historical Score'!$C$7,1,0),0)</f>
        <v/>
      </c>
      <c r="AT37" s="3">
        <f>IF(AND(K37&lt;&gt;"",'Historical Score'!$C$8&lt;&gt;""),IF(K37='Historical Score'!$C$8,1,0),0)</f>
        <v/>
      </c>
      <c r="AU37" s="3" t="n"/>
      <c r="AV37" s="3" t="n"/>
      <c r="AW37" s="3" t="n"/>
      <c r="AX37" s="3" t="n"/>
      <c r="AY37" s="3" t="n"/>
      <c r="AZ37" s="3" t="n"/>
      <c r="BA37" s="182">
        <f>IF(AD37=1,(AR37*'Historical Score'!$K$29+1-'Historical Score'!$K$29)*(AT37*'Historical Score'!$L$29+1-'Historical Score'!$L$29)*(AS37*'Historical Score'!$M$29+1-'Historical Score'!$M$29)*(AQ37*'Historical Score'!$N$29+1-'Historical Score'!$N$29),0)</f>
        <v/>
      </c>
      <c r="BB37" s="3" t="n"/>
      <c r="BC37" s="3" t="n"/>
    </row>
    <row r="38" ht="15.75" customHeight="1" s="174">
      <c r="A38" s="3" t="inlineStr">
        <is>
          <t>5674151553</t>
        </is>
      </c>
      <c r="B38" s="3" t="inlineStr">
        <is>
          <t>VITELGUIDE LLC</t>
        </is>
      </c>
      <c r="C38" s="3" t="inlineStr">
        <is>
          <t>VITEL HEALTH LLC</t>
        </is>
      </c>
      <c r="D38" s="3" t="inlineStr">
        <is>
          <t>Closed</t>
        </is>
      </c>
      <c r="E38" s="23" t="n">
        <v>45716</v>
      </c>
      <c r="F38" s="23" t="n">
        <v>45848</v>
      </c>
      <c r="G38" s="3" t="n">
        <v>3</v>
      </c>
      <c r="H38" s="3" t="inlineStr">
        <is>
          <t>8742</t>
        </is>
      </c>
      <c r="I38" s="3" t="inlineStr">
        <is>
          <t>87</t>
        </is>
      </c>
      <c r="J38" s="3" t="inlineStr">
        <is>
          <t>CA</t>
        </is>
      </c>
      <c r="K38" s="3" t="inlineStr">
        <is>
          <t>ROYAL FUNDING GROUP</t>
        </is>
      </c>
      <c r="L38" s="3" t="inlineStr">
        <is>
          <t>New Deal</t>
        </is>
      </c>
      <c r="M38" s="3" t="n">
        <v>1.457</v>
      </c>
      <c r="N38" s="28" t="n">
        <v>17000</v>
      </c>
      <c r="O38" s="28" t="n">
        <v>2380</v>
      </c>
      <c r="P38" s="28" t="n">
        <v>24769</v>
      </c>
      <c r="Q38" s="28" t="n">
        <v>24769</v>
      </c>
      <c r="R38" s="28" t="n">
        <v>0</v>
      </c>
      <c r="S38" s="42" t="n">
        <v>1</v>
      </c>
      <c r="T38" s="3" t="n">
        <v>20</v>
      </c>
      <c r="U38" s="3" t="n">
        <v>2</v>
      </c>
      <c r="V38" s="3" t="n"/>
      <c r="W38" s="42" t="n">
        <v>0.1247</v>
      </c>
      <c r="X38" s="23" t="n">
        <v>44417</v>
      </c>
      <c r="Y38" s="3">
        <f>IF(I38="","No SIC",IFERROR(VLOOKUP(I38,Ref!$A$2:$B$65,2,FALSE()),"Unclassified"))</f>
        <v/>
      </c>
      <c r="Z38" s="3">
        <f>IF(T38="","",IF(T38&lt;12,"Daily","Weekly"))</f>
        <v/>
      </c>
      <c r="AA38" s="3">
        <f>IF(T38="",0,IF(T38&lt;12,T38*Controls!$B$13,T38*5))</f>
        <v/>
      </c>
      <c r="AB38" s="3">
        <f>IF(E38="",0,NETWORKDAYS(E38,Controls!$B$20,Ref!$K$2:$K$42))</f>
        <v/>
      </c>
      <c r="AC38" s="3">
        <f>IF(OR(AF38=1,AND(AA38&gt;0,AB38&gt;=Controls!$B$23*AA38)),1,0)</f>
        <v/>
      </c>
      <c r="AD38" s="3">
        <f>IF(AND(E38&lt;&gt;"",E38&gt;=Controls!$B$21,E38&lt;=Controls!$B$22),1,0)</f>
        <v/>
      </c>
      <c r="AE38" s="3">
        <f>IF(IFERROR(VLOOKUP(D38,Controls!$A$36:$E$46,2,FALSE()),"No")="Yes",1,0)</f>
        <v/>
      </c>
      <c r="AF38" s="3">
        <f>IF(IFERROR(VLOOKUP(D38,Controls!$A$36:$E$46,3,FALSE()),"No")="Yes",1,0)</f>
        <v/>
      </c>
      <c r="AG38" s="3">
        <f>IF(IFERROR(VLOOKUP(D38,Controls!$A$36:$E$46,4,FALSE()),"No")="Yes",1,0)</f>
        <v/>
      </c>
      <c r="AH38" s="3">
        <f>IF(IFERROR(VLOOKUP(D38,Controls!$A$36:$E$46,5,FALSE()),"No")="Yes",1,0)</f>
        <v/>
      </c>
      <c r="AI38" s="3">
        <f>IF(ISNUMBER(MATCH(D38,Controls!$A$36:$A$46,0)),1,0)</f>
        <v/>
      </c>
      <c r="AJ38" s="28">
        <f>Q38-N38</f>
        <v/>
      </c>
      <c r="AK38" s="3">
        <f>IF(AE38=1,MAX(0,N38-Q38),0)</f>
        <v/>
      </c>
      <c r="AL38" s="3">
        <f>IF(OR(V38="",V38=0),0,N38/V38)</f>
        <v/>
      </c>
      <c r="AM38" s="3">
        <f>IF(OR(V38="",V38=0),0,1)</f>
        <v/>
      </c>
      <c r="AN38" s="3">
        <f>IF(OR(E38="",F38=""),0,NETWORKDAYS(E38,F38,Ref!$K$2:$K$42))</f>
        <v/>
      </c>
      <c r="AO38" s="3">
        <f>IF(L38="Renewal",1,0)</f>
        <v/>
      </c>
      <c r="AP38" s="3">
        <f>AC38*AD38</f>
        <v/>
      </c>
      <c r="AQ38" s="3">
        <f>IF(AND(G38&lt;&gt;"",'Historical Score'!$C$6&lt;&gt;""),IF(G38='Historical Score'!$C$6,1,0),0)</f>
        <v/>
      </c>
      <c r="AR38" s="3">
        <f>IF(AND(L38&lt;&gt;"",'Historical Score'!$C$5&lt;&gt;""),IF(L38='Historical Score'!$C$5,1,0),0)</f>
        <v/>
      </c>
      <c r="AS38" s="3">
        <f>IF(AND(Y38&lt;&gt;"",'Historical Score'!$C$7&lt;&gt;""),IF(Y38='Historical Score'!$C$7,1,0),0)</f>
        <v/>
      </c>
      <c r="AT38" s="3">
        <f>IF(AND(K38&lt;&gt;"",'Historical Score'!$C$8&lt;&gt;""),IF(K38='Historical Score'!$C$8,1,0),0)</f>
        <v/>
      </c>
      <c r="AU38" s="3" t="n"/>
      <c r="AV38" s="3" t="n"/>
      <c r="AW38" s="3" t="n"/>
      <c r="AX38" s="3" t="n"/>
      <c r="AY38" s="3" t="n"/>
      <c r="AZ38" s="3" t="n"/>
      <c r="BA38" s="182">
        <f>IF(AD38=1,(AR38*'Historical Score'!$K$29+1-'Historical Score'!$K$29)*(AT38*'Historical Score'!$L$29+1-'Historical Score'!$L$29)*(AS38*'Historical Score'!$M$29+1-'Historical Score'!$M$29)*(AQ38*'Historical Score'!$N$29+1-'Historical Score'!$N$29),0)</f>
        <v/>
      </c>
      <c r="BB38" s="3" t="n"/>
      <c r="BC38" s="3" t="n"/>
    </row>
    <row r="39" ht="15.75" customHeight="1" s="174">
      <c r="A39" s="3" t="inlineStr">
        <is>
          <t>5674151571</t>
        </is>
      </c>
      <c r="B39" s="3" t="inlineStr">
        <is>
          <t>DIAMOND GROUP LOGISTICS CO</t>
        </is>
      </c>
      <c r="C39" s="3" t="inlineStr">
        <is>
          <t>DIAMOND GROUP LOGISTICS CO</t>
        </is>
      </c>
      <c r="D39" s="3" t="inlineStr">
        <is>
          <t>Closed/NSF Unpaid</t>
        </is>
      </c>
      <c r="E39" s="23" t="n">
        <v>45716</v>
      </c>
      <c r="F39" s="23" t="n">
        <v>45834</v>
      </c>
      <c r="G39" s="3" t="n">
        <v>6</v>
      </c>
      <c r="H39" s="3" t="inlineStr">
        <is>
          <t>4213</t>
        </is>
      </c>
      <c r="I39" s="3" t="inlineStr">
        <is>
          <t>42</t>
        </is>
      </c>
      <c r="J39" s="3" t="inlineStr">
        <is>
          <t>IL</t>
        </is>
      </c>
      <c r="K39" s="3" t="inlineStr">
        <is>
          <t>Fund Max</t>
        </is>
      </c>
      <c r="L39" s="3" t="inlineStr">
        <is>
          <t>New Deal</t>
        </is>
      </c>
      <c r="M39" s="3" t="n">
        <v>1.499</v>
      </c>
      <c r="N39" s="28" t="n">
        <v>22000</v>
      </c>
      <c r="O39" s="28" t="n">
        <v>3080</v>
      </c>
      <c r="P39" s="28" t="n">
        <v>32978</v>
      </c>
      <c r="Q39" s="28" t="n">
        <v>32978</v>
      </c>
      <c r="R39" s="28" t="n">
        <v>0</v>
      </c>
      <c r="S39" s="42" t="n">
        <v>1</v>
      </c>
      <c r="T39" s="3" t="n">
        <v>16</v>
      </c>
      <c r="U39" s="3" t="n">
        <v>1</v>
      </c>
      <c r="V39" s="3" t="n"/>
      <c r="W39" s="42" t="n">
        <v>0.0129</v>
      </c>
      <c r="X39" s="23" t="n">
        <v>42967</v>
      </c>
      <c r="Y39" s="3">
        <f>IF(I39="","No SIC",IFERROR(VLOOKUP(I39,Ref!$A$2:$B$65,2,FALSE()),"Unclassified"))</f>
        <v/>
      </c>
      <c r="Z39" s="3">
        <f>IF(T39="","",IF(T39&lt;12,"Daily","Weekly"))</f>
        <v/>
      </c>
      <c r="AA39" s="3">
        <f>IF(T39="",0,IF(T39&lt;12,T39*Controls!$B$13,T39*5))</f>
        <v/>
      </c>
      <c r="AB39" s="3">
        <f>IF(E39="",0,NETWORKDAYS(E39,Controls!$B$20,Ref!$K$2:$K$42))</f>
        <v/>
      </c>
      <c r="AC39" s="3">
        <f>IF(OR(AF39=1,AND(AA39&gt;0,AB39&gt;=Controls!$B$23*AA39)),1,0)</f>
        <v/>
      </c>
      <c r="AD39" s="3">
        <f>IF(AND(E39&lt;&gt;"",E39&gt;=Controls!$B$21,E39&lt;=Controls!$B$22),1,0)</f>
        <v/>
      </c>
      <c r="AE39" s="3">
        <f>IF(IFERROR(VLOOKUP(D39,Controls!$A$36:$E$46,2,FALSE()),"No")="Yes",1,0)</f>
        <v/>
      </c>
      <c r="AF39" s="3">
        <f>IF(IFERROR(VLOOKUP(D39,Controls!$A$36:$E$46,3,FALSE()),"No")="Yes",1,0)</f>
        <v/>
      </c>
      <c r="AG39" s="3">
        <f>IF(IFERROR(VLOOKUP(D39,Controls!$A$36:$E$46,4,FALSE()),"No")="Yes",1,0)</f>
        <v/>
      </c>
      <c r="AH39" s="3">
        <f>IF(IFERROR(VLOOKUP(D39,Controls!$A$36:$E$46,5,FALSE()),"No")="Yes",1,0)</f>
        <v/>
      </c>
      <c r="AI39" s="3">
        <f>IF(ISNUMBER(MATCH(D39,Controls!$A$36:$A$46,0)),1,0)</f>
        <v/>
      </c>
      <c r="AJ39" s="28">
        <f>Q39-N39</f>
        <v/>
      </c>
      <c r="AK39" s="3">
        <f>IF(AE39=1,MAX(0,N39-Q39),0)</f>
        <v/>
      </c>
      <c r="AL39" s="3">
        <f>IF(OR(V39="",V39=0),0,N39/V39)</f>
        <v/>
      </c>
      <c r="AM39" s="3">
        <f>IF(OR(V39="",V39=0),0,1)</f>
        <v/>
      </c>
      <c r="AN39" s="3">
        <f>IF(OR(E39="",F39=""),0,NETWORKDAYS(E39,F39,Ref!$K$2:$K$42))</f>
        <v/>
      </c>
      <c r="AO39" s="3">
        <f>IF(L39="Renewal",1,0)</f>
        <v/>
      </c>
      <c r="AP39" s="3">
        <f>AC39*AD39</f>
        <v/>
      </c>
      <c r="AQ39" s="3">
        <f>IF(AND(G39&lt;&gt;"",'Historical Score'!$C$6&lt;&gt;""),IF(G39='Historical Score'!$C$6,1,0),0)</f>
        <v/>
      </c>
      <c r="AR39" s="3">
        <f>IF(AND(L39&lt;&gt;"",'Historical Score'!$C$5&lt;&gt;""),IF(L39='Historical Score'!$C$5,1,0),0)</f>
        <v/>
      </c>
      <c r="AS39" s="3">
        <f>IF(AND(Y39&lt;&gt;"",'Historical Score'!$C$7&lt;&gt;""),IF(Y39='Historical Score'!$C$7,1,0),0)</f>
        <v/>
      </c>
      <c r="AT39" s="3">
        <f>IF(AND(K39&lt;&gt;"",'Historical Score'!$C$8&lt;&gt;""),IF(K39='Historical Score'!$C$8,1,0),0)</f>
        <v/>
      </c>
      <c r="AU39" s="3" t="n"/>
      <c r="AV39" s="3" t="n"/>
      <c r="AW39" s="3" t="n"/>
      <c r="AX39" s="3" t="n"/>
      <c r="AY39" s="3" t="n"/>
      <c r="AZ39" s="3" t="n"/>
      <c r="BA39" s="182">
        <f>IF(AD39=1,(AR39*'Historical Score'!$K$29+1-'Historical Score'!$K$29)*(AT39*'Historical Score'!$L$29+1-'Historical Score'!$L$29)*(AS39*'Historical Score'!$M$29+1-'Historical Score'!$M$29)*(AQ39*'Historical Score'!$N$29+1-'Historical Score'!$N$29),0)</f>
        <v/>
      </c>
      <c r="BB39" s="3" t="n"/>
      <c r="BC39" s="3" t="n"/>
    </row>
    <row r="40" ht="15.75" customHeight="1" s="174">
      <c r="A40" s="3" t="inlineStr">
        <is>
          <t>5674151572</t>
        </is>
      </c>
      <c r="B40" s="3" t="inlineStr">
        <is>
          <t>R &amp; B HEATING &amp; COOLING SPECIALIST</t>
        </is>
      </c>
      <c r="C40" s="3" t="inlineStr">
        <is>
          <t>R &amp; B HEATING &amp; COOLING</t>
        </is>
      </c>
      <c r="D40" s="3" t="inlineStr">
        <is>
          <t>In House Collection</t>
        </is>
      </c>
      <c r="E40" s="23" t="n">
        <v>45716</v>
      </c>
      <c r="F40" s="23" t="n">
        <v>45776</v>
      </c>
      <c r="G40" s="3" t="n">
        <v>5</v>
      </c>
      <c r="H40" s="3" t="inlineStr">
        <is>
          <t>1711</t>
        </is>
      </c>
      <c r="I40" s="3" t="inlineStr">
        <is>
          <t>17</t>
        </is>
      </c>
      <c r="J40" s="3" t="inlineStr">
        <is>
          <t>AZ</t>
        </is>
      </c>
      <c r="K40" s="3" t="inlineStr">
        <is>
          <t>MZ ADVANCE</t>
        </is>
      </c>
      <c r="L40" s="3" t="inlineStr">
        <is>
          <t>New Deal</t>
        </is>
      </c>
      <c r="M40" s="3" t="n">
        <v>1.49</v>
      </c>
      <c r="N40" s="28" t="n">
        <v>7000</v>
      </c>
      <c r="O40" s="28" t="n">
        <v>980</v>
      </c>
      <c r="P40" s="28" t="n">
        <v>10430</v>
      </c>
      <c r="Q40" s="28" t="n">
        <v>3297.57</v>
      </c>
      <c r="R40" s="28" t="n">
        <v>7132.43</v>
      </c>
      <c r="S40" s="42" t="n">
        <v>0.316162032598274</v>
      </c>
      <c r="T40" s="3" t="n">
        <v>1.148</v>
      </c>
      <c r="U40" s="3" t="n">
        <v>3</v>
      </c>
      <c r="V40" s="3" t="n"/>
      <c r="W40" s="42" t="n">
        <v>0.0624</v>
      </c>
      <c r="X40" s="23" t="n">
        <v>37817</v>
      </c>
      <c r="Y40" s="3">
        <f>IF(I40="","No SIC",IFERROR(VLOOKUP(I40,Ref!$A$2:$B$65,2,FALSE()),"Unclassified"))</f>
        <v/>
      </c>
      <c r="Z40" s="3">
        <f>IF(T40="","",IF(T40&lt;12,"Daily","Weekly"))</f>
        <v/>
      </c>
      <c r="AA40" s="3">
        <f>IF(T40="",0,IF(T40&lt;12,T40*Controls!$B$13,T40*5))</f>
        <v/>
      </c>
      <c r="AB40" s="3">
        <f>IF(E40="",0,NETWORKDAYS(E40,Controls!$B$20,Ref!$K$2:$K$42))</f>
        <v/>
      </c>
      <c r="AC40" s="3">
        <f>IF(OR(AF40=1,AND(AA40&gt;0,AB40&gt;=Controls!$B$23*AA40)),1,0)</f>
        <v/>
      </c>
      <c r="AD40" s="3">
        <f>IF(AND(E40&lt;&gt;"",E40&gt;=Controls!$B$21,E40&lt;=Controls!$B$22),1,0)</f>
        <v/>
      </c>
      <c r="AE40" s="3">
        <f>IF(IFERROR(VLOOKUP(D40,Controls!$A$36:$E$46,2,FALSE()),"No")="Yes",1,0)</f>
        <v/>
      </c>
      <c r="AF40" s="3">
        <f>IF(IFERROR(VLOOKUP(D40,Controls!$A$36:$E$46,3,FALSE()),"No")="Yes",1,0)</f>
        <v/>
      </c>
      <c r="AG40" s="3">
        <f>IF(IFERROR(VLOOKUP(D40,Controls!$A$36:$E$46,4,FALSE()),"No")="Yes",1,0)</f>
        <v/>
      </c>
      <c r="AH40" s="3">
        <f>IF(IFERROR(VLOOKUP(D40,Controls!$A$36:$E$46,5,FALSE()),"No")="Yes",1,0)</f>
        <v/>
      </c>
      <c r="AI40" s="3">
        <f>IF(ISNUMBER(MATCH(D40,Controls!$A$36:$A$46,0)),1,0)</f>
        <v/>
      </c>
      <c r="AJ40" s="28">
        <f>Q40-N40</f>
        <v/>
      </c>
      <c r="AK40" s="3">
        <f>IF(AE40=1,MAX(0,N40-Q40),0)</f>
        <v/>
      </c>
      <c r="AL40" s="3">
        <f>IF(OR(V40="",V40=0),0,N40/V40)</f>
        <v/>
      </c>
      <c r="AM40" s="3">
        <f>IF(OR(V40="",V40=0),0,1)</f>
        <v/>
      </c>
      <c r="AN40" s="3">
        <f>IF(OR(E40="",F40=""),0,NETWORKDAYS(E40,F40,Ref!$K$2:$K$42))</f>
        <v/>
      </c>
      <c r="AO40" s="3">
        <f>IF(L40="Renewal",1,0)</f>
        <v/>
      </c>
      <c r="AP40" s="3">
        <f>AC40*AD40</f>
        <v/>
      </c>
      <c r="AQ40" s="3">
        <f>IF(AND(G40&lt;&gt;"",'Historical Score'!$C$6&lt;&gt;""),IF(G40='Historical Score'!$C$6,1,0),0)</f>
        <v/>
      </c>
      <c r="AR40" s="3">
        <f>IF(AND(L40&lt;&gt;"",'Historical Score'!$C$5&lt;&gt;""),IF(L40='Historical Score'!$C$5,1,0),0)</f>
        <v/>
      </c>
      <c r="AS40" s="3">
        <f>IF(AND(Y40&lt;&gt;"",'Historical Score'!$C$7&lt;&gt;""),IF(Y40='Historical Score'!$C$7,1,0),0)</f>
        <v/>
      </c>
      <c r="AT40" s="3">
        <f>IF(AND(K40&lt;&gt;"",'Historical Score'!$C$8&lt;&gt;""),IF(K40='Historical Score'!$C$8,1,0),0)</f>
        <v/>
      </c>
      <c r="AU40" s="3" t="n"/>
      <c r="AV40" s="3" t="n"/>
      <c r="AW40" s="3" t="n"/>
      <c r="AX40" s="3" t="n"/>
      <c r="AY40" s="3" t="n"/>
      <c r="AZ40" s="3" t="n"/>
      <c r="BA40" s="182">
        <f>IF(AD40=1,(AR40*'Historical Score'!$K$29+1-'Historical Score'!$K$29)*(AT40*'Historical Score'!$L$29+1-'Historical Score'!$L$29)*(AS40*'Historical Score'!$M$29+1-'Historical Score'!$M$29)*(AQ40*'Historical Score'!$N$29+1-'Historical Score'!$N$29),0)</f>
        <v/>
      </c>
      <c r="BB40" s="3" t="n"/>
      <c r="BC40" s="3" t="n"/>
    </row>
    <row r="41" ht="15.75" customHeight="1" s="174">
      <c r="A41" s="3" t="inlineStr">
        <is>
          <t>5674151645</t>
        </is>
      </c>
      <c r="B41" s="3" t="inlineStr">
        <is>
          <t>NEXT LEVEL DME</t>
        </is>
      </c>
      <c r="C41" s="3" t="inlineStr">
        <is>
          <t>LINX SOLUTIONS LLC</t>
        </is>
      </c>
      <c r="D41" s="3" t="inlineStr">
        <is>
          <t>Closed</t>
        </is>
      </c>
      <c r="E41" s="23" t="n">
        <v>45719</v>
      </c>
      <c r="F41" s="23" t="n">
        <v>45973</v>
      </c>
      <c r="G41" s="3" t="n">
        <v>6</v>
      </c>
      <c r="H41" s="3" t="inlineStr">
        <is>
          <t>5047</t>
        </is>
      </c>
      <c r="I41" s="3" t="inlineStr">
        <is>
          <t>50</t>
        </is>
      </c>
      <c r="J41" s="3" t="inlineStr">
        <is>
          <t>TN</t>
        </is>
      </c>
      <c r="K41" s="3" t="inlineStr">
        <is>
          <t>PMF</t>
        </is>
      </c>
      <c r="L41" s="3" t="inlineStr">
        <is>
          <t>New Deal</t>
        </is>
      </c>
      <c r="M41" s="3" t="n">
        <v>1.44</v>
      </c>
      <c r="N41" s="28" t="n">
        <v>20000</v>
      </c>
      <c r="O41" s="28" t="n">
        <v>2300</v>
      </c>
      <c r="P41" s="28" t="n">
        <v>28800</v>
      </c>
      <c r="Q41" s="28" t="n">
        <v>28800</v>
      </c>
      <c r="R41" s="28" t="n">
        <v>0</v>
      </c>
      <c r="S41" s="42" t="n">
        <v>1</v>
      </c>
      <c r="T41" s="3" t="n">
        <v>40</v>
      </c>
      <c r="U41" s="3" t="n">
        <v>0</v>
      </c>
      <c r="V41" s="3" t="n"/>
      <c r="W41" s="42" t="n">
        <v>0.0279</v>
      </c>
      <c r="X41" s="23" t="n">
        <v>43748</v>
      </c>
      <c r="Y41" s="3">
        <f>IF(I41="","No SIC",IFERROR(VLOOKUP(I41,Ref!$A$2:$B$65,2,FALSE()),"Unclassified"))</f>
        <v/>
      </c>
      <c r="Z41" s="3">
        <f>IF(T41="","",IF(T41&lt;12,"Daily","Weekly"))</f>
        <v/>
      </c>
      <c r="AA41" s="3">
        <f>IF(T41="",0,IF(T41&lt;12,T41*Controls!$B$13,T41*5))</f>
        <v/>
      </c>
      <c r="AB41" s="3">
        <f>IF(E41="",0,NETWORKDAYS(E41,Controls!$B$20,Ref!$K$2:$K$42))</f>
        <v/>
      </c>
      <c r="AC41" s="3">
        <f>IF(OR(AF41=1,AND(AA41&gt;0,AB41&gt;=Controls!$B$23*AA41)),1,0)</f>
        <v/>
      </c>
      <c r="AD41" s="3">
        <f>IF(AND(E41&lt;&gt;"",E41&gt;=Controls!$B$21,E41&lt;=Controls!$B$22),1,0)</f>
        <v/>
      </c>
      <c r="AE41" s="3">
        <f>IF(IFERROR(VLOOKUP(D41,Controls!$A$36:$E$46,2,FALSE()),"No")="Yes",1,0)</f>
        <v/>
      </c>
      <c r="AF41" s="3">
        <f>IF(IFERROR(VLOOKUP(D41,Controls!$A$36:$E$46,3,FALSE()),"No")="Yes",1,0)</f>
        <v/>
      </c>
      <c r="AG41" s="3">
        <f>IF(IFERROR(VLOOKUP(D41,Controls!$A$36:$E$46,4,FALSE()),"No")="Yes",1,0)</f>
        <v/>
      </c>
      <c r="AH41" s="3">
        <f>IF(IFERROR(VLOOKUP(D41,Controls!$A$36:$E$46,5,FALSE()),"No")="Yes",1,0)</f>
        <v/>
      </c>
      <c r="AI41" s="3">
        <f>IF(ISNUMBER(MATCH(D41,Controls!$A$36:$A$46,0)),1,0)</f>
        <v/>
      </c>
      <c r="AJ41" s="28">
        <f>Q41-N41</f>
        <v/>
      </c>
      <c r="AK41" s="3">
        <f>IF(AE41=1,MAX(0,N41-Q41),0)</f>
        <v/>
      </c>
      <c r="AL41" s="3">
        <f>IF(OR(V41="",V41=0),0,N41/V41)</f>
        <v/>
      </c>
      <c r="AM41" s="3">
        <f>IF(OR(V41="",V41=0),0,1)</f>
        <v/>
      </c>
      <c r="AN41" s="3">
        <f>IF(OR(E41="",F41=""),0,NETWORKDAYS(E41,F41,Ref!$K$2:$K$42))</f>
        <v/>
      </c>
      <c r="AO41" s="3">
        <f>IF(L41="Renewal",1,0)</f>
        <v/>
      </c>
      <c r="AP41" s="3">
        <f>AC41*AD41</f>
        <v/>
      </c>
      <c r="AQ41" s="3">
        <f>IF(AND(G41&lt;&gt;"",'Historical Score'!$C$6&lt;&gt;""),IF(G41='Historical Score'!$C$6,1,0),0)</f>
        <v/>
      </c>
      <c r="AR41" s="3">
        <f>IF(AND(L41&lt;&gt;"",'Historical Score'!$C$5&lt;&gt;""),IF(L41='Historical Score'!$C$5,1,0),0)</f>
        <v/>
      </c>
      <c r="AS41" s="3">
        <f>IF(AND(Y41&lt;&gt;"",'Historical Score'!$C$7&lt;&gt;""),IF(Y41='Historical Score'!$C$7,1,0),0)</f>
        <v/>
      </c>
      <c r="AT41" s="3">
        <f>IF(AND(K41&lt;&gt;"",'Historical Score'!$C$8&lt;&gt;""),IF(K41='Historical Score'!$C$8,1,0),0)</f>
        <v/>
      </c>
      <c r="AU41" s="3" t="n"/>
      <c r="AV41" s="3" t="n"/>
      <c r="AW41" s="3" t="n"/>
      <c r="AX41" s="3" t="n"/>
      <c r="AY41" s="3" t="n"/>
      <c r="AZ41" s="3" t="n"/>
      <c r="BA41" s="182">
        <f>IF(AD41=1,(AR41*'Historical Score'!$K$29+1-'Historical Score'!$K$29)*(AT41*'Historical Score'!$L$29+1-'Historical Score'!$L$29)*(AS41*'Historical Score'!$M$29+1-'Historical Score'!$M$29)*(AQ41*'Historical Score'!$N$29+1-'Historical Score'!$N$29),0)</f>
        <v/>
      </c>
      <c r="BB41" s="3" t="n"/>
      <c r="BC41" s="3" t="n"/>
    </row>
    <row r="42" ht="15.75" customHeight="1" s="174">
      <c r="A42" s="3" t="inlineStr">
        <is>
          <t>5674151913</t>
        </is>
      </c>
      <c r="B42" s="3" t="inlineStr">
        <is>
          <t>S&amp;E ENTERPRISE LLC</t>
        </is>
      </c>
      <c r="C42" s="3" t="inlineStr">
        <is>
          <t>S&amp;E ENTERPRISE LLC</t>
        </is>
      </c>
      <c r="D42" s="3" t="inlineStr">
        <is>
          <t>Closed</t>
        </is>
      </c>
      <c r="E42" s="23" t="n">
        <v>45721</v>
      </c>
      <c r="F42" s="23" t="n">
        <v>45804</v>
      </c>
      <c r="G42" s="3" t="n">
        <v>2</v>
      </c>
      <c r="H42" s="3" t="inlineStr">
        <is>
          <t>1751</t>
        </is>
      </c>
      <c r="I42" s="3" t="inlineStr">
        <is>
          <t>17</t>
        </is>
      </c>
      <c r="J42" s="3" t="inlineStr">
        <is>
          <t>RI</t>
        </is>
      </c>
      <c r="K42" s="3" t="inlineStr">
        <is>
          <t>Triumph Cap Fund</t>
        </is>
      </c>
      <c r="L42" s="3" t="inlineStr">
        <is>
          <t>New Deal</t>
        </is>
      </c>
      <c r="M42" s="3" t="n">
        <v>1.49</v>
      </c>
      <c r="N42" s="28" t="n">
        <v>22000</v>
      </c>
      <c r="O42" s="28" t="n">
        <v>3080</v>
      </c>
      <c r="P42" s="28" t="n">
        <v>32780</v>
      </c>
      <c r="Q42" s="28" t="n">
        <v>32780</v>
      </c>
      <c r="R42" s="28" t="n">
        <v>0</v>
      </c>
      <c r="S42" s="42" t="n">
        <v>1</v>
      </c>
      <c r="T42" s="3" t="n">
        <v>3.607</v>
      </c>
      <c r="U42" s="3" t="n">
        <v>0</v>
      </c>
      <c r="V42" s="3" t="n"/>
      <c r="W42" s="42" t="n">
        <v>0.1784</v>
      </c>
      <c r="X42" s="23" t="n">
        <v>45005</v>
      </c>
      <c r="Y42" s="3">
        <f>IF(I42="","No SIC",IFERROR(VLOOKUP(I42,Ref!$A$2:$B$65,2,FALSE()),"Unclassified"))</f>
        <v/>
      </c>
      <c r="Z42" s="3">
        <f>IF(T42="","",IF(T42&lt;12,"Daily","Weekly"))</f>
        <v/>
      </c>
      <c r="AA42" s="3">
        <f>IF(T42="",0,IF(T42&lt;12,T42*Controls!$B$13,T42*5))</f>
        <v/>
      </c>
      <c r="AB42" s="3">
        <f>IF(E42="",0,NETWORKDAYS(E42,Controls!$B$20,Ref!$K$2:$K$42))</f>
        <v/>
      </c>
      <c r="AC42" s="3">
        <f>IF(OR(AF42=1,AND(AA42&gt;0,AB42&gt;=Controls!$B$23*AA42)),1,0)</f>
        <v/>
      </c>
      <c r="AD42" s="3">
        <f>IF(AND(E42&lt;&gt;"",E42&gt;=Controls!$B$21,E42&lt;=Controls!$B$22),1,0)</f>
        <v/>
      </c>
      <c r="AE42" s="3">
        <f>IF(IFERROR(VLOOKUP(D42,Controls!$A$36:$E$46,2,FALSE()),"No")="Yes",1,0)</f>
        <v/>
      </c>
      <c r="AF42" s="3">
        <f>IF(IFERROR(VLOOKUP(D42,Controls!$A$36:$E$46,3,FALSE()),"No")="Yes",1,0)</f>
        <v/>
      </c>
      <c r="AG42" s="3">
        <f>IF(IFERROR(VLOOKUP(D42,Controls!$A$36:$E$46,4,FALSE()),"No")="Yes",1,0)</f>
        <v/>
      </c>
      <c r="AH42" s="3">
        <f>IF(IFERROR(VLOOKUP(D42,Controls!$A$36:$E$46,5,FALSE()),"No")="Yes",1,0)</f>
        <v/>
      </c>
      <c r="AI42" s="3">
        <f>IF(ISNUMBER(MATCH(D42,Controls!$A$36:$A$46,0)),1,0)</f>
        <v/>
      </c>
      <c r="AJ42" s="28">
        <f>Q42-N42</f>
        <v/>
      </c>
      <c r="AK42" s="3">
        <f>IF(AE42=1,MAX(0,N42-Q42),0)</f>
        <v/>
      </c>
      <c r="AL42" s="3">
        <f>IF(OR(V42="",V42=0),0,N42/V42)</f>
        <v/>
      </c>
      <c r="AM42" s="3">
        <f>IF(OR(V42="",V42=0),0,1)</f>
        <v/>
      </c>
      <c r="AN42" s="3">
        <f>IF(OR(E42="",F42=""),0,NETWORKDAYS(E42,F42,Ref!$K$2:$K$42))</f>
        <v/>
      </c>
      <c r="AO42" s="3">
        <f>IF(L42="Renewal",1,0)</f>
        <v/>
      </c>
      <c r="AP42" s="3">
        <f>AC42*AD42</f>
        <v/>
      </c>
      <c r="AQ42" s="3">
        <f>IF(AND(G42&lt;&gt;"",'Historical Score'!$C$6&lt;&gt;""),IF(G42='Historical Score'!$C$6,1,0),0)</f>
        <v/>
      </c>
      <c r="AR42" s="3">
        <f>IF(AND(L42&lt;&gt;"",'Historical Score'!$C$5&lt;&gt;""),IF(L42='Historical Score'!$C$5,1,0),0)</f>
        <v/>
      </c>
      <c r="AS42" s="3">
        <f>IF(AND(Y42&lt;&gt;"",'Historical Score'!$C$7&lt;&gt;""),IF(Y42='Historical Score'!$C$7,1,0),0)</f>
        <v/>
      </c>
      <c r="AT42" s="3">
        <f>IF(AND(K42&lt;&gt;"",'Historical Score'!$C$8&lt;&gt;""),IF(K42='Historical Score'!$C$8,1,0),0)</f>
        <v/>
      </c>
      <c r="AU42" s="3" t="n"/>
      <c r="AV42" s="3" t="n"/>
      <c r="AW42" s="3" t="n"/>
      <c r="AX42" s="3" t="n"/>
      <c r="AY42" s="3" t="n"/>
      <c r="AZ42" s="3" t="n"/>
      <c r="BA42" s="182">
        <f>IF(AD42=1,(AR42*'Historical Score'!$K$29+1-'Historical Score'!$K$29)*(AT42*'Historical Score'!$L$29+1-'Historical Score'!$L$29)*(AS42*'Historical Score'!$M$29+1-'Historical Score'!$M$29)*(AQ42*'Historical Score'!$N$29+1-'Historical Score'!$N$29),0)</f>
        <v/>
      </c>
      <c r="BB42" s="3" t="n"/>
      <c r="BC42" s="3" t="n"/>
    </row>
    <row r="43" ht="15.75" customHeight="1" s="174">
      <c r="A43" s="3" t="inlineStr">
        <is>
          <t>5674151967</t>
        </is>
      </c>
      <c r="B43" s="3" t="inlineStr">
        <is>
          <t>ANDERSON CARPENTRY CO</t>
        </is>
      </c>
      <c r="C43" s="3" t="inlineStr">
        <is>
          <t>ANDERSON CARPENTRY AND CO</t>
        </is>
      </c>
      <c r="D43" s="3" t="inlineStr">
        <is>
          <t>Closed</t>
        </is>
      </c>
      <c r="E43" s="23" t="n">
        <v>45722</v>
      </c>
      <c r="F43" s="23" t="n">
        <v>45813</v>
      </c>
      <c r="G43" s="3" t="n">
        <v>1</v>
      </c>
      <c r="H43" s="3" t="inlineStr">
        <is>
          <t>1629</t>
        </is>
      </c>
      <c r="I43" s="3" t="inlineStr">
        <is>
          <t>16</t>
        </is>
      </c>
      <c r="J43" s="3" t="inlineStr">
        <is>
          <t>FL</t>
        </is>
      </c>
      <c r="K43" s="3" t="inlineStr">
        <is>
          <t>Samson Funding</t>
        </is>
      </c>
      <c r="L43" s="3" t="inlineStr">
        <is>
          <t>New Deal</t>
        </is>
      </c>
      <c r="M43" s="3" t="n">
        <v>1.49</v>
      </c>
      <c r="N43" s="28" t="n">
        <v>10000</v>
      </c>
      <c r="O43" s="28" t="n">
        <v>1400</v>
      </c>
      <c r="P43" s="28" t="n">
        <v>14900</v>
      </c>
      <c r="Q43" s="28" t="n">
        <v>14900</v>
      </c>
      <c r="R43" s="28" t="n">
        <v>0</v>
      </c>
      <c r="S43" s="42" t="n">
        <v>1</v>
      </c>
      <c r="T43" s="3" t="n">
        <v>3.279</v>
      </c>
      <c r="U43" s="3" t="n">
        <v>0</v>
      </c>
      <c r="V43" s="3" t="n"/>
      <c r="W43" s="42" t="n">
        <v>0.09810000000000001</v>
      </c>
      <c r="X43" s="23" t="n">
        <v>44977</v>
      </c>
      <c r="Y43" s="3">
        <f>IF(I43="","No SIC",IFERROR(VLOOKUP(I43,Ref!$A$2:$B$65,2,FALSE()),"Unclassified"))</f>
        <v/>
      </c>
      <c r="Z43" s="3">
        <f>IF(T43="","",IF(T43&lt;12,"Daily","Weekly"))</f>
        <v/>
      </c>
      <c r="AA43" s="3">
        <f>IF(T43="",0,IF(T43&lt;12,T43*Controls!$B$13,T43*5))</f>
        <v/>
      </c>
      <c r="AB43" s="3">
        <f>IF(E43="",0,NETWORKDAYS(E43,Controls!$B$20,Ref!$K$2:$K$42))</f>
        <v/>
      </c>
      <c r="AC43" s="3">
        <f>IF(OR(AF43=1,AND(AA43&gt;0,AB43&gt;=Controls!$B$23*AA43)),1,0)</f>
        <v/>
      </c>
      <c r="AD43" s="3">
        <f>IF(AND(E43&lt;&gt;"",E43&gt;=Controls!$B$21,E43&lt;=Controls!$B$22),1,0)</f>
        <v/>
      </c>
      <c r="AE43" s="3">
        <f>IF(IFERROR(VLOOKUP(D43,Controls!$A$36:$E$46,2,FALSE()),"No")="Yes",1,0)</f>
        <v/>
      </c>
      <c r="AF43" s="3">
        <f>IF(IFERROR(VLOOKUP(D43,Controls!$A$36:$E$46,3,FALSE()),"No")="Yes",1,0)</f>
        <v/>
      </c>
      <c r="AG43" s="3">
        <f>IF(IFERROR(VLOOKUP(D43,Controls!$A$36:$E$46,4,FALSE()),"No")="Yes",1,0)</f>
        <v/>
      </c>
      <c r="AH43" s="3">
        <f>IF(IFERROR(VLOOKUP(D43,Controls!$A$36:$E$46,5,FALSE()),"No")="Yes",1,0)</f>
        <v/>
      </c>
      <c r="AI43" s="3">
        <f>IF(ISNUMBER(MATCH(D43,Controls!$A$36:$A$46,0)),1,0)</f>
        <v/>
      </c>
      <c r="AJ43" s="28">
        <f>Q43-N43</f>
        <v/>
      </c>
      <c r="AK43" s="3">
        <f>IF(AE43=1,MAX(0,N43-Q43),0)</f>
        <v/>
      </c>
      <c r="AL43" s="3">
        <f>IF(OR(V43="",V43=0),0,N43/V43)</f>
        <v/>
      </c>
      <c r="AM43" s="3">
        <f>IF(OR(V43="",V43=0),0,1)</f>
        <v/>
      </c>
      <c r="AN43" s="3">
        <f>IF(OR(E43="",F43=""),0,NETWORKDAYS(E43,F43,Ref!$K$2:$K$42))</f>
        <v/>
      </c>
      <c r="AO43" s="3">
        <f>IF(L43="Renewal",1,0)</f>
        <v/>
      </c>
      <c r="AP43" s="3">
        <f>AC43*AD43</f>
        <v/>
      </c>
      <c r="AQ43" s="3">
        <f>IF(AND(G43&lt;&gt;"",'Historical Score'!$C$6&lt;&gt;""),IF(G43='Historical Score'!$C$6,1,0),0)</f>
        <v/>
      </c>
      <c r="AR43" s="3">
        <f>IF(AND(L43&lt;&gt;"",'Historical Score'!$C$5&lt;&gt;""),IF(L43='Historical Score'!$C$5,1,0),0)</f>
        <v/>
      </c>
      <c r="AS43" s="3">
        <f>IF(AND(Y43&lt;&gt;"",'Historical Score'!$C$7&lt;&gt;""),IF(Y43='Historical Score'!$C$7,1,0),0)</f>
        <v/>
      </c>
      <c r="AT43" s="3">
        <f>IF(AND(K43&lt;&gt;"",'Historical Score'!$C$8&lt;&gt;""),IF(K43='Historical Score'!$C$8,1,0),0)</f>
        <v/>
      </c>
      <c r="AU43" s="3" t="n"/>
      <c r="AV43" s="3" t="n"/>
      <c r="AW43" s="3" t="n"/>
      <c r="AX43" s="3" t="n"/>
      <c r="AY43" s="3" t="n"/>
      <c r="AZ43" s="3" t="n"/>
      <c r="BA43" s="182">
        <f>IF(AD43=1,(AR43*'Historical Score'!$K$29+1-'Historical Score'!$K$29)*(AT43*'Historical Score'!$L$29+1-'Historical Score'!$L$29)*(AS43*'Historical Score'!$M$29+1-'Historical Score'!$M$29)*(AQ43*'Historical Score'!$N$29+1-'Historical Score'!$N$29),0)</f>
        <v/>
      </c>
      <c r="BB43" s="3" t="n"/>
      <c r="BC43" s="3" t="n"/>
    </row>
    <row r="44" ht="15.75" customHeight="1" s="174">
      <c r="A44" s="3" t="inlineStr">
        <is>
          <t>5674152037</t>
        </is>
      </c>
      <c r="B44" s="3" t="inlineStr">
        <is>
          <t>COOPER PRINTING</t>
        </is>
      </c>
      <c r="C44" s="3" t="inlineStr">
        <is>
          <t>COOPER PRINTING</t>
        </is>
      </c>
      <c r="D44" s="3" t="inlineStr">
        <is>
          <t>Closed</t>
        </is>
      </c>
      <c r="E44" s="23" t="n">
        <v>45722</v>
      </c>
      <c r="F44" s="23" t="n">
        <v>45821</v>
      </c>
      <c r="G44" s="3" t="n">
        <v>4</v>
      </c>
      <c r="H44" s="3" t="inlineStr">
        <is>
          <t>5699</t>
        </is>
      </c>
      <c r="I44" s="3" t="inlineStr">
        <is>
          <t>56</t>
        </is>
      </c>
      <c r="J44" s="3" t="inlineStr">
        <is>
          <t>MS</t>
        </is>
      </c>
      <c r="K44" s="3" t="inlineStr">
        <is>
          <t>Platform Funding</t>
        </is>
      </c>
      <c r="L44" s="3" t="inlineStr">
        <is>
          <t>Renewal</t>
        </is>
      </c>
      <c r="M44" s="3" t="n">
        <v>1.47</v>
      </c>
      <c r="N44" s="28" t="n">
        <v>4000</v>
      </c>
      <c r="O44" s="28" t="n">
        <v>520</v>
      </c>
      <c r="P44" s="28" t="n">
        <v>5880</v>
      </c>
      <c r="Q44" s="28" t="n">
        <v>5880</v>
      </c>
      <c r="R44" s="28" t="n">
        <v>0</v>
      </c>
      <c r="S44" s="42" t="n">
        <v>1</v>
      </c>
      <c r="T44" s="3" t="n">
        <v>2.295</v>
      </c>
      <c r="U44" s="3" t="n">
        <v>0</v>
      </c>
      <c r="V44" s="3" t="n"/>
      <c r="W44" s="42" t="n">
        <v>0.1421</v>
      </c>
      <c r="X44" s="23" t="n">
        <v>44350</v>
      </c>
      <c r="Y44" s="3">
        <f>IF(I44="","No SIC",IFERROR(VLOOKUP(I44,Ref!$A$2:$B$65,2,FALSE()),"Unclassified"))</f>
        <v/>
      </c>
      <c r="Z44" s="3">
        <f>IF(T44="","",IF(T44&lt;12,"Daily","Weekly"))</f>
        <v/>
      </c>
      <c r="AA44" s="3">
        <f>IF(T44="",0,IF(T44&lt;12,T44*Controls!$B$13,T44*5))</f>
        <v/>
      </c>
      <c r="AB44" s="3">
        <f>IF(E44="",0,NETWORKDAYS(E44,Controls!$B$20,Ref!$K$2:$K$42))</f>
        <v/>
      </c>
      <c r="AC44" s="3">
        <f>IF(OR(AF44=1,AND(AA44&gt;0,AB44&gt;=Controls!$B$23*AA44)),1,0)</f>
        <v/>
      </c>
      <c r="AD44" s="3">
        <f>IF(AND(E44&lt;&gt;"",E44&gt;=Controls!$B$21,E44&lt;=Controls!$B$22),1,0)</f>
        <v/>
      </c>
      <c r="AE44" s="3">
        <f>IF(IFERROR(VLOOKUP(D44,Controls!$A$36:$E$46,2,FALSE()),"No")="Yes",1,0)</f>
        <v/>
      </c>
      <c r="AF44" s="3">
        <f>IF(IFERROR(VLOOKUP(D44,Controls!$A$36:$E$46,3,FALSE()),"No")="Yes",1,0)</f>
        <v/>
      </c>
      <c r="AG44" s="3">
        <f>IF(IFERROR(VLOOKUP(D44,Controls!$A$36:$E$46,4,FALSE()),"No")="Yes",1,0)</f>
        <v/>
      </c>
      <c r="AH44" s="3">
        <f>IF(IFERROR(VLOOKUP(D44,Controls!$A$36:$E$46,5,FALSE()),"No")="Yes",1,0)</f>
        <v/>
      </c>
      <c r="AI44" s="3">
        <f>IF(ISNUMBER(MATCH(D44,Controls!$A$36:$A$46,0)),1,0)</f>
        <v/>
      </c>
      <c r="AJ44" s="28">
        <f>Q44-N44</f>
        <v/>
      </c>
      <c r="AK44" s="3">
        <f>IF(AE44=1,MAX(0,N44-Q44),0)</f>
        <v/>
      </c>
      <c r="AL44" s="3">
        <f>IF(OR(V44="",V44=0),0,N44/V44)</f>
        <v/>
      </c>
      <c r="AM44" s="3">
        <f>IF(OR(V44="",V44=0),0,1)</f>
        <v/>
      </c>
      <c r="AN44" s="3">
        <f>IF(OR(E44="",F44=""),0,NETWORKDAYS(E44,F44,Ref!$K$2:$K$42))</f>
        <v/>
      </c>
      <c r="AO44" s="3">
        <f>IF(L44="Renewal",1,0)</f>
        <v/>
      </c>
      <c r="AP44" s="3">
        <f>AC44*AD44</f>
        <v/>
      </c>
      <c r="AQ44" s="3">
        <f>IF(AND(G44&lt;&gt;"",'Historical Score'!$C$6&lt;&gt;""),IF(G44='Historical Score'!$C$6,1,0),0)</f>
        <v/>
      </c>
      <c r="AR44" s="3">
        <f>IF(AND(L44&lt;&gt;"",'Historical Score'!$C$5&lt;&gt;""),IF(L44='Historical Score'!$C$5,1,0),0)</f>
        <v/>
      </c>
      <c r="AS44" s="3">
        <f>IF(AND(Y44&lt;&gt;"",'Historical Score'!$C$7&lt;&gt;""),IF(Y44='Historical Score'!$C$7,1,0),0)</f>
        <v/>
      </c>
      <c r="AT44" s="3">
        <f>IF(AND(K44&lt;&gt;"",'Historical Score'!$C$8&lt;&gt;""),IF(K44='Historical Score'!$C$8,1,0),0)</f>
        <v/>
      </c>
      <c r="AU44" s="3" t="n"/>
      <c r="AV44" s="3" t="n"/>
      <c r="AW44" s="3" t="n"/>
      <c r="AX44" s="3" t="n"/>
      <c r="AY44" s="3" t="n"/>
      <c r="AZ44" s="3" t="n"/>
      <c r="BA44" s="182">
        <f>IF(AD44=1,(AR44*'Historical Score'!$K$29+1-'Historical Score'!$K$29)*(AT44*'Historical Score'!$L$29+1-'Historical Score'!$L$29)*(AS44*'Historical Score'!$M$29+1-'Historical Score'!$M$29)*(AQ44*'Historical Score'!$N$29+1-'Historical Score'!$N$29),0)</f>
        <v/>
      </c>
      <c r="BB44" s="3" t="n"/>
      <c r="BC44" s="3" t="n"/>
    </row>
    <row r="45" ht="15.75" customHeight="1" s="174">
      <c r="A45" s="3" t="inlineStr">
        <is>
          <t>5674152412</t>
        </is>
      </c>
      <c r="B45" s="3" t="inlineStr">
        <is>
          <t>Anzar Deliveries</t>
        </is>
      </c>
      <c r="C45" s="3" t="inlineStr">
        <is>
          <t>Anzar Deliveries LLC</t>
        </is>
      </c>
      <c r="D45" s="3" t="inlineStr">
        <is>
          <t>Closed</t>
        </is>
      </c>
      <c r="E45" s="23" t="n">
        <v>45728</v>
      </c>
      <c r="F45" s="23" t="n">
        <v>45772</v>
      </c>
      <c r="G45" s="3" t="n">
        <v>6</v>
      </c>
      <c r="H45" s="3" t="inlineStr">
        <is>
          <t>4213</t>
        </is>
      </c>
      <c r="I45" s="3" t="inlineStr">
        <is>
          <t>42</t>
        </is>
      </c>
      <c r="J45" s="3" t="inlineStr">
        <is>
          <t>CA</t>
        </is>
      </c>
      <c r="K45" s="3" t="inlineStr">
        <is>
          <t>Business Fund USA 4</t>
        </is>
      </c>
      <c r="L45" s="3" t="inlineStr">
        <is>
          <t>New Deal</t>
        </is>
      </c>
      <c r="M45" s="3" t="n">
        <v>1.39</v>
      </c>
      <c r="N45" s="28" t="n">
        <v>5500</v>
      </c>
      <c r="O45" s="28" t="n">
        <v>495</v>
      </c>
      <c r="P45" s="28" t="n">
        <v>7645</v>
      </c>
      <c r="Q45" s="28" t="n">
        <v>7645</v>
      </c>
      <c r="R45" s="28" t="n">
        <v>-9.09494701772928e-13</v>
      </c>
      <c r="S45" s="42" t="n">
        <v>1</v>
      </c>
      <c r="T45" s="3" t="n">
        <v>2.295</v>
      </c>
      <c r="U45" s="3" t="n">
        <v>1</v>
      </c>
      <c r="V45" s="3" t="n"/>
      <c r="W45" s="42" t="n">
        <v>0.06</v>
      </c>
      <c r="X45" s="23" t="n"/>
      <c r="Y45" s="3">
        <f>IF(I45="","No SIC",IFERROR(VLOOKUP(I45,Ref!$A$2:$B$65,2,FALSE()),"Unclassified"))</f>
        <v/>
      </c>
      <c r="Z45" s="3">
        <f>IF(T45="","",IF(T45&lt;12,"Daily","Weekly"))</f>
        <v/>
      </c>
      <c r="AA45" s="3">
        <f>IF(T45="",0,IF(T45&lt;12,T45*Controls!$B$13,T45*5))</f>
        <v/>
      </c>
      <c r="AB45" s="3">
        <f>IF(E45="",0,NETWORKDAYS(E45,Controls!$B$20,Ref!$K$2:$K$42))</f>
        <v/>
      </c>
      <c r="AC45" s="3">
        <f>IF(OR(AF45=1,AND(AA45&gt;0,AB45&gt;=Controls!$B$23*AA45)),1,0)</f>
        <v/>
      </c>
      <c r="AD45" s="3">
        <f>IF(AND(E45&lt;&gt;"",E45&gt;=Controls!$B$21,E45&lt;=Controls!$B$22),1,0)</f>
        <v/>
      </c>
      <c r="AE45" s="3">
        <f>IF(IFERROR(VLOOKUP(D45,Controls!$A$36:$E$46,2,FALSE()),"No")="Yes",1,0)</f>
        <v/>
      </c>
      <c r="AF45" s="3">
        <f>IF(IFERROR(VLOOKUP(D45,Controls!$A$36:$E$46,3,FALSE()),"No")="Yes",1,0)</f>
        <v/>
      </c>
      <c r="AG45" s="3">
        <f>IF(IFERROR(VLOOKUP(D45,Controls!$A$36:$E$46,4,FALSE()),"No")="Yes",1,0)</f>
        <v/>
      </c>
      <c r="AH45" s="3">
        <f>IF(IFERROR(VLOOKUP(D45,Controls!$A$36:$E$46,5,FALSE()),"No")="Yes",1,0)</f>
        <v/>
      </c>
      <c r="AI45" s="3">
        <f>IF(ISNUMBER(MATCH(D45,Controls!$A$36:$A$46,0)),1,0)</f>
        <v/>
      </c>
      <c r="AJ45" s="28">
        <f>Q45-N45</f>
        <v/>
      </c>
      <c r="AK45" s="3">
        <f>IF(AE45=1,MAX(0,N45-Q45),0)</f>
        <v/>
      </c>
      <c r="AL45" s="3">
        <f>IF(OR(V45="",V45=0),0,N45/V45)</f>
        <v/>
      </c>
      <c r="AM45" s="3">
        <f>IF(OR(V45="",V45=0),0,1)</f>
        <v/>
      </c>
      <c r="AN45" s="3">
        <f>IF(OR(E45="",F45=""),0,NETWORKDAYS(E45,F45,Ref!$K$2:$K$42))</f>
        <v/>
      </c>
      <c r="AO45" s="3">
        <f>IF(L45="Renewal",1,0)</f>
        <v/>
      </c>
      <c r="AP45" s="3">
        <f>AC45*AD45</f>
        <v/>
      </c>
      <c r="AQ45" s="3">
        <f>IF(AND(G45&lt;&gt;"",'Historical Score'!$C$6&lt;&gt;""),IF(G45='Historical Score'!$C$6,1,0),0)</f>
        <v/>
      </c>
      <c r="AR45" s="3">
        <f>IF(AND(L45&lt;&gt;"",'Historical Score'!$C$5&lt;&gt;""),IF(L45='Historical Score'!$C$5,1,0),0)</f>
        <v/>
      </c>
      <c r="AS45" s="3">
        <f>IF(AND(Y45&lt;&gt;"",'Historical Score'!$C$7&lt;&gt;""),IF(Y45='Historical Score'!$C$7,1,0),0)</f>
        <v/>
      </c>
      <c r="AT45" s="3">
        <f>IF(AND(K45&lt;&gt;"",'Historical Score'!$C$8&lt;&gt;""),IF(K45='Historical Score'!$C$8,1,0),0)</f>
        <v/>
      </c>
      <c r="AU45" s="3" t="n"/>
      <c r="AV45" s="3" t="n"/>
      <c r="AW45" s="3" t="n"/>
      <c r="AX45" s="3" t="n"/>
      <c r="AY45" s="3" t="n"/>
      <c r="AZ45" s="3" t="n"/>
      <c r="BA45" s="182">
        <f>IF(AD45=1,(AR45*'Historical Score'!$K$29+1-'Historical Score'!$K$29)*(AT45*'Historical Score'!$L$29+1-'Historical Score'!$L$29)*(AS45*'Historical Score'!$M$29+1-'Historical Score'!$M$29)*(AQ45*'Historical Score'!$N$29+1-'Historical Score'!$N$29),0)</f>
        <v/>
      </c>
      <c r="BB45" s="3" t="n"/>
      <c r="BC45" s="3" t="n"/>
    </row>
    <row r="46" ht="15.75" customHeight="1" s="174">
      <c r="A46" s="3" t="inlineStr">
        <is>
          <t>5674152422</t>
        </is>
      </c>
      <c r="B46" s="3" t="inlineStr">
        <is>
          <t>Care &amp; Wellness Solutions</t>
        </is>
      </c>
      <c r="C46" s="3" t="inlineStr">
        <is>
          <t>Care &amp; Wellness Solutions LLC</t>
        </is>
      </c>
      <c r="D46" s="3" t="inlineStr">
        <is>
          <t>Written-Off</t>
        </is>
      </c>
      <c r="E46" s="23" t="n">
        <v>45728</v>
      </c>
      <c r="F46" s="23" t="n">
        <v>45961</v>
      </c>
      <c r="G46" s="3" t="n">
        <v>2</v>
      </c>
      <c r="H46" s="3" t="inlineStr">
        <is>
          <t>8049</t>
        </is>
      </c>
      <c r="I46" s="3" t="inlineStr">
        <is>
          <t>80</t>
        </is>
      </c>
      <c r="J46" s="3" t="inlineStr">
        <is>
          <t>VA</t>
        </is>
      </c>
      <c r="K46" s="3" t="inlineStr">
        <is>
          <t>Klendify</t>
        </is>
      </c>
      <c r="L46" s="3" t="inlineStr">
        <is>
          <t>New Deal</t>
        </is>
      </c>
      <c r="M46" s="3" t="n">
        <v>1.49</v>
      </c>
      <c r="N46" s="28" t="n">
        <v>3000</v>
      </c>
      <c r="O46" s="28" t="n">
        <v>420</v>
      </c>
      <c r="P46" s="28" t="n">
        <v>4470</v>
      </c>
      <c r="Q46" s="28" t="n">
        <v>3622.86</v>
      </c>
      <c r="R46" s="28" t="n">
        <v>847.14</v>
      </c>
      <c r="S46" s="42" t="n">
        <v>0.81048322147651</v>
      </c>
      <c r="T46" s="3" t="n">
        <v>2.623</v>
      </c>
      <c r="U46" s="3" t="n">
        <v>45</v>
      </c>
      <c r="V46" s="3" t="n"/>
      <c r="W46" s="42" t="n">
        <v>0.0472</v>
      </c>
      <c r="X46" s="23" t="n">
        <v>44902</v>
      </c>
      <c r="Y46" s="3">
        <f>IF(I46="","No SIC",IFERROR(VLOOKUP(I46,Ref!$A$2:$B$65,2,FALSE()),"Unclassified"))</f>
        <v/>
      </c>
      <c r="Z46" s="3">
        <f>IF(T46="","",IF(T46&lt;12,"Daily","Weekly"))</f>
        <v/>
      </c>
      <c r="AA46" s="3">
        <f>IF(T46="",0,IF(T46&lt;12,T46*Controls!$B$13,T46*5))</f>
        <v/>
      </c>
      <c r="AB46" s="3">
        <f>IF(E46="",0,NETWORKDAYS(E46,Controls!$B$20,Ref!$K$2:$K$42))</f>
        <v/>
      </c>
      <c r="AC46" s="3">
        <f>IF(OR(AF46=1,AND(AA46&gt;0,AB46&gt;=Controls!$B$23*AA46)),1,0)</f>
        <v/>
      </c>
      <c r="AD46" s="3">
        <f>IF(AND(E46&lt;&gt;"",E46&gt;=Controls!$B$21,E46&lt;=Controls!$B$22),1,0)</f>
        <v/>
      </c>
      <c r="AE46" s="3">
        <f>IF(IFERROR(VLOOKUP(D46,Controls!$A$36:$E$46,2,FALSE()),"No")="Yes",1,0)</f>
        <v/>
      </c>
      <c r="AF46" s="3">
        <f>IF(IFERROR(VLOOKUP(D46,Controls!$A$36:$E$46,3,FALSE()),"No")="Yes",1,0)</f>
        <v/>
      </c>
      <c r="AG46" s="3">
        <f>IF(IFERROR(VLOOKUP(D46,Controls!$A$36:$E$46,4,FALSE()),"No")="Yes",1,0)</f>
        <v/>
      </c>
      <c r="AH46" s="3">
        <f>IF(IFERROR(VLOOKUP(D46,Controls!$A$36:$E$46,5,FALSE()),"No")="Yes",1,0)</f>
        <v/>
      </c>
      <c r="AI46" s="3">
        <f>IF(ISNUMBER(MATCH(D46,Controls!$A$36:$A$46,0)),1,0)</f>
        <v/>
      </c>
      <c r="AJ46" s="28">
        <f>Q46-N46</f>
        <v/>
      </c>
      <c r="AK46" s="3">
        <f>IF(AE46=1,MAX(0,N46-Q46),0)</f>
        <v/>
      </c>
      <c r="AL46" s="3">
        <f>IF(OR(V46="",V46=0),0,N46/V46)</f>
        <v/>
      </c>
      <c r="AM46" s="3">
        <f>IF(OR(V46="",V46=0),0,1)</f>
        <v/>
      </c>
      <c r="AN46" s="3">
        <f>IF(OR(E46="",F46=""),0,NETWORKDAYS(E46,F46,Ref!$K$2:$K$42))</f>
        <v/>
      </c>
      <c r="AO46" s="3">
        <f>IF(L46="Renewal",1,0)</f>
        <v/>
      </c>
      <c r="AP46" s="3">
        <f>AC46*AD46</f>
        <v/>
      </c>
      <c r="AQ46" s="3">
        <f>IF(AND(G46&lt;&gt;"",'Historical Score'!$C$6&lt;&gt;""),IF(G46='Historical Score'!$C$6,1,0),0)</f>
        <v/>
      </c>
      <c r="AR46" s="3">
        <f>IF(AND(L46&lt;&gt;"",'Historical Score'!$C$5&lt;&gt;""),IF(L46='Historical Score'!$C$5,1,0),0)</f>
        <v/>
      </c>
      <c r="AS46" s="3">
        <f>IF(AND(Y46&lt;&gt;"",'Historical Score'!$C$7&lt;&gt;""),IF(Y46='Historical Score'!$C$7,1,0),0)</f>
        <v/>
      </c>
      <c r="AT46" s="3">
        <f>IF(AND(K46&lt;&gt;"",'Historical Score'!$C$8&lt;&gt;""),IF(K46='Historical Score'!$C$8,1,0),0)</f>
        <v/>
      </c>
      <c r="AU46" s="3" t="n"/>
      <c r="AV46" s="3" t="n"/>
      <c r="AW46" s="3" t="n"/>
      <c r="AX46" s="3" t="n"/>
      <c r="AY46" s="3" t="n"/>
      <c r="AZ46" s="3" t="n"/>
      <c r="BA46" s="182">
        <f>IF(AD46=1,(AR46*'Historical Score'!$K$29+1-'Historical Score'!$K$29)*(AT46*'Historical Score'!$L$29+1-'Historical Score'!$L$29)*(AS46*'Historical Score'!$M$29+1-'Historical Score'!$M$29)*(AQ46*'Historical Score'!$N$29+1-'Historical Score'!$N$29),0)</f>
        <v/>
      </c>
      <c r="BB46" s="3" t="n"/>
      <c r="BC46" s="3" t="n"/>
    </row>
    <row r="47" ht="15.75" customHeight="1" s="174">
      <c r="A47" s="3" t="inlineStr">
        <is>
          <t>5674152426</t>
        </is>
      </c>
      <c r="B47" s="3" t="inlineStr">
        <is>
          <t>Pro car care group</t>
        </is>
      </c>
      <c r="C47" s="3" t="inlineStr">
        <is>
          <t>Pro car care group</t>
        </is>
      </c>
      <c r="D47" s="3" t="inlineStr">
        <is>
          <t>Legal</t>
        </is>
      </c>
      <c r="E47" s="23" t="n">
        <v>45728</v>
      </c>
      <c r="F47" s="23" t="n">
        <v>45789</v>
      </c>
      <c r="G47" s="3" t="n">
        <v>5</v>
      </c>
      <c r="H47" s="3" t="inlineStr">
        <is>
          <t>7539</t>
        </is>
      </c>
      <c r="I47" s="3" t="inlineStr">
        <is>
          <t>75</t>
        </is>
      </c>
      <c r="J47" s="3" t="inlineStr">
        <is>
          <t>FL</t>
        </is>
      </c>
      <c r="K47" s="3" t="inlineStr">
        <is>
          <t>One Box Funding</t>
        </is>
      </c>
      <c r="L47" s="3" t="inlineStr">
        <is>
          <t>New Deal</t>
        </is>
      </c>
      <c r="M47" s="3" t="n">
        <v>1.49</v>
      </c>
      <c r="N47" s="28" t="n">
        <v>5000</v>
      </c>
      <c r="O47" s="28" t="n">
        <v>700</v>
      </c>
      <c r="P47" s="28" t="n">
        <v>7450</v>
      </c>
      <c r="Q47" s="28" t="n">
        <v>3374.5</v>
      </c>
      <c r="R47" s="28" t="n">
        <v>4075.5</v>
      </c>
      <c r="S47" s="42" t="n">
        <v>0.452953020134228</v>
      </c>
      <c r="T47" s="3" t="n">
        <v>2.459</v>
      </c>
      <c r="U47" s="3" t="n">
        <v>9</v>
      </c>
      <c r="V47" s="3" t="n"/>
      <c r="W47" s="42" t="n">
        <v>0.031</v>
      </c>
      <c r="X47" s="23" t="n">
        <v>44460</v>
      </c>
      <c r="Y47" s="3">
        <f>IF(I47="","No SIC",IFERROR(VLOOKUP(I47,Ref!$A$2:$B$65,2,FALSE()),"Unclassified"))</f>
        <v/>
      </c>
      <c r="Z47" s="3">
        <f>IF(T47="","",IF(T47&lt;12,"Daily","Weekly"))</f>
        <v/>
      </c>
      <c r="AA47" s="3">
        <f>IF(T47="",0,IF(T47&lt;12,T47*Controls!$B$13,T47*5))</f>
        <v/>
      </c>
      <c r="AB47" s="3">
        <f>IF(E47="",0,NETWORKDAYS(E47,Controls!$B$20,Ref!$K$2:$K$42))</f>
        <v/>
      </c>
      <c r="AC47" s="3">
        <f>IF(OR(AF47=1,AND(AA47&gt;0,AB47&gt;=Controls!$B$23*AA47)),1,0)</f>
        <v/>
      </c>
      <c r="AD47" s="3">
        <f>IF(AND(E47&lt;&gt;"",E47&gt;=Controls!$B$21,E47&lt;=Controls!$B$22),1,0)</f>
        <v/>
      </c>
      <c r="AE47" s="3">
        <f>IF(IFERROR(VLOOKUP(D47,Controls!$A$36:$E$46,2,FALSE()),"No")="Yes",1,0)</f>
        <v/>
      </c>
      <c r="AF47" s="3">
        <f>IF(IFERROR(VLOOKUP(D47,Controls!$A$36:$E$46,3,FALSE()),"No")="Yes",1,0)</f>
        <v/>
      </c>
      <c r="AG47" s="3">
        <f>IF(IFERROR(VLOOKUP(D47,Controls!$A$36:$E$46,4,FALSE()),"No")="Yes",1,0)</f>
        <v/>
      </c>
      <c r="AH47" s="3">
        <f>IF(IFERROR(VLOOKUP(D47,Controls!$A$36:$E$46,5,FALSE()),"No")="Yes",1,0)</f>
        <v/>
      </c>
      <c r="AI47" s="3">
        <f>IF(ISNUMBER(MATCH(D47,Controls!$A$36:$A$46,0)),1,0)</f>
        <v/>
      </c>
      <c r="AJ47" s="28">
        <f>Q47-N47</f>
        <v/>
      </c>
      <c r="AK47" s="3">
        <f>IF(AE47=1,MAX(0,N47-Q47),0)</f>
        <v/>
      </c>
      <c r="AL47" s="3">
        <f>IF(OR(V47="",V47=0),0,N47/V47)</f>
        <v/>
      </c>
      <c r="AM47" s="3">
        <f>IF(OR(V47="",V47=0),0,1)</f>
        <v/>
      </c>
      <c r="AN47" s="3">
        <f>IF(OR(E47="",F47=""),0,NETWORKDAYS(E47,F47,Ref!$K$2:$K$42))</f>
        <v/>
      </c>
      <c r="AO47" s="3">
        <f>IF(L47="Renewal",1,0)</f>
        <v/>
      </c>
      <c r="AP47" s="3">
        <f>AC47*AD47</f>
        <v/>
      </c>
      <c r="AQ47" s="3">
        <f>IF(AND(G47&lt;&gt;"",'Historical Score'!$C$6&lt;&gt;""),IF(G47='Historical Score'!$C$6,1,0),0)</f>
        <v/>
      </c>
      <c r="AR47" s="3">
        <f>IF(AND(L47&lt;&gt;"",'Historical Score'!$C$5&lt;&gt;""),IF(L47='Historical Score'!$C$5,1,0),0)</f>
        <v/>
      </c>
      <c r="AS47" s="3">
        <f>IF(AND(Y47&lt;&gt;"",'Historical Score'!$C$7&lt;&gt;""),IF(Y47='Historical Score'!$C$7,1,0),0)</f>
        <v/>
      </c>
      <c r="AT47" s="3">
        <f>IF(AND(K47&lt;&gt;"",'Historical Score'!$C$8&lt;&gt;""),IF(K47='Historical Score'!$C$8,1,0),0)</f>
        <v/>
      </c>
      <c r="AU47" s="3" t="n"/>
      <c r="AV47" s="3" t="n"/>
      <c r="AW47" s="3" t="n"/>
      <c r="AX47" s="3" t="n"/>
      <c r="AY47" s="3" t="n"/>
      <c r="AZ47" s="3" t="n"/>
      <c r="BA47" s="182">
        <f>IF(AD47=1,(AR47*'Historical Score'!$K$29+1-'Historical Score'!$K$29)*(AT47*'Historical Score'!$L$29+1-'Historical Score'!$L$29)*(AS47*'Historical Score'!$M$29+1-'Historical Score'!$M$29)*(AQ47*'Historical Score'!$N$29+1-'Historical Score'!$N$29),0)</f>
        <v/>
      </c>
      <c r="BB47" s="3" t="n"/>
      <c r="BC47" s="3" t="n"/>
    </row>
    <row r="48" ht="15.75" customHeight="1" s="174">
      <c r="A48" s="3" t="inlineStr">
        <is>
          <t>5674152928</t>
        </is>
      </c>
      <c r="B48" s="3" t="inlineStr">
        <is>
          <t>Valla Park Financial</t>
        </is>
      </c>
      <c r="C48" s="3" t="inlineStr">
        <is>
          <t>Valla Park Financial</t>
        </is>
      </c>
      <c r="D48" s="3" t="inlineStr">
        <is>
          <t>Legal</t>
        </is>
      </c>
      <c r="E48" s="23" t="n">
        <v>45735</v>
      </c>
      <c r="F48" s="23" t="n">
        <v>45770</v>
      </c>
      <c r="G48" s="3" t="n">
        <v>1</v>
      </c>
      <c r="H48" s="3" t="inlineStr">
        <is>
          <t>3799</t>
        </is>
      </c>
      <c r="I48" s="3" t="inlineStr">
        <is>
          <t>37</t>
        </is>
      </c>
      <c r="J48" s="3" t="inlineStr">
        <is>
          <t>GA</t>
        </is>
      </c>
      <c r="K48" s="3" t="inlineStr">
        <is>
          <t>FIFTH VENTURE</t>
        </is>
      </c>
      <c r="L48" s="3" t="inlineStr">
        <is>
          <t>New Deal</t>
        </is>
      </c>
      <c r="M48" s="3" t="n">
        <v>1.49</v>
      </c>
      <c r="N48" s="28" t="n">
        <v>5000</v>
      </c>
      <c r="O48" s="28" t="n">
        <v>700</v>
      </c>
      <c r="P48" s="28" t="n">
        <v>7450</v>
      </c>
      <c r="Q48" s="28" t="n">
        <v>2830.24</v>
      </c>
      <c r="R48" s="28" t="n">
        <v>4619.76</v>
      </c>
      <c r="S48" s="42" t="n">
        <v>0.379897986577181</v>
      </c>
      <c r="T48" s="3" t="n">
        <v>1.64</v>
      </c>
      <c r="U48" s="3" t="n">
        <v>6</v>
      </c>
      <c r="V48" s="3" t="n"/>
      <c r="W48" s="42" t="n">
        <v>0.1106</v>
      </c>
      <c r="X48" s="23" t="n">
        <v>44139</v>
      </c>
      <c r="Y48" s="3">
        <f>IF(I48="","No SIC",IFERROR(VLOOKUP(I48,Ref!$A$2:$B$65,2,FALSE()),"Unclassified"))</f>
        <v/>
      </c>
      <c r="Z48" s="3">
        <f>IF(T48="","",IF(T48&lt;12,"Daily","Weekly"))</f>
        <v/>
      </c>
      <c r="AA48" s="3">
        <f>IF(T48="",0,IF(T48&lt;12,T48*Controls!$B$13,T48*5))</f>
        <v/>
      </c>
      <c r="AB48" s="3">
        <f>IF(E48="",0,NETWORKDAYS(E48,Controls!$B$20,Ref!$K$2:$K$42))</f>
        <v/>
      </c>
      <c r="AC48" s="3">
        <f>IF(OR(AF48=1,AND(AA48&gt;0,AB48&gt;=Controls!$B$23*AA48)),1,0)</f>
        <v/>
      </c>
      <c r="AD48" s="3">
        <f>IF(AND(E48&lt;&gt;"",E48&gt;=Controls!$B$21,E48&lt;=Controls!$B$22),1,0)</f>
        <v/>
      </c>
      <c r="AE48" s="3">
        <f>IF(IFERROR(VLOOKUP(D48,Controls!$A$36:$E$46,2,FALSE()),"No")="Yes",1,0)</f>
        <v/>
      </c>
      <c r="AF48" s="3">
        <f>IF(IFERROR(VLOOKUP(D48,Controls!$A$36:$E$46,3,FALSE()),"No")="Yes",1,0)</f>
        <v/>
      </c>
      <c r="AG48" s="3">
        <f>IF(IFERROR(VLOOKUP(D48,Controls!$A$36:$E$46,4,FALSE()),"No")="Yes",1,0)</f>
        <v/>
      </c>
      <c r="AH48" s="3">
        <f>IF(IFERROR(VLOOKUP(D48,Controls!$A$36:$E$46,5,FALSE()),"No")="Yes",1,0)</f>
        <v/>
      </c>
      <c r="AI48" s="3">
        <f>IF(ISNUMBER(MATCH(D48,Controls!$A$36:$A$46,0)),1,0)</f>
        <v/>
      </c>
      <c r="AJ48" s="28">
        <f>Q48-N48</f>
        <v/>
      </c>
      <c r="AK48" s="3">
        <f>IF(AE48=1,MAX(0,N48-Q48),0)</f>
        <v/>
      </c>
      <c r="AL48" s="3">
        <f>IF(OR(V48="",V48=0),0,N48/V48)</f>
        <v/>
      </c>
      <c r="AM48" s="3">
        <f>IF(OR(V48="",V48=0),0,1)</f>
        <v/>
      </c>
      <c r="AN48" s="3">
        <f>IF(OR(E48="",F48=""),0,NETWORKDAYS(E48,F48,Ref!$K$2:$K$42))</f>
        <v/>
      </c>
      <c r="AO48" s="3">
        <f>IF(L48="Renewal",1,0)</f>
        <v/>
      </c>
      <c r="AP48" s="3">
        <f>AC48*AD48</f>
        <v/>
      </c>
      <c r="AQ48" s="3">
        <f>IF(AND(G48&lt;&gt;"",'Historical Score'!$C$6&lt;&gt;""),IF(G48='Historical Score'!$C$6,1,0),0)</f>
        <v/>
      </c>
      <c r="AR48" s="3">
        <f>IF(AND(L48&lt;&gt;"",'Historical Score'!$C$5&lt;&gt;""),IF(L48='Historical Score'!$C$5,1,0),0)</f>
        <v/>
      </c>
      <c r="AS48" s="3">
        <f>IF(AND(Y48&lt;&gt;"",'Historical Score'!$C$7&lt;&gt;""),IF(Y48='Historical Score'!$C$7,1,0),0)</f>
        <v/>
      </c>
      <c r="AT48" s="3">
        <f>IF(AND(K48&lt;&gt;"",'Historical Score'!$C$8&lt;&gt;""),IF(K48='Historical Score'!$C$8,1,0),0)</f>
        <v/>
      </c>
      <c r="AU48" s="3" t="n"/>
      <c r="AV48" s="3" t="n"/>
      <c r="AW48" s="3" t="n"/>
      <c r="AX48" s="3" t="n"/>
      <c r="AY48" s="3" t="n"/>
      <c r="AZ48" s="3" t="n"/>
      <c r="BA48" s="182">
        <f>IF(AD48=1,(AR48*'Historical Score'!$K$29+1-'Historical Score'!$K$29)*(AT48*'Historical Score'!$L$29+1-'Historical Score'!$L$29)*(AS48*'Historical Score'!$M$29+1-'Historical Score'!$M$29)*(AQ48*'Historical Score'!$N$29+1-'Historical Score'!$N$29),0)</f>
        <v/>
      </c>
      <c r="BB48" s="3" t="n"/>
      <c r="BC48" s="3" t="n"/>
    </row>
    <row r="49" ht="15.75" customHeight="1" s="174">
      <c r="A49" s="3" t="inlineStr">
        <is>
          <t>5674153028</t>
        </is>
      </c>
      <c r="B49" s="3" t="inlineStr">
        <is>
          <t>IDENTITY ATL LLC</t>
        </is>
      </c>
      <c r="C49" s="3" t="inlineStr">
        <is>
          <t>IDENTITY ATL LLC</t>
        </is>
      </c>
      <c r="D49" s="3" t="inlineStr">
        <is>
          <t>Closed</t>
        </is>
      </c>
      <c r="E49" s="23" t="n">
        <v>45736</v>
      </c>
      <c r="F49" s="23" t="n">
        <v>45771</v>
      </c>
      <c r="G49" s="3" t="n">
        <v>6</v>
      </c>
      <c r="H49" s="3" t="inlineStr">
        <is>
          <t>5399</t>
        </is>
      </c>
      <c r="I49" s="3" t="inlineStr">
        <is>
          <t>53</t>
        </is>
      </c>
      <c r="J49" s="3" t="inlineStr">
        <is>
          <t>GA</t>
        </is>
      </c>
      <c r="K49" s="3" t="inlineStr">
        <is>
          <t>ROYAL FUNDING GROUP</t>
        </is>
      </c>
      <c r="L49" s="3" t="inlineStr">
        <is>
          <t>Renewal</t>
        </is>
      </c>
      <c r="M49" s="3" t="n">
        <v>1.49</v>
      </c>
      <c r="N49" s="28" t="n">
        <v>3500</v>
      </c>
      <c r="O49" s="28" t="n">
        <v>490</v>
      </c>
      <c r="P49" s="28" t="n">
        <v>5215</v>
      </c>
      <c r="Q49" s="28" t="n">
        <v>5215</v>
      </c>
      <c r="R49" s="28" t="n">
        <v>0</v>
      </c>
      <c r="S49" s="42" t="n">
        <v>1</v>
      </c>
      <c r="T49" s="3" t="n">
        <v>2.293</v>
      </c>
      <c r="U49" s="3" t="n">
        <v>2</v>
      </c>
      <c r="V49" s="3" t="n"/>
      <c r="W49" s="42" t="n">
        <v>0.0421</v>
      </c>
      <c r="X49" s="23" t="n">
        <v>44490</v>
      </c>
      <c r="Y49" s="3">
        <f>IF(I49="","No SIC",IFERROR(VLOOKUP(I49,Ref!$A$2:$B$65,2,FALSE()),"Unclassified"))</f>
        <v/>
      </c>
      <c r="Z49" s="3">
        <f>IF(T49="","",IF(T49&lt;12,"Daily","Weekly"))</f>
        <v/>
      </c>
      <c r="AA49" s="3">
        <f>IF(T49="",0,IF(T49&lt;12,T49*Controls!$B$13,T49*5))</f>
        <v/>
      </c>
      <c r="AB49" s="3">
        <f>IF(E49="",0,NETWORKDAYS(E49,Controls!$B$20,Ref!$K$2:$K$42))</f>
        <v/>
      </c>
      <c r="AC49" s="3">
        <f>IF(OR(AF49=1,AND(AA49&gt;0,AB49&gt;=Controls!$B$23*AA49)),1,0)</f>
        <v/>
      </c>
      <c r="AD49" s="3">
        <f>IF(AND(E49&lt;&gt;"",E49&gt;=Controls!$B$21,E49&lt;=Controls!$B$22),1,0)</f>
        <v/>
      </c>
      <c r="AE49" s="3">
        <f>IF(IFERROR(VLOOKUP(D49,Controls!$A$36:$E$46,2,FALSE()),"No")="Yes",1,0)</f>
        <v/>
      </c>
      <c r="AF49" s="3">
        <f>IF(IFERROR(VLOOKUP(D49,Controls!$A$36:$E$46,3,FALSE()),"No")="Yes",1,0)</f>
        <v/>
      </c>
      <c r="AG49" s="3">
        <f>IF(IFERROR(VLOOKUP(D49,Controls!$A$36:$E$46,4,FALSE()),"No")="Yes",1,0)</f>
        <v/>
      </c>
      <c r="AH49" s="3">
        <f>IF(IFERROR(VLOOKUP(D49,Controls!$A$36:$E$46,5,FALSE()),"No")="Yes",1,0)</f>
        <v/>
      </c>
      <c r="AI49" s="3">
        <f>IF(ISNUMBER(MATCH(D49,Controls!$A$36:$A$46,0)),1,0)</f>
        <v/>
      </c>
      <c r="AJ49" s="28">
        <f>Q49-N49</f>
        <v/>
      </c>
      <c r="AK49" s="3">
        <f>IF(AE49=1,MAX(0,N49-Q49),0)</f>
        <v/>
      </c>
      <c r="AL49" s="3">
        <f>IF(OR(V49="",V49=0),0,N49/V49)</f>
        <v/>
      </c>
      <c r="AM49" s="3">
        <f>IF(OR(V49="",V49=0),0,1)</f>
        <v/>
      </c>
      <c r="AN49" s="3">
        <f>IF(OR(E49="",F49=""),0,NETWORKDAYS(E49,F49,Ref!$K$2:$K$42))</f>
        <v/>
      </c>
      <c r="AO49" s="3">
        <f>IF(L49="Renewal",1,0)</f>
        <v/>
      </c>
      <c r="AP49" s="3">
        <f>AC49*AD49</f>
        <v/>
      </c>
      <c r="AQ49" s="3">
        <f>IF(AND(G49&lt;&gt;"",'Historical Score'!$C$6&lt;&gt;""),IF(G49='Historical Score'!$C$6,1,0),0)</f>
        <v/>
      </c>
      <c r="AR49" s="3">
        <f>IF(AND(L49&lt;&gt;"",'Historical Score'!$C$5&lt;&gt;""),IF(L49='Historical Score'!$C$5,1,0),0)</f>
        <v/>
      </c>
      <c r="AS49" s="3">
        <f>IF(AND(Y49&lt;&gt;"",'Historical Score'!$C$7&lt;&gt;""),IF(Y49='Historical Score'!$C$7,1,0),0)</f>
        <v/>
      </c>
      <c r="AT49" s="3">
        <f>IF(AND(K49&lt;&gt;"",'Historical Score'!$C$8&lt;&gt;""),IF(K49='Historical Score'!$C$8,1,0),0)</f>
        <v/>
      </c>
      <c r="AU49" s="3" t="n"/>
      <c r="AV49" s="3" t="n"/>
      <c r="AW49" s="3" t="n"/>
      <c r="AX49" s="3" t="n"/>
      <c r="AY49" s="3" t="n"/>
      <c r="AZ49" s="3" t="n"/>
      <c r="BA49" s="182">
        <f>IF(AD49=1,(AR49*'Historical Score'!$K$29+1-'Historical Score'!$K$29)*(AT49*'Historical Score'!$L$29+1-'Historical Score'!$L$29)*(AS49*'Historical Score'!$M$29+1-'Historical Score'!$M$29)*(AQ49*'Historical Score'!$N$29+1-'Historical Score'!$N$29),0)</f>
        <v/>
      </c>
      <c r="BB49" s="3" t="n"/>
      <c r="BC49" s="3" t="n"/>
    </row>
    <row r="50" ht="15.75" customHeight="1" s="174">
      <c r="A50" s="3" t="inlineStr">
        <is>
          <t>5674153205</t>
        </is>
      </c>
      <c r="B50" s="3" t="inlineStr">
        <is>
          <t>JACKS PEST MGMT LLC</t>
        </is>
      </c>
      <c r="C50" s="3" t="inlineStr">
        <is>
          <t>JACKS PEST MGMT LLC</t>
        </is>
      </c>
      <c r="D50" s="3" t="inlineStr">
        <is>
          <t>Closed</t>
        </is>
      </c>
      <c r="E50" s="23" t="n">
        <v>45737</v>
      </c>
      <c r="F50" s="23" t="n">
        <v>45790</v>
      </c>
      <c r="G50" s="3" t="n">
        <v>3</v>
      </c>
      <c r="H50" s="3" t="inlineStr">
        <is>
          <t>7342</t>
        </is>
      </c>
      <c r="I50" s="3" t="inlineStr">
        <is>
          <t>73</t>
        </is>
      </c>
      <c r="J50" s="3" t="inlineStr">
        <is>
          <t>MT</t>
        </is>
      </c>
      <c r="K50" s="3" t="inlineStr">
        <is>
          <t>Samson Funding</t>
        </is>
      </c>
      <c r="L50" s="3" t="inlineStr">
        <is>
          <t>New Deal</t>
        </is>
      </c>
      <c r="M50" s="3" t="n">
        <v>1.49</v>
      </c>
      <c r="N50" s="28" t="n">
        <v>4500</v>
      </c>
      <c r="O50" s="28" t="n">
        <v>630</v>
      </c>
      <c r="P50" s="28" t="n">
        <v>6705</v>
      </c>
      <c r="Q50" s="28" t="n">
        <v>6705</v>
      </c>
      <c r="R50" s="28" t="n">
        <v>0</v>
      </c>
      <c r="S50" s="42" t="n">
        <v>1</v>
      </c>
      <c r="T50" s="3" t="n">
        <v>2.131</v>
      </c>
      <c r="U50" s="3" t="n">
        <v>0</v>
      </c>
      <c r="V50" s="3" t="n"/>
      <c r="W50" s="42" t="n">
        <v>0.1991</v>
      </c>
      <c r="X50" s="23" t="n">
        <v>45280</v>
      </c>
      <c r="Y50" s="3">
        <f>IF(I50="","No SIC",IFERROR(VLOOKUP(I50,Ref!$A$2:$B$65,2,FALSE()),"Unclassified"))</f>
        <v/>
      </c>
      <c r="Z50" s="3">
        <f>IF(T50="","",IF(T50&lt;12,"Daily","Weekly"))</f>
        <v/>
      </c>
      <c r="AA50" s="3">
        <f>IF(T50="",0,IF(T50&lt;12,T50*Controls!$B$13,T50*5))</f>
        <v/>
      </c>
      <c r="AB50" s="3">
        <f>IF(E50="",0,NETWORKDAYS(E50,Controls!$B$20,Ref!$K$2:$K$42))</f>
        <v/>
      </c>
      <c r="AC50" s="3">
        <f>IF(OR(AF50=1,AND(AA50&gt;0,AB50&gt;=Controls!$B$23*AA50)),1,0)</f>
        <v/>
      </c>
      <c r="AD50" s="3">
        <f>IF(AND(E50&lt;&gt;"",E50&gt;=Controls!$B$21,E50&lt;=Controls!$B$22),1,0)</f>
        <v/>
      </c>
      <c r="AE50" s="3">
        <f>IF(IFERROR(VLOOKUP(D50,Controls!$A$36:$E$46,2,FALSE()),"No")="Yes",1,0)</f>
        <v/>
      </c>
      <c r="AF50" s="3">
        <f>IF(IFERROR(VLOOKUP(D50,Controls!$A$36:$E$46,3,FALSE()),"No")="Yes",1,0)</f>
        <v/>
      </c>
      <c r="AG50" s="3">
        <f>IF(IFERROR(VLOOKUP(D50,Controls!$A$36:$E$46,4,FALSE()),"No")="Yes",1,0)</f>
        <v/>
      </c>
      <c r="AH50" s="3">
        <f>IF(IFERROR(VLOOKUP(D50,Controls!$A$36:$E$46,5,FALSE()),"No")="Yes",1,0)</f>
        <v/>
      </c>
      <c r="AI50" s="3">
        <f>IF(ISNUMBER(MATCH(D50,Controls!$A$36:$A$46,0)),1,0)</f>
        <v/>
      </c>
      <c r="AJ50" s="28">
        <f>Q50-N50</f>
        <v/>
      </c>
      <c r="AK50" s="3">
        <f>IF(AE50=1,MAX(0,N50-Q50),0)</f>
        <v/>
      </c>
      <c r="AL50" s="3">
        <f>IF(OR(V50="",V50=0),0,N50/V50)</f>
        <v/>
      </c>
      <c r="AM50" s="3">
        <f>IF(OR(V50="",V50=0),0,1)</f>
        <v/>
      </c>
      <c r="AN50" s="3">
        <f>IF(OR(E50="",F50=""),0,NETWORKDAYS(E50,F50,Ref!$K$2:$K$42))</f>
        <v/>
      </c>
      <c r="AO50" s="3">
        <f>IF(L50="Renewal",1,0)</f>
        <v/>
      </c>
      <c r="AP50" s="3">
        <f>AC50*AD50</f>
        <v/>
      </c>
      <c r="AQ50" s="3">
        <f>IF(AND(G50&lt;&gt;"",'Historical Score'!$C$6&lt;&gt;""),IF(G50='Historical Score'!$C$6,1,0),0)</f>
        <v/>
      </c>
      <c r="AR50" s="3">
        <f>IF(AND(L50&lt;&gt;"",'Historical Score'!$C$5&lt;&gt;""),IF(L50='Historical Score'!$C$5,1,0),0)</f>
        <v/>
      </c>
      <c r="AS50" s="3">
        <f>IF(AND(Y50&lt;&gt;"",'Historical Score'!$C$7&lt;&gt;""),IF(Y50='Historical Score'!$C$7,1,0),0)</f>
        <v/>
      </c>
      <c r="AT50" s="3">
        <f>IF(AND(K50&lt;&gt;"",'Historical Score'!$C$8&lt;&gt;""),IF(K50='Historical Score'!$C$8,1,0),0)</f>
        <v/>
      </c>
      <c r="AU50" s="3" t="n"/>
      <c r="AV50" s="3" t="n"/>
      <c r="AW50" s="3" t="n"/>
      <c r="AX50" s="3" t="n"/>
      <c r="AY50" s="3" t="n"/>
      <c r="AZ50" s="3" t="n"/>
      <c r="BA50" s="182">
        <f>IF(AD50=1,(AR50*'Historical Score'!$K$29+1-'Historical Score'!$K$29)*(AT50*'Historical Score'!$L$29+1-'Historical Score'!$L$29)*(AS50*'Historical Score'!$M$29+1-'Historical Score'!$M$29)*(AQ50*'Historical Score'!$N$29+1-'Historical Score'!$N$29),0)</f>
        <v/>
      </c>
      <c r="BB50" s="3" t="n"/>
      <c r="BC50" s="3" t="n"/>
    </row>
    <row r="51" ht="15.75" customHeight="1" s="174">
      <c r="A51" s="3" t="inlineStr">
        <is>
          <t>5674153335</t>
        </is>
      </c>
      <c r="B51" s="3" t="inlineStr">
        <is>
          <t>Stones by crowne</t>
        </is>
      </c>
      <c r="C51" s="3" t="inlineStr">
        <is>
          <t>Stones by crowne</t>
        </is>
      </c>
      <c r="D51" s="3" t="inlineStr">
        <is>
          <t>Legal</t>
        </is>
      </c>
      <c r="E51" s="23" t="n">
        <v>45741</v>
      </c>
      <c r="F51" s="23" t="n">
        <v>46234</v>
      </c>
      <c r="G51" s="3" t="n">
        <v>1</v>
      </c>
      <c r="H51" s="3" t="inlineStr">
        <is>
          <t>3281</t>
        </is>
      </c>
      <c r="I51" s="3" t="inlineStr">
        <is>
          <t>32</t>
        </is>
      </c>
      <c r="J51" s="3" t="inlineStr">
        <is>
          <t>MA</t>
        </is>
      </c>
      <c r="K51" s="3" t="inlineStr">
        <is>
          <t>Premium Capital (AMRK)</t>
        </is>
      </c>
      <c r="L51" s="3" t="inlineStr">
        <is>
          <t>Renewal</t>
        </is>
      </c>
      <c r="M51" s="3" t="n">
        <v>1.49</v>
      </c>
      <c r="N51" s="28" t="n">
        <v>7500</v>
      </c>
      <c r="O51" s="28" t="n">
        <v>1050</v>
      </c>
      <c r="P51" s="28" t="n">
        <v>11175</v>
      </c>
      <c r="Q51" s="28" t="n">
        <v>9601.040000000001</v>
      </c>
      <c r="R51" s="28" t="n">
        <v>1573.96</v>
      </c>
      <c r="S51" s="42" t="n">
        <v>0.859153467561521</v>
      </c>
      <c r="T51" s="3" t="n">
        <v>17</v>
      </c>
      <c r="U51" s="3" t="n">
        <v>6</v>
      </c>
      <c r="V51" s="3" t="n"/>
      <c r="W51" s="42" t="n">
        <v>0.0497</v>
      </c>
      <c r="X51" s="23" t="n">
        <v>44896</v>
      </c>
      <c r="Y51" s="3">
        <f>IF(I51="","No SIC",IFERROR(VLOOKUP(I51,Ref!$A$2:$B$65,2,FALSE()),"Unclassified"))</f>
        <v/>
      </c>
      <c r="Z51" s="3">
        <f>IF(T51="","",IF(T51&lt;12,"Daily","Weekly"))</f>
        <v/>
      </c>
      <c r="AA51" s="3">
        <f>IF(T51="",0,IF(T51&lt;12,T51*Controls!$B$13,T51*5))</f>
        <v/>
      </c>
      <c r="AB51" s="3">
        <f>IF(E51="",0,NETWORKDAYS(E51,Controls!$B$20,Ref!$K$2:$K$42))</f>
        <v/>
      </c>
      <c r="AC51" s="3">
        <f>IF(OR(AF51=1,AND(AA51&gt;0,AB51&gt;=Controls!$B$23*AA51)),1,0)</f>
        <v/>
      </c>
      <c r="AD51" s="3">
        <f>IF(AND(E51&lt;&gt;"",E51&gt;=Controls!$B$21,E51&lt;=Controls!$B$22),1,0)</f>
        <v/>
      </c>
      <c r="AE51" s="3">
        <f>IF(IFERROR(VLOOKUP(D51,Controls!$A$36:$E$46,2,FALSE()),"No")="Yes",1,0)</f>
        <v/>
      </c>
      <c r="AF51" s="3">
        <f>IF(IFERROR(VLOOKUP(D51,Controls!$A$36:$E$46,3,FALSE()),"No")="Yes",1,0)</f>
        <v/>
      </c>
      <c r="AG51" s="3">
        <f>IF(IFERROR(VLOOKUP(D51,Controls!$A$36:$E$46,4,FALSE()),"No")="Yes",1,0)</f>
        <v/>
      </c>
      <c r="AH51" s="3">
        <f>IF(IFERROR(VLOOKUP(D51,Controls!$A$36:$E$46,5,FALSE()),"No")="Yes",1,0)</f>
        <v/>
      </c>
      <c r="AI51" s="3">
        <f>IF(ISNUMBER(MATCH(D51,Controls!$A$36:$A$46,0)),1,0)</f>
        <v/>
      </c>
      <c r="AJ51" s="28">
        <f>Q51-N51</f>
        <v/>
      </c>
      <c r="AK51" s="3">
        <f>IF(AE51=1,MAX(0,N51-Q51),0)</f>
        <v/>
      </c>
      <c r="AL51" s="3">
        <f>IF(OR(V51="",V51=0),0,N51/V51)</f>
        <v/>
      </c>
      <c r="AM51" s="3">
        <f>IF(OR(V51="",V51=0),0,1)</f>
        <v/>
      </c>
      <c r="AN51" s="3">
        <f>IF(OR(E51="",F51=""),0,NETWORKDAYS(E51,F51,Ref!$K$2:$K$42))</f>
        <v/>
      </c>
      <c r="AO51" s="3">
        <f>IF(L51="Renewal",1,0)</f>
        <v/>
      </c>
      <c r="AP51" s="3">
        <f>AC51*AD51</f>
        <v/>
      </c>
      <c r="AQ51" s="3">
        <f>IF(AND(G51&lt;&gt;"",'Historical Score'!$C$6&lt;&gt;""),IF(G51='Historical Score'!$C$6,1,0),0)</f>
        <v/>
      </c>
      <c r="AR51" s="3">
        <f>IF(AND(L51&lt;&gt;"",'Historical Score'!$C$5&lt;&gt;""),IF(L51='Historical Score'!$C$5,1,0),0)</f>
        <v/>
      </c>
      <c r="AS51" s="3">
        <f>IF(AND(Y51&lt;&gt;"",'Historical Score'!$C$7&lt;&gt;""),IF(Y51='Historical Score'!$C$7,1,0),0)</f>
        <v/>
      </c>
      <c r="AT51" s="3">
        <f>IF(AND(K51&lt;&gt;"",'Historical Score'!$C$8&lt;&gt;""),IF(K51='Historical Score'!$C$8,1,0),0)</f>
        <v/>
      </c>
      <c r="AU51" s="3" t="n"/>
      <c r="AV51" s="3" t="n"/>
      <c r="AW51" s="3" t="n"/>
      <c r="AX51" s="3" t="n"/>
      <c r="AY51" s="3" t="n"/>
      <c r="AZ51" s="3" t="n"/>
      <c r="BA51" s="182">
        <f>IF(AD51=1,(AR51*'Historical Score'!$K$29+1-'Historical Score'!$K$29)*(AT51*'Historical Score'!$L$29+1-'Historical Score'!$L$29)*(AS51*'Historical Score'!$M$29+1-'Historical Score'!$M$29)*(AQ51*'Historical Score'!$N$29+1-'Historical Score'!$N$29),0)</f>
        <v/>
      </c>
      <c r="BB51" s="3" t="n"/>
      <c r="BC51" s="3" t="n"/>
    </row>
    <row r="52" ht="15.75" customHeight="1" s="174">
      <c r="A52" s="3" t="inlineStr">
        <is>
          <t>5674153342</t>
        </is>
      </c>
      <c r="B52" s="3" t="inlineStr">
        <is>
          <t>CORNERSTONE GROWTH SOLUTIONS, LLC</t>
        </is>
      </c>
      <c r="C52" s="3" t="inlineStr">
        <is>
          <t>CORNERSTONE GROWTH SOLUTIONS, LLC</t>
        </is>
      </c>
      <c r="D52" s="3" t="inlineStr">
        <is>
          <t>Closed</t>
        </is>
      </c>
      <c r="E52" s="23" t="n">
        <v>45742</v>
      </c>
      <c r="F52" s="23" t="n">
        <v>45831</v>
      </c>
      <c r="G52" s="3" t="n">
        <v>1</v>
      </c>
      <c r="H52" s="3" t="inlineStr">
        <is>
          <t>8742</t>
        </is>
      </c>
      <c r="I52" s="3" t="inlineStr">
        <is>
          <t>87</t>
        </is>
      </c>
      <c r="J52" s="3" t="inlineStr">
        <is>
          <t>TX</t>
        </is>
      </c>
      <c r="K52" s="3" t="inlineStr">
        <is>
          <t>Westwood</t>
        </is>
      </c>
      <c r="L52" s="3" t="inlineStr">
        <is>
          <t>New Deal</t>
        </is>
      </c>
      <c r="M52" s="3" t="n">
        <v>1.49</v>
      </c>
      <c r="N52" s="28" t="n">
        <v>8000</v>
      </c>
      <c r="O52" s="28" t="n">
        <v>1120</v>
      </c>
      <c r="P52" s="28" t="n">
        <v>11920</v>
      </c>
      <c r="Q52" s="28" t="n">
        <v>11920</v>
      </c>
      <c r="R52" s="28" t="n">
        <v>0</v>
      </c>
      <c r="S52" s="42" t="n">
        <v>1</v>
      </c>
      <c r="T52" s="3" t="n">
        <v>1.967</v>
      </c>
      <c r="U52" s="3" t="n">
        <v>2</v>
      </c>
      <c r="V52" s="3" t="n"/>
      <c r="W52" s="42" t="n">
        <v>0.0307</v>
      </c>
      <c r="X52" s="23" t="n">
        <v>40909</v>
      </c>
      <c r="Y52" s="3">
        <f>IF(I52="","No SIC",IFERROR(VLOOKUP(I52,Ref!$A$2:$B$65,2,FALSE()),"Unclassified"))</f>
        <v/>
      </c>
      <c r="Z52" s="3">
        <f>IF(T52="","",IF(T52&lt;12,"Daily","Weekly"))</f>
        <v/>
      </c>
      <c r="AA52" s="3">
        <f>IF(T52="",0,IF(T52&lt;12,T52*Controls!$B$13,T52*5))</f>
        <v/>
      </c>
      <c r="AB52" s="3">
        <f>IF(E52="",0,NETWORKDAYS(E52,Controls!$B$20,Ref!$K$2:$K$42))</f>
        <v/>
      </c>
      <c r="AC52" s="3">
        <f>IF(OR(AF52=1,AND(AA52&gt;0,AB52&gt;=Controls!$B$23*AA52)),1,0)</f>
        <v/>
      </c>
      <c r="AD52" s="3">
        <f>IF(AND(E52&lt;&gt;"",E52&gt;=Controls!$B$21,E52&lt;=Controls!$B$22),1,0)</f>
        <v/>
      </c>
      <c r="AE52" s="3">
        <f>IF(IFERROR(VLOOKUP(D52,Controls!$A$36:$E$46,2,FALSE()),"No")="Yes",1,0)</f>
        <v/>
      </c>
      <c r="AF52" s="3">
        <f>IF(IFERROR(VLOOKUP(D52,Controls!$A$36:$E$46,3,FALSE()),"No")="Yes",1,0)</f>
        <v/>
      </c>
      <c r="AG52" s="3">
        <f>IF(IFERROR(VLOOKUP(D52,Controls!$A$36:$E$46,4,FALSE()),"No")="Yes",1,0)</f>
        <v/>
      </c>
      <c r="AH52" s="3">
        <f>IF(IFERROR(VLOOKUP(D52,Controls!$A$36:$E$46,5,FALSE()),"No")="Yes",1,0)</f>
        <v/>
      </c>
      <c r="AI52" s="3">
        <f>IF(ISNUMBER(MATCH(D52,Controls!$A$36:$A$46,0)),1,0)</f>
        <v/>
      </c>
      <c r="AJ52" s="28">
        <f>Q52-N52</f>
        <v/>
      </c>
      <c r="AK52" s="3">
        <f>IF(AE52=1,MAX(0,N52-Q52),0)</f>
        <v/>
      </c>
      <c r="AL52" s="3">
        <f>IF(OR(V52="",V52=0),0,N52/V52)</f>
        <v/>
      </c>
      <c r="AM52" s="3">
        <f>IF(OR(V52="",V52=0),0,1)</f>
        <v/>
      </c>
      <c r="AN52" s="3">
        <f>IF(OR(E52="",F52=""),0,NETWORKDAYS(E52,F52,Ref!$K$2:$K$42))</f>
        <v/>
      </c>
      <c r="AO52" s="3">
        <f>IF(L52="Renewal",1,0)</f>
        <v/>
      </c>
      <c r="AP52" s="3">
        <f>AC52*AD52</f>
        <v/>
      </c>
      <c r="AQ52" s="3">
        <f>IF(AND(G52&lt;&gt;"",'Historical Score'!$C$6&lt;&gt;""),IF(G52='Historical Score'!$C$6,1,0),0)</f>
        <v/>
      </c>
      <c r="AR52" s="3">
        <f>IF(AND(L52&lt;&gt;"",'Historical Score'!$C$5&lt;&gt;""),IF(L52='Historical Score'!$C$5,1,0),0)</f>
        <v/>
      </c>
      <c r="AS52" s="3">
        <f>IF(AND(Y52&lt;&gt;"",'Historical Score'!$C$7&lt;&gt;""),IF(Y52='Historical Score'!$C$7,1,0),0)</f>
        <v/>
      </c>
      <c r="AT52" s="3">
        <f>IF(AND(K52&lt;&gt;"",'Historical Score'!$C$8&lt;&gt;""),IF(K52='Historical Score'!$C$8,1,0),0)</f>
        <v/>
      </c>
      <c r="AU52" s="3" t="n"/>
      <c r="AV52" s="3" t="n"/>
      <c r="AW52" s="3" t="n"/>
      <c r="AX52" s="3" t="n"/>
      <c r="AY52" s="3" t="n"/>
      <c r="AZ52" s="3" t="n"/>
      <c r="BA52" s="182">
        <f>IF(AD52=1,(AR52*'Historical Score'!$K$29+1-'Historical Score'!$K$29)*(AT52*'Historical Score'!$L$29+1-'Historical Score'!$L$29)*(AS52*'Historical Score'!$M$29+1-'Historical Score'!$M$29)*(AQ52*'Historical Score'!$N$29+1-'Historical Score'!$N$29),0)</f>
        <v/>
      </c>
      <c r="BB52" s="3" t="n"/>
      <c r="BC52" s="3" t="n"/>
    </row>
    <row r="53" ht="15.75" customHeight="1" s="174">
      <c r="A53" s="3" t="inlineStr">
        <is>
          <t>5674153395</t>
        </is>
      </c>
      <c r="B53" s="3" t="inlineStr">
        <is>
          <t>Happy Daiquiri llc</t>
        </is>
      </c>
      <c r="C53" s="3" t="inlineStr">
        <is>
          <t>Happy Daiquiri llc</t>
        </is>
      </c>
      <c r="D53" s="3" t="inlineStr">
        <is>
          <t>Legal</t>
        </is>
      </c>
      <c r="E53" s="23" t="n">
        <v>45741</v>
      </c>
      <c r="F53" s="23" t="n">
        <v>45889</v>
      </c>
      <c r="G53" s="3" t="n">
        <v>6</v>
      </c>
      <c r="H53" s="3" t="inlineStr">
        <is>
          <t>5812</t>
        </is>
      </c>
      <c r="I53" s="3" t="inlineStr">
        <is>
          <t>58</t>
        </is>
      </c>
      <c r="J53" s="3" t="inlineStr">
        <is>
          <t>TX</t>
        </is>
      </c>
      <c r="K53" s="3" t="inlineStr">
        <is>
          <t>Vanguard Equities</t>
        </is>
      </c>
      <c r="L53" s="3" t="inlineStr">
        <is>
          <t>New Deal</t>
        </is>
      </c>
      <c r="M53" s="3" t="n">
        <v>1.49</v>
      </c>
      <c r="N53" s="28" t="n">
        <v>3000</v>
      </c>
      <c r="O53" s="28" t="n">
        <v>420</v>
      </c>
      <c r="P53" s="28" t="n">
        <v>4470</v>
      </c>
      <c r="Q53" s="28" t="n">
        <v>2475.22</v>
      </c>
      <c r="R53" s="28" t="n">
        <v>1994.78</v>
      </c>
      <c r="S53" s="42" t="n">
        <v>0.553740492170022</v>
      </c>
      <c r="T53" s="3" t="n">
        <v>1.967</v>
      </c>
      <c r="U53" s="3" t="n">
        <v>34</v>
      </c>
      <c r="V53" s="3" t="n"/>
      <c r="W53" s="42" t="n">
        <v>0.1093</v>
      </c>
      <c r="X53" s="23" t="n">
        <v>43819</v>
      </c>
      <c r="Y53" s="3">
        <f>IF(I53="","No SIC",IFERROR(VLOOKUP(I53,Ref!$A$2:$B$65,2,FALSE()),"Unclassified"))</f>
        <v/>
      </c>
      <c r="Z53" s="3">
        <f>IF(T53="","",IF(T53&lt;12,"Daily","Weekly"))</f>
        <v/>
      </c>
      <c r="AA53" s="3">
        <f>IF(T53="",0,IF(T53&lt;12,T53*Controls!$B$13,T53*5))</f>
        <v/>
      </c>
      <c r="AB53" s="3">
        <f>IF(E53="",0,NETWORKDAYS(E53,Controls!$B$20,Ref!$K$2:$K$42))</f>
        <v/>
      </c>
      <c r="AC53" s="3">
        <f>IF(OR(AF53=1,AND(AA53&gt;0,AB53&gt;=Controls!$B$23*AA53)),1,0)</f>
        <v/>
      </c>
      <c r="AD53" s="3">
        <f>IF(AND(E53&lt;&gt;"",E53&gt;=Controls!$B$21,E53&lt;=Controls!$B$22),1,0)</f>
        <v/>
      </c>
      <c r="AE53" s="3">
        <f>IF(IFERROR(VLOOKUP(D53,Controls!$A$36:$E$46,2,FALSE()),"No")="Yes",1,0)</f>
        <v/>
      </c>
      <c r="AF53" s="3">
        <f>IF(IFERROR(VLOOKUP(D53,Controls!$A$36:$E$46,3,FALSE()),"No")="Yes",1,0)</f>
        <v/>
      </c>
      <c r="AG53" s="3">
        <f>IF(IFERROR(VLOOKUP(D53,Controls!$A$36:$E$46,4,FALSE()),"No")="Yes",1,0)</f>
        <v/>
      </c>
      <c r="AH53" s="3">
        <f>IF(IFERROR(VLOOKUP(D53,Controls!$A$36:$E$46,5,FALSE()),"No")="Yes",1,0)</f>
        <v/>
      </c>
      <c r="AI53" s="3">
        <f>IF(ISNUMBER(MATCH(D53,Controls!$A$36:$A$46,0)),1,0)</f>
        <v/>
      </c>
      <c r="AJ53" s="28">
        <f>Q53-N53</f>
        <v/>
      </c>
      <c r="AK53" s="3">
        <f>IF(AE53=1,MAX(0,N53-Q53),0)</f>
        <v/>
      </c>
      <c r="AL53" s="3">
        <f>IF(OR(V53="",V53=0),0,N53/V53)</f>
        <v/>
      </c>
      <c r="AM53" s="3">
        <f>IF(OR(V53="",V53=0),0,1)</f>
        <v/>
      </c>
      <c r="AN53" s="3">
        <f>IF(OR(E53="",F53=""),0,NETWORKDAYS(E53,F53,Ref!$K$2:$K$42))</f>
        <v/>
      </c>
      <c r="AO53" s="3">
        <f>IF(L53="Renewal",1,0)</f>
        <v/>
      </c>
      <c r="AP53" s="3">
        <f>AC53*AD53</f>
        <v/>
      </c>
      <c r="AQ53" s="3">
        <f>IF(AND(G53&lt;&gt;"",'Historical Score'!$C$6&lt;&gt;""),IF(G53='Historical Score'!$C$6,1,0),0)</f>
        <v/>
      </c>
      <c r="AR53" s="3">
        <f>IF(AND(L53&lt;&gt;"",'Historical Score'!$C$5&lt;&gt;""),IF(L53='Historical Score'!$C$5,1,0),0)</f>
        <v/>
      </c>
      <c r="AS53" s="3">
        <f>IF(AND(Y53&lt;&gt;"",'Historical Score'!$C$7&lt;&gt;""),IF(Y53='Historical Score'!$C$7,1,0),0)</f>
        <v/>
      </c>
      <c r="AT53" s="3">
        <f>IF(AND(K53&lt;&gt;"",'Historical Score'!$C$8&lt;&gt;""),IF(K53='Historical Score'!$C$8,1,0),0)</f>
        <v/>
      </c>
      <c r="AU53" s="3" t="n"/>
      <c r="AV53" s="3" t="n"/>
      <c r="AW53" s="3" t="n"/>
      <c r="AX53" s="3" t="n"/>
      <c r="AY53" s="3" t="n"/>
      <c r="AZ53" s="3" t="n"/>
      <c r="BA53" s="182">
        <f>IF(AD53=1,(AR53*'Historical Score'!$K$29+1-'Historical Score'!$K$29)*(AT53*'Historical Score'!$L$29+1-'Historical Score'!$L$29)*(AS53*'Historical Score'!$M$29+1-'Historical Score'!$M$29)*(AQ53*'Historical Score'!$N$29+1-'Historical Score'!$N$29),0)</f>
        <v/>
      </c>
      <c r="BB53" s="3" t="n"/>
      <c r="BC53" s="3" t="n"/>
    </row>
    <row r="54" ht="15.75" customHeight="1" s="174">
      <c r="A54" s="3" t="inlineStr">
        <is>
          <t>5674153450</t>
        </is>
      </c>
      <c r="B54" s="3" t="inlineStr">
        <is>
          <t>Journey Homecare Services</t>
        </is>
      </c>
      <c r="C54" s="3" t="inlineStr">
        <is>
          <t>Journey Homecare Services</t>
        </is>
      </c>
      <c r="D54" s="3" t="inlineStr">
        <is>
          <t>Legal</t>
        </is>
      </c>
      <c r="E54" s="23" t="n">
        <v>45742</v>
      </c>
      <c r="F54" s="23" t="n">
        <v>46112</v>
      </c>
      <c r="G54" s="3" t="n">
        <v>3</v>
      </c>
      <c r="H54" s="3" t="inlineStr">
        <is>
          <t>8051</t>
        </is>
      </c>
      <c r="I54" s="3" t="inlineStr">
        <is>
          <t>80</t>
        </is>
      </c>
      <c r="J54" s="3" t="inlineStr">
        <is>
          <t>NC</t>
        </is>
      </c>
      <c r="K54" s="3" t="inlineStr">
        <is>
          <t>Vanguard Equities</t>
        </is>
      </c>
      <c r="L54" s="3" t="inlineStr">
        <is>
          <t>New Deal</t>
        </is>
      </c>
      <c r="M54" s="3" t="n">
        <v>1.49</v>
      </c>
      <c r="N54" s="28" t="n">
        <v>5000</v>
      </c>
      <c r="O54" s="28" t="n">
        <v>700</v>
      </c>
      <c r="P54" s="28" t="n">
        <v>7450</v>
      </c>
      <c r="Q54" s="28" t="n">
        <v>3293.97</v>
      </c>
      <c r="R54" s="28" t="n">
        <v>4156.03</v>
      </c>
      <c r="S54" s="42" t="n">
        <v>0.442143624161074</v>
      </c>
      <c r="T54" s="3" t="n">
        <v>2.131</v>
      </c>
      <c r="U54" s="3" t="n">
        <v>20</v>
      </c>
      <c r="V54" s="3" t="n"/>
      <c r="W54" s="42" t="n">
        <v>0.1172</v>
      </c>
      <c r="X54" s="23" t="n"/>
      <c r="Y54" s="3">
        <f>IF(I54="","No SIC",IFERROR(VLOOKUP(I54,Ref!$A$2:$B$65,2,FALSE()),"Unclassified"))</f>
        <v/>
      </c>
      <c r="Z54" s="3">
        <f>IF(T54="","",IF(T54&lt;12,"Daily","Weekly"))</f>
        <v/>
      </c>
      <c r="AA54" s="3">
        <f>IF(T54="",0,IF(T54&lt;12,T54*Controls!$B$13,T54*5))</f>
        <v/>
      </c>
      <c r="AB54" s="3">
        <f>IF(E54="",0,NETWORKDAYS(E54,Controls!$B$20,Ref!$K$2:$K$42))</f>
        <v/>
      </c>
      <c r="AC54" s="3">
        <f>IF(OR(AF54=1,AND(AA54&gt;0,AB54&gt;=Controls!$B$23*AA54)),1,0)</f>
        <v/>
      </c>
      <c r="AD54" s="3">
        <f>IF(AND(E54&lt;&gt;"",E54&gt;=Controls!$B$21,E54&lt;=Controls!$B$22),1,0)</f>
        <v/>
      </c>
      <c r="AE54" s="3">
        <f>IF(IFERROR(VLOOKUP(D54,Controls!$A$36:$E$46,2,FALSE()),"No")="Yes",1,0)</f>
        <v/>
      </c>
      <c r="AF54" s="3">
        <f>IF(IFERROR(VLOOKUP(D54,Controls!$A$36:$E$46,3,FALSE()),"No")="Yes",1,0)</f>
        <v/>
      </c>
      <c r="AG54" s="3">
        <f>IF(IFERROR(VLOOKUP(D54,Controls!$A$36:$E$46,4,FALSE()),"No")="Yes",1,0)</f>
        <v/>
      </c>
      <c r="AH54" s="3">
        <f>IF(IFERROR(VLOOKUP(D54,Controls!$A$36:$E$46,5,FALSE()),"No")="Yes",1,0)</f>
        <v/>
      </c>
      <c r="AI54" s="3">
        <f>IF(ISNUMBER(MATCH(D54,Controls!$A$36:$A$46,0)),1,0)</f>
        <v/>
      </c>
      <c r="AJ54" s="28">
        <f>Q54-N54</f>
        <v/>
      </c>
      <c r="AK54" s="3">
        <f>IF(AE54=1,MAX(0,N54-Q54),0)</f>
        <v/>
      </c>
      <c r="AL54" s="3">
        <f>IF(OR(V54="",V54=0),0,N54/V54)</f>
        <v/>
      </c>
      <c r="AM54" s="3">
        <f>IF(OR(V54="",V54=0),0,1)</f>
        <v/>
      </c>
      <c r="AN54" s="3">
        <f>IF(OR(E54="",F54=""),0,NETWORKDAYS(E54,F54,Ref!$K$2:$K$42))</f>
        <v/>
      </c>
      <c r="AO54" s="3">
        <f>IF(L54="Renewal",1,0)</f>
        <v/>
      </c>
      <c r="AP54" s="3">
        <f>AC54*AD54</f>
        <v/>
      </c>
      <c r="AQ54" s="3">
        <f>IF(AND(G54&lt;&gt;"",'Historical Score'!$C$6&lt;&gt;""),IF(G54='Historical Score'!$C$6,1,0),0)</f>
        <v/>
      </c>
      <c r="AR54" s="3">
        <f>IF(AND(L54&lt;&gt;"",'Historical Score'!$C$5&lt;&gt;""),IF(L54='Historical Score'!$C$5,1,0),0)</f>
        <v/>
      </c>
      <c r="AS54" s="3">
        <f>IF(AND(Y54&lt;&gt;"",'Historical Score'!$C$7&lt;&gt;""),IF(Y54='Historical Score'!$C$7,1,0),0)</f>
        <v/>
      </c>
      <c r="AT54" s="3">
        <f>IF(AND(K54&lt;&gt;"",'Historical Score'!$C$8&lt;&gt;""),IF(K54='Historical Score'!$C$8,1,0),0)</f>
        <v/>
      </c>
      <c r="AU54" s="3" t="n"/>
      <c r="AV54" s="3" t="n"/>
      <c r="AW54" s="3" t="n"/>
      <c r="AX54" s="3" t="n"/>
      <c r="AY54" s="3" t="n"/>
      <c r="AZ54" s="3" t="n"/>
      <c r="BA54" s="182">
        <f>IF(AD54=1,(AR54*'Historical Score'!$K$29+1-'Historical Score'!$K$29)*(AT54*'Historical Score'!$L$29+1-'Historical Score'!$L$29)*(AS54*'Historical Score'!$M$29+1-'Historical Score'!$M$29)*(AQ54*'Historical Score'!$N$29+1-'Historical Score'!$N$29),0)</f>
        <v/>
      </c>
      <c r="BB54" s="3" t="n"/>
      <c r="BC54" s="3" t="n"/>
    </row>
    <row r="55" ht="15.75" customHeight="1" s="174">
      <c r="A55" s="3" t="inlineStr">
        <is>
          <t>5674153597</t>
        </is>
      </c>
      <c r="B55" s="3" t="inlineStr">
        <is>
          <t>Anthony's RV Rentals</t>
        </is>
      </c>
      <c r="C55" s="3" t="inlineStr">
        <is>
          <t>Anthony's RV Rentals</t>
        </is>
      </c>
      <c r="D55" s="3" t="inlineStr">
        <is>
          <t>Legal</t>
        </is>
      </c>
      <c r="E55" s="23" t="n">
        <v>45743</v>
      </c>
      <c r="F55" s="23" t="n">
        <v>45866</v>
      </c>
      <c r="G55" s="3" t="n">
        <v>2</v>
      </c>
      <c r="H55" s="3" t="inlineStr">
        <is>
          <t>7519</t>
        </is>
      </c>
      <c r="I55" s="3" t="inlineStr">
        <is>
          <t>75</t>
        </is>
      </c>
      <c r="J55" s="3" t="inlineStr">
        <is>
          <t>MI</t>
        </is>
      </c>
      <c r="K55" s="3" t="inlineStr">
        <is>
          <t>Platform Funding</t>
        </is>
      </c>
      <c r="L55" s="3" t="inlineStr">
        <is>
          <t>Renewal</t>
        </is>
      </c>
      <c r="M55" s="3" t="n">
        <v>1.49</v>
      </c>
      <c r="N55" s="28" t="n">
        <v>15000</v>
      </c>
      <c r="O55" s="28" t="n">
        <v>0</v>
      </c>
      <c r="P55" s="28" t="n">
        <v>22350</v>
      </c>
      <c r="Q55" s="28" t="n">
        <v>6115.1</v>
      </c>
      <c r="R55" s="28" t="n">
        <v>16234.9</v>
      </c>
      <c r="S55" s="42" t="n">
        <v>0.273606263982103</v>
      </c>
      <c r="T55" s="3" t="n">
        <v>2.459</v>
      </c>
      <c r="U55" s="3" t="n">
        <v>8</v>
      </c>
      <c r="V55" s="3" t="n"/>
      <c r="W55" s="42" t="n">
        <v>0.1567</v>
      </c>
      <c r="X55" s="23" t="n">
        <v>43617</v>
      </c>
      <c r="Y55" s="3">
        <f>IF(I55="","No SIC",IFERROR(VLOOKUP(I55,Ref!$A$2:$B$65,2,FALSE()),"Unclassified"))</f>
        <v/>
      </c>
      <c r="Z55" s="3">
        <f>IF(T55="","",IF(T55&lt;12,"Daily","Weekly"))</f>
        <v/>
      </c>
      <c r="AA55" s="3">
        <f>IF(T55="",0,IF(T55&lt;12,T55*Controls!$B$13,T55*5))</f>
        <v/>
      </c>
      <c r="AB55" s="3">
        <f>IF(E55="",0,NETWORKDAYS(E55,Controls!$B$20,Ref!$K$2:$K$42))</f>
        <v/>
      </c>
      <c r="AC55" s="3">
        <f>IF(OR(AF55=1,AND(AA55&gt;0,AB55&gt;=Controls!$B$23*AA55)),1,0)</f>
        <v/>
      </c>
      <c r="AD55" s="3">
        <f>IF(AND(E55&lt;&gt;"",E55&gt;=Controls!$B$21,E55&lt;=Controls!$B$22),1,0)</f>
        <v/>
      </c>
      <c r="AE55" s="3">
        <f>IF(IFERROR(VLOOKUP(D55,Controls!$A$36:$E$46,2,FALSE()),"No")="Yes",1,0)</f>
        <v/>
      </c>
      <c r="AF55" s="3">
        <f>IF(IFERROR(VLOOKUP(D55,Controls!$A$36:$E$46,3,FALSE()),"No")="Yes",1,0)</f>
        <v/>
      </c>
      <c r="AG55" s="3">
        <f>IF(IFERROR(VLOOKUP(D55,Controls!$A$36:$E$46,4,FALSE()),"No")="Yes",1,0)</f>
        <v/>
      </c>
      <c r="AH55" s="3">
        <f>IF(IFERROR(VLOOKUP(D55,Controls!$A$36:$E$46,5,FALSE()),"No")="Yes",1,0)</f>
        <v/>
      </c>
      <c r="AI55" s="3">
        <f>IF(ISNUMBER(MATCH(D55,Controls!$A$36:$A$46,0)),1,0)</f>
        <v/>
      </c>
      <c r="AJ55" s="28">
        <f>Q55-N55</f>
        <v/>
      </c>
      <c r="AK55" s="3">
        <f>IF(AE55=1,MAX(0,N55-Q55),0)</f>
        <v/>
      </c>
      <c r="AL55" s="3">
        <f>IF(OR(V55="",V55=0),0,N55/V55)</f>
        <v/>
      </c>
      <c r="AM55" s="3">
        <f>IF(OR(V55="",V55=0),0,1)</f>
        <v/>
      </c>
      <c r="AN55" s="3">
        <f>IF(OR(E55="",F55=""),0,NETWORKDAYS(E55,F55,Ref!$K$2:$K$42))</f>
        <v/>
      </c>
      <c r="AO55" s="3">
        <f>IF(L55="Renewal",1,0)</f>
        <v/>
      </c>
      <c r="AP55" s="3">
        <f>AC55*AD55</f>
        <v/>
      </c>
      <c r="AQ55" s="3">
        <f>IF(AND(G55&lt;&gt;"",'Historical Score'!$C$6&lt;&gt;""),IF(G55='Historical Score'!$C$6,1,0),0)</f>
        <v/>
      </c>
      <c r="AR55" s="3">
        <f>IF(AND(L55&lt;&gt;"",'Historical Score'!$C$5&lt;&gt;""),IF(L55='Historical Score'!$C$5,1,0),0)</f>
        <v/>
      </c>
      <c r="AS55" s="3">
        <f>IF(AND(Y55&lt;&gt;"",'Historical Score'!$C$7&lt;&gt;""),IF(Y55='Historical Score'!$C$7,1,0),0)</f>
        <v/>
      </c>
      <c r="AT55" s="3">
        <f>IF(AND(K55&lt;&gt;"",'Historical Score'!$C$8&lt;&gt;""),IF(K55='Historical Score'!$C$8,1,0),0)</f>
        <v/>
      </c>
      <c r="AU55" s="3" t="n"/>
      <c r="AV55" s="3" t="n"/>
      <c r="AW55" s="3" t="n"/>
      <c r="AX55" s="3" t="n"/>
      <c r="AY55" s="3" t="n"/>
      <c r="AZ55" s="3" t="n"/>
      <c r="BA55" s="182">
        <f>IF(AD55=1,(AR55*'Historical Score'!$K$29+1-'Historical Score'!$K$29)*(AT55*'Historical Score'!$L$29+1-'Historical Score'!$L$29)*(AS55*'Historical Score'!$M$29+1-'Historical Score'!$M$29)*(AQ55*'Historical Score'!$N$29+1-'Historical Score'!$N$29),0)</f>
        <v/>
      </c>
      <c r="BB55" s="3" t="n"/>
      <c r="BC55" s="3" t="n"/>
    </row>
    <row r="56" ht="15.75" customHeight="1" s="174">
      <c r="A56" s="3" t="inlineStr">
        <is>
          <t>5674153862</t>
        </is>
      </c>
      <c r="B56" s="3" t="inlineStr">
        <is>
          <t>W.H.S Humble &amp; Associates LLC</t>
        </is>
      </c>
      <c r="C56" s="3" t="inlineStr">
        <is>
          <t>W.H.S Humble &amp; Associates LLC</t>
        </is>
      </c>
      <c r="D56" s="3" t="inlineStr">
        <is>
          <t>Legal</t>
        </is>
      </c>
      <c r="E56" s="23" t="n">
        <v>45747</v>
      </c>
      <c r="F56" s="23" t="n">
        <v>45807</v>
      </c>
      <c r="G56" s="3" t="n">
        <v>6</v>
      </c>
      <c r="H56" s="3" t="inlineStr">
        <is>
          <t>7291</t>
        </is>
      </c>
      <c r="I56" s="3" t="inlineStr">
        <is>
          <t>72</t>
        </is>
      </c>
      <c r="J56" s="3" t="inlineStr">
        <is>
          <t>CA</t>
        </is>
      </c>
      <c r="K56" s="3" t="inlineStr">
        <is>
          <t>ROYAL FUNDING GROUP</t>
        </is>
      </c>
      <c r="L56" s="3" t="inlineStr">
        <is>
          <t>New Deal</t>
        </is>
      </c>
      <c r="M56" s="3" t="n">
        <v>1.499</v>
      </c>
      <c r="N56" s="28" t="n">
        <v>6500</v>
      </c>
      <c r="O56" s="28" t="n">
        <v>910</v>
      </c>
      <c r="P56" s="28" t="n">
        <v>9743.5</v>
      </c>
      <c r="Q56" s="28" t="n">
        <v>4178.4</v>
      </c>
      <c r="R56" s="28" t="n">
        <v>5565.1</v>
      </c>
      <c r="S56" s="42" t="n">
        <v>0.428839739313388</v>
      </c>
      <c r="T56" s="3" t="n">
        <v>2.295</v>
      </c>
      <c r="U56" s="3" t="n">
        <v>15</v>
      </c>
      <c r="V56" s="3" t="n"/>
      <c r="W56" s="42" t="n">
        <v>0.08309999999999999</v>
      </c>
      <c r="X56" s="23" t="n">
        <v>44846</v>
      </c>
      <c r="Y56" s="3">
        <f>IF(I56="","No SIC",IFERROR(VLOOKUP(I56,Ref!$A$2:$B$65,2,FALSE()),"Unclassified"))</f>
        <v/>
      </c>
      <c r="Z56" s="3">
        <f>IF(T56="","",IF(T56&lt;12,"Daily","Weekly"))</f>
        <v/>
      </c>
      <c r="AA56" s="3">
        <f>IF(T56="",0,IF(T56&lt;12,T56*Controls!$B$13,T56*5))</f>
        <v/>
      </c>
      <c r="AB56" s="3">
        <f>IF(E56="",0,NETWORKDAYS(E56,Controls!$B$20,Ref!$K$2:$K$42))</f>
        <v/>
      </c>
      <c r="AC56" s="3">
        <f>IF(OR(AF56=1,AND(AA56&gt;0,AB56&gt;=Controls!$B$23*AA56)),1,0)</f>
        <v/>
      </c>
      <c r="AD56" s="3">
        <f>IF(AND(E56&lt;&gt;"",E56&gt;=Controls!$B$21,E56&lt;=Controls!$B$22),1,0)</f>
        <v/>
      </c>
      <c r="AE56" s="3">
        <f>IF(IFERROR(VLOOKUP(D56,Controls!$A$36:$E$46,2,FALSE()),"No")="Yes",1,0)</f>
        <v/>
      </c>
      <c r="AF56" s="3">
        <f>IF(IFERROR(VLOOKUP(D56,Controls!$A$36:$E$46,3,FALSE()),"No")="Yes",1,0)</f>
        <v/>
      </c>
      <c r="AG56" s="3">
        <f>IF(IFERROR(VLOOKUP(D56,Controls!$A$36:$E$46,4,FALSE()),"No")="Yes",1,0)</f>
        <v/>
      </c>
      <c r="AH56" s="3">
        <f>IF(IFERROR(VLOOKUP(D56,Controls!$A$36:$E$46,5,FALSE()),"No")="Yes",1,0)</f>
        <v/>
      </c>
      <c r="AI56" s="3">
        <f>IF(ISNUMBER(MATCH(D56,Controls!$A$36:$A$46,0)),1,0)</f>
        <v/>
      </c>
      <c r="AJ56" s="28">
        <f>Q56-N56</f>
        <v/>
      </c>
      <c r="AK56" s="3">
        <f>IF(AE56=1,MAX(0,N56-Q56),0)</f>
        <v/>
      </c>
      <c r="AL56" s="3">
        <f>IF(OR(V56="",V56=0),0,N56/V56)</f>
        <v/>
      </c>
      <c r="AM56" s="3">
        <f>IF(OR(V56="",V56=0),0,1)</f>
        <v/>
      </c>
      <c r="AN56" s="3">
        <f>IF(OR(E56="",F56=""),0,NETWORKDAYS(E56,F56,Ref!$K$2:$K$42))</f>
        <v/>
      </c>
      <c r="AO56" s="3">
        <f>IF(L56="Renewal",1,0)</f>
        <v/>
      </c>
      <c r="AP56" s="3">
        <f>AC56*AD56</f>
        <v/>
      </c>
      <c r="AQ56" s="3">
        <f>IF(AND(G56&lt;&gt;"",'Historical Score'!$C$6&lt;&gt;""),IF(G56='Historical Score'!$C$6,1,0),0)</f>
        <v/>
      </c>
      <c r="AR56" s="3">
        <f>IF(AND(L56&lt;&gt;"",'Historical Score'!$C$5&lt;&gt;""),IF(L56='Historical Score'!$C$5,1,0),0)</f>
        <v/>
      </c>
      <c r="AS56" s="3">
        <f>IF(AND(Y56&lt;&gt;"",'Historical Score'!$C$7&lt;&gt;""),IF(Y56='Historical Score'!$C$7,1,0),0)</f>
        <v/>
      </c>
      <c r="AT56" s="3">
        <f>IF(AND(K56&lt;&gt;"",'Historical Score'!$C$8&lt;&gt;""),IF(K56='Historical Score'!$C$8,1,0),0)</f>
        <v/>
      </c>
      <c r="AU56" s="3" t="n"/>
      <c r="AV56" s="3" t="n"/>
      <c r="AW56" s="3" t="n"/>
      <c r="AX56" s="3" t="n"/>
      <c r="AY56" s="3" t="n"/>
      <c r="AZ56" s="3" t="n"/>
      <c r="BA56" s="182">
        <f>IF(AD56=1,(AR56*'Historical Score'!$K$29+1-'Historical Score'!$K$29)*(AT56*'Historical Score'!$L$29+1-'Historical Score'!$L$29)*(AS56*'Historical Score'!$M$29+1-'Historical Score'!$M$29)*(AQ56*'Historical Score'!$N$29+1-'Historical Score'!$N$29),0)</f>
        <v/>
      </c>
      <c r="BB56" s="3" t="n"/>
      <c r="BC56" s="3" t="n"/>
    </row>
    <row r="57" ht="15.75" customHeight="1" s="174">
      <c r="A57" s="3" t="inlineStr">
        <is>
          <t>5674153904</t>
        </is>
      </c>
      <c r="B57" s="3" t="inlineStr">
        <is>
          <t>RANDY ROBBINS AGENCY LLC</t>
        </is>
      </c>
      <c r="C57" s="3" t="inlineStr">
        <is>
          <t>RANDY ROBBINS AGENCY LLC</t>
        </is>
      </c>
      <c r="D57" s="3" t="inlineStr">
        <is>
          <t>Closed</t>
        </is>
      </c>
      <c r="E57" s="23" t="n">
        <v>45748</v>
      </c>
      <c r="F57" s="23" t="n">
        <v>45883</v>
      </c>
      <c r="G57" s="3" t="n">
        <v>1</v>
      </c>
      <c r="H57" s="3" t="inlineStr">
        <is>
          <t>6411</t>
        </is>
      </c>
      <c r="I57" s="3" t="inlineStr">
        <is>
          <t>64</t>
        </is>
      </c>
      <c r="J57" s="3" t="inlineStr">
        <is>
          <t>OK</t>
        </is>
      </c>
      <c r="K57" s="3" t="inlineStr">
        <is>
          <t>United Secured Capital 8</t>
        </is>
      </c>
      <c r="L57" s="3" t="inlineStr">
        <is>
          <t>New Deal</t>
        </is>
      </c>
      <c r="M57" s="3" t="n">
        <v>1.49</v>
      </c>
      <c r="N57" s="28" t="n">
        <v>10000</v>
      </c>
      <c r="O57" s="28" t="n">
        <v>1400</v>
      </c>
      <c r="P57" s="28" t="n">
        <v>14900</v>
      </c>
      <c r="Q57" s="28" t="n">
        <v>14900</v>
      </c>
      <c r="R57" s="28" t="n">
        <v>0</v>
      </c>
      <c r="S57" s="42" t="n">
        <v>1</v>
      </c>
      <c r="T57" s="3" t="n">
        <v>3.115</v>
      </c>
      <c r="U57" s="3" t="n">
        <v>0</v>
      </c>
      <c r="V57" s="3" t="n"/>
      <c r="W57" s="42" t="n">
        <v>0.121</v>
      </c>
      <c r="X57" s="23" t="n">
        <v>41821</v>
      </c>
      <c r="Y57" s="3">
        <f>IF(I57="","No SIC",IFERROR(VLOOKUP(I57,Ref!$A$2:$B$65,2,FALSE()),"Unclassified"))</f>
        <v/>
      </c>
      <c r="Z57" s="3">
        <f>IF(T57="","",IF(T57&lt;12,"Daily","Weekly"))</f>
        <v/>
      </c>
      <c r="AA57" s="3">
        <f>IF(T57="",0,IF(T57&lt;12,T57*Controls!$B$13,T57*5))</f>
        <v/>
      </c>
      <c r="AB57" s="3">
        <f>IF(E57="",0,NETWORKDAYS(E57,Controls!$B$20,Ref!$K$2:$K$42))</f>
        <v/>
      </c>
      <c r="AC57" s="3">
        <f>IF(OR(AF57=1,AND(AA57&gt;0,AB57&gt;=Controls!$B$23*AA57)),1,0)</f>
        <v/>
      </c>
      <c r="AD57" s="3">
        <f>IF(AND(E57&lt;&gt;"",E57&gt;=Controls!$B$21,E57&lt;=Controls!$B$22),1,0)</f>
        <v/>
      </c>
      <c r="AE57" s="3">
        <f>IF(IFERROR(VLOOKUP(D57,Controls!$A$36:$E$46,2,FALSE()),"No")="Yes",1,0)</f>
        <v/>
      </c>
      <c r="AF57" s="3">
        <f>IF(IFERROR(VLOOKUP(D57,Controls!$A$36:$E$46,3,FALSE()),"No")="Yes",1,0)</f>
        <v/>
      </c>
      <c r="AG57" s="3">
        <f>IF(IFERROR(VLOOKUP(D57,Controls!$A$36:$E$46,4,FALSE()),"No")="Yes",1,0)</f>
        <v/>
      </c>
      <c r="AH57" s="3">
        <f>IF(IFERROR(VLOOKUP(D57,Controls!$A$36:$E$46,5,FALSE()),"No")="Yes",1,0)</f>
        <v/>
      </c>
      <c r="AI57" s="3">
        <f>IF(ISNUMBER(MATCH(D57,Controls!$A$36:$A$46,0)),1,0)</f>
        <v/>
      </c>
      <c r="AJ57" s="28">
        <f>Q57-N57</f>
        <v/>
      </c>
      <c r="AK57" s="3">
        <f>IF(AE57=1,MAX(0,N57-Q57),0)</f>
        <v/>
      </c>
      <c r="AL57" s="3">
        <f>IF(OR(V57="",V57=0),0,N57/V57)</f>
        <v/>
      </c>
      <c r="AM57" s="3">
        <f>IF(OR(V57="",V57=0),0,1)</f>
        <v/>
      </c>
      <c r="AN57" s="3">
        <f>IF(OR(E57="",F57=""),0,NETWORKDAYS(E57,F57,Ref!$K$2:$K$42))</f>
        <v/>
      </c>
      <c r="AO57" s="3">
        <f>IF(L57="Renewal",1,0)</f>
        <v/>
      </c>
      <c r="AP57" s="3">
        <f>AC57*AD57</f>
        <v/>
      </c>
      <c r="AQ57" s="3">
        <f>IF(AND(G57&lt;&gt;"",'Historical Score'!$C$6&lt;&gt;""),IF(G57='Historical Score'!$C$6,1,0),0)</f>
        <v/>
      </c>
      <c r="AR57" s="3">
        <f>IF(AND(L57&lt;&gt;"",'Historical Score'!$C$5&lt;&gt;""),IF(L57='Historical Score'!$C$5,1,0),0)</f>
        <v/>
      </c>
      <c r="AS57" s="3">
        <f>IF(AND(Y57&lt;&gt;"",'Historical Score'!$C$7&lt;&gt;""),IF(Y57='Historical Score'!$C$7,1,0),0)</f>
        <v/>
      </c>
      <c r="AT57" s="3">
        <f>IF(AND(K57&lt;&gt;"",'Historical Score'!$C$8&lt;&gt;""),IF(K57='Historical Score'!$C$8,1,0),0)</f>
        <v/>
      </c>
      <c r="AU57" s="3" t="n"/>
      <c r="AV57" s="3" t="n"/>
      <c r="AW57" s="3" t="n"/>
      <c r="AX57" s="3" t="n"/>
      <c r="AY57" s="3" t="n"/>
      <c r="AZ57" s="3" t="n"/>
      <c r="BA57" s="182">
        <f>IF(AD57=1,(AR57*'Historical Score'!$K$29+1-'Historical Score'!$K$29)*(AT57*'Historical Score'!$L$29+1-'Historical Score'!$L$29)*(AS57*'Historical Score'!$M$29+1-'Historical Score'!$M$29)*(AQ57*'Historical Score'!$N$29+1-'Historical Score'!$N$29),0)</f>
        <v/>
      </c>
      <c r="BB57" s="3" t="n"/>
      <c r="BC57" s="3" t="n"/>
    </row>
    <row r="58" ht="15.75" customHeight="1" s="174">
      <c r="A58" s="3" t="inlineStr">
        <is>
          <t>5674153985</t>
        </is>
      </c>
      <c r="B58" s="3" t="inlineStr">
        <is>
          <t>CAREFOCUS CORPORATION</t>
        </is>
      </c>
      <c r="C58" s="3" t="inlineStr">
        <is>
          <t>CAREFOCUS CORPORATION</t>
        </is>
      </c>
      <c r="D58" s="3" t="inlineStr">
        <is>
          <t>Closed</t>
        </is>
      </c>
      <c r="E58" s="23" t="n">
        <v>45749</v>
      </c>
      <c r="F58" s="23" t="n">
        <v>45888</v>
      </c>
      <c r="G58" s="3" t="n">
        <v>4</v>
      </c>
      <c r="H58" s="3" t="inlineStr">
        <is>
          <t>8082</t>
        </is>
      </c>
      <c r="I58" s="3" t="inlineStr">
        <is>
          <t>80</t>
        </is>
      </c>
      <c r="J58" s="3" t="inlineStr">
        <is>
          <t>MN</t>
        </is>
      </c>
      <c r="K58" s="3" t="inlineStr">
        <is>
          <t>United Secured Capital 8</t>
        </is>
      </c>
      <c r="L58" s="3" t="inlineStr">
        <is>
          <t>New Deal</t>
        </is>
      </c>
      <c r="M58" s="3" t="n">
        <v>1.49</v>
      </c>
      <c r="N58" s="28" t="n">
        <v>20000</v>
      </c>
      <c r="O58" s="28" t="n">
        <v>2800</v>
      </c>
      <c r="P58" s="28" t="n">
        <v>29800</v>
      </c>
      <c r="Q58" s="28" t="n">
        <v>29800</v>
      </c>
      <c r="R58" s="28" t="n">
        <v>0</v>
      </c>
      <c r="S58" s="42" t="n">
        <v>1</v>
      </c>
      <c r="T58" s="3" t="n">
        <v>16</v>
      </c>
      <c r="U58" s="3" t="n">
        <v>1</v>
      </c>
      <c r="V58" s="3" t="n"/>
      <c r="W58" s="42" t="n">
        <v>0.016</v>
      </c>
      <c r="X58" s="23" t="n"/>
      <c r="Y58" s="3">
        <f>IF(I58="","No SIC",IFERROR(VLOOKUP(I58,Ref!$A$2:$B$65,2,FALSE()),"Unclassified"))</f>
        <v/>
      </c>
      <c r="Z58" s="3">
        <f>IF(T58="","",IF(T58&lt;12,"Daily","Weekly"))</f>
        <v/>
      </c>
      <c r="AA58" s="3">
        <f>IF(T58="",0,IF(T58&lt;12,T58*Controls!$B$13,T58*5))</f>
        <v/>
      </c>
      <c r="AB58" s="3">
        <f>IF(E58="",0,NETWORKDAYS(E58,Controls!$B$20,Ref!$K$2:$K$42))</f>
        <v/>
      </c>
      <c r="AC58" s="3">
        <f>IF(OR(AF58=1,AND(AA58&gt;0,AB58&gt;=Controls!$B$23*AA58)),1,0)</f>
        <v/>
      </c>
      <c r="AD58" s="3">
        <f>IF(AND(E58&lt;&gt;"",E58&gt;=Controls!$B$21,E58&lt;=Controls!$B$22),1,0)</f>
        <v/>
      </c>
      <c r="AE58" s="3">
        <f>IF(IFERROR(VLOOKUP(D58,Controls!$A$36:$E$46,2,FALSE()),"No")="Yes",1,0)</f>
        <v/>
      </c>
      <c r="AF58" s="3">
        <f>IF(IFERROR(VLOOKUP(D58,Controls!$A$36:$E$46,3,FALSE()),"No")="Yes",1,0)</f>
        <v/>
      </c>
      <c r="AG58" s="3">
        <f>IF(IFERROR(VLOOKUP(D58,Controls!$A$36:$E$46,4,FALSE()),"No")="Yes",1,0)</f>
        <v/>
      </c>
      <c r="AH58" s="3">
        <f>IF(IFERROR(VLOOKUP(D58,Controls!$A$36:$E$46,5,FALSE()),"No")="Yes",1,0)</f>
        <v/>
      </c>
      <c r="AI58" s="3">
        <f>IF(ISNUMBER(MATCH(D58,Controls!$A$36:$A$46,0)),1,0)</f>
        <v/>
      </c>
      <c r="AJ58" s="28">
        <f>Q58-N58</f>
        <v/>
      </c>
      <c r="AK58" s="3">
        <f>IF(AE58=1,MAX(0,N58-Q58),0)</f>
        <v/>
      </c>
      <c r="AL58" s="3">
        <f>IF(OR(V58="",V58=0),0,N58/V58)</f>
        <v/>
      </c>
      <c r="AM58" s="3">
        <f>IF(OR(V58="",V58=0),0,1)</f>
        <v/>
      </c>
      <c r="AN58" s="3">
        <f>IF(OR(E58="",F58=""),0,NETWORKDAYS(E58,F58,Ref!$K$2:$K$42))</f>
        <v/>
      </c>
      <c r="AO58" s="3">
        <f>IF(L58="Renewal",1,0)</f>
        <v/>
      </c>
      <c r="AP58" s="3">
        <f>AC58*AD58</f>
        <v/>
      </c>
      <c r="AQ58" s="3">
        <f>IF(AND(G58&lt;&gt;"",'Historical Score'!$C$6&lt;&gt;""),IF(G58='Historical Score'!$C$6,1,0),0)</f>
        <v/>
      </c>
      <c r="AR58" s="3">
        <f>IF(AND(L58&lt;&gt;"",'Historical Score'!$C$5&lt;&gt;""),IF(L58='Historical Score'!$C$5,1,0),0)</f>
        <v/>
      </c>
      <c r="AS58" s="3">
        <f>IF(AND(Y58&lt;&gt;"",'Historical Score'!$C$7&lt;&gt;""),IF(Y58='Historical Score'!$C$7,1,0),0)</f>
        <v/>
      </c>
      <c r="AT58" s="3">
        <f>IF(AND(K58&lt;&gt;"",'Historical Score'!$C$8&lt;&gt;""),IF(K58='Historical Score'!$C$8,1,0),0)</f>
        <v/>
      </c>
      <c r="AU58" s="3" t="n"/>
      <c r="AV58" s="3" t="n"/>
      <c r="AW58" s="3" t="n"/>
      <c r="AX58" s="3" t="n"/>
      <c r="AY58" s="3" t="n"/>
      <c r="AZ58" s="3" t="n"/>
      <c r="BA58" s="182">
        <f>IF(AD58=1,(AR58*'Historical Score'!$K$29+1-'Historical Score'!$K$29)*(AT58*'Historical Score'!$L$29+1-'Historical Score'!$L$29)*(AS58*'Historical Score'!$M$29+1-'Historical Score'!$M$29)*(AQ58*'Historical Score'!$N$29+1-'Historical Score'!$N$29),0)</f>
        <v/>
      </c>
      <c r="BB58" s="3" t="n"/>
      <c r="BC58" s="3" t="n"/>
    </row>
    <row r="59" ht="15.75" customHeight="1" s="174">
      <c r="A59" s="3" t="inlineStr">
        <is>
          <t>5674154010</t>
        </is>
      </c>
      <c r="B59" s="3" t="inlineStr">
        <is>
          <t>G Force Fiber Optics</t>
        </is>
      </c>
      <c r="C59" s="3" t="inlineStr">
        <is>
          <t>G Force Fiber Optics</t>
        </is>
      </c>
      <c r="D59" s="3" t="inlineStr">
        <is>
          <t>Legal</t>
        </is>
      </c>
      <c r="E59" s="23" t="n">
        <v>45749</v>
      </c>
      <c r="F59" s="23" t="n">
        <v>45755</v>
      </c>
      <c r="G59" s="3" t="n">
        <v>4</v>
      </c>
      <c r="H59" s="3" t="inlineStr">
        <is>
          <t>3357</t>
        </is>
      </c>
      <c r="I59" s="3" t="inlineStr">
        <is>
          <t>33</t>
        </is>
      </c>
      <c r="J59" s="3" t="inlineStr">
        <is>
          <t>TX</t>
        </is>
      </c>
      <c r="K59" s="3" t="inlineStr">
        <is>
          <t>United Secured Capital 8</t>
        </is>
      </c>
      <c r="L59" s="3" t="inlineStr">
        <is>
          <t>New Deal</t>
        </is>
      </c>
      <c r="M59" s="3" t="n">
        <v>1.49</v>
      </c>
      <c r="N59" s="28" t="n">
        <v>20000</v>
      </c>
      <c r="O59" s="28" t="n">
        <v>0</v>
      </c>
      <c r="P59" s="28" t="n">
        <v>29800</v>
      </c>
      <c r="Q59" s="28" t="n">
        <v>0</v>
      </c>
      <c r="R59" s="28" t="n">
        <v>29800</v>
      </c>
      <c r="S59" s="42" t="n">
        <v>0</v>
      </c>
      <c r="T59" s="3" t="n">
        <v>16</v>
      </c>
      <c r="U59" s="3" t="n">
        <v>1</v>
      </c>
      <c r="V59" s="3" t="n"/>
      <c r="W59" s="42" t="n">
        <v>0.0467</v>
      </c>
      <c r="X59" s="23" t="n">
        <v>43831</v>
      </c>
      <c r="Y59" s="3">
        <f>IF(I59="","No SIC",IFERROR(VLOOKUP(I59,Ref!$A$2:$B$65,2,FALSE()),"Unclassified"))</f>
        <v/>
      </c>
      <c r="Z59" s="3">
        <f>IF(T59="","",IF(T59&lt;12,"Daily","Weekly"))</f>
        <v/>
      </c>
      <c r="AA59" s="3">
        <f>IF(T59="",0,IF(T59&lt;12,T59*Controls!$B$13,T59*5))</f>
        <v/>
      </c>
      <c r="AB59" s="3">
        <f>IF(E59="",0,NETWORKDAYS(E59,Controls!$B$20,Ref!$K$2:$K$42))</f>
        <v/>
      </c>
      <c r="AC59" s="3">
        <f>IF(OR(AF59=1,AND(AA59&gt;0,AB59&gt;=Controls!$B$23*AA59)),1,0)</f>
        <v/>
      </c>
      <c r="AD59" s="3">
        <f>IF(AND(E59&lt;&gt;"",E59&gt;=Controls!$B$21,E59&lt;=Controls!$B$22),1,0)</f>
        <v/>
      </c>
      <c r="AE59" s="3">
        <f>IF(IFERROR(VLOOKUP(D59,Controls!$A$36:$E$46,2,FALSE()),"No")="Yes",1,0)</f>
        <v/>
      </c>
      <c r="AF59" s="3">
        <f>IF(IFERROR(VLOOKUP(D59,Controls!$A$36:$E$46,3,FALSE()),"No")="Yes",1,0)</f>
        <v/>
      </c>
      <c r="AG59" s="3">
        <f>IF(IFERROR(VLOOKUP(D59,Controls!$A$36:$E$46,4,FALSE()),"No")="Yes",1,0)</f>
        <v/>
      </c>
      <c r="AH59" s="3">
        <f>IF(IFERROR(VLOOKUP(D59,Controls!$A$36:$E$46,5,FALSE()),"No")="Yes",1,0)</f>
        <v/>
      </c>
      <c r="AI59" s="3">
        <f>IF(ISNUMBER(MATCH(D59,Controls!$A$36:$A$46,0)),1,0)</f>
        <v/>
      </c>
      <c r="AJ59" s="28">
        <f>Q59-N59</f>
        <v/>
      </c>
      <c r="AK59" s="3">
        <f>IF(AE59=1,MAX(0,N59-Q59),0)</f>
        <v/>
      </c>
      <c r="AL59" s="3">
        <f>IF(OR(V59="",V59=0),0,N59/V59)</f>
        <v/>
      </c>
      <c r="AM59" s="3">
        <f>IF(OR(V59="",V59=0),0,1)</f>
        <v/>
      </c>
      <c r="AN59" s="3">
        <f>IF(OR(E59="",F59=""),0,NETWORKDAYS(E59,F59,Ref!$K$2:$K$42))</f>
        <v/>
      </c>
      <c r="AO59" s="3">
        <f>IF(L59="Renewal",1,0)</f>
        <v/>
      </c>
      <c r="AP59" s="3">
        <f>AC59*AD59</f>
        <v/>
      </c>
      <c r="AQ59" s="3">
        <f>IF(AND(G59&lt;&gt;"",'Historical Score'!$C$6&lt;&gt;""),IF(G59='Historical Score'!$C$6,1,0),0)</f>
        <v/>
      </c>
      <c r="AR59" s="3">
        <f>IF(AND(L59&lt;&gt;"",'Historical Score'!$C$5&lt;&gt;""),IF(L59='Historical Score'!$C$5,1,0),0)</f>
        <v/>
      </c>
      <c r="AS59" s="3">
        <f>IF(AND(Y59&lt;&gt;"",'Historical Score'!$C$7&lt;&gt;""),IF(Y59='Historical Score'!$C$7,1,0),0)</f>
        <v/>
      </c>
      <c r="AT59" s="3">
        <f>IF(AND(K59&lt;&gt;"",'Historical Score'!$C$8&lt;&gt;""),IF(K59='Historical Score'!$C$8,1,0),0)</f>
        <v/>
      </c>
      <c r="AU59" s="3" t="n"/>
      <c r="AV59" s="3" t="n"/>
      <c r="AW59" s="3" t="n"/>
      <c r="AX59" s="3" t="n"/>
      <c r="AY59" s="3" t="n"/>
      <c r="AZ59" s="3" t="n"/>
      <c r="BA59" s="182">
        <f>IF(AD59=1,(AR59*'Historical Score'!$K$29+1-'Historical Score'!$K$29)*(AT59*'Historical Score'!$L$29+1-'Historical Score'!$L$29)*(AS59*'Historical Score'!$M$29+1-'Historical Score'!$M$29)*(AQ59*'Historical Score'!$N$29+1-'Historical Score'!$N$29),0)</f>
        <v/>
      </c>
      <c r="BB59" s="3" t="n"/>
      <c r="BC59" s="3" t="n"/>
    </row>
    <row r="60" ht="15.75" customHeight="1" s="174">
      <c r="A60" s="3" t="inlineStr">
        <is>
          <t>5674154070</t>
        </is>
      </c>
      <c r="B60" s="3" t="inlineStr">
        <is>
          <t>HDP SERVICES</t>
        </is>
      </c>
      <c r="C60" s="3" t="inlineStr">
        <is>
          <t>HDP SERVICES</t>
        </is>
      </c>
      <c r="D60" s="3" t="inlineStr">
        <is>
          <t>Legal</t>
        </is>
      </c>
      <c r="E60" s="23" t="n">
        <v>45749</v>
      </c>
      <c r="F60" s="23" t="n">
        <v>45995</v>
      </c>
      <c r="G60" s="3" t="n">
        <v>2</v>
      </c>
      <c r="H60" s="3" t="inlineStr">
        <is>
          <t>7538</t>
        </is>
      </c>
      <c r="I60" s="3" t="inlineStr">
        <is>
          <t>75</t>
        </is>
      </c>
      <c r="J60" s="3" t="inlineStr">
        <is>
          <t>AL</t>
        </is>
      </c>
      <c r="K60" s="3" t="inlineStr">
        <is>
          <t>Secure Capital Solutions 7</t>
        </is>
      </c>
      <c r="L60" s="3" t="inlineStr">
        <is>
          <t>New Deal</t>
        </is>
      </c>
      <c r="M60" s="3" t="n">
        <v>1.49</v>
      </c>
      <c r="N60" s="28" t="n">
        <v>15000</v>
      </c>
      <c r="O60" s="28" t="n">
        <v>2100</v>
      </c>
      <c r="P60" s="28" t="n">
        <v>22350</v>
      </c>
      <c r="Q60" s="28" t="n">
        <v>12342.36</v>
      </c>
      <c r="R60" s="28" t="n">
        <v>10007.64</v>
      </c>
      <c r="S60" s="42" t="n">
        <v>0.552230872483222</v>
      </c>
      <c r="T60" s="3" t="n">
        <v>2.951</v>
      </c>
      <c r="U60" s="3" t="n">
        <v>8</v>
      </c>
      <c r="V60" s="3" t="n"/>
      <c r="W60" s="42" t="n">
        <v>0.0757</v>
      </c>
      <c r="X60" s="23" t="n">
        <v>43497</v>
      </c>
      <c r="Y60" s="3">
        <f>IF(I60="","No SIC",IFERROR(VLOOKUP(I60,Ref!$A$2:$B$65,2,FALSE()),"Unclassified"))</f>
        <v/>
      </c>
      <c r="Z60" s="3">
        <f>IF(T60="","",IF(T60&lt;12,"Daily","Weekly"))</f>
        <v/>
      </c>
      <c r="AA60" s="3">
        <f>IF(T60="",0,IF(T60&lt;12,T60*Controls!$B$13,T60*5))</f>
        <v/>
      </c>
      <c r="AB60" s="3">
        <f>IF(E60="",0,NETWORKDAYS(E60,Controls!$B$20,Ref!$K$2:$K$42))</f>
        <v/>
      </c>
      <c r="AC60" s="3">
        <f>IF(OR(AF60=1,AND(AA60&gt;0,AB60&gt;=Controls!$B$23*AA60)),1,0)</f>
        <v/>
      </c>
      <c r="AD60" s="3">
        <f>IF(AND(E60&lt;&gt;"",E60&gt;=Controls!$B$21,E60&lt;=Controls!$B$22),1,0)</f>
        <v/>
      </c>
      <c r="AE60" s="3">
        <f>IF(IFERROR(VLOOKUP(D60,Controls!$A$36:$E$46,2,FALSE()),"No")="Yes",1,0)</f>
        <v/>
      </c>
      <c r="AF60" s="3">
        <f>IF(IFERROR(VLOOKUP(D60,Controls!$A$36:$E$46,3,FALSE()),"No")="Yes",1,0)</f>
        <v/>
      </c>
      <c r="AG60" s="3">
        <f>IF(IFERROR(VLOOKUP(D60,Controls!$A$36:$E$46,4,FALSE()),"No")="Yes",1,0)</f>
        <v/>
      </c>
      <c r="AH60" s="3">
        <f>IF(IFERROR(VLOOKUP(D60,Controls!$A$36:$E$46,5,FALSE()),"No")="Yes",1,0)</f>
        <v/>
      </c>
      <c r="AI60" s="3">
        <f>IF(ISNUMBER(MATCH(D60,Controls!$A$36:$A$46,0)),1,0)</f>
        <v/>
      </c>
      <c r="AJ60" s="28">
        <f>Q60-N60</f>
        <v/>
      </c>
      <c r="AK60" s="3">
        <f>IF(AE60=1,MAX(0,N60-Q60),0)</f>
        <v/>
      </c>
      <c r="AL60" s="3">
        <f>IF(OR(V60="",V60=0),0,N60/V60)</f>
        <v/>
      </c>
      <c r="AM60" s="3">
        <f>IF(OR(V60="",V60=0),0,1)</f>
        <v/>
      </c>
      <c r="AN60" s="3">
        <f>IF(OR(E60="",F60=""),0,NETWORKDAYS(E60,F60,Ref!$K$2:$K$42))</f>
        <v/>
      </c>
      <c r="AO60" s="3">
        <f>IF(L60="Renewal",1,0)</f>
        <v/>
      </c>
      <c r="AP60" s="3">
        <f>AC60*AD60</f>
        <v/>
      </c>
      <c r="AQ60" s="3">
        <f>IF(AND(G60&lt;&gt;"",'Historical Score'!$C$6&lt;&gt;""),IF(G60='Historical Score'!$C$6,1,0),0)</f>
        <v/>
      </c>
      <c r="AR60" s="3">
        <f>IF(AND(L60&lt;&gt;"",'Historical Score'!$C$5&lt;&gt;""),IF(L60='Historical Score'!$C$5,1,0),0)</f>
        <v/>
      </c>
      <c r="AS60" s="3">
        <f>IF(AND(Y60&lt;&gt;"",'Historical Score'!$C$7&lt;&gt;""),IF(Y60='Historical Score'!$C$7,1,0),0)</f>
        <v/>
      </c>
      <c r="AT60" s="3">
        <f>IF(AND(K60&lt;&gt;"",'Historical Score'!$C$8&lt;&gt;""),IF(K60='Historical Score'!$C$8,1,0),0)</f>
        <v/>
      </c>
      <c r="AU60" s="3" t="n"/>
      <c r="AV60" s="3" t="n"/>
      <c r="AW60" s="3" t="n"/>
      <c r="AX60" s="3" t="n"/>
      <c r="AY60" s="3" t="n"/>
      <c r="AZ60" s="3" t="n"/>
      <c r="BA60" s="182">
        <f>IF(AD60=1,(AR60*'Historical Score'!$K$29+1-'Historical Score'!$K$29)*(AT60*'Historical Score'!$L$29+1-'Historical Score'!$L$29)*(AS60*'Historical Score'!$M$29+1-'Historical Score'!$M$29)*(AQ60*'Historical Score'!$N$29+1-'Historical Score'!$N$29),0)</f>
        <v/>
      </c>
      <c r="BB60" s="3" t="n"/>
      <c r="BC60" s="3" t="n"/>
    </row>
    <row r="61" ht="15.75" customHeight="1" s="174">
      <c r="A61" s="3" t="inlineStr">
        <is>
          <t>5674154093</t>
        </is>
      </c>
      <c r="B61" s="3" t="inlineStr">
        <is>
          <t>Alba Italian Kitchen</t>
        </is>
      </c>
      <c r="C61" s="3" t="inlineStr">
        <is>
          <t>Tirupati Enterprises Limited</t>
        </is>
      </c>
      <c r="D61" s="3" t="inlineStr">
        <is>
          <t>Written-Off</t>
        </is>
      </c>
      <c r="E61" s="23" t="n">
        <v>45750</v>
      </c>
      <c r="F61" s="23" t="n">
        <v>45995</v>
      </c>
      <c r="G61" s="3" t="n">
        <v>5</v>
      </c>
      <c r="H61" s="3" t="inlineStr">
        <is>
          <t>5812</t>
        </is>
      </c>
      <c r="I61" s="3" t="inlineStr">
        <is>
          <t>58</t>
        </is>
      </c>
      <c r="J61" s="3" t="inlineStr">
        <is>
          <t>IL</t>
        </is>
      </c>
      <c r="K61" s="3" t="inlineStr">
        <is>
          <t>United Secured Capital 8</t>
        </is>
      </c>
      <c r="L61" s="3" t="inlineStr">
        <is>
          <t>New Deal</t>
        </is>
      </c>
      <c r="M61" s="3" t="n">
        <v>1.49</v>
      </c>
      <c r="N61" s="28" t="n">
        <v>15000</v>
      </c>
      <c r="O61" s="28" t="n">
        <v>2100</v>
      </c>
      <c r="P61" s="28" t="n">
        <v>22350</v>
      </c>
      <c r="Q61" s="28" t="n">
        <v>16988.01</v>
      </c>
      <c r="R61" s="28" t="n">
        <v>5361.99</v>
      </c>
      <c r="S61" s="42" t="n">
        <v>0.760089932885906</v>
      </c>
      <c r="T61" s="3" t="n">
        <v>2.951</v>
      </c>
      <c r="U61" s="3" t="n">
        <v>17</v>
      </c>
      <c r="V61" s="3" t="n"/>
      <c r="W61" s="42" t="n">
        <v>0.1195</v>
      </c>
      <c r="X61" s="23" t="n">
        <v>45342</v>
      </c>
      <c r="Y61" s="3">
        <f>IF(I61="","No SIC",IFERROR(VLOOKUP(I61,Ref!$A$2:$B$65,2,FALSE()),"Unclassified"))</f>
        <v/>
      </c>
      <c r="Z61" s="3">
        <f>IF(T61="","",IF(T61&lt;12,"Daily","Weekly"))</f>
        <v/>
      </c>
      <c r="AA61" s="3">
        <f>IF(T61="",0,IF(T61&lt;12,T61*Controls!$B$13,T61*5))</f>
        <v/>
      </c>
      <c r="AB61" s="3">
        <f>IF(E61="",0,NETWORKDAYS(E61,Controls!$B$20,Ref!$K$2:$K$42))</f>
        <v/>
      </c>
      <c r="AC61" s="3">
        <f>IF(OR(AF61=1,AND(AA61&gt;0,AB61&gt;=Controls!$B$23*AA61)),1,0)</f>
        <v/>
      </c>
      <c r="AD61" s="3">
        <f>IF(AND(E61&lt;&gt;"",E61&gt;=Controls!$B$21,E61&lt;=Controls!$B$22),1,0)</f>
        <v/>
      </c>
      <c r="AE61" s="3">
        <f>IF(IFERROR(VLOOKUP(D61,Controls!$A$36:$E$46,2,FALSE()),"No")="Yes",1,0)</f>
        <v/>
      </c>
      <c r="AF61" s="3">
        <f>IF(IFERROR(VLOOKUP(D61,Controls!$A$36:$E$46,3,FALSE()),"No")="Yes",1,0)</f>
        <v/>
      </c>
      <c r="AG61" s="3">
        <f>IF(IFERROR(VLOOKUP(D61,Controls!$A$36:$E$46,4,FALSE()),"No")="Yes",1,0)</f>
        <v/>
      </c>
      <c r="AH61" s="3">
        <f>IF(IFERROR(VLOOKUP(D61,Controls!$A$36:$E$46,5,FALSE()),"No")="Yes",1,0)</f>
        <v/>
      </c>
      <c r="AI61" s="3">
        <f>IF(ISNUMBER(MATCH(D61,Controls!$A$36:$A$46,0)),1,0)</f>
        <v/>
      </c>
      <c r="AJ61" s="28">
        <f>Q61-N61</f>
        <v/>
      </c>
      <c r="AK61" s="3">
        <f>IF(AE61=1,MAX(0,N61-Q61),0)</f>
        <v/>
      </c>
      <c r="AL61" s="3">
        <f>IF(OR(V61="",V61=0),0,N61/V61)</f>
        <v/>
      </c>
      <c r="AM61" s="3">
        <f>IF(OR(V61="",V61=0),0,1)</f>
        <v/>
      </c>
      <c r="AN61" s="3">
        <f>IF(OR(E61="",F61=""),0,NETWORKDAYS(E61,F61,Ref!$K$2:$K$42))</f>
        <v/>
      </c>
      <c r="AO61" s="3">
        <f>IF(L61="Renewal",1,0)</f>
        <v/>
      </c>
      <c r="AP61" s="3">
        <f>AC61*AD61</f>
        <v/>
      </c>
      <c r="AQ61" s="3">
        <f>IF(AND(G61&lt;&gt;"",'Historical Score'!$C$6&lt;&gt;""),IF(G61='Historical Score'!$C$6,1,0),0)</f>
        <v/>
      </c>
      <c r="AR61" s="3">
        <f>IF(AND(L61&lt;&gt;"",'Historical Score'!$C$5&lt;&gt;""),IF(L61='Historical Score'!$C$5,1,0),0)</f>
        <v/>
      </c>
      <c r="AS61" s="3">
        <f>IF(AND(Y61&lt;&gt;"",'Historical Score'!$C$7&lt;&gt;""),IF(Y61='Historical Score'!$C$7,1,0),0)</f>
        <v/>
      </c>
      <c r="AT61" s="3">
        <f>IF(AND(K61&lt;&gt;"",'Historical Score'!$C$8&lt;&gt;""),IF(K61='Historical Score'!$C$8,1,0),0)</f>
        <v/>
      </c>
      <c r="AU61" s="3" t="n"/>
      <c r="AV61" s="3" t="n"/>
      <c r="AW61" s="3" t="n"/>
      <c r="AX61" s="3" t="n"/>
      <c r="AY61" s="3" t="n"/>
      <c r="AZ61" s="3" t="n"/>
      <c r="BA61" s="182">
        <f>IF(AD61=1,(AR61*'Historical Score'!$K$29+1-'Historical Score'!$K$29)*(AT61*'Historical Score'!$L$29+1-'Historical Score'!$L$29)*(AS61*'Historical Score'!$M$29+1-'Historical Score'!$M$29)*(AQ61*'Historical Score'!$N$29+1-'Historical Score'!$N$29),0)</f>
        <v/>
      </c>
      <c r="BB61" s="3" t="n"/>
      <c r="BC61" s="3" t="n"/>
    </row>
    <row r="62" ht="15.75" customHeight="1" s="174">
      <c r="A62" s="3" t="inlineStr">
        <is>
          <t>5674154267</t>
        </is>
      </c>
      <c r="B62" s="3" t="inlineStr">
        <is>
          <t>MMMJ INVESTMENTS, LLC</t>
        </is>
      </c>
      <c r="C62" s="3" t="inlineStr">
        <is>
          <t>MMMJ INVESTMENTS, LLC</t>
        </is>
      </c>
      <c r="D62" s="3" t="inlineStr">
        <is>
          <t>Legal</t>
        </is>
      </c>
      <c r="E62" s="23" t="n">
        <v>45751</v>
      </c>
      <c r="F62" s="23" t="n">
        <v>45908</v>
      </c>
      <c r="G62" s="3" t="n">
        <v>4</v>
      </c>
      <c r="H62" s="3" t="inlineStr">
        <is>
          <t>5812</t>
        </is>
      </c>
      <c r="I62" s="3" t="inlineStr">
        <is>
          <t>58</t>
        </is>
      </c>
      <c r="J62" s="3" t="inlineStr">
        <is>
          <t>GA</t>
        </is>
      </c>
      <c r="K62" s="3" t="inlineStr">
        <is>
          <t>United Secured Capital 8</t>
        </is>
      </c>
      <c r="L62" s="3" t="inlineStr">
        <is>
          <t>New Deal</t>
        </is>
      </c>
      <c r="M62" s="3" t="n">
        <v>1.43</v>
      </c>
      <c r="N62" s="28" t="n">
        <v>18000</v>
      </c>
      <c r="O62" s="28" t="n">
        <v>1980</v>
      </c>
      <c r="P62" s="28" t="n">
        <v>25740</v>
      </c>
      <c r="Q62" s="28" t="n">
        <v>13437.35</v>
      </c>
      <c r="R62" s="28" t="n">
        <v>12302.65</v>
      </c>
      <c r="S62" s="42" t="n">
        <v>0.52204156954157</v>
      </c>
      <c r="T62" s="3" t="n">
        <v>2.951</v>
      </c>
      <c r="U62" s="3" t="n">
        <v>20</v>
      </c>
      <c r="V62" s="3" t="n"/>
      <c r="W62" s="42" t="n">
        <v>0.2026</v>
      </c>
      <c r="X62" s="23" t="n"/>
      <c r="Y62" s="3">
        <f>IF(I62="","No SIC",IFERROR(VLOOKUP(I62,Ref!$A$2:$B$65,2,FALSE()),"Unclassified"))</f>
        <v/>
      </c>
      <c r="Z62" s="3">
        <f>IF(T62="","",IF(T62&lt;12,"Daily","Weekly"))</f>
        <v/>
      </c>
      <c r="AA62" s="3">
        <f>IF(T62="",0,IF(T62&lt;12,T62*Controls!$B$13,T62*5))</f>
        <v/>
      </c>
      <c r="AB62" s="3">
        <f>IF(E62="",0,NETWORKDAYS(E62,Controls!$B$20,Ref!$K$2:$K$42))</f>
        <v/>
      </c>
      <c r="AC62" s="3">
        <f>IF(OR(AF62=1,AND(AA62&gt;0,AB62&gt;=Controls!$B$23*AA62)),1,0)</f>
        <v/>
      </c>
      <c r="AD62" s="3">
        <f>IF(AND(E62&lt;&gt;"",E62&gt;=Controls!$B$21,E62&lt;=Controls!$B$22),1,0)</f>
        <v/>
      </c>
      <c r="AE62" s="3">
        <f>IF(IFERROR(VLOOKUP(D62,Controls!$A$36:$E$46,2,FALSE()),"No")="Yes",1,0)</f>
        <v/>
      </c>
      <c r="AF62" s="3">
        <f>IF(IFERROR(VLOOKUP(D62,Controls!$A$36:$E$46,3,FALSE()),"No")="Yes",1,0)</f>
        <v/>
      </c>
      <c r="AG62" s="3">
        <f>IF(IFERROR(VLOOKUP(D62,Controls!$A$36:$E$46,4,FALSE()),"No")="Yes",1,0)</f>
        <v/>
      </c>
      <c r="AH62" s="3">
        <f>IF(IFERROR(VLOOKUP(D62,Controls!$A$36:$E$46,5,FALSE()),"No")="Yes",1,0)</f>
        <v/>
      </c>
      <c r="AI62" s="3">
        <f>IF(ISNUMBER(MATCH(D62,Controls!$A$36:$A$46,0)),1,0)</f>
        <v/>
      </c>
      <c r="AJ62" s="28">
        <f>Q62-N62</f>
        <v/>
      </c>
      <c r="AK62" s="3">
        <f>IF(AE62=1,MAX(0,N62-Q62),0)</f>
        <v/>
      </c>
      <c r="AL62" s="3">
        <f>IF(OR(V62="",V62=0),0,N62/V62)</f>
        <v/>
      </c>
      <c r="AM62" s="3">
        <f>IF(OR(V62="",V62=0),0,1)</f>
        <v/>
      </c>
      <c r="AN62" s="3">
        <f>IF(OR(E62="",F62=""),0,NETWORKDAYS(E62,F62,Ref!$K$2:$K$42))</f>
        <v/>
      </c>
      <c r="AO62" s="3">
        <f>IF(L62="Renewal",1,0)</f>
        <v/>
      </c>
      <c r="AP62" s="3">
        <f>AC62*AD62</f>
        <v/>
      </c>
      <c r="AQ62" s="3">
        <f>IF(AND(G62&lt;&gt;"",'Historical Score'!$C$6&lt;&gt;""),IF(G62='Historical Score'!$C$6,1,0),0)</f>
        <v/>
      </c>
      <c r="AR62" s="3">
        <f>IF(AND(L62&lt;&gt;"",'Historical Score'!$C$5&lt;&gt;""),IF(L62='Historical Score'!$C$5,1,0),0)</f>
        <v/>
      </c>
      <c r="AS62" s="3">
        <f>IF(AND(Y62&lt;&gt;"",'Historical Score'!$C$7&lt;&gt;""),IF(Y62='Historical Score'!$C$7,1,0),0)</f>
        <v/>
      </c>
      <c r="AT62" s="3">
        <f>IF(AND(K62&lt;&gt;"",'Historical Score'!$C$8&lt;&gt;""),IF(K62='Historical Score'!$C$8,1,0),0)</f>
        <v/>
      </c>
      <c r="AU62" s="3" t="n"/>
      <c r="AV62" s="3" t="n"/>
      <c r="AW62" s="3" t="n"/>
      <c r="AX62" s="3" t="n"/>
      <c r="AY62" s="3" t="n"/>
      <c r="AZ62" s="3" t="n"/>
      <c r="BA62" s="182">
        <f>IF(AD62=1,(AR62*'Historical Score'!$K$29+1-'Historical Score'!$K$29)*(AT62*'Historical Score'!$L$29+1-'Historical Score'!$L$29)*(AS62*'Historical Score'!$M$29+1-'Historical Score'!$M$29)*(AQ62*'Historical Score'!$N$29+1-'Historical Score'!$N$29),0)</f>
        <v/>
      </c>
      <c r="BB62" s="3" t="n"/>
      <c r="BC62" s="3" t="n"/>
    </row>
    <row r="63" ht="15.75" customHeight="1" s="174">
      <c r="A63" s="3" t="inlineStr">
        <is>
          <t>5674154332</t>
        </is>
      </c>
      <c r="B63" s="3" t="inlineStr">
        <is>
          <t>Smith and Webster II Oral Springs LLC</t>
        </is>
      </c>
      <c r="C63" s="3" t="inlineStr">
        <is>
          <t>SMITH AND WEBSTER RESTAURANT CORAL SPRINGS</t>
        </is>
      </c>
      <c r="D63" s="3" t="inlineStr">
        <is>
          <t>Closed</t>
        </is>
      </c>
      <c r="E63" s="23" t="n">
        <v>45751</v>
      </c>
      <c r="F63" s="23" t="n">
        <v>45946</v>
      </c>
      <c r="G63" s="3" t="n">
        <v>4</v>
      </c>
      <c r="H63" s="3" t="inlineStr">
        <is>
          <t>5812</t>
        </is>
      </c>
      <c r="I63" s="3" t="inlineStr">
        <is>
          <t>58</t>
        </is>
      </c>
      <c r="J63" s="3" t="inlineStr">
        <is>
          <t>FL</t>
        </is>
      </c>
      <c r="K63" s="3" t="inlineStr">
        <is>
          <t>Fidelity Funding</t>
        </is>
      </c>
      <c r="L63" s="3" t="inlineStr">
        <is>
          <t>New Deal</t>
        </is>
      </c>
      <c r="M63" s="3" t="n">
        <v>1.49</v>
      </c>
      <c r="N63" s="28" t="n">
        <v>33000</v>
      </c>
      <c r="O63" s="28" t="n">
        <v>4620</v>
      </c>
      <c r="P63" s="28" t="n">
        <v>49170</v>
      </c>
      <c r="Q63" s="28" t="n">
        <v>49170</v>
      </c>
      <c r="R63" s="28" t="n">
        <v>0</v>
      </c>
      <c r="S63" s="42" t="n">
        <v>1</v>
      </c>
      <c r="T63" s="3" t="n">
        <v>20</v>
      </c>
      <c r="U63" s="3" t="n">
        <v>11</v>
      </c>
      <c r="V63" s="3" t="n"/>
      <c r="W63" s="42" t="n">
        <v>0.09810000000000001</v>
      </c>
      <c r="X63" s="23" t="n">
        <v>45198</v>
      </c>
      <c r="Y63" s="3">
        <f>IF(I63="","No SIC",IFERROR(VLOOKUP(I63,Ref!$A$2:$B$65,2,FALSE()),"Unclassified"))</f>
        <v/>
      </c>
      <c r="Z63" s="3">
        <f>IF(T63="","",IF(T63&lt;12,"Daily","Weekly"))</f>
        <v/>
      </c>
      <c r="AA63" s="3">
        <f>IF(T63="",0,IF(T63&lt;12,T63*Controls!$B$13,T63*5))</f>
        <v/>
      </c>
      <c r="AB63" s="3">
        <f>IF(E63="",0,NETWORKDAYS(E63,Controls!$B$20,Ref!$K$2:$K$42))</f>
        <v/>
      </c>
      <c r="AC63" s="3">
        <f>IF(OR(AF63=1,AND(AA63&gt;0,AB63&gt;=Controls!$B$23*AA63)),1,0)</f>
        <v/>
      </c>
      <c r="AD63" s="3">
        <f>IF(AND(E63&lt;&gt;"",E63&gt;=Controls!$B$21,E63&lt;=Controls!$B$22),1,0)</f>
        <v/>
      </c>
      <c r="AE63" s="3">
        <f>IF(IFERROR(VLOOKUP(D63,Controls!$A$36:$E$46,2,FALSE()),"No")="Yes",1,0)</f>
        <v/>
      </c>
      <c r="AF63" s="3">
        <f>IF(IFERROR(VLOOKUP(D63,Controls!$A$36:$E$46,3,FALSE()),"No")="Yes",1,0)</f>
        <v/>
      </c>
      <c r="AG63" s="3">
        <f>IF(IFERROR(VLOOKUP(D63,Controls!$A$36:$E$46,4,FALSE()),"No")="Yes",1,0)</f>
        <v/>
      </c>
      <c r="AH63" s="3">
        <f>IF(IFERROR(VLOOKUP(D63,Controls!$A$36:$E$46,5,FALSE()),"No")="Yes",1,0)</f>
        <v/>
      </c>
      <c r="AI63" s="3">
        <f>IF(ISNUMBER(MATCH(D63,Controls!$A$36:$A$46,0)),1,0)</f>
        <v/>
      </c>
      <c r="AJ63" s="28">
        <f>Q63-N63</f>
        <v/>
      </c>
      <c r="AK63" s="3">
        <f>IF(AE63=1,MAX(0,N63-Q63),0)</f>
        <v/>
      </c>
      <c r="AL63" s="3">
        <f>IF(OR(V63="",V63=0),0,N63/V63)</f>
        <v/>
      </c>
      <c r="AM63" s="3">
        <f>IF(OR(V63="",V63=0),0,1)</f>
        <v/>
      </c>
      <c r="AN63" s="3">
        <f>IF(OR(E63="",F63=""),0,NETWORKDAYS(E63,F63,Ref!$K$2:$K$42))</f>
        <v/>
      </c>
      <c r="AO63" s="3">
        <f>IF(L63="Renewal",1,0)</f>
        <v/>
      </c>
      <c r="AP63" s="3">
        <f>AC63*AD63</f>
        <v/>
      </c>
      <c r="AQ63" s="3">
        <f>IF(AND(G63&lt;&gt;"",'Historical Score'!$C$6&lt;&gt;""),IF(G63='Historical Score'!$C$6,1,0),0)</f>
        <v/>
      </c>
      <c r="AR63" s="3">
        <f>IF(AND(L63&lt;&gt;"",'Historical Score'!$C$5&lt;&gt;""),IF(L63='Historical Score'!$C$5,1,0),0)</f>
        <v/>
      </c>
      <c r="AS63" s="3">
        <f>IF(AND(Y63&lt;&gt;"",'Historical Score'!$C$7&lt;&gt;""),IF(Y63='Historical Score'!$C$7,1,0),0)</f>
        <v/>
      </c>
      <c r="AT63" s="3">
        <f>IF(AND(K63&lt;&gt;"",'Historical Score'!$C$8&lt;&gt;""),IF(K63='Historical Score'!$C$8,1,0),0)</f>
        <v/>
      </c>
      <c r="AU63" s="3" t="n"/>
      <c r="AV63" s="3" t="n"/>
      <c r="AW63" s="3" t="n"/>
      <c r="AX63" s="3" t="n"/>
      <c r="AY63" s="3" t="n"/>
      <c r="AZ63" s="3" t="n"/>
      <c r="BA63" s="182">
        <f>IF(AD63=1,(AR63*'Historical Score'!$K$29+1-'Historical Score'!$K$29)*(AT63*'Historical Score'!$L$29+1-'Historical Score'!$L$29)*(AS63*'Historical Score'!$M$29+1-'Historical Score'!$M$29)*(AQ63*'Historical Score'!$N$29+1-'Historical Score'!$N$29),0)</f>
        <v/>
      </c>
      <c r="BB63" s="3" t="n"/>
      <c r="BC63" s="3" t="n"/>
    </row>
    <row r="64" ht="15.75" customHeight="1" s="174">
      <c r="A64" s="3" t="inlineStr">
        <is>
          <t>5674154422</t>
        </is>
      </c>
      <c r="B64" s="3" t="inlineStr">
        <is>
          <t>BUSHCO CONTRACTING</t>
        </is>
      </c>
      <c r="C64" s="3" t="inlineStr">
        <is>
          <t>BUSHCO CONTRACTING</t>
        </is>
      </c>
      <c r="D64" s="3" t="inlineStr">
        <is>
          <t>Legal</t>
        </is>
      </c>
      <c r="E64" s="23" t="n">
        <v>45754</v>
      </c>
      <c r="F64" s="23" t="n">
        <v>45786</v>
      </c>
      <c r="G64" s="3" t="n">
        <v>2</v>
      </c>
      <c r="H64" s="3" t="inlineStr">
        <is>
          <t>1521</t>
        </is>
      </c>
      <c r="I64" s="3" t="inlineStr">
        <is>
          <t>15</t>
        </is>
      </c>
      <c r="J64" s="3" t="inlineStr">
        <is>
          <t>CA</t>
        </is>
      </c>
      <c r="K64" s="3" t="inlineStr">
        <is>
          <t>GREYSTONE</t>
        </is>
      </c>
      <c r="L64" s="3" t="inlineStr">
        <is>
          <t>New Deal</t>
        </is>
      </c>
      <c r="M64" s="3" t="n">
        <v>1.49</v>
      </c>
      <c r="N64" s="28" t="n">
        <v>14000</v>
      </c>
      <c r="O64" s="28" t="n">
        <v>1680</v>
      </c>
      <c r="P64" s="28" t="n">
        <v>20860</v>
      </c>
      <c r="Q64" s="28" t="n">
        <v>2318.06</v>
      </c>
      <c r="R64" s="28" t="n">
        <v>18541.94</v>
      </c>
      <c r="S64" s="42" t="n">
        <v>0.111124640460211</v>
      </c>
      <c r="T64" s="3" t="n">
        <v>18</v>
      </c>
      <c r="U64" s="3" t="n">
        <v>3</v>
      </c>
      <c r="V64" s="3" t="n"/>
      <c r="W64" s="42" t="n">
        <v>0.089</v>
      </c>
      <c r="X64" s="23" t="n"/>
      <c r="Y64" s="3">
        <f>IF(I64="","No SIC",IFERROR(VLOOKUP(I64,Ref!$A$2:$B$65,2,FALSE()),"Unclassified"))</f>
        <v/>
      </c>
      <c r="Z64" s="3">
        <f>IF(T64="","",IF(T64&lt;12,"Daily","Weekly"))</f>
        <v/>
      </c>
      <c r="AA64" s="3">
        <f>IF(T64="",0,IF(T64&lt;12,T64*Controls!$B$13,T64*5))</f>
        <v/>
      </c>
      <c r="AB64" s="3">
        <f>IF(E64="",0,NETWORKDAYS(E64,Controls!$B$20,Ref!$K$2:$K$42))</f>
        <v/>
      </c>
      <c r="AC64" s="3">
        <f>IF(OR(AF64=1,AND(AA64&gt;0,AB64&gt;=Controls!$B$23*AA64)),1,0)</f>
        <v/>
      </c>
      <c r="AD64" s="3">
        <f>IF(AND(E64&lt;&gt;"",E64&gt;=Controls!$B$21,E64&lt;=Controls!$B$22),1,0)</f>
        <v/>
      </c>
      <c r="AE64" s="3">
        <f>IF(IFERROR(VLOOKUP(D64,Controls!$A$36:$E$46,2,FALSE()),"No")="Yes",1,0)</f>
        <v/>
      </c>
      <c r="AF64" s="3">
        <f>IF(IFERROR(VLOOKUP(D64,Controls!$A$36:$E$46,3,FALSE()),"No")="Yes",1,0)</f>
        <v/>
      </c>
      <c r="AG64" s="3">
        <f>IF(IFERROR(VLOOKUP(D64,Controls!$A$36:$E$46,4,FALSE()),"No")="Yes",1,0)</f>
        <v/>
      </c>
      <c r="AH64" s="3">
        <f>IF(IFERROR(VLOOKUP(D64,Controls!$A$36:$E$46,5,FALSE()),"No")="Yes",1,0)</f>
        <v/>
      </c>
      <c r="AI64" s="3">
        <f>IF(ISNUMBER(MATCH(D64,Controls!$A$36:$A$46,0)),1,0)</f>
        <v/>
      </c>
      <c r="AJ64" s="28">
        <f>Q64-N64</f>
        <v/>
      </c>
      <c r="AK64" s="3">
        <f>IF(AE64=1,MAX(0,N64-Q64),0)</f>
        <v/>
      </c>
      <c r="AL64" s="3">
        <f>IF(OR(V64="",V64=0),0,N64/V64)</f>
        <v/>
      </c>
      <c r="AM64" s="3">
        <f>IF(OR(V64="",V64=0),0,1)</f>
        <v/>
      </c>
      <c r="AN64" s="3">
        <f>IF(OR(E64="",F64=""),0,NETWORKDAYS(E64,F64,Ref!$K$2:$K$42))</f>
        <v/>
      </c>
      <c r="AO64" s="3">
        <f>IF(L64="Renewal",1,0)</f>
        <v/>
      </c>
      <c r="AP64" s="3">
        <f>AC64*AD64</f>
        <v/>
      </c>
      <c r="AQ64" s="3">
        <f>IF(AND(G64&lt;&gt;"",'Historical Score'!$C$6&lt;&gt;""),IF(G64='Historical Score'!$C$6,1,0),0)</f>
        <v/>
      </c>
      <c r="AR64" s="3">
        <f>IF(AND(L64&lt;&gt;"",'Historical Score'!$C$5&lt;&gt;""),IF(L64='Historical Score'!$C$5,1,0),0)</f>
        <v/>
      </c>
      <c r="AS64" s="3">
        <f>IF(AND(Y64&lt;&gt;"",'Historical Score'!$C$7&lt;&gt;""),IF(Y64='Historical Score'!$C$7,1,0),0)</f>
        <v/>
      </c>
      <c r="AT64" s="3">
        <f>IF(AND(K64&lt;&gt;"",'Historical Score'!$C$8&lt;&gt;""),IF(K64='Historical Score'!$C$8,1,0),0)</f>
        <v/>
      </c>
      <c r="AU64" s="3" t="n"/>
      <c r="AV64" s="3" t="n"/>
      <c r="AW64" s="3" t="n"/>
      <c r="AX64" s="3" t="n"/>
      <c r="AY64" s="3" t="n"/>
      <c r="AZ64" s="3" t="n"/>
      <c r="BA64" s="182">
        <f>IF(AD64=1,(AR64*'Historical Score'!$K$29+1-'Historical Score'!$K$29)*(AT64*'Historical Score'!$L$29+1-'Historical Score'!$L$29)*(AS64*'Historical Score'!$M$29+1-'Historical Score'!$M$29)*(AQ64*'Historical Score'!$N$29+1-'Historical Score'!$N$29),0)</f>
        <v/>
      </c>
      <c r="BB64" s="3" t="n"/>
      <c r="BC64" s="3" t="n"/>
    </row>
    <row r="65" ht="15.75" customHeight="1" s="174">
      <c r="A65" s="3" t="inlineStr">
        <is>
          <t>5674154426</t>
        </is>
      </c>
      <c r="B65" s="3" t="inlineStr">
        <is>
          <t>Zuniga Flowers</t>
        </is>
      </c>
      <c r="C65" s="3" t="inlineStr">
        <is>
          <t>Zuniga Flowers</t>
        </is>
      </c>
      <c r="D65" s="3" t="inlineStr">
        <is>
          <t>Closed</t>
        </is>
      </c>
      <c r="E65" s="23" t="n">
        <v>45754</v>
      </c>
      <c r="F65" s="23" t="n">
        <v>45911</v>
      </c>
      <c r="G65" s="3" t="n">
        <v>3</v>
      </c>
      <c r="H65" s="3" t="inlineStr">
        <is>
          <t>5992</t>
        </is>
      </c>
      <c r="I65" s="3" t="inlineStr">
        <is>
          <t>59</t>
        </is>
      </c>
      <c r="J65" s="3" t="inlineStr">
        <is>
          <t>CA</t>
        </is>
      </c>
      <c r="K65" s="3" t="inlineStr">
        <is>
          <t>Premium Capital (AMRK)</t>
        </is>
      </c>
      <c r="L65" s="3" t="inlineStr">
        <is>
          <t>Renewal</t>
        </is>
      </c>
      <c r="M65" s="3" t="n">
        <v>1.5</v>
      </c>
      <c r="N65" s="28" t="n">
        <v>3000</v>
      </c>
      <c r="O65" s="28" t="n">
        <v>420</v>
      </c>
      <c r="P65" s="28" t="n">
        <v>4500</v>
      </c>
      <c r="Q65" s="28" t="n">
        <v>4500</v>
      </c>
      <c r="R65" s="28" t="n">
        <v>0</v>
      </c>
      <c r="S65" s="42" t="n">
        <v>1</v>
      </c>
      <c r="T65" s="3" t="n">
        <v>2.295</v>
      </c>
      <c r="U65" s="3" t="n">
        <v>15</v>
      </c>
      <c r="V65" s="3" t="n"/>
      <c r="W65" s="42" t="n">
        <v>0.1024</v>
      </c>
      <c r="X65" s="23" t="n">
        <v>42678</v>
      </c>
      <c r="Y65" s="3">
        <f>IF(I65="","No SIC",IFERROR(VLOOKUP(I65,Ref!$A$2:$B$65,2,FALSE()),"Unclassified"))</f>
        <v/>
      </c>
      <c r="Z65" s="3">
        <f>IF(T65="","",IF(T65&lt;12,"Daily","Weekly"))</f>
        <v/>
      </c>
      <c r="AA65" s="3">
        <f>IF(T65="",0,IF(T65&lt;12,T65*Controls!$B$13,T65*5))</f>
        <v/>
      </c>
      <c r="AB65" s="3">
        <f>IF(E65="",0,NETWORKDAYS(E65,Controls!$B$20,Ref!$K$2:$K$42))</f>
        <v/>
      </c>
      <c r="AC65" s="3">
        <f>IF(OR(AF65=1,AND(AA65&gt;0,AB65&gt;=Controls!$B$23*AA65)),1,0)</f>
        <v/>
      </c>
      <c r="AD65" s="3">
        <f>IF(AND(E65&lt;&gt;"",E65&gt;=Controls!$B$21,E65&lt;=Controls!$B$22),1,0)</f>
        <v/>
      </c>
      <c r="AE65" s="3">
        <f>IF(IFERROR(VLOOKUP(D65,Controls!$A$36:$E$46,2,FALSE()),"No")="Yes",1,0)</f>
        <v/>
      </c>
      <c r="AF65" s="3">
        <f>IF(IFERROR(VLOOKUP(D65,Controls!$A$36:$E$46,3,FALSE()),"No")="Yes",1,0)</f>
        <v/>
      </c>
      <c r="AG65" s="3">
        <f>IF(IFERROR(VLOOKUP(D65,Controls!$A$36:$E$46,4,FALSE()),"No")="Yes",1,0)</f>
        <v/>
      </c>
      <c r="AH65" s="3">
        <f>IF(IFERROR(VLOOKUP(D65,Controls!$A$36:$E$46,5,FALSE()),"No")="Yes",1,0)</f>
        <v/>
      </c>
      <c r="AI65" s="3">
        <f>IF(ISNUMBER(MATCH(D65,Controls!$A$36:$A$46,0)),1,0)</f>
        <v/>
      </c>
      <c r="AJ65" s="28">
        <f>Q65-N65</f>
        <v/>
      </c>
      <c r="AK65" s="3">
        <f>IF(AE65=1,MAX(0,N65-Q65),0)</f>
        <v/>
      </c>
      <c r="AL65" s="3">
        <f>IF(OR(V65="",V65=0),0,N65/V65)</f>
        <v/>
      </c>
      <c r="AM65" s="3">
        <f>IF(OR(V65="",V65=0),0,1)</f>
        <v/>
      </c>
      <c r="AN65" s="3">
        <f>IF(OR(E65="",F65=""),0,NETWORKDAYS(E65,F65,Ref!$K$2:$K$42))</f>
        <v/>
      </c>
      <c r="AO65" s="3">
        <f>IF(L65="Renewal",1,0)</f>
        <v/>
      </c>
      <c r="AP65" s="3">
        <f>AC65*AD65</f>
        <v/>
      </c>
      <c r="AQ65" s="3">
        <f>IF(AND(G65&lt;&gt;"",'Historical Score'!$C$6&lt;&gt;""),IF(G65='Historical Score'!$C$6,1,0),0)</f>
        <v/>
      </c>
      <c r="AR65" s="3">
        <f>IF(AND(L65&lt;&gt;"",'Historical Score'!$C$5&lt;&gt;""),IF(L65='Historical Score'!$C$5,1,0),0)</f>
        <v/>
      </c>
      <c r="AS65" s="3">
        <f>IF(AND(Y65&lt;&gt;"",'Historical Score'!$C$7&lt;&gt;""),IF(Y65='Historical Score'!$C$7,1,0),0)</f>
        <v/>
      </c>
      <c r="AT65" s="3">
        <f>IF(AND(K65&lt;&gt;"",'Historical Score'!$C$8&lt;&gt;""),IF(K65='Historical Score'!$C$8,1,0),0)</f>
        <v/>
      </c>
      <c r="AU65" s="3" t="n"/>
      <c r="AV65" s="3" t="n"/>
      <c r="AW65" s="3" t="n"/>
      <c r="AX65" s="3" t="n"/>
      <c r="AY65" s="3" t="n"/>
      <c r="AZ65" s="3" t="n"/>
      <c r="BA65" s="182">
        <f>IF(AD65=1,(AR65*'Historical Score'!$K$29+1-'Historical Score'!$K$29)*(AT65*'Historical Score'!$L$29+1-'Historical Score'!$L$29)*(AS65*'Historical Score'!$M$29+1-'Historical Score'!$M$29)*(AQ65*'Historical Score'!$N$29+1-'Historical Score'!$N$29),0)</f>
        <v/>
      </c>
      <c r="BB65" s="3" t="n"/>
      <c r="BC65" s="3" t="n"/>
    </row>
    <row r="66" ht="15.75" customHeight="1" s="174">
      <c r="A66" s="3" t="inlineStr">
        <is>
          <t>5674154477</t>
        </is>
      </c>
      <c r="B66" s="3" t="inlineStr">
        <is>
          <t>Fast Line Delivery</t>
        </is>
      </c>
      <c r="C66" s="3" t="inlineStr">
        <is>
          <t>Fast Line Delivery LLC</t>
        </is>
      </c>
      <c r="D66" s="3" t="inlineStr">
        <is>
          <t>Closed</t>
        </is>
      </c>
      <c r="E66" s="23" t="n">
        <v>45755</v>
      </c>
      <c r="F66" s="23" t="n">
        <v>45820</v>
      </c>
      <c r="G66" s="3" t="n">
        <v>3</v>
      </c>
      <c r="H66" s="3" t="inlineStr">
        <is>
          <t>4215</t>
        </is>
      </c>
      <c r="I66" s="3" t="inlineStr">
        <is>
          <t>42</t>
        </is>
      </c>
      <c r="J66" s="3" t="inlineStr">
        <is>
          <t>FL</t>
        </is>
      </c>
      <c r="K66" s="3" t="inlineStr">
        <is>
          <t>Diamond Bar Funding</t>
        </is>
      </c>
      <c r="L66" s="3" t="inlineStr">
        <is>
          <t>New Deal</t>
        </is>
      </c>
      <c r="M66" s="3" t="n">
        <v>1.49</v>
      </c>
      <c r="N66" s="28" t="n">
        <v>6000</v>
      </c>
      <c r="O66" s="28" t="n">
        <v>840</v>
      </c>
      <c r="P66" s="28" t="n">
        <v>8940</v>
      </c>
      <c r="Q66" s="28" t="n">
        <v>8940</v>
      </c>
      <c r="R66" s="28" t="n">
        <v>0</v>
      </c>
      <c r="S66" s="42" t="n">
        <v>1</v>
      </c>
      <c r="T66" s="3" t="n">
        <v>2.623</v>
      </c>
      <c r="U66" s="3" t="n">
        <v>2</v>
      </c>
      <c r="V66" s="3" t="n"/>
      <c r="W66" s="42" t="n">
        <v>0.0501</v>
      </c>
      <c r="X66" s="23" t="n">
        <v>44673</v>
      </c>
      <c r="Y66" s="3">
        <f>IF(I66="","No SIC",IFERROR(VLOOKUP(I66,Ref!$A$2:$B$65,2,FALSE()),"Unclassified"))</f>
        <v/>
      </c>
      <c r="Z66" s="3">
        <f>IF(T66="","",IF(T66&lt;12,"Daily","Weekly"))</f>
        <v/>
      </c>
      <c r="AA66" s="3">
        <f>IF(T66="",0,IF(T66&lt;12,T66*Controls!$B$13,T66*5))</f>
        <v/>
      </c>
      <c r="AB66" s="3">
        <f>IF(E66="",0,NETWORKDAYS(E66,Controls!$B$20,Ref!$K$2:$K$42))</f>
        <v/>
      </c>
      <c r="AC66" s="3">
        <f>IF(OR(AF66=1,AND(AA66&gt;0,AB66&gt;=Controls!$B$23*AA66)),1,0)</f>
        <v/>
      </c>
      <c r="AD66" s="3">
        <f>IF(AND(E66&lt;&gt;"",E66&gt;=Controls!$B$21,E66&lt;=Controls!$B$22),1,0)</f>
        <v/>
      </c>
      <c r="AE66" s="3">
        <f>IF(IFERROR(VLOOKUP(D66,Controls!$A$36:$E$46,2,FALSE()),"No")="Yes",1,0)</f>
        <v/>
      </c>
      <c r="AF66" s="3">
        <f>IF(IFERROR(VLOOKUP(D66,Controls!$A$36:$E$46,3,FALSE()),"No")="Yes",1,0)</f>
        <v/>
      </c>
      <c r="AG66" s="3">
        <f>IF(IFERROR(VLOOKUP(D66,Controls!$A$36:$E$46,4,FALSE()),"No")="Yes",1,0)</f>
        <v/>
      </c>
      <c r="AH66" s="3">
        <f>IF(IFERROR(VLOOKUP(D66,Controls!$A$36:$E$46,5,FALSE()),"No")="Yes",1,0)</f>
        <v/>
      </c>
      <c r="AI66" s="3">
        <f>IF(ISNUMBER(MATCH(D66,Controls!$A$36:$A$46,0)),1,0)</f>
        <v/>
      </c>
      <c r="AJ66" s="28">
        <f>Q66-N66</f>
        <v/>
      </c>
      <c r="AK66" s="3">
        <f>IF(AE66=1,MAX(0,N66-Q66),0)</f>
        <v/>
      </c>
      <c r="AL66" s="3">
        <f>IF(OR(V66="",V66=0),0,N66/V66)</f>
        <v/>
      </c>
      <c r="AM66" s="3">
        <f>IF(OR(V66="",V66=0),0,1)</f>
        <v/>
      </c>
      <c r="AN66" s="3">
        <f>IF(OR(E66="",F66=""),0,NETWORKDAYS(E66,F66,Ref!$K$2:$K$42))</f>
        <v/>
      </c>
      <c r="AO66" s="3">
        <f>IF(L66="Renewal",1,0)</f>
        <v/>
      </c>
      <c r="AP66" s="3">
        <f>AC66*AD66</f>
        <v/>
      </c>
      <c r="AQ66" s="3">
        <f>IF(AND(G66&lt;&gt;"",'Historical Score'!$C$6&lt;&gt;""),IF(G66='Historical Score'!$C$6,1,0),0)</f>
        <v/>
      </c>
      <c r="AR66" s="3">
        <f>IF(AND(L66&lt;&gt;"",'Historical Score'!$C$5&lt;&gt;""),IF(L66='Historical Score'!$C$5,1,0),0)</f>
        <v/>
      </c>
      <c r="AS66" s="3">
        <f>IF(AND(Y66&lt;&gt;"",'Historical Score'!$C$7&lt;&gt;""),IF(Y66='Historical Score'!$C$7,1,0),0)</f>
        <v/>
      </c>
      <c r="AT66" s="3">
        <f>IF(AND(K66&lt;&gt;"",'Historical Score'!$C$8&lt;&gt;""),IF(K66='Historical Score'!$C$8,1,0),0)</f>
        <v/>
      </c>
      <c r="AU66" s="3" t="n"/>
      <c r="AV66" s="3" t="n"/>
      <c r="AW66" s="3" t="n"/>
      <c r="AX66" s="3" t="n"/>
      <c r="AY66" s="3" t="n"/>
      <c r="AZ66" s="3" t="n"/>
      <c r="BA66" s="182">
        <f>IF(AD66=1,(AR66*'Historical Score'!$K$29+1-'Historical Score'!$K$29)*(AT66*'Historical Score'!$L$29+1-'Historical Score'!$L$29)*(AS66*'Historical Score'!$M$29+1-'Historical Score'!$M$29)*(AQ66*'Historical Score'!$N$29+1-'Historical Score'!$N$29),0)</f>
        <v/>
      </c>
      <c r="BB66" s="3" t="n"/>
      <c r="BC66" s="3" t="n"/>
    </row>
    <row r="67" ht="15.75" customHeight="1" s="174">
      <c r="A67" s="3" t="inlineStr">
        <is>
          <t>5674154563</t>
        </is>
      </c>
      <c r="B67" s="3" t="inlineStr">
        <is>
          <t>R K HOSTEL</t>
        </is>
      </c>
      <c r="C67" s="3" t="inlineStr">
        <is>
          <t>DIESTRO INC</t>
        </is>
      </c>
      <c r="D67" s="3" t="inlineStr">
        <is>
          <t>Closed</t>
        </is>
      </c>
      <c r="E67" s="23" t="n">
        <v>45756</v>
      </c>
      <c r="F67" s="23" t="n">
        <v>45895</v>
      </c>
      <c r="G67" s="3" t="n">
        <v>2</v>
      </c>
      <c r="H67" s="3" t="inlineStr">
        <is>
          <t>7011</t>
        </is>
      </c>
      <c r="I67" s="3" t="inlineStr">
        <is>
          <t>70</t>
        </is>
      </c>
      <c r="J67" s="3" t="inlineStr">
        <is>
          <t>CA</t>
        </is>
      </c>
      <c r="K67" s="3" t="inlineStr">
        <is>
          <t>PMF</t>
        </is>
      </c>
      <c r="L67" s="3" t="inlineStr">
        <is>
          <t>New Deal</t>
        </is>
      </c>
      <c r="M67" s="3" t="n">
        <v>1.4</v>
      </c>
      <c r="N67" s="28" t="n">
        <v>40000</v>
      </c>
      <c r="O67" s="28" t="n">
        <v>3800</v>
      </c>
      <c r="P67" s="28" t="n">
        <v>56000</v>
      </c>
      <c r="Q67" s="28" t="n">
        <v>56000</v>
      </c>
      <c r="R67" s="28" t="n">
        <v>0</v>
      </c>
      <c r="S67" s="42" t="n">
        <v>1</v>
      </c>
      <c r="T67" s="3" t="n">
        <v>36</v>
      </c>
      <c r="U67" s="3" t="n">
        <v>0</v>
      </c>
      <c r="V67" s="3" t="n"/>
      <c r="W67" s="42" t="n">
        <v>0.0793</v>
      </c>
      <c r="X67" s="23" t="n">
        <v>37622</v>
      </c>
      <c r="Y67" s="3">
        <f>IF(I67="","No SIC",IFERROR(VLOOKUP(I67,Ref!$A$2:$B$65,2,FALSE()),"Unclassified"))</f>
        <v/>
      </c>
      <c r="Z67" s="3">
        <f>IF(T67="","",IF(T67&lt;12,"Daily","Weekly"))</f>
        <v/>
      </c>
      <c r="AA67" s="3">
        <f>IF(T67="",0,IF(T67&lt;12,T67*Controls!$B$13,T67*5))</f>
        <v/>
      </c>
      <c r="AB67" s="3">
        <f>IF(E67="",0,NETWORKDAYS(E67,Controls!$B$20,Ref!$K$2:$K$42))</f>
        <v/>
      </c>
      <c r="AC67" s="3">
        <f>IF(OR(AF67=1,AND(AA67&gt;0,AB67&gt;=Controls!$B$23*AA67)),1,0)</f>
        <v/>
      </c>
      <c r="AD67" s="3">
        <f>IF(AND(E67&lt;&gt;"",E67&gt;=Controls!$B$21,E67&lt;=Controls!$B$22),1,0)</f>
        <v/>
      </c>
      <c r="AE67" s="3">
        <f>IF(IFERROR(VLOOKUP(D67,Controls!$A$36:$E$46,2,FALSE()),"No")="Yes",1,0)</f>
        <v/>
      </c>
      <c r="AF67" s="3">
        <f>IF(IFERROR(VLOOKUP(D67,Controls!$A$36:$E$46,3,FALSE()),"No")="Yes",1,0)</f>
        <v/>
      </c>
      <c r="AG67" s="3">
        <f>IF(IFERROR(VLOOKUP(D67,Controls!$A$36:$E$46,4,FALSE()),"No")="Yes",1,0)</f>
        <v/>
      </c>
      <c r="AH67" s="3">
        <f>IF(IFERROR(VLOOKUP(D67,Controls!$A$36:$E$46,5,FALSE()),"No")="Yes",1,0)</f>
        <v/>
      </c>
      <c r="AI67" s="3">
        <f>IF(ISNUMBER(MATCH(D67,Controls!$A$36:$A$46,0)),1,0)</f>
        <v/>
      </c>
      <c r="AJ67" s="28">
        <f>Q67-N67</f>
        <v/>
      </c>
      <c r="AK67" s="3">
        <f>IF(AE67=1,MAX(0,N67-Q67),0)</f>
        <v/>
      </c>
      <c r="AL67" s="3">
        <f>IF(OR(V67="",V67=0),0,N67/V67)</f>
        <v/>
      </c>
      <c r="AM67" s="3">
        <f>IF(OR(V67="",V67=0),0,1)</f>
        <v/>
      </c>
      <c r="AN67" s="3">
        <f>IF(OR(E67="",F67=""),0,NETWORKDAYS(E67,F67,Ref!$K$2:$K$42))</f>
        <v/>
      </c>
      <c r="AO67" s="3">
        <f>IF(L67="Renewal",1,0)</f>
        <v/>
      </c>
      <c r="AP67" s="3">
        <f>AC67*AD67</f>
        <v/>
      </c>
      <c r="AQ67" s="3">
        <f>IF(AND(G67&lt;&gt;"",'Historical Score'!$C$6&lt;&gt;""),IF(G67='Historical Score'!$C$6,1,0),0)</f>
        <v/>
      </c>
      <c r="AR67" s="3">
        <f>IF(AND(L67&lt;&gt;"",'Historical Score'!$C$5&lt;&gt;""),IF(L67='Historical Score'!$C$5,1,0),0)</f>
        <v/>
      </c>
      <c r="AS67" s="3">
        <f>IF(AND(Y67&lt;&gt;"",'Historical Score'!$C$7&lt;&gt;""),IF(Y67='Historical Score'!$C$7,1,0),0)</f>
        <v/>
      </c>
      <c r="AT67" s="3">
        <f>IF(AND(K67&lt;&gt;"",'Historical Score'!$C$8&lt;&gt;""),IF(K67='Historical Score'!$C$8,1,0),0)</f>
        <v/>
      </c>
      <c r="AU67" s="3" t="n"/>
      <c r="AV67" s="3" t="n"/>
      <c r="AW67" s="3" t="n"/>
      <c r="AX67" s="3" t="n"/>
      <c r="AY67" s="3" t="n"/>
      <c r="AZ67" s="3" t="n"/>
      <c r="BA67" s="182">
        <f>IF(AD67=1,(AR67*'Historical Score'!$K$29+1-'Historical Score'!$K$29)*(AT67*'Historical Score'!$L$29+1-'Historical Score'!$L$29)*(AS67*'Historical Score'!$M$29+1-'Historical Score'!$M$29)*(AQ67*'Historical Score'!$N$29+1-'Historical Score'!$N$29),0)</f>
        <v/>
      </c>
      <c r="BB67" s="3" t="n"/>
      <c r="BC67" s="3" t="n"/>
    </row>
    <row r="68" ht="15.75" customHeight="1" s="174">
      <c r="A68" s="3" t="inlineStr">
        <is>
          <t>5674154668</t>
        </is>
      </c>
      <c r="B68" s="3" t="inlineStr">
        <is>
          <t>BEESON FARMS &amp; HAULING LLC</t>
        </is>
      </c>
      <c r="C68" s="3" t="inlineStr">
        <is>
          <t>BEESON FARMS &amp; HAULING LLC</t>
        </is>
      </c>
      <c r="D68" s="3" t="inlineStr">
        <is>
          <t>Legal</t>
        </is>
      </c>
      <c r="E68" s="23" t="n">
        <v>45756</v>
      </c>
      <c r="F68" s="23" t="n">
        <v>45926</v>
      </c>
      <c r="G68" s="3" t="n">
        <v>5</v>
      </c>
      <c r="H68" s="3" t="inlineStr">
        <is>
          <t>4212</t>
        </is>
      </c>
      <c r="I68" s="3" t="inlineStr">
        <is>
          <t>42</t>
        </is>
      </c>
      <c r="J68" s="3" t="inlineStr">
        <is>
          <t>NC</t>
        </is>
      </c>
      <c r="K68" s="3" t="inlineStr">
        <is>
          <t>Key Capital Funding</t>
        </is>
      </c>
      <c r="L68" s="3" t="inlineStr">
        <is>
          <t>New Deal</t>
        </is>
      </c>
      <c r="M68" s="3" t="n">
        <v>1.49</v>
      </c>
      <c r="N68" s="28" t="n">
        <v>40000</v>
      </c>
      <c r="O68" s="28" t="n">
        <v>5600</v>
      </c>
      <c r="P68" s="28" t="n">
        <v>59600</v>
      </c>
      <c r="Q68" s="28" t="n">
        <v>41149.26</v>
      </c>
      <c r="R68" s="28" t="n">
        <v>18450.74</v>
      </c>
      <c r="S68" s="42" t="n">
        <v>0.690423825503356</v>
      </c>
      <c r="T68" s="3" t="n">
        <v>24</v>
      </c>
      <c r="U68" s="3" t="n">
        <v>10</v>
      </c>
      <c r="V68" s="3" t="n"/>
      <c r="W68" s="42" t="n">
        <v>0.0561</v>
      </c>
      <c r="X68" s="23" t="n">
        <v>43579</v>
      </c>
      <c r="Y68" s="3">
        <f>IF(I68="","No SIC",IFERROR(VLOOKUP(I68,Ref!$A$2:$B$65,2,FALSE()),"Unclassified"))</f>
        <v/>
      </c>
      <c r="Z68" s="3">
        <f>IF(T68="","",IF(T68&lt;12,"Daily","Weekly"))</f>
        <v/>
      </c>
      <c r="AA68" s="3">
        <f>IF(T68="",0,IF(T68&lt;12,T68*Controls!$B$13,T68*5))</f>
        <v/>
      </c>
      <c r="AB68" s="3">
        <f>IF(E68="",0,NETWORKDAYS(E68,Controls!$B$20,Ref!$K$2:$K$42))</f>
        <v/>
      </c>
      <c r="AC68" s="3">
        <f>IF(OR(AF68=1,AND(AA68&gt;0,AB68&gt;=Controls!$B$23*AA68)),1,0)</f>
        <v/>
      </c>
      <c r="AD68" s="3">
        <f>IF(AND(E68&lt;&gt;"",E68&gt;=Controls!$B$21,E68&lt;=Controls!$B$22),1,0)</f>
        <v/>
      </c>
      <c r="AE68" s="3">
        <f>IF(IFERROR(VLOOKUP(D68,Controls!$A$36:$E$46,2,FALSE()),"No")="Yes",1,0)</f>
        <v/>
      </c>
      <c r="AF68" s="3">
        <f>IF(IFERROR(VLOOKUP(D68,Controls!$A$36:$E$46,3,FALSE()),"No")="Yes",1,0)</f>
        <v/>
      </c>
      <c r="AG68" s="3">
        <f>IF(IFERROR(VLOOKUP(D68,Controls!$A$36:$E$46,4,FALSE()),"No")="Yes",1,0)</f>
        <v/>
      </c>
      <c r="AH68" s="3">
        <f>IF(IFERROR(VLOOKUP(D68,Controls!$A$36:$E$46,5,FALSE()),"No")="Yes",1,0)</f>
        <v/>
      </c>
      <c r="AI68" s="3">
        <f>IF(ISNUMBER(MATCH(D68,Controls!$A$36:$A$46,0)),1,0)</f>
        <v/>
      </c>
      <c r="AJ68" s="28">
        <f>Q68-N68</f>
        <v/>
      </c>
      <c r="AK68" s="3">
        <f>IF(AE68=1,MAX(0,N68-Q68),0)</f>
        <v/>
      </c>
      <c r="AL68" s="3">
        <f>IF(OR(V68="",V68=0),0,N68/V68)</f>
        <v/>
      </c>
      <c r="AM68" s="3">
        <f>IF(OR(V68="",V68=0),0,1)</f>
        <v/>
      </c>
      <c r="AN68" s="3">
        <f>IF(OR(E68="",F68=""),0,NETWORKDAYS(E68,F68,Ref!$K$2:$K$42))</f>
        <v/>
      </c>
      <c r="AO68" s="3">
        <f>IF(L68="Renewal",1,0)</f>
        <v/>
      </c>
      <c r="AP68" s="3">
        <f>AC68*AD68</f>
        <v/>
      </c>
      <c r="AQ68" s="3">
        <f>IF(AND(G68&lt;&gt;"",'Historical Score'!$C$6&lt;&gt;""),IF(G68='Historical Score'!$C$6,1,0),0)</f>
        <v/>
      </c>
      <c r="AR68" s="3">
        <f>IF(AND(L68&lt;&gt;"",'Historical Score'!$C$5&lt;&gt;""),IF(L68='Historical Score'!$C$5,1,0),0)</f>
        <v/>
      </c>
      <c r="AS68" s="3">
        <f>IF(AND(Y68&lt;&gt;"",'Historical Score'!$C$7&lt;&gt;""),IF(Y68='Historical Score'!$C$7,1,0),0)</f>
        <v/>
      </c>
      <c r="AT68" s="3">
        <f>IF(AND(K68&lt;&gt;"",'Historical Score'!$C$8&lt;&gt;""),IF(K68='Historical Score'!$C$8,1,0),0)</f>
        <v/>
      </c>
      <c r="AU68" s="3" t="n"/>
      <c r="AV68" s="3" t="n"/>
      <c r="AW68" s="3" t="n"/>
      <c r="AX68" s="3" t="n"/>
      <c r="AY68" s="3" t="n"/>
      <c r="AZ68" s="3" t="n"/>
      <c r="BA68" s="182">
        <f>IF(AD68=1,(AR68*'Historical Score'!$K$29+1-'Historical Score'!$K$29)*(AT68*'Historical Score'!$L$29+1-'Historical Score'!$L$29)*(AS68*'Historical Score'!$M$29+1-'Historical Score'!$M$29)*(AQ68*'Historical Score'!$N$29+1-'Historical Score'!$N$29),0)</f>
        <v/>
      </c>
      <c r="BB68" s="3" t="n"/>
      <c r="BC68" s="3" t="n"/>
    </row>
    <row r="69" ht="15.75" customHeight="1" s="174">
      <c r="A69" s="3" t="inlineStr">
        <is>
          <t>5674154700</t>
        </is>
      </c>
      <c r="B69" s="3" t="inlineStr">
        <is>
          <t>LRT SALES LLC</t>
        </is>
      </c>
      <c r="C69" s="3" t="inlineStr">
        <is>
          <t>LRT SALES LLC</t>
        </is>
      </c>
      <c r="D69" s="3" t="inlineStr">
        <is>
          <t>Closed</t>
        </is>
      </c>
      <c r="E69" s="23" t="n">
        <v>45757</v>
      </c>
      <c r="F69" s="23" t="n">
        <v>45938</v>
      </c>
      <c r="G69" s="3" t="n">
        <v>1</v>
      </c>
      <c r="H69" s="3" t="inlineStr">
        <is>
          <t>1796</t>
        </is>
      </c>
      <c r="I69" s="3" t="inlineStr">
        <is>
          <t>17</t>
        </is>
      </c>
      <c r="J69" s="3" t="inlineStr">
        <is>
          <t>TX</t>
        </is>
      </c>
      <c r="K69" s="3" t="inlineStr">
        <is>
          <t>PMF</t>
        </is>
      </c>
      <c r="L69" s="3" t="inlineStr">
        <is>
          <t>New Deal</t>
        </is>
      </c>
      <c r="M69" s="3" t="n">
        <v>1.43</v>
      </c>
      <c r="N69" s="28" t="n">
        <v>20000</v>
      </c>
      <c r="O69" s="28" t="n">
        <v>2200</v>
      </c>
      <c r="P69" s="28" t="n">
        <v>28600</v>
      </c>
      <c r="Q69" s="28" t="n">
        <v>28600</v>
      </c>
      <c r="R69" s="28" t="n">
        <v>0</v>
      </c>
      <c r="S69" s="42" t="n">
        <v>1</v>
      </c>
      <c r="T69" s="3" t="n">
        <v>26</v>
      </c>
      <c r="U69" s="3" t="n">
        <v>0</v>
      </c>
      <c r="V69" s="3" t="n"/>
      <c r="W69" s="42" t="n">
        <v>0.1056</v>
      </c>
      <c r="X69" s="23" t="n">
        <v>40963</v>
      </c>
      <c r="Y69" s="3">
        <f>IF(I69="","No SIC",IFERROR(VLOOKUP(I69,Ref!$A$2:$B$65,2,FALSE()),"Unclassified"))</f>
        <v/>
      </c>
      <c r="Z69" s="3">
        <f>IF(T69="","",IF(T69&lt;12,"Daily","Weekly"))</f>
        <v/>
      </c>
      <c r="AA69" s="3">
        <f>IF(T69="",0,IF(T69&lt;12,T69*Controls!$B$13,T69*5))</f>
        <v/>
      </c>
      <c r="AB69" s="3">
        <f>IF(E69="",0,NETWORKDAYS(E69,Controls!$B$20,Ref!$K$2:$K$42))</f>
        <v/>
      </c>
      <c r="AC69" s="3">
        <f>IF(OR(AF69=1,AND(AA69&gt;0,AB69&gt;=Controls!$B$23*AA69)),1,0)</f>
        <v/>
      </c>
      <c r="AD69" s="3">
        <f>IF(AND(E69&lt;&gt;"",E69&gt;=Controls!$B$21,E69&lt;=Controls!$B$22),1,0)</f>
        <v/>
      </c>
      <c r="AE69" s="3">
        <f>IF(IFERROR(VLOOKUP(D69,Controls!$A$36:$E$46,2,FALSE()),"No")="Yes",1,0)</f>
        <v/>
      </c>
      <c r="AF69" s="3">
        <f>IF(IFERROR(VLOOKUP(D69,Controls!$A$36:$E$46,3,FALSE()),"No")="Yes",1,0)</f>
        <v/>
      </c>
      <c r="AG69" s="3">
        <f>IF(IFERROR(VLOOKUP(D69,Controls!$A$36:$E$46,4,FALSE()),"No")="Yes",1,0)</f>
        <v/>
      </c>
      <c r="AH69" s="3">
        <f>IF(IFERROR(VLOOKUP(D69,Controls!$A$36:$E$46,5,FALSE()),"No")="Yes",1,0)</f>
        <v/>
      </c>
      <c r="AI69" s="3">
        <f>IF(ISNUMBER(MATCH(D69,Controls!$A$36:$A$46,0)),1,0)</f>
        <v/>
      </c>
      <c r="AJ69" s="28">
        <f>Q69-N69</f>
        <v/>
      </c>
      <c r="AK69" s="3">
        <f>IF(AE69=1,MAX(0,N69-Q69),0)</f>
        <v/>
      </c>
      <c r="AL69" s="3">
        <f>IF(OR(V69="",V69=0),0,N69/V69)</f>
        <v/>
      </c>
      <c r="AM69" s="3">
        <f>IF(OR(V69="",V69=0),0,1)</f>
        <v/>
      </c>
      <c r="AN69" s="3">
        <f>IF(OR(E69="",F69=""),0,NETWORKDAYS(E69,F69,Ref!$K$2:$K$42))</f>
        <v/>
      </c>
      <c r="AO69" s="3">
        <f>IF(L69="Renewal",1,0)</f>
        <v/>
      </c>
      <c r="AP69" s="3">
        <f>AC69*AD69</f>
        <v/>
      </c>
      <c r="AQ69" s="3">
        <f>IF(AND(G69&lt;&gt;"",'Historical Score'!$C$6&lt;&gt;""),IF(G69='Historical Score'!$C$6,1,0),0)</f>
        <v/>
      </c>
      <c r="AR69" s="3">
        <f>IF(AND(L69&lt;&gt;"",'Historical Score'!$C$5&lt;&gt;""),IF(L69='Historical Score'!$C$5,1,0),0)</f>
        <v/>
      </c>
      <c r="AS69" s="3">
        <f>IF(AND(Y69&lt;&gt;"",'Historical Score'!$C$7&lt;&gt;""),IF(Y69='Historical Score'!$C$7,1,0),0)</f>
        <v/>
      </c>
      <c r="AT69" s="3">
        <f>IF(AND(K69&lt;&gt;"",'Historical Score'!$C$8&lt;&gt;""),IF(K69='Historical Score'!$C$8,1,0),0)</f>
        <v/>
      </c>
      <c r="AU69" s="3" t="n"/>
      <c r="AV69" s="3" t="n"/>
      <c r="AW69" s="3" t="n"/>
      <c r="AX69" s="3" t="n"/>
      <c r="AY69" s="3" t="n"/>
      <c r="AZ69" s="3" t="n"/>
      <c r="BA69" s="182">
        <f>IF(AD69=1,(AR69*'Historical Score'!$K$29+1-'Historical Score'!$K$29)*(AT69*'Historical Score'!$L$29+1-'Historical Score'!$L$29)*(AS69*'Historical Score'!$M$29+1-'Historical Score'!$M$29)*(AQ69*'Historical Score'!$N$29+1-'Historical Score'!$N$29),0)</f>
        <v/>
      </c>
      <c r="BB69" s="3" t="n"/>
      <c r="BC69" s="3" t="n"/>
    </row>
    <row r="70" ht="15.75" customHeight="1" s="174">
      <c r="A70" s="3" t="inlineStr">
        <is>
          <t>5674154793</t>
        </is>
      </c>
      <c r="B70" s="3" t="inlineStr">
        <is>
          <t>Charlie's Electric LLC</t>
        </is>
      </c>
      <c r="C70" s="3" t="inlineStr">
        <is>
          <t>Charlie's Electric LLC</t>
        </is>
      </c>
      <c r="D70" s="3" t="inlineStr">
        <is>
          <t>Closed</t>
        </is>
      </c>
      <c r="E70" s="23" t="n">
        <v>45757</v>
      </c>
      <c r="F70" s="23" t="n">
        <v>45860</v>
      </c>
      <c r="G70" s="3" t="n">
        <v>7</v>
      </c>
      <c r="H70" s="3" t="inlineStr">
        <is>
          <t>1731</t>
        </is>
      </c>
      <c r="I70" s="3" t="inlineStr">
        <is>
          <t>17</t>
        </is>
      </c>
      <c r="J70" s="3" t="inlineStr">
        <is>
          <t>OH</t>
        </is>
      </c>
      <c r="K70" s="3" t="inlineStr">
        <is>
          <t>Vanguard Equities</t>
        </is>
      </c>
      <c r="L70" s="3" t="inlineStr">
        <is>
          <t>New Deal</t>
        </is>
      </c>
      <c r="M70" s="3" t="n">
        <v>1.49</v>
      </c>
      <c r="N70" s="28" t="n">
        <v>4000</v>
      </c>
      <c r="O70" s="28" t="n">
        <v>560</v>
      </c>
      <c r="P70" s="28" t="n">
        <v>5960</v>
      </c>
      <c r="Q70" s="28" t="n">
        <v>5960</v>
      </c>
      <c r="R70" s="28" t="n">
        <v>0</v>
      </c>
      <c r="S70" s="42" t="n">
        <v>1</v>
      </c>
      <c r="T70" s="3" t="n">
        <v>2.295</v>
      </c>
      <c r="U70" s="3" t="n">
        <v>0</v>
      </c>
      <c r="V70" s="3" t="n"/>
      <c r="W70" s="42" t="n">
        <v>0.0424</v>
      </c>
      <c r="X70" s="23" t="n"/>
      <c r="Y70" s="3">
        <f>IF(I70="","No SIC",IFERROR(VLOOKUP(I70,Ref!$A$2:$B$65,2,FALSE()),"Unclassified"))</f>
        <v/>
      </c>
      <c r="Z70" s="3">
        <f>IF(T70="","",IF(T70&lt;12,"Daily","Weekly"))</f>
        <v/>
      </c>
      <c r="AA70" s="3">
        <f>IF(T70="",0,IF(T70&lt;12,T70*Controls!$B$13,T70*5))</f>
        <v/>
      </c>
      <c r="AB70" s="3">
        <f>IF(E70="",0,NETWORKDAYS(E70,Controls!$B$20,Ref!$K$2:$K$42))</f>
        <v/>
      </c>
      <c r="AC70" s="3">
        <f>IF(OR(AF70=1,AND(AA70&gt;0,AB70&gt;=Controls!$B$23*AA70)),1,0)</f>
        <v/>
      </c>
      <c r="AD70" s="3">
        <f>IF(AND(E70&lt;&gt;"",E70&gt;=Controls!$B$21,E70&lt;=Controls!$B$22),1,0)</f>
        <v/>
      </c>
      <c r="AE70" s="3">
        <f>IF(IFERROR(VLOOKUP(D70,Controls!$A$36:$E$46,2,FALSE()),"No")="Yes",1,0)</f>
        <v/>
      </c>
      <c r="AF70" s="3">
        <f>IF(IFERROR(VLOOKUP(D70,Controls!$A$36:$E$46,3,FALSE()),"No")="Yes",1,0)</f>
        <v/>
      </c>
      <c r="AG70" s="3">
        <f>IF(IFERROR(VLOOKUP(D70,Controls!$A$36:$E$46,4,FALSE()),"No")="Yes",1,0)</f>
        <v/>
      </c>
      <c r="AH70" s="3">
        <f>IF(IFERROR(VLOOKUP(D70,Controls!$A$36:$E$46,5,FALSE()),"No")="Yes",1,0)</f>
        <v/>
      </c>
      <c r="AI70" s="3">
        <f>IF(ISNUMBER(MATCH(D70,Controls!$A$36:$A$46,0)),1,0)</f>
        <v/>
      </c>
      <c r="AJ70" s="28">
        <f>Q70-N70</f>
        <v/>
      </c>
      <c r="AK70" s="3">
        <f>IF(AE70=1,MAX(0,N70-Q70),0)</f>
        <v/>
      </c>
      <c r="AL70" s="3">
        <f>IF(OR(V70="",V70=0),0,N70/V70)</f>
        <v/>
      </c>
      <c r="AM70" s="3">
        <f>IF(OR(V70="",V70=0),0,1)</f>
        <v/>
      </c>
      <c r="AN70" s="3">
        <f>IF(OR(E70="",F70=""),0,NETWORKDAYS(E70,F70,Ref!$K$2:$K$42))</f>
        <v/>
      </c>
      <c r="AO70" s="3">
        <f>IF(L70="Renewal",1,0)</f>
        <v/>
      </c>
      <c r="AP70" s="3">
        <f>AC70*AD70</f>
        <v/>
      </c>
      <c r="AQ70" s="3">
        <f>IF(AND(G70&lt;&gt;"",'Historical Score'!$C$6&lt;&gt;""),IF(G70='Historical Score'!$C$6,1,0),0)</f>
        <v/>
      </c>
      <c r="AR70" s="3">
        <f>IF(AND(L70&lt;&gt;"",'Historical Score'!$C$5&lt;&gt;""),IF(L70='Historical Score'!$C$5,1,0),0)</f>
        <v/>
      </c>
      <c r="AS70" s="3">
        <f>IF(AND(Y70&lt;&gt;"",'Historical Score'!$C$7&lt;&gt;""),IF(Y70='Historical Score'!$C$7,1,0),0)</f>
        <v/>
      </c>
      <c r="AT70" s="3">
        <f>IF(AND(K70&lt;&gt;"",'Historical Score'!$C$8&lt;&gt;""),IF(K70='Historical Score'!$C$8,1,0),0)</f>
        <v/>
      </c>
      <c r="AU70" s="3" t="n"/>
      <c r="AV70" s="3" t="n"/>
      <c r="AW70" s="3" t="n"/>
      <c r="AX70" s="3" t="n"/>
      <c r="AY70" s="3" t="n"/>
      <c r="AZ70" s="3" t="n"/>
      <c r="BA70" s="182">
        <f>IF(AD70=1,(AR70*'Historical Score'!$K$29+1-'Historical Score'!$K$29)*(AT70*'Historical Score'!$L$29+1-'Historical Score'!$L$29)*(AS70*'Historical Score'!$M$29+1-'Historical Score'!$M$29)*(AQ70*'Historical Score'!$N$29+1-'Historical Score'!$N$29),0)</f>
        <v/>
      </c>
      <c r="BB70" s="3" t="n"/>
      <c r="BC70" s="3" t="n"/>
    </row>
    <row r="71" ht="15.75" customHeight="1" s="174">
      <c r="A71" s="3" t="inlineStr">
        <is>
          <t>5674154803</t>
        </is>
      </c>
      <c r="B71" s="3" t="inlineStr">
        <is>
          <t>BLUE SKY DESIGNER LANSCAPE</t>
        </is>
      </c>
      <c r="C71" s="3" t="inlineStr">
        <is>
          <t>BLUE SKY DESIGNER LANDSCAPE LLC</t>
        </is>
      </c>
      <c r="D71" s="3" t="inlineStr">
        <is>
          <t>Legal</t>
        </is>
      </c>
      <c r="E71" s="23" t="n">
        <v>45757</v>
      </c>
      <c r="F71" s="23" t="n">
        <v>45939</v>
      </c>
      <c r="G71" s="3" t="n">
        <v>2</v>
      </c>
      <c r="H71" s="3" t="inlineStr">
        <is>
          <t>0782</t>
        </is>
      </c>
      <c r="I71" s="3" t="inlineStr">
        <is>
          <t>07</t>
        </is>
      </c>
      <c r="J71" s="3" t="inlineStr">
        <is>
          <t>AZ</t>
        </is>
      </c>
      <c r="K71" s="3" t="inlineStr">
        <is>
          <t>Platform Funding</t>
        </is>
      </c>
      <c r="L71" s="3" t="inlineStr">
        <is>
          <t>New Deal</t>
        </is>
      </c>
      <c r="M71" s="3" t="n">
        <v>1.45</v>
      </c>
      <c r="N71" s="28" t="n">
        <v>30000</v>
      </c>
      <c r="O71" s="28" t="n">
        <v>4200</v>
      </c>
      <c r="P71" s="28" t="n">
        <v>43500</v>
      </c>
      <c r="Q71" s="28" t="n">
        <v>10251.74</v>
      </c>
      <c r="R71" s="28" t="n">
        <v>33248.26</v>
      </c>
      <c r="S71" s="42" t="n">
        <v>0.235672183908046</v>
      </c>
      <c r="T71" s="3" t="n">
        <v>28</v>
      </c>
      <c r="U71" s="3" t="n">
        <v>7</v>
      </c>
      <c r="V71" s="3" t="n"/>
      <c r="W71" s="42" t="n">
        <v>0.1161</v>
      </c>
      <c r="X71" s="23" t="n">
        <v>44206</v>
      </c>
      <c r="Y71" s="3">
        <f>IF(I71="","No SIC",IFERROR(VLOOKUP(I71,Ref!$A$2:$B$65,2,FALSE()),"Unclassified"))</f>
        <v/>
      </c>
      <c r="Z71" s="3">
        <f>IF(T71="","",IF(T71&lt;12,"Daily","Weekly"))</f>
        <v/>
      </c>
      <c r="AA71" s="3">
        <f>IF(T71="",0,IF(T71&lt;12,T71*Controls!$B$13,T71*5))</f>
        <v/>
      </c>
      <c r="AB71" s="3">
        <f>IF(E71="",0,NETWORKDAYS(E71,Controls!$B$20,Ref!$K$2:$K$42))</f>
        <v/>
      </c>
      <c r="AC71" s="3">
        <f>IF(OR(AF71=1,AND(AA71&gt;0,AB71&gt;=Controls!$B$23*AA71)),1,0)</f>
        <v/>
      </c>
      <c r="AD71" s="3">
        <f>IF(AND(E71&lt;&gt;"",E71&gt;=Controls!$B$21,E71&lt;=Controls!$B$22),1,0)</f>
        <v/>
      </c>
      <c r="AE71" s="3">
        <f>IF(IFERROR(VLOOKUP(D71,Controls!$A$36:$E$46,2,FALSE()),"No")="Yes",1,0)</f>
        <v/>
      </c>
      <c r="AF71" s="3">
        <f>IF(IFERROR(VLOOKUP(D71,Controls!$A$36:$E$46,3,FALSE()),"No")="Yes",1,0)</f>
        <v/>
      </c>
      <c r="AG71" s="3">
        <f>IF(IFERROR(VLOOKUP(D71,Controls!$A$36:$E$46,4,FALSE()),"No")="Yes",1,0)</f>
        <v/>
      </c>
      <c r="AH71" s="3">
        <f>IF(IFERROR(VLOOKUP(D71,Controls!$A$36:$E$46,5,FALSE()),"No")="Yes",1,0)</f>
        <v/>
      </c>
      <c r="AI71" s="3">
        <f>IF(ISNUMBER(MATCH(D71,Controls!$A$36:$A$46,0)),1,0)</f>
        <v/>
      </c>
      <c r="AJ71" s="28">
        <f>Q71-N71</f>
        <v/>
      </c>
      <c r="AK71" s="3">
        <f>IF(AE71=1,MAX(0,N71-Q71),0)</f>
        <v/>
      </c>
      <c r="AL71" s="3">
        <f>IF(OR(V71="",V71=0),0,N71/V71)</f>
        <v/>
      </c>
      <c r="AM71" s="3">
        <f>IF(OR(V71="",V71=0),0,1)</f>
        <v/>
      </c>
      <c r="AN71" s="3">
        <f>IF(OR(E71="",F71=""),0,NETWORKDAYS(E71,F71,Ref!$K$2:$K$42))</f>
        <v/>
      </c>
      <c r="AO71" s="3">
        <f>IF(L71="Renewal",1,0)</f>
        <v/>
      </c>
      <c r="AP71" s="3">
        <f>AC71*AD71</f>
        <v/>
      </c>
      <c r="AQ71" s="3">
        <f>IF(AND(G71&lt;&gt;"",'Historical Score'!$C$6&lt;&gt;""),IF(G71='Historical Score'!$C$6,1,0),0)</f>
        <v/>
      </c>
      <c r="AR71" s="3">
        <f>IF(AND(L71&lt;&gt;"",'Historical Score'!$C$5&lt;&gt;""),IF(L71='Historical Score'!$C$5,1,0),0)</f>
        <v/>
      </c>
      <c r="AS71" s="3">
        <f>IF(AND(Y71&lt;&gt;"",'Historical Score'!$C$7&lt;&gt;""),IF(Y71='Historical Score'!$C$7,1,0),0)</f>
        <v/>
      </c>
      <c r="AT71" s="3">
        <f>IF(AND(K71&lt;&gt;"",'Historical Score'!$C$8&lt;&gt;""),IF(K71='Historical Score'!$C$8,1,0),0)</f>
        <v/>
      </c>
      <c r="AU71" s="3" t="n"/>
      <c r="AV71" s="3" t="n"/>
      <c r="AW71" s="3" t="n"/>
      <c r="AX71" s="3" t="n"/>
      <c r="AY71" s="3" t="n"/>
      <c r="AZ71" s="3" t="n"/>
      <c r="BA71" s="182">
        <f>IF(AD71=1,(AR71*'Historical Score'!$K$29+1-'Historical Score'!$K$29)*(AT71*'Historical Score'!$L$29+1-'Historical Score'!$L$29)*(AS71*'Historical Score'!$M$29+1-'Historical Score'!$M$29)*(AQ71*'Historical Score'!$N$29+1-'Historical Score'!$N$29),0)</f>
        <v/>
      </c>
      <c r="BB71" s="3" t="n"/>
      <c r="BC71" s="3" t="n"/>
    </row>
    <row r="72" ht="15.75" customHeight="1" s="174">
      <c r="A72" s="3" t="inlineStr">
        <is>
          <t>5674154834</t>
        </is>
      </c>
      <c r="B72" s="3" t="inlineStr">
        <is>
          <t>Doughboyz Pizzeria LLC</t>
        </is>
      </c>
      <c r="C72" s="3" t="inlineStr">
        <is>
          <t>Doughboyz Pizzeria LLC</t>
        </is>
      </c>
      <c r="D72" s="3" t="inlineStr">
        <is>
          <t>Legal</t>
        </is>
      </c>
      <c r="E72" s="23" t="n">
        <v>45757</v>
      </c>
      <c r="F72" s="23" t="n">
        <v>45925</v>
      </c>
      <c r="G72" s="3" t="n">
        <v>1</v>
      </c>
      <c r="H72" s="3" t="inlineStr">
        <is>
          <t>5812</t>
        </is>
      </c>
      <c r="I72" s="3" t="inlineStr">
        <is>
          <t>58</t>
        </is>
      </c>
      <c r="J72" s="3" t="inlineStr">
        <is>
          <t>KS</t>
        </is>
      </c>
      <c r="K72" s="3" t="inlineStr">
        <is>
          <t>Vanguard Equities</t>
        </is>
      </c>
      <c r="L72" s="3" t="inlineStr">
        <is>
          <t>New Deal</t>
        </is>
      </c>
      <c r="M72" s="3" t="n">
        <v>1.499</v>
      </c>
      <c r="N72" s="28" t="n">
        <v>8000</v>
      </c>
      <c r="O72" s="28" t="n">
        <v>1120</v>
      </c>
      <c r="P72" s="28" t="n">
        <v>11992</v>
      </c>
      <c r="Q72" s="28" t="n">
        <v>9597.059999999999</v>
      </c>
      <c r="R72" s="28" t="n">
        <v>2394.94</v>
      </c>
      <c r="S72" s="42" t="n">
        <v>0.8002885256837891</v>
      </c>
      <c r="T72" s="3" t="n">
        <v>15</v>
      </c>
      <c r="U72" s="3" t="n">
        <v>5</v>
      </c>
      <c r="V72" s="3" t="n"/>
      <c r="W72" s="42" t="n">
        <v>0.3947</v>
      </c>
      <c r="X72" s="23" t="n"/>
      <c r="Y72" s="3">
        <f>IF(I72="","No SIC",IFERROR(VLOOKUP(I72,Ref!$A$2:$B$65,2,FALSE()),"Unclassified"))</f>
        <v/>
      </c>
      <c r="Z72" s="3">
        <f>IF(T72="","",IF(T72&lt;12,"Daily","Weekly"))</f>
        <v/>
      </c>
      <c r="AA72" s="3">
        <f>IF(T72="",0,IF(T72&lt;12,T72*Controls!$B$13,T72*5))</f>
        <v/>
      </c>
      <c r="AB72" s="3">
        <f>IF(E72="",0,NETWORKDAYS(E72,Controls!$B$20,Ref!$K$2:$K$42))</f>
        <v/>
      </c>
      <c r="AC72" s="3">
        <f>IF(OR(AF72=1,AND(AA72&gt;0,AB72&gt;=Controls!$B$23*AA72)),1,0)</f>
        <v/>
      </c>
      <c r="AD72" s="3">
        <f>IF(AND(E72&lt;&gt;"",E72&gt;=Controls!$B$21,E72&lt;=Controls!$B$22),1,0)</f>
        <v/>
      </c>
      <c r="AE72" s="3">
        <f>IF(IFERROR(VLOOKUP(D72,Controls!$A$36:$E$46,2,FALSE()),"No")="Yes",1,0)</f>
        <v/>
      </c>
      <c r="AF72" s="3">
        <f>IF(IFERROR(VLOOKUP(D72,Controls!$A$36:$E$46,3,FALSE()),"No")="Yes",1,0)</f>
        <v/>
      </c>
      <c r="AG72" s="3">
        <f>IF(IFERROR(VLOOKUP(D72,Controls!$A$36:$E$46,4,FALSE()),"No")="Yes",1,0)</f>
        <v/>
      </c>
      <c r="AH72" s="3">
        <f>IF(IFERROR(VLOOKUP(D72,Controls!$A$36:$E$46,5,FALSE()),"No")="Yes",1,0)</f>
        <v/>
      </c>
      <c r="AI72" s="3">
        <f>IF(ISNUMBER(MATCH(D72,Controls!$A$36:$A$46,0)),1,0)</f>
        <v/>
      </c>
      <c r="AJ72" s="28">
        <f>Q72-N72</f>
        <v/>
      </c>
      <c r="AK72" s="3">
        <f>IF(AE72=1,MAX(0,N72-Q72),0)</f>
        <v/>
      </c>
      <c r="AL72" s="3">
        <f>IF(OR(V72="",V72=0),0,N72/V72)</f>
        <v/>
      </c>
      <c r="AM72" s="3">
        <f>IF(OR(V72="",V72=0),0,1)</f>
        <v/>
      </c>
      <c r="AN72" s="3">
        <f>IF(OR(E72="",F72=""),0,NETWORKDAYS(E72,F72,Ref!$K$2:$K$42))</f>
        <v/>
      </c>
      <c r="AO72" s="3">
        <f>IF(L72="Renewal",1,0)</f>
        <v/>
      </c>
      <c r="AP72" s="3">
        <f>AC72*AD72</f>
        <v/>
      </c>
      <c r="AQ72" s="3">
        <f>IF(AND(G72&lt;&gt;"",'Historical Score'!$C$6&lt;&gt;""),IF(G72='Historical Score'!$C$6,1,0),0)</f>
        <v/>
      </c>
      <c r="AR72" s="3">
        <f>IF(AND(L72&lt;&gt;"",'Historical Score'!$C$5&lt;&gt;""),IF(L72='Historical Score'!$C$5,1,0),0)</f>
        <v/>
      </c>
      <c r="AS72" s="3">
        <f>IF(AND(Y72&lt;&gt;"",'Historical Score'!$C$7&lt;&gt;""),IF(Y72='Historical Score'!$C$7,1,0),0)</f>
        <v/>
      </c>
      <c r="AT72" s="3">
        <f>IF(AND(K72&lt;&gt;"",'Historical Score'!$C$8&lt;&gt;""),IF(K72='Historical Score'!$C$8,1,0),0)</f>
        <v/>
      </c>
      <c r="AU72" s="3" t="n"/>
      <c r="AV72" s="3" t="n"/>
      <c r="AW72" s="3" t="n"/>
      <c r="AX72" s="3" t="n"/>
      <c r="AY72" s="3" t="n"/>
      <c r="AZ72" s="3" t="n"/>
      <c r="BA72" s="182">
        <f>IF(AD72=1,(AR72*'Historical Score'!$K$29+1-'Historical Score'!$K$29)*(AT72*'Historical Score'!$L$29+1-'Historical Score'!$L$29)*(AS72*'Historical Score'!$M$29+1-'Historical Score'!$M$29)*(AQ72*'Historical Score'!$N$29+1-'Historical Score'!$N$29),0)</f>
        <v/>
      </c>
      <c r="BB72" s="3" t="n"/>
      <c r="BC72" s="3" t="n"/>
    </row>
    <row r="73" ht="15.75" customHeight="1" s="174">
      <c r="A73" s="3" t="inlineStr">
        <is>
          <t>5674154843</t>
        </is>
      </c>
      <c r="B73" s="3" t="inlineStr">
        <is>
          <t>K&amp;S ENGINEERS INC</t>
        </is>
      </c>
      <c r="C73" s="3" t="inlineStr">
        <is>
          <t>K&amp;S ENGINEERS INC</t>
        </is>
      </c>
      <c r="D73" s="3" t="inlineStr">
        <is>
          <t>Closed</t>
        </is>
      </c>
      <c r="E73" s="23" t="n">
        <v>45757</v>
      </c>
      <c r="F73" s="23" t="n">
        <v>45952</v>
      </c>
      <c r="G73" s="3" t="n">
        <v>1</v>
      </c>
      <c r="H73" s="3" t="inlineStr">
        <is>
          <t>8711</t>
        </is>
      </c>
      <c r="I73" s="3" t="inlineStr">
        <is>
          <t>87</t>
        </is>
      </c>
      <c r="J73" s="3" t="inlineStr">
        <is>
          <t>IN</t>
        </is>
      </c>
      <c r="K73" s="3" t="inlineStr">
        <is>
          <t>Fidelity Funding</t>
        </is>
      </c>
      <c r="L73" s="3" t="inlineStr">
        <is>
          <t>New Deal</t>
        </is>
      </c>
      <c r="M73" s="3" t="n">
        <v>1.35</v>
      </c>
      <c r="N73" s="28" t="n">
        <v>70000</v>
      </c>
      <c r="O73" s="28" t="n">
        <v>4900</v>
      </c>
      <c r="P73" s="28" t="n">
        <v>94500</v>
      </c>
      <c r="Q73" s="28" t="n">
        <v>94500</v>
      </c>
      <c r="R73" s="28" t="n">
        <v>0</v>
      </c>
      <c r="S73" s="42" t="n">
        <v>1</v>
      </c>
      <c r="T73" s="3" t="n">
        <v>4.262</v>
      </c>
      <c r="U73" s="3" t="n">
        <v>5</v>
      </c>
      <c r="V73" s="3" t="n"/>
      <c r="W73" s="42" t="n">
        <v>0.0418</v>
      </c>
      <c r="X73" s="23" t="n">
        <v>30864</v>
      </c>
      <c r="Y73" s="3">
        <f>IF(I73="","No SIC",IFERROR(VLOOKUP(I73,Ref!$A$2:$B$65,2,FALSE()),"Unclassified"))</f>
        <v/>
      </c>
      <c r="Z73" s="3">
        <f>IF(T73="","",IF(T73&lt;12,"Daily","Weekly"))</f>
        <v/>
      </c>
      <c r="AA73" s="3">
        <f>IF(T73="",0,IF(T73&lt;12,T73*Controls!$B$13,T73*5))</f>
        <v/>
      </c>
      <c r="AB73" s="3">
        <f>IF(E73="",0,NETWORKDAYS(E73,Controls!$B$20,Ref!$K$2:$K$42))</f>
        <v/>
      </c>
      <c r="AC73" s="3">
        <f>IF(OR(AF73=1,AND(AA73&gt;0,AB73&gt;=Controls!$B$23*AA73)),1,0)</f>
        <v/>
      </c>
      <c r="AD73" s="3">
        <f>IF(AND(E73&lt;&gt;"",E73&gt;=Controls!$B$21,E73&lt;=Controls!$B$22),1,0)</f>
        <v/>
      </c>
      <c r="AE73" s="3">
        <f>IF(IFERROR(VLOOKUP(D73,Controls!$A$36:$E$46,2,FALSE()),"No")="Yes",1,0)</f>
        <v/>
      </c>
      <c r="AF73" s="3">
        <f>IF(IFERROR(VLOOKUP(D73,Controls!$A$36:$E$46,3,FALSE()),"No")="Yes",1,0)</f>
        <v/>
      </c>
      <c r="AG73" s="3">
        <f>IF(IFERROR(VLOOKUP(D73,Controls!$A$36:$E$46,4,FALSE()),"No")="Yes",1,0)</f>
        <v/>
      </c>
      <c r="AH73" s="3">
        <f>IF(IFERROR(VLOOKUP(D73,Controls!$A$36:$E$46,5,FALSE()),"No")="Yes",1,0)</f>
        <v/>
      </c>
      <c r="AI73" s="3">
        <f>IF(ISNUMBER(MATCH(D73,Controls!$A$36:$A$46,0)),1,0)</f>
        <v/>
      </c>
      <c r="AJ73" s="28">
        <f>Q73-N73</f>
        <v/>
      </c>
      <c r="AK73" s="3">
        <f>IF(AE73=1,MAX(0,N73-Q73),0)</f>
        <v/>
      </c>
      <c r="AL73" s="3">
        <f>IF(OR(V73="",V73=0),0,N73/V73)</f>
        <v/>
      </c>
      <c r="AM73" s="3">
        <f>IF(OR(V73="",V73=0),0,1)</f>
        <v/>
      </c>
      <c r="AN73" s="3">
        <f>IF(OR(E73="",F73=""),0,NETWORKDAYS(E73,F73,Ref!$K$2:$K$42))</f>
        <v/>
      </c>
      <c r="AO73" s="3">
        <f>IF(L73="Renewal",1,0)</f>
        <v/>
      </c>
      <c r="AP73" s="3">
        <f>AC73*AD73</f>
        <v/>
      </c>
      <c r="AQ73" s="3">
        <f>IF(AND(G73&lt;&gt;"",'Historical Score'!$C$6&lt;&gt;""),IF(G73='Historical Score'!$C$6,1,0),0)</f>
        <v/>
      </c>
      <c r="AR73" s="3">
        <f>IF(AND(L73&lt;&gt;"",'Historical Score'!$C$5&lt;&gt;""),IF(L73='Historical Score'!$C$5,1,0),0)</f>
        <v/>
      </c>
      <c r="AS73" s="3">
        <f>IF(AND(Y73&lt;&gt;"",'Historical Score'!$C$7&lt;&gt;""),IF(Y73='Historical Score'!$C$7,1,0),0)</f>
        <v/>
      </c>
      <c r="AT73" s="3">
        <f>IF(AND(K73&lt;&gt;"",'Historical Score'!$C$8&lt;&gt;""),IF(K73='Historical Score'!$C$8,1,0),0)</f>
        <v/>
      </c>
      <c r="AU73" s="3" t="n"/>
      <c r="AV73" s="3" t="n"/>
      <c r="AW73" s="3" t="n"/>
      <c r="AX73" s="3" t="n"/>
      <c r="AY73" s="3" t="n"/>
      <c r="AZ73" s="3" t="n"/>
      <c r="BA73" s="182">
        <f>IF(AD73=1,(AR73*'Historical Score'!$K$29+1-'Historical Score'!$K$29)*(AT73*'Historical Score'!$L$29+1-'Historical Score'!$L$29)*(AS73*'Historical Score'!$M$29+1-'Historical Score'!$M$29)*(AQ73*'Historical Score'!$N$29+1-'Historical Score'!$N$29),0)</f>
        <v/>
      </c>
      <c r="BB73" s="3" t="n"/>
      <c r="BC73" s="3" t="n"/>
    </row>
    <row r="74" ht="15.75" customHeight="1" s="174">
      <c r="A74" s="3" t="inlineStr">
        <is>
          <t>5674154901</t>
        </is>
      </c>
      <c r="B74" s="3" t="inlineStr">
        <is>
          <t>Tree valley landscaping</t>
        </is>
      </c>
      <c r="C74" s="3" t="inlineStr">
        <is>
          <t>Tree valley landscaping</t>
        </is>
      </c>
      <c r="D74" s="3" t="inlineStr">
        <is>
          <t>Closed</t>
        </is>
      </c>
      <c r="E74" s="23" t="n">
        <v>45758</v>
      </c>
      <c r="F74" s="23" t="n">
        <v>45862</v>
      </c>
      <c r="G74" s="3" t="n">
        <v>1</v>
      </c>
      <c r="H74" s="3" t="inlineStr">
        <is>
          <t>0783</t>
        </is>
      </c>
      <c r="I74" s="3" t="inlineStr">
        <is>
          <t>07</t>
        </is>
      </c>
      <c r="J74" s="3" t="inlineStr">
        <is>
          <t>TX</t>
        </is>
      </c>
      <c r="K74" s="3" t="inlineStr">
        <is>
          <t>Platform Funding</t>
        </is>
      </c>
      <c r="L74" s="3" t="inlineStr">
        <is>
          <t>New Deal</t>
        </is>
      </c>
      <c r="M74" s="3" t="n">
        <v>1.45</v>
      </c>
      <c r="N74" s="28" t="n">
        <v>5000</v>
      </c>
      <c r="O74" s="28" t="n">
        <v>600</v>
      </c>
      <c r="P74" s="28" t="n">
        <v>7250</v>
      </c>
      <c r="Q74" s="28" t="n">
        <v>7250</v>
      </c>
      <c r="R74" s="28" t="n">
        <v>0</v>
      </c>
      <c r="S74" s="42" t="n">
        <v>1</v>
      </c>
      <c r="T74" s="3" t="n">
        <v>1.967</v>
      </c>
      <c r="U74" s="3" t="n">
        <v>7</v>
      </c>
      <c r="V74" s="3" t="n"/>
      <c r="W74" s="42" t="n">
        <v>0.06</v>
      </c>
      <c r="X74" s="23" t="n">
        <v>42954</v>
      </c>
      <c r="Y74" s="3">
        <f>IF(I74="","No SIC",IFERROR(VLOOKUP(I74,Ref!$A$2:$B$65,2,FALSE()),"Unclassified"))</f>
        <v/>
      </c>
      <c r="Z74" s="3">
        <f>IF(T74="","",IF(T74&lt;12,"Daily","Weekly"))</f>
        <v/>
      </c>
      <c r="AA74" s="3">
        <f>IF(T74="",0,IF(T74&lt;12,T74*Controls!$B$13,T74*5))</f>
        <v/>
      </c>
      <c r="AB74" s="3">
        <f>IF(E74="",0,NETWORKDAYS(E74,Controls!$B$20,Ref!$K$2:$K$42))</f>
        <v/>
      </c>
      <c r="AC74" s="3">
        <f>IF(OR(AF74=1,AND(AA74&gt;0,AB74&gt;=Controls!$B$23*AA74)),1,0)</f>
        <v/>
      </c>
      <c r="AD74" s="3">
        <f>IF(AND(E74&lt;&gt;"",E74&gt;=Controls!$B$21,E74&lt;=Controls!$B$22),1,0)</f>
        <v/>
      </c>
      <c r="AE74" s="3">
        <f>IF(IFERROR(VLOOKUP(D74,Controls!$A$36:$E$46,2,FALSE()),"No")="Yes",1,0)</f>
        <v/>
      </c>
      <c r="AF74" s="3">
        <f>IF(IFERROR(VLOOKUP(D74,Controls!$A$36:$E$46,3,FALSE()),"No")="Yes",1,0)</f>
        <v/>
      </c>
      <c r="AG74" s="3">
        <f>IF(IFERROR(VLOOKUP(D74,Controls!$A$36:$E$46,4,FALSE()),"No")="Yes",1,0)</f>
        <v/>
      </c>
      <c r="AH74" s="3">
        <f>IF(IFERROR(VLOOKUP(D74,Controls!$A$36:$E$46,5,FALSE()),"No")="Yes",1,0)</f>
        <v/>
      </c>
      <c r="AI74" s="3">
        <f>IF(ISNUMBER(MATCH(D74,Controls!$A$36:$A$46,0)),1,0)</f>
        <v/>
      </c>
      <c r="AJ74" s="28">
        <f>Q74-N74</f>
        <v/>
      </c>
      <c r="AK74" s="3">
        <f>IF(AE74=1,MAX(0,N74-Q74),0)</f>
        <v/>
      </c>
      <c r="AL74" s="3">
        <f>IF(OR(V74="",V74=0),0,N74/V74)</f>
        <v/>
      </c>
      <c r="AM74" s="3">
        <f>IF(OR(V74="",V74=0),0,1)</f>
        <v/>
      </c>
      <c r="AN74" s="3">
        <f>IF(OR(E74="",F74=""),0,NETWORKDAYS(E74,F74,Ref!$K$2:$K$42))</f>
        <v/>
      </c>
      <c r="AO74" s="3">
        <f>IF(L74="Renewal",1,0)</f>
        <v/>
      </c>
      <c r="AP74" s="3">
        <f>AC74*AD74</f>
        <v/>
      </c>
      <c r="AQ74" s="3">
        <f>IF(AND(G74&lt;&gt;"",'Historical Score'!$C$6&lt;&gt;""),IF(G74='Historical Score'!$C$6,1,0),0)</f>
        <v/>
      </c>
      <c r="AR74" s="3">
        <f>IF(AND(L74&lt;&gt;"",'Historical Score'!$C$5&lt;&gt;""),IF(L74='Historical Score'!$C$5,1,0),0)</f>
        <v/>
      </c>
      <c r="AS74" s="3">
        <f>IF(AND(Y74&lt;&gt;"",'Historical Score'!$C$7&lt;&gt;""),IF(Y74='Historical Score'!$C$7,1,0),0)</f>
        <v/>
      </c>
      <c r="AT74" s="3">
        <f>IF(AND(K74&lt;&gt;"",'Historical Score'!$C$8&lt;&gt;""),IF(K74='Historical Score'!$C$8,1,0),0)</f>
        <v/>
      </c>
      <c r="AU74" s="3" t="n"/>
      <c r="AV74" s="3" t="n"/>
      <c r="AW74" s="3" t="n"/>
      <c r="AX74" s="3" t="n"/>
      <c r="AY74" s="3" t="n"/>
      <c r="AZ74" s="3" t="n"/>
      <c r="BA74" s="182">
        <f>IF(AD74=1,(AR74*'Historical Score'!$K$29+1-'Historical Score'!$K$29)*(AT74*'Historical Score'!$L$29+1-'Historical Score'!$L$29)*(AS74*'Historical Score'!$M$29+1-'Historical Score'!$M$29)*(AQ74*'Historical Score'!$N$29+1-'Historical Score'!$N$29),0)</f>
        <v/>
      </c>
      <c r="BB74" s="3" t="n"/>
      <c r="BC74" s="3" t="n"/>
    </row>
    <row r="75" ht="15.75" customHeight="1" s="174">
      <c r="A75" s="3" t="inlineStr">
        <is>
          <t>5674154923</t>
        </is>
      </c>
      <c r="B75" s="3" t="inlineStr">
        <is>
          <t>The Container Girls</t>
        </is>
      </c>
      <c r="C75" s="3" t="inlineStr">
        <is>
          <t>Containers 4 Sale, LLC</t>
        </is>
      </c>
      <c r="D75" s="3" t="inlineStr">
        <is>
          <t>Legal</t>
        </is>
      </c>
      <c r="E75" s="23" t="n">
        <v>45758</v>
      </c>
      <c r="F75" s="23" t="n">
        <v>46038</v>
      </c>
      <c r="G75" s="3" t="n">
        <v>1</v>
      </c>
      <c r="H75" s="3" t="inlineStr">
        <is>
          <t>3412</t>
        </is>
      </c>
      <c r="I75" s="3" t="inlineStr">
        <is>
          <t>34</t>
        </is>
      </c>
      <c r="J75" s="3" t="inlineStr">
        <is>
          <t>UT</t>
        </is>
      </c>
      <c r="K75" s="3" t="inlineStr">
        <is>
          <t>FC ADVANCE</t>
        </is>
      </c>
      <c r="L75" s="3" t="inlineStr">
        <is>
          <t>New Deal</t>
        </is>
      </c>
      <c r="M75" s="3" t="n">
        <v>1.49</v>
      </c>
      <c r="N75" s="28" t="n">
        <v>20000</v>
      </c>
      <c r="O75" s="28" t="n">
        <v>0</v>
      </c>
      <c r="P75" s="28" t="n">
        <v>29800</v>
      </c>
      <c r="Q75" s="28" t="n">
        <v>20003.4</v>
      </c>
      <c r="R75" s="28" t="n">
        <v>9796.6</v>
      </c>
      <c r="S75" s="42" t="n">
        <v>0.671255033557047</v>
      </c>
      <c r="T75" s="3" t="n">
        <v>18</v>
      </c>
      <c r="U75" s="3" t="n">
        <v>1</v>
      </c>
      <c r="V75" s="3" t="n"/>
      <c r="W75" s="42" t="n">
        <v>0.09229999999999999</v>
      </c>
      <c r="X75" s="23" t="n">
        <v>44044</v>
      </c>
      <c r="Y75" s="3">
        <f>IF(I75="","No SIC",IFERROR(VLOOKUP(I75,Ref!$A$2:$B$65,2,FALSE()),"Unclassified"))</f>
        <v/>
      </c>
      <c r="Z75" s="3">
        <f>IF(T75="","",IF(T75&lt;12,"Daily","Weekly"))</f>
        <v/>
      </c>
      <c r="AA75" s="3">
        <f>IF(T75="",0,IF(T75&lt;12,T75*Controls!$B$13,T75*5))</f>
        <v/>
      </c>
      <c r="AB75" s="3">
        <f>IF(E75="",0,NETWORKDAYS(E75,Controls!$B$20,Ref!$K$2:$K$42))</f>
        <v/>
      </c>
      <c r="AC75" s="3">
        <f>IF(OR(AF75=1,AND(AA75&gt;0,AB75&gt;=Controls!$B$23*AA75)),1,0)</f>
        <v/>
      </c>
      <c r="AD75" s="3">
        <f>IF(AND(E75&lt;&gt;"",E75&gt;=Controls!$B$21,E75&lt;=Controls!$B$22),1,0)</f>
        <v/>
      </c>
      <c r="AE75" s="3">
        <f>IF(IFERROR(VLOOKUP(D75,Controls!$A$36:$E$46,2,FALSE()),"No")="Yes",1,0)</f>
        <v/>
      </c>
      <c r="AF75" s="3">
        <f>IF(IFERROR(VLOOKUP(D75,Controls!$A$36:$E$46,3,FALSE()),"No")="Yes",1,0)</f>
        <v/>
      </c>
      <c r="AG75" s="3">
        <f>IF(IFERROR(VLOOKUP(D75,Controls!$A$36:$E$46,4,FALSE()),"No")="Yes",1,0)</f>
        <v/>
      </c>
      <c r="AH75" s="3">
        <f>IF(IFERROR(VLOOKUP(D75,Controls!$A$36:$E$46,5,FALSE()),"No")="Yes",1,0)</f>
        <v/>
      </c>
      <c r="AI75" s="3">
        <f>IF(ISNUMBER(MATCH(D75,Controls!$A$36:$A$46,0)),1,0)</f>
        <v/>
      </c>
      <c r="AJ75" s="28">
        <f>Q75-N75</f>
        <v/>
      </c>
      <c r="AK75" s="3">
        <f>IF(AE75=1,MAX(0,N75-Q75),0)</f>
        <v/>
      </c>
      <c r="AL75" s="3">
        <f>IF(OR(V75="",V75=0),0,N75/V75)</f>
        <v/>
      </c>
      <c r="AM75" s="3">
        <f>IF(OR(V75="",V75=0),0,1)</f>
        <v/>
      </c>
      <c r="AN75" s="3">
        <f>IF(OR(E75="",F75=""),0,NETWORKDAYS(E75,F75,Ref!$K$2:$K$42))</f>
        <v/>
      </c>
      <c r="AO75" s="3">
        <f>IF(L75="Renewal",1,0)</f>
        <v/>
      </c>
      <c r="AP75" s="3">
        <f>AC75*AD75</f>
        <v/>
      </c>
      <c r="AQ75" s="3">
        <f>IF(AND(G75&lt;&gt;"",'Historical Score'!$C$6&lt;&gt;""),IF(G75='Historical Score'!$C$6,1,0),0)</f>
        <v/>
      </c>
      <c r="AR75" s="3">
        <f>IF(AND(L75&lt;&gt;"",'Historical Score'!$C$5&lt;&gt;""),IF(L75='Historical Score'!$C$5,1,0),0)</f>
        <v/>
      </c>
      <c r="AS75" s="3">
        <f>IF(AND(Y75&lt;&gt;"",'Historical Score'!$C$7&lt;&gt;""),IF(Y75='Historical Score'!$C$7,1,0),0)</f>
        <v/>
      </c>
      <c r="AT75" s="3">
        <f>IF(AND(K75&lt;&gt;"",'Historical Score'!$C$8&lt;&gt;""),IF(K75='Historical Score'!$C$8,1,0),0)</f>
        <v/>
      </c>
      <c r="AU75" s="3" t="n"/>
      <c r="AV75" s="3" t="n"/>
      <c r="AW75" s="3" t="n"/>
      <c r="AX75" s="3" t="n"/>
      <c r="AY75" s="3" t="n"/>
      <c r="AZ75" s="3" t="n"/>
      <c r="BA75" s="182">
        <f>IF(AD75=1,(AR75*'Historical Score'!$K$29+1-'Historical Score'!$K$29)*(AT75*'Historical Score'!$L$29+1-'Historical Score'!$L$29)*(AS75*'Historical Score'!$M$29+1-'Historical Score'!$M$29)*(AQ75*'Historical Score'!$N$29+1-'Historical Score'!$N$29),0)</f>
        <v/>
      </c>
      <c r="BB75" s="3" t="n"/>
      <c r="BC75" s="3" t="n"/>
    </row>
    <row r="76" ht="15.75" customHeight="1" s="174">
      <c r="A76" s="3" t="inlineStr">
        <is>
          <t>5674154953</t>
        </is>
      </c>
      <c r="B76" s="3" t="inlineStr">
        <is>
          <t>NFB Venture services Corp</t>
        </is>
      </c>
      <c r="C76" s="3" t="inlineStr">
        <is>
          <t>NFB Venture services Corp</t>
        </is>
      </c>
      <c r="D76" s="3" t="inlineStr">
        <is>
          <t>Closed/NSF Unpaid</t>
        </is>
      </c>
      <c r="E76" s="23" t="n">
        <v>45758</v>
      </c>
      <c r="F76" s="23" t="n">
        <v>46007</v>
      </c>
      <c r="G76" s="3" t="n">
        <v>2</v>
      </c>
      <c r="H76" s="3" t="inlineStr">
        <is>
          <t>7542</t>
        </is>
      </c>
      <c r="I76" s="3" t="inlineStr">
        <is>
          <t>75</t>
        </is>
      </c>
      <c r="J76" s="3" t="inlineStr">
        <is>
          <t>MA</t>
        </is>
      </c>
      <c r="K76" s="3" t="inlineStr">
        <is>
          <t>CARE FUNDING GROUP</t>
        </is>
      </c>
      <c r="L76" s="3" t="inlineStr">
        <is>
          <t>Renewal</t>
        </is>
      </c>
      <c r="M76" s="3" t="n">
        <v>1.49</v>
      </c>
      <c r="N76" s="28" t="n">
        <v>7000</v>
      </c>
      <c r="O76" s="28" t="n">
        <v>980</v>
      </c>
      <c r="P76" s="28" t="n">
        <v>10430</v>
      </c>
      <c r="Q76" s="28" t="n">
        <v>10430</v>
      </c>
      <c r="R76" s="28" t="n">
        <v>0</v>
      </c>
      <c r="S76" s="42" t="n">
        <v>1</v>
      </c>
      <c r="T76" s="3" t="n">
        <v>1.967</v>
      </c>
      <c r="U76" s="3" t="n">
        <v>15</v>
      </c>
      <c r="V76" s="3" t="n"/>
      <c r="W76" s="42" t="n">
        <v>0.1159</v>
      </c>
      <c r="X76" s="23" t="n">
        <v>45402</v>
      </c>
      <c r="Y76" s="3">
        <f>IF(I76="","No SIC",IFERROR(VLOOKUP(I76,Ref!$A$2:$B$65,2,FALSE()),"Unclassified"))</f>
        <v/>
      </c>
      <c r="Z76" s="3">
        <f>IF(T76="","",IF(T76&lt;12,"Daily","Weekly"))</f>
        <v/>
      </c>
      <c r="AA76" s="3">
        <f>IF(T76="",0,IF(T76&lt;12,T76*Controls!$B$13,T76*5))</f>
        <v/>
      </c>
      <c r="AB76" s="3">
        <f>IF(E76="",0,NETWORKDAYS(E76,Controls!$B$20,Ref!$K$2:$K$42))</f>
        <v/>
      </c>
      <c r="AC76" s="3">
        <f>IF(OR(AF76=1,AND(AA76&gt;0,AB76&gt;=Controls!$B$23*AA76)),1,0)</f>
        <v/>
      </c>
      <c r="AD76" s="3">
        <f>IF(AND(E76&lt;&gt;"",E76&gt;=Controls!$B$21,E76&lt;=Controls!$B$22),1,0)</f>
        <v/>
      </c>
      <c r="AE76" s="3">
        <f>IF(IFERROR(VLOOKUP(D76,Controls!$A$36:$E$46,2,FALSE()),"No")="Yes",1,0)</f>
        <v/>
      </c>
      <c r="AF76" s="3">
        <f>IF(IFERROR(VLOOKUP(D76,Controls!$A$36:$E$46,3,FALSE()),"No")="Yes",1,0)</f>
        <v/>
      </c>
      <c r="AG76" s="3">
        <f>IF(IFERROR(VLOOKUP(D76,Controls!$A$36:$E$46,4,FALSE()),"No")="Yes",1,0)</f>
        <v/>
      </c>
      <c r="AH76" s="3">
        <f>IF(IFERROR(VLOOKUP(D76,Controls!$A$36:$E$46,5,FALSE()),"No")="Yes",1,0)</f>
        <v/>
      </c>
      <c r="AI76" s="3">
        <f>IF(ISNUMBER(MATCH(D76,Controls!$A$36:$A$46,0)),1,0)</f>
        <v/>
      </c>
      <c r="AJ76" s="28">
        <f>Q76-N76</f>
        <v/>
      </c>
      <c r="AK76" s="3">
        <f>IF(AE76=1,MAX(0,N76-Q76),0)</f>
        <v/>
      </c>
      <c r="AL76" s="3">
        <f>IF(OR(V76="",V76=0),0,N76/V76)</f>
        <v/>
      </c>
      <c r="AM76" s="3">
        <f>IF(OR(V76="",V76=0),0,1)</f>
        <v/>
      </c>
      <c r="AN76" s="3">
        <f>IF(OR(E76="",F76=""),0,NETWORKDAYS(E76,F76,Ref!$K$2:$K$42))</f>
        <v/>
      </c>
      <c r="AO76" s="3">
        <f>IF(L76="Renewal",1,0)</f>
        <v/>
      </c>
      <c r="AP76" s="3">
        <f>AC76*AD76</f>
        <v/>
      </c>
      <c r="AQ76" s="3">
        <f>IF(AND(G76&lt;&gt;"",'Historical Score'!$C$6&lt;&gt;""),IF(G76='Historical Score'!$C$6,1,0),0)</f>
        <v/>
      </c>
      <c r="AR76" s="3">
        <f>IF(AND(L76&lt;&gt;"",'Historical Score'!$C$5&lt;&gt;""),IF(L76='Historical Score'!$C$5,1,0),0)</f>
        <v/>
      </c>
      <c r="AS76" s="3">
        <f>IF(AND(Y76&lt;&gt;"",'Historical Score'!$C$7&lt;&gt;""),IF(Y76='Historical Score'!$C$7,1,0),0)</f>
        <v/>
      </c>
      <c r="AT76" s="3">
        <f>IF(AND(K76&lt;&gt;"",'Historical Score'!$C$8&lt;&gt;""),IF(K76='Historical Score'!$C$8,1,0),0)</f>
        <v/>
      </c>
      <c r="AU76" s="3" t="n"/>
      <c r="AV76" s="3" t="n"/>
      <c r="AW76" s="3" t="n"/>
      <c r="AX76" s="3" t="n"/>
      <c r="AY76" s="3" t="n"/>
      <c r="AZ76" s="3" t="n"/>
      <c r="BA76" s="182">
        <f>IF(AD76=1,(AR76*'Historical Score'!$K$29+1-'Historical Score'!$K$29)*(AT76*'Historical Score'!$L$29+1-'Historical Score'!$L$29)*(AS76*'Historical Score'!$M$29+1-'Historical Score'!$M$29)*(AQ76*'Historical Score'!$N$29+1-'Historical Score'!$N$29),0)</f>
        <v/>
      </c>
      <c r="BB76" s="3" t="n"/>
      <c r="BC76" s="3" t="n"/>
    </row>
    <row r="77" ht="15.75" customHeight="1" s="174">
      <c r="A77" s="3" t="inlineStr">
        <is>
          <t>5674154958</t>
        </is>
      </c>
      <c r="B77" s="3" t="inlineStr">
        <is>
          <t>LTV EVENTS LLC</t>
        </is>
      </c>
      <c r="C77" s="3" t="inlineStr">
        <is>
          <t>LTV EVENTS LLC</t>
        </is>
      </c>
      <c r="D77" s="3" t="inlineStr">
        <is>
          <t>Closed</t>
        </is>
      </c>
      <c r="E77" s="23" t="n">
        <v>45758</v>
      </c>
      <c r="F77" s="23" t="n">
        <v>45825</v>
      </c>
      <c r="G77" s="3" t="n">
        <v>7</v>
      </c>
      <c r="H77" s="3" t="inlineStr">
        <is>
          <t>7299</t>
        </is>
      </c>
      <c r="I77" s="3" t="inlineStr">
        <is>
          <t>72</t>
        </is>
      </c>
      <c r="J77" s="3" t="inlineStr">
        <is>
          <t>IL</t>
        </is>
      </c>
      <c r="K77" s="3" t="inlineStr">
        <is>
          <t>Redline Capital</t>
        </is>
      </c>
      <c r="L77" s="3" t="inlineStr">
        <is>
          <t>New Deal</t>
        </is>
      </c>
      <c r="M77" s="3" t="n">
        <v>1.49</v>
      </c>
      <c r="N77" s="28" t="n">
        <v>10000</v>
      </c>
      <c r="O77" s="28" t="n">
        <v>1400</v>
      </c>
      <c r="P77" s="28" t="n">
        <v>14900</v>
      </c>
      <c r="Q77" s="28" t="n">
        <v>14900</v>
      </c>
      <c r="R77" s="28" t="n">
        <v>0</v>
      </c>
      <c r="S77" s="42" t="n">
        <v>1</v>
      </c>
      <c r="T77" s="3" t="n">
        <v>2.459</v>
      </c>
      <c r="U77" s="3" t="n">
        <v>0</v>
      </c>
      <c r="V77" s="3" t="n"/>
      <c r="W77" s="42" t="n">
        <v>0.1466</v>
      </c>
      <c r="X77" s="23" t="n">
        <v>44256</v>
      </c>
      <c r="Y77" s="3">
        <f>IF(I77="","No SIC",IFERROR(VLOOKUP(I77,Ref!$A$2:$B$65,2,FALSE()),"Unclassified"))</f>
        <v/>
      </c>
      <c r="Z77" s="3">
        <f>IF(T77="","",IF(T77&lt;12,"Daily","Weekly"))</f>
        <v/>
      </c>
      <c r="AA77" s="3">
        <f>IF(T77="",0,IF(T77&lt;12,T77*Controls!$B$13,T77*5))</f>
        <v/>
      </c>
      <c r="AB77" s="3">
        <f>IF(E77="",0,NETWORKDAYS(E77,Controls!$B$20,Ref!$K$2:$K$42))</f>
        <v/>
      </c>
      <c r="AC77" s="3">
        <f>IF(OR(AF77=1,AND(AA77&gt;0,AB77&gt;=Controls!$B$23*AA77)),1,0)</f>
        <v/>
      </c>
      <c r="AD77" s="3">
        <f>IF(AND(E77&lt;&gt;"",E77&gt;=Controls!$B$21,E77&lt;=Controls!$B$22),1,0)</f>
        <v/>
      </c>
      <c r="AE77" s="3">
        <f>IF(IFERROR(VLOOKUP(D77,Controls!$A$36:$E$46,2,FALSE()),"No")="Yes",1,0)</f>
        <v/>
      </c>
      <c r="AF77" s="3">
        <f>IF(IFERROR(VLOOKUP(D77,Controls!$A$36:$E$46,3,FALSE()),"No")="Yes",1,0)</f>
        <v/>
      </c>
      <c r="AG77" s="3">
        <f>IF(IFERROR(VLOOKUP(D77,Controls!$A$36:$E$46,4,FALSE()),"No")="Yes",1,0)</f>
        <v/>
      </c>
      <c r="AH77" s="3">
        <f>IF(IFERROR(VLOOKUP(D77,Controls!$A$36:$E$46,5,FALSE()),"No")="Yes",1,0)</f>
        <v/>
      </c>
      <c r="AI77" s="3">
        <f>IF(ISNUMBER(MATCH(D77,Controls!$A$36:$A$46,0)),1,0)</f>
        <v/>
      </c>
      <c r="AJ77" s="28">
        <f>Q77-N77</f>
        <v/>
      </c>
      <c r="AK77" s="3">
        <f>IF(AE77=1,MAX(0,N77-Q77),0)</f>
        <v/>
      </c>
      <c r="AL77" s="3">
        <f>IF(OR(V77="",V77=0),0,N77/V77)</f>
        <v/>
      </c>
      <c r="AM77" s="3">
        <f>IF(OR(V77="",V77=0),0,1)</f>
        <v/>
      </c>
      <c r="AN77" s="3">
        <f>IF(OR(E77="",F77=""),0,NETWORKDAYS(E77,F77,Ref!$K$2:$K$42))</f>
        <v/>
      </c>
      <c r="AO77" s="3">
        <f>IF(L77="Renewal",1,0)</f>
        <v/>
      </c>
      <c r="AP77" s="3">
        <f>AC77*AD77</f>
        <v/>
      </c>
      <c r="AQ77" s="3">
        <f>IF(AND(G77&lt;&gt;"",'Historical Score'!$C$6&lt;&gt;""),IF(G77='Historical Score'!$C$6,1,0),0)</f>
        <v/>
      </c>
      <c r="AR77" s="3">
        <f>IF(AND(L77&lt;&gt;"",'Historical Score'!$C$5&lt;&gt;""),IF(L77='Historical Score'!$C$5,1,0),0)</f>
        <v/>
      </c>
      <c r="AS77" s="3">
        <f>IF(AND(Y77&lt;&gt;"",'Historical Score'!$C$7&lt;&gt;""),IF(Y77='Historical Score'!$C$7,1,0),0)</f>
        <v/>
      </c>
      <c r="AT77" s="3">
        <f>IF(AND(K77&lt;&gt;"",'Historical Score'!$C$8&lt;&gt;""),IF(K77='Historical Score'!$C$8,1,0),0)</f>
        <v/>
      </c>
      <c r="AU77" s="3" t="n"/>
      <c r="AV77" s="3" t="n"/>
      <c r="AW77" s="3" t="n"/>
      <c r="AX77" s="3" t="n"/>
      <c r="AY77" s="3" t="n"/>
      <c r="AZ77" s="3" t="n"/>
      <c r="BA77" s="182">
        <f>IF(AD77=1,(AR77*'Historical Score'!$K$29+1-'Historical Score'!$K$29)*(AT77*'Historical Score'!$L$29+1-'Historical Score'!$L$29)*(AS77*'Historical Score'!$M$29+1-'Historical Score'!$M$29)*(AQ77*'Historical Score'!$N$29+1-'Historical Score'!$N$29),0)</f>
        <v/>
      </c>
      <c r="BB77" s="3" t="n"/>
      <c r="BC77" s="3" t="n"/>
    </row>
    <row r="78" ht="15.75" customHeight="1" s="174">
      <c r="A78" s="3" t="inlineStr">
        <is>
          <t>5674154965</t>
        </is>
      </c>
      <c r="B78" s="3" t="inlineStr">
        <is>
          <t>Umart</t>
        </is>
      </c>
      <c r="C78" s="3" t="inlineStr">
        <is>
          <t>Fareed Inc</t>
        </is>
      </c>
      <c r="D78" s="3" t="inlineStr">
        <is>
          <t>Legal</t>
        </is>
      </c>
      <c r="E78" s="23" t="n">
        <v>45758</v>
      </c>
      <c r="F78" s="23" t="n">
        <v>45784</v>
      </c>
      <c r="G78" s="3" t="n">
        <v>2</v>
      </c>
      <c r="H78" s="3" t="inlineStr">
        <is>
          <t>5541</t>
        </is>
      </c>
      <c r="I78" s="3" t="inlineStr">
        <is>
          <t>55</t>
        </is>
      </c>
      <c r="J78" s="3" t="inlineStr">
        <is>
          <t>FL</t>
        </is>
      </c>
      <c r="K78" s="3" t="inlineStr">
        <is>
          <t>Fundible</t>
        </is>
      </c>
      <c r="L78" s="3" t="inlineStr">
        <is>
          <t>New Deal</t>
        </is>
      </c>
      <c r="M78" s="3" t="n">
        <v>1.49</v>
      </c>
      <c r="N78" s="28" t="n">
        <v>5000</v>
      </c>
      <c r="O78" s="28" t="n">
        <v>700</v>
      </c>
      <c r="P78" s="28" t="n">
        <v>7450</v>
      </c>
      <c r="Q78" s="28" t="n">
        <v>1118.07</v>
      </c>
      <c r="R78" s="28" t="n">
        <v>6331.93</v>
      </c>
      <c r="S78" s="42" t="n">
        <v>0.150076510067114</v>
      </c>
      <c r="T78" s="3" t="n">
        <v>1.967</v>
      </c>
      <c r="U78" s="3" t="n">
        <v>9</v>
      </c>
      <c r="V78" s="3" t="n"/>
      <c r="W78" s="42" t="n"/>
      <c r="X78" s="23" t="n">
        <v>45170</v>
      </c>
      <c r="Y78" s="3">
        <f>IF(I78="","No SIC",IFERROR(VLOOKUP(I78,Ref!$A$2:$B$65,2,FALSE()),"Unclassified"))</f>
        <v/>
      </c>
      <c r="Z78" s="3">
        <f>IF(T78="","",IF(T78&lt;12,"Daily","Weekly"))</f>
        <v/>
      </c>
      <c r="AA78" s="3">
        <f>IF(T78="",0,IF(T78&lt;12,T78*Controls!$B$13,T78*5))</f>
        <v/>
      </c>
      <c r="AB78" s="3">
        <f>IF(E78="",0,NETWORKDAYS(E78,Controls!$B$20,Ref!$K$2:$K$42))</f>
        <v/>
      </c>
      <c r="AC78" s="3">
        <f>IF(OR(AF78=1,AND(AA78&gt;0,AB78&gt;=Controls!$B$23*AA78)),1,0)</f>
        <v/>
      </c>
      <c r="AD78" s="3">
        <f>IF(AND(E78&lt;&gt;"",E78&gt;=Controls!$B$21,E78&lt;=Controls!$B$22),1,0)</f>
        <v/>
      </c>
      <c r="AE78" s="3">
        <f>IF(IFERROR(VLOOKUP(D78,Controls!$A$36:$E$46,2,FALSE()),"No")="Yes",1,0)</f>
        <v/>
      </c>
      <c r="AF78" s="3">
        <f>IF(IFERROR(VLOOKUP(D78,Controls!$A$36:$E$46,3,FALSE()),"No")="Yes",1,0)</f>
        <v/>
      </c>
      <c r="AG78" s="3">
        <f>IF(IFERROR(VLOOKUP(D78,Controls!$A$36:$E$46,4,FALSE()),"No")="Yes",1,0)</f>
        <v/>
      </c>
      <c r="AH78" s="3">
        <f>IF(IFERROR(VLOOKUP(D78,Controls!$A$36:$E$46,5,FALSE()),"No")="Yes",1,0)</f>
        <v/>
      </c>
      <c r="AI78" s="3">
        <f>IF(ISNUMBER(MATCH(D78,Controls!$A$36:$A$46,0)),1,0)</f>
        <v/>
      </c>
      <c r="AJ78" s="28">
        <f>Q78-N78</f>
        <v/>
      </c>
      <c r="AK78" s="3">
        <f>IF(AE78=1,MAX(0,N78-Q78),0)</f>
        <v/>
      </c>
      <c r="AL78" s="3">
        <f>IF(OR(V78="",V78=0),0,N78/V78)</f>
        <v/>
      </c>
      <c r="AM78" s="3">
        <f>IF(OR(V78="",V78=0),0,1)</f>
        <v/>
      </c>
      <c r="AN78" s="3">
        <f>IF(OR(E78="",F78=""),0,NETWORKDAYS(E78,F78,Ref!$K$2:$K$42))</f>
        <v/>
      </c>
      <c r="AO78" s="3">
        <f>IF(L78="Renewal",1,0)</f>
        <v/>
      </c>
      <c r="AP78" s="3">
        <f>AC78*AD78</f>
        <v/>
      </c>
      <c r="AQ78" s="3">
        <f>IF(AND(G78&lt;&gt;"",'Historical Score'!$C$6&lt;&gt;""),IF(G78='Historical Score'!$C$6,1,0),0)</f>
        <v/>
      </c>
      <c r="AR78" s="3">
        <f>IF(AND(L78&lt;&gt;"",'Historical Score'!$C$5&lt;&gt;""),IF(L78='Historical Score'!$C$5,1,0),0)</f>
        <v/>
      </c>
      <c r="AS78" s="3">
        <f>IF(AND(Y78&lt;&gt;"",'Historical Score'!$C$7&lt;&gt;""),IF(Y78='Historical Score'!$C$7,1,0),0)</f>
        <v/>
      </c>
      <c r="AT78" s="3">
        <f>IF(AND(K78&lt;&gt;"",'Historical Score'!$C$8&lt;&gt;""),IF(K78='Historical Score'!$C$8,1,0),0)</f>
        <v/>
      </c>
      <c r="AU78" s="3" t="n"/>
      <c r="AV78" s="3" t="n"/>
      <c r="AW78" s="3" t="n"/>
      <c r="AX78" s="3" t="n"/>
      <c r="AY78" s="3" t="n"/>
      <c r="AZ78" s="3" t="n"/>
      <c r="BA78" s="182">
        <f>IF(AD78=1,(AR78*'Historical Score'!$K$29+1-'Historical Score'!$K$29)*(AT78*'Historical Score'!$L$29+1-'Historical Score'!$L$29)*(AS78*'Historical Score'!$M$29+1-'Historical Score'!$M$29)*(AQ78*'Historical Score'!$N$29+1-'Historical Score'!$N$29),0)</f>
        <v/>
      </c>
      <c r="BB78" s="3" t="n"/>
      <c r="BC78" s="3" t="n"/>
    </row>
    <row r="79" ht="15.75" customHeight="1" s="174">
      <c r="A79" s="3" t="inlineStr">
        <is>
          <t>5674155038</t>
        </is>
      </c>
      <c r="B79" s="3" t="inlineStr">
        <is>
          <t>So Baltimore, LLC</t>
        </is>
      </c>
      <c r="C79" s="3" t="inlineStr">
        <is>
          <t>So Baltimore, LLC</t>
        </is>
      </c>
      <c r="D79" s="3" t="inlineStr">
        <is>
          <t>Closed</t>
        </is>
      </c>
      <c r="E79" s="23" t="n">
        <v>45762</v>
      </c>
      <c r="F79" s="23" t="n">
        <v>45869</v>
      </c>
      <c r="G79" s="3" t="n">
        <v>5</v>
      </c>
      <c r="H79" s="3" t="inlineStr">
        <is>
          <t>5812</t>
        </is>
      </c>
      <c r="I79" s="3" t="inlineStr">
        <is>
          <t>58</t>
        </is>
      </c>
      <c r="J79" s="3" t="inlineStr">
        <is>
          <t>MD</t>
        </is>
      </c>
      <c r="K79" s="3" t="inlineStr">
        <is>
          <t>Llama Loan</t>
        </is>
      </c>
      <c r="L79" s="3" t="inlineStr">
        <is>
          <t>New Deal</t>
        </is>
      </c>
      <c r="M79" s="3" t="n">
        <v>1.43</v>
      </c>
      <c r="N79" s="28" t="n">
        <v>10000</v>
      </c>
      <c r="O79" s="28" t="n">
        <v>1100</v>
      </c>
      <c r="P79" s="28" t="n">
        <v>14300</v>
      </c>
      <c r="Q79" s="28" t="n">
        <v>14300</v>
      </c>
      <c r="R79" s="28" t="n">
        <v>0</v>
      </c>
      <c r="S79" s="42" t="n">
        <v>1</v>
      </c>
      <c r="T79" s="3" t="n">
        <v>2.295</v>
      </c>
      <c r="U79" s="3" t="n">
        <v>0</v>
      </c>
      <c r="V79" s="3" t="n"/>
      <c r="W79" s="42" t="n">
        <v>0.0756</v>
      </c>
      <c r="X79" s="23" t="n">
        <v>44378</v>
      </c>
      <c r="Y79" s="3">
        <f>IF(I79="","No SIC",IFERROR(VLOOKUP(I79,Ref!$A$2:$B$65,2,FALSE()),"Unclassified"))</f>
        <v/>
      </c>
      <c r="Z79" s="3">
        <f>IF(T79="","",IF(T79&lt;12,"Daily","Weekly"))</f>
        <v/>
      </c>
      <c r="AA79" s="3">
        <f>IF(T79="",0,IF(T79&lt;12,T79*Controls!$B$13,T79*5))</f>
        <v/>
      </c>
      <c r="AB79" s="3">
        <f>IF(E79="",0,NETWORKDAYS(E79,Controls!$B$20,Ref!$K$2:$K$42))</f>
        <v/>
      </c>
      <c r="AC79" s="3">
        <f>IF(OR(AF79=1,AND(AA79&gt;0,AB79&gt;=Controls!$B$23*AA79)),1,0)</f>
        <v/>
      </c>
      <c r="AD79" s="3">
        <f>IF(AND(E79&lt;&gt;"",E79&gt;=Controls!$B$21,E79&lt;=Controls!$B$22),1,0)</f>
        <v/>
      </c>
      <c r="AE79" s="3">
        <f>IF(IFERROR(VLOOKUP(D79,Controls!$A$36:$E$46,2,FALSE()),"No")="Yes",1,0)</f>
        <v/>
      </c>
      <c r="AF79" s="3">
        <f>IF(IFERROR(VLOOKUP(D79,Controls!$A$36:$E$46,3,FALSE()),"No")="Yes",1,0)</f>
        <v/>
      </c>
      <c r="AG79" s="3">
        <f>IF(IFERROR(VLOOKUP(D79,Controls!$A$36:$E$46,4,FALSE()),"No")="Yes",1,0)</f>
        <v/>
      </c>
      <c r="AH79" s="3">
        <f>IF(IFERROR(VLOOKUP(D79,Controls!$A$36:$E$46,5,FALSE()),"No")="Yes",1,0)</f>
        <v/>
      </c>
      <c r="AI79" s="3">
        <f>IF(ISNUMBER(MATCH(D79,Controls!$A$36:$A$46,0)),1,0)</f>
        <v/>
      </c>
      <c r="AJ79" s="28">
        <f>Q79-N79</f>
        <v/>
      </c>
      <c r="AK79" s="3">
        <f>IF(AE79=1,MAX(0,N79-Q79),0)</f>
        <v/>
      </c>
      <c r="AL79" s="3">
        <f>IF(OR(V79="",V79=0),0,N79/V79)</f>
        <v/>
      </c>
      <c r="AM79" s="3">
        <f>IF(OR(V79="",V79=0),0,1)</f>
        <v/>
      </c>
      <c r="AN79" s="3">
        <f>IF(OR(E79="",F79=""),0,NETWORKDAYS(E79,F79,Ref!$K$2:$K$42))</f>
        <v/>
      </c>
      <c r="AO79" s="3">
        <f>IF(L79="Renewal",1,0)</f>
        <v/>
      </c>
      <c r="AP79" s="3">
        <f>AC79*AD79</f>
        <v/>
      </c>
      <c r="AQ79" s="3">
        <f>IF(AND(G79&lt;&gt;"",'Historical Score'!$C$6&lt;&gt;""),IF(G79='Historical Score'!$C$6,1,0),0)</f>
        <v/>
      </c>
      <c r="AR79" s="3">
        <f>IF(AND(L79&lt;&gt;"",'Historical Score'!$C$5&lt;&gt;""),IF(L79='Historical Score'!$C$5,1,0),0)</f>
        <v/>
      </c>
      <c r="AS79" s="3">
        <f>IF(AND(Y79&lt;&gt;"",'Historical Score'!$C$7&lt;&gt;""),IF(Y79='Historical Score'!$C$7,1,0),0)</f>
        <v/>
      </c>
      <c r="AT79" s="3">
        <f>IF(AND(K79&lt;&gt;"",'Historical Score'!$C$8&lt;&gt;""),IF(K79='Historical Score'!$C$8,1,0),0)</f>
        <v/>
      </c>
      <c r="AU79" s="3" t="n"/>
      <c r="AV79" s="3" t="n"/>
      <c r="AW79" s="3" t="n"/>
      <c r="AX79" s="3" t="n"/>
      <c r="AY79" s="3" t="n"/>
      <c r="AZ79" s="3" t="n"/>
      <c r="BA79" s="182">
        <f>IF(AD79=1,(AR79*'Historical Score'!$K$29+1-'Historical Score'!$K$29)*(AT79*'Historical Score'!$L$29+1-'Historical Score'!$L$29)*(AS79*'Historical Score'!$M$29+1-'Historical Score'!$M$29)*(AQ79*'Historical Score'!$N$29+1-'Historical Score'!$N$29),0)</f>
        <v/>
      </c>
      <c r="BB79" s="3" t="n"/>
      <c r="BC79" s="3" t="n"/>
    </row>
    <row r="80" ht="15.75" customHeight="1" s="174">
      <c r="A80" s="3" t="inlineStr">
        <is>
          <t>5674155151</t>
        </is>
      </c>
      <c r="B80" s="3" t="inlineStr">
        <is>
          <t>Bental electric</t>
        </is>
      </c>
      <c r="C80" s="3" t="inlineStr">
        <is>
          <t>Bental electric</t>
        </is>
      </c>
      <c r="D80" s="3" t="inlineStr">
        <is>
          <t>Legal</t>
        </is>
      </c>
      <c r="E80" s="23" t="n">
        <v>45763</v>
      </c>
      <c r="F80" s="23" t="n">
        <v>45866</v>
      </c>
      <c r="G80" s="3" t="n">
        <v>4</v>
      </c>
      <c r="H80" s="3" t="inlineStr">
        <is>
          <t>1731</t>
        </is>
      </c>
      <c r="I80" s="3" t="inlineStr">
        <is>
          <t>17</t>
        </is>
      </c>
      <c r="J80" s="3" t="inlineStr">
        <is>
          <t>CA</t>
        </is>
      </c>
      <c r="K80" s="3" t="inlineStr">
        <is>
          <t>Fund Your Bizz</t>
        </is>
      </c>
      <c r="L80" s="3" t="inlineStr">
        <is>
          <t>New Deal</t>
        </is>
      </c>
      <c r="M80" s="3" t="n">
        <v>1.49</v>
      </c>
      <c r="N80" s="28" t="n">
        <v>10000</v>
      </c>
      <c r="O80" s="28" t="n">
        <v>0</v>
      </c>
      <c r="P80" s="28" t="n">
        <v>14900</v>
      </c>
      <c r="Q80" s="28" t="n">
        <v>6411.72</v>
      </c>
      <c r="R80" s="28" t="n">
        <v>8488.280000000001</v>
      </c>
      <c r="S80" s="42" t="n">
        <v>0.43031677852349</v>
      </c>
      <c r="T80" s="3" t="n">
        <v>2.131</v>
      </c>
      <c r="U80" s="3" t="n">
        <v>24</v>
      </c>
      <c r="V80" s="3" t="n"/>
      <c r="W80" s="42" t="n">
        <v>0.0531</v>
      </c>
      <c r="X80" s="23" t="n">
        <v>38081</v>
      </c>
      <c r="Y80" s="3">
        <f>IF(I80="","No SIC",IFERROR(VLOOKUP(I80,Ref!$A$2:$B$65,2,FALSE()),"Unclassified"))</f>
        <v/>
      </c>
      <c r="Z80" s="3">
        <f>IF(T80="","",IF(T80&lt;12,"Daily","Weekly"))</f>
        <v/>
      </c>
      <c r="AA80" s="3">
        <f>IF(T80="",0,IF(T80&lt;12,T80*Controls!$B$13,T80*5))</f>
        <v/>
      </c>
      <c r="AB80" s="3">
        <f>IF(E80="",0,NETWORKDAYS(E80,Controls!$B$20,Ref!$K$2:$K$42))</f>
        <v/>
      </c>
      <c r="AC80" s="3">
        <f>IF(OR(AF80=1,AND(AA80&gt;0,AB80&gt;=Controls!$B$23*AA80)),1,0)</f>
        <v/>
      </c>
      <c r="AD80" s="3">
        <f>IF(AND(E80&lt;&gt;"",E80&gt;=Controls!$B$21,E80&lt;=Controls!$B$22),1,0)</f>
        <v/>
      </c>
      <c r="AE80" s="3">
        <f>IF(IFERROR(VLOOKUP(D80,Controls!$A$36:$E$46,2,FALSE()),"No")="Yes",1,0)</f>
        <v/>
      </c>
      <c r="AF80" s="3">
        <f>IF(IFERROR(VLOOKUP(D80,Controls!$A$36:$E$46,3,FALSE()),"No")="Yes",1,0)</f>
        <v/>
      </c>
      <c r="AG80" s="3">
        <f>IF(IFERROR(VLOOKUP(D80,Controls!$A$36:$E$46,4,FALSE()),"No")="Yes",1,0)</f>
        <v/>
      </c>
      <c r="AH80" s="3">
        <f>IF(IFERROR(VLOOKUP(D80,Controls!$A$36:$E$46,5,FALSE()),"No")="Yes",1,0)</f>
        <v/>
      </c>
      <c r="AI80" s="3">
        <f>IF(ISNUMBER(MATCH(D80,Controls!$A$36:$A$46,0)),1,0)</f>
        <v/>
      </c>
      <c r="AJ80" s="28">
        <f>Q80-N80</f>
        <v/>
      </c>
      <c r="AK80" s="3">
        <f>IF(AE80=1,MAX(0,N80-Q80),0)</f>
        <v/>
      </c>
      <c r="AL80" s="3">
        <f>IF(OR(V80="",V80=0),0,N80/V80)</f>
        <v/>
      </c>
      <c r="AM80" s="3">
        <f>IF(OR(V80="",V80=0),0,1)</f>
        <v/>
      </c>
      <c r="AN80" s="3">
        <f>IF(OR(E80="",F80=""),0,NETWORKDAYS(E80,F80,Ref!$K$2:$K$42))</f>
        <v/>
      </c>
      <c r="AO80" s="3">
        <f>IF(L80="Renewal",1,0)</f>
        <v/>
      </c>
      <c r="AP80" s="3">
        <f>AC80*AD80</f>
        <v/>
      </c>
      <c r="AQ80" s="3">
        <f>IF(AND(G80&lt;&gt;"",'Historical Score'!$C$6&lt;&gt;""),IF(G80='Historical Score'!$C$6,1,0),0)</f>
        <v/>
      </c>
      <c r="AR80" s="3">
        <f>IF(AND(L80&lt;&gt;"",'Historical Score'!$C$5&lt;&gt;""),IF(L80='Historical Score'!$C$5,1,0),0)</f>
        <v/>
      </c>
      <c r="AS80" s="3">
        <f>IF(AND(Y80&lt;&gt;"",'Historical Score'!$C$7&lt;&gt;""),IF(Y80='Historical Score'!$C$7,1,0),0)</f>
        <v/>
      </c>
      <c r="AT80" s="3">
        <f>IF(AND(K80&lt;&gt;"",'Historical Score'!$C$8&lt;&gt;""),IF(K80='Historical Score'!$C$8,1,0),0)</f>
        <v/>
      </c>
      <c r="AU80" s="3" t="n"/>
      <c r="AV80" s="3" t="n"/>
      <c r="AW80" s="3" t="n"/>
      <c r="AX80" s="3" t="n"/>
      <c r="AY80" s="3" t="n"/>
      <c r="AZ80" s="3" t="n"/>
      <c r="BA80" s="182">
        <f>IF(AD80=1,(AR80*'Historical Score'!$K$29+1-'Historical Score'!$K$29)*(AT80*'Historical Score'!$L$29+1-'Historical Score'!$L$29)*(AS80*'Historical Score'!$M$29+1-'Historical Score'!$M$29)*(AQ80*'Historical Score'!$N$29+1-'Historical Score'!$N$29),0)</f>
        <v/>
      </c>
      <c r="BB80" s="3" t="n"/>
      <c r="BC80" s="3" t="n"/>
    </row>
    <row r="81" ht="15.75" customHeight="1" s="174">
      <c r="A81" s="3" t="inlineStr">
        <is>
          <t>5674155206</t>
        </is>
      </c>
      <c r="B81" s="3" t="inlineStr">
        <is>
          <t>Grappling Zone</t>
        </is>
      </c>
      <c r="C81" s="3" t="inlineStr">
        <is>
          <t>Grappling Zone</t>
        </is>
      </c>
      <c r="D81" s="3" t="inlineStr">
        <is>
          <t>Legal</t>
        </is>
      </c>
      <c r="E81" s="23" t="n">
        <v>45764</v>
      </c>
      <c r="F81" s="23" t="n">
        <v>45839</v>
      </c>
      <c r="G81" s="3" t="n">
        <v>1</v>
      </c>
      <c r="H81" s="3" t="inlineStr">
        <is>
          <t>7991</t>
        </is>
      </c>
      <c r="I81" s="3" t="inlineStr">
        <is>
          <t>79</t>
        </is>
      </c>
      <c r="J81" s="3" t="inlineStr">
        <is>
          <t>TX</t>
        </is>
      </c>
      <c r="K81" s="3" t="inlineStr">
        <is>
          <t>Westwood</t>
        </is>
      </c>
      <c r="L81" s="3" t="inlineStr">
        <is>
          <t>New Deal</t>
        </is>
      </c>
      <c r="M81" s="3" t="n">
        <v>1.49</v>
      </c>
      <c r="N81" s="28" t="n">
        <v>20000</v>
      </c>
      <c r="O81" s="28" t="n">
        <v>2800</v>
      </c>
      <c r="P81" s="28" t="n">
        <v>29800</v>
      </c>
      <c r="Q81" s="28" t="n">
        <v>9188.58</v>
      </c>
      <c r="R81" s="28" t="n">
        <v>20611.42</v>
      </c>
      <c r="S81" s="42" t="n">
        <v>0.308341610738255</v>
      </c>
      <c r="T81" s="3" t="n">
        <v>3.934</v>
      </c>
      <c r="U81" s="3" t="n">
        <v>14</v>
      </c>
      <c r="V81" s="3" t="n"/>
      <c r="W81" s="42" t="n">
        <v>0.2302</v>
      </c>
      <c r="X81" s="23" t="n"/>
      <c r="Y81" s="3">
        <f>IF(I81="","No SIC",IFERROR(VLOOKUP(I81,Ref!$A$2:$B$65,2,FALSE()),"Unclassified"))</f>
        <v/>
      </c>
      <c r="Z81" s="3">
        <f>IF(T81="","",IF(T81&lt;12,"Daily","Weekly"))</f>
        <v/>
      </c>
      <c r="AA81" s="3">
        <f>IF(T81="",0,IF(T81&lt;12,T81*Controls!$B$13,T81*5))</f>
        <v/>
      </c>
      <c r="AB81" s="3">
        <f>IF(E81="",0,NETWORKDAYS(E81,Controls!$B$20,Ref!$K$2:$K$42))</f>
        <v/>
      </c>
      <c r="AC81" s="3">
        <f>IF(OR(AF81=1,AND(AA81&gt;0,AB81&gt;=Controls!$B$23*AA81)),1,0)</f>
        <v/>
      </c>
      <c r="AD81" s="3">
        <f>IF(AND(E81&lt;&gt;"",E81&gt;=Controls!$B$21,E81&lt;=Controls!$B$22),1,0)</f>
        <v/>
      </c>
      <c r="AE81" s="3">
        <f>IF(IFERROR(VLOOKUP(D81,Controls!$A$36:$E$46,2,FALSE()),"No")="Yes",1,0)</f>
        <v/>
      </c>
      <c r="AF81" s="3">
        <f>IF(IFERROR(VLOOKUP(D81,Controls!$A$36:$E$46,3,FALSE()),"No")="Yes",1,0)</f>
        <v/>
      </c>
      <c r="AG81" s="3">
        <f>IF(IFERROR(VLOOKUP(D81,Controls!$A$36:$E$46,4,FALSE()),"No")="Yes",1,0)</f>
        <v/>
      </c>
      <c r="AH81" s="3">
        <f>IF(IFERROR(VLOOKUP(D81,Controls!$A$36:$E$46,5,FALSE()),"No")="Yes",1,0)</f>
        <v/>
      </c>
      <c r="AI81" s="3">
        <f>IF(ISNUMBER(MATCH(D81,Controls!$A$36:$A$46,0)),1,0)</f>
        <v/>
      </c>
      <c r="AJ81" s="28">
        <f>Q81-N81</f>
        <v/>
      </c>
      <c r="AK81" s="3">
        <f>IF(AE81=1,MAX(0,N81-Q81),0)</f>
        <v/>
      </c>
      <c r="AL81" s="3">
        <f>IF(OR(V81="",V81=0),0,N81/V81)</f>
        <v/>
      </c>
      <c r="AM81" s="3">
        <f>IF(OR(V81="",V81=0),0,1)</f>
        <v/>
      </c>
      <c r="AN81" s="3">
        <f>IF(OR(E81="",F81=""),0,NETWORKDAYS(E81,F81,Ref!$K$2:$K$42))</f>
        <v/>
      </c>
      <c r="AO81" s="3">
        <f>IF(L81="Renewal",1,0)</f>
        <v/>
      </c>
      <c r="AP81" s="3">
        <f>AC81*AD81</f>
        <v/>
      </c>
      <c r="AQ81" s="3">
        <f>IF(AND(G81&lt;&gt;"",'Historical Score'!$C$6&lt;&gt;""),IF(G81='Historical Score'!$C$6,1,0),0)</f>
        <v/>
      </c>
      <c r="AR81" s="3">
        <f>IF(AND(L81&lt;&gt;"",'Historical Score'!$C$5&lt;&gt;""),IF(L81='Historical Score'!$C$5,1,0),0)</f>
        <v/>
      </c>
      <c r="AS81" s="3">
        <f>IF(AND(Y81&lt;&gt;"",'Historical Score'!$C$7&lt;&gt;""),IF(Y81='Historical Score'!$C$7,1,0),0)</f>
        <v/>
      </c>
      <c r="AT81" s="3">
        <f>IF(AND(K81&lt;&gt;"",'Historical Score'!$C$8&lt;&gt;""),IF(K81='Historical Score'!$C$8,1,0),0)</f>
        <v/>
      </c>
      <c r="AU81" s="3" t="n"/>
      <c r="AV81" s="3" t="n"/>
      <c r="AW81" s="3" t="n"/>
      <c r="AX81" s="3" t="n"/>
      <c r="AY81" s="3" t="n"/>
      <c r="AZ81" s="3" t="n"/>
      <c r="BA81" s="182">
        <f>IF(AD81=1,(AR81*'Historical Score'!$K$29+1-'Historical Score'!$K$29)*(AT81*'Historical Score'!$L$29+1-'Historical Score'!$L$29)*(AS81*'Historical Score'!$M$29+1-'Historical Score'!$M$29)*(AQ81*'Historical Score'!$N$29+1-'Historical Score'!$N$29),0)</f>
        <v/>
      </c>
      <c r="BB81" s="3" t="n"/>
      <c r="BC81" s="3" t="n"/>
    </row>
    <row r="82" ht="15.75" customHeight="1" s="174">
      <c r="A82" s="3" t="inlineStr">
        <is>
          <t>5674155271</t>
        </is>
      </c>
      <c r="B82" s="3" t="inlineStr">
        <is>
          <t>M EASY LOGISTICS LLC</t>
        </is>
      </c>
      <c r="C82" s="3" t="inlineStr">
        <is>
          <t>M EASY LOGISTICS LLC</t>
        </is>
      </c>
      <c r="D82" s="3" t="inlineStr">
        <is>
          <t>Written-Off</t>
        </is>
      </c>
      <c r="E82" s="23" t="n">
        <v>45765</v>
      </c>
      <c r="F82" s="23" t="n">
        <v>45894</v>
      </c>
      <c r="G82" s="3" t="n">
        <v>3</v>
      </c>
      <c r="H82" s="3" t="inlineStr">
        <is>
          <t>4212</t>
        </is>
      </c>
      <c r="I82" s="3" t="inlineStr">
        <is>
          <t>42</t>
        </is>
      </c>
      <c r="J82" s="3" t="inlineStr">
        <is>
          <t>NJ</t>
        </is>
      </c>
      <c r="K82" s="3" t="inlineStr">
        <is>
          <t>PMF</t>
        </is>
      </c>
      <c r="L82" s="3" t="inlineStr">
        <is>
          <t>New Deal</t>
        </is>
      </c>
      <c r="M82" s="3" t="n">
        <v>1.49</v>
      </c>
      <c r="N82" s="28" t="n">
        <v>8000</v>
      </c>
      <c r="O82" s="28" t="n">
        <v>1120</v>
      </c>
      <c r="P82" s="28" t="n">
        <v>11920</v>
      </c>
      <c r="Q82" s="28" t="n">
        <v>11224.71</v>
      </c>
      <c r="R82" s="28" t="n">
        <v>695.290000000001</v>
      </c>
      <c r="S82" s="42" t="n">
        <v>0.9416703020134231</v>
      </c>
      <c r="T82" s="3" t="n">
        <v>1.967</v>
      </c>
      <c r="U82" s="3" t="n">
        <v>9</v>
      </c>
      <c r="V82" s="3" t="n"/>
      <c r="W82" s="42" t="n">
        <v>0.0494</v>
      </c>
      <c r="X82" s="23" t="n">
        <v>43466</v>
      </c>
      <c r="Y82" s="3">
        <f>IF(I82="","No SIC",IFERROR(VLOOKUP(I82,Ref!$A$2:$B$65,2,FALSE()),"Unclassified"))</f>
        <v/>
      </c>
      <c r="Z82" s="3">
        <f>IF(T82="","",IF(T82&lt;12,"Daily","Weekly"))</f>
        <v/>
      </c>
      <c r="AA82" s="3">
        <f>IF(T82="",0,IF(T82&lt;12,T82*Controls!$B$13,T82*5))</f>
        <v/>
      </c>
      <c r="AB82" s="3">
        <f>IF(E82="",0,NETWORKDAYS(E82,Controls!$B$20,Ref!$K$2:$K$42))</f>
        <v/>
      </c>
      <c r="AC82" s="3">
        <f>IF(OR(AF82=1,AND(AA82&gt;0,AB82&gt;=Controls!$B$23*AA82)),1,0)</f>
        <v/>
      </c>
      <c r="AD82" s="3">
        <f>IF(AND(E82&lt;&gt;"",E82&gt;=Controls!$B$21,E82&lt;=Controls!$B$22),1,0)</f>
        <v/>
      </c>
      <c r="AE82" s="3">
        <f>IF(IFERROR(VLOOKUP(D82,Controls!$A$36:$E$46,2,FALSE()),"No")="Yes",1,0)</f>
        <v/>
      </c>
      <c r="AF82" s="3">
        <f>IF(IFERROR(VLOOKUP(D82,Controls!$A$36:$E$46,3,FALSE()),"No")="Yes",1,0)</f>
        <v/>
      </c>
      <c r="AG82" s="3">
        <f>IF(IFERROR(VLOOKUP(D82,Controls!$A$36:$E$46,4,FALSE()),"No")="Yes",1,0)</f>
        <v/>
      </c>
      <c r="AH82" s="3">
        <f>IF(IFERROR(VLOOKUP(D82,Controls!$A$36:$E$46,5,FALSE()),"No")="Yes",1,0)</f>
        <v/>
      </c>
      <c r="AI82" s="3">
        <f>IF(ISNUMBER(MATCH(D82,Controls!$A$36:$A$46,0)),1,0)</f>
        <v/>
      </c>
      <c r="AJ82" s="28">
        <f>Q82-N82</f>
        <v/>
      </c>
      <c r="AK82" s="3">
        <f>IF(AE82=1,MAX(0,N82-Q82),0)</f>
        <v/>
      </c>
      <c r="AL82" s="3">
        <f>IF(OR(V82="",V82=0),0,N82/V82)</f>
        <v/>
      </c>
      <c r="AM82" s="3">
        <f>IF(OR(V82="",V82=0),0,1)</f>
        <v/>
      </c>
      <c r="AN82" s="3">
        <f>IF(OR(E82="",F82=""),0,NETWORKDAYS(E82,F82,Ref!$K$2:$K$42))</f>
        <v/>
      </c>
      <c r="AO82" s="3">
        <f>IF(L82="Renewal",1,0)</f>
        <v/>
      </c>
      <c r="AP82" s="3">
        <f>AC82*AD82</f>
        <v/>
      </c>
      <c r="AQ82" s="3">
        <f>IF(AND(G82&lt;&gt;"",'Historical Score'!$C$6&lt;&gt;""),IF(G82='Historical Score'!$C$6,1,0),0)</f>
        <v/>
      </c>
      <c r="AR82" s="3">
        <f>IF(AND(L82&lt;&gt;"",'Historical Score'!$C$5&lt;&gt;""),IF(L82='Historical Score'!$C$5,1,0),0)</f>
        <v/>
      </c>
      <c r="AS82" s="3">
        <f>IF(AND(Y82&lt;&gt;"",'Historical Score'!$C$7&lt;&gt;""),IF(Y82='Historical Score'!$C$7,1,0),0)</f>
        <v/>
      </c>
      <c r="AT82" s="3">
        <f>IF(AND(K82&lt;&gt;"",'Historical Score'!$C$8&lt;&gt;""),IF(K82='Historical Score'!$C$8,1,0),0)</f>
        <v/>
      </c>
      <c r="AU82" s="3" t="n"/>
      <c r="AV82" s="3" t="n"/>
      <c r="AW82" s="3" t="n"/>
      <c r="AX82" s="3" t="n"/>
      <c r="AY82" s="3" t="n"/>
      <c r="AZ82" s="3" t="n"/>
      <c r="BA82" s="182">
        <f>IF(AD82=1,(AR82*'Historical Score'!$K$29+1-'Historical Score'!$K$29)*(AT82*'Historical Score'!$L$29+1-'Historical Score'!$L$29)*(AS82*'Historical Score'!$M$29+1-'Historical Score'!$M$29)*(AQ82*'Historical Score'!$N$29+1-'Historical Score'!$N$29),0)</f>
        <v/>
      </c>
      <c r="BB82" s="3" t="n"/>
      <c r="BC82" s="3" t="n"/>
    </row>
    <row r="83" ht="15.75" customHeight="1" s="174">
      <c r="A83" s="3" t="inlineStr">
        <is>
          <t>5674155318</t>
        </is>
      </c>
      <c r="B83" s="3" t="inlineStr">
        <is>
          <t>Team Green Contracting LLC</t>
        </is>
      </c>
      <c r="C83" s="3" t="inlineStr">
        <is>
          <t>Team Green Contracting LLC</t>
        </is>
      </c>
      <c r="D83" s="3" t="inlineStr">
        <is>
          <t>Closed</t>
        </is>
      </c>
      <c r="E83" s="23" t="n">
        <v>45768</v>
      </c>
      <c r="F83" s="23" t="n">
        <v>45840</v>
      </c>
      <c r="G83" s="3" t="n">
        <v>1</v>
      </c>
      <c r="H83" s="3" t="inlineStr">
        <is>
          <t>1799</t>
        </is>
      </c>
      <c r="I83" s="3" t="inlineStr">
        <is>
          <t>17</t>
        </is>
      </c>
      <c r="J83" s="3" t="inlineStr">
        <is>
          <t>MI</t>
        </is>
      </c>
      <c r="K83" s="3" t="inlineStr">
        <is>
          <t>Vanguard Equities</t>
        </is>
      </c>
      <c r="L83" s="3" t="inlineStr">
        <is>
          <t>New Deal</t>
        </is>
      </c>
      <c r="M83" s="3" t="n">
        <v>1.49</v>
      </c>
      <c r="N83" s="28" t="n">
        <v>3000</v>
      </c>
      <c r="O83" s="28" t="n">
        <v>420</v>
      </c>
      <c r="P83" s="28" t="n">
        <v>4470</v>
      </c>
      <c r="Q83" s="28" t="n">
        <v>4470</v>
      </c>
      <c r="R83" s="28" t="n">
        <v>0</v>
      </c>
      <c r="S83" s="42" t="n">
        <v>1</v>
      </c>
      <c r="T83" s="3" t="n">
        <v>1.639</v>
      </c>
      <c r="U83" s="3" t="n">
        <v>0</v>
      </c>
      <c r="V83" s="3" t="n"/>
      <c r="W83" s="42" t="n">
        <v>0.046</v>
      </c>
      <c r="X83" s="23" t="n"/>
      <c r="Y83" s="3">
        <f>IF(I83="","No SIC",IFERROR(VLOOKUP(I83,Ref!$A$2:$B$65,2,FALSE()),"Unclassified"))</f>
        <v/>
      </c>
      <c r="Z83" s="3">
        <f>IF(T83="","",IF(T83&lt;12,"Daily","Weekly"))</f>
        <v/>
      </c>
      <c r="AA83" s="3">
        <f>IF(T83="",0,IF(T83&lt;12,T83*Controls!$B$13,T83*5))</f>
        <v/>
      </c>
      <c r="AB83" s="3">
        <f>IF(E83="",0,NETWORKDAYS(E83,Controls!$B$20,Ref!$K$2:$K$42))</f>
        <v/>
      </c>
      <c r="AC83" s="3">
        <f>IF(OR(AF83=1,AND(AA83&gt;0,AB83&gt;=Controls!$B$23*AA83)),1,0)</f>
        <v/>
      </c>
      <c r="AD83" s="3">
        <f>IF(AND(E83&lt;&gt;"",E83&gt;=Controls!$B$21,E83&lt;=Controls!$B$22),1,0)</f>
        <v/>
      </c>
      <c r="AE83" s="3">
        <f>IF(IFERROR(VLOOKUP(D83,Controls!$A$36:$E$46,2,FALSE()),"No")="Yes",1,0)</f>
        <v/>
      </c>
      <c r="AF83" s="3">
        <f>IF(IFERROR(VLOOKUP(D83,Controls!$A$36:$E$46,3,FALSE()),"No")="Yes",1,0)</f>
        <v/>
      </c>
      <c r="AG83" s="3">
        <f>IF(IFERROR(VLOOKUP(D83,Controls!$A$36:$E$46,4,FALSE()),"No")="Yes",1,0)</f>
        <v/>
      </c>
      <c r="AH83" s="3">
        <f>IF(IFERROR(VLOOKUP(D83,Controls!$A$36:$E$46,5,FALSE()),"No")="Yes",1,0)</f>
        <v/>
      </c>
      <c r="AI83" s="3">
        <f>IF(ISNUMBER(MATCH(D83,Controls!$A$36:$A$46,0)),1,0)</f>
        <v/>
      </c>
      <c r="AJ83" s="28">
        <f>Q83-N83</f>
        <v/>
      </c>
      <c r="AK83" s="3">
        <f>IF(AE83=1,MAX(0,N83-Q83),0)</f>
        <v/>
      </c>
      <c r="AL83" s="3">
        <f>IF(OR(V83="",V83=0),0,N83/V83)</f>
        <v/>
      </c>
      <c r="AM83" s="3">
        <f>IF(OR(V83="",V83=0),0,1)</f>
        <v/>
      </c>
      <c r="AN83" s="3">
        <f>IF(OR(E83="",F83=""),0,NETWORKDAYS(E83,F83,Ref!$K$2:$K$42))</f>
        <v/>
      </c>
      <c r="AO83" s="3">
        <f>IF(L83="Renewal",1,0)</f>
        <v/>
      </c>
      <c r="AP83" s="3">
        <f>AC83*AD83</f>
        <v/>
      </c>
      <c r="AQ83" s="3">
        <f>IF(AND(G83&lt;&gt;"",'Historical Score'!$C$6&lt;&gt;""),IF(G83='Historical Score'!$C$6,1,0),0)</f>
        <v/>
      </c>
      <c r="AR83" s="3">
        <f>IF(AND(L83&lt;&gt;"",'Historical Score'!$C$5&lt;&gt;""),IF(L83='Historical Score'!$C$5,1,0),0)</f>
        <v/>
      </c>
      <c r="AS83" s="3">
        <f>IF(AND(Y83&lt;&gt;"",'Historical Score'!$C$7&lt;&gt;""),IF(Y83='Historical Score'!$C$7,1,0),0)</f>
        <v/>
      </c>
      <c r="AT83" s="3">
        <f>IF(AND(K83&lt;&gt;"",'Historical Score'!$C$8&lt;&gt;""),IF(K83='Historical Score'!$C$8,1,0),0)</f>
        <v/>
      </c>
      <c r="AU83" s="3" t="n"/>
      <c r="AV83" s="3" t="n"/>
      <c r="AW83" s="3" t="n"/>
      <c r="AX83" s="3" t="n"/>
      <c r="AY83" s="3" t="n"/>
      <c r="AZ83" s="3" t="n"/>
      <c r="BA83" s="182">
        <f>IF(AD83=1,(AR83*'Historical Score'!$K$29+1-'Historical Score'!$K$29)*(AT83*'Historical Score'!$L$29+1-'Historical Score'!$L$29)*(AS83*'Historical Score'!$M$29+1-'Historical Score'!$M$29)*(AQ83*'Historical Score'!$N$29+1-'Historical Score'!$N$29),0)</f>
        <v/>
      </c>
      <c r="BB83" s="3" t="n"/>
      <c r="BC83" s="3" t="n"/>
    </row>
    <row r="84" ht="15.75" customHeight="1" s="174">
      <c r="A84" s="3" t="inlineStr">
        <is>
          <t>5674155368</t>
        </is>
      </c>
      <c r="B84" s="3" t="inlineStr">
        <is>
          <t>CLOUD IX SALON</t>
        </is>
      </c>
      <c r="C84" s="3" t="inlineStr">
        <is>
          <t>IX LLC</t>
        </is>
      </c>
      <c r="D84" s="3" t="inlineStr">
        <is>
          <t>Bankruptcy</t>
        </is>
      </c>
      <c r="E84" s="23" t="n">
        <v>45768</v>
      </c>
      <c r="F84" s="23" t="n">
        <v>45883</v>
      </c>
      <c r="G84" s="3" t="n">
        <v>4</v>
      </c>
      <c r="H84" s="3" t="inlineStr">
        <is>
          <t>7231</t>
        </is>
      </c>
      <c r="I84" s="3" t="inlineStr">
        <is>
          <t>72</t>
        </is>
      </c>
      <c r="J84" s="3" t="inlineStr">
        <is>
          <t>FL</t>
        </is>
      </c>
      <c r="K84" s="3" t="inlineStr">
        <is>
          <t>GREYSTONE</t>
        </is>
      </c>
      <c r="L84" s="3" t="inlineStr">
        <is>
          <t>New Deal</t>
        </is>
      </c>
      <c r="M84" s="3" t="n">
        <v>1.49</v>
      </c>
      <c r="N84" s="28" t="n">
        <v>15000</v>
      </c>
      <c r="O84" s="28" t="n">
        <v>2100</v>
      </c>
      <c r="P84" s="28" t="n">
        <v>22350</v>
      </c>
      <c r="Q84" s="28" t="n">
        <v>6166.26</v>
      </c>
      <c r="R84" s="28" t="n">
        <v>16183.74</v>
      </c>
      <c r="S84" s="42" t="n">
        <v>0.275895302013423</v>
      </c>
      <c r="T84" s="3" t="n">
        <v>1.803</v>
      </c>
      <c r="U84" s="3" t="n">
        <v>25</v>
      </c>
      <c r="V84" s="3" t="n"/>
      <c r="W84" s="42" t="n">
        <v>0.0514</v>
      </c>
      <c r="X84" s="23" t="n">
        <v>45402</v>
      </c>
      <c r="Y84" s="3">
        <f>IF(I84="","No SIC",IFERROR(VLOOKUP(I84,Ref!$A$2:$B$65,2,FALSE()),"Unclassified"))</f>
        <v/>
      </c>
      <c r="Z84" s="3">
        <f>IF(T84="","",IF(T84&lt;12,"Daily","Weekly"))</f>
        <v/>
      </c>
      <c r="AA84" s="3">
        <f>IF(T84="",0,IF(T84&lt;12,T84*Controls!$B$13,T84*5))</f>
        <v/>
      </c>
      <c r="AB84" s="3">
        <f>IF(E84="",0,NETWORKDAYS(E84,Controls!$B$20,Ref!$K$2:$K$42))</f>
        <v/>
      </c>
      <c r="AC84" s="3">
        <f>IF(OR(AF84=1,AND(AA84&gt;0,AB84&gt;=Controls!$B$23*AA84)),1,0)</f>
        <v/>
      </c>
      <c r="AD84" s="3">
        <f>IF(AND(E84&lt;&gt;"",E84&gt;=Controls!$B$21,E84&lt;=Controls!$B$22),1,0)</f>
        <v/>
      </c>
      <c r="AE84" s="3">
        <f>IF(IFERROR(VLOOKUP(D84,Controls!$A$36:$E$46,2,FALSE()),"No")="Yes",1,0)</f>
        <v/>
      </c>
      <c r="AF84" s="3">
        <f>IF(IFERROR(VLOOKUP(D84,Controls!$A$36:$E$46,3,FALSE()),"No")="Yes",1,0)</f>
        <v/>
      </c>
      <c r="AG84" s="3">
        <f>IF(IFERROR(VLOOKUP(D84,Controls!$A$36:$E$46,4,FALSE()),"No")="Yes",1,0)</f>
        <v/>
      </c>
      <c r="AH84" s="3">
        <f>IF(IFERROR(VLOOKUP(D84,Controls!$A$36:$E$46,5,FALSE()),"No")="Yes",1,0)</f>
        <v/>
      </c>
      <c r="AI84" s="3">
        <f>IF(ISNUMBER(MATCH(D84,Controls!$A$36:$A$46,0)),1,0)</f>
        <v/>
      </c>
      <c r="AJ84" s="28">
        <f>Q84-N84</f>
        <v/>
      </c>
      <c r="AK84" s="3">
        <f>IF(AE84=1,MAX(0,N84-Q84),0)</f>
        <v/>
      </c>
      <c r="AL84" s="3">
        <f>IF(OR(V84="",V84=0),0,N84/V84)</f>
        <v/>
      </c>
      <c r="AM84" s="3">
        <f>IF(OR(V84="",V84=0),0,1)</f>
        <v/>
      </c>
      <c r="AN84" s="3">
        <f>IF(OR(E84="",F84=""),0,NETWORKDAYS(E84,F84,Ref!$K$2:$K$42))</f>
        <v/>
      </c>
      <c r="AO84" s="3">
        <f>IF(L84="Renewal",1,0)</f>
        <v/>
      </c>
      <c r="AP84" s="3">
        <f>AC84*AD84</f>
        <v/>
      </c>
      <c r="AQ84" s="3">
        <f>IF(AND(G84&lt;&gt;"",'Historical Score'!$C$6&lt;&gt;""),IF(G84='Historical Score'!$C$6,1,0),0)</f>
        <v/>
      </c>
      <c r="AR84" s="3">
        <f>IF(AND(L84&lt;&gt;"",'Historical Score'!$C$5&lt;&gt;""),IF(L84='Historical Score'!$C$5,1,0),0)</f>
        <v/>
      </c>
      <c r="AS84" s="3">
        <f>IF(AND(Y84&lt;&gt;"",'Historical Score'!$C$7&lt;&gt;""),IF(Y84='Historical Score'!$C$7,1,0),0)</f>
        <v/>
      </c>
      <c r="AT84" s="3">
        <f>IF(AND(K84&lt;&gt;"",'Historical Score'!$C$8&lt;&gt;""),IF(K84='Historical Score'!$C$8,1,0),0)</f>
        <v/>
      </c>
      <c r="AU84" s="3" t="n"/>
      <c r="AV84" s="3" t="n"/>
      <c r="AW84" s="3" t="n"/>
      <c r="AX84" s="3" t="n"/>
      <c r="AY84" s="3" t="n"/>
      <c r="AZ84" s="3" t="n"/>
      <c r="BA84" s="182">
        <f>IF(AD84=1,(AR84*'Historical Score'!$K$29+1-'Historical Score'!$K$29)*(AT84*'Historical Score'!$L$29+1-'Historical Score'!$L$29)*(AS84*'Historical Score'!$M$29+1-'Historical Score'!$M$29)*(AQ84*'Historical Score'!$N$29+1-'Historical Score'!$N$29),0)</f>
        <v/>
      </c>
      <c r="BB84" s="3" t="n"/>
      <c r="BC84" s="3" t="n"/>
    </row>
    <row r="85" ht="15.75" customHeight="1" s="174">
      <c r="A85" s="3" t="inlineStr">
        <is>
          <t>5674155538</t>
        </is>
      </c>
      <c r="B85" s="3" t="inlineStr">
        <is>
          <t>﻿AlwaysHungry</t>
        </is>
      </c>
      <c r="C85" s="3" t="inlineStr">
        <is>
          <t>﻿AlwaysHungry</t>
        </is>
      </c>
      <c r="D85" s="3" t="inlineStr">
        <is>
          <t>Closed</t>
        </is>
      </c>
      <c r="E85" s="23" t="n">
        <v>45770</v>
      </c>
      <c r="F85" s="23" t="n">
        <v>45986</v>
      </c>
      <c r="G85" s="3" t="n">
        <v>2</v>
      </c>
      <c r="H85" s="3" t="inlineStr">
        <is>
          <t>5812</t>
        </is>
      </c>
      <c r="I85" s="3" t="inlineStr">
        <is>
          <t>58</t>
        </is>
      </c>
      <c r="J85" s="3" t="inlineStr">
        <is>
          <t>CA</t>
        </is>
      </c>
      <c r="K85" s="3" t="inlineStr">
        <is>
          <t>Platform Funding</t>
        </is>
      </c>
      <c r="L85" s="3" t="inlineStr">
        <is>
          <t>New Deal</t>
        </is>
      </c>
      <c r="M85" s="3" t="n">
        <v>1.39</v>
      </c>
      <c r="N85" s="28" t="n">
        <v>36000</v>
      </c>
      <c r="O85" s="28" t="n">
        <v>3240</v>
      </c>
      <c r="P85" s="28" t="n">
        <v>50040</v>
      </c>
      <c r="Q85" s="28" t="n">
        <v>50040</v>
      </c>
      <c r="R85" s="28" t="n">
        <v>0</v>
      </c>
      <c r="S85" s="42" t="n">
        <v>1</v>
      </c>
      <c r="T85" s="3" t="n">
        <v>30</v>
      </c>
      <c r="U85" s="3" t="n">
        <v>0</v>
      </c>
      <c r="V85" s="3" t="n"/>
      <c r="W85" s="42" t="n">
        <v>0.1247</v>
      </c>
      <c r="X85" s="23" t="n">
        <v>44845</v>
      </c>
      <c r="Y85" s="3">
        <f>IF(I85="","No SIC",IFERROR(VLOOKUP(I85,Ref!$A$2:$B$65,2,FALSE()),"Unclassified"))</f>
        <v/>
      </c>
      <c r="Z85" s="3">
        <f>IF(T85="","",IF(T85&lt;12,"Daily","Weekly"))</f>
        <v/>
      </c>
      <c r="AA85" s="3">
        <f>IF(T85="",0,IF(T85&lt;12,T85*Controls!$B$13,T85*5))</f>
        <v/>
      </c>
      <c r="AB85" s="3">
        <f>IF(E85="",0,NETWORKDAYS(E85,Controls!$B$20,Ref!$K$2:$K$42))</f>
        <v/>
      </c>
      <c r="AC85" s="3">
        <f>IF(OR(AF85=1,AND(AA85&gt;0,AB85&gt;=Controls!$B$23*AA85)),1,0)</f>
        <v/>
      </c>
      <c r="AD85" s="3">
        <f>IF(AND(E85&lt;&gt;"",E85&gt;=Controls!$B$21,E85&lt;=Controls!$B$22),1,0)</f>
        <v/>
      </c>
      <c r="AE85" s="3">
        <f>IF(IFERROR(VLOOKUP(D85,Controls!$A$36:$E$46,2,FALSE()),"No")="Yes",1,0)</f>
        <v/>
      </c>
      <c r="AF85" s="3">
        <f>IF(IFERROR(VLOOKUP(D85,Controls!$A$36:$E$46,3,FALSE()),"No")="Yes",1,0)</f>
        <v/>
      </c>
      <c r="AG85" s="3">
        <f>IF(IFERROR(VLOOKUP(D85,Controls!$A$36:$E$46,4,FALSE()),"No")="Yes",1,0)</f>
        <v/>
      </c>
      <c r="AH85" s="3">
        <f>IF(IFERROR(VLOOKUP(D85,Controls!$A$36:$E$46,5,FALSE()),"No")="Yes",1,0)</f>
        <v/>
      </c>
      <c r="AI85" s="3">
        <f>IF(ISNUMBER(MATCH(D85,Controls!$A$36:$A$46,0)),1,0)</f>
        <v/>
      </c>
      <c r="AJ85" s="28">
        <f>Q85-N85</f>
        <v/>
      </c>
      <c r="AK85" s="3">
        <f>IF(AE85=1,MAX(0,N85-Q85),0)</f>
        <v/>
      </c>
      <c r="AL85" s="3">
        <f>IF(OR(V85="",V85=0),0,N85/V85)</f>
        <v/>
      </c>
      <c r="AM85" s="3">
        <f>IF(OR(V85="",V85=0),0,1)</f>
        <v/>
      </c>
      <c r="AN85" s="3">
        <f>IF(OR(E85="",F85=""),0,NETWORKDAYS(E85,F85,Ref!$K$2:$K$42))</f>
        <v/>
      </c>
      <c r="AO85" s="3">
        <f>IF(L85="Renewal",1,0)</f>
        <v/>
      </c>
      <c r="AP85" s="3">
        <f>AC85*AD85</f>
        <v/>
      </c>
      <c r="AQ85" s="3">
        <f>IF(AND(G85&lt;&gt;"",'Historical Score'!$C$6&lt;&gt;""),IF(G85='Historical Score'!$C$6,1,0),0)</f>
        <v/>
      </c>
      <c r="AR85" s="3">
        <f>IF(AND(L85&lt;&gt;"",'Historical Score'!$C$5&lt;&gt;""),IF(L85='Historical Score'!$C$5,1,0),0)</f>
        <v/>
      </c>
      <c r="AS85" s="3">
        <f>IF(AND(Y85&lt;&gt;"",'Historical Score'!$C$7&lt;&gt;""),IF(Y85='Historical Score'!$C$7,1,0),0)</f>
        <v/>
      </c>
      <c r="AT85" s="3">
        <f>IF(AND(K85&lt;&gt;"",'Historical Score'!$C$8&lt;&gt;""),IF(K85='Historical Score'!$C$8,1,0),0)</f>
        <v/>
      </c>
      <c r="AU85" s="3" t="n"/>
      <c r="AV85" s="3" t="n"/>
      <c r="AW85" s="3" t="n"/>
      <c r="AX85" s="3" t="n"/>
      <c r="AY85" s="3" t="n"/>
      <c r="AZ85" s="3" t="n"/>
      <c r="BA85" s="182">
        <f>IF(AD85=1,(AR85*'Historical Score'!$K$29+1-'Historical Score'!$K$29)*(AT85*'Historical Score'!$L$29+1-'Historical Score'!$L$29)*(AS85*'Historical Score'!$M$29+1-'Historical Score'!$M$29)*(AQ85*'Historical Score'!$N$29+1-'Historical Score'!$N$29),0)</f>
        <v/>
      </c>
      <c r="BB85" s="3" t="n"/>
      <c r="BC85" s="3" t="n"/>
    </row>
    <row r="86" ht="15.75" customHeight="1" s="174">
      <c r="A86" s="3" t="inlineStr">
        <is>
          <t>5674155549</t>
        </is>
      </c>
      <c r="B86" s="3" t="inlineStr">
        <is>
          <t>TWO STATES TACO LLC</t>
        </is>
      </c>
      <c r="C86" s="3" t="inlineStr">
        <is>
          <t>TWO STATES TACO LLC</t>
        </is>
      </c>
      <c r="D86" s="3" t="inlineStr">
        <is>
          <t>Legal</t>
        </is>
      </c>
      <c r="E86" s="23" t="n">
        <v>45770</v>
      </c>
      <c r="F86" s="23" t="n">
        <v>45908</v>
      </c>
      <c r="G86" s="3" t="n">
        <v>3</v>
      </c>
      <c r="H86" s="3" t="inlineStr">
        <is>
          <t>5812</t>
        </is>
      </c>
      <c r="I86" s="3" t="inlineStr">
        <is>
          <t>58</t>
        </is>
      </c>
      <c r="J86" s="3" t="inlineStr">
        <is>
          <t>VA</t>
        </is>
      </c>
      <c r="K86" s="3" t="inlineStr">
        <is>
          <t>City Wide Capital</t>
        </is>
      </c>
      <c r="L86" s="3" t="inlineStr">
        <is>
          <t>New Deal</t>
        </is>
      </c>
      <c r="M86" s="3" t="n">
        <v>1.49</v>
      </c>
      <c r="N86" s="28" t="n">
        <v>15000</v>
      </c>
      <c r="O86" s="28" t="n">
        <v>2100</v>
      </c>
      <c r="P86" s="28" t="n">
        <v>22350</v>
      </c>
      <c r="Q86" s="28" t="n">
        <v>7982.25</v>
      </c>
      <c r="R86" s="28" t="n">
        <v>14367.75</v>
      </c>
      <c r="S86" s="42" t="n">
        <v>0.357147651006711</v>
      </c>
      <c r="T86" s="3" t="n">
        <v>2.295</v>
      </c>
      <c r="U86" s="3" t="n">
        <v>58</v>
      </c>
      <c r="V86" s="3" t="n"/>
      <c r="W86" s="42" t="n">
        <v>0.137</v>
      </c>
      <c r="X86" s="23" t="n">
        <v>44713</v>
      </c>
      <c r="Y86" s="3">
        <f>IF(I86="","No SIC",IFERROR(VLOOKUP(I86,Ref!$A$2:$B$65,2,FALSE()),"Unclassified"))</f>
        <v/>
      </c>
      <c r="Z86" s="3">
        <f>IF(T86="","",IF(T86&lt;12,"Daily","Weekly"))</f>
        <v/>
      </c>
      <c r="AA86" s="3">
        <f>IF(T86="",0,IF(T86&lt;12,T86*Controls!$B$13,T86*5))</f>
        <v/>
      </c>
      <c r="AB86" s="3">
        <f>IF(E86="",0,NETWORKDAYS(E86,Controls!$B$20,Ref!$K$2:$K$42))</f>
        <v/>
      </c>
      <c r="AC86" s="3">
        <f>IF(OR(AF86=1,AND(AA86&gt;0,AB86&gt;=Controls!$B$23*AA86)),1,0)</f>
        <v/>
      </c>
      <c r="AD86" s="3">
        <f>IF(AND(E86&lt;&gt;"",E86&gt;=Controls!$B$21,E86&lt;=Controls!$B$22),1,0)</f>
        <v/>
      </c>
      <c r="AE86" s="3">
        <f>IF(IFERROR(VLOOKUP(D86,Controls!$A$36:$E$46,2,FALSE()),"No")="Yes",1,0)</f>
        <v/>
      </c>
      <c r="AF86" s="3">
        <f>IF(IFERROR(VLOOKUP(D86,Controls!$A$36:$E$46,3,FALSE()),"No")="Yes",1,0)</f>
        <v/>
      </c>
      <c r="AG86" s="3">
        <f>IF(IFERROR(VLOOKUP(D86,Controls!$A$36:$E$46,4,FALSE()),"No")="Yes",1,0)</f>
        <v/>
      </c>
      <c r="AH86" s="3">
        <f>IF(IFERROR(VLOOKUP(D86,Controls!$A$36:$E$46,5,FALSE()),"No")="Yes",1,0)</f>
        <v/>
      </c>
      <c r="AI86" s="3">
        <f>IF(ISNUMBER(MATCH(D86,Controls!$A$36:$A$46,0)),1,0)</f>
        <v/>
      </c>
      <c r="AJ86" s="28">
        <f>Q86-N86</f>
        <v/>
      </c>
      <c r="AK86" s="3">
        <f>IF(AE86=1,MAX(0,N86-Q86),0)</f>
        <v/>
      </c>
      <c r="AL86" s="3">
        <f>IF(OR(V86="",V86=0),0,N86/V86)</f>
        <v/>
      </c>
      <c r="AM86" s="3">
        <f>IF(OR(V86="",V86=0),0,1)</f>
        <v/>
      </c>
      <c r="AN86" s="3">
        <f>IF(OR(E86="",F86=""),0,NETWORKDAYS(E86,F86,Ref!$K$2:$K$42))</f>
        <v/>
      </c>
      <c r="AO86" s="3">
        <f>IF(L86="Renewal",1,0)</f>
        <v/>
      </c>
      <c r="AP86" s="3">
        <f>AC86*AD86</f>
        <v/>
      </c>
      <c r="AQ86" s="3">
        <f>IF(AND(G86&lt;&gt;"",'Historical Score'!$C$6&lt;&gt;""),IF(G86='Historical Score'!$C$6,1,0),0)</f>
        <v/>
      </c>
      <c r="AR86" s="3">
        <f>IF(AND(L86&lt;&gt;"",'Historical Score'!$C$5&lt;&gt;""),IF(L86='Historical Score'!$C$5,1,0),0)</f>
        <v/>
      </c>
      <c r="AS86" s="3">
        <f>IF(AND(Y86&lt;&gt;"",'Historical Score'!$C$7&lt;&gt;""),IF(Y86='Historical Score'!$C$7,1,0),0)</f>
        <v/>
      </c>
      <c r="AT86" s="3">
        <f>IF(AND(K86&lt;&gt;"",'Historical Score'!$C$8&lt;&gt;""),IF(K86='Historical Score'!$C$8,1,0),0)</f>
        <v/>
      </c>
      <c r="AU86" s="3" t="n"/>
      <c r="AV86" s="3" t="n"/>
      <c r="AW86" s="3" t="n"/>
      <c r="AX86" s="3" t="n"/>
      <c r="AY86" s="3" t="n"/>
      <c r="AZ86" s="3" t="n"/>
      <c r="BA86" s="182">
        <f>IF(AD86=1,(AR86*'Historical Score'!$K$29+1-'Historical Score'!$K$29)*(AT86*'Historical Score'!$L$29+1-'Historical Score'!$L$29)*(AS86*'Historical Score'!$M$29+1-'Historical Score'!$M$29)*(AQ86*'Historical Score'!$N$29+1-'Historical Score'!$N$29),0)</f>
        <v/>
      </c>
      <c r="BB86" s="3" t="n"/>
      <c r="BC86" s="3" t="n"/>
    </row>
    <row r="87" ht="15.75" customHeight="1" s="174">
      <c r="A87" s="3" t="inlineStr">
        <is>
          <t>5674155635</t>
        </is>
      </c>
      <c r="B87" s="3" t="inlineStr">
        <is>
          <t>Vivid Retro Customs</t>
        </is>
      </c>
      <c r="C87" s="3" t="inlineStr">
        <is>
          <t>Vivid Retro Customs</t>
        </is>
      </c>
      <c r="D87" s="3" t="inlineStr">
        <is>
          <t>Closed</t>
        </is>
      </c>
      <c r="E87" s="23" t="n">
        <v>45771</v>
      </c>
      <c r="F87" s="23" t="n">
        <v>45881</v>
      </c>
      <c r="G87" s="3" t="n">
        <v>5</v>
      </c>
      <c r="H87" s="3" t="inlineStr">
        <is>
          <t>7532</t>
        </is>
      </c>
      <c r="I87" s="3" t="inlineStr">
        <is>
          <t>75</t>
        </is>
      </c>
      <c r="J87" s="3" t="inlineStr">
        <is>
          <t>CO</t>
        </is>
      </c>
      <c r="K87" s="3" t="inlineStr">
        <is>
          <t>Black Tie Funding</t>
        </is>
      </c>
      <c r="L87" s="3" t="inlineStr">
        <is>
          <t>New Deal</t>
        </is>
      </c>
      <c r="M87" s="3" t="n">
        <v>1.49</v>
      </c>
      <c r="N87" s="28" t="n">
        <v>11000</v>
      </c>
      <c r="O87" s="28" t="n">
        <v>1540</v>
      </c>
      <c r="P87" s="28" t="n">
        <v>16390</v>
      </c>
      <c r="Q87" s="28" t="n">
        <v>16390</v>
      </c>
      <c r="R87" s="28" t="n">
        <v>0</v>
      </c>
      <c r="S87" s="42" t="n">
        <v>1</v>
      </c>
      <c r="T87" s="3" t="n">
        <v>2.459</v>
      </c>
      <c r="U87" s="3" t="n">
        <v>0</v>
      </c>
      <c r="V87" s="3" t="n"/>
      <c r="W87" s="42" t="n">
        <v>0.0512</v>
      </c>
      <c r="X87" s="23" t="n">
        <v>44317</v>
      </c>
      <c r="Y87" s="3">
        <f>IF(I87="","No SIC",IFERROR(VLOOKUP(I87,Ref!$A$2:$B$65,2,FALSE()),"Unclassified"))</f>
        <v/>
      </c>
      <c r="Z87" s="3">
        <f>IF(T87="","",IF(T87&lt;12,"Daily","Weekly"))</f>
        <v/>
      </c>
      <c r="AA87" s="3">
        <f>IF(T87="",0,IF(T87&lt;12,T87*Controls!$B$13,T87*5))</f>
        <v/>
      </c>
      <c r="AB87" s="3">
        <f>IF(E87="",0,NETWORKDAYS(E87,Controls!$B$20,Ref!$K$2:$K$42))</f>
        <v/>
      </c>
      <c r="AC87" s="3">
        <f>IF(OR(AF87=1,AND(AA87&gt;0,AB87&gt;=Controls!$B$23*AA87)),1,0)</f>
        <v/>
      </c>
      <c r="AD87" s="3">
        <f>IF(AND(E87&lt;&gt;"",E87&gt;=Controls!$B$21,E87&lt;=Controls!$B$22),1,0)</f>
        <v/>
      </c>
      <c r="AE87" s="3">
        <f>IF(IFERROR(VLOOKUP(D87,Controls!$A$36:$E$46,2,FALSE()),"No")="Yes",1,0)</f>
        <v/>
      </c>
      <c r="AF87" s="3">
        <f>IF(IFERROR(VLOOKUP(D87,Controls!$A$36:$E$46,3,FALSE()),"No")="Yes",1,0)</f>
        <v/>
      </c>
      <c r="AG87" s="3">
        <f>IF(IFERROR(VLOOKUP(D87,Controls!$A$36:$E$46,4,FALSE()),"No")="Yes",1,0)</f>
        <v/>
      </c>
      <c r="AH87" s="3">
        <f>IF(IFERROR(VLOOKUP(D87,Controls!$A$36:$E$46,5,FALSE()),"No")="Yes",1,0)</f>
        <v/>
      </c>
      <c r="AI87" s="3">
        <f>IF(ISNUMBER(MATCH(D87,Controls!$A$36:$A$46,0)),1,0)</f>
        <v/>
      </c>
      <c r="AJ87" s="28">
        <f>Q87-N87</f>
        <v/>
      </c>
      <c r="AK87" s="3">
        <f>IF(AE87=1,MAX(0,N87-Q87),0)</f>
        <v/>
      </c>
      <c r="AL87" s="3">
        <f>IF(OR(V87="",V87=0),0,N87/V87)</f>
        <v/>
      </c>
      <c r="AM87" s="3">
        <f>IF(OR(V87="",V87=0),0,1)</f>
        <v/>
      </c>
      <c r="AN87" s="3">
        <f>IF(OR(E87="",F87=""),0,NETWORKDAYS(E87,F87,Ref!$K$2:$K$42))</f>
        <v/>
      </c>
      <c r="AO87" s="3">
        <f>IF(L87="Renewal",1,0)</f>
        <v/>
      </c>
      <c r="AP87" s="3">
        <f>AC87*AD87</f>
        <v/>
      </c>
      <c r="AQ87" s="3">
        <f>IF(AND(G87&lt;&gt;"",'Historical Score'!$C$6&lt;&gt;""),IF(G87='Historical Score'!$C$6,1,0),0)</f>
        <v/>
      </c>
      <c r="AR87" s="3">
        <f>IF(AND(L87&lt;&gt;"",'Historical Score'!$C$5&lt;&gt;""),IF(L87='Historical Score'!$C$5,1,0),0)</f>
        <v/>
      </c>
      <c r="AS87" s="3">
        <f>IF(AND(Y87&lt;&gt;"",'Historical Score'!$C$7&lt;&gt;""),IF(Y87='Historical Score'!$C$7,1,0),0)</f>
        <v/>
      </c>
      <c r="AT87" s="3">
        <f>IF(AND(K87&lt;&gt;"",'Historical Score'!$C$8&lt;&gt;""),IF(K87='Historical Score'!$C$8,1,0),0)</f>
        <v/>
      </c>
      <c r="AU87" s="3" t="n"/>
      <c r="AV87" s="3" t="n"/>
      <c r="AW87" s="3" t="n"/>
      <c r="AX87" s="3" t="n"/>
      <c r="AY87" s="3" t="n"/>
      <c r="AZ87" s="3" t="n"/>
      <c r="BA87" s="182">
        <f>IF(AD87=1,(AR87*'Historical Score'!$K$29+1-'Historical Score'!$K$29)*(AT87*'Historical Score'!$L$29+1-'Historical Score'!$L$29)*(AS87*'Historical Score'!$M$29+1-'Historical Score'!$M$29)*(AQ87*'Historical Score'!$N$29+1-'Historical Score'!$N$29),0)</f>
        <v/>
      </c>
      <c r="BB87" s="3" t="n"/>
      <c r="BC87" s="3" t="n"/>
    </row>
    <row r="88" ht="15.75" customHeight="1" s="174">
      <c r="A88" s="3" t="inlineStr">
        <is>
          <t>5674155766</t>
        </is>
      </c>
      <c r="B88" s="3" t="inlineStr">
        <is>
          <t>Arete Gallery Inc</t>
        </is>
      </c>
      <c r="C88" s="3" t="inlineStr">
        <is>
          <t>Arete Gallery Inc</t>
        </is>
      </c>
      <c r="D88" s="3" t="inlineStr">
        <is>
          <t>Closed</t>
        </is>
      </c>
      <c r="E88" s="23" t="n">
        <v>45772</v>
      </c>
      <c r="F88" s="23" t="n">
        <v>45862</v>
      </c>
      <c r="G88" s="3" t="n">
        <v>4</v>
      </c>
      <c r="H88" s="3" t="inlineStr">
        <is>
          <t>8412</t>
        </is>
      </c>
      <c r="I88" s="3" t="inlineStr">
        <is>
          <t>84</t>
        </is>
      </c>
      <c r="J88" s="3" t="inlineStr">
        <is>
          <t>PA</t>
        </is>
      </c>
      <c r="K88" s="3" t="inlineStr">
        <is>
          <t>Pathway Catalyst</t>
        </is>
      </c>
      <c r="L88" s="3" t="inlineStr">
        <is>
          <t>New Deal</t>
        </is>
      </c>
      <c r="M88" s="3" t="n">
        <v>1.41</v>
      </c>
      <c r="N88" s="28" t="n">
        <v>7000</v>
      </c>
      <c r="O88" s="28" t="n">
        <v>700</v>
      </c>
      <c r="P88" s="28" t="n">
        <v>9870</v>
      </c>
      <c r="Q88" s="28" t="n">
        <v>9870</v>
      </c>
      <c r="R88" s="28" t="n">
        <v>0</v>
      </c>
      <c r="S88" s="42" t="n">
        <v>1</v>
      </c>
      <c r="T88" s="3" t="n">
        <v>2.623</v>
      </c>
      <c r="U88" s="3" t="n">
        <v>0</v>
      </c>
      <c r="V88" s="3" t="n"/>
      <c r="W88" s="42" t="n">
        <v>0.1845</v>
      </c>
      <c r="X88" s="23" t="n">
        <v>44105</v>
      </c>
      <c r="Y88" s="3">
        <f>IF(I88="","No SIC",IFERROR(VLOOKUP(I88,Ref!$A$2:$B$65,2,FALSE()),"Unclassified"))</f>
        <v/>
      </c>
      <c r="Z88" s="3">
        <f>IF(T88="","",IF(T88&lt;12,"Daily","Weekly"))</f>
        <v/>
      </c>
      <c r="AA88" s="3">
        <f>IF(T88="",0,IF(T88&lt;12,T88*Controls!$B$13,T88*5))</f>
        <v/>
      </c>
      <c r="AB88" s="3">
        <f>IF(E88="",0,NETWORKDAYS(E88,Controls!$B$20,Ref!$K$2:$K$42))</f>
        <v/>
      </c>
      <c r="AC88" s="3">
        <f>IF(OR(AF88=1,AND(AA88&gt;0,AB88&gt;=Controls!$B$23*AA88)),1,0)</f>
        <v/>
      </c>
      <c r="AD88" s="3">
        <f>IF(AND(E88&lt;&gt;"",E88&gt;=Controls!$B$21,E88&lt;=Controls!$B$22),1,0)</f>
        <v/>
      </c>
      <c r="AE88" s="3">
        <f>IF(IFERROR(VLOOKUP(D88,Controls!$A$36:$E$46,2,FALSE()),"No")="Yes",1,0)</f>
        <v/>
      </c>
      <c r="AF88" s="3">
        <f>IF(IFERROR(VLOOKUP(D88,Controls!$A$36:$E$46,3,FALSE()),"No")="Yes",1,0)</f>
        <v/>
      </c>
      <c r="AG88" s="3">
        <f>IF(IFERROR(VLOOKUP(D88,Controls!$A$36:$E$46,4,FALSE()),"No")="Yes",1,0)</f>
        <v/>
      </c>
      <c r="AH88" s="3">
        <f>IF(IFERROR(VLOOKUP(D88,Controls!$A$36:$E$46,5,FALSE()),"No")="Yes",1,0)</f>
        <v/>
      </c>
      <c r="AI88" s="3">
        <f>IF(ISNUMBER(MATCH(D88,Controls!$A$36:$A$46,0)),1,0)</f>
        <v/>
      </c>
      <c r="AJ88" s="28">
        <f>Q88-N88</f>
        <v/>
      </c>
      <c r="AK88" s="3">
        <f>IF(AE88=1,MAX(0,N88-Q88),0)</f>
        <v/>
      </c>
      <c r="AL88" s="3">
        <f>IF(OR(V88="",V88=0),0,N88/V88)</f>
        <v/>
      </c>
      <c r="AM88" s="3">
        <f>IF(OR(V88="",V88=0),0,1)</f>
        <v/>
      </c>
      <c r="AN88" s="3">
        <f>IF(OR(E88="",F88=""),0,NETWORKDAYS(E88,F88,Ref!$K$2:$K$42))</f>
        <v/>
      </c>
      <c r="AO88" s="3">
        <f>IF(L88="Renewal",1,0)</f>
        <v/>
      </c>
      <c r="AP88" s="3">
        <f>AC88*AD88</f>
        <v/>
      </c>
      <c r="AQ88" s="3">
        <f>IF(AND(G88&lt;&gt;"",'Historical Score'!$C$6&lt;&gt;""),IF(G88='Historical Score'!$C$6,1,0),0)</f>
        <v/>
      </c>
      <c r="AR88" s="3">
        <f>IF(AND(L88&lt;&gt;"",'Historical Score'!$C$5&lt;&gt;""),IF(L88='Historical Score'!$C$5,1,0),0)</f>
        <v/>
      </c>
      <c r="AS88" s="3">
        <f>IF(AND(Y88&lt;&gt;"",'Historical Score'!$C$7&lt;&gt;""),IF(Y88='Historical Score'!$C$7,1,0),0)</f>
        <v/>
      </c>
      <c r="AT88" s="3">
        <f>IF(AND(K88&lt;&gt;"",'Historical Score'!$C$8&lt;&gt;""),IF(K88='Historical Score'!$C$8,1,0),0)</f>
        <v/>
      </c>
      <c r="AU88" s="3" t="n"/>
      <c r="AV88" s="3" t="n"/>
      <c r="AW88" s="3" t="n"/>
      <c r="AX88" s="3" t="n"/>
      <c r="AY88" s="3" t="n"/>
      <c r="AZ88" s="3" t="n"/>
      <c r="BA88" s="182">
        <f>IF(AD88=1,(AR88*'Historical Score'!$K$29+1-'Historical Score'!$K$29)*(AT88*'Historical Score'!$L$29+1-'Historical Score'!$L$29)*(AS88*'Historical Score'!$M$29+1-'Historical Score'!$M$29)*(AQ88*'Historical Score'!$N$29+1-'Historical Score'!$N$29),0)</f>
        <v/>
      </c>
      <c r="BB88" s="3" t="n"/>
      <c r="BC88" s="3" t="n"/>
    </row>
    <row r="89" ht="15.75" customHeight="1" s="174">
      <c r="A89" s="3" t="inlineStr">
        <is>
          <t>5674155792</t>
        </is>
      </c>
      <c r="B89" s="3" t="inlineStr">
        <is>
          <t>Anzar Deliveries LLC</t>
        </is>
      </c>
      <c r="C89" s="3" t="inlineStr">
        <is>
          <t>Anzar Deliveries LLC</t>
        </is>
      </c>
      <c r="D89" s="3" t="inlineStr">
        <is>
          <t>Legal</t>
        </is>
      </c>
      <c r="E89" s="23" t="n">
        <v>45772</v>
      </c>
      <c r="F89" s="23" t="n">
        <v>45846</v>
      </c>
      <c r="G89" s="3" t="n">
        <v>6</v>
      </c>
      <c r="H89" s="3" t="inlineStr">
        <is>
          <t>4212</t>
        </is>
      </c>
      <c r="I89" s="3" t="inlineStr">
        <is>
          <t>42</t>
        </is>
      </c>
      <c r="J89" s="3" t="inlineStr">
        <is>
          <t>TX</t>
        </is>
      </c>
      <c r="K89" s="3" t="inlineStr">
        <is>
          <t>Business Fund USA 4</t>
        </is>
      </c>
      <c r="L89" s="3" t="inlineStr">
        <is>
          <t>New Deal</t>
        </is>
      </c>
      <c r="M89" s="3" t="n">
        <v>1.49</v>
      </c>
      <c r="N89" s="28" t="n">
        <v>10000</v>
      </c>
      <c r="O89" s="28" t="n">
        <v>1400</v>
      </c>
      <c r="P89" s="28" t="n">
        <v>14900</v>
      </c>
      <c r="Q89" s="28" t="n">
        <v>3491.39</v>
      </c>
      <c r="R89" s="28" t="n">
        <v>11408.61</v>
      </c>
      <c r="S89" s="42" t="n">
        <v>0.234321476510067</v>
      </c>
      <c r="T89" s="3" t="n">
        <v>2.623</v>
      </c>
      <c r="U89" s="3" t="n">
        <v>9</v>
      </c>
      <c r="V89" s="3" t="n"/>
      <c r="W89" s="42" t="n">
        <v>0.1024</v>
      </c>
      <c r="X89" s="23" t="n">
        <v>44927</v>
      </c>
      <c r="Y89" s="3">
        <f>IF(I89="","No SIC",IFERROR(VLOOKUP(I89,Ref!$A$2:$B$65,2,FALSE()),"Unclassified"))</f>
        <v/>
      </c>
      <c r="Z89" s="3">
        <f>IF(T89="","",IF(T89&lt;12,"Daily","Weekly"))</f>
        <v/>
      </c>
      <c r="AA89" s="3">
        <f>IF(T89="",0,IF(T89&lt;12,T89*Controls!$B$13,T89*5))</f>
        <v/>
      </c>
      <c r="AB89" s="3">
        <f>IF(E89="",0,NETWORKDAYS(E89,Controls!$B$20,Ref!$K$2:$K$42))</f>
        <v/>
      </c>
      <c r="AC89" s="3">
        <f>IF(OR(AF89=1,AND(AA89&gt;0,AB89&gt;=Controls!$B$23*AA89)),1,0)</f>
        <v/>
      </c>
      <c r="AD89" s="3">
        <f>IF(AND(E89&lt;&gt;"",E89&gt;=Controls!$B$21,E89&lt;=Controls!$B$22),1,0)</f>
        <v/>
      </c>
      <c r="AE89" s="3">
        <f>IF(IFERROR(VLOOKUP(D89,Controls!$A$36:$E$46,2,FALSE()),"No")="Yes",1,0)</f>
        <v/>
      </c>
      <c r="AF89" s="3">
        <f>IF(IFERROR(VLOOKUP(D89,Controls!$A$36:$E$46,3,FALSE()),"No")="Yes",1,0)</f>
        <v/>
      </c>
      <c r="AG89" s="3">
        <f>IF(IFERROR(VLOOKUP(D89,Controls!$A$36:$E$46,4,FALSE()),"No")="Yes",1,0)</f>
        <v/>
      </c>
      <c r="AH89" s="3">
        <f>IF(IFERROR(VLOOKUP(D89,Controls!$A$36:$E$46,5,FALSE()),"No")="Yes",1,0)</f>
        <v/>
      </c>
      <c r="AI89" s="3">
        <f>IF(ISNUMBER(MATCH(D89,Controls!$A$36:$A$46,0)),1,0)</f>
        <v/>
      </c>
      <c r="AJ89" s="28">
        <f>Q89-N89</f>
        <v/>
      </c>
      <c r="AK89" s="3">
        <f>IF(AE89=1,MAX(0,N89-Q89),0)</f>
        <v/>
      </c>
      <c r="AL89" s="3">
        <f>IF(OR(V89="",V89=0),0,N89/V89)</f>
        <v/>
      </c>
      <c r="AM89" s="3">
        <f>IF(OR(V89="",V89=0),0,1)</f>
        <v/>
      </c>
      <c r="AN89" s="3">
        <f>IF(OR(E89="",F89=""),0,NETWORKDAYS(E89,F89,Ref!$K$2:$K$42))</f>
        <v/>
      </c>
      <c r="AO89" s="3">
        <f>IF(L89="Renewal",1,0)</f>
        <v/>
      </c>
      <c r="AP89" s="3">
        <f>AC89*AD89</f>
        <v/>
      </c>
      <c r="AQ89" s="3">
        <f>IF(AND(G89&lt;&gt;"",'Historical Score'!$C$6&lt;&gt;""),IF(G89='Historical Score'!$C$6,1,0),0)</f>
        <v/>
      </c>
      <c r="AR89" s="3">
        <f>IF(AND(L89&lt;&gt;"",'Historical Score'!$C$5&lt;&gt;""),IF(L89='Historical Score'!$C$5,1,0),0)</f>
        <v/>
      </c>
      <c r="AS89" s="3">
        <f>IF(AND(Y89&lt;&gt;"",'Historical Score'!$C$7&lt;&gt;""),IF(Y89='Historical Score'!$C$7,1,0),0)</f>
        <v/>
      </c>
      <c r="AT89" s="3">
        <f>IF(AND(K89&lt;&gt;"",'Historical Score'!$C$8&lt;&gt;""),IF(K89='Historical Score'!$C$8,1,0),0)</f>
        <v/>
      </c>
      <c r="AU89" s="3" t="n"/>
      <c r="AV89" s="3" t="n"/>
      <c r="AW89" s="3" t="n"/>
      <c r="AX89" s="3" t="n"/>
      <c r="AY89" s="3" t="n"/>
      <c r="AZ89" s="3" t="n"/>
      <c r="BA89" s="182">
        <f>IF(AD89=1,(AR89*'Historical Score'!$K$29+1-'Historical Score'!$K$29)*(AT89*'Historical Score'!$L$29+1-'Historical Score'!$L$29)*(AS89*'Historical Score'!$M$29+1-'Historical Score'!$M$29)*(AQ89*'Historical Score'!$N$29+1-'Historical Score'!$N$29),0)</f>
        <v/>
      </c>
      <c r="BB89" s="3" t="n"/>
      <c r="BC89" s="3" t="n"/>
    </row>
    <row r="90" ht="15.75" customHeight="1" s="174">
      <c r="A90" s="3" t="inlineStr">
        <is>
          <t>5674155963</t>
        </is>
      </c>
      <c r="B90" s="3" t="inlineStr">
        <is>
          <t>HIGH SIERRA CORP</t>
        </is>
      </c>
      <c r="C90" s="3" t="inlineStr">
        <is>
          <t>HIGH SIERRA CORP</t>
        </is>
      </c>
      <c r="D90" s="3" t="inlineStr">
        <is>
          <t>Closed</t>
        </is>
      </c>
      <c r="E90" s="23" t="n">
        <v>45776</v>
      </c>
      <c r="F90" s="23" t="n">
        <v>45922</v>
      </c>
      <c r="G90" s="3" t="n">
        <v>7</v>
      </c>
      <c r="H90" s="3" t="inlineStr">
        <is>
          <t>5169</t>
        </is>
      </c>
      <c r="I90" s="3" t="inlineStr">
        <is>
          <t>51</t>
        </is>
      </c>
      <c r="J90" s="3" t="inlineStr">
        <is>
          <t>WI</t>
        </is>
      </c>
      <c r="K90" s="3" t="inlineStr">
        <is>
          <t>United Secured Capital 8</t>
        </is>
      </c>
      <c r="L90" s="3" t="inlineStr">
        <is>
          <t>New Deal</t>
        </is>
      </c>
      <c r="M90" s="3" t="n">
        <v>1.49</v>
      </c>
      <c r="N90" s="28" t="n">
        <v>20000</v>
      </c>
      <c r="O90" s="28" t="n">
        <v>2800</v>
      </c>
      <c r="P90" s="28" t="n">
        <v>29800</v>
      </c>
      <c r="Q90" s="28" t="n">
        <v>29800</v>
      </c>
      <c r="R90" s="28" t="n">
        <v>0</v>
      </c>
      <c r="S90" s="42" t="n">
        <v>1</v>
      </c>
      <c r="T90" s="3" t="n">
        <v>20</v>
      </c>
      <c r="U90" s="3" t="n">
        <v>0</v>
      </c>
      <c r="V90" s="3" t="n"/>
      <c r="W90" s="42" t="n">
        <v>0.0225</v>
      </c>
      <c r="X90" s="23" t="n">
        <v>36892</v>
      </c>
      <c r="Y90" s="3">
        <f>IF(I90="","No SIC",IFERROR(VLOOKUP(I90,Ref!$A$2:$B$65,2,FALSE()),"Unclassified"))</f>
        <v/>
      </c>
      <c r="Z90" s="3">
        <f>IF(T90="","",IF(T90&lt;12,"Daily","Weekly"))</f>
        <v/>
      </c>
      <c r="AA90" s="3">
        <f>IF(T90="",0,IF(T90&lt;12,T90*Controls!$B$13,T90*5))</f>
        <v/>
      </c>
      <c r="AB90" s="3">
        <f>IF(E90="",0,NETWORKDAYS(E90,Controls!$B$20,Ref!$K$2:$K$42))</f>
        <v/>
      </c>
      <c r="AC90" s="3">
        <f>IF(OR(AF90=1,AND(AA90&gt;0,AB90&gt;=Controls!$B$23*AA90)),1,0)</f>
        <v/>
      </c>
      <c r="AD90" s="3">
        <f>IF(AND(E90&lt;&gt;"",E90&gt;=Controls!$B$21,E90&lt;=Controls!$B$22),1,0)</f>
        <v/>
      </c>
      <c r="AE90" s="3">
        <f>IF(IFERROR(VLOOKUP(D90,Controls!$A$36:$E$46,2,FALSE()),"No")="Yes",1,0)</f>
        <v/>
      </c>
      <c r="AF90" s="3">
        <f>IF(IFERROR(VLOOKUP(D90,Controls!$A$36:$E$46,3,FALSE()),"No")="Yes",1,0)</f>
        <v/>
      </c>
      <c r="AG90" s="3">
        <f>IF(IFERROR(VLOOKUP(D90,Controls!$A$36:$E$46,4,FALSE()),"No")="Yes",1,0)</f>
        <v/>
      </c>
      <c r="AH90" s="3">
        <f>IF(IFERROR(VLOOKUP(D90,Controls!$A$36:$E$46,5,FALSE()),"No")="Yes",1,0)</f>
        <v/>
      </c>
      <c r="AI90" s="3">
        <f>IF(ISNUMBER(MATCH(D90,Controls!$A$36:$A$46,0)),1,0)</f>
        <v/>
      </c>
      <c r="AJ90" s="28">
        <f>Q90-N90</f>
        <v/>
      </c>
      <c r="AK90" s="3">
        <f>IF(AE90=1,MAX(0,N90-Q90),0)</f>
        <v/>
      </c>
      <c r="AL90" s="3">
        <f>IF(OR(V90="",V90=0),0,N90/V90)</f>
        <v/>
      </c>
      <c r="AM90" s="3">
        <f>IF(OR(V90="",V90=0),0,1)</f>
        <v/>
      </c>
      <c r="AN90" s="3">
        <f>IF(OR(E90="",F90=""),0,NETWORKDAYS(E90,F90,Ref!$K$2:$K$42))</f>
        <v/>
      </c>
      <c r="AO90" s="3">
        <f>IF(L90="Renewal",1,0)</f>
        <v/>
      </c>
      <c r="AP90" s="3">
        <f>AC90*AD90</f>
        <v/>
      </c>
      <c r="AQ90" s="3">
        <f>IF(AND(G90&lt;&gt;"",'Historical Score'!$C$6&lt;&gt;""),IF(G90='Historical Score'!$C$6,1,0),0)</f>
        <v/>
      </c>
      <c r="AR90" s="3">
        <f>IF(AND(L90&lt;&gt;"",'Historical Score'!$C$5&lt;&gt;""),IF(L90='Historical Score'!$C$5,1,0),0)</f>
        <v/>
      </c>
      <c r="AS90" s="3">
        <f>IF(AND(Y90&lt;&gt;"",'Historical Score'!$C$7&lt;&gt;""),IF(Y90='Historical Score'!$C$7,1,0),0)</f>
        <v/>
      </c>
      <c r="AT90" s="3">
        <f>IF(AND(K90&lt;&gt;"",'Historical Score'!$C$8&lt;&gt;""),IF(K90='Historical Score'!$C$8,1,0),0)</f>
        <v/>
      </c>
      <c r="AU90" s="3" t="n"/>
      <c r="AV90" s="3" t="n"/>
      <c r="AW90" s="3" t="n"/>
      <c r="AX90" s="3" t="n"/>
      <c r="AY90" s="3" t="n"/>
      <c r="AZ90" s="3" t="n"/>
      <c r="BA90" s="182">
        <f>IF(AD90=1,(AR90*'Historical Score'!$K$29+1-'Historical Score'!$K$29)*(AT90*'Historical Score'!$L$29+1-'Historical Score'!$L$29)*(AS90*'Historical Score'!$M$29+1-'Historical Score'!$M$29)*(AQ90*'Historical Score'!$N$29+1-'Historical Score'!$N$29),0)</f>
        <v/>
      </c>
      <c r="BB90" s="3" t="n"/>
      <c r="BC90" s="3" t="n"/>
    </row>
    <row r="91" ht="15.75" customHeight="1" s="174">
      <c r="A91" s="3" t="inlineStr">
        <is>
          <t>5674155976</t>
        </is>
      </c>
      <c r="B91" s="3" t="inlineStr">
        <is>
          <t>PRADO SALES</t>
        </is>
      </c>
      <c r="C91" s="3" t="inlineStr">
        <is>
          <t>P &amp; F FAMILY CONSTRUCTION</t>
        </is>
      </c>
      <c r="D91" s="3" t="inlineStr">
        <is>
          <t>Closed</t>
        </is>
      </c>
      <c r="E91" s="23" t="n">
        <v>45776</v>
      </c>
      <c r="F91" s="23" t="n">
        <v>45884</v>
      </c>
      <c r="G91" s="3" t="n">
        <v>6</v>
      </c>
      <c r="H91" s="3" t="inlineStr">
        <is>
          <t>1521</t>
        </is>
      </c>
      <c r="I91" s="3" t="inlineStr">
        <is>
          <t>15</t>
        </is>
      </c>
      <c r="J91" s="3" t="inlineStr">
        <is>
          <t>CA</t>
        </is>
      </c>
      <c r="K91" s="3" t="inlineStr">
        <is>
          <t>Merchant ReFi</t>
        </is>
      </c>
      <c r="L91" s="3" t="inlineStr">
        <is>
          <t>Renewal</t>
        </is>
      </c>
      <c r="M91" s="3" t="n">
        <v>1.49</v>
      </c>
      <c r="N91" s="28" t="n">
        <v>6000</v>
      </c>
      <c r="O91" s="28" t="n">
        <v>840</v>
      </c>
      <c r="P91" s="28" t="n">
        <v>8940</v>
      </c>
      <c r="Q91" s="28" t="n">
        <v>8940</v>
      </c>
      <c r="R91" s="28" t="n">
        <v>0</v>
      </c>
      <c r="S91" s="42" t="n">
        <v>1</v>
      </c>
      <c r="T91" s="3" t="n">
        <v>2.623</v>
      </c>
      <c r="U91" s="3" t="n">
        <v>0</v>
      </c>
      <c r="V91" s="3" t="n"/>
      <c r="W91" s="42" t="n">
        <v>0.0835</v>
      </c>
      <c r="X91" s="23" t="n">
        <v>45447</v>
      </c>
      <c r="Y91" s="3">
        <f>IF(I91="","No SIC",IFERROR(VLOOKUP(I91,Ref!$A$2:$B$65,2,FALSE()),"Unclassified"))</f>
        <v/>
      </c>
      <c r="Z91" s="3">
        <f>IF(T91="","",IF(T91&lt;12,"Daily","Weekly"))</f>
        <v/>
      </c>
      <c r="AA91" s="3">
        <f>IF(T91="",0,IF(T91&lt;12,T91*Controls!$B$13,T91*5))</f>
        <v/>
      </c>
      <c r="AB91" s="3">
        <f>IF(E91="",0,NETWORKDAYS(E91,Controls!$B$20,Ref!$K$2:$K$42))</f>
        <v/>
      </c>
      <c r="AC91" s="3">
        <f>IF(OR(AF91=1,AND(AA91&gt;0,AB91&gt;=Controls!$B$23*AA91)),1,0)</f>
        <v/>
      </c>
      <c r="AD91" s="3">
        <f>IF(AND(E91&lt;&gt;"",E91&gt;=Controls!$B$21,E91&lt;=Controls!$B$22),1,0)</f>
        <v/>
      </c>
      <c r="AE91" s="3">
        <f>IF(IFERROR(VLOOKUP(D91,Controls!$A$36:$E$46,2,FALSE()),"No")="Yes",1,0)</f>
        <v/>
      </c>
      <c r="AF91" s="3">
        <f>IF(IFERROR(VLOOKUP(D91,Controls!$A$36:$E$46,3,FALSE()),"No")="Yes",1,0)</f>
        <v/>
      </c>
      <c r="AG91" s="3">
        <f>IF(IFERROR(VLOOKUP(D91,Controls!$A$36:$E$46,4,FALSE()),"No")="Yes",1,0)</f>
        <v/>
      </c>
      <c r="AH91" s="3">
        <f>IF(IFERROR(VLOOKUP(D91,Controls!$A$36:$E$46,5,FALSE()),"No")="Yes",1,0)</f>
        <v/>
      </c>
      <c r="AI91" s="3">
        <f>IF(ISNUMBER(MATCH(D91,Controls!$A$36:$A$46,0)),1,0)</f>
        <v/>
      </c>
      <c r="AJ91" s="28">
        <f>Q91-N91</f>
        <v/>
      </c>
      <c r="AK91" s="3">
        <f>IF(AE91=1,MAX(0,N91-Q91),0)</f>
        <v/>
      </c>
      <c r="AL91" s="3">
        <f>IF(OR(V91="",V91=0),0,N91/V91)</f>
        <v/>
      </c>
      <c r="AM91" s="3">
        <f>IF(OR(V91="",V91=0),0,1)</f>
        <v/>
      </c>
      <c r="AN91" s="3">
        <f>IF(OR(E91="",F91=""),0,NETWORKDAYS(E91,F91,Ref!$K$2:$K$42))</f>
        <v/>
      </c>
      <c r="AO91" s="3">
        <f>IF(L91="Renewal",1,0)</f>
        <v/>
      </c>
      <c r="AP91" s="3">
        <f>AC91*AD91</f>
        <v/>
      </c>
      <c r="AQ91" s="3">
        <f>IF(AND(G91&lt;&gt;"",'Historical Score'!$C$6&lt;&gt;""),IF(G91='Historical Score'!$C$6,1,0),0)</f>
        <v/>
      </c>
      <c r="AR91" s="3">
        <f>IF(AND(L91&lt;&gt;"",'Historical Score'!$C$5&lt;&gt;""),IF(L91='Historical Score'!$C$5,1,0),0)</f>
        <v/>
      </c>
      <c r="AS91" s="3">
        <f>IF(AND(Y91&lt;&gt;"",'Historical Score'!$C$7&lt;&gt;""),IF(Y91='Historical Score'!$C$7,1,0),0)</f>
        <v/>
      </c>
      <c r="AT91" s="3">
        <f>IF(AND(K91&lt;&gt;"",'Historical Score'!$C$8&lt;&gt;""),IF(K91='Historical Score'!$C$8,1,0),0)</f>
        <v/>
      </c>
      <c r="AU91" s="3" t="n"/>
      <c r="AV91" s="3" t="n"/>
      <c r="AW91" s="3" t="n"/>
      <c r="AX91" s="3" t="n"/>
      <c r="AY91" s="3" t="n"/>
      <c r="AZ91" s="3" t="n"/>
      <c r="BA91" s="182">
        <f>IF(AD91=1,(AR91*'Historical Score'!$K$29+1-'Historical Score'!$K$29)*(AT91*'Historical Score'!$L$29+1-'Historical Score'!$L$29)*(AS91*'Historical Score'!$M$29+1-'Historical Score'!$M$29)*(AQ91*'Historical Score'!$N$29+1-'Historical Score'!$N$29),0)</f>
        <v/>
      </c>
      <c r="BB91" s="3" t="n"/>
      <c r="BC91" s="3" t="n"/>
    </row>
    <row r="92" ht="15.75" customHeight="1" s="174">
      <c r="A92" s="3" t="inlineStr">
        <is>
          <t>5674156158</t>
        </is>
      </c>
      <c r="B92" s="3" t="inlineStr">
        <is>
          <t>Luxe MediGlow</t>
        </is>
      </c>
      <c r="C92" s="3" t="inlineStr">
        <is>
          <t>Judy M Perkins LLC</t>
        </is>
      </c>
      <c r="D92" s="3" t="inlineStr">
        <is>
          <t>Closed</t>
        </is>
      </c>
      <c r="E92" s="23" t="n">
        <v>45777</v>
      </c>
      <c r="F92" s="23" t="n">
        <v>45887</v>
      </c>
      <c r="G92" s="3" t="n">
        <v>2</v>
      </c>
      <c r="H92" s="3" t="inlineStr">
        <is>
          <t>7231</t>
        </is>
      </c>
      <c r="I92" s="3" t="inlineStr">
        <is>
          <t>72</t>
        </is>
      </c>
      <c r="J92" s="3" t="inlineStr">
        <is>
          <t>FL</t>
        </is>
      </c>
      <c r="K92" s="3" t="inlineStr">
        <is>
          <t>Fundible</t>
        </is>
      </c>
      <c r="L92" s="3" t="inlineStr">
        <is>
          <t>New Deal</t>
        </is>
      </c>
      <c r="M92" s="3" t="n">
        <v>1.499</v>
      </c>
      <c r="N92" s="28" t="n">
        <v>5000</v>
      </c>
      <c r="O92" s="28" t="n">
        <v>700</v>
      </c>
      <c r="P92" s="28" t="n">
        <v>7495</v>
      </c>
      <c r="Q92" s="28" t="n">
        <v>7495</v>
      </c>
      <c r="R92" s="28" t="n">
        <v>9.09494701772928e-13</v>
      </c>
      <c r="S92" s="42" t="n">
        <v>1</v>
      </c>
      <c r="T92" s="3" t="n">
        <v>2.459</v>
      </c>
      <c r="U92" s="3" t="n">
        <v>0</v>
      </c>
      <c r="V92" s="3" t="n"/>
      <c r="W92" s="42" t="n">
        <v>0.1189</v>
      </c>
      <c r="X92" s="23" t="n">
        <v>43757</v>
      </c>
      <c r="Y92" s="3">
        <f>IF(I92="","No SIC",IFERROR(VLOOKUP(I92,Ref!$A$2:$B$65,2,FALSE()),"Unclassified"))</f>
        <v/>
      </c>
      <c r="Z92" s="3">
        <f>IF(T92="","",IF(T92&lt;12,"Daily","Weekly"))</f>
        <v/>
      </c>
      <c r="AA92" s="3">
        <f>IF(T92="",0,IF(T92&lt;12,T92*Controls!$B$13,T92*5))</f>
        <v/>
      </c>
      <c r="AB92" s="3">
        <f>IF(E92="",0,NETWORKDAYS(E92,Controls!$B$20,Ref!$K$2:$K$42))</f>
        <v/>
      </c>
      <c r="AC92" s="3">
        <f>IF(OR(AF92=1,AND(AA92&gt;0,AB92&gt;=Controls!$B$23*AA92)),1,0)</f>
        <v/>
      </c>
      <c r="AD92" s="3">
        <f>IF(AND(E92&lt;&gt;"",E92&gt;=Controls!$B$21,E92&lt;=Controls!$B$22),1,0)</f>
        <v/>
      </c>
      <c r="AE92" s="3">
        <f>IF(IFERROR(VLOOKUP(D92,Controls!$A$36:$E$46,2,FALSE()),"No")="Yes",1,0)</f>
        <v/>
      </c>
      <c r="AF92" s="3">
        <f>IF(IFERROR(VLOOKUP(D92,Controls!$A$36:$E$46,3,FALSE()),"No")="Yes",1,0)</f>
        <v/>
      </c>
      <c r="AG92" s="3">
        <f>IF(IFERROR(VLOOKUP(D92,Controls!$A$36:$E$46,4,FALSE()),"No")="Yes",1,0)</f>
        <v/>
      </c>
      <c r="AH92" s="3">
        <f>IF(IFERROR(VLOOKUP(D92,Controls!$A$36:$E$46,5,FALSE()),"No")="Yes",1,0)</f>
        <v/>
      </c>
      <c r="AI92" s="3">
        <f>IF(ISNUMBER(MATCH(D92,Controls!$A$36:$A$46,0)),1,0)</f>
        <v/>
      </c>
      <c r="AJ92" s="28">
        <f>Q92-N92</f>
        <v/>
      </c>
      <c r="AK92" s="3">
        <f>IF(AE92=1,MAX(0,N92-Q92),0)</f>
        <v/>
      </c>
      <c r="AL92" s="3">
        <f>IF(OR(V92="",V92=0),0,N92/V92)</f>
        <v/>
      </c>
      <c r="AM92" s="3">
        <f>IF(OR(V92="",V92=0),0,1)</f>
        <v/>
      </c>
      <c r="AN92" s="3">
        <f>IF(OR(E92="",F92=""),0,NETWORKDAYS(E92,F92,Ref!$K$2:$K$42))</f>
        <v/>
      </c>
      <c r="AO92" s="3">
        <f>IF(L92="Renewal",1,0)</f>
        <v/>
      </c>
      <c r="AP92" s="3">
        <f>AC92*AD92</f>
        <v/>
      </c>
      <c r="AQ92" s="3">
        <f>IF(AND(G92&lt;&gt;"",'Historical Score'!$C$6&lt;&gt;""),IF(G92='Historical Score'!$C$6,1,0),0)</f>
        <v/>
      </c>
      <c r="AR92" s="3">
        <f>IF(AND(L92&lt;&gt;"",'Historical Score'!$C$5&lt;&gt;""),IF(L92='Historical Score'!$C$5,1,0),0)</f>
        <v/>
      </c>
      <c r="AS92" s="3">
        <f>IF(AND(Y92&lt;&gt;"",'Historical Score'!$C$7&lt;&gt;""),IF(Y92='Historical Score'!$C$7,1,0),0)</f>
        <v/>
      </c>
      <c r="AT92" s="3">
        <f>IF(AND(K92&lt;&gt;"",'Historical Score'!$C$8&lt;&gt;""),IF(K92='Historical Score'!$C$8,1,0),0)</f>
        <v/>
      </c>
      <c r="AU92" s="3" t="n"/>
      <c r="AV92" s="3" t="n"/>
      <c r="AW92" s="3" t="n"/>
      <c r="AX92" s="3" t="n"/>
      <c r="AY92" s="3" t="n"/>
      <c r="AZ92" s="3" t="n"/>
      <c r="BA92" s="182">
        <f>IF(AD92=1,(AR92*'Historical Score'!$K$29+1-'Historical Score'!$K$29)*(AT92*'Historical Score'!$L$29+1-'Historical Score'!$L$29)*(AS92*'Historical Score'!$M$29+1-'Historical Score'!$M$29)*(AQ92*'Historical Score'!$N$29+1-'Historical Score'!$N$29),0)</f>
        <v/>
      </c>
      <c r="BB92" s="3" t="n"/>
      <c r="BC92" s="3" t="n"/>
    </row>
    <row r="93" ht="15.75" customHeight="1" s="174">
      <c r="A93" s="3" t="inlineStr">
        <is>
          <t>5674156261</t>
        </is>
      </c>
      <c r="B93" s="3" t="inlineStr">
        <is>
          <t>plush nails &amp; spa</t>
        </is>
      </c>
      <c r="C93" s="3" t="inlineStr">
        <is>
          <t>Huyen and Vu Bui Inc</t>
        </is>
      </c>
      <c r="D93" s="3" t="inlineStr">
        <is>
          <t>Closed</t>
        </is>
      </c>
      <c r="E93" s="23" t="n">
        <v>45778</v>
      </c>
      <c r="F93" s="23" t="n">
        <v>45896</v>
      </c>
      <c r="G93" s="3" t="n">
        <v>3</v>
      </c>
      <c r="H93" s="3" t="inlineStr">
        <is>
          <t>7231</t>
        </is>
      </c>
      <c r="I93" s="3" t="inlineStr">
        <is>
          <t>72</t>
        </is>
      </c>
      <c r="J93" s="3" t="inlineStr">
        <is>
          <t>OK</t>
        </is>
      </c>
      <c r="K93" s="3" t="inlineStr">
        <is>
          <t>GROWTH RATE CAPITAL INC</t>
        </is>
      </c>
      <c r="L93" s="3" t="inlineStr">
        <is>
          <t>New Deal</t>
        </is>
      </c>
      <c r="M93" s="3" t="n">
        <v>1.499</v>
      </c>
      <c r="N93" s="28" t="n">
        <v>20000</v>
      </c>
      <c r="O93" s="28" t="n">
        <v>2800</v>
      </c>
      <c r="P93" s="28" t="n">
        <v>29980</v>
      </c>
      <c r="Q93" s="28" t="n">
        <v>29980</v>
      </c>
      <c r="R93" s="28" t="n">
        <v>3.63797880709171e-12</v>
      </c>
      <c r="S93" s="42" t="n">
        <v>1</v>
      </c>
      <c r="T93" s="3" t="n">
        <v>2.623</v>
      </c>
      <c r="U93" s="3" t="n">
        <v>1</v>
      </c>
      <c r="V93" s="3" t="n"/>
      <c r="W93" s="42" t="n">
        <v>0.1117</v>
      </c>
      <c r="X93" s="23" t="n">
        <v>43166</v>
      </c>
      <c r="Y93" s="3">
        <f>IF(I93="","No SIC",IFERROR(VLOOKUP(I93,Ref!$A$2:$B$65,2,FALSE()),"Unclassified"))</f>
        <v/>
      </c>
      <c r="Z93" s="3">
        <f>IF(T93="","",IF(T93&lt;12,"Daily","Weekly"))</f>
        <v/>
      </c>
      <c r="AA93" s="3">
        <f>IF(T93="",0,IF(T93&lt;12,T93*Controls!$B$13,T93*5))</f>
        <v/>
      </c>
      <c r="AB93" s="3">
        <f>IF(E93="",0,NETWORKDAYS(E93,Controls!$B$20,Ref!$K$2:$K$42))</f>
        <v/>
      </c>
      <c r="AC93" s="3">
        <f>IF(OR(AF93=1,AND(AA93&gt;0,AB93&gt;=Controls!$B$23*AA93)),1,0)</f>
        <v/>
      </c>
      <c r="AD93" s="3">
        <f>IF(AND(E93&lt;&gt;"",E93&gt;=Controls!$B$21,E93&lt;=Controls!$B$22),1,0)</f>
        <v/>
      </c>
      <c r="AE93" s="3">
        <f>IF(IFERROR(VLOOKUP(D93,Controls!$A$36:$E$46,2,FALSE()),"No")="Yes",1,0)</f>
        <v/>
      </c>
      <c r="AF93" s="3">
        <f>IF(IFERROR(VLOOKUP(D93,Controls!$A$36:$E$46,3,FALSE()),"No")="Yes",1,0)</f>
        <v/>
      </c>
      <c r="AG93" s="3">
        <f>IF(IFERROR(VLOOKUP(D93,Controls!$A$36:$E$46,4,FALSE()),"No")="Yes",1,0)</f>
        <v/>
      </c>
      <c r="AH93" s="3">
        <f>IF(IFERROR(VLOOKUP(D93,Controls!$A$36:$E$46,5,FALSE()),"No")="Yes",1,0)</f>
        <v/>
      </c>
      <c r="AI93" s="3">
        <f>IF(ISNUMBER(MATCH(D93,Controls!$A$36:$A$46,0)),1,0)</f>
        <v/>
      </c>
      <c r="AJ93" s="28">
        <f>Q93-N93</f>
        <v/>
      </c>
      <c r="AK93" s="3">
        <f>IF(AE93=1,MAX(0,N93-Q93),0)</f>
        <v/>
      </c>
      <c r="AL93" s="3">
        <f>IF(OR(V93="",V93=0),0,N93/V93)</f>
        <v/>
      </c>
      <c r="AM93" s="3">
        <f>IF(OR(V93="",V93=0),0,1)</f>
        <v/>
      </c>
      <c r="AN93" s="3">
        <f>IF(OR(E93="",F93=""),0,NETWORKDAYS(E93,F93,Ref!$K$2:$K$42))</f>
        <v/>
      </c>
      <c r="AO93" s="3">
        <f>IF(L93="Renewal",1,0)</f>
        <v/>
      </c>
      <c r="AP93" s="3">
        <f>AC93*AD93</f>
        <v/>
      </c>
      <c r="AQ93" s="3">
        <f>IF(AND(G93&lt;&gt;"",'Historical Score'!$C$6&lt;&gt;""),IF(G93='Historical Score'!$C$6,1,0),0)</f>
        <v/>
      </c>
      <c r="AR93" s="3">
        <f>IF(AND(L93&lt;&gt;"",'Historical Score'!$C$5&lt;&gt;""),IF(L93='Historical Score'!$C$5,1,0),0)</f>
        <v/>
      </c>
      <c r="AS93" s="3">
        <f>IF(AND(Y93&lt;&gt;"",'Historical Score'!$C$7&lt;&gt;""),IF(Y93='Historical Score'!$C$7,1,0),0)</f>
        <v/>
      </c>
      <c r="AT93" s="3">
        <f>IF(AND(K93&lt;&gt;"",'Historical Score'!$C$8&lt;&gt;""),IF(K93='Historical Score'!$C$8,1,0),0)</f>
        <v/>
      </c>
      <c r="AU93" s="3" t="n"/>
      <c r="AV93" s="3" t="n"/>
      <c r="AW93" s="3" t="n"/>
      <c r="AX93" s="3" t="n"/>
      <c r="AY93" s="3" t="n"/>
      <c r="AZ93" s="3" t="n"/>
      <c r="BA93" s="182">
        <f>IF(AD93=1,(AR93*'Historical Score'!$K$29+1-'Historical Score'!$K$29)*(AT93*'Historical Score'!$L$29+1-'Historical Score'!$L$29)*(AS93*'Historical Score'!$M$29+1-'Historical Score'!$M$29)*(AQ93*'Historical Score'!$N$29+1-'Historical Score'!$N$29),0)</f>
        <v/>
      </c>
      <c r="BB93" s="3" t="n"/>
      <c r="BC93" s="3" t="n"/>
    </row>
    <row r="94" ht="15.75" customHeight="1" s="174">
      <c r="A94" s="3" t="inlineStr">
        <is>
          <t>5674156303</t>
        </is>
      </c>
      <c r="B94" s="3" t="inlineStr">
        <is>
          <t>Hiway House</t>
        </is>
      </c>
      <c r="C94" s="3" t="inlineStr">
        <is>
          <t>Belle's Hiway House</t>
        </is>
      </c>
      <c r="D94" s="3" t="inlineStr">
        <is>
          <t>Closed</t>
        </is>
      </c>
      <c r="E94" s="23" t="n">
        <v>45778</v>
      </c>
      <c r="F94" s="23" t="n">
        <v>45958</v>
      </c>
      <c r="G94" s="3" t="n">
        <v>2</v>
      </c>
      <c r="H94" s="3" t="inlineStr">
        <is>
          <t>5812</t>
        </is>
      </c>
      <c r="I94" s="3" t="inlineStr">
        <is>
          <t>58</t>
        </is>
      </c>
      <c r="J94" s="3" t="inlineStr">
        <is>
          <t>OR</t>
        </is>
      </c>
      <c r="K94" s="3" t="inlineStr">
        <is>
          <t>JABSCAP</t>
        </is>
      </c>
      <c r="L94" s="3" t="inlineStr">
        <is>
          <t>New Deal</t>
        </is>
      </c>
      <c r="M94" s="3" t="n">
        <v>1.47</v>
      </c>
      <c r="N94" s="28" t="n">
        <v>15000</v>
      </c>
      <c r="O94" s="28" t="n">
        <v>1950</v>
      </c>
      <c r="P94" s="28" t="n">
        <v>22050</v>
      </c>
      <c r="Q94" s="28" t="n">
        <v>22050</v>
      </c>
      <c r="R94" s="28" t="n">
        <v>0</v>
      </c>
      <c r="S94" s="42" t="n">
        <v>1</v>
      </c>
      <c r="T94" s="3" t="n">
        <v>2.623</v>
      </c>
      <c r="U94" s="3" t="n">
        <v>40</v>
      </c>
      <c r="V94" s="3" t="n"/>
      <c r="W94" s="42" t="n">
        <v>0.0757</v>
      </c>
      <c r="X94" s="23" t="n">
        <v>45450</v>
      </c>
      <c r="Y94" s="3">
        <f>IF(I94="","No SIC",IFERROR(VLOOKUP(I94,Ref!$A$2:$B$65,2,FALSE()),"Unclassified"))</f>
        <v/>
      </c>
      <c r="Z94" s="3">
        <f>IF(T94="","",IF(T94&lt;12,"Daily","Weekly"))</f>
        <v/>
      </c>
      <c r="AA94" s="3">
        <f>IF(T94="",0,IF(T94&lt;12,T94*Controls!$B$13,T94*5))</f>
        <v/>
      </c>
      <c r="AB94" s="3">
        <f>IF(E94="",0,NETWORKDAYS(E94,Controls!$B$20,Ref!$K$2:$K$42))</f>
        <v/>
      </c>
      <c r="AC94" s="3">
        <f>IF(OR(AF94=1,AND(AA94&gt;0,AB94&gt;=Controls!$B$23*AA94)),1,0)</f>
        <v/>
      </c>
      <c r="AD94" s="3">
        <f>IF(AND(E94&lt;&gt;"",E94&gt;=Controls!$B$21,E94&lt;=Controls!$B$22),1,0)</f>
        <v/>
      </c>
      <c r="AE94" s="3">
        <f>IF(IFERROR(VLOOKUP(D94,Controls!$A$36:$E$46,2,FALSE()),"No")="Yes",1,0)</f>
        <v/>
      </c>
      <c r="AF94" s="3">
        <f>IF(IFERROR(VLOOKUP(D94,Controls!$A$36:$E$46,3,FALSE()),"No")="Yes",1,0)</f>
        <v/>
      </c>
      <c r="AG94" s="3">
        <f>IF(IFERROR(VLOOKUP(D94,Controls!$A$36:$E$46,4,FALSE()),"No")="Yes",1,0)</f>
        <v/>
      </c>
      <c r="AH94" s="3">
        <f>IF(IFERROR(VLOOKUP(D94,Controls!$A$36:$E$46,5,FALSE()),"No")="Yes",1,0)</f>
        <v/>
      </c>
      <c r="AI94" s="3">
        <f>IF(ISNUMBER(MATCH(D94,Controls!$A$36:$A$46,0)),1,0)</f>
        <v/>
      </c>
      <c r="AJ94" s="28">
        <f>Q94-N94</f>
        <v/>
      </c>
      <c r="AK94" s="3">
        <f>IF(AE94=1,MAX(0,N94-Q94),0)</f>
        <v/>
      </c>
      <c r="AL94" s="3">
        <f>IF(OR(V94="",V94=0),0,N94/V94)</f>
        <v/>
      </c>
      <c r="AM94" s="3">
        <f>IF(OR(V94="",V94=0),0,1)</f>
        <v/>
      </c>
      <c r="AN94" s="3">
        <f>IF(OR(E94="",F94=""),0,NETWORKDAYS(E94,F94,Ref!$K$2:$K$42))</f>
        <v/>
      </c>
      <c r="AO94" s="3">
        <f>IF(L94="Renewal",1,0)</f>
        <v/>
      </c>
      <c r="AP94" s="3">
        <f>AC94*AD94</f>
        <v/>
      </c>
      <c r="AQ94" s="3">
        <f>IF(AND(G94&lt;&gt;"",'Historical Score'!$C$6&lt;&gt;""),IF(G94='Historical Score'!$C$6,1,0),0)</f>
        <v/>
      </c>
      <c r="AR94" s="3">
        <f>IF(AND(L94&lt;&gt;"",'Historical Score'!$C$5&lt;&gt;""),IF(L94='Historical Score'!$C$5,1,0),0)</f>
        <v/>
      </c>
      <c r="AS94" s="3">
        <f>IF(AND(Y94&lt;&gt;"",'Historical Score'!$C$7&lt;&gt;""),IF(Y94='Historical Score'!$C$7,1,0),0)</f>
        <v/>
      </c>
      <c r="AT94" s="3">
        <f>IF(AND(K94&lt;&gt;"",'Historical Score'!$C$8&lt;&gt;""),IF(K94='Historical Score'!$C$8,1,0),0)</f>
        <v/>
      </c>
      <c r="AU94" s="3" t="n"/>
      <c r="AV94" s="3" t="n"/>
      <c r="AW94" s="3" t="n"/>
      <c r="AX94" s="3" t="n"/>
      <c r="AY94" s="3" t="n"/>
      <c r="AZ94" s="3" t="n"/>
      <c r="BA94" s="182">
        <f>IF(AD94=1,(AR94*'Historical Score'!$K$29+1-'Historical Score'!$K$29)*(AT94*'Historical Score'!$L$29+1-'Historical Score'!$L$29)*(AS94*'Historical Score'!$M$29+1-'Historical Score'!$M$29)*(AQ94*'Historical Score'!$N$29+1-'Historical Score'!$N$29),0)</f>
        <v/>
      </c>
      <c r="BB94" s="3" t="n"/>
      <c r="BC94" s="3" t="n"/>
    </row>
    <row r="95" ht="15.75" customHeight="1" s="174">
      <c r="A95" s="3" t="inlineStr">
        <is>
          <t>5674156693</t>
        </is>
      </c>
      <c r="B95" s="3" t="inlineStr">
        <is>
          <t>ATX Fleet Services Truck and Trailer Repair, LLC</t>
        </is>
      </c>
      <c r="C95" s="3" t="inlineStr">
        <is>
          <t>ATX Fleet Services Truck and Trailer Repair, LLC</t>
        </is>
      </c>
      <c r="D95" s="3" t="inlineStr">
        <is>
          <t>Legal</t>
        </is>
      </c>
      <c r="E95" s="23" t="n">
        <v>45784</v>
      </c>
      <c r="F95" s="23" t="n">
        <v>45831</v>
      </c>
      <c r="G95" s="3" t="n">
        <v>4</v>
      </c>
      <c r="H95" s="3" t="inlineStr">
        <is>
          <t>7538</t>
        </is>
      </c>
      <c r="I95" s="3" t="inlineStr">
        <is>
          <t>75</t>
        </is>
      </c>
      <c r="J95" s="3" t="inlineStr">
        <is>
          <t>TX</t>
        </is>
      </c>
      <c r="K95" s="3" t="inlineStr">
        <is>
          <t>Milestone Capital Funding Inc</t>
        </is>
      </c>
      <c r="L95" s="3" t="inlineStr">
        <is>
          <t>New Deal</t>
        </is>
      </c>
      <c r="M95" s="3" t="n">
        <v>1.49</v>
      </c>
      <c r="N95" s="28" t="n">
        <v>15000</v>
      </c>
      <c r="O95" s="28" t="n">
        <v>2100</v>
      </c>
      <c r="P95" s="28" t="n">
        <v>22350</v>
      </c>
      <c r="Q95" s="28" t="n">
        <v>6046.24</v>
      </c>
      <c r="R95" s="28" t="n">
        <v>16303.76</v>
      </c>
      <c r="S95" s="42" t="n">
        <v>0.270525279642058</v>
      </c>
      <c r="T95" s="3" t="n">
        <v>2.787</v>
      </c>
      <c r="U95" s="3" t="n">
        <v>8</v>
      </c>
      <c r="V95" s="3" t="n"/>
      <c r="W95" s="42" t="n">
        <v>0.1029</v>
      </c>
      <c r="X95" s="23" t="n"/>
      <c r="Y95" s="3">
        <f>IF(I95="","No SIC",IFERROR(VLOOKUP(I95,Ref!$A$2:$B$65,2,FALSE()),"Unclassified"))</f>
        <v/>
      </c>
      <c r="Z95" s="3">
        <f>IF(T95="","",IF(T95&lt;12,"Daily","Weekly"))</f>
        <v/>
      </c>
      <c r="AA95" s="3">
        <f>IF(T95="",0,IF(T95&lt;12,T95*Controls!$B$13,T95*5))</f>
        <v/>
      </c>
      <c r="AB95" s="3">
        <f>IF(E95="",0,NETWORKDAYS(E95,Controls!$B$20,Ref!$K$2:$K$42))</f>
        <v/>
      </c>
      <c r="AC95" s="3">
        <f>IF(OR(AF95=1,AND(AA95&gt;0,AB95&gt;=Controls!$B$23*AA95)),1,0)</f>
        <v/>
      </c>
      <c r="AD95" s="3">
        <f>IF(AND(E95&lt;&gt;"",E95&gt;=Controls!$B$21,E95&lt;=Controls!$B$22),1,0)</f>
        <v/>
      </c>
      <c r="AE95" s="3">
        <f>IF(IFERROR(VLOOKUP(D95,Controls!$A$36:$E$46,2,FALSE()),"No")="Yes",1,0)</f>
        <v/>
      </c>
      <c r="AF95" s="3">
        <f>IF(IFERROR(VLOOKUP(D95,Controls!$A$36:$E$46,3,FALSE()),"No")="Yes",1,0)</f>
        <v/>
      </c>
      <c r="AG95" s="3">
        <f>IF(IFERROR(VLOOKUP(D95,Controls!$A$36:$E$46,4,FALSE()),"No")="Yes",1,0)</f>
        <v/>
      </c>
      <c r="AH95" s="3">
        <f>IF(IFERROR(VLOOKUP(D95,Controls!$A$36:$E$46,5,FALSE()),"No")="Yes",1,0)</f>
        <v/>
      </c>
      <c r="AI95" s="3">
        <f>IF(ISNUMBER(MATCH(D95,Controls!$A$36:$A$46,0)),1,0)</f>
        <v/>
      </c>
      <c r="AJ95" s="28">
        <f>Q95-N95</f>
        <v/>
      </c>
      <c r="AK95" s="3">
        <f>IF(AE95=1,MAX(0,N95-Q95),0)</f>
        <v/>
      </c>
      <c r="AL95" s="3">
        <f>IF(OR(V95="",V95=0),0,N95/V95)</f>
        <v/>
      </c>
      <c r="AM95" s="3">
        <f>IF(OR(V95="",V95=0),0,1)</f>
        <v/>
      </c>
      <c r="AN95" s="3">
        <f>IF(OR(E95="",F95=""),0,NETWORKDAYS(E95,F95,Ref!$K$2:$K$42))</f>
        <v/>
      </c>
      <c r="AO95" s="3">
        <f>IF(L95="Renewal",1,0)</f>
        <v/>
      </c>
      <c r="AP95" s="3">
        <f>AC95*AD95</f>
        <v/>
      </c>
      <c r="AQ95" s="3">
        <f>IF(AND(G95&lt;&gt;"",'Historical Score'!$C$6&lt;&gt;""),IF(G95='Historical Score'!$C$6,1,0),0)</f>
        <v/>
      </c>
      <c r="AR95" s="3">
        <f>IF(AND(L95&lt;&gt;"",'Historical Score'!$C$5&lt;&gt;""),IF(L95='Historical Score'!$C$5,1,0),0)</f>
        <v/>
      </c>
      <c r="AS95" s="3">
        <f>IF(AND(Y95&lt;&gt;"",'Historical Score'!$C$7&lt;&gt;""),IF(Y95='Historical Score'!$C$7,1,0),0)</f>
        <v/>
      </c>
      <c r="AT95" s="3">
        <f>IF(AND(K95&lt;&gt;"",'Historical Score'!$C$8&lt;&gt;""),IF(K95='Historical Score'!$C$8,1,0),0)</f>
        <v/>
      </c>
      <c r="AU95" s="3" t="n"/>
      <c r="AV95" s="3" t="n"/>
      <c r="AW95" s="3" t="n"/>
      <c r="AX95" s="3" t="n"/>
      <c r="AY95" s="3" t="n"/>
      <c r="AZ95" s="3" t="n"/>
      <c r="BA95" s="182">
        <f>IF(AD95=1,(AR95*'Historical Score'!$K$29+1-'Historical Score'!$K$29)*(AT95*'Historical Score'!$L$29+1-'Historical Score'!$L$29)*(AS95*'Historical Score'!$M$29+1-'Historical Score'!$M$29)*(AQ95*'Historical Score'!$N$29+1-'Historical Score'!$N$29),0)</f>
        <v/>
      </c>
      <c r="BB95" s="3" t="n"/>
      <c r="BC95" s="3" t="n"/>
    </row>
    <row r="96" ht="15.75" customHeight="1" s="174">
      <c r="A96" s="3" t="inlineStr">
        <is>
          <t>5674156847</t>
        </is>
      </c>
      <c r="B96" s="3" t="inlineStr">
        <is>
          <t>NCW Basketball Group Llc</t>
        </is>
      </c>
      <c r="C96" s="3" t="inlineStr">
        <is>
          <t>NCW Basketball Group Llc</t>
        </is>
      </c>
      <c r="D96" s="3" t="inlineStr">
        <is>
          <t>Closed</t>
        </is>
      </c>
      <c r="E96" s="23" t="n">
        <v>45785</v>
      </c>
      <c r="F96" s="23" t="n">
        <v>45895</v>
      </c>
      <c r="G96" s="3" t="n">
        <v>1</v>
      </c>
      <c r="H96" s="3" t="inlineStr">
        <is>
          <t>7997</t>
        </is>
      </c>
      <c r="I96" s="3" t="inlineStr">
        <is>
          <t>79</t>
        </is>
      </c>
      <c r="J96" s="3" t="inlineStr">
        <is>
          <t>OR</t>
        </is>
      </c>
      <c r="K96" s="3" t="inlineStr">
        <is>
          <t>Premium Capital (AMRK)</t>
        </is>
      </c>
      <c r="L96" s="3" t="inlineStr">
        <is>
          <t>New Deal</t>
        </is>
      </c>
      <c r="M96" s="3" t="n">
        <v>1.499</v>
      </c>
      <c r="N96" s="28" t="n">
        <v>6000</v>
      </c>
      <c r="O96" s="28" t="n">
        <v>840</v>
      </c>
      <c r="P96" s="28" t="n">
        <v>8994</v>
      </c>
      <c r="Q96" s="28" t="n">
        <v>8994</v>
      </c>
      <c r="R96" s="28" t="n">
        <v>0</v>
      </c>
      <c r="S96" s="42" t="n">
        <v>1</v>
      </c>
      <c r="T96" s="3" t="n">
        <v>2.459</v>
      </c>
      <c r="U96" s="3" t="n">
        <v>0</v>
      </c>
      <c r="V96" s="3" t="n"/>
      <c r="W96" s="42" t="n">
        <v>0.0702</v>
      </c>
      <c r="X96" s="23" t="n"/>
      <c r="Y96" s="3">
        <f>IF(I96="","No SIC",IFERROR(VLOOKUP(I96,Ref!$A$2:$B$65,2,FALSE()),"Unclassified"))</f>
        <v/>
      </c>
      <c r="Z96" s="3">
        <f>IF(T96="","",IF(T96&lt;12,"Daily","Weekly"))</f>
        <v/>
      </c>
      <c r="AA96" s="3">
        <f>IF(T96="",0,IF(T96&lt;12,T96*Controls!$B$13,T96*5))</f>
        <v/>
      </c>
      <c r="AB96" s="3">
        <f>IF(E96="",0,NETWORKDAYS(E96,Controls!$B$20,Ref!$K$2:$K$42))</f>
        <v/>
      </c>
      <c r="AC96" s="3">
        <f>IF(OR(AF96=1,AND(AA96&gt;0,AB96&gt;=Controls!$B$23*AA96)),1,0)</f>
        <v/>
      </c>
      <c r="AD96" s="3">
        <f>IF(AND(E96&lt;&gt;"",E96&gt;=Controls!$B$21,E96&lt;=Controls!$B$22),1,0)</f>
        <v/>
      </c>
      <c r="AE96" s="3">
        <f>IF(IFERROR(VLOOKUP(D96,Controls!$A$36:$E$46,2,FALSE()),"No")="Yes",1,0)</f>
        <v/>
      </c>
      <c r="AF96" s="3">
        <f>IF(IFERROR(VLOOKUP(D96,Controls!$A$36:$E$46,3,FALSE()),"No")="Yes",1,0)</f>
        <v/>
      </c>
      <c r="AG96" s="3">
        <f>IF(IFERROR(VLOOKUP(D96,Controls!$A$36:$E$46,4,FALSE()),"No")="Yes",1,0)</f>
        <v/>
      </c>
      <c r="AH96" s="3">
        <f>IF(IFERROR(VLOOKUP(D96,Controls!$A$36:$E$46,5,FALSE()),"No")="Yes",1,0)</f>
        <v/>
      </c>
      <c r="AI96" s="3">
        <f>IF(ISNUMBER(MATCH(D96,Controls!$A$36:$A$46,0)),1,0)</f>
        <v/>
      </c>
      <c r="AJ96" s="28">
        <f>Q96-N96</f>
        <v/>
      </c>
      <c r="AK96" s="3">
        <f>IF(AE96=1,MAX(0,N96-Q96),0)</f>
        <v/>
      </c>
      <c r="AL96" s="3">
        <f>IF(OR(V96="",V96=0),0,N96/V96)</f>
        <v/>
      </c>
      <c r="AM96" s="3">
        <f>IF(OR(V96="",V96=0),0,1)</f>
        <v/>
      </c>
      <c r="AN96" s="3">
        <f>IF(OR(E96="",F96=""),0,NETWORKDAYS(E96,F96,Ref!$K$2:$K$42))</f>
        <v/>
      </c>
      <c r="AO96" s="3">
        <f>IF(L96="Renewal",1,0)</f>
        <v/>
      </c>
      <c r="AP96" s="3">
        <f>AC96*AD96</f>
        <v/>
      </c>
      <c r="AQ96" s="3">
        <f>IF(AND(G96&lt;&gt;"",'Historical Score'!$C$6&lt;&gt;""),IF(G96='Historical Score'!$C$6,1,0),0)</f>
        <v/>
      </c>
      <c r="AR96" s="3">
        <f>IF(AND(L96&lt;&gt;"",'Historical Score'!$C$5&lt;&gt;""),IF(L96='Historical Score'!$C$5,1,0),0)</f>
        <v/>
      </c>
      <c r="AS96" s="3">
        <f>IF(AND(Y96&lt;&gt;"",'Historical Score'!$C$7&lt;&gt;""),IF(Y96='Historical Score'!$C$7,1,0),0)</f>
        <v/>
      </c>
      <c r="AT96" s="3">
        <f>IF(AND(K96&lt;&gt;"",'Historical Score'!$C$8&lt;&gt;""),IF(K96='Historical Score'!$C$8,1,0),0)</f>
        <v/>
      </c>
      <c r="AU96" s="3" t="n"/>
      <c r="AV96" s="3" t="n"/>
      <c r="AW96" s="3" t="n"/>
      <c r="AX96" s="3" t="n"/>
      <c r="AY96" s="3" t="n"/>
      <c r="AZ96" s="3" t="n"/>
      <c r="BA96" s="182">
        <f>IF(AD96=1,(AR96*'Historical Score'!$K$29+1-'Historical Score'!$K$29)*(AT96*'Historical Score'!$L$29+1-'Historical Score'!$L$29)*(AS96*'Historical Score'!$M$29+1-'Historical Score'!$M$29)*(AQ96*'Historical Score'!$N$29+1-'Historical Score'!$N$29),0)</f>
        <v/>
      </c>
      <c r="BB96" s="3" t="n"/>
      <c r="BC96" s="3" t="n"/>
    </row>
    <row r="97" ht="15.75" customHeight="1" s="174">
      <c r="A97" s="3" t="inlineStr">
        <is>
          <t>5674156897</t>
        </is>
      </c>
      <c r="B97" s="3" t="inlineStr">
        <is>
          <t>Crafty Steere</t>
        </is>
      </c>
      <c r="C97" s="3" t="inlineStr">
        <is>
          <t>Crafty Steere</t>
        </is>
      </c>
      <c r="D97" s="3" t="inlineStr">
        <is>
          <t>Closed</t>
        </is>
      </c>
      <c r="E97" s="23" t="n">
        <v>45785</v>
      </c>
      <c r="F97" s="23" t="n">
        <v>45903</v>
      </c>
      <c r="G97" s="3" t="n">
        <v>5</v>
      </c>
      <c r="H97" s="3" t="inlineStr">
        <is>
          <t>5331</t>
        </is>
      </c>
      <c r="I97" s="3" t="inlineStr">
        <is>
          <t>53</t>
        </is>
      </c>
      <c r="J97" s="3" t="inlineStr">
        <is>
          <t>OH</t>
        </is>
      </c>
      <c r="K97" s="3" t="inlineStr">
        <is>
          <t>Vanguard Equities</t>
        </is>
      </c>
      <c r="L97" s="3" t="inlineStr">
        <is>
          <t>New Deal</t>
        </is>
      </c>
      <c r="M97" s="3" t="n">
        <v>1.5</v>
      </c>
      <c r="N97" s="28" t="n">
        <v>10000</v>
      </c>
      <c r="O97" s="28" t="n">
        <v>1400</v>
      </c>
      <c r="P97" s="28" t="n">
        <v>15000</v>
      </c>
      <c r="Q97" s="28" t="n">
        <v>15000</v>
      </c>
      <c r="R97" s="28" t="n">
        <v>0</v>
      </c>
      <c r="S97" s="42" t="n">
        <v>1</v>
      </c>
      <c r="T97" s="3" t="n">
        <v>2.623</v>
      </c>
      <c r="U97" s="3" t="n">
        <v>0</v>
      </c>
      <c r="V97" s="3" t="n"/>
      <c r="W97" s="42" t="n">
        <v>0.0915</v>
      </c>
      <c r="X97" s="23" t="n"/>
      <c r="Y97" s="3">
        <f>IF(I97="","No SIC",IFERROR(VLOOKUP(I97,Ref!$A$2:$B$65,2,FALSE()),"Unclassified"))</f>
        <v/>
      </c>
      <c r="Z97" s="3">
        <f>IF(T97="","",IF(T97&lt;12,"Daily","Weekly"))</f>
        <v/>
      </c>
      <c r="AA97" s="3">
        <f>IF(T97="",0,IF(T97&lt;12,T97*Controls!$B$13,T97*5))</f>
        <v/>
      </c>
      <c r="AB97" s="3">
        <f>IF(E97="",0,NETWORKDAYS(E97,Controls!$B$20,Ref!$K$2:$K$42))</f>
        <v/>
      </c>
      <c r="AC97" s="3">
        <f>IF(OR(AF97=1,AND(AA97&gt;0,AB97&gt;=Controls!$B$23*AA97)),1,0)</f>
        <v/>
      </c>
      <c r="AD97" s="3">
        <f>IF(AND(E97&lt;&gt;"",E97&gt;=Controls!$B$21,E97&lt;=Controls!$B$22),1,0)</f>
        <v/>
      </c>
      <c r="AE97" s="3">
        <f>IF(IFERROR(VLOOKUP(D97,Controls!$A$36:$E$46,2,FALSE()),"No")="Yes",1,0)</f>
        <v/>
      </c>
      <c r="AF97" s="3">
        <f>IF(IFERROR(VLOOKUP(D97,Controls!$A$36:$E$46,3,FALSE()),"No")="Yes",1,0)</f>
        <v/>
      </c>
      <c r="AG97" s="3">
        <f>IF(IFERROR(VLOOKUP(D97,Controls!$A$36:$E$46,4,FALSE()),"No")="Yes",1,0)</f>
        <v/>
      </c>
      <c r="AH97" s="3">
        <f>IF(IFERROR(VLOOKUP(D97,Controls!$A$36:$E$46,5,FALSE()),"No")="Yes",1,0)</f>
        <v/>
      </c>
      <c r="AI97" s="3">
        <f>IF(ISNUMBER(MATCH(D97,Controls!$A$36:$A$46,0)),1,0)</f>
        <v/>
      </c>
      <c r="AJ97" s="28">
        <f>Q97-N97</f>
        <v/>
      </c>
      <c r="AK97" s="3">
        <f>IF(AE97=1,MAX(0,N97-Q97),0)</f>
        <v/>
      </c>
      <c r="AL97" s="3">
        <f>IF(OR(V97="",V97=0),0,N97/V97)</f>
        <v/>
      </c>
      <c r="AM97" s="3">
        <f>IF(OR(V97="",V97=0),0,1)</f>
        <v/>
      </c>
      <c r="AN97" s="3">
        <f>IF(OR(E97="",F97=""),0,NETWORKDAYS(E97,F97,Ref!$K$2:$K$42))</f>
        <v/>
      </c>
      <c r="AO97" s="3">
        <f>IF(L97="Renewal",1,0)</f>
        <v/>
      </c>
      <c r="AP97" s="3">
        <f>AC97*AD97</f>
        <v/>
      </c>
      <c r="AQ97" s="3">
        <f>IF(AND(G97&lt;&gt;"",'Historical Score'!$C$6&lt;&gt;""),IF(G97='Historical Score'!$C$6,1,0),0)</f>
        <v/>
      </c>
      <c r="AR97" s="3">
        <f>IF(AND(L97&lt;&gt;"",'Historical Score'!$C$5&lt;&gt;""),IF(L97='Historical Score'!$C$5,1,0),0)</f>
        <v/>
      </c>
      <c r="AS97" s="3">
        <f>IF(AND(Y97&lt;&gt;"",'Historical Score'!$C$7&lt;&gt;""),IF(Y97='Historical Score'!$C$7,1,0),0)</f>
        <v/>
      </c>
      <c r="AT97" s="3">
        <f>IF(AND(K97&lt;&gt;"",'Historical Score'!$C$8&lt;&gt;""),IF(K97='Historical Score'!$C$8,1,0),0)</f>
        <v/>
      </c>
      <c r="AU97" s="3" t="n"/>
      <c r="AV97" s="3" t="n"/>
      <c r="AW97" s="3" t="n"/>
      <c r="AX97" s="3" t="n"/>
      <c r="AY97" s="3" t="n"/>
      <c r="AZ97" s="3" t="n"/>
      <c r="BA97" s="182">
        <f>IF(AD97=1,(AR97*'Historical Score'!$K$29+1-'Historical Score'!$K$29)*(AT97*'Historical Score'!$L$29+1-'Historical Score'!$L$29)*(AS97*'Historical Score'!$M$29+1-'Historical Score'!$M$29)*(AQ97*'Historical Score'!$N$29+1-'Historical Score'!$N$29),0)</f>
        <v/>
      </c>
      <c r="BB97" s="3" t="n"/>
      <c r="BC97" s="3" t="n"/>
    </row>
    <row r="98" ht="15.75" customHeight="1" s="174">
      <c r="A98" s="3" t="inlineStr">
        <is>
          <t>5674157134</t>
        </is>
      </c>
      <c r="B98" s="3" t="inlineStr">
        <is>
          <t>COREY'S SOUTHERN CATERING</t>
        </is>
      </c>
      <c r="C98" s="3" t="inlineStr">
        <is>
          <t>FAVOR ONE LLC</t>
        </is>
      </c>
      <c r="D98" s="3" t="inlineStr">
        <is>
          <t>Closed</t>
        </is>
      </c>
      <c r="E98" s="23" t="n">
        <v>45789</v>
      </c>
      <c r="F98" s="23" t="n">
        <v>45929</v>
      </c>
      <c r="G98" s="3" t="n">
        <v>1</v>
      </c>
      <c r="H98" s="3" t="inlineStr">
        <is>
          <t>5812</t>
        </is>
      </c>
      <c r="I98" s="3" t="inlineStr">
        <is>
          <t>58</t>
        </is>
      </c>
      <c r="J98" s="3" t="inlineStr">
        <is>
          <t>VA</t>
        </is>
      </c>
      <c r="K98" s="3" t="inlineStr">
        <is>
          <t>Premium Capital (AMRK)</t>
        </is>
      </c>
      <c r="L98" s="3" t="inlineStr">
        <is>
          <t>New Deal</t>
        </is>
      </c>
      <c r="M98" s="3" t="n">
        <v>1.49</v>
      </c>
      <c r="N98" s="28" t="n">
        <v>10000</v>
      </c>
      <c r="O98" s="28" t="n">
        <v>1400</v>
      </c>
      <c r="P98" s="28" t="n">
        <v>14900</v>
      </c>
      <c r="Q98" s="28" t="n">
        <v>14900</v>
      </c>
      <c r="R98" s="28" t="n">
        <v>0</v>
      </c>
      <c r="S98" s="42" t="n">
        <v>1</v>
      </c>
      <c r="T98" s="3" t="n">
        <v>4.59</v>
      </c>
      <c r="U98" s="3" t="n">
        <v>0</v>
      </c>
      <c r="V98" s="3" t="n"/>
      <c r="W98" s="42" t="n">
        <v>0.0283</v>
      </c>
      <c r="X98" s="23" t="n"/>
      <c r="Y98" s="3">
        <f>IF(I98="","No SIC",IFERROR(VLOOKUP(I98,Ref!$A$2:$B$65,2,FALSE()),"Unclassified"))</f>
        <v/>
      </c>
      <c r="Z98" s="3">
        <f>IF(T98="","",IF(T98&lt;12,"Daily","Weekly"))</f>
        <v/>
      </c>
      <c r="AA98" s="3">
        <f>IF(T98="",0,IF(T98&lt;12,T98*Controls!$B$13,T98*5))</f>
        <v/>
      </c>
      <c r="AB98" s="3">
        <f>IF(E98="",0,NETWORKDAYS(E98,Controls!$B$20,Ref!$K$2:$K$42))</f>
        <v/>
      </c>
      <c r="AC98" s="3">
        <f>IF(OR(AF98=1,AND(AA98&gt;0,AB98&gt;=Controls!$B$23*AA98)),1,0)</f>
        <v/>
      </c>
      <c r="AD98" s="3">
        <f>IF(AND(E98&lt;&gt;"",E98&gt;=Controls!$B$21,E98&lt;=Controls!$B$22),1,0)</f>
        <v/>
      </c>
      <c r="AE98" s="3">
        <f>IF(IFERROR(VLOOKUP(D98,Controls!$A$36:$E$46,2,FALSE()),"No")="Yes",1,0)</f>
        <v/>
      </c>
      <c r="AF98" s="3">
        <f>IF(IFERROR(VLOOKUP(D98,Controls!$A$36:$E$46,3,FALSE()),"No")="Yes",1,0)</f>
        <v/>
      </c>
      <c r="AG98" s="3">
        <f>IF(IFERROR(VLOOKUP(D98,Controls!$A$36:$E$46,4,FALSE()),"No")="Yes",1,0)</f>
        <v/>
      </c>
      <c r="AH98" s="3">
        <f>IF(IFERROR(VLOOKUP(D98,Controls!$A$36:$E$46,5,FALSE()),"No")="Yes",1,0)</f>
        <v/>
      </c>
      <c r="AI98" s="3">
        <f>IF(ISNUMBER(MATCH(D98,Controls!$A$36:$A$46,0)),1,0)</f>
        <v/>
      </c>
      <c r="AJ98" s="28">
        <f>Q98-N98</f>
        <v/>
      </c>
      <c r="AK98" s="3">
        <f>IF(AE98=1,MAX(0,N98-Q98),0)</f>
        <v/>
      </c>
      <c r="AL98" s="3">
        <f>IF(OR(V98="",V98=0),0,N98/V98)</f>
        <v/>
      </c>
      <c r="AM98" s="3">
        <f>IF(OR(V98="",V98=0),0,1)</f>
        <v/>
      </c>
      <c r="AN98" s="3">
        <f>IF(OR(E98="",F98=""),0,NETWORKDAYS(E98,F98,Ref!$K$2:$K$42))</f>
        <v/>
      </c>
      <c r="AO98" s="3">
        <f>IF(L98="Renewal",1,0)</f>
        <v/>
      </c>
      <c r="AP98" s="3">
        <f>AC98*AD98</f>
        <v/>
      </c>
      <c r="AQ98" s="3">
        <f>IF(AND(G98&lt;&gt;"",'Historical Score'!$C$6&lt;&gt;""),IF(G98='Historical Score'!$C$6,1,0),0)</f>
        <v/>
      </c>
      <c r="AR98" s="3">
        <f>IF(AND(L98&lt;&gt;"",'Historical Score'!$C$5&lt;&gt;""),IF(L98='Historical Score'!$C$5,1,0),0)</f>
        <v/>
      </c>
      <c r="AS98" s="3">
        <f>IF(AND(Y98&lt;&gt;"",'Historical Score'!$C$7&lt;&gt;""),IF(Y98='Historical Score'!$C$7,1,0),0)</f>
        <v/>
      </c>
      <c r="AT98" s="3">
        <f>IF(AND(K98&lt;&gt;"",'Historical Score'!$C$8&lt;&gt;""),IF(K98='Historical Score'!$C$8,1,0),0)</f>
        <v/>
      </c>
      <c r="AU98" s="3" t="n"/>
      <c r="AV98" s="3" t="n"/>
      <c r="AW98" s="3" t="n"/>
      <c r="AX98" s="3" t="n"/>
      <c r="AY98" s="3" t="n"/>
      <c r="AZ98" s="3" t="n"/>
      <c r="BA98" s="182">
        <f>IF(AD98=1,(AR98*'Historical Score'!$K$29+1-'Historical Score'!$K$29)*(AT98*'Historical Score'!$L$29+1-'Historical Score'!$L$29)*(AS98*'Historical Score'!$M$29+1-'Historical Score'!$M$29)*(AQ98*'Historical Score'!$N$29+1-'Historical Score'!$N$29),0)</f>
        <v/>
      </c>
      <c r="BB98" s="3" t="n"/>
      <c r="BC98" s="3" t="n"/>
    </row>
    <row r="99" ht="15.75" customHeight="1" s="174">
      <c r="A99" s="3" t="inlineStr">
        <is>
          <t>5674157207</t>
        </is>
      </c>
      <c r="B99" s="3" t="inlineStr">
        <is>
          <t>JACKS PEST MGMT LLC</t>
        </is>
      </c>
      <c r="C99" s="3" t="inlineStr">
        <is>
          <t>JACKS PEST MGMT LLC</t>
        </is>
      </c>
      <c r="D99" s="3" t="inlineStr">
        <is>
          <t>Closed</t>
        </is>
      </c>
      <c r="E99" s="23" t="n">
        <v>45790</v>
      </c>
      <c r="F99" s="23" t="n">
        <v>45904</v>
      </c>
      <c r="G99" s="3" t="n">
        <v>3</v>
      </c>
      <c r="H99" s="3" t="inlineStr">
        <is>
          <t>7342</t>
        </is>
      </c>
      <c r="I99" s="3" t="inlineStr">
        <is>
          <t>73</t>
        </is>
      </c>
      <c r="J99" s="3" t="inlineStr">
        <is>
          <t>MO</t>
        </is>
      </c>
      <c r="K99" s="3" t="inlineStr">
        <is>
          <t>Samson Funding</t>
        </is>
      </c>
      <c r="L99" s="3" t="inlineStr">
        <is>
          <t>Renewal</t>
        </is>
      </c>
      <c r="M99" s="3" t="n">
        <v>1.5</v>
      </c>
      <c r="N99" s="28" t="n">
        <v>7500</v>
      </c>
      <c r="O99" s="28" t="n">
        <v>1050</v>
      </c>
      <c r="P99" s="28" t="n">
        <v>11250</v>
      </c>
      <c r="Q99" s="28" t="n">
        <v>11250</v>
      </c>
      <c r="R99" s="28" t="n">
        <v>0</v>
      </c>
      <c r="S99" s="42" t="n">
        <v>1</v>
      </c>
      <c r="T99" s="3" t="n">
        <v>2.951</v>
      </c>
      <c r="U99" s="3" t="n">
        <v>2</v>
      </c>
      <c r="V99" s="3" t="n"/>
      <c r="W99" s="42" t="n">
        <v>0.2411</v>
      </c>
      <c r="X99" s="23" t="n">
        <v>45790</v>
      </c>
      <c r="Y99" s="3">
        <f>IF(I99="","No SIC",IFERROR(VLOOKUP(I99,Ref!$A$2:$B$65,2,FALSE()),"Unclassified"))</f>
        <v/>
      </c>
      <c r="Z99" s="3">
        <f>IF(T99="","",IF(T99&lt;12,"Daily","Weekly"))</f>
        <v/>
      </c>
      <c r="AA99" s="3">
        <f>IF(T99="",0,IF(T99&lt;12,T99*Controls!$B$13,T99*5))</f>
        <v/>
      </c>
      <c r="AB99" s="3">
        <f>IF(E99="",0,NETWORKDAYS(E99,Controls!$B$20,Ref!$K$2:$K$42))</f>
        <v/>
      </c>
      <c r="AC99" s="3">
        <f>IF(OR(AF99=1,AND(AA99&gt;0,AB99&gt;=Controls!$B$23*AA99)),1,0)</f>
        <v/>
      </c>
      <c r="AD99" s="3">
        <f>IF(AND(E99&lt;&gt;"",E99&gt;=Controls!$B$21,E99&lt;=Controls!$B$22),1,0)</f>
        <v/>
      </c>
      <c r="AE99" s="3">
        <f>IF(IFERROR(VLOOKUP(D99,Controls!$A$36:$E$46,2,FALSE()),"No")="Yes",1,0)</f>
        <v/>
      </c>
      <c r="AF99" s="3">
        <f>IF(IFERROR(VLOOKUP(D99,Controls!$A$36:$E$46,3,FALSE()),"No")="Yes",1,0)</f>
        <v/>
      </c>
      <c r="AG99" s="3">
        <f>IF(IFERROR(VLOOKUP(D99,Controls!$A$36:$E$46,4,FALSE()),"No")="Yes",1,0)</f>
        <v/>
      </c>
      <c r="AH99" s="3">
        <f>IF(IFERROR(VLOOKUP(D99,Controls!$A$36:$E$46,5,FALSE()),"No")="Yes",1,0)</f>
        <v/>
      </c>
      <c r="AI99" s="3">
        <f>IF(ISNUMBER(MATCH(D99,Controls!$A$36:$A$46,0)),1,0)</f>
        <v/>
      </c>
      <c r="AJ99" s="28">
        <f>Q99-N99</f>
        <v/>
      </c>
      <c r="AK99" s="3">
        <f>IF(AE99=1,MAX(0,N99-Q99),0)</f>
        <v/>
      </c>
      <c r="AL99" s="3">
        <f>IF(OR(V99="",V99=0),0,N99/V99)</f>
        <v/>
      </c>
      <c r="AM99" s="3">
        <f>IF(OR(V99="",V99=0),0,1)</f>
        <v/>
      </c>
      <c r="AN99" s="3">
        <f>IF(OR(E99="",F99=""),0,NETWORKDAYS(E99,F99,Ref!$K$2:$K$42))</f>
        <v/>
      </c>
      <c r="AO99" s="3">
        <f>IF(L99="Renewal",1,0)</f>
        <v/>
      </c>
      <c r="AP99" s="3">
        <f>AC99*AD99</f>
        <v/>
      </c>
      <c r="AQ99" s="3">
        <f>IF(AND(G99&lt;&gt;"",'Historical Score'!$C$6&lt;&gt;""),IF(G99='Historical Score'!$C$6,1,0),0)</f>
        <v/>
      </c>
      <c r="AR99" s="3">
        <f>IF(AND(L99&lt;&gt;"",'Historical Score'!$C$5&lt;&gt;""),IF(L99='Historical Score'!$C$5,1,0),0)</f>
        <v/>
      </c>
      <c r="AS99" s="3">
        <f>IF(AND(Y99&lt;&gt;"",'Historical Score'!$C$7&lt;&gt;""),IF(Y99='Historical Score'!$C$7,1,0),0)</f>
        <v/>
      </c>
      <c r="AT99" s="3">
        <f>IF(AND(K99&lt;&gt;"",'Historical Score'!$C$8&lt;&gt;""),IF(K99='Historical Score'!$C$8,1,0),0)</f>
        <v/>
      </c>
      <c r="AU99" s="3" t="n"/>
      <c r="AV99" s="3" t="n"/>
      <c r="AW99" s="3" t="n"/>
      <c r="AX99" s="3" t="n"/>
      <c r="AY99" s="3" t="n"/>
      <c r="AZ99" s="3" t="n"/>
      <c r="BA99" s="182">
        <f>IF(AD99=1,(AR99*'Historical Score'!$K$29+1-'Historical Score'!$K$29)*(AT99*'Historical Score'!$L$29+1-'Historical Score'!$L$29)*(AS99*'Historical Score'!$M$29+1-'Historical Score'!$M$29)*(AQ99*'Historical Score'!$N$29+1-'Historical Score'!$N$29),0)</f>
        <v/>
      </c>
      <c r="BB99" s="3" t="n"/>
      <c r="BC99" s="3" t="n"/>
    </row>
    <row r="100" ht="15.75" customHeight="1" s="174">
      <c r="A100" s="3" t="inlineStr">
        <is>
          <t>5674157269</t>
        </is>
      </c>
      <c r="B100" s="3" t="inlineStr">
        <is>
          <t>Scholte Plumbing Co</t>
        </is>
      </c>
      <c r="C100" s="3" t="inlineStr">
        <is>
          <t>Scholte Plumbing Co., Inc.</t>
        </is>
      </c>
      <c r="D100" s="3" t="inlineStr">
        <is>
          <t>Legal</t>
        </is>
      </c>
      <c r="E100" s="23" t="n">
        <v>45790</v>
      </c>
      <c r="F100" s="23" t="n">
        <v>46234</v>
      </c>
      <c r="G100" s="3" t="n">
        <v>3</v>
      </c>
      <c r="H100" s="3" t="inlineStr">
        <is>
          <t>1711</t>
        </is>
      </c>
      <c r="I100" s="3" t="inlineStr">
        <is>
          <t>17</t>
        </is>
      </c>
      <c r="J100" s="3" t="inlineStr">
        <is>
          <t>CA</t>
        </is>
      </c>
      <c r="K100" s="3" t="inlineStr">
        <is>
          <t>Fund Your Bizz</t>
        </is>
      </c>
      <c r="L100" s="3" t="inlineStr">
        <is>
          <t>New Deal</t>
        </is>
      </c>
      <c r="M100" s="3" t="n">
        <v>1.49</v>
      </c>
      <c r="N100" s="28" t="n">
        <v>8000</v>
      </c>
      <c r="O100" s="28" t="n">
        <v>1120</v>
      </c>
      <c r="P100" s="28" t="n">
        <v>11920</v>
      </c>
      <c r="Q100" s="28" t="n">
        <v>11825.46</v>
      </c>
      <c r="R100" s="28" t="n">
        <v>94.5400000000009</v>
      </c>
      <c r="S100" s="42" t="n">
        <v>0.992068791946309</v>
      </c>
      <c r="T100" s="3" t="n">
        <v>2.295</v>
      </c>
      <c r="U100" s="3" t="n">
        <v>22</v>
      </c>
      <c r="V100" s="3" t="n"/>
      <c r="W100" s="42" t="n">
        <v>0.0849</v>
      </c>
      <c r="X100" s="23" t="n">
        <v>37165</v>
      </c>
      <c r="Y100" s="3">
        <f>IF(I100="","No SIC",IFERROR(VLOOKUP(I100,Ref!$A$2:$B$65,2,FALSE()),"Unclassified"))</f>
        <v/>
      </c>
      <c r="Z100" s="3">
        <f>IF(T100="","",IF(T100&lt;12,"Daily","Weekly"))</f>
        <v/>
      </c>
      <c r="AA100" s="3">
        <f>IF(T100="",0,IF(T100&lt;12,T100*Controls!$B$13,T100*5))</f>
        <v/>
      </c>
      <c r="AB100" s="3">
        <f>IF(E100="",0,NETWORKDAYS(E100,Controls!$B$20,Ref!$K$2:$K$42))</f>
        <v/>
      </c>
      <c r="AC100" s="3">
        <f>IF(OR(AF100=1,AND(AA100&gt;0,AB100&gt;=Controls!$B$23*AA100)),1,0)</f>
        <v/>
      </c>
      <c r="AD100" s="3">
        <f>IF(AND(E100&lt;&gt;"",E100&gt;=Controls!$B$21,E100&lt;=Controls!$B$22),1,0)</f>
        <v/>
      </c>
      <c r="AE100" s="3">
        <f>IF(IFERROR(VLOOKUP(D100,Controls!$A$36:$E$46,2,FALSE()),"No")="Yes",1,0)</f>
        <v/>
      </c>
      <c r="AF100" s="3">
        <f>IF(IFERROR(VLOOKUP(D100,Controls!$A$36:$E$46,3,FALSE()),"No")="Yes",1,0)</f>
        <v/>
      </c>
      <c r="AG100" s="3">
        <f>IF(IFERROR(VLOOKUP(D100,Controls!$A$36:$E$46,4,FALSE()),"No")="Yes",1,0)</f>
        <v/>
      </c>
      <c r="AH100" s="3">
        <f>IF(IFERROR(VLOOKUP(D100,Controls!$A$36:$E$46,5,FALSE()),"No")="Yes",1,0)</f>
        <v/>
      </c>
      <c r="AI100" s="3">
        <f>IF(ISNUMBER(MATCH(D100,Controls!$A$36:$A$46,0)),1,0)</f>
        <v/>
      </c>
      <c r="AJ100" s="28">
        <f>Q100-N100</f>
        <v/>
      </c>
      <c r="AK100" s="3">
        <f>IF(AE100=1,MAX(0,N100-Q100),0)</f>
        <v/>
      </c>
      <c r="AL100" s="3">
        <f>IF(OR(V100="",V100=0),0,N100/V100)</f>
        <v/>
      </c>
      <c r="AM100" s="3">
        <f>IF(OR(V100="",V100=0),0,1)</f>
        <v/>
      </c>
      <c r="AN100" s="3">
        <f>IF(OR(E100="",F100=""),0,NETWORKDAYS(E100,F100,Ref!$K$2:$K$42))</f>
        <v/>
      </c>
      <c r="AO100" s="3">
        <f>IF(L100="Renewal",1,0)</f>
        <v/>
      </c>
      <c r="AP100" s="3">
        <f>AC100*AD100</f>
        <v/>
      </c>
      <c r="AQ100" s="3">
        <f>IF(AND(G100&lt;&gt;"",'Historical Score'!$C$6&lt;&gt;""),IF(G100='Historical Score'!$C$6,1,0),0)</f>
        <v/>
      </c>
      <c r="AR100" s="3">
        <f>IF(AND(L100&lt;&gt;"",'Historical Score'!$C$5&lt;&gt;""),IF(L100='Historical Score'!$C$5,1,0),0)</f>
        <v/>
      </c>
      <c r="AS100" s="3">
        <f>IF(AND(Y100&lt;&gt;"",'Historical Score'!$C$7&lt;&gt;""),IF(Y100='Historical Score'!$C$7,1,0),0)</f>
        <v/>
      </c>
      <c r="AT100" s="3">
        <f>IF(AND(K100&lt;&gt;"",'Historical Score'!$C$8&lt;&gt;""),IF(K100='Historical Score'!$C$8,1,0),0)</f>
        <v/>
      </c>
      <c r="AU100" s="3" t="n"/>
      <c r="AV100" s="3" t="n"/>
      <c r="AW100" s="3" t="n"/>
      <c r="AX100" s="3" t="n"/>
      <c r="AY100" s="3" t="n"/>
      <c r="AZ100" s="3" t="n"/>
      <c r="BA100" s="182">
        <f>IF(AD100=1,(AR100*'Historical Score'!$K$29+1-'Historical Score'!$K$29)*(AT100*'Historical Score'!$L$29+1-'Historical Score'!$L$29)*(AS100*'Historical Score'!$M$29+1-'Historical Score'!$M$29)*(AQ100*'Historical Score'!$N$29+1-'Historical Score'!$N$29),0)</f>
        <v/>
      </c>
      <c r="BB100" s="3" t="n"/>
      <c r="BC100" s="3" t="n"/>
    </row>
    <row r="101" ht="15.75" customHeight="1" s="174">
      <c r="A101" s="3" t="inlineStr">
        <is>
          <t>5674157427</t>
        </is>
      </c>
      <c r="B101" s="3" t="inlineStr">
        <is>
          <t>AMERICAN WEST</t>
        </is>
      </c>
      <c r="C101" s="3" t="inlineStr">
        <is>
          <t>AMERICAN WEST</t>
        </is>
      </c>
      <c r="D101" s="3" t="inlineStr">
        <is>
          <t>Legal</t>
        </is>
      </c>
      <c r="E101" s="23" t="n">
        <v>45791</v>
      </c>
      <c r="F101" s="23" t="n">
        <v>45805</v>
      </c>
      <c r="G101" s="3" t="n">
        <v>3</v>
      </c>
      <c r="H101" s="3" t="inlineStr">
        <is>
          <t>4212</t>
        </is>
      </c>
      <c r="I101" s="3" t="inlineStr">
        <is>
          <t>42</t>
        </is>
      </c>
      <c r="J101" s="3" t="inlineStr">
        <is>
          <t>CA</t>
        </is>
      </c>
      <c r="K101" s="3" t="inlineStr">
        <is>
          <t>EVR GREEN LLC</t>
        </is>
      </c>
      <c r="L101" s="3" t="inlineStr">
        <is>
          <t>New Deal</t>
        </is>
      </c>
      <c r="M101" s="3" t="n">
        <v>1.499</v>
      </c>
      <c r="N101" s="28" t="n">
        <v>8500</v>
      </c>
      <c r="O101" s="28" t="n">
        <v>0</v>
      </c>
      <c r="P101" s="28" t="n">
        <v>12741.5</v>
      </c>
      <c r="Q101" s="28" t="n">
        <v>-418.87</v>
      </c>
      <c r="R101" s="28" t="n">
        <v>13160.37</v>
      </c>
      <c r="S101" s="42" t="n">
        <v>-0.0328744653298277</v>
      </c>
      <c r="T101" s="3" t="n">
        <v>2.295</v>
      </c>
      <c r="U101" s="3" t="n">
        <v>7</v>
      </c>
      <c r="V101" s="3" t="n"/>
      <c r="W101" s="42" t="n">
        <v>0.0437</v>
      </c>
      <c r="X101" s="23" t="n">
        <v>44552</v>
      </c>
      <c r="Y101" s="3">
        <f>IF(I101="","No SIC",IFERROR(VLOOKUP(I101,Ref!$A$2:$B$65,2,FALSE()),"Unclassified"))</f>
        <v/>
      </c>
      <c r="Z101" s="3">
        <f>IF(T101="","",IF(T101&lt;12,"Daily","Weekly"))</f>
        <v/>
      </c>
      <c r="AA101" s="3">
        <f>IF(T101="",0,IF(T101&lt;12,T101*Controls!$B$13,T101*5))</f>
        <v/>
      </c>
      <c r="AB101" s="3">
        <f>IF(E101="",0,NETWORKDAYS(E101,Controls!$B$20,Ref!$K$2:$K$42))</f>
        <v/>
      </c>
      <c r="AC101" s="3">
        <f>IF(OR(AF101=1,AND(AA101&gt;0,AB101&gt;=Controls!$B$23*AA101)),1,0)</f>
        <v/>
      </c>
      <c r="AD101" s="3">
        <f>IF(AND(E101&lt;&gt;"",E101&gt;=Controls!$B$21,E101&lt;=Controls!$B$22),1,0)</f>
        <v/>
      </c>
      <c r="AE101" s="3">
        <f>IF(IFERROR(VLOOKUP(D101,Controls!$A$36:$E$46,2,FALSE()),"No")="Yes",1,0)</f>
        <v/>
      </c>
      <c r="AF101" s="3">
        <f>IF(IFERROR(VLOOKUP(D101,Controls!$A$36:$E$46,3,FALSE()),"No")="Yes",1,0)</f>
        <v/>
      </c>
      <c r="AG101" s="3">
        <f>IF(IFERROR(VLOOKUP(D101,Controls!$A$36:$E$46,4,FALSE()),"No")="Yes",1,0)</f>
        <v/>
      </c>
      <c r="AH101" s="3">
        <f>IF(IFERROR(VLOOKUP(D101,Controls!$A$36:$E$46,5,FALSE()),"No")="Yes",1,0)</f>
        <v/>
      </c>
      <c r="AI101" s="3">
        <f>IF(ISNUMBER(MATCH(D101,Controls!$A$36:$A$46,0)),1,0)</f>
        <v/>
      </c>
      <c r="AJ101" s="28">
        <f>Q101-N101</f>
        <v/>
      </c>
      <c r="AK101" s="3">
        <f>IF(AE101=1,MAX(0,N101-Q101),0)</f>
        <v/>
      </c>
      <c r="AL101" s="3">
        <f>IF(OR(V101="",V101=0),0,N101/V101)</f>
        <v/>
      </c>
      <c r="AM101" s="3">
        <f>IF(OR(V101="",V101=0),0,1)</f>
        <v/>
      </c>
      <c r="AN101" s="3">
        <f>IF(OR(E101="",F101=""),0,NETWORKDAYS(E101,F101,Ref!$K$2:$K$42))</f>
        <v/>
      </c>
      <c r="AO101" s="3">
        <f>IF(L101="Renewal",1,0)</f>
        <v/>
      </c>
      <c r="AP101" s="3">
        <f>AC101*AD101</f>
        <v/>
      </c>
      <c r="AQ101" s="3">
        <f>IF(AND(G101&lt;&gt;"",'Historical Score'!$C$6&lt;&gt;""),IF(G101='Historical Score'!$C$6,1,0),0)</f>
        <v/>
      </c>
      <c r="AR101" s="3">
        <f>IF(AND(L101&lt;&gt;"",'Historical Score'!$C$5&lt;&gt;""),IF(L101='Historical Score'!$C$5,1,0),0)</f>
        <v/>
      </c>
      <c r="AS101" s="3">
        <f>IF(AND(Y101&lt;&gt;"",'Historical Score'!$C$7&lt;&gt;""),IF(Y101='Historical Score'!$C$7,1,0),0)</f>
        <v/>
      </c>
      <c r="AT101" s="3">
        <f>IF(AND(K101&lt;&gt;"",'Historical Score'!$C$8&lt;&gt;""),IF(K101='Historical Score'!$C$8,1,0),0)</f>
        <v/>
      </c>
      <c r="AU101" s="3" t="n"/>
      <c r="AV101" s="3" t="n"/>
      <c r="AW101" s="3" t="n"/>
      <c r="AX101" s="3" t="n"/>
      <c r="AY101" s="3" t="n"/>
      <c r="AZ101" s="3" t="n"/>
      <c r="BA101" s="182">
        <f>IF(AD101=1,(AR101*'Historical Score'!$K$29+1-'Historical Score'!$K$29)*(AT101*'Historical Score'!$L$29+1-'Historical Score'!$L$29)*(AS101*'Historical Score'!$M$29+1-'Historical Score'!$M$29)*(AQ101*'Historical Score'!$N$29+1-'Historical Score'!$N$29),0)</f>
        <v/>
      </c>
      <c r="BB101" s="3" t="n"/>
      <c r="BC101" s="3" t="n"/>
    </row>
    <row r="102" ht="15.75" customHeight="1" s="174">
      <c r="A102" s="3" t="inlineStr">
        <is>
          <t>5674157511</t>
        </is>
      </c>
      <c r="B102" s="3" t="inlineStr">
        <is>
          <t>LV9 TAX SERVICES</t>
        </is>
      </c>
      <c r="C102" s="3" t="inlineStr">
        <is>
          <t>Villalobos Lizett</t>
        </is>
      </c>
      <c r="D102" s="3" t="inlineStr">
        <is>
          <t>Legal</t>
        </is>
      </c>
      <c r="E102" s="23" t="n">
        <v>45792</v>
      </c>
      <c r="F102" s="23" t="n">
        <v>45915</v>
      </c>
      <c r="G102" s="3" t="n">
        <v>2</v>
      </c>
      <c r="H102" s="3" t="inlineStr">
        <is>
          <t>7291</t>
        </is>
      </c>
      <c r="I102" s="3" t="inlineStr">
        <is>
          <t>72</t>
        </is>
      </c>
      <c r="J102" s="3" t="inlineStr">
        <is>
          <t>TX</t>
        </is>
      </c>
      <c r="K102" s="3" t="inlineStr">
        <is>
          <t>Premium Capital (AMRK)</t>
        </is>
      </c>
      <c r="L102" s="3" t="inlineStr">
        <is>
          <t>New Deal</t>
        </is>
      </c>
      <c r="M102" s="3" t="n">
        <v>1.499</v>
      </c>
      <c r="N102" s="28" t="n">
        <v>5000</v>
      </c>
      <c r="O102" s="28" t="n">
        <v>700</v>
      </c>
      <c r="P102" s="28" t="n">
        <v>7495</v>
      </c>
      <c r="Q102" s="28" t="n">
        <v>4256.8</v>
      </c>
      <c r="R102" s="28" t="n">
        <v>3238.2</v>
      </c>
      <c r="S102" s="42" t="n">
        <v>0.567951967978652</v>
      </c>
      <c r="T102" s="3" t="n">
        <v>2.295</v>
      </c>
      <c r="U102" s="3" t="n">
        <v>20</v>
      </c>
      <c r="V102" s="3" t="n"/>
      <c r="W102" s="42" t="n">
        <v>0.0789</v>
      </c>
      <c r="X102" s="23" t="n"/>
      <c r="Y102" s="3">
        <f>IF(I102="","No SIC",IFERROR(VLOOKUP(I102,Ref!$A$2:$B$65,2,FALSE()),"Unclassified"))</f>
        <v/>
      </c>
      <c r="Z102" s="3">
        <f>IF(T102="","",IF(T102&lt;12,"Daily","Weekly"))</f>
        <v/>
      </c>
      <c r="AA102" s="3">
        <f>IF(T102="",0,IF(T102&lt;12,T102*Controls!$B$13,T102*5))</f>
        <v/>
      </c>
      <c r="AB102" s="3">
        <f>IF(E102="",0,NETWORKDAYS(E102,Controls!$B$20,Ref!$K$2:$K$42))</f>
        <v/>
      </c>
      <c r="AC102" s="3">
        <f>IF(OR(AF102=1,AND(AA102&gt;0,AB102&gt;=Controls!$B$23*AA102)),1,0)</f>
        <v/>
      </c>
      <c r="AD102" s="3">
        <f>IF(AND(E102&lt;&gt;"",E102&gt;=Controls!$B$21,E102&lt;=Controls!$B$22),1,0)</f>
        <v/>
      </c>
      <c r="AE102" s="3">
        <f>IF(IFERROR(VLOOKUP(D102,Controls!$A$36:$E$46,2,FALSE()),"No")="Yes",1,0)</f>
        <v/>
      </c>
      <c r="AF102" s="3">
        <f>IF(IFERROR(VLOOKUP(D102,Controls!$A$36:$E$46,3,FALSE()),"No")="Yes",1,0)</f>
        <v/>
      </c>
      <c r="AG102" s="3">
        <f>IF(IFERROR(VLOOKUP(D102,Controls!$A$36:$E$46,4,FALSE()),"No")="Yes",1,0)</f>
        <v/>
      </c>
      <c r="AH102" s="3">
        <f>IF(IFERROR(VLOOKUP(D102,Controls!$A$36:$E$46,5,FALSE()),"No")="Yes",1,0)</f>
        <v/>
      </c>
      <c r="AI102" s="3">
        <f>IF(ISNUMBER(MATCH(D102,Controls!$A$36:$A$46,0)),1,0)</f>
        <v/>
      </c>
      <c r="AJ102" s="28">
        <f>Q102-N102</f>
        <v/>
      </c>
      <c r="AK102" s="3">
        <f>IF(AE102=1,MAX(0,N102-Q102),0)</f>
        <v/>
      </c>
      <c r="AL102" s="3">
        <f>IF(OR(V102="",V102=0),0,N102/V102)</f>
        <v/>
      </c>
      <c r="AM102" s="3">
        <f>IF(OR(V102="",V102=0),0,1)</f>
        <v/>
      </c>
      <c r="AN102" s="3">
        <f>IF(OR(E102="",F102=""),0,NETWORKDAYS(E102,F102,Ref!$K$2:$K$42))</f>
        <v/>
      </c>
      <c r="AO102" s="3">
        <f>IF(L102="Renewal",1,0)</f>
        <v/>
      </c>
      <c r="AP102" s="3">
        <f>AC102*AD102</f>
        <v/>
      </c>
      <c r="AQ102" s="3">
        <f>IF(AND(G102&lt;&gt;"",'Historical Score'!$C$6&lt;&gt;""),IF(G102='Historical Score'!$C$6,1,0),0)</f>
        <v/>
      </c>
      <c r="AR102" s="3">
        <f>IF(AND(L102&lt;&gt;"",'Historical Score'!$C$5&lt;&gt;""),IF(L102='Historical Score'!$C$5,1,0),0)</f>
        <v/>
      </c>
      <c r="AS102" s="3">
        <f>IF(AND(Y102&lt;&gt;"",'Historical Score'!$C$7&lt;&gt;""),IF(Y102='Historical Score'!$C$7,1,0),0)</f>
        <v/>
      </c>
      <c r="AT102" s="3">
        <f>IF(AND(K102&lt;&gt;"",'Historical Score'!$C$8&lt;&gt;""),IF(K102='Historical Score'!$C$8,1,0),0)</f>
        <v/>
      </c>
      <c r="AU102" s="3" t="n"/>
      <c r="AV102" s="3" t="n"/>
      <c r="AW102" s="3" t="n"/>
      <c r="AX102" s="3" t="n"/>
      <c r="AY102" s="3" t="n"/>
      <c r="AZ102" s="3" t="n"/>
      <c r="BA102" s="182">
        <f>IF(AD102=1,(AR102*'Historical Score'!$K$29+1-'Historical Score'!$K$29)*(AT102*'Historical Score'!$L$29+1-'Historical Score'!$L$29)*(AS102*'Historical Score'!$M$29+1-'Historical Score'!$M$29)*(AQ102*'Historical Score'!$N$29+1-'Historical Score'!$N$29),0)</f>
        <v/>
      </c>
      <c r="BB102" s="3" t="n"/>
      <c r="BC102" s="3" t="n"/>
    </row>
    <row r="103" ht="15.75" customHeight="1" s="174">
      <c r="A103" s="3" t="inlineStr">
        <is>
          <t>5674157548</t>
        </is>
      </c>
      <c r="B103" s="3" t="inlineStr">
        <is>
          <t>Auto tech tire and service</t>
        </is>
      </c>
      <c r="C103" s="3" t="inlineStr">
        <is>
          <t>APAS inc</t>
        </is>
      </c>
      <c r="D103" s="3" t="inlineStr">
        <is>
          <t>Closed</t>
        </is>
      </c>
      <c r="E103" s="23" t="n">
        <v>45793</v>
      </c>
      <c r="F103" s="23" t="n">
        <v>45882</v>
      </c>
      <c r="G103" s="3" t="n">
        <v>3</v>
      </c>
      <c r="H103" s="3" t="inlineStr">
        <is>
          <t>7538</t>
        </is>
      </c>
      <c r="I103" s="3" t="inlineStr">
        <is>
          <t>75</t>
        </is>
      </c>
      <c r="J103" s="3" t="inlineStr">
        <is>
          <t>NJ</t>
        </is>
      </c>
      <c r="K103" s="3" t="inlineStr">
        <is>
          <t>Fundible</t>
        </is>
      </c>
      <c r="L103" s="3" t="inlineStr">
        <is>
          <t>New Deal</t>
        </is>
      </c>
      <c r="M103" s="3" t="n">
        <v>1.49</v>
      </c>
      <c r="N103" s="28" t="n">
        <v>10000</v>
      </c>
      <c r="O103" s="28" t="n">
        <v>1400</v>
      </c>
      <c r="P103" s="28" t="n">
        <v>14900</v>
      </c>
      <c r="Q103" s="28" t="n">
        <v>14900</v>
      </c>
      <c r="R103" s="28" t="n">
        <v>0</v>
      </c>
      <c r="S103" s="42" t="n">
        <v>1</v>
      </c>
      <c r="T103" s="3" t="n">
        <v>1.967</v>
      </c>
      <c r="U103" s="3" t="n">
        <v>0</v>
      </c>
      <c r="V103" s="3" t="n"/>
      <c r="W103" s="42" t="n">
        <v>0.0859</v>
      </c>
      <c r="X103" s="23" t="n">
        <v>37104</v>
      </c>
      <c r="Y103" s="3">
        <f>IF(I103="","No SIC",IFERROR(VLOOKUP(I103,Ref!$A$2:$B$65,2,FALSE()),"Unclassified"))</f>
        <v/>
      </c>
      <c r="Z103" s="3">
        <f>IF(T103="","",IF(T103&lt;12,"Daily","Weekly"))</f>
        <v/>
      </c>
      <c r="AA103" s="3">
        <f>IF(T103="",0,IF(T103&lt;12,T103*Controls!$B$13,T103*5))</f>
        <v/>
      </c>
      <c r="AB103" s="3">
        <f>IF(E103="",0,NETWORKDAYS(E103,Controls!$B$20,Ref!$K$2:$K$42))</f>
        <v/>
      </c>
      <c r="AC103" s="3">
        <f>IF(OR(AF103=1,AND(AA103&gt;0,AB103&gt;=Controls!$B$23*AA103)),1,0)</f>
        <v/>
      </c>
      <c r="AD103" s="3">
        <f>IF(AND(E103&lt;&gt;"",E103&gt;=Controls!$B$21,E103&lt;=Controls!$B$22),1,0)</f>
        <v/>
      </c>
      <c r="AE103" s="3">
        <f>IF(IFERROR(VLOOKUP(D103,Controls!$A$36:$E$46,2,FALSE()),"No")="Yes",1,0)</f>
        <v/>
      </c>
      <c r="AF103" s="3">
        <f>IF(IFERROR(VLOOKUP(D103,Controls!$A$36:$E$46,3,FALSE()),"No")="Yes",1,0)</f>
        <v/>
      </c>
      <c r="AG103" s="3">
        <f>IF(IFERROR(VLOOKUP(D103,Controls!$A$36:$E$46,4,FALSE()),"No")="Yes",1,0)</f>
        <v/>
      </c>
      <c r="AH103" s="3">
        <f>IF(IFERROR(VLOOKUP(D103,Controls!$A$36:$E$46,5,FALSE()),"No")="Yes",1,0)</f>
        <v/>
      </c>
      <c r="AI103" s="3">
        <f>IF(ISNUMBER(MATCH(D103,Controls!$A$36:$A$46,0)),1,0)</f>
        <v/>
      </c>
      <c r="AJ103" s="28">
        <f>Q103-N103</f>
        <v/>
      </c>
      <c r="AK103" s="3">
        <f>IF(AE103=1,MAX(0,N103-Q103),0)</f>
        <v/>
      </c>
      <c r="AL103" s="3">
        <f>IF(OR(V103="",V103=0),0,N103/V103)</f>
        <v/>
      </c>
      <c r="AM103" s="3">
        <f>IF(OR(V103="",V103=0),0,1)</f>
        <v/>
      </c>
      <c r="AN103" s="3">
        <f>IF(OR(E103="",F103=""),0,NETWORKDAYS(E103,F103,Ref!$K$2:$K$42))</f>
        <v/>
      </c>
      <c r="AO103" s="3">
        <f>IF(L103="Renewal",1,0)</f>
        <v/>
      </c>
      <c r="AP103" s="3">
        <f>AC103*AD103</f>
        <v/>
      </c>
      <c r="AQ103" s="3">
        <f>IF(AND(G103&lt;&gt;"",'Historical Score'!$C$6&lt;&gt;""),IF(G103='Historical Score'!$C$6,1,0),0)</f>
        <v/>
      </c>
      <c r="AR103" s="3">
        <f>IF(AND(L103&lt;&gt;"",'Historical Score'!$C$5&lt;&gt;""),IF(L103='Historical Score'!$C$5,1,0),0)</f>
        <v/>
      </c>
      <c r="AS103" s="3">
        <f>IF(AND(Y103&lt;&gt;"",'Historical Score'!$C$7&lt;&gt;""),IF(Y103='Historical Score'!$C$7,1,0),0)</f>
        <v/>
      </c>
      <c r="AT103" s="3">
        <f>IF(AND(K103&lt;&gt;"",'Historical Score'!$C$8&lt;&gt;""),IF(K103='Historical Score'!$C$8,1,0),0)</f>
        <v/>
      </c>
      <c r="AU103" s="3" t="n"/>
      <c r="AV103" s="3" t="n"/>
      <c r="AW103" s="3" t="n"/>
      <c r="AX103" s="3" t="n"/>
      <c r="AY103" s="3" t="n"/>
      <c r="AZ103" s="3" t="n"/>
      <c r="BA103" s="182">
        <f>IF(AD103=1,(AR103*'Historical Score'!$K$29+1-'Historical Score'!$K$29)*(AT103*'Historical Score'!$L$29+1-'Historical Score'!$L$29)*(AS103*'Historical Score'!$M$29+1-'Historical Score'!$M$29)*(AQ103*'Historical Score'!$N$29+1-'Historical Score'!$N$29),0)</f>
        <v/>
      </c>
      <c r="BB103" s="3" t="n"/>
      <c r="BC103" s="3" t="n"/>
    </row>
    <row r="104" ht="15.75" customHeight="1" s="174">
      <c r="A104" s="3" t="inlineStr">
        <is>
          <t>5674157640</t>
        </is>
      </c>
      <c r="B104" s="3" t="inlineStr">
        <is>
          <t>ORB Customs</t>
        </is>
      </c>
      <c r="C104" s="3" t="inlineStr">
        <is>
          <t>Off Roading Beast</t>
        </is>
      </c>
      <c r="D104" s="3" t="inlineStr">
        <is>
          <t>Written-Off</t>
        </is>
      </c>
      <c r="E104" s="23" t="n">
        <v>45793</v>
      </c>
      <c r="F104" s="23" t="n">
        <v>46155</v>
      </c>
      <c r="G104" s="3" t="n">
        <v>3</v>
      </c>
      <c r="H104" s="3" t="inlineStr">
        <is>
          <t>5999</t>
        </is>
      </c>
      <c r="I104" s="3" t="inlineStr">
        <is>
          <t>59</t>
        </is>
      </c>
      <c r="J104" s="3" t="inlineStr">
        <is>
          <t>CA</t>
        </is>
      </c>
      <c r="K104" s="3" t="inlineStr">
        <is>
          <t>Qualifier</t>
        </is>
      </c>
      <c r="L104" s="3" t="inlineStr">
        <is>
          <t>New Deal</t>
        </is>
      </c>
      <c r="M104" s="3" t="n">
        <v>1.49</v>
      </c>
      <c r="N104" s="28" t="n">
        <v>5000</v>
      </c>
      <c r="O104" s="28" t="n">
        <v>700</v>
      </c>
      <c r="P104" s="28" t="n">
        <v>7450</v>
      </c>
      <c r="Q104" s="28" t="n">
        <v>4657.29</v>
      </c>
      <c r="R104" s="28" t="n">
        <v>2792.71</v>
      </c>
      <c r="S104" s="42" t="n">
        <v>0.625139597315436</v>
      </c>
      <c r="T104" s="3" t="n">
        <v>2.459</v>
      </c>
      <c r="U104" s="3" t="n">
        <v>33</v>
      </c>
      <c r="V104" s="3" t="n"/>
      <c r="W104" s="42" t="n">
        <v>0.0449</v>
      </c>
      <c r="X104" s="23" t="n">
        <v>44317</v>
      </c>
      <c r="Y104" s="3">
        <f>IF(I104="","No SIC",IFERROR(VLOOKUP(I104,Ref!$A$2:$B$65,2,FALSE()),"Unclassified"))</f>
        <v/>
      </c>
      <c r="Z104" s="3">
        <f>IF(T104="","",IF(T104&lt;12,"Daily","Weekly"))</f>
        <v/>
      </c>
      <c r="AA104" s="3">
        <f>IF(T104="",0,IF(T104&lt;12,T104*Controls!$B$13,T104*5))</f>
        <v/>
      </c>
      <c r="AB104" s="3">
        <f>IF(E104="",0,NETWORKDAYS(E104,Controls!$B$20,Ref!$K$2:$K$42))</f>
        <v/>
      </c>
      <c r="AC104" s="3">
        <f>IF(OR(AF104=1,AND(AA104&gt;0,AB104&gt;=Controls!$B$23*AA104)),1,0)</f>
        <v/>
      </c>
      <c r="AD104" s="3">
        <f>IF(AND(E104&lt;&gt;"",E104&gt;=Controls!$B$21,E104&lt;=Controls!$B$22),1,0)</f>
        <v/>
      </c>
      <c r="AE104" s="3">
        <f>IF(IFERROR(VLOOKUP(D104,Controls!$A$36:$E$46,2,FALSE()),"No")="Yes",1,0)</f>
        <v/>
      </c>
      <c r="AF104" s="3">
        <f>IF(IFERROR(VLOOKUP(D104,Controls!$A$36:$E$46,3,FALSE()),"No")="Yes",1,0)</f>
        <v/>
      </c>
      <c r="AG104" s="3">
        <f>IF(IFERROR(VLOOKUP(D104,Controls!$A$36:$E$46,4,FALSE()),"No")="Yes",1,0)</f>
        <v/>
      </c>
      <c r="AH104" s="3">
        <f>IF(IFERROR(VLOOKUP(D104,Controls!$A$36:$E$46,5,FALSE()),"No")="Yes",1,0)</f>
        <v/>
      </c>
      <c r="AI104" s="3">
        <f>IF(ISNUMBER(MATCH(D104,Controls!$A$36:$A$46,0)),1,0)</f>
        <v/>
      </c>
      <c r="AJ104" s="28">
        <f>Q104-N104</f>
        <v/>
      </c>
      <c r="AK104" s="3">
        <f>IF(AE104=1,MAX(0,N104-Q104),0)</f>
        <v/>
      </c>
      <c r="AL104" s="3">
        <f>IF(OR(V104="",V104=0),0,N104/V104)</f>
        <v/>
      </c>
      <c r="AM104" s="3">
        <f>IF(OR(V104="",V104=0),0,1)</f>
        <v/>
      </c>
      <c r="AN104" s="3">
        <f>IF(OR(E104="",F104=""),0,NETWORKDAYS(E104,F104,Ref!$K$2:$K$42))</f>
        <v/>
      </c>
      <c r="AO104" s="3">
        <f>IF(L104="Renewal",1,0)</f>
        <v/>
      </c>
      <c r="AP104" s="3">
        <f>AC104*AD104</f>
        <v/>
      </c>
      <c r="AQ104" s="3">
        <f>IF(AND(G104&lt;&gt;"",'Historical Score'!$C$6&lt;&gt;""),IF(G104='Historical Score'!$C$6,1,0),0)</f>
        <v/>
      </c>
      <c r="AR104" s="3">
        <f>IF(AND(L104&lt;&gt;"",'Historical Score'!$C$5&lt;&gt;""),IF(L104='Historical Score'!$C$5,1,0),0)</f>
        <v/>
      </c>
      <c r="AS104" s="3">
        <f>IF(AND(Y104&lt;&gt;"",'Historical Score'!$C$7&lt;&gt;""),IF(Y104='Historical Score'!$C$7,1,0),0)</f>
        <v/>
      </c>
      <c r="AT104" s="3">
        <f>IF(AND(K104&lt;&gt;"",'Historical Score'!$C$8&lt;&gt;""),IF(K104='Historical Score'!$C$8,1,0),0)</f>
        <v/>
      </c>
      <c r="AU104" s="3" t="n"/>
      <c r="AV104" s="3" t="n"/>
      <c r="AW104" s="3" t="n"/>
      <c r="AX104" s="3" t="n"/>
      <c r="AY104" s="3" t="n"/>
      <c r="AZ104" s="3" t="n"/>
      <c r="BA104" s="182">
        <f>IF(AD104=1,(AR104*'Historical Score'!$K$29+1-'Historical Score'!$K$29)*(AT104*'Historical Score'!$L$29+1-'Historical Score'!$L$29)*(AS104*'Historical Score'!$M$29+1-'Historical Score'!$M$29)*(AQ104*'Historical Score'!$N$29+1-'Historical Score'!$N$29),0)</f>
        <v/>
      </c>
      <c r="BB104" s="3" t="n"/>
      <c r="BC104" s="3" t="n"/>
    </row>
    <row r="105" ht="15.75" customHeight="1" s="174">
      <c r="A105" s="3" t="inlineStr">
        <is>
          <t>5674157665</t>
        </is>
      </c>
      <c r="B105" s="3" t="inlineStr">
        <is>
          <t>LINCOLN BABIGUMIRA PAIN CLINIC, LTD.</t>
        </is>
      </c>
      <c r="C105" s="3" t="inlineStr">
        <is>
          <t>LINCOLN BABIGUMIRA PAIN CLINIC, LTD.</t>
        </is>
      </c>
      <c r="D105" s="3" t="inlineStr">
        <is>
          <t>Closed</t>
        </is>
      </c>
      <c r="E105" s="23" t="n">
        <v>45796</v>
      </c>
      <c r="F105" s="23" t="n">
        <v>45835</v>
      </c>
      <c r="G105" s="3" t="n">
        <v>7</v>
      </c>
      <c r="H105" s="3" t="inlineStr">
        <is>
          <t>8011</t>
        </is>
      </c>
      <c r="I105" s="3" t="inlineStr">
        <is>
          <t>80</t>
        </is>
      </c>
      <c r="J105" s="3" t="inlineStr">
        <is>
          <t>IL</t>
        </is>
      </c>
      <c r="K105" s="3" t="inlineStr">
        <is>
          <t>United Secured Capital 8</t>
        </is>
      </c>
      <c r="L105" s="3" t="inlineStr">
        <is>
          <t>New Deal</t>
        </is>
      </c>
      <c r="M105" s="3" t="n">
        <v>1.5</v>
      </c>
      <c r="N105" s="28" t="n">
        <v>8000</v>
      </c>
      <c r="O105" s="28" t="n">
        <v>1120</v>
      </c>
      <c r="P105" s="28" t="n">
        <v>12000</v>
      </c>
      <c r="Q105" s="28" t="n">
        <v>12000</v>
      </c>
      <c r="R105" s="28" t="n">
        <v>0</v>
      </c>
      <c r="S105" s="42" t="n">
        <v>1</v>
      </c>
      <c r="T105" s="3" t="n">
        <v>1.639</v>
      </c>
      <c r="U105" s="3" t="n">
        <v>2</v>
      </c>
      <c r="V105" s="3" t="n"/>
      <c r="W105" s="42" t="n">
        <v>0.0508</v>
      </c>
      <c r="X105" s="23" t="n">
        <v>45796</v>
      </c>
      <c r="Y105" s="3">
        <f>IF(I105="","No SIC",IFERROR(VLOOKUP(I105,Ref!$A$2:$B$65,2,FALSE()),"Unclassified"))</f>
        <v/>
      </c>
      <c r="Z105" s="3">
        <f>IF(T105="","",IF(T105&lt;12,"Daily","Weekly"))</f>
        <v/>
      </c>
      <c r="AA105" s="3">
        <f>IF(T105="",0,IF(T105&lt;12,T105*Controls!$B$13,T105*5))</f>
        <v/>
      </c>
      <c r="AB105" s="3">
        <f>IF(E105="",0,NETWORKDAYS(E105,Controls!$B$20,Ref!$K$2:$K$42))</f>
        <v/>
      </c>
      <c r="AC105" s="3">
        <f>IF(OR(AF105=1,AND(AA105&gt;0,AB105&gt;=Controls!$B$23*AA105)),1,0)</f>
        <v/>
      </c>
      <c r="AD105" s="3">
        <f>IF(AND(E105&lt;&gt;"",E105&gt;=Controls!$B$21,E105&lt;=Controls!$B$22),1,0)</f>
        <v/>
      </c>
      <c r="AE105" s="3">
        <f>IF(IFERROR(VLOOKUP(D105,Controls!$A$36:$E$46,2,FALSE()),"No")="Yes",1,0)</f>
        <v/>
      </c>
      <c r="AF105" s="3">
        <f>IF(IFERROR(VLOOKUP(D105,Controls!$A$36:$E$46,3,FALSE()),"No")="Yes",1,0)</f>
        <v/>
      </c>
      <c r="AG105" s="3">
        <f>IF(IFERROR(VLOOKUP(D105,Controls!$A$36:$E$46,4,FALSE()),"No")="Yes",1,0)</f>
        <v/>
      </c>
      <c r="AH105" s="3">
        <f>IF(IFERROR(VLOOKUP(D105,Controls!$A$36:$E$46,5,FALSE()),"No")="Yes",1,0)</f>
        <v/>
      </c>
      <c r="AI105" s="3">
        <f>IF(ISNUMBER(MATCH(D105,Controls!$A$36:$A$46,0)),1,0)</f>
        <v/>
      </c>
      <c r="AJ105" s="28">
        <f>Q105-N105</f>
        <v/>
      </c>
      <c r="AK105" s="3">
        <f>IF(AE105=1,MAX(0,N105-Q105),0)</f>
        <v/>
      </c>
      <c r="AL105" s="3">
        <f>IF(OR(V105="",V105=0),0,N105/V105)</f>
        <v/>
      </c>
      <c r="AM105" s="3">
        <f>IF(OR(V105="",V105=0),0,1)</f>
        <v/>
      </c>
      <c r="AN105" s="3">
        <f>IF(OR(E105="",F105=""),0,NETWORKDAYS(E105,F105,Ref!$K$2:$K$42))</f>
        <v/>
      </c>
      <c r="AO105" s="3">
        <f>IF(L105="Renewal",1,0)</f>
        <v/>
      </c>
      <c r="AP105" s="3">
        <f>AC105*AD105</f>
        <v/>
      </c>
      <c r="AQ105" s="3">
        <f>IF(AND(G105&lt;&gt;"",'Historical Score'!$C$6&lt;&gt;""),IF(G105='Historical Score'!$C$6,1,0),0)</f>
        <v/>
      </c>
      <c r="AR105" s="3">
        <f>IF(AND(L105&lt;&gt;"",'Historical Score'!$C$5&lt;&gt;""),IF(L105='Historical Score'!$C$5,1,0),0)</f>
        <v/>
      </c>
      <c r="AS105" s="3">
        <f>IF(AND(Y105&lt;&gt;"",'Historical Score'!$C$7&lt;&gt;""),IF(Y105='Historical Score'!$C$7,1,0),0)</f>
        <v/>
      </c>
      <c r="AT105" s="3">
        <f>IF(AND(K105&lt;&gt;"",'Historical Score'!$C$8&lt;&gt;""),IF(K105='Historical Score'!$C$8,1,0),0)</f>
        <v/>
      </c>
      <c r="AU105" s="3" t="n"/>
      <c r="AV105" s="3" t="n"/>
      <c r="AW105" s="3" t="n"/>
      <c r="AX105" s="3" t="n"/>
      <c r="AY105" s="3" t="n"/>
      <c r="AZ105" s="3" t="n"/>
      <c r="BA105" s="182">
        <f>IF(AD105=1,(AR105*'Historical Score'!$K$29+1-'Historical Score'!$K$29)*(AT105*'Historical Score'!$L$29+1-'Historical Score'!$L$29)*(AS105*'Historical Score'!$M$29+1-'Historical Score'!$M$29)*(AQ105*'Historical Score'!$N$29+1-'Historical Score'!$N$29),0)</f>
        <v/>
      </c>
      <c r="BB105" s="3" t="n"/>
      <c r="BC105" s="3" t="n"/>
    </row>
    <row r="106" ht="15.75" customHeight="1" s="174">
      <c r="A106" s="3" t="inlineStr">
        <is>
          <t>5674157964</t>
        </is>
      </c>
      <c r="B106" s="3" t="inlineStr">
        <is>
          <t>ROBOLA PIZZERIA</t>
        </is>
      </c>
      <c r="C106" s="3" t="inlineStr">
        <is>
          <t>AMC FAIR DEALING</t>
        </is>
      </c>
      <c r="D106" s="3" t="inlineStr">
        <is>
          <t>Legal</t>
        </is>
      </c>
      <c r="E106" s="23" t="n">
        <v>45798</v>
      </c>
      <c r="F106" s="23" t="n">
        <v>45834</v>
      </c>
      <c r="G106" s="3" t="n">
        <v>6</v>
      </c>
      <c r="H106" s="3" t="inlineStr">
        <is>
          <t>5812</t>
        </is>
      </c>
      <c r="I106" s="3" t="inlineStr">
        <is>
          <t>58</t>
        </is>
      </c>
      <c r="J106" s="3" t="inlineStr">
        <is>
          <t>PA</t>
        </is>
      </c>
      <c r="K106" s="3" t="inlineStr">
        <is>
          <t>Splash</t>
        </is>
      </c>
      <c r="L106" s="3" t="inlineStr">
        <is>
          <t>Renewal</t>
        </is>
      </c>
      <c r="M106" s="3" t="n">
        <v>1.49</v>
      </c>
      <c r="N106" s="28" t="n">
        <v>8000</v>
      </c>
      <c r="O106" s="28" t="n">
        <v>0</v>
      </c>
      <c r="P106" s="28" t="n">
        <v>11920</v>
      </c>
      <c r="Q106" s="28" t="n">
        <v>1510.15</v>
      </c>
      <c r="R106" s="28" t="n">
        <v>10409.85</v>
      </c>
      <c r="S106" s="42" t="n">
        <v>0.126690436241611</v>
      </c>
      <c r="T106" s="3" t="n">
        <v>2.459</v>
      </c>
      <c r="U106" s="3" t="n">
        <v>12</v>
      </c>
      <c r="V106" s="3" t="n"/>
      <c r="W106" s="42" t="n">
        <v>0.1429</v>
      </c>
      <c r="X106" s="23" t="n">
        <v>45798</v>
      </c>
      <c r="Y106" s="3">
        <f>IF(I106="","No SIC",IFERROR(VLOOKUP(I106,Ref!$A$2:$B$65,2,FALSE()),"Unclassified"))</f>
        <v/>
      </c>
      <c r="Z106" s="3">
        <f>IF(T106="","",IF(T106&lt;12,"Daily","Weekly"))</f>
        <v/>
      </c>
      <c r="AA106" s="3">
        <f>IF(T106="",0,IF(T106&lt;12,T106*Controls!$B$13,T106*5))</f>
        <v/>
      </c>
      <c r="AB106" s="3">
        <f>IF(E106="",0,NETWORKDAYS(E106,Controls!$B$20,Ref!$K$2:$K$42))</f>
        <v/>
      </c>
      <c r="AC106" s="3">
        <f>IF(OR(AF106=1,AND(AA106&gt;0,AB106&gt;=Controls!$B$23*AA106)),1,0)</f>
        <v/>
      </c>
      <c r="AD106" s="3">
        <f>IF(AND(E106&lt;&gt;"",E106&gt;=Controls!$B$21,E106&lt;=Controls!$B$22),1,0)</f>
        <v/>
      </c>
      <c r="AE106" s="3">
        <f>IF(IFERROR(VLOOKUP(D106,Controls!$A$36:$E$46,2,FALSE()),"No")="Yes",1,0)</f>
        <v/>
      </c>
      <c r="AF106" s="3">
        <f>IF(IFERROR(VLOOKUP(D106,Controls!$A$36:$E$46,3,FALSE()),"No")="Yes",1,0)</f>
        <v/>
      </c>
      <c r="AG106" s="3">
        <f>IF(IFERROR(VLOOKUP(D106,Controls!$A$36:$E$46,4,FALSE()),"No")="Yes",1,0)</f>
        <v/>
      </c>
      <c r="AH106" s="3">
        <f>IF(IFERROR(VLOOKUP(D106,Controls!$A$36:$E$46,5,FALSE()),"No")="Yes",1,0)</f>
        <v/>
      </c>
      <c r="AI106" s="3">
        <f>IF(ISNUMBER(MATCH(D106,Controls!$A$36:$A$46,0)),1,0)</f>
        <v/>
      </c>
      <c r="AJ106" s="28">
        <f>Q106-N106</f>
        <v/>
      </c>
      <c r="AK106" s="3">
        <f>IF(AE106=1,MAX(0,N106-Q106),0)</f>
        <v/>
      </c>
      <c r="AL106" s="3">
        <f>IF(OR(V106="",V106=0),0,N106/V106)</f>
        <v/>
      </c>
      <c r="AM106" s="3">
        <f>IF(OR(V106="",V106=0),0,1)</f>
        <v/>
      </c>
      <c r="AN106" s="3">
        <f>IF(OR(E106="",F106=""),0,NETWORKDAYS(E106,F106,Ref!$K$2:$K$42))</f>
        <v/>
      </c>
      <c r="AO106" s="3">
        <f>IF(L106="Renewal",1,0)</f>
        <v/>
      </c>
      <c r="AP106" s="3">
        <f>AC106*AD106</f>
        <v/>
      </c>
      <c r="AQ106" s="3">
        <f>IF(AND(G106&lt;&gt;"",'Historical Score'!$C$6&lt;&gt;""),IF(G106='Historical Score'!$C$6,1,0),0)</f>
        <v/>
      </c>
      <c r="AR106" s="3">
        <f>IF(AND(L106&lt;&gt;"",'Historical Score'!$C$5&lt;&gt;""),IF(L106='Historical Score'!$C$5,1,0),0)</f>
        <v/>
      </c>
      <c r="AS106" s="3">
        <f>IF(AND(Y106&lt;&gt;"",'Historical Score'!$C$7&lt;&gt;""),IF(Y106='Historical Score'!$C$7,1,0),0)</f>
        <v/>
      </c>
      <c r="AT106" s="3">
        <f>IF(AND(K106&lt;&gt;"",'Historical Score'!$C$8&lt;&gt;""),IF(K106='Historical Score'!$C$8,1,0),0)</f>
        <v/>
      </c>
      <c r="AU106" s="3" t="n"/>
      <c r="AV106" s="3" t="n"/>
      <c r="AW106" s="3" t="n"/>
      <c r="AX106" s="3" t="n"/>
      <c r="AY106" s="3" t="n"/>
      <c r="AZ106" s="3" t="n"/>
      <c r="BA106" s="182">
        <f>IF(AD106=1,(AR106*'Historical Score'!$K$29+1-'Historical Score'!$K$29)*(AT106*'Historical Score'!$L$29+1-'Historical Score'!$L$29)*(AS106*'Historical Score'!$M$29+1-'Historical Score'!$M$29)*(AQ106*'Historical Score'!$N$29+1-'Historical Score'!$N$29),0)</f>
        <v/>
      </c>
      <c r="BB106" s="3" t="n"/>
      <c r="BC106" s="3" t="n"/>
    </row>
    <row r="107" ht="15.75" customHeight="1" s="174">
      <c r="A107" s="3" t="inlineStr">
        <is>
          <t>5674157967</t>
        </is>
      </c>
      <c r="B107" s="3" t="inlineStr">
        <is>
          <t>Cafe Gripon's</t>
        </is>
      </c>
      <c r="C107" s="3" t="inlineStr">
        <is>
          <t>Gripon Group LLC</t>
        </is>
      </c>
      <c r="D107" s="3" t="inlineStr">
        <is>
          <t>Closed</t>
        </is>
      </c>
      <c r="E107" s="23" t="n">
        <v>45798</v>
      </c>
      <c r="F107" s="23" t="n">
        <v>45953</v>
      </c>
      <c r="G107" s="3" t="n">
        <v>6</v>
      </c>
      <c r="H107" s="3" t="inlineStr">
        <is>
          <t>5812</t>
        </is>
      </c>
      <c r="I107" s="3" t="inlineStr">
        <is>
          <t>58</t>
        </is>
      </c>
      <c r="J107" s="3" t="inlineStr">
        <is>
          <t>TX</t>
        </is>
      </c>
      <c r="K107" s="3" t="inlineStr">
        <is>
          <t>Samson Funding</t>
        </is>
      </c>
      <c r="L107" s="3" t="inlineStr">
        <is>
          <t>New Deal</t>
        </is>
      </c>
      <c r="M107" s="3" t="n">
        <v>1.49</v>
      </c>
      <c r="N107" s="28" t="n">
        <v>30000</v>
      </c>
      <c r="O107" s="28" t="n">
        <v>4200</v>
      </c>
      <c r="P107" s="28" t="n">
        <v>44700</v>
      </c>
      <c r="Q107" s="28" t="n">
        <v>44700</v>
      </c>
      <c r="R107" s="28" t="n">
        <v>0</v>
      </c>
      <c r="S107" s="42" t="n">
        <v>1</v>
      </c>
      <c r="T107" s="3" t="n">
        <v>4.262</v>
      </c>
      <c r="U107" s="3" t="n">
        <v>13</v>
      </c>
      <c r="V107" s="3" t="n"/>
      <c r="W107" s="42" t="n">
        <v>0.08019999999999999</v>
      </c>
      <c r="X107" s="23" t="n">
        <v>45798</v>
      </c>
      <c r="Y107" s="3">
        <f>IF(I107="","No SIC",IFERROR(VLOOKUP(I107,Ref!$A$2:$B$65,2,FALSE()),"Unclassified"))</f>
        <v/>
      </c>
      <c r="Z107" s="3">
        <f>IF(T107="","",IF(T107&lt;12,"Daily","Weekly"))</f>
        <v/>
      </c>
      <c r="AA107" s="3">
        <f>IF(T107="",0,IF(T107&lt;12,T107*Controls!$B$13,T107*5))</f>
        <v/>
      </c>
      <c r="AB107" s="3">
        <f>IF(E107="",0,NETWORKDAYS(E107,Controls!$B$20,Ref!$K$2:$K$42))</f>
        <v/>
      </c>
      <c r="AC107" s="3">
        <f>IF(OR(AF107=1,AND(AA107&gt;0,AB107&gt;=Controls!$B$23*AA107)),1,0)</f>
        <v/>
      </c>
      <c r="AD107" s="3">
        <f>IF(AND(E107&lt;&gt;"",E107&gt;=Controls!$B$21,E107&lt;=Controls!$B$22),1,0)</f>
        <v/>
      </c>
      <c r="AE107" s="3">
        <f>IF(IFERROR(VLOOKUP(D107,Controls!$A$36:$E$46,2,FALSE()),"No")="Yes",1,0)</f>
        <v/>
      </c>
      <c r="AF107" s="3">
        <f>IF(IFERROR(VLOOKUP(D107,Controls!$A$36:$E$46,3,FALSE()),"No")="Yes",1,0)</f>
        <v/>
      </c>
      <c r="AG107" s="3">
        <f>IF(IFERROR(VLOOKUP(D107,Controls!$A$36:$E$46,4,FALSE()),"No")="Yes",1,0)</f>
        <v/>
      </c>
      <c r="AH107" s="3">
        <f>IF(IFERROR(VLOOKUP(D107,Controls!$A$36:$E$46,5,FALSE()),"No")="Yes",1,0)</f>
        <v/>
      </c>
      <c r="AI107" s="3">
        <f>IF(ISNUMBER(MATCH(D107,Controls!$A$36:$A$46,0)),1,0)</f>
        <v/>
      </c>
      <c r="AJ107" s="28">
        <f>Q107-N107</f>
        <v/>
      </c>
      <c r="AK107" s="3">
        <f>IF(AE107=1,MAX(0,N107-Q107),0)</f>
        <v/>
      </c>
      <c r="AL107" s="3">
        <f>IF(OR(V107="",V107=0),0,N107/V107)</f>
        <v/>
      </c>
      <c r="AM107" s="3">
        <f>IF(OR(V107="",V107=0),0,1)</f>
        <v/>
      </c>
      <c r="AN107" s="3">
        <f>IF(OR(E107="",F107=""),0,NETWORKDAYS(E107,F107,Ref!$K$2:$K$42))</f>
        <v/>
      </c>
      <c r="AO107" s="3">
        <f>IF(L107="Renewal",1,0)</f>
        <v/>
      </c>
      <c r="AP107" s="3">
        <f>AC107*AD107</f>
        <v/>
      </c>
      <c r="AQ107" s="3">
        <f>IF(AND(G107&lt;&gt;"",'Historical Score'!$C$6&lt;&gt;""),IF(G107='Historical Score'!$C$6,1,0),0)</f>
        <v/>
      </c>
      <c r="AR107" s="3">
        <f>IF(AND(L107&lt;&gt;"",'Historical Score'!$C$5&lt;&gt;""),IF(L107='Historical Score'!$C$5,1,0),0)</f>
        <v/>
      </c>
      <c r="AS107" s="3">
        <f>IF(AND(Y107&lt;&gt;"",'Historical Score'!$C$7&lt;&gt;""),IF(Y107='Historical Score'!$C$7,1,0),0)</f>
        <v/>
      </c>
      <c r="AT107" s="3">
        <f>IF(AND(K107&lt;&gt;"",'Historical Score'!$C$8&lt;&gt;""),IF(K107='Historical Score'!$C$8,1,0),0)</f>
        <v/>
      </c>
      <c r="AU107" s="3" t="n"/>
      <c r="AV107" s="3" t="n"/>
      <c r="AW107" s="3" t="n"/>
      <c r="AX107" s="3" t="n"/>
      <c r="AY107" s="3" t="n"/>
      <c r="AZ107" s="3" t="n"/>
      <c r="BA107" s="182">
        <f>IF(AD107=1,(AR107*'Historical Score'!$K$29+1-'Historical Score'!$K$29)*(AT107*'Historical Score'!$L$29+1-'Historical Score'!$L$29)*(AS107*'Historical Score'!$M$29+1-'Historical Score'!$M$29)*(AQ107*'Historical Score'!$N$29+1-'Historical Score'!$N$29),0)</f>
        <v/>
      </c>
      <c r="BB107" s="3" t="n"/>
      <c r="BC107" s="3" t="n"/>
    </row>
    <row r="108" ht="15.75" customHeight="1" s="174">
      <c r="A108" s="3" t="inlineStr">
        <is>
          <t>5674157987</t>
        </is>
      </c>
      <c r="B108" s="3" t="inlineStr">
        <is>
          <t>Organ Mountain Food Group NM</t>
        </is>
      </c>
      <c r="C108" s="3" t="inlineStr">
        <is>
          <t>ORGAN MOUNTAIN FOOD GROUP NM LLC</t>
        </is>
      </c>
      <c r="D108" s="3" t="inlineStr">
        <is>
          <t>Closed</t>
        </is>
      </c>
      <c r="E108" s="23" t="n">
        <v>45798</v>
      </c>
      <c r="F108" s="23" t="n">
        <v>45869</v>
      </c>
      <c r="G108" s="3" t="n">
        <v>3</v>
      </c>
      <c r="H108" s="3" t="inlineStr">
        <is>
          <t>5812</t>
        </is>
      </c>
      <c r="I108" s="3" t="inlineStr">
        <is>
          <t>58</t>
        </is>
      </c>
      <c r="J108" s="3" t="inlineStr">
        <is>
          <t>NM</t>
        </is>
      </c>
      <c r="K108" s="3" t="inlineStr">
        <is>
          <t>Premium Capital (AMRK)</t>
        </is>
      </c>
      <c r="L108" s="3" t="inlineStr">
        <is>
          <t>New Deal</t>
        </is>
      </c>
      <c r="M108" s="3" t="n">
        <v>1.49</v>
      </c>
      <c r="N108" s="28" t="n">
        <v>25000</v>
      </c>
      <c r="O108" s="28" t="n">
        <v>3500</v>
      </c>
      <c r="P108" s="28" t="n">
        <v>37250</v>
      </c>
      <c r="Q108" s="28" t="n">
        <v>37250</v>
      </c>
      <c r="R108" s="28" t="n">
        <v>0</v>
      </c>
      <c r="S108" s="42" t="n">
        <v>1</v>
      </c>
      <c r="T108" s="3" t="n">
        <v>3.279</v>
      </c>
      <c r="U108" s="3" t="n">
        <v>0</v>
      </c>
      <c r="V108" s="3" t="n"/>
      <c r="W108" s="42" t="n">
        <v>0.1105</v>
      </c>
      <c r="X108" s="23" t="n">
        <v>45798</v>
      </c>
      <c r="Y108" s="3">
        <f>IF(I108="","No SIC",IFERROR(VLOOKUP(I108,Ref!$A$2:$B$65,2,FALSE()),"Unclassified"))</f>
        <v/>
      </c>
      <c r="Z108" s="3">
        <f>IF(T108="","",IF(T108&lt;12,"Daily","Weekly"))</f>
        <v/>
      </c>
      <c r="AA108" s="3">
        <f>IF(T108="",0,IF(T108&lt;12,T108*Controls!$B$13,T108*5))</f>
        <v/>
      </c>
      <c r="AB108" s="3">
        <f>IF(E108="",0,NETWORKDAYS(E108,Controls!$B$20,Ref!$K$2:$K$42))</f>
        <v/>
      </c>
      <c r="AC108" s="3">
        <f>IF(OR(AF108=1,AND(AA108&gt;0,AB108&gt;=Controls!$B$23*AA108)),1,0)</f>
        <v/>
      </c>
      <c r="AD108" s="3">
        <f>IF(AND(E108&lt;&gt;"",E108&gt;=Controls!$B$21,E108&lt;=Controls!$B$22),1,0)</f>
        <v/>
      </c>
      <c r="AE108" s="3">
        <f>IF(IFERROR(VLOOKUP(D108,Controls!$A$36:$E$46,2,FALSE()),"No")="Yes",1,0)</f>
        <v/>
      </c>
      <c r="AF108" s="3">
        <f>IF(IFERROR(VLOOKUP(D108,Controls!$A$36:$E$46,3,FALSE()),"No")="Yes",1,0)</f>
        <v/>
      </c>
      <c r="AG108" s="3">
        <f>IF(IFERROR(VLOOKUP(D108,Controls!$A$36:$E$46,4,FALSE()),"No")="Yes",1,0)</f>
        <v/>
      </c>
      <c r="AH108" s="3">
        <f>IF(IFERROR(VLOOKUP(D108,Controls!$A$36:$E$46,5,FALSE()),"No")="Yes",1,0)</f>
        <v/>
      </c>
      <c r="AI108" s="3">
        <f>IF(ISNUMBER(MATCH(D108,Controls!$A$36:$A$46,0)),1,0)</f>
        <v/>
      </c>
      <c r="AJ108" s="28">
        <f>Q108-N108</f>
        <v/>
      </c>
      <c r="AK108" s="3">
        <f>IF(AE108=1,MAX(0,N108-Q108),0)</f>
        <v/>
      </c>
      <c r="AL108" s="3">
        <f>IF(OR(V108="",V108=0),0,N108/V108)</f>
        <v/>
      </c>
      <c r="AM108" s="3">
        <f>IF(OR(V108="",V108=0),0,1)</f>
        <v/>
      </c>
      <c r="AN108" s="3">
        <f>IF(OR(E108="",F108=""),0,NETWORKDAYS(E108,F108,Ref!$K$2:$K$42))</f>
        <v/>
      </c>
      <c r="AO108" s="3">
        <f>IF(L108="Renewal",1,0)</f>
        <v/>
      </c>
      <c r="AP108" s="3">
        <f>AC108*AD108</f>
        <v/>
      </c>
      <c r="AQ108" s="3">
        <f>IF(AND(G108&lt;&gt;"",'Historical Score'!$C$6&lt;&gt;""),IF(G108='Historical Score'!$C$6,1,0),0)</f>
        <v/>
      </c>
      <c r="AR108" s="3">
        <f>IF(AND(L108&lt;&gt;"",'Historical Score'!$C$5&lt;&gt;""),IF(L108='Historical Score'!$C$5,1,0),0)</f>
        <v/>
      </c>
      <c r="AS108" s="3">
        <f>IF(AND(Y108&lt;&gt;"",'Historical Score'!$C$7&lt;&gt;""),IF(Y108='Historical Score'!$C$7,1,0),0)</f>
        <v/>
      </c>
      <c r="AT108" s="3">
        <f>IF(AND(K108&lt;&gt;"",'Historical Score'!$C$8&lt;&gt;""),IF(K108='Historical Score'!$C$8,1,0),0)</f>
        <v/>
      </c>
      <c r="AU108" s="3" t="n"/>
      <c r="AV108" s="3" t="n"/>
      <c r="AW108" s="3" t="n"/>
      <c r="AX108" s="3" t="n"/>
      <c r="AY108" s="3" t="n"/>
      <c r="AZ108" s="3" t="n"/>
      <c r="BA108" s="182">
        <f>IF(AD108=1,(AR108*'Historical Score'!$K$29+1-'Historical Score'!$K$29)*(AT108*'Historical Score'!$L$29+1-'Historical Score'!$L$29)*(AS108*'Historical Score'!$M$29+1-'Historical Score'!$M$29)*(AQ108*'Historical Score'!$N$29+1-'Historical Score'!$N$29),0)</f>
        <v/>
      </c>
      <c r="BB108" s="3" t="n"/>
      <c r="BC108" s="3" t="n"/>
    </row>
    <row r="109" ht="15.75" customHeight="1" s="174">
      <c r="A109" s="3" t="inlineStr">
        <is>
          <t>5674158038</t>
        </is>
      </c>
      <c r="B109" s="3" t="inlineStr">
        <is>
          <t>Tillis Transportation LLC</t>
        </is>
      </c>
      <c r="C109" s="3" t="inlineStr">
        <is>
          <t>Tillis Transportation LLC</t>
        </is>
      </c>
      <c r="D109" s="3" t="inlineStr">
        <is>
          <t>Legal</t>
        </is>
      </c>
      <c r="E109" s="23" t="n">
        <v>45799</v>
      </c>
      <c r="F109" s="23" t="n">
        <v>45812</v>
      </c>
      <c r="G109" s="3" t="n">
        <v>3</v>
      </c>
      <c r="H109" s="3" t="inlineStr">
        <is>
          <t>4212</t>
        </is>
      </c>
      <c r="I109" s="3" t="inlineStr">
        <is>
          <t>42</t>
        </is>
      </c>
      <c r="J109" s="3" t="inlineStr">
        <is>
          <t>AL</t>
        </is>
      </c>
      <c r="K109" s="3" t="inlineStr">
        <is>
          <t>Viking Funding LLC</t>
        </is>
      </c>
      <c r="L109" s="3" t="inlineStr">
        <is>
          <t>New Deal</t>
        </is>
      </c>
      <c r="M109" s="3" t="n">
        <v>1.45</v>
      </c>
      <c r="N109" s="28" t="n">
        <v>10000</v>
      </c>
      <c r="O109" s="28" t="n">
        <v>0</v>
      </c>
      <c r="P109" s="28" t="n">
        <v>14500</v>
      </c>
      <c r="Q109" s="28" t="n">
        <v>181.11</v>
      </c>
      <c r="R109" s="28" t="n">
        <v>14318.89</v>
      </c>
      <c r="S109" s="42" t="n">
        <v>0.0124903448275862</v>
      </c>
      <c r="T109" s="3" t="n">
        <v>2.623</v>
      </c>
      <c r="U109" s="3" t="n">
        <v>7</v>
      </c>
      <c r="V109" s="3" t="n"/>
      <c r="W109" s="42" t="n">
        <v>0.0589</v>
      </c>
      <c r="X109" s="23" t="n">
        <v>45799</v>
      </c>
      <c r="Y109" s="3">
        <f>IF(I109="","No SIC",IFERROR(VLOOKUP(I109,Ref!$A$2:$B$65,2,FALSE()),"Unclassified"))</f>
        <v/>
      </c>
      <c r="Z109" s="3">
        <f>IF(T109="","",IF(T109&lt;12,"Daily","Weekly"))</f>
        <v/>
      </c>
      <c r="AA109" s="3">
        <f>IF(T109="",0,IF(T109&lt;12,T109*Controls!$B$13,T109*5))</f>
        <v/>
      </c>
      <c r="AB109" s="3">
        <f>IF(E109="",0,NETWORKDAYS(E109,Controls!$B$20,Ref!$K$2:$K$42))</f>
        <v/>
      </c>
      <c r="AC109" s="3">
        <f>IF(OR(AF109=1,AND(AA109&gt;0,AB109&gt;=Controls!$B$23*AA109)),1,0)</f>
        <v/>
      </c>
      <c r="AD109" s="3">
        <f>IF(AND(E109&lt;&gt;"",E109&gt;=Controls!$B$21,E109&lt;=Controls!$B$22),1,0)</f>
        <v/>
      </c>
      <c r="AE109" s="3">
        <f>IF(IFERROR(VLOOKUP(D109,Controls!$A$36:$E$46,2,FALSE()),"No")="Yes",1,0)</f>
        <v/>
      </c>
      <c r="AF109" s="3">
        <f>IF(IFERROR(VLOOKUP(D109,Controls!$A$36:$E$46,3,FALSE()),"No")="Yes",1,0)</f>
        <v/>
      </c>
      <c r="AG109" s="3">
        <f>IF(IFERROR(VLOOKUP(D109,Controls!$A$36:$E$46,4,FALSE()),"No")="Yes",1,0)</f>
        <v/>
      </c>
      <c r="AH109" s="3">
        <f>IF(IFERROR(VLOOKUP(D109,Controls!$A$36:$E$46,5,FALSE()),"No")="Yes",1,0)</f>
        <v/>
      </c>
      <c r="AI109" s="3">
        <f>IF(ISNUMBER(MATCH(D109,Controls!$A$36:$A$46,0)),1,0)</f>
        <v/>
      </c>
      <c r="AJ109" s="28">
        <f>Q109-N109</f>
        <v/>
      </c>
      <c r="AK109" s="3">
        <f>IF(AE109=1,MAX(0,N109-Q109),0)</f>
        <v/>
      </c>
      <c r="AL109" s="3">
        <f>IF(OR(V109="",V109=0),0,N109/V109)</f>
        <v/>
      </c>
      <c r="AM109" s="3">
        <f>IF(OR(V109="",V109=0),0,1)</f>
        <v/>
      </c>
      <c r="AN109" s="3">
        <f>IF(OR(E109="",F109=""),0,NETWORKDAYS(E109,F109,Ref!$K$2:$K$42))</f>
        <v/>
      </c>
      <c r="AO109" s="3">
        <f>IF(L109="Renewal",1,0)</f>
        <v/>
      </c>
      <c r="AP109" s="3">
        <f>AC109*AD109</f>
        <v/>
      </c>
      <c r="AQ109" s="3">
        <f>IF(AND(G109&lt;&gt;"",'Historical Score'!$C$6&lt;&gt;""),IF(G109='Historical Score'!$C$6,1,0),0)</f>
        <v/>
      </c>
      <c r="AR109" s="3">
        <f>IF(AND(L109&lt;&gt;"",'Historical Score'!$C$5&lt;&gt;""),IF(L109='Historical Score'!$C$5,1,0),0)</f>
        <v/>
      </c>
      <c r="AS109" s="3">
        <f>IF(AND(Y109&lt;&gt;"",'Historical Score'!$C$7&lt;&gt;""),IF(Y109='Historical Score'!$C$7,1,0),0)</f>
        <v/>
      </c>
      <c r="AT109" s="3">
        <f>IF(AND(K109&lt;&gt;"",'Historical Score'!$C$8&lt;&gt;""),IF(K109='Historical Score'!$C$8,1,0),0)</f>
        <v/>
      </c>
      <c r="AU109" s="3" t="n"/>
      <c r="AV109" s="3" t="n"/>
      <c r="AW109" s="3" t="n"/>
      <c r="AX109" s="3" t="n"/>
      <c r="AY109" s="3" t="n"/>
      <c r="AZ109" s="3" t="n"/>
      <c r="BA109" s="182">
        <f>IF(AD109=1,(AR109*'Historical Score'!$K$29+1-'Historical Score'!$K$29)*(AT109*'Historical Score'!$L$29+1-'Historical Score'!$L$29)*(AS109*'Historical Score'!$M$29+1-'Historical Score'!$M$29)*(AQ109*'Historical Score'!$N$29+1-'Historical Score'!$N$29),0)</f>
        <v/>
      </c>
      <c r="BB109" s="3" t="n"/>
      <c r="BC109" s="3" t="n"/>
    </row>
    <row r="110" ht="15.75" customHeight="1" s="174">
      <c r="A110" s="3" t="inlineStr">
        <is>
          <t>5674158061</t>
        </is>
      </c>
      <c r="B110" s="3" t="inlineStr">
        <is>
          <t>Skoog Construction</t>
        </is>
      </c>
      <c r="C110" s="3" t="inlineStr">
        <is>
          <t>Skoog Construction</t>
        </is>
      </c>
      <c r="D110" s="3" t="inlineStr">
        <is>
          <t>Legal</t>
        </is>
      </c>
      <c r="E110" s="23" t="n">
        <v>45799</v>
      </c>
      <c r="F110" s="23" t="n">
        <v>46234</v>
      </c>
      <c r="G110" s="3" t="n">
        <v>3</v>
      </c>
      <c r="H110" s="3" t="inlineStr">
        <is>
          <t>1522</t>
        </is>
      </c>
      <c r="I110" s="3" t="inlineStr">
        <is>
          <t>15</t>
        </is>
      </c>
      <c r="J110" s="3" t="inlineStr">
        <is>
          <t>ID</t>
        </is>
      </c>
      <c r="K110" s="3" t="inlineStr">
        <is>
          <t>Westwood</t>
        </is>
      </c>
      <c r="L110" s="3" t="inlineStr">
        <is>
          <t>New Deal</t>
        </is>
      </c>
      <c r="M110" s="3" t="n">
        <v>1.49</v>
      </c>
      <c r="N110" s="28" t="n">
        <v>10000</v>
      </c>
      <c r="O110" s="28" t="n">
        <v>1400</v>
      </c>
      <c r="P110" s="28" t="n">
        <v>14900</v>
      </c>
      <c r="Q110" s="28" t="n">
        <v>14829.18</v>
      </c>
      <c r="R110" s="28" t="n">
        <v>70.81999999999969</v>
      </c>
      <c r="S110" s="42" t="n">
        <v>0.995246979865772</v>
      </c>
      <c r="T110" s="3" t="n">
        <v>1.967</v>
      </c>
      <c r="U110" s="3" t="n">
        <v>8</v>
      </c>
      <c r="V110" s="3" t="n"/>
      <c r="W110" s="42" t="n">
        <v>0.1254</v>
      </c>
      <c r="X110" s="23" t="n">
        <v>45799</v>
      </c>
      <c r="Y110" s="3">
        <f>IF(I110="","No SIC",IFERROR(VLOOKUP(I110,Ref!$A$2:$B$65,2,FALSE()),"Unclassified"))</f>
        <v/>
      </c>
      <c r="Z110" s="3">
        <f>IF(T110="","",IF(T110&lt;12,"Daily","Weekly"))</f>
        <v/>
      </c>
      <c r="AA110" s="3">
        <f>IF(T110="",0,IF(T110&lt;12,T110*Controls!$B$13,T110*5))</f>
        <v/>
      </c>
      <c r="AB110" s="3">
        <f>IF(E110="",0,NETWORKDAYS(E110,Controls!$B$20,Ref!$K$2:$K$42))</f>
        <v/>
      </c>
      <c r="AC110" s="3">
        <f>IF(OR(AF110=1,AND(AA110&gt;0,AB110&gt;=Controls!$B$23*AA110)),1,0)</f>
        <v/>
      </c>
      <c r="AD110" s="3">
        <f>IF(AND(E110&lt;&gt;"",E110&gt;=Controls!$B$21,E110&lt;=Controls!$B$22),1,0)</f>
        <v/>
      </c>
      <c r="AE110" s="3">
        <f>IF(IFERROR(VLOOKUP(D110,Controls!$A$36:$E$46,2,FALSE()),"No")="Yes",1,0)</f>
        <v/>
      </c>
      <c r="AF110" s="3">
        <f>IF(IFERROR(VLOOKUP(D110,Controls!$A$36:$E$46,3,FALSE()),"No")="Yes",1,0)</f>
        <v/>
      </c>
      <c r="AG110" s="3">
        <f>IF(IFERROR(VLOOKUP(D110,Controls!$A$36:$E$46,4,FALSE()),"No")="Yes",1,0)</f>
        <v/>
      </c>
      <c r="AH110" s="3">
        <f>IF(IFERROR(VLOOKUP(D110,Controls!$A$36:$E$46,5,FALSE()),"No")="Yes",1,0)</f>
        <v/>
      </c>
      <c r="AI110" s="3">
        <f>IF(ISNUMBER(MATCH(D110,Controls!$A$36:$A$46,0)),1,0)</f>
        <v/>
      </c>
      <c r="AJ110" s="28">
        <f>Q110-N110</f>
        <v/>
      </c>
      <c r="AK110" s="3">
        <f>IF(AE110=1,MAX(0,N110-Q110),0)</f>
        <v/>
      </c>
      <c r="AL110" s="3">
        <f>IF(OR(V110="",V110=0),0,N110/V110)</f>
        <v/>
      </c>
      <c r="AM110" s="3">
        <f>IF(OR(V110="",V110=0),0,1)</f>
        <v/>
      </c>
      <c r="AN110" s="3">
        <f>IF(OR(E110="",F110=""),0,NETWORKDAYS(E110,F110,Ref!$K$2:$K$42))</f>
        <v/>
      </c>
      <c r="AO110" s="3">
        <f>IF(L110="Renewal",1,0)</f>
        <v/>
      </c>
      <c r="AP110" s="3">
        <f>AC110*AD110</f>
        <v/>
      </c>
      <c r="AQ110" s="3">
        <f>IF(AND(G110&lt;&gt;"",'Historical Score'!$C$6&lt;&gt;""),IF(G110='Historical Score'!$C$6,1,0),0)</f>
        <v/>
      </c>
      <c r="AR110" s="3">
        <f>IF(AND(L110&lt;&gt;"",'Historical Score'!$C$5&lt;&gt;""),IF(L110='Historical Score'!$C$5,1,0),0)</f>
        <v/>
      </c>
      <c r="AS110" s="3">
        <f>IF(AND(Y110&lt;&gt;"",'Historical Score'!$C$7&lt;&gt;""),IF(Y110='Historical Score'!$C$7,1,0),0)</f>
        <v/>
      </c>
      <c r="AT110" s="3">
        <f>IF(AND(K110&lt;&gt;"",'Historical Score'!$C$8&lt;&gt;""),IF(K110='Historical Score'!$C$8,1,0),0)</f>
        <v/>
      </c>
      <c r="AU110" s="3" t="n"/>
      <c r="AV110" s="3" t="n"/>
      <c r="AW110" s="3" t="n"/>
      <c r="AX110" s="3" t="n"/>
      <c r="AY110" s="3" t="n"/>
      <c r="AZ110" s="3" t="n"/>
      <c r="BA110" s="182">
        <f>IF(AD110=1,(AR110*'Historical Score'!$K$29+1-'Historical Score'!$K$29)*(AT110*'Historical Score'!$L$29+1-'Historical Score'!$L$29)*(AS110*'Historical Score'!$M$29+1-'Historical Score'!$M$29)*(AQ110*'Historical Score'!$N$29+1-'Historical Score'!$N$29),0)</f>
        <v/>
      </c>
      <c r="BB110" s="3" t="n"/>
      <c r="BC110" s="3" t="n"/>
    </row>
    <row r="111" ht="15.75" customHeight="1" s="174">
      <c r="A111" s="3" t="inlineStr">
        <is>
          <t>5674158214</t>
        </is>
      </c>
      <c r="B111" s="3" t="inlineStr">
        <is>
          <t>KCG LLC</t>
        </is>
      </c>
      <c r="C111" s="3" t="inlineStr">
        <is>
          <t>KCG LLC</t>
        </is>
      </c>
      <c r="D111" s="3" t="inlineStr">
        <is>
          <t>Closed</t>
        </is>
      </c>
      <c r="E111" s="23" t="n">
        <v>45800</v>
      </c>
      <c r="F111" s="23" t="n">
        <v>45905</v>
      </c>
      <c r="G111" s="3" t="n">
        <v>4</v>
      </c>
      <c r="H111" s="3" t="inlineStr">
        <is>
          <t>1521</t>
        </is>
      </c>
      <c r="I111" s="3" t="inlineStr">
        <is>
          <t>15</t>
        </is>
      </c>
      <c r="J111" s="3" t="inlineStr">
        <is>
          <t>No state</t>
        </is>
      </c>
      <c r="K111" s="3" t="inlineStr">
        <is>
          <t>Elite Advance 5</t>
        </is>
      </c>
      <c r="L111" s="3" t="inlineStr">
        <is>
          <t>New Deal</t>
        </is>
      </c>
      <c r="M111" s="3" t="n">
        <v>1.499</v>
      </c>
      <c r="N111" s="28" t="n">
        <v>7000</v>
      </c>
      <c r="O111" s="28" t="n">
        <v>980</v>
      </c>
      <c r="P111" s="28" t="n">
        <v>10493</v>
      </c>
      <c r="Q111" s="28" t="n">
        <v>10493</v>
      </c>
      <c r="R111" s="28" t="n">
        <v>0</v>
      </c>
      <c r="S111" s="42" t="n">
        <v>1</v>
      </c>
      <c r="T111" s="3" t="n">
        <v>2.459</v>
      </c>
      <c r="U111" s="3" t="n">
        <v>9</v>
      </c>
      <c r="V111" s="3" t="n"/>
      <c r="W111" s="42" t="n">
        <v>0.0229</v>
      </c>
      <c r="X111" s="23" t="n">
        <v>45800</v>
      </c>
      <c r="Y111" s="3">
        <f>IF(I111="","No SIC",IFERROR(VLOOKUP(I111,Ref!$A$2:$B$65,2,FALSE()),"Unclassified"))</f>
        <v/>
      </c>
      <c r="Z111" s="3">
        <f>IF(T111="","",IF(T111&lt;12,"Daily","Weekly"))</f>
        <v/>
      </c>
      <c r="AA111" s="3">
        <f>IF(T111="",0,IF(T111&lt;12,T111*Controls!$B$13,T111*5))</f>
        <v/>
      </c>
      <c r="AB111" s="3">
        <f>IF(E111="",0,NETWORKDAYS(E111,Controls!$B$20,Ref!$K$2:$K$42))</f>
        <v/>
      </c>
      <c r="AC111" s="3">
        <f>IF(OR(AF111=1,AND(AA111&gt;0,AB111&gt;=Controls!$B$23*AA111)),1,0)</f>
        <v/>
      </c>
      <c r="AD111" s="3">
        <f>IF(AND(E111&lt;&gt;"",E111&gt;=Controls!$B$21,E111&lt;=Controls!$B$22),1,0)</f>
        <v/>
      </c>
      <c r="AE111" s="3">
        <f>IF(IFERROR(VLOOKUP(D111,Controls!$A$36:$E$46,2,FALSE()),"No")="Yes",1,0)</f>
        <v/>
      </c>
      <c r="AF111" s="3">
        <f>IF(IFERROR(VLOOKUP(D111,Controls!$A$36:$E$46,3,FALSE()),"No")="Yes",1,0)</f>
        <v/>
      </c>
      <c r="AG111" s="3">
        <f>IF(IFERROR(VLOOKUP(D111,Controls!$A$36:$E$46,4,FALSE()),"No")="Yes",1,0)</f>
        <v/>
      </c>
      <c r="AH111" s="3">
        <f>IF(IFERROR(VLOOKUP(D111,Controls!$A$36:$E$46,5,FALSE()),"No")="Yes",1,0)</f>
        <v/>
      </c>
      <c r="AI111" s="3">
        <f>IF(ISNUMBER(MATCH(D111,Controls!$A$36:$A$46,0)),1,0)</f>
        <v/>
      </c>
      <c r="AJ111" s="28">
        <f>Q111-N111</f>
        <v/>
      </c>
      <c r="AK111" s="3">
        <f>IF(AE111=1,MAX(0,N111-Q111),0)</f>
        <v/>
      </c>
      <c r="AL111" s="3">
        <f>IF(OR(V111="",V111=0),0,N111/V111)</f>
        <v/>
      </c>
      <c r="AM111" s="3">
        <f>IF(OR(V111="",V111=0),0,1)</f>
        <v/>
      </c>
      <c r="AN111" s="3">
        <f>IF(OR(E111="",F111=""),0,NETWORKDAYS(E111,F111,Ref!$K$2:$K$42))</f>
        <v/>
      </c>
      <c r="AO111" s="3">
        <f>IF(L111="Renewal",1,0)</f>
        <v/>
      </c>
      <c r="AP111" s="3">
        <f>AC111*AD111</f>
        <v/>
      </c>
      <c r="AQ111" s="3">
        <f>IF(AND(G111&lt;&gt;"",'Historical Score'!$C$6&lt;&gt;""),IF(G111='Historical Score'!$C$6,1,0),0)</f>
        <v/>
      </c>
      <c r="AR111" s="3">
        <f>IF(AND(L111&lt;&gt;"",'Historical Score'!$C$5&lt;&gt;""),IF(L111='Historical Score'!$C$5,1,0),0)</f>
        <v/>
      </c>
      <c r="AS111" s="3">
        <f>IF(AND(Y111&lt;&gt;"",'Historical Score'!$C$7&lt;&gt;""),IF(Y111='Historical Score'!$C$7,1,0),0)</f>
        <v/>
      </c>
      <c r="AT111" s="3">
        <f>IF(AND(K111&lt;&gt;"",'Historical Score'!$C$8&lt;&gt;""),IF(K111='Historical Score'!$C$8,1,0),0)</f>
        <v/>
      </c>
      <c r="AU111" s="3" t="n"/>
      <c r="AV111" s="3" t="n"/>
      <c r="AW111" s="3" t="n"/>
      <c r="AX111" s="3" t="n"/>
      <c r="AY111" s="3" t="n"/>
      <c r="AZ111" s="3" t="n"/>
      <c r="BA111" s="182">
        <f>IF(AD111=1,(AR111*'Historical Score'!$K$29+1-'Historical Score'!$K$29)*(AT111*'Historical Score'!$L$29+1-'Historical Score'!$L$29)*(AS111*'Historical Score'!$M$29+1-'Historical Score'!$M$29)*(AQ111*'Historical Score'!$N$29+1-'Historical Score'!$N$29),0)</f>
        <v/>
      </c>
      <c r="BB111" s="3" t="n"/>
      <c r="BC111" s="3" t="n"/>
    </row>
    <row r="112" ht="15.75" customHeight="1" s="174">
      <c r="A112" s="3" t="inlineStr">
        <is>
          <t>5674158234</t>
        </is>
      </c>
      <c r="B112" s="3" t="inlineStr">
        <is>
          <t>Synergy Circuits, Inc</t>
        </is>
      </c>
      <c r="C112" s="3" t="inlineStr">
        <is>
          <t>Synergy Circuits, Inc.</t>
        </is>
      </c>
      <c r="D112" s="3" t="inlineStr">
        <is>
          <t>Closed</t>
        </is>
      </c>
      <c r="E112" s="23" t="n">
        <v>45800</v>
      </c>
      <c r="F112" s="23" t="n">
        <v>45960</v>
      </c>
      <c r="G112" s="3" t="n">
        <v>1</v>
      </c>
      <c r="H112" s="3" t="inlineStr">
        <is>
          <t>3672</t>
        </is>
      </c>
      <c r="I112" s="3" t="inlineStr">
        <is>
          <t>36</t>
        </is>
      </c>
      <c r="J112" s="3" t="inlineStr">
        <is>
          <t>No state</t>
        </is>
      </c>
      <c r="K112" s="3" t="inlineStr">
        <is>
          <t>GREYSTONE</t>
        </is>
      </c>
      <c r="L112" s="3" t="inlineStr">
        <is>
          <t>New Deal</t>
        </is>
      </c>
      <c r="M112" s="3" t="n">
        <v>1.47</v>
      </c>
      <c r="N112" s="28" t="n">
        <v>17500</v>
      </c>
      <c r="O112" s="28" t="n">
        <v>2275</v>
      </c>
      <c r="P112" s="28" t="n">
        <v>25725</v>
      </c>
      <c r="Q112" s="28" t="n">
        <v>25725</v>
      </c>
      <c r="R112" s="28" t="n">
        <v>0</v>
      </c>
      <c r="S112" s="42" t="n">
        <v>1</v>
      </c>
      <c r="T112" s="3" t="n">
        <v>20</v>
      </c>
      <c r="U112" s="3" t="n">
        <v>3</v>
      </c>
      <c r="V112" s="3" t="n"/>
      <c r="W112" s="42" t="n">
        <v>0.07679999999999999</v>
      </c>
      <c r="X112" s="23" t="n">
        <v>45800</v>
      </c>
      <c r="Y112" s="3">
        <f>IF(I112="","No SIC",IFERROR(VLOOKUP(I112,Ref!$A$2:$B$65,2,FALSE()),"Unclassified"))</f>
        <v/>
      </c>
      <c r="Z112" s="3">
        <f>IF(T112="","",IF(T112&lt;12,"Daily","Weekly"))</f>
        <v/>
      </c>
      <c r="AA112" s="3">
        <f>IF(T112="",0,IF(T112&lt;12,T112*Controls!$B$13,T112*5))</f>
        <v/>
      </c>
      <c r="AB112" s="3">
        <f>IF(E112="",0,NETWORKDAYS(E112,Controls!$B$20,Ref!$K$2:$K$42))</f>
        <v/>
      </c>
      <c r="AC112" s="3">
        <f>IF(OR(AF112=1,AND(AA112&gt;0,AB112&gt;=Controls!$B$23*AA112)),1,0)</f>
        <v/>
      </c>
      <c r="AD112" s="3">
        <f>IF(AND(E112&lt;&gt;"",E112&gt;=Controls!$B$21,E112&lt;=Controls!$B$22),1,0)</f>
        <v/>
      </c>
      <c r="AE112" s="3">
        <f>IF(IFERROR(VLOOKUP(D112,Controls!$A$36:$E$46,2,FALSE()),"No")="Yes",1,0)</f>
        <v/>
      </c>
      <c r="AF112" s="3">
        <f>IF(IFERROR(VLOOKUP(D112,Controls!$A$36:$E$46,3,FALSE()),"No")="Yes",1,0)</f>
        <v/>
      </c>
      <c r="AG112" s="3">
        <f>IF(IFERROR(VLOOKUP(D112,Controls!$A$36:$E$46,4,FALSE()),"No")="Yes",1,0)</f>
        <v/>
      </c>
      <c r="AH112" s="3">
        <f>IF(IFERROR(VLOOKUP(D112,Controls!$A$36:$E$46,5,FALSE()),"No")="Yes",1,0)</f>
        <v/>
      </c>
      <c r="AI112" s="3">
        <f>IF(ISNUMBER(MATCH(D112,Controls!$A$36:$A$46,0)),1,0)</f>
        <v/>
      </c>
      <c r="AJ112" s="28">
        <f>Q112-N112</f>
        <v/>
      </c>
      <c r="AK112" s="3">
        <f>IF(AE112=1,MAX(0,N112-Q112),0)</f>
        <v/>
      </c>
      <c r="AL112" s="3">
        <f>IF(OR(V112="",V112=0),0,N112/V112)</f>
        <v/>
      </c>
      <c r="AM112" s="3">
        <f>IF(OR(V112="",V112=0),0,1)</f>
        <v/>
      </c>
      <c r="AN112" s="3">
        <f>IF(OR(E112="",F112=""),0,NETWORKDAYS(E112,F112,Ref!$K$2:$K$42))</f>
        <v/>
      </c>
      <c r="AO112" s="3">
        <f>IF(L112="Renewal",1,0)</f>
        <v/>
      </c>
      <c r="AP112" s="3">
        <f>AC112*AD112</f>
        <v/>
      </c>
      <c r="AQ112" s="3">
        <f>IF(AND(G112&lt;&gt;"",'Historical Score'!$C$6&lt;&gt;""),IF(G112='Historical Score'!$C$6,1,0),0)</f>
        <v/>
      </c>
      <c r="AR112" s="3">
        <f>IF(AND(L112&lt;&gt;"",'Historical Score'!$C$5&lt;&gt;""),IF(L112='Historical Score'!$C$5,1,0),0)</f>
        <v/>
      </c>
      <c r="AS112" s="3">
        <f>IF(AND(Y112&lt;&gt;"",'Historical Score'!$C$7&lt;&gt;""),IF(Y112='Historical Score'!$C$7,1,0),0)</f>
        <v/>
      </c>
      <c r="AT112" s="3">
        <f>IF(AND(K112&lt;&gt;"",'Historical Score'!$C$8&lt;&gt;""),IF(K112='Historical Score'!$C$8,1,0),0)</f>
        <v/>
      </c>
      <c r="AU112" s="3" t="n"/>
      <c r="AV112" s="3" t="n"/>
      <c r="AW112" s="3" t="n"/>
      <c r="AX112" s="3" t="n"/>
      <c r="AY112" s="3" t="n"/>
      <c r="AZ112" s="3" t="n"/>
      <c r="BA112" s="182">
        <f>IF(AD112=1,(AR112*'Historical Score'!$K$29+1-'Historical Score'!$K$29)*(AT112*'Historical Score'!$L$29+1-'Historical Score'!$L$29)*(AS112*'Historical Score'!$M$29+1-'Historical Score'!$M$29)*(AQ112*'Historical Score'!$N$29+1-'Historical Score'!$N$29),0)</f>
        <v/>
      </c>
      <c r="BB112" s="3" t="n"/>
      <c r="BC112" s="3" t="n"/>
    </row>
    <row r="113" ht="15.75" customHeight="1" s="174">
      <c r="A113" s="3" t="inlineStr">
        <is>
          <t>5674158253</t>
        </is>
      </c>
      <c r="B113" s="3" t="inlineStr">
        <is>
          <t>Shoperies NE LLC</t>
        </is>
      </c>
      <c r="C113" s="3" t="inlineStr">
        <is>
          <t>Shoperies NE LLC</t>
        </is>
      </c>
      <c r="D113" s="3" t="inlineStr">
        <is>
          <t>Closed</t>
        </is>
      </c>
      <c r="E113" s="23" t="n">
        <v>45800</v>
      </c>
      <c r="F113" s="23" t="n">
        <v>45867</v>
      </c>
      <c r="G113" s="3" t="n">
        <v>3</v>
      </c>
      <c r="H113" s="3" t="inlineStr">
        <is>
          <t>5999</t>
        </is>
      </c>
      <c r="I113" s="3" t="inlineStr">
        <is>
          <t>59</t>
        </is>
      </c>
      <c r="J113" s="3" t="inlineStr">
        <is>
          <t>No state</t>
        </is>
      </c>
      <c r="K113" s="3" t="inlineStr">
        <is>
          <t>Westwood</t>
        </is>
      </c>
      <c r="L113" s="3" t="inlineStr">
        <is>
          <t>New Deal</t>
        </is>
      </c>
      <c r="M113" s="3" t="n">
        <v>1.499</v>
      </c>
      <c r="N113" s="28" t="n">
        <v>15000</v>
      </c>
      <c r="O113" s="28" t="n">
        <v>2100</v>
      </c>
      <c r="P113" s="28" t="n">
        <v>22485</v>
      </c>
      <c r="Q113" s="28" t="n">
        <v>22485</v>
      </c>
      <c r="R113" s="28" t="n">
        <v>0</v>
      </c>
      <c r="S113" s="42" t="n">
        <v>1</v>
      </c>
      <c r="T113" s="3" t="n">
        <v>2.295</v>
      </c>
      <c r="U113" s="3" t="n">
        <v>2</v>
      </c>
      <c r="V113" s="3" t="n"/>
      <c r="W113" s="42" t="n">
        <v>0.061</v>
      </c>
      <c r="X113" s="23" t="n">
        <v>45800</v>
      </c>
      <c r="Y113" s="3">
        <f>IF(I113="","No SIC",IFERROR(VLOOKUP(I113,Ref!$A$2:$B$65,2,FALSE()),"Unclassified"))</f>
        <v/>
      </c>
      <c r="Z113" s="3">
        <f>IF(T113="","",IF(T113&lt;12,"Daily","Weekly"))</f>
        <v/>
      </c>
      <c r="AA113" s="3">
        <f>IF(T113="",0,IF(T113&lt;12,T113*Controls!$B$13,T113*5))</f>
        <v/>
      </c>
      <c r="AB113" s="3">
        <f>IF(E113="",0,NETWORKDAYS(E113,Controls!$B$20,Ref!$K$2:$K$42))</f>
        <v/>
      </c>
      <c r="AC113" s="3">
        <f>IF(OR(AF113=1,AND(AA113&gt;0,AB113&gt;=Controls!$B$23*AA113)),1,0)</f>
        <v/>
      </c>
      <c r="AD113" s="3">
        <f>IF(AND(E113&lt;&gt;"",E113&gt;=Controls!$B$21,E113&lt;=Controls!$B$22),1,0)</f>
        <v/>
      </c>
      <c r="AE113" s="3">
        <f>IF(IFERROR(VLOOKUP(D113,Controls!$A$36:$E$46,2,FALSE()),"No")="Yes",1,0)</f>
        <v/>
      </c>
      <c r="AF113" s="3">
        <f>IF(IFERROR(VLOOKUP(D113,Controls!$A$36:$E$46,3,FALSE()),"No")="Yes",1,0)</f>
        <v/>
      </c>
      <c r="AG113" s="3">
        <f>IF(IFERROR(VLOOKUP(D113,Controls!$A$36:$E$46,4,FALSE()),"No")="Yes",1,0)</f>
        <v/>
      </c>
      <c r="AH113" s="3">
        <f>IF(IFERROR(VLOOKUP(D113,Controls!$A$36:$E$46,5,FALSE()),"No")="Yes",1,0)</f>
        <v/>
      </c>
      <c r="AI113" s="3">
        <f>IF(ISNUMBER(MATCH(D113,Controls!$A$36:$A$46,0)),1,0)</f>
        <v/>
      </c>
      <c r="AJ113" s="28">
        <f>Q113-N113</f>
        <v/>
      </c>
      <c r="AK113" s="3">
        <f>IF(AE113=1,MAX(0,N113-Q113),0)</f>
        <v/>
      </c>
      <c r="AL113" s="3">
        <f>IF(OR(V113="",V113=0),0,N113/V113)</f>
        <v/>
      </c>
      <c r="AM113" s="3">
        <f>IF(OR(V113="",V113=0),0,1)</f>
        <v/>
      </c>
      <c r="AN113" s="3">
        <f>IF(OR(E113="",F113=""),0,NETWORKDAYS(E113,F113,Ref!$K$2:$K$42))</f>
        <v/>
      </c>
      <c r="AO113" s="3">
        <f>IF(L113="Renewal",1,0)</f>
        <v/>
      </c>
      <c r="AP113" s="3">
        <f>AC113*AD113</f>
        <v/>
      </c>
      <c r="AQ113" s="3">
        <f>IF(AND(G113&lt;&gt;"",'Historical Score'!$C$6&lt;&gt;""),IF(G113='Historical Score'!$C$6,1,0),0)</f>
        <v/>
      </c>
      <c r="AR113" s="3">
        <f>IF(AND(L113&lt;&gt;"",'Historical Score'!$C$5&lt;&gt;""),IF(L113='Historical Score'!$C$5,1,0),0)</f>
        <v/>
      </c>
      <c r="AS113" s="3">
        <f>IF(AND(Y113&lt;&gt;"",'Historical Score'!$C$7&lt;&gt;""),IF(Y113='Historical Score'!$C$7,1,0),0)</f>
        <v/>
      </c>
      <c r="AT113" s="3">
        <f>IF(AND(K113&lt;&gt;"",'Historical Score'!$C$8&lt;&gt;""),IF(K113='Historical Score'!$C$8,1,0),0)</f>
        <v/>
      </c>
      <c r="AU113" s="3" t="n"/>
      <c r="AV113" s="3" t="n"/>
      <c r="AW113" s="3" t="n"/>
      <c r="AX113" s="3" t="n"/>
      <c r="AY113" s="3" t="n"/>
      <c r="AZ113" s="3" t="n"/>
      <c r="BA113" s="182">
        <f>IF(AD113=1,(AR113*'Historical Score'!$K$29+1-'Historical Score'!$K$29)*(AT113*'Historical Score'!$L$29+1-'Historical Score'!$L$29)*(AS113*'Historical Score'!$M$29+1-'Historical Score'!$M$29)*(AQ113*'Historical Score'!$N$29+1-'Historical Score'!$N$29),0)</f>
        <v/>
      </c>
      <c r="BB113" s="3" t="n"/>
      <c r="BC113" s="3" t="n"/>
    </row>
    <row r="114" ht="15.75" customHeight="1" s="174">
      <c r="A114" s="3" t="inlineStr">
        <is>
          <t>5674158274</t>
        </is>
      </c>
      <c r="B114" s="3" t="inlineStr">
        <is>
          <t>S&amp;E ENTERPRISE LLC</t>
        </is>
      </c>
      <c r="C114" s="3" t="inlineStr">
        <is>
          <t>S&amp;E ENTERPRISE LLC</t>
        </is>
      </c>
      <c r="D114" s="3" t="inlineStr">
        <is>
          <t>Closed</t>
        </is>
      </c>
      <c r="E114" s="23" t="n">
        <v>45804</v>
      </c>
      <c r="F114" s="23" t="n">
        <v>45894</v>
      </c>
      <c r="G114" s="3" t="n">
        <v>2</v>
      </c>
      <c r="H114" s="3" t="inlineStr">
        <is>
          <t>1622</t>
        </is>
      </c>
      <c r="I114" s="3" t="inlineStr">
        <is>
          <t>16</t>
        </is>
      </c>
      <c r="J114" s="3" t="inlineStr">
        <is>
          <t>No state</t>
        </is>
      </c>
      <c r="K114" s="3" t="inlineStr">
        <is>
          <t>Triumph Cap Fund</t>
        </is>
      </c>
      <c r="L114" s="3" t="inlineStr">
        <is>
          <t>Renewal</t>
        </is>
      </c>
      <c r="M114" s="3" t="n">
        <v>1.49</v>
      </c>
      <c r="N114" s="28" t="n">
        <v>27000</v>
      </c>
      <c r="O114" s="28" t="n">
        <v>3780</v>
      </c>
      <c r="P114" s="28" t="n">
        <v>40230</v>
      </c>
      <c r="Q114" s="28" t="n">
        <v>40230</v>
      </c>
      <c r="R114" s="28" t="n">
        <v>0</v>
      </c>
      <c r="S114" s="42" t="n">
        <v>1</v>
      </c>
      <c r="T114" s="3" t="n">
        <v>3.279</v>
      </c>
      <c r="U114" s="3" t="n">
        <v>4</v>
      </c>
      <c r="V114" s="3" t="n"/>
      <c r="W114" s="42" t="n">
        <v>0.2408</v>
      </c>
      <c r="X114" s="23" t="n">
        <v>45804</v>
      </c>
      <c r="Y114" s="3">
        <f>IF(I114="","No SIC",IFERROR(VLOOKUP(I114,Ref!$A$2:$B$65,2,FALSE()),"Unclassified"))</f>
        <v/>
      </c>
      <c r="Z114" s="3">
        <f>IF(T114="","",IF(T114&lt;12,"Daily","Weekly"))</f>
        <v/>
      </c>
      <c r="AA114" s="3">
        <f>IF(T114="",0,IF(T114&lt;12,T114*Controls!$B$13,T114*5))</f>
        <v/>
      </c>
      <c r="AB114" s="3">
        <f>IF(E114="",0,NETWORKDAYS(E114,Controls!$B$20,Ref!$K$2:$K$42))</f>
        <v/>
      </c>
      <c r="AC114" s="3">
        <f>IF(OR(AF114=1,AND(AA114&gt;0,AB114&gt;=Controls!$B$23*AA114)),1,0)</f>
        <v/>
      </c>
      <c r="AD114" s="3">
        <f>IF(AND(E114&lt;&gt;"",E114&gt;=Controls!$B$21,E114&lt;=Controls!$B$22),1,0)</f>
        <v/>
      </c>
      <c r="AE114" s="3">
        <f>IF(IFERROR(VLOOKUP(D114,Controls!$A$36:$E$46,2,FALSE()),"No")="Yes",1,0)</f>
        <v/>
      </c>
      <c r="AF114" s="3">
        <f>IF(IFERROR(VLOOKUP(D114,Controls!$A$36:$E$46,3,FALSE()),"No")="Yes",1,0)</f>
        <v/>
      </c>
      <c r="AG114" s="3">
        <f>IF(IFERROR(VLOOKUP(D114,Controls!$A$36:$E$46,4,FALSE()),"No")="Yes",1,0)</f>
        <v/>
      </c>
      <c r="AH114" s="3">
        <f>IF(IFERROR(VLOOKUP(D114,Controls!$A$36:$E$46,5,FALSE()),"No")="Yes",1,0)</f>
        <v/>
      </c>
      <c r="AI114" s="3">
        <f>IF(ISNUMBER(MATCH(D114,Controls!$A$36:$A$46,0)),1,0)</f>
        <v/>
      </c>
      <c r="AJ114" s="28">
        <f>Q114-N114</f>
        <v/>
      </c>
      <c r="AK114" s="3">
        <f>IF(AE114=1,MAX(0,N114-Q114),0)</f>
        <v/>
      </c>
      <c r="AL114" s="3">
        <f>IF(OR(V114="",V114=0),0,N114/V114)</f>
        <v/>
      </c>
      <c r="AM114" s="3">
        <f>IF(OR(V114="",V114=0),0,1)</f>
        <v/>
      </c>
      <c r="AN114" s="3">
        <f>IF(OR(E114="",F114=""),0,NETWORKDAYS(E114,F114,Ref!$K$2:$K$42))</f>
        <v/>
      </c>
      <c r="AO114" s="3">
        <f>IF(L114="Renewal",1,0)</f>
        <v/>
      </c>
      <c r="AP114" s="3">
        <f>AC114*AD114</f>
        <v/>
      </c>
      <c r="AQ114" s="3">
        <f>IF(AND(G114&lt;&gt;"",'Historical Score'!$C$6&lt;&gt;""),IF(G114='Historical Score'!$C$6,1,0),0)</f>
        <v/>
      </c>
      <c r="AR114" s="3">
        <f>IF(AND(L114&lt;&gt;"",'Historical Score'!$C$5&lt;&gt;""),IF(L114='Historical Score'!$C$5,1,0),0)</f>
        <v/>
      </c>
      <c r="AS114" s="3">
        <f>IF(AND(Y114&lt;&gt;"",'Historical Score'!$C$7&lt;&gt;""),IF(Y114='Historical Score'!$C$7,1,0),0)</f>
        <v/>
      </c>
      <c r="AT114" s="3">
        <f>IF(AND(K114&lt;&gt;"",'Historical Score'!$C$8&lt;&gt;""),IF(K114='Historical Score'!$C$8,1,0),0)</f>
        <v/>
      </c>
      <c r="AU114" s="3" t="n"/>
      <c r="AV114" s="3" t="n"/>
      <c r="AW114" s="3" t="n"/>
      <c r="AX114" s="3" t="n"/>
      <c r="AY114" s="3" t="n"/>
      <c r="AZ114" s="3" t="n"/>
      <c r="BA114" s="182">
        <f>IF(AD114=1,(AR114*'Historical Score'!$K$29+1-'Historical Score'!$K$29)*(AT114*'Historical Score'!$L$29+1-'Historical Score'!$L$29)*(AS114*'Historical Score'!$M$29+1-'Historical Score'!$M$29)*(AQ114*'Historical Score'!$N$29+1-'Historical Score'!$N$29),0)</f>
        <v/>
      </c>
      <c r="BB114" s="3" t="n"/>
      <c r="BC114" s="3" t="n"/>
    </row>
    <row r="115" ht="15.75" customHeight="1" s="174">
      <c r="A115" s="3" t="inlineStr">
        <is>
          <t>5674158299</t>
        </is>
      </c>
      <c r="B115" s="3" t="inlineStr">
        <is>
          <t>Boston's Good Eatz &amp; Caribbean Treatz</t>
        </is>
      </c>
      <c r="C115" s="3" t="inlineStr">
        <is>
          <t>Boston's Good Eatz &amp; Carribean Treatz</t>
        </is>
      </c>
      <c r="D115" s="3" t="inlineStr">
        <is>
          <t>Legal</t>
        </is>
      </c>
      <c r="E115" s="23" t="n">
        <v>45804</v>
      </c>
      <c r="F115" s="23" t="n">
        <v>45999</v>
      </c>
      <c r="G115" s="3" t="n">
        <v>4</v>
      </c>
      <c r="H115" s="3" t="inlineStr">
        <is>
          <t>5812</t>
        </is>
      </c>
      <c r="I115" s="3" t="inlineStr">
        <is>
          <t>58</t>
        </is>
      </c>
      <c r="J115" s="3" t="inlineStr">
        <is>
          <t>No state</t>
        </is>
      </c>
      <c r="K115" s="3" t="inlineStr">
        <is>
          <t>Fundible</t>
        </is>
      </c>
      <c r="L115" s="3" t="inlineStr">
        <is>
          <t>New Deal</t>
        </is>
      </c>
      <c r="M115" s="3" t="n">
        <v>1.5</v>
      </c>
      <c r="N115" s="28" t="n">
        <v>5000</v>
      </c>
      <c r="O115" s="28" t="n">
        <v>700</v>
      </c>
      <c r="P115" s="28" t="n">
        <v>7500</v>
      </c>
      <c r="Q115" s="28" t="n">
        <v>2772.36</v>
      </c>
      <c r="R115" s="28" t="n">
        <v>4727.64</v>
      </c>
      <c r="S115" s="42" t="n">
        <v>0.369648</v>
      </c>
      <c r="T115" s="3" t="n">
        <v>2.295</v>
      </c>
      <c r="U115" s="3" t="n">
        <v>23</v>
      </c>
      <c r="V115" s="3" t="n"/>
      <c r="W115" s="42" t="n">
        <v>0.06370000000000001</v>
      </c>
      <c r="X115" s="23" t="n">
        <v>45804</v>
      </c>
      <c r="Y115" s="3">
        <f>IF(I115="","No SIC",IFERROR(VLOOKUP(I115,Ref!$A$2:$B$65,2,FALSE()),"Unclassified"))</f>
        <v/>
      </c>
      <c r="Z115" s="3">
        <f>IF(T115="","",IF(T115&lt;12,"Daily","Weekly"))</f>
        <v/>
      </c>
      <c r="AA115" s="3">
        <f>IF(T115="",0,IF(T115&lt;12,T115*Controls!$B$13,T115*5))</f>
        <v/>
      </c>
      <c r="AB115" s="3">
        <f>IF(E115="",0,NETWORKDAYS(E115,Controls!$B$20,Ref!$K$2:$K$42))</f>
        <v/>
      </c>
      <c r="AC115" s="3">
        <f>IF(OR(AF115=1,AND(AA115&gt;0,AB115&gt;=Controls!$B$23*AA115)),1,0)</f>
        <v/>
      </c>
      <c r="AD115" s="3">
        <f>IF(AND(E115&lt;&gt;"",E115&gt;=Controls!$B$21,E115&lt;=Controls!$B$22),1,0)</f>
        <v/>
      </c>
      <c r="AE115" s="3">
        <f>IF(IFERROR(VLOOKUP(D115,Controls!$A$36:$E$46,2,FALSE()),"No")="Yes",1,0)</f>
        <v/>
      </c>
      <c r="AF115" s="3">
        <f>IF(IFERROR(VLOOKUP(D115,Controls!$A$36:$E$46,3,FALSE()),"No")="Yes",1,0)</f>
        <v/>
      </c>
      <c r="AG115" s="3">
        <f>IF(IFERROR(VLOOKUP(D115,Controls!$A$36:$E$46,4,FALSE()),"No")="Yes",1,0)</f>
        <v/>
      </c>
      <c r="AH115" s="3">
        <f>IF(IFERROR(VLOOKUP(D115,Controls!$A$36:$E$46,5,FALSE()),"No")="Yes",1,0)</f>
        <v/>
      </c>
      <c r="AI115" s="3">
        <f>IF(ISNUMBER(MATCH(D115,Controls!$A$36:$A$46,0)),1,0)</f>
        <v/>
      </c>
      <c r="AJ115" s="28">
        <f>Q115-N115</f>
        <v/>
      </c>
      <c r="AK115" s="3">
        <f>IF(AE115=1,MAX(0,N115-Q115),0)</f>
        <v/>
      </c>
      <c r="AL115" s="3">
        <f>IF(OR(V115="",V115=0),0,N115/V115)</f>
        <v/>
      </c>
      <c r="AM115" s="3">
        <f>IF(OR(V115="",V115=0),0,1)</f>
        <v/>
      </c>
      <c r="AN115" s="3">
        <f>IF(OR(E115="",F115=""),0,NETWORKDAYS(E115,F115,Ref!$K$2:$K$42))</f>
        <v/>
      </c>
      <c r="AO115" s="3">
        <f>IF(L115="Renewal",1,0)</f>
        <v/>
      </c>
      <c r="AP115" s="3">
        <f>AC115*AD115</f>
        <v/>
      </c>
      <c r="AQ115" s="3">
        <f>IF(AND(G115&lt;&gt;"",'Historical Score'!$C$6&lt;&gt;""),IF(G115='Historical Score'!$C$6,1,0),0)</f>
        <v/>
      </c>
      <c r="AR115" s="3">
        <f>IF(AND(L115&lt;&gt;"",'Historical Score'!$C$5&lt;&gt;""),IF(L115='Historical Score'!$C$5,1,0),0)</f>
        <v/>
      </c>
      <c r="AS115" s="3">
        <f>IF(AND(Y115&lt;&gt;"",'Historical Score'!$C$7&lt;&gt;""),IF(Y115='Historical Score'!$C$7,1,0),0)</f>
        <v/>
      </c>
      <c r="AT115" s="3">
        <f>IF(AND(K115&lt;&gt;"",'Historical Score'!$C$8&lt;&gt;""),IF(K115='Historical Score'!$C$8,1,0),0)</f>
        <v/>
      </c>
      <c r="AU115" s="3" t="n"/>
      <c r="AV115" s="3" t="n"/>
      <c r="AW115" s="3" t="n"/>
      <c r="AX115" s="3" t="n"/>
      <c r="AY115" s="3" t="n"/>
      <c r="AZ115" s="3" t="n"/>
      <c r="BA115" s="182">
        <f>IF(AD115=1,(AR115*'Historical Score'!$K$29+1-'Historical Score'!$K$29)*(AT115*'Historical Score'!$L$29+1-'Historical Score'!$L$29)*(AS115*'Historical Score'!$M$29+1-'Historical Score'!$M$29)*(AQ115*'Historical Score'!$N$29+1-'Historical Score'!$N$29),0)</f>
        <v/>
      </c>
      <c r="BB115" s="3" t="n"/>
      <c r="BC115" s="3" t="n"/>
    </row>
    <row r="116" ht="15.75" customHeight="1" s="174">
      <c r="A116" s="3" t="inlineStr">
        <is>
          <t>5674158307</t>
        </is>
      </c>
      <c r="B116" s="3" t="inlineStr">
        <is>
          <t>Wig world</t>
        </is>
      </c>
      <c r="C116" s="3" t="inlineStr">
        <is>
          <t>GLAMSTYLUX LLC</t>
        </is>
      </c>
      <c r="D116" s="3" t="inlineStr">
        <is>
          <t>Written-Off</t>
        </is>
      </c>
      <c r="E116" s="23" t="n">
        <v>45804</v>
      </c>
      <c r="F116" s="23" t="n">
        <v>45898</v>
      </c>
      <c r="G116" s="3" t="n">
        <v>2</v>
      </c>
      <c r="H116" s="3" t="inlineStr">
        <is>
          <t>7231</t>
        </is>
      </c>
      <c r="I116" s="3" t="inlineStr">
        <is>
          <t>72</t>
        </is>
      </c>
      <c r="J116" s="3" t="inlineStr">
        <is>
          <t>No state</t>
        </is>
      </c>
      <c r="K116" s="3" t="inlineStr">
        <is>
          <t>Viking Funding LLC</t>
        </is>
      </c>
      <c r="L116" s="3" t="inlineStr">
        <is>
          <t>New Deal</t>
        </is>
      </c>
      <c r="M116" s="3" t="n">
        <v>1.499</v>
      </c>
      <c r="N116" s="28" t="n">
        <v>5000</v>
      </c>
      <c r="O116" s="28" t="n">
        <v>700</v>
      </c>
      <c r="P116" s="28" t="n">
        <v>7495</v>
      </c>
      <c r="Q116" s="28" t="n">
        <v>2159.67</v>
      </c>
      <c r="R116" s="28" t="n">
        <v>5335.33</v>
      </c>
      <c r="S116" s="42" t="n">
        <v>0.288148098732488</v>
      </c>
      <c r="T116" s="3" t="n">
        <v>1.967</v>
      </c>
      <c r="U116" s="3" t="n">
        <v>22</v>
      </c>
      <c r="V116" s="3" t="n"/>
      <c r="W116" s="42" t="n">
        <v>0.1145</v>
      </c>
      <c r="X116" s="23" t="n">
        <v>45804</v>
      </c>
      <c r="Y116" s="3">
        <f>IF(I116="","No SIC",IFERROR(VLOOKUP(I116,Ref!$A$2:$B$65,2,FALSE()),"Unclassified"))</f>
        <v/>
      </c>
      <c r="Z116" s="3">
        <f>IF(T116="","",IF(T116&lt;12,"Daily","Weekly"))</f>
        <v/>
      </c>
      <c r="AA116" s="3">
        <f>IF(T116="",0,IF(T116&lt;12,T116*Controls!$B$13,T116*5))</f>
        <v/>
      </c>
      <c r="AB116" s="3">
        <f>IF(E116="",0,NETWORKDAYS(E116,Controls!$B$20,Ref!$K$2:$K$42))</f>
        <v/>
      </c>
      <c r="AC116" s="3">
        <f>IF(OR(AF116=1,AND(AA116&gt;0,AB116&gt;=Controls!$B$23*AA116)),1,0)</f>
        <v/>
      </c>
      <c r="AD116" s="3">
        <f>IF(AND(E116&lt;&gt;"",E116&gt;=Controls!$B$21,E116&lt;=Controls!$B$22),1,0)</f>
        <v/>
      </c>
      <c r="AE116" s="3">
        <f>IF(IFERROR(VLOOKUP(D116,Controls!$A$36:$E$46,2,FALSE()),"No")="Yes",1,0)</f>
        <v/>
      </c>
      <c r="AF116" s="3">
        <f>IF(IFERROR(VLOOKUP(D116,Controls!$A$36:$E$46,3,FALSE()),"No")="Yes",1,0)</f>
        <v/>
      </c>
      <c r="AG116" s="3">
        <f>IF(IFERROR(VLOOKUP(D116,Controls!$A$36:$E$46,4,FALSE()),"No")="Yes",1,0)</f>
        <v/>
      </c>
      <c r="AH116" s="3">
        <f>IF(IFERROR(VLOOKUP(D116,Controls!$A$36:$E$46,5,FALSE()),"No")="Yes",1,0)</f>
        <v/>
      </c>
      <c r="AI116" s="3">
        <f>IF(ISNUMBER(MATCH(D116,Controls!$A$36:$A$46,0)),1,0)</f>
        <v/>
      </c>
      <c r="AJ116" s="28">
        <f>Q116-N116</f>
        <v/>
      </c>
      <c r="AK116" s="3">
        <f>IF(AE116=1,MAX(0,N116-Q116),0)</f>
        <v/>
      </c>
      <c r="AL116" s="3">
        <f>IF(OR(V116="",V116=0),0,N116/V116)</f>
        <v/>
      </c>
      <c r="AM116" s="3">
        <f>IF(OR(V116="",V116=0),0,1)</f>
        <v/>
      </c>
      <c r="AN116" s="3">
        <f>IF(OR(E116="",F116=""),0,NETWORKDAYS(E116,F116,Ref!$K$2:$K$42))</f>
        <v/>
      </c>
      <c r="AO116" s="3">
        <f>IF(L116="Renewal",1,0)</f>
        <v/>
      </c>
      <c r="AP116" s="3">
        <f>AC116*AD116</f>
        <v/>
      </c>
      <c r="AQ116" s="3">
        <f>IF(AND(G116&lt;&gt;"",'Historical Score'!$C$6&lt;&gt;""),IF(G116='Historical Score'!$C$6,1,0),0)</f>
        <v/>
      </c>
      <c r="AR116" s="3">
        <f>IF(AND(L116&lt;&gt;"",'Historical Score'!$C$5&lt;&gt;""),IF(L116='Historical Score'!$C$5,1,0),0)</f>
        <v/>
      </c>
      <c r="AS116" s="3">
        <f>IF(AND(Y116&lt;&gt;"",'Historical Score'!$C$7&lt;&gt;""),IF(Y116='Historical Score'!$C$7,1,0),0)</f>
        <v/>
      </c>
      <c r="AT116" s="3">
        <f>IF(AND(K116&lt;&gt;"",'Historical Score'!$C$8&lt;&gt;""),IF(K116='Historical Score'!$C$8,1,0),0)</f>
        <v/>
      </c>
      <c r="AU116" s="3" t="n"/>
      <c r="AV116" s="3" t="n"/>
      <c r="AW116" s="3" t="n"/>
      <c r="AX116" s="3" t="n"/>
      <c r="AY116" s="3" t="n"/>
      <c r="AZ116" s="3" t="n"/>
      <c r="BA116" s="182">
        <f>IF(AD116=1,(AR116*'Historical Score'!$K$29+1-'Historical Score'!$K$29)*(AT116*'Historical Score'!$L$29+1-'Historical Score'!$L$29)*(AS116*'Historical Score'!$M$29+1-'Historical Score'!$M$29)*(AQ116*'Historical Score'!$N$29+1-'Historical Score'!$N$29),0)</f>
        <v/>
      </c>
      <c r="BB116" s="3" t="n"/>
      <c r="BC116" s="3" t="n"/>
    </row>
    <row r="117" ht="15.75" customHeight="1" s="174">
      <c r="A117" s="3" t="inlineStr">
        <is>
          <t>5674158319</t>
        </is>
      </c>
      <c r="B117" s="3" t="inlineStr">
        <is>
          <t>M. Delaney LLC</t>
        </is>
      </c>
      <c r="C117" s="3" t="inlineStr">
        <is>
          <t>M. Delaney LLC</t>
        </is>
      </c>
      <c r="D117" s="3" t="inlineStr">
        <is>
          <t>Closed</t>
        </is>
      </c>
      <c r="E117" s="23" t="n">
        <v>45804</v>
      </c>
      <c r="F117" s="23" t="n">
        <v>45884</v>
      </c>
      <c r="G117" s="3" t="n">
        <v>3</v>
      </c>
      <c r="H117" s="3" t="inlineStr">
        <is>
          <t>5812</t>
        </is>
      </c>
      <c r="I117" s="3" t="inlineStr">
        <is>
          <t>58</t>
        </is>
      </c>
      <c r="J117" s="3" t="inlineStr">
        <is>
          <t>No state</t>
        </is>
      </c>
      <c r="K117" s="3" t="inlineStr">
        <is>
          <t>Llama Loan</t>
        </is>
      </c>
      <c r="L117" s="3" t="inlineStr">
        <is>
          <t>New Deal</t>
        </is>
      </c>
      <c r="M117" s="3" t="n">
        <v>1.43</v>
      </c>
      <c r="N117" s="28" t="n">
        <v>12000</v>
      </c>
      <c r="O117" s="28" t="n">
        <v>1320</v>
      </c>
      <c r="P117" s="28" t="n">
        <v>17160</v>
      </c>
      <c r="Q117" s="28" t="n">
        <v>17160</v>
      </c>
      <c r="R117" s="28" t="n">
        <v>0</v>
      </c>
      <c r="S117" s="42" t="n">
        <v>1</v>
      </c>
      <c r="T117" s="3" t="n">
        <v>3.115</v>
      </c>
      <c r="U117" s="3" t="n">
        <v>0</v>
      </c>
      <c r="V117" s="3" t="n"/>
      <c r="W117" s="42" t="n">
        <v>0.0732</v>
      </c>
      <c r="X117" s="23" t="n">
        <v>45804</v>
      </c>
      <c r="Y117" s="3">
        <f>IF(I117="","No SIC",IFERROR(VLOOKUP(I117,Ref!$A$2:$B$65,2,FALSE()),"Unclassified"))</f>
        <v/>
      </c>
      <c r="Z117" s="3">
        <f>IF(T117="","",IF(T117&lt;12,"Daily","Weekly"))</f>
        <v/>
      </c>
      <c r="AA117" s="3">
        <f>IF(T117="",0,IF(T117&lt;12,T117*Controls!$B$13,T117*5))</f>
        <v/>
      </c>
      <c r="AB117" s="3">
        <f>IF(E117="",0,NETWORKDAYS(E117,Controls!$B$20,Ref!$K$2:$K$42))</f>
        <v/>
      </c>
      <c r="AC117" s="3">
        <f>IF(OR(AF117=1,AND(AA117&gt;0,AB117&gt;=Controls!$B$23*AA117)),1,0)</f>
        <v/>
      </c>
      <c r="AD117" s="3">
        <f>IF(AND(E117&lt;&gt;"",E117&gt;=Controls!$B$21,E117&lt;=Controls!$B$22),1,0)</f>
        <v/>
      </c>
      <c r="AE117" s="3">
        <f>IF(IFERROR(VLOOKUP(D117,Controls!$A$36:$E$46,2,FALSE()),"No")="Yes",1,0)</f>
        <v/>
      </c>
      <c r="AF117" s="3">
        <f>IF(IFERROR(VLOOKUP(D117,Controls!$A$36:$E$46,3,FALSE()),"No")="Yes",1,0)</f>
        <v/>
      </c>
      <c r="AG117" s="3">
        <f>IF(IFERROR(VLOOKUP(D117,Controls!$A$36:$E$46,4,FALSE()),"No")="Yes",1,0)</f>
        <v/>
      </c>
      <c r="AH117" s="3">
        <f>IF(IFERROR(VLOOKUP(D117,Controls!$A$36:$E$46,5,FALSE()),"No")="Yes",1,0)</f>
        <v/>
      </c>
      <c r="AI117" s="3">
        <f>IF(ISNUMBER(MATCH(D117,Controls!$A$36:$A$46,0)),1,0)</f>
        <v/>
      </c>
      <c r="AJ117" s="28">
        <f>Q117-N117</f>
        <v/>
      </c>
      <c r="AK117" s="3">
        <f>IF(AE117=1,MAX(0,N117-Q117),0)</f>
        <v/>
      </c>
      <c r="AL117" s="3">
        <f>IF(OR(V117="",V117=0),0,N117/V117)</f>
        <v/>
      </c>
      <c r="AM117" s="3">
        <f>IF(OR(V117="",V117=0),0,1)</f>
        <v/>
      </c>
      <c r="AN117" s="3">
        <f>IF(OR(E117="",F117=""),0,NETWORKDAYS(E117,F117,Ref!$K$2:$K$42))</f>
        <v/>
      </c>
      <c r="AO117" s="3">
        <f>IF(L117="Renewal",1,0)</f>
        <v/>
      </c>
      <c r="AP117" s="3">
        <f>AC117*AD117</f>
        <v/>
      </c>
      <c r="AQ117" s="3">
        <f>IF(AND(G117&lt;&gt;"",'Historical Score'!$C$6&lt;&gt;""),IF(G117='Historical Score'!$C$6,1,0),0)</f>
        <v/>
      </c>
      <c r="AR117" s="3">
        <f>IF(AND(L117&lt;&gt;"",'Historical Score'!$C$5&lt;&gt;""),IF(L117='Historical Score'!$C$5,1,0),0)</f>
        <v/>
      </c>
      <c r="AS117" s="3">
        <f>IF(AND(Y117&lt;&gt;"",'Historical Score'!$C$7&lt;&gt;""),IF(Y117='Historical Score'!$C$7,1,0),0)</f>
        <v/>
      </c>
      <c r="AT117" s="3">
        <f>IF(AND(K117&lt;&gt;"",'Historical Score'!$C$8&lt;&gt;""),IF(K117='Historical Score'!$C$8,1,0),0)</f>
        <v/>
      </c>
      <c r="AU117" s="3" t="n"/>
      <c r="AV117" s="3" t="n"/>
      <c r="AW117" s="3" t="n"/>
      <c r="AX117" s="3" t="n"/>
      <c r="AY117" s="3" t="n"/>
      <c r="AZ117" s="3" t="n"/>
      <c r="BA117" s="182">
        <f>IF(AD117=1,(AR117*'Historical Score'!$K$29+1-'Historical Score'!$K$29)*(AT117*'Historical Score'!$L$29+1-'Historical Score'!$L$29)*(AS117*'Historical Score'!$M$29+1-'Historical Score'!$M$29)*(AQ117*'Historical Score'!$N$29+1-'Historical Score'!$N$29),0)</f>
        <v/>
      </c>
      <c r="BB117" s="3" t="n"/>
      <c r="BC117" s="3" t="n"/>
    </row>
    <row r="118" ht="15.75" customHeight="1" s="174">
      <c r="A118" s="3" t="inlineStr">
        <is>
          <t>5674158406</t>
        </is>
      </c>
      <c r="B118" s="3" t="inlineStr">
        <is>
          <t>Gordos tacos 9015 e via linda</t>
        </is>
      </c>
      <c r="C118" s="3" t="inlineStr">
        <is>
          <t>Twins creative Mexican food llc</t>
        </is>
      </c>
      <c r="D118" s="3" t="inlineStr">
        <is>
          <t>Closed</t>
        </is>
      </c>
      <c r="E118" s="23" t="n">
        <v>45805</v>
      </c>
      <c r="F118" s="23" t="n">
        <v>45925</v>
      </c>
      <c r="G118" s="3" t="n">
        <v>3</v>
      </c>
      <c r="H118" s="3" t="inlineStr">
        <is>
          <t>5812</t>
        </is>
      </c>
      <c r="I118" s="3" t="inlineStr">
        <is>
          <t>58</t>
        </is>
      </c>
      <c r="J118" s="3" t="inlineStr">
        <is>
          <t>No state</t>
        </is>
      </c>
      <c r="K118" s="3" t="inlineStr">
        <is>
          <t>PMF</t>
        </is>
      </c>
      <c r="L118" s="3" t="inlineStr">
        <is>
          <t>New Deal</t>
        </is>
      </c>
      <c r="M118" s="3" t="n">
        <v>1.37</v>
      </c>
      <c r="N118" s="28" t="n">
        <v>21000</v>
      </c>
      <c r="O118" s="28" t="n">
        <v>1680</v>
      </c>
      <c r="P118" s="28" t="n">
        <v>28770</v>
      </c>
      <c r="Q118" s="28" t="n">
        <v>28770</v>
      </c>
      <c r="R118" s="28" t="n">
        <v>3.63797880709171e-12</v>
      </c>
      <c r="S118" s="42" t="n">
        <v>1</v>
      </c>
      <c r="T118" s="3" t="n">
        <v>4.525</v>
      </c>
      <c r="U118" s="3" t="n">
        <v>0</v>
      </c>
      <c r="V118" s="3" t="n"/>
      <c r="W118" s="42" t="n">
        <v>0.0471</v>
      </c>
      <c r="X118" s="23" t="n">
        <v>45805</v>
      </c>
      <c r="Y118" s="3">
        <f>IF(I118="","No SIC",IFERROR(VLOOKUP(I118,Ref!$A$2:$B$65,2,FALSE()),"Unclassified"))</f>
        <v/>
      </c>
      <c r="Z118" s="3">
        <f>IF(T118="","",IF(T118&lt;12,"Daily","Weekly"))</f>
        <v/>
      </c>
      <c r="AA118" s="3">
        <f>IF(T118="",0,IF(T118&lt;12,T118*Controls!$B$13,T118*5))</f>
        <v/>
      </c>
      <c r="AB118" s="3">
        <f>IF(E118="",0,NETWORKDAYS(E118,Controls!$B$20,Ref!$K$2:$K$42))</f>
        <v/>
      </c>
      <c r="AC118" s="3">
        <f>IF(OR(AF118=1,AND(AA118&gt;0,AB118&gt;=Controls!$B$23*AA118)),1,0)</f>
        <v/>
      </c>
      <c r="AD118" s="3">
        <f>IF(AND(E118&lt;&gt;"",E118&gt;=Controls!$B$21,E118&lt;=Controls!$B$22),1,0)</f>
        <v/>
      </c>
      <c r="AE118" s="3">
        <f>IF(IFERROR(VLOOKUP(D118,Controls!$A$36:$E$46,2,FALSE()),"No")="Yes",1,0)</f>
        <v/>
      </c>
      <c r="AF118" s="3">
        <f>IF(IFERROR(VLOOKUP(D118,Controls!$A$36:$E$46,3,FALSE()),"No")="Yes",1,0)</f>
        <v/>
      </c>
      <c r="AG118" s="3">
        <f>IF(IFERROR(VLOOKUP(D118,Controls!$A$36:$E$46,4,FALSE()),"No")="Yes",1,0)</f>
        <v/>
      </c>
      <c r="AH118" s="3">
        <f>IF(IFERROR(VLOOKUP(D118,Controls!$A$36:$E$46,5,FALSE()),"No")="Yes",1,0)</f>
        <v/>
      </c>
      <c r="AI118" s="3">
        <f>IF(ISNUMBER(MATCH(D118,Controls!$A$36:$A$46,0)),1,0)</f>
        <v/>
      </c>
      <c r="AJ118" s="28">
        <f>Q118-N118</f>
        <v/>
      </c>
      <c r="AK118" s="3">
        <f>IF(AE118=1,MAX(0,N118-Q118),0)</f>
        <v/>
      </c>
      <c r="AL118" s="3">
        <f>IF(OR(V118="",V118=0),0,N118/V118)</f>
        <v/>
      </c>
      <c r="AM118" s="3">
        <f>IF(OR(V118="",V118=0),0,1)</f>
        <v/>
      </c>
      <c r="AN118" s="3">
        <f>IF(OR(E118="",F118=""),0,NETWORKDAYS(E118,F118,Ref!$K$2:$K$42))</f>
        <v/>
      </c>
      <c r="AO118" s="3">
        <f>IF(L118="Renewal",1,0)</f>
        <v/>
      </c>
      <c r="AP118" s="3">
        <f>AC118*AD118</f>
        <v/>
      </c>
      <c r="AQ118" s="3">
        <f>IF(AND(G118&lt;&gt;"",'Historical Score'!$C$6&lt;&gt;""),IF(G118='Historical Score'!$C$6,1,0),0)</f>
        <v/>
      </c>
      <c r="AR118" s="3">
        <f>IF(AND(L118&lt;&gt;"",'Historical Score'!$C$5&lt;&gt;""),IF(L118='Historical Score'!$C$5,1,0),0)</f>
        <v/>
      </c>
      <c r="AS118" s="3">
        <f>IF(AND(Y118&lt;&gt;"",'Historical Score'!$C$7&lt;&gt;""),IF(Y118='Historical Score'!$C$7,1,0),0)</f>
        <v/>
      </c>
      <c r="AT118" s="3">
        <f>IF(AND(K118&lt;&gt;"",'Historical Score'!$C$8&lt;&gt;""),IF(K118='Historical Score'!$C$8,1,0),0)</f>
        <v/>
      </c>
      <c r="AU118" s="3" t="n"/>
      <c r="AV118" s="3" t="n"/>
      <c r="AW118" s="3" t="n"/>
      <c r="AX118" s="3" t="n"/>
      <c r="AY118" s="3" t="n"/>
      <c r="AZ118" s="3" t="n"/>
      <c r="BA118" s="182">
        <f>IF(AD118=1,(AR118*'Historical Score'!$K$29+1-'Historical Score'!$K$29)*(AT118*'Historical Score'!$L$29+1-'Historical Score'!$L$29)*(AS118*'Historical Score'!$M$29+1-'Historical Score'!$M$29)*(AQ118*'Historical Score'!$N$29+1-'Historical Score'!$N$29),0)</f>
        <v/>
      </c>
      <c r="BB118" s="3" t="n"/>
      <c r="BC118" s="3" t="n"/>
    </row>
    <row r="119" ht="15.75" customHeight="1" s="174">
      <c r="A119" s="3" t="inlineStr">
        <is>
          <t>5674158425</t>
        </is>
      </c>
      <c r="B119" s="3" t="inlineStr">
        <is>
          <t>TBVB CORP</t>
        </is>
      </c>
      <c r="C119" s="3" t="inlineStr">
        <is>
          <t>TBVB CORP</t>
        </is>
      </c>
      <c r="D119" s="3" t="inlineStr">
        <is>
          <t>Legal</t>
        </is>
      </c>
      <c r="E119" s="23" t="n">
        <v>45805</v>
      </c>
      <c r="F119" s="23" t="n">
        <v>45834</v>
      </c>
      <c r="G119" s="3" t="n">
        <v>1</v>
      </c>
      <c r="H119" s="3" t="inlineStr">
        <is>
          <t>5812</t>
        </is>
      </c>
      <c r="I119" s="3" t="inlineStr">
        <is>
          <t>58</t>
        </is>
      </c>
      <c r="J119" s="3" t="inlineStr">
        <is>
          <t>No state</t>
        </is>
      </c>
      <c r="K119" s="3" t="inlineStr">
        <is>
          <t>United Secured Capital 8</t>
        </is>
      </c>
      <c r="L119" s="3" t="inlineStr">
        <is>
          <t>New Deal</t>
        </is>
      </c>
      <c r="M119" s="3" t="n">
        <v>1.499</v>
      </c>
      <c r="N119" s="28" t="n">
        <v>5000</v>
      </c>
      <c r="O119" s="28" t="n">
        <v>0</v>
      </c>
      <c r="P119" s="28" t="n">
        <v>7495</v>
      </c>
      <c r="Q119" s="28" t="n">
        <v>958.23</v>
      </c>
      <c r="R119" s="28" t="n">
        <v>6536.77</v>
      </c>
      <c r="S119" s="42" t="n">
        <v>0.127849232821881</v>
      </c>
      <c r="T119" s="3" t="n">
        <v>2.295</v>
      </c>
      <c r="U119" s="3" t="n">
        <v>11</v>
      </c>
      <c r="V119" s="3" t="n"/>
      <c r="W119" s="42" t="n">
        <v>0.0132</v>
      </c>
      <c r="X119" s="23" t="n">
        <v>45805</v>
      </c>
      <c r="Y119" s="3">
        <f>IF(I119="","No SIC",IFERROR(VLOOKUP(I119,Ref!$A$2:$B$65,2,FALSE()),"Unclassified"))</f>
        <v/>
      </c>
      <c r="Z119" s="3">
        <f>IF(T119="","",IF(T119&lt;12,"Daily","Weekly"))</f>
        <v/>
      </c>
      <c r="AA119" s="3">
        <f>IF(T119="",0,IF(T119&lt;12,T119*Controls!$B$13,T119*5))</f>
        <v/>
      </c>
      <c r="AB119" s="3">
        <f>IF(E119="",0,NETWORKDAYS(E119,Controls!$B$20,Ref!$K$2:$K$42))</f>
        <v/>
      </c>
      <c r="AC119" s="3">
        <f>IF(OR(AF119=1,AND(AA119&gt;0,AB119&gt;=Controls!$B$23*AA119)),1,0)</f>
        <v/>
      </c>
      <c r="AD119" s="3">
        <f>IF(AND(E119&lt;&gt;"",E119&gt;=Controls!$B$21,E119&lt;=Controls!$B$22),1,0)</f>
        <v/>
      </c>
      <c r="AE119" s="3">
        <f>IF(IFERROR(VLOOKUP(D119,Controls!$A$36:$E$46,2,FALSE()),"No")="Yes",1,0)</f>
        <v/>
      </c>
      <c r="AF119" s="3">
        <f>IF(IFERROR(VLOOKUP(D119,Controls!$A$36:$E$46,3,FALSE()),"No")="Yes",1,0)</f>
        <v/>
      </c>
      <c r="AG119" s="3">
        <f>IF(IFERROR(VLOOKUP(D119,Controls!$A$36:$E$46,4,FALSE()),"No")="Yes",1,0)</f>
        <v/>
      </c>
      <c r="AH119" s="3">
        <f>IF(IFERROR(VLOOKUP(D119,Controls!$A$36:$E$46,5,FALSE()),"No")="Yes",1,0)</f>
        <v/>
      </c>
      <c r="AI119" s="3">
        <f>IF(ISNUMBER(MATCH(D119,Controls!$A$36:$A$46,0)),1,0)</f>
        <v/>
      </c>
      <c r="AJ119" s="28">
        <f>Q119-N119</f>
        <v/>
      </c>
      <c r="AK119" s="3">
        <f>IF(AE119=1,MAX(0,N119-Q119),0)</f>
        <v/>
      </c>
      <c r="AL119" s="3">
        <f>IF(OR(V119="",V119=0),0,N119/V119)</f>
        <v/>
      </c>
      <c r="AM119" s="3">
        <f>IF(OR(V119="",V119=0),0,1)</f>
        <v/>
      </c>
      <c r="AN119" s="3">
        <f>IF(OR(E119="",F119=""),0,NETWORKDAYS(E119,F119,Ref!$K$2:$K$42))</f>
        <v/>
      </c>
      <c r="AO119" s="3">
        <f>IF(L119="Renewal",1,0)</f>
        <v/>
      </c>
      <c r="AP119" s="3">
        <f>AC119*AD119</f>
        <v/>
      </c>
      <c r="AQ119" s="3">
        <f>IF(AND(G119&lt;&gt;"",'Historical Score'!$C$6&lt;&gt;""),IF(G119='Historical Score'!$C$6,1,0),0)</f>
        <v/>
      </c>
      <c r="AR119" s="3">
        <f>IF(AND(L119&lt;&gt;"",'Historical Score'!$C$5&lt;&gt;""),IF(L119='Historical Score'!$C$5,1,0),0)</f>
        <v/>
      </c>
      <c r="AS119" s="3">
        <f>IF(AND(Y119&lt;&gt;"",'Historical Score'!$C$7&lt;&gt;""),IF(Y119='Historical Score'!$C$7,1,0),0)</f>
        <v/>
      </c>
      <c r="AT119" s="3">
        <f>IF(AND(K119&lt;&gt;"",'Historical Score'!$C$8&lt;&gt;""),IF(K119='Historical Score'!$C$8,1,0),0)</f>
        <v/>
      </c>
      <c r="AU119" s="3" t="n"/>
      <c r="AV119" s="3" t="n"/>
      <c r="AW119" s="3" t="n"/>
      <c r="AX119" s="3" t="n"/>
      <c r="AY119" s="3" t="n"/>
      <c r="AZ119" s="3" t="n"/>
      <c r="BA119" s="182">
        <f>IF(AD119=1,(AR119*'Historical Score'!$K$29+1-'Historical Score'!$K$29)*(AT119*'Historical Score'!$L$29+1-'Historical Score'!$L$29)*(AS119*'Historical Score'!$M$29+1-'Historical Score'!$M$29)*(AQ119*'Historical Score'!$N$29+1-'Historical Score'!$N$29),0)</f>
        <v/>
      </c>
      <c r="BB119" s="3" t="n"/>
      <c r="BC119" s="3" t="n"/>
    </row>
    <row r="120" ht="15.75" customHeight="1" s="174">
      <c r="A120" s="3" t="inlineStr">
        <is>
          <t>5674158531</t>
        </is>
      </c>
      <c r="B120" s="3" t="inlineStr">
        <is>
          <t>THE CANDLEWYCK INN</t>
        </is>
      </c>
      <c r="C120" s="3" t="inlineStr">
        <is>
          <t>THE CANDLEWYCK INN, INC</t>
        </is>
      </c>
      <c r="D120" s="3" t="inlineStr">
        <is>
          <t>Closed</t>
        </is>
      </c>
      <c r="E120" s="23" t="n">
        <v>45806</v>
      </c>
      <c r="F120" s="23" t="n">
        <v>45883</v>
      </c>
      <c r="G120" s="3" t="n">
        <v>7</v>
      </c>
      <c r="H120" s="3" t="inlineStr">
        <is>
          <t>5812</t>
        </is>
      </c>
      <c r="I120" s="3" t="inlineStr">
        <is>
          <t>58</t>
        </is>
      </c>
      <c r="J120" s="3" t="inlineStr">
        <is>
          <t>WV</t>
        </is>
      </c>
      <c r="K120" s="3" t="inlineStr">
        <is>
          <t>PMF</t>
        </is>
      </c>
      <c r="L120" s="3" t="inlineStr">
        <is>
          <t>Renewal</t>
        </is>
      </c>
      <c r="M120" s="3" t="n">
        <v>1.499</v>
      </c>
      <c r="N120" s="28" t="n">
        <v>10000</v>
      </c>
      <c r="O120" s="28" t="n">
        <v>1400</v>
      </c>
      <c r="P120" s="28" t="n">
        <v>14990</v>
      </c>
      <c r="Q120" s="28" t="n">
        <v>14990</v>
      </c>
      <c r="R120" s="28" t="n">
        <v>1.81898940354586e-12</v>
      </c>
      <c r="S120" s="42" t="n">
        <v>1</v>
      </c>
      <c r="T120" s="3" t="n">
        <v>2.295</v>
      </c>
      <c r="U120" s="3" t="n">
        <v>10</v>
      </c>
      <c r="V120" s="3" t="n"/>
      <c r="W120" s="42" t="n">
        <v>0.1959</v>
      </c>
      <c r="X120" s="23" t="n">
        <v>45806</v>
      </c>
      <c r="Y120" s="3">
        <f>IF(I120="","No SIC",IFERROR(VLOOKUP(I120,Ref!$A$2:$B$65,2,FALSE()),"Unclassified"))</f>
        <v/>
      </c>
      <c r="Z120" s="3">
        <f>IF(T120="","",IF(T120&lt;12,"Daily","Weekly"))</f>
        <v/>
      </c>
      <c r="AA120" s="3">
        <f>IF(T120="",0,IF(T120&lt;12,T120*Controls!$B$13,T120*5))</f>
        <v/>
      </c>
      <c r="AB120" s="3">
        <f>IF(E120="",0,NETWORKDAYS(E120,Controls!$B$20,Ref!$K$2:$K$42))</f>
        <v/>
      </c>
      <c r="AC120" s="3">
        <f>IF(OR(AF120=1,AND(AA120&gt;0,AB120&gt;=Controls!$B$23*AA120)),1,0)</f>
        <v/>
      </c>
      <c r="AD120" s="3">
        <f>IF(AND(E120&lt;&gt;"",E120&gt;=Controls!$B$21,E120&lt;=Controls!$B$22),1,0)</f>
        <v/>
      </c>
      <c r="AE120" s="3">
        <f>IF(IFERROR(VLOOKUP(D120,Controls!$A$36:$E$46,2,FALSE()),"No")="Yes",1,0)</f>
        <v/>
      </c>
      <c r="AF120" s="3">
        <f>IF(IFERROR(VLOOKUP(D120,Controls!$A$36:$E$46,3,FALSE()),"No")="Yes",1,0)</f>
        <v/>
      </c>
      <c r="AG120" s="3">
        <f>IF(IFERROR(VLOOKUP(D120,Controls!$A$36:$E$46,4,FALSE()),"No")="Yes",1,0)</f>
        <v/>
      </c>
      <c r="AH120" s="3">
        <f>IF(IFERROR(VLOOKUP(D120,Controls!$A$36:$E$46,5,FALSE()),"No")="Yes",1,0)</f>
        <v/>
      </c>
      <c r="AI120" s="3">
        <f>IF(ISNUMBER(MATCH(D120,Controls!$A$36:$A$46,0)),1,0)</f>
        <v/>
      </c>
      <c r="AJ120" s="28">
        <f>Q120-N120</f>
        <v/>
      </c>
      <c r="AK120" s="3">
        <f>IF(AE120=1,MAX(0,N120-Q120),0)</f>
        <v/>
      </c>
      <c r="AL120" s="3">
        <f>IF(OR(V120="",V120=0),0,N120/V120)</f>
        <v/>
      </c>
      <c r="AM120" s="3">
        <f>IF(OR(V120="",V120=0),0,1)</f>
        <v/>
      </c>
      <c r="AN120" s="3">
        <f>IF(OR(E120="",F120=""),0,NETWORKDAYS(E120,F120,Ref!$K$2:$K$42))</f>
        <v/>
      </c>
      <c r="AO120" s="3">
        <f>IF(L120="Renewal",1,0)</f>
        <v/>
      </c>
      <c r="AP120" s="3">
        <f>AC120*AD120</f>
        <v/>
      </c>
      <c r="AQ120" s="3">
        <f>IF(AND(G120&lt;&gt;"",'Historical Score'!$C$6&lt;&gt;""),IF(G120='Historical Score'!$C$6,1,0),0)</f>
        <v/>
      </c>
      <c r="AR120" s="3">
        <f>IF(AND(L120&lt;&gt;"",'Historical Score'!$C$5&lt;&gt;""),IF(L120='Historical Score'!$C$5,1,0),0)</f>
        <v/>
      </c>
      <c r="AS120" s="3">
        <f>IF(AND(Y120&lt;&gt;"",'Historical Score'!$C$7&lt;&gt;""),IF(Y120='Historical Score'!$C$7,1,0),0)</f>
        <v/>
      </c>
      <c r="AT120" s="3">
        <f>IF(AND(K120&lt;&gt;"",'Historical Score'!$C$8&lt;&gt;""),IF(K120='Historical Score'!$C$8,1,0),0)</f>
        <v/>
      </c>
      <c r="AU120" s="3" t="n"/>
      <c r="AV120" s="3" t="n"/>
      <c r="AW120" s="3" t="n"/>
      <c r="AX120" s="3" t="n"/>
      <c r="AY120" s="3" t="n"/>
      <c r="AZ120" s="3" t="n"/>
      <c r="BA120" s="182">
        <f>IF(AD120=1,(AR120*'Historical Score'!$K$29+1-'Historical Score'!$K$29)*(AT120*'Historical Score'!$L$29+1-'Historical Score'!$L$29)*(AS120*'Historical Score'!$M$29+1-'Historical Score'!$M$29)*(AQ120*'Historical Score'!$N$29+1-'Historical Score'!$N$29),0)</f>
        <v/>
      </c>
      <c r="BB120" s="3" t="n"/>
      <c r="BC120" s="3" t="n"/>
    </row>
    <row r="121" ht="15.75" customHeight="1" s="174">
      <c r="A121" s="3" t="inlineStr">
        <is>
          <t>5674158547</t>
        </is>
      </c>
      <c r="B121" s="3" t="inlineStr">
        <is>
          <t>TAQUERIA Y ANTOJITOS EL GUANACO LLC</t>
        </is>
      </c>
      <c r="C121" s="3" t="inlineStr">
        <is>
          <t>TAQUERIA Y ANTOJITOS EL GUANACO LLC</t>
        </is>
      </c>
      <c r="D121" s="3" t="inlineStr">
        <is>
          <t>Closed</t>
        </is>
      </c>
      <c r="E121" s="23" t="n">
        <v>45806</v>
      </c>
      <c r="F121" s="23" t="n">
        <v>45866</v>
      </c>
      <c r="G121" s="3" t="n">
        <v>7</v>
      </c>
      <c r="H121" s="3" t="inlineStr">
        <is>
          <t>5812</t>
        </is>
      </c>
      <c r="I121" s="3" t="inlineStr">
        <is>
          <t>58</t>
        </is>
      </c>
      <c r="J121" s="3" t="inlineStr">
        <is>
          <t>No state</t>
        </is>
      </c>
      <c r="K121" s="3" t="inlineStr">
        <is>
          <t>PMF</t>
        </is>
      </c>
      <c r="L121" s="3" t="inlineStr">
        <is>
          <t>New Deal</t>
        </is>
      </c>
      <c r="M121" s="3" t="n">
        <v>1.49</v>
      </c>
      <c r="N121" s="28" t="n">
        <v>20000</v>
      </c>
      <c r="O121" s="28" t="n">
        <v>2800</v>
      </c>
      <c r="P121" s="28" t="n">
        <v>29800</v>
      </c>
      <c r="Q121" s="28" t="n">
        <v>29800</v>
      </c>
      <c r="R121" s="28" t="n">
        <v>0</v>
      </c>
      <c r="S121" s="42" t="n">
        <v>1</v>
      </c>
      <c r="T121" s="3" t="n">
        <v>2.623</v>
      </c>
      <c r="U121" s="3" t="n">
        <v>1</v>
      </c>
      <c r="V121" s="3" t="n"/>
      <c r="W121" s="42" t="n">
        <v>0.0565</v>
      </c>
      <c r="X121" s="23" t="n">
        <v>45806</v>
      </c>
      <c r="Y121" s="3">
        <f>IF(I121="","No SIC",IFERROR(VLOOKUP(I121,Ref!$A$2:$B$65,2,FALSE()),"Unclassified"))</f>
        <v/>
      </c>
      <c r="Z121" s="3">
        <f>IF(T121="","",IF(T121&lt;12,"Daily","Weekly"))</f>
        <v/>
      </c>
      <c r="AA121" s="3">
        <f>IF(T121="",0,IF(T121&lt;12,T121*Controls!$B$13,T121*5))</f>
        <v/>
      </c>
      <c r="AB121" s="3">
        <f>IF(E121="",0,NETWORKDAYS(E121,Controls!$B$20,Ref!$K$2:$K$42))</f>
        <v/>
      </c>
      <c r="AC121" s="3">
        <f>IF(OR(AF121=1,AND(AA121&gt;0,AB121&gt;=Controls!$B$23*AA121)),1,0)</f>
        <v/>
      </c>
      <c r="AD121" s="3">
        <f>IF(AND(E121&lt;&gt;"",E121&gt;=Controls!$B$21,E121&lt;=Controls!$B$22),1,0)</f>
        <v/>
      </c>
      <c r="AE121" s="3">
        <f>IF(IFERROR(VLOOKUP(D121,Controls!$A$36:$E$46,2,FALSE()),"No")="Yes",1,0)</f>
        <v/>
      </c>
      <c r="AF121" s="3">
        <f>IF(IFERROR(VLOOKUP(D121,Controls!$A$36:$E$46,3,FALSE()),"No")="Yes",1,0)</f>
        <v/>
      </c>
      <c r="AG121" s="3">
        <f>IF(IFERROR(VLOOKUP(D121,Controls!$A$36:$E$46,4,FALSE()),"No")="Yes",1,0)</f>
        <v/>
      </c>
      <c r="AH121" s="3">
        <f>IF(IFERROR(VLOOKUP(D121,Controls!$A$36:$E$46,5,FALSE()),"No")="Yes",1,0)</f>
        <v/>
      </c>
      <c r="AI121" s="3">
        <f>IF(ISNUMBER(MATCH(D121,Controls!$A$36:$A$46,0)),1,0)</f>
        <v/>
      </c>
      <c r="AJ121" s="28">
        <f>Q121-N121</f>
        <v/>
      </c>
      <c r="AK121" s="3">
        <f>IF(AE121=1,MAX(0,N121-Q121),0)</f>
        <v/>
      </c>
      <c r="AL121" s="3">
        <f>IF(OR(V121="",V121=0),0,N121/V121)</f>
        <v/>
      </c>
      <c r="AM121" s="3">
        <f>IF(OR(V121="",V121=0),0,1)</f>
        <v/>
      </c>
      <c r="AN121" s="3">
        <f>IF(OR(E121="",F121=""),0,NETWORKDAYS(E121,F121,Ref!$K$2:$K$42))</f>
        <v/>
      </c>
      <c r="AO121" s="3">
        <f>IF(L121="Renewal",1,0)</f>
        <v/>
      </c>
      <c r="AP121" s="3">
        <f>AC121*AD121</f>
        <v/>
      </c>
      <c r="AQ121" s="3">
        <f>IF(AND(G121&lt;&gt;"",'Historical Score'!$C$6&lt;&gt;""),IF(G121='Historical Score'!$C$6,1,0),0)</f>
        <v/>
      </c>
      <c r="AR121" s="3">
        <f>IF(AND(L121&lt;&gt;"",'Historical Score'!$C$5&lt;&gt;""),IF(L121='Historical Score'!$C$5,1,0),0)</f>
        <v/>
      </c>
      <c r="AS121" s="3">
        <f>IF(AND(Y121&lt;&gt;"",'Historical Score'!$C$7&lt;&gt;""),IF(Y121='Historical Score'!$C$7,1,0),0)</f>
        <v/>
      </c>
      <c r="AT121" s="3">
        <f>IF(AND(K121&lt;&gt;"",'Historical Score'!$C$8&lt;&gt;""),IF(K121='Historical Score'!$C$8,1,0),0)</f>
        <v/>
      </c>
      <c r="AU121" s="3" t="n"/>
      <c r="AV121" s="3" t="n"/>
      <c r="AW121" s="3" t="n"/>
      <c r="AX121" s="3" t="n"/>
      <c r="AY121" s="3" t="n"/>
      <c r="AZ121" s="3" t="n"/>
      <c r="BA121" s="182">
        <f>IF(AD121=1,(AR121*'Historical Score'!$K$29+1-'Historical Score'!$K$29)*(AT121*'Historical Score'!$L$29+1-'Historical Score'!$L$29)*(AS121*'Historical Score'!$M$29+1-'Historical Score'!$M$29)*(AQ121*'Historical Score'!$N$29+1-'Historical Score'!$N$29),0)</f>
        <v/>
      </c>
      <c r="BB121" s="3" t="n"/>
      <c r="BC121" s="3" t="n"/>
    </row>
    <row r="122" ht="15.75" customHeight="1" s="174">
      <c r="A122" s="3" t="inlineStr">
        <is>
          <t>5674158572</t>
        </is>
      </c>
      <c r="B122" s="3" t="inlineStr">
        <is>
          <t>Pet Dynasty</t>
        </is>
      </c>
      <c r="C122" s="3" t="inlineStr">
        <is>
          <t>MOO-VA-PET</t>
        </is>
      </c>
      <c r="D122" s="3" t="inlineStr">
        <is>
          <t>Closed</t>
        </is>
      </c>
      <c r="E122" s="23" t="n">
        <v>45806</v>
      </c>
      <c r="F122" s="23" t="n">
        <v>45915</v>
      </c>
      <c r="G122" s="3" t="n">
        <v>2</v>
      </c>
      <c r="H122" s="3" t="inlineStr">
        <is>
          <t>0742</t>
        </is>
      </c>
      <c r="I122" s="3" t="inlineStr">
        <is>
          <t>07</t>
        </is>
      </c>
      <c r="J122" s="3" t="inlineStr">
        <is>
          <t>No state</t>
        </is>
      </c>
      <c r="K122" s="3" t="inlineStr">
        <is>
          <t>FC ADVANCE</t>
        </is>
      </c>
      <c r="L122" s="3" t="inlineStr">
        <is>
          <t>New Deal</t>
        </is>
      </c>
      <c r="M122" s="3" t="n">
        <v>1.499</v>
      </c>
      <c r="N122" s="28" t="n">
        <v>6500</v>
      </c>
      <c r="O122" s="28" t="n">
        <v>910</v>
      </c>
      <c r="P122" s="28" t="n">
        <v>9743.5</v>
      </c>
      <c r="Q122" s="28" t="n">
        <v>9743.5</v>
      </c>
      <c r="R122" s="28" t="n">
        <v>0</v>
      </c>
      <c r="S122" s="42" t="n">
        <v>1</v>
      </c>
      <c r="T122" s="3" t="n">
        <v>1.967</v>
      </c>
      <c r="U122" s="3" t="n">
        <v>10</v>
      </c>
      <c r="V122" s="3" t="n"/>
      <c r="W122" s="42" t="n">
        <v>0.08210000000000001</v>
      </c>
      <c r="X122" s="23" t="n">
        <v>45806</v>
      </c>
      <c r="Y122" s="3">
        <f>IF(I122="","No SIC",IFERROR(VLOOKUP(I122,Ref!$A$2:$B$65,2,FALSE()),"Unclassified"))</f>
        <v/>
      </c>
      <c r="Z122" s="3">
        <f>IF(T122="","",IF(T122&lt;12,"Daily","Weekly"))</f>
        <v/>
      </c>
      <c r="AA122" s="3">
        <f>IF(T122="",0,IF(T122&lt;12,T122*Controls!$B$13,T122*5))</f>
        <v/>
      </c>
      <c r="AB122" s="3">
        <f>IF(E122="",0,NETWORKDAYS(E122,Controls!$B$20,Ref!$K$2:$K$42))</f>
        <v/>
      </c>
      <c r="AC122" s="3">
        <f>IF(OR(AF122=1,AND(AA122&gt;0,AB122&gt;=Controls!$B$23*AA122)),1,0)</f>
        <v/>
      </c>
      <c r="AD122" s="3">
        <f>IF(AND(E122&lt;&gt;"",E122&gt;=Controls!$B$21,E122&lt;=Controls!$B$22),1,0)</f>
        <v/>
      </c>
      <c r="AE122" s="3">
        <f>IF(IFERROR(VLOOKUP(D122,Controls!$A$36:$E$46,2,FALSE()),"No")="Yes",1,0)</f>
        <v/>
      </c>
      <c r="AF122" s="3">
        <f>IF(IFERROR(VLOOKUP(D122,Controls!$A$36:$E$46,3,FALSE()),"No")="Yes",1,0)</f>
        <v/>
      </c>
      <c r="AG122" s="3">
        <f>IF(IFERROR(VLOOKUP(D122,Controls!$A$36:$E$46,4,FALSE()),"No")="Yes",1,0)</f>
        <v/>
      </c>
      <c r="AH122" s="3">
        <f>IF(IFERROR(VLOOKUP(D122,Controls!$A$36:$E$46,5,FALSE()),"No")="Yes",1,0)</f>
        <v/>
      </c>
      <c r="AI122" s="3">
        <f>IF(ISNUMBER(MATCH(D122,Controls!$A$36:$A$46,0)),1,0)</f>
        <v/>
      </c>
      <c r="AJ122" s="28">
        <f>Q122-N122</f>
        <v/>
      </c>
      <c r="AK122" s="3">
        <f>IF(AE122=1,MAX(0,N122-Q122),0)</f>
        <v/>
      </c>
      <c r="AL122" s="3">
        <f>IF(OR(V122="",V122=0),0,N122/V122)</f>
        <v/>
      </c>
      <c r="AM122" s="3">
        <f>IF(OR(V122="",V122=0),0,1)</f>
        <v/>
      </c>
      <c r="AN122" s="3">
        <f>IF(OR(E122="",F122=""),0,NETWORKDAYS(E122,F122,Ref!$K$2:$K$42))</f>
        <v/>
      </c>
      <c r="AO122" s="3">
        <f>IF(L122="Renewal",1,0)</f>
        <v/>
      </c>
      <c r="AP122" s="3">
        <f>AC122*AD122</f>
        <v/>
      </c>
      <c r="AQ122" s="3">
        <f>IF(AND(G122&lt;&gt;"",'Historical Score'!$C$6&lt;&gt;""),IF(G122='Historical Score'!$C$6,1,0),0)</f>
        <v/>
      </c>
      <c r="AR122" s="3">
        <f>IF(AND(L122&lt;&gt;"",'Historical Score'!$C$5&lt;&gt;""),IF(L122='Historical Score'!$C$5,1,0),0)</f>
        <v/>
      </c>
      <c r="AS122" s="3">
        <f>IF(AND(Y122&lt;&gt;"",'Historical Score'!$C$7&lt;&gt;""),IF(Y122='Historical Score'!$C$7,1,0),0)</f>
        <v/>
      </c>
      <c r="AT122" s="3">
        <f>IF(AND(K122&lt;&gt;"",'Historical Score'!$C$8&lt;&gt;""),IF(K122='Historical Score'!$C$8,1,0),0)</f>
        <v/>
      </c>
      <c r="AU122" s="3" t="n"/>
      <c r="AV122" s="3" t="n"/>
      <c r="AW122" s="3" t="n"/>
      <c r="AX122" s="3" t="n"/>
      <c r="AY122" s="3" t="n"/>
      <c r="AZ122" s="3" t="n"/>
      <c r="BA122" s="182">
        <f>IF(AD122=1,(AR122*'Historical Score'!$K$29+1-'Historical Score'!$K$29)*(AT122*'Historical Score'!$L$29+1-'Historical Score'!$L$29)*(AS122*'Historical Score'!$M$29+1-'Historical Score'!$M$29)*(AQ122*'Historical Score'!$N$29+1-'Historical Score'!$N$29),0)</f>
        <v/>
      </c>
      <c r="BB122" s="3" t="n"/>
      <c r="BC122" s="3" t="n"/>
    </row>
    <row r="123" ht="15.75" customHeight="1" s="174">
      <c r="A123" s="3" t="inlineStr">
        <is>
          <t>5674158642</t>
        </is>
      </c>
      <c r="B123" s="3" t="inlineStr">
        <is>
          <t>The Burgin Group LLC</t>
        </is>
      </c>
      <c r="C123" s="3" t="inlineStr">
        <is>
          <t>The Burgin Group LLC</t>
        </is>
      </c>
      <c r="D123" s="3" t="inlineStr">
        <is>
          <t>Legal</t>
        </is>
      </c>
      <c r="E123" s="23" t="n">
        <v>45807</v>
      </c>
      <c r="F123" s="23" t="n">
        <v>45888</v>
      </c>
      <c r="G123" s="3" t="n">
        <v>4</v>
      </c>
      <c r="H123" s="3" t="inlineStr">
        <is>
          <t>5812</t>
        </is>
      </c>
      <c r="I123" s="3" t="inlineStr">
        <is>
          <t>58</t>
        </is>
      </c>
      <c r="J123" s="3" t="inlineStr">
        <is>
          <t>OH</t>
        </is>
      </c>
      <c r="K123" s="3" t="inlineStr">
        <is>
          <t>Vanguard Equities</t>
        </is>
      </c>
      <c r="L123" s="3" t="inlineStr">
        <is>
          <t>New Deal</t>
        </is>
      </c>
      <c r="M123" s="3" t="n">
        <v>1.49</v>
      </c>
      <c r="N123" s="28" t="n">
        <v>8000</v>
      </c>
      <c r="O123" s="28" t="n">
        <v>1120</v>
      </c>
      <c r="P123" s="28" t="n">
        <v>11920</v>
      </c>
      <c r="Q123" s="28" t="n">
        <v>6801.53</v>
      </c>
      <c r="R123" s="28" t="n">
        <v>5118.47</v>
      </c>
      <c r="S123" s="42" t="n">
        <v>0.570598154362416</v>
      </c>
      <c r="T123" s="3" t="n">
        <v>1.639</v>
      </c>
      <c r="U123" s="3" t="n">
        <v>21</v>
      </c>
      <c r="V123" s="3" t="n"/>
      <c r="W123" s="42" t="n">
        <v>0.0408</v>
      </c>
      <c r="X123" s="23" t="n">
        <v>45807</v>
      </c>
      <c r="Y123" s="3">
        <f>IF(I123="","No SIC",IFERROR(VLOOKUP(I123,Ref!$A$2:$B$65,2,FALSE()),"Unclassified"))</f>
        <v/>
      </c>
      <c r="Z123" s="3">
        <f>IF(T123="","",IF(T123&lt;12,"Daily","Weekly"))</f>
        <v/>
      </c>
      <c r="AA123" s="3">
        <f>IF(T123="",0,IF(T123&lt;12,T123*Controls!$B$13,T123*5))</f>
        <v/>
      </c>
      <c r="AB123" s="3">
        <f>IF(E123="",0,NETWORKDAYS(E123,Controls!$B$20,Ref!$K$2:$K$42))</f>
        <v/>
      </c>
      <c r="AC123" s="3">
        <f>IF(OR(AF123=1,AND(AA123&gt;0,AB123&gt;=Controls!$B$23*AA123)),1,0)</f>
        <v/>
      </c>
      <c r="AD123" s="3">
        <f>IF(AND(E123&lt;&gt;"",E123&gt;=Controls!$B$21,E123&lt;=Controls!$B$22),1,0)</f>
        <v/>
      </c>
      <c r="AE123" s="3">
        <f>IF(IFERROR(VLOOKUP(D123,Controls!$A$36:$E$46,2,FALSE()),"No")="Yes",1,0)</f>
        <v/>
      </c>
      <c r="AF123" s="3">
        <f>IF(IFERROR(VLOOKUP(D123,Controls!$A$36:$E$46,3,FALSE()),"No")="Yes",1,0)</f>
        <v/>
      </c>
      <c r="AG123" s="3">
        <f>IF(IFERROR(VLOOKUP(D123,Controls!$A$36:$E$46,4,FALSE()),"No")="Yes",1,0)</f>
        <v/>
      </c>
      <c r="AH123" s="3">
        <f>IF(IFERROR(VLOOKUP(D123,Controls!$A$36:$E$46,5,FALSE()),"No")="Yes",1,0)</f>
        <v/>
      </c>
      <c r="AI123" s="3">
        <f>IF(ISNUMBER(MATCH(D123,Controls!$A$36:$A$46,0)),1,0)</f>
        <v/>
      </c>
      <c r="AJ123" s="28">
        <f>Q123-N123</f>
        <v/>
      </c>
      <c r="AK123" s="3">
        <f>IF(AE123=1,MAX(0,N123-Q123),0)</f>
        <v/>
      </c>
      <c r="AL123" s="3">
        <f>IF(OR(V123="",V123=0),0,N123/V123)</f>
        <v/>
      </c>
      <c r="AM123" s="3">
        <f>IF(OR(V123="",V123=0),0,1)</f>
        <v/>
      </c>
      <c r="AN123" s="3">
        <f>IF(OR(E123="",F123=""),0,NETWORKDAYS(E123,F123,Ref!$K$2:$K$42))</f>
        <v/>
      </c>
      <c r="AO123" s="3">
        <f>IF(L123="Renewal",1,0)</f>
        <v/>
      </c>
      <c r="AP123" s="3">
        <f>AC123*AD123</f>
        <v/>
      </c>
      <c r="AQ123" s="3">
        <f>IF(AND(G123&lt;&gt;"",'Historical Score'!$C$6&lt;&gt;""),IF(G123='Historical Score'!$C$6,1,0),0)</f>
        <v/>
      </c>
      <c r="AR123" s="3">
        <f>IF(AND(L123&lt;&gt;"",'Historical Score'!$C$5&lt;&gt;""),IF(L123='Historical Score'!$C$5,1,0),0)</f>
        <v/>
      </c>
      <c r="AS123" s="3">
        <f>IF(AND(Y123&lt;&gt;"",'Historical Score'!$C$7&lt;&gt;""),IF(Y123='Historical Score'!$C$7,1,0),0)</f>
        <v/>
      </c>
      <c r="AT123" s="3">
        <f>IF(AND(K123&lt;&gt;"",'Historical Score'!$C$8&lt;&gt;""),IF(K123='Historical Score'!$C$8,1,0),0)</f>
        <v/>
      </c>
      <c r="AU123" s="3" t="n"/>
      <c r="AV123" s="3" t="n"/>
      <c r="AW123" s="3" t="n"/>
      <c r="AX123" s="3" t="n"/>
      <c r="AY123" s="3" t="n"/>
      <c r="AZ123" s="3" t="n"/>
      <c r="BA123" s="182">
        <f>IF(AD123=1,(AR123*'Historical Score'!$K$29+1-'Historical Score'!$K$29)*(AT123*'Historical Score'!$L$29+1-'Historical Score'!$L$29)*(AS123*'Historical Score'!$M$29+1-'Historical Score'!$M$29)*(AQ123*'Historical Score'!$N$29+1-'Historical Score'!$N$29),0)</f>
        <v/>
      </c>
      <c r="BB123" s="3" t="n"/>
      <c r="BC123" s="3" t="n"/>
    </row>
    <row r="124" ht="15.75" customHeight="1" s="174">
      <c r="A124" s="3" t="inlineStr">
        <is>
          <t>5674158686</t>
        </is>
      </c>
      <c r="B124" s="3" t="inlineStr">
        <is>
          <t>DR3M INSPECTIONS</t>
        </is>
      </c>
      <c r="C124" s="3" t="inlineStr">
        <is>
          <t>DR3M Inc</t>
        </is>
      </c>
      <c r="D124" s="3" t="inlineStr">
        <is>
          <t>Legal</t>
        </is>
      </c>
      <c r="E124" s="23" t="n">
        <v>45807</v>
      </c>
      <c r="F124" s="23" t="n">
        <v>46034</v>
      </c>
      <c r="G124" s="3" t="n">
        <v>6</v>
      </c>
      <c r="H124" s="3" t="inlineStr">
        <is>
          <t>7389</t>
        </is>
      </c>
      <c r="I124" s="3" t="inlineStr">
        <is>
          <t>73</t>
        </is>
      </c>
      <c r="J124" s="3" t="inlineStr">
        <is>
          <t>TX</t>
        </is>
      </c>
      <c r="K124" s="3" t="inlineStr">
        <is>
          <t>Premium Capital (AMRK)</t>
        </is>
      </c>
      <c r="L124" s="3" t="inlineStr">
        <is>
          <t>New Deal</t>
        </is>
      </c>
      <c r="M124" s="3" t="n">
        <v>1.38</v>
      </c>
      <c r="N124" s="28" t="n">
        <v>20000</v>
      </c>
      <c r="O124" s="28" t="n">
        <v>2000</v>
      </c>
      <c r="P124" s="28" t="n">
        <v>27600</v>
      </c>
      <c r="Q124" s="28" t="n">
        <v>22425.67</v>
      </c>
      <c r="R124" s="28" t="n">
        <v>5174.33</v>
      </c>
      <c r="S124" s="42" t="n">
        <v>0.812524275362319</v>
      </c>
      <c r="T124" s="3" t="n">
        <v>4.098</v>
      </c>
      <c r="U124" s="3" t="n">
        <v>8</v>
      </c>
      <c r="V124" s="3" t="n"/>
      <c r="W124" s="42" t="n">
        <v>0.1443</v>
      </c>
      <c r="X124" s="23" t="n">
        <v>45807</v>
      </c>
      <c r="Y124" s="3">
        <f>IF(I124="","No SIC",IFERROR(VLOOKUP(I124,Ref!$A$2:$B$65,2,FALSE()),"Unclassified"))</f>
        <v/>
      </c>
      <c r="Z124" s="3">
        <f>IF(T124="","",IF(T124&lt;12,"Daily","Weekly"))</f>
        <v/>
      </c>
      <c r="AA124" s="3">
        <f>IF(T124="",0,IF(T124&lt;12,T124*Controls!$B$13,T124*5))</f>
        <v/>
      </c>
      <c r="AB124" s="3">
        <f>IF(E124="",0,NETWORKDAYS(E124,Controls!$B$20,Ref!$K$2:$K$42))</f>
        <v/>
      </c>
      <c r="AC124" s="3">
        <f>IF(OR(AF124=1,AND(AA124&gt;0,AB124&gt;=Controls!$B$23*AA124)),1,0)</f>
        <v/>
      </c>
      <c r="AD124" s="3">
        <f>IF(AND(E124&lt;&gt;"",E124&gt;=Controls!$B$21,E124&lt;=Controls!$B$22),1,0)</f>
        <v/>
      </c>
      <c r="AE124" s="3">
        <f>IF(IFERROR(VLOOKUP(D124,Controls!$A$36:$E$46,2,FALSE()),"No")="Yes",1,0)</f>
        <v/>
      </c>
      <c r="AF124" s="3">
        <f>IF(IFERROR(VLOOKUP(D124,Controls!$A$36:$E$46,3,FALSE()),"No")="Yes",1,0)</f>
        <v/>
      </c>
      <c r="AG124" s="3">
        <f>IF(IFERROR(VLOOKUP(D124,Controls!$A$36:$E$46,4,FALSE()),"No")="Yes",1,0)</f>
        <v/>
      </c>
      <c r="AH124" s="3">
        <f>IF(IFERROR(VLOOKUP(D124,Controls!$A$36:$E$46,5,FALSE()),"No")="Yes",1,0)</f>
        <v/>
      </c>
      <c r="AI124" s="3">
        <f>IF(ISNUMBER(MATCH(D124,Controls!$A$36:$A$46,0)),1,0)</f>
        <v/>
      </c>
      <c r="AJ124" s="28">
        <f>Q124-N124</f>
        <v/>
      </c>
      <c r="AK124" s="3">
        <f>IF(AE124=1,MAX(0,N124-Q124),0)</f>
        <v/>
      </c>
      <c r="AL124" s="3">
        <f>IF(OR(V124="",V124=0),0,N124/V124)</f>
        <v/>
      </c>
      <c r="AM124" s="3">
        <f>IF(OR(V124="",V124=0),0,1)</f>
        <v/>
      </c>
      <c r="AN124" s="3">
        <f>IF(OR(E124="",F124=""),0,NETWORKDAYS(E124,F124,Ref!$K$2:$K$42))</f>
        <v/>
      </c>
      <c r="AO124" s="3">
        <f>IF(L124="Renewal",1,0)</f>
        <v/>
      </c>
      <c r="AP124" s="3">
        <f>AC124*AD124</f>
        <v/>
      </c>
      <c r="AQ124" s="3">
        <f>IF(AND(G124&lt;&gt;"",'Historical Score'!$C$6&lt;&gt;""),IF(G124='Historical Score'!$C$6,1,0),0)</f>
        <v/>
      </c>
      <c r="AR124" s="3">
        <f>IF(AND(L124&lt;&gt;"",'Historical Score'!$C$5&lt;&gt;""),IF(L124='Historical Score'!$C$5,1,0),0)</f>
        <v/>
      </c>
      <c r="AS124" s="3">
        <f>IF(AND(Y124&lt;&gt;"",'Historical Score'!$C$7&lt;&gt;""),IF(Y124='Historical Score'!$C$7,1,0),0)</f>
        <v/>
      </c>
      <c r="AT124" s="3">
        <f>IF(AND(K124&lt;&gt;"",'Historical Score'!$C$8&lt;&gt;""),IF(K124='Historical Score'!$C$8,1,0),0)</f>
        <v/>
      </c>
      <c r="AU124" s="3" t="n"/>
      <c r="AV124" s="3" t="n"/>
      <c r="AW124" s="3" t="n"/>
      <c r="AX124" s="3" t="n"/>
      <c r="AY124" s="3" t="n"/>
      <c r="AZ124" s="3" t="n"/>
      <c r="BA124" s="182">
        <f>IF(AD124=1,(AR124*'Historical Score'!$K$29+1-'Historical Score'!$K$29)*(AT124*'Historical Score'!$L$29+1-'Historical Score'!$L$29)*(AS124*'Historical Score'!$M$29+1-'Historical Score'!$M$29)*(AQ124*'Historical Score'!$N$29+1-'Historical Score'!$N$29),0)</f>
        <v/>
      </c>
      <c r="BB124" s="3" t="n"/>
      <c r="BC124" s="3" t="n"/>
    </row>
    <row r="125" ht="15.75" customHeight="1" s="174">
      <c r="A125" s="3" t="inlineStr">
        <is>
          <t>5674158858</t>
        </is>
      </c>
      <c r="B125" s="3" t="inlineStr">
        <is>
          <t>CharterPro</t>
        </is>
      </c>
      <c r="C125" s="3" t="inlineStr">
        <is>
          <t>KING LIMOUSINE SERVICE INC</t>
        </is>
      </c>
      <c r="D125" s="3" t="inlineStr">
        <is>
          <t>Closed</t>
        </is>
      </c>
      <c r="E125" s="23" t="n">
        <v>45812</v>
      </c>
      <c r="F125" s="23" t="n">
        <v>45996</v>
      </c>
      <c r="G125" s="3" t="n">
        <v>1</v>
      </c>
      <c r="H125" s="3" t="inlineStr">
        <is>
          <t>4111</t>
        </is>
      </c>
      <c r="I125" s="3" t="inlineStr">
        <is>
          <t>41</t>
        </is>
      </c>
      <c r="J125" s="3" t="inlineStr">
        <is>
          <t>No state</t>
        </is>
      </c>
      <c r="K125" s="3" t="inlineStr">
        <is>
          <t>Platform Funding</t>
        </is>
      </c>
      <c r="L125" s="3" t="inlineStr">
        <is>
          <t>New Deal</t>
        </is>
      </c>
      <c r="M125" s="3" t="n">
        <v>1.31</v>
      </c>
      <c r="N125" s="28" t="n">
        <v>75000</v>
      </c>
      <c r="O125" s="28" t="n">
        <v>3000</v>
      </c>
      <c r="P125" s="28" t="n">
        <v>98250</v>
      </c>
      <c r="Q125" s="28" t="n">
        <v>98250</v>
      </c>
      <c r="R125" s="28" t="n">
        <v>0</v>
      </c>
      <c r="S125" s="42" t="n">
        <v>1</v>
      </c>
      <c r="T125" s="3" t="n">
        <v>32</v>
      </c>
      <c r="U125" s="3" t="n">
        <v>0</v>
      </c>
      <c r="V125" s="3" t="n"/>
      <c r="W125" s="42" t="n">
        <v>0.0567</v>
      </c>
      <c r="X125" s="23" t="n">
        <v>38777</v>
      </c>
      <c r="Y125" s="3">
        <f>IF(I125="","No SIC",IFERROR(VLOOKUP(I125,Ref!$A$2:$B$65,2,FALSE()),"Unclassified"))</f>
        <v/>
      </c>
      <c r="Z125" s="3">
        <f>IF(T125="","",IF(T125&lt;12,"Daily","Weekly"))</f>
        <v/>
      </c>
      <c r="AA125" s="3">
        <f>IF(T125="",0,IF(T125&lt;12,T125*Controls!$B$13,T125*5))</f>
        <v/>
      </c>
      <c r="AB125" s="3">
        <f>IF(E125="",0,NETWORKDAYS(E125,Controls!$B$20,Ref!$K$2:$K$42))</f>
        <v/>
      </c>
      <c r="AC125" s="3">
        <f>IF(OR(AF125=1,AND(AA125&gt;0,AB125&gt;=Controls!$B$23*AA125)),1,0)</f>
        <v/>
      </c>
      <c r="AD125" s="3">
        <f>IF(AND(E125&lt;&gt;"",E125&gt;=Controls!$B$21,E125&lt;=Controls!$B$22),1,0)</f>
        <v/>
      </c>
      <c r="AE125" s="3">
        <f>IF(IFERROR(VLOOKUP(D125,Controls!$A$36:$E$46,2,FALSE()),"No")="Yes",1,0)</f>
        <v/>
      </c>
      <c r="AF125" s="3">
        <f>IF(IFERROR(VLOOKUP(D125,Controls!$A$36:$E$46,3,FALSE()),"No")="Yes",1,0)</f>
        <v/>
      </c>
      <c r="AG125" s="3">
        <f>IF(IFERROR(VLOOKUP(D125,Controls!$A$36:$E$46,4,FALSE()),"No")="Yes",1,0)</f>
        <v/>
      </c>
      <c r="AH125" s="3">
        <f>IF(IFERROR(VLOOKUP(D125,Controls!$A$36:$E$46,5,FALSE()),"No")="Yes",1,0)</f>
        <v/>
      </c>
      <c r="AI125" s="3">
        <f>IF(ISNUMBER(MATCH(D125,Controls!$A$36:$A$46,0)),1,0)</f>
        <v/>
      </c>
      <c r="AJ125" s="28">
        <f>Q125-N125</f>
        <v/>
      </c>
      <c r="AK125" s="3">
        <f>IF(AE125=1,MAX(0,N125-Q125),0)</f>
        <v/>
      </c>
      <c r="AL125" s="3">
        <f>IF(OR(V125="",V125=0),0,N125/V125)</f>
        <v/>
      </c>
      <c r="AM125" s="3">
        <f>IF(OR(V125="",V125=0),0,1)</f>
        <v/>
      </c>
      <c r="AN125" s="3">
        <f>IF(OR(E125="",F125=""),0,NETWORKDAYS(E125,F125,Ref!$K$2:$K$42))</f>
        <v/>
      </c>
      <c r="AO125" s="3">
        <f>IF(L125="Renewal",1,0)</f>
        <v/>
      </c>
      <c r="AP125" s="3">
        <f>AC125*AD125</f>
        <v/>
      </c>
      <c r="AQ125" s="3">
        <f>IF(AND(G125&lt;&gt;"",'Historical Score'!$C$6&lt;&gt;""),IF(G125='Historical Score'!$C$6,1,0),0)</f>
        <v/>
      </c>
      <c r="AR125" s="3">
        <f>IF(AND(L125&lt;&gt;"",'Historical Score'!$C$5&lt;&gt;""),IF(L125='Historical Score'!$C$5,1,0),0)</f>
        <v/>
      </c>
      <c r="AS125" s="3">
        <f>IF(AND(Y125&lt;&gt;"",'Historical Score'!$C$7&lt;&gt;""),IF(Y125='Historical Score'!$C$7,1,0),0)</f>
        <v/>
      </c>
      <c r="AT125" s="3">
        <f>IF(AND(K125&lt;&gt;"",'Historical Score'!$C$8&lt;&gt;""),IF(K125='Historical Score'!$C$8,1,0),0)</f>
        <v/>
      </c>
      <c r="AU125" s="3" t="n"/>
      <c r="AV125" s="3" t="n"/>
      <c r="AW125" s="3" t="n"/>
      <c r="AX125" s="3" t="n"/>
      <c r="AY125" s="3" t="n"/>
      <c r="AZ125" s="3" t="n"/>
      <c r="BA125" s="182">
        <f>IF(AD125=1,(AR125*'Historical Score'!$K$29+1-'Historical Score'!$K$29)*(AT125*'Historical Score'!$L$29+1-'Historical Score'!$L$29)*(AS125*'Historical Score'!$M$29+1-'Historical Score'!$M$29)*(AQ125*'Historical Score'!$N$29+1-'Historical Score'!$N$29),0)</f>
        <v/>
      </c>
      <c r="BB125" s="3" t="n"/>
      <c r="BC125" s="3" t="n"/>
    </row>
    <row r="126" ht="15.75" customHeight="1" s="174">
      <c r="A126" s="3" t="inlineStr">
        <is>
          <t>5674159072</t>
        </is>
      </c>
      <c r="B126" s="3" t="inlineStr">
        <is>
          <t>Anderson Carpentry Co.</t>
        </is>
      </c>
      <c r="C126" s="3" t="inlineStr">
        <is>
          <t>Anderson carpentry and Co.</t>
        </is>
      </c>
      <c r="D126" s="3" t="inlineStr">
        <is>
          <t>Legal</t>
        </is>
      </c>
      <c r="E126" s="23" t="n">
        <v>45813</v>
      </c>
      <c r="F126" s="23" t="n">
        <v>45926</v>
      </c>
      <c r="G126" s="3" t="n">
        <v>1</v>
      </c>
      <c r="H126" s="3" t="inlineStr">
        <is>
          <t>1751</t>
        </is>
      </c>
      <c r="I126" s="3" t="inlineStr">
        <is>
          <t>17</t>
        </is>
      </c>
      <c r="J126" s="3" t="inlineStr">
        <is>
          <t>FL</t>
        </is>
      </c>
      <c r="K126" s="3" t="inlineStr">
        <is>
          <t>Samson Funding</t>
        </is>
      </c>
      <c r="L126" s="3" t="inlineStr">
        <is>
          <t>Renewal</t>
        </is>
      </c>
      <c r="M126" s="3" t="n">
        <v>1.49</v>
      </c>
      <c r="N126" s="28" t="n">
        <v>16500</v>
      </c>
      <c r="O126" s="28" t="n">
        <v>2310</v>
      </c>
      <c r="P126" s="28" t="n">
        <v>24585</v>
      </c>
      <c r="Q126" s="28" t="n">
        <v>4038.1</v>
      </c>
      <c r="R126" s="28" t="n">
        <v>20546.9</v>
      </c>
      <c r="S126" s="42" t="n">
        <v>0.164250559284116</v>
      </c>
      <c r="T126" s="3" t="n">
        <v>3.279</v>
      </c>
      <c r="U126" s="3" t="n">
        <v>40</v>
      </c>
      <c r="V126" s="3" t="n"/>
      <c r="W126" s="42" t="n">
        <v>0.1619</v>
      </c>
      <c r="X126" s="23" t="n">
        <v>45813</v>
      </c>
      <c r="Y126" s="3">
        <f>IF(I126="","No SIC",IFERROR(VLOOKUP(I126,Ref!$A$2:$B$65,2,FALSE()),"Unclassified"))</f>
        <v/>
      </c>
      <c r="Z126" s="3">
        <f>IF(T126="","",IF(T126&lt;12,"Daily","Weekly"))</f>
        <v/>
      </c>
      <c r="AA126" s="3">
        <f>IF(T126="",0,IF(T126&lt;12,T126*Controls!$B$13,T126*5))</f>
        <v/>
      </c>
      <c r="AB126" s="3">
        <f>IF(E126="",0,NETWORKDAYS(E126,Controls!$B$20,Ref!$K$2:$K$42))</f>
        <v/>
      </c>
      <c r="AC126" s="3">
        <f>IF(OR(AF126=1,AND(AA126&gt;0,AB126&gt;=Controls!$B$23*AA126)),1,0)</f>
        <v/>
      </c>
      <c r="AD126" s="3">
        <f>IF(AND(E126&lt;&gt;"",E126&gt;=Controls!$B$21,E126&lt;=Controls!$B$22),1,0)</f>
        <v/>
      </c>
      <c r="AE126" s="3">
        <f>IF(IFERROR(VLOOKUP(D126,Controls!$A$36:$E$46,2,FALSE()),"No")="Yes",1,0)</f>
        <v/>
      </c>
      <c r="AF126" s="3">
        <f>IF(IFERROR(VLOOKUP(D126,Controls!$A$36:$E$46,3,FALSE()),"No")="Yes",1,0)</f>
        <v/>
      </c>
      <c r="AG126" s="3">
        <f>IF(IFERROR(VLOOKUP(D126,Controls!$A$36:$E$46,4,FALSE()),"No")="Yes",1,0)</f>
        <v/>
      </c>
      <c r="AH126" s="3">
        <f>IF(IFERROR(VLOOKUP(D126,Controls!$A$36:$E$46,5,FALSE()),"No")="Yes",1,0)</f>
        <v/>
      </c>
      <c r="AI126" s="3">
        <f>IF(ISNUMBER(MATCH(D126,Controls!$A$36:$A$46,0)),1,0)</f>
        <v/>
      </c>
      <c r="AJ126" s="28">
        <f>Q126-N126</f>
        <v/>
      </c>
      <c r="AK126" s="3">
        <f>IF(AE126=1,MAX(0,N126-Q126),0)</f>
        <v/>
      </c>
      <c r="AL126" s="3">
        <f>IF(OR(V126="",V126=0),0,N126/V126)</f>
        <v/>
      </c>
      <c r="AM126" s="3">
        <f>IF(OR(V126="",V126=0),0,1)</f>
        <v/>
      </c>
      <c r="AN126" s="3">
        <f>IF(OR(E126="",F126=""),0,NETWORKDAYS(E126,F126,Ref!$K$2:$K$42))</f>
        <v/>
      </c>
      <c r="AO126" s="3">
        <f>IF(L126="Renewal",1,0)</f>
        <v/>
      </c>
      <c r="AP126" s="3">
        <f>AC126*AD126</f>
        <v/>
      </c>
      <c r="AQ126" s="3">
        <f>IF(AND(G126&lt;&gt;"",'Historical Score'!$C$6&lt;&gt;""),IF(G126='Historical Score'!$C$6,1,0),0)</f>
        <v/>
      </c>
      <c r="AR126" s="3">
        <f>IF(AND(L126&lt;&gt;"",'Historical Score'!$C$5&lt;&gt;""),IF(L126='Historical Score'!$C$5,1,0),0)</f>
        <v/>
      </c>
      <c r="AS126" s="3">
        <f>IF(AND(Y126&lt;&gt;"",'Historical Score'!$C$7&lt;&gt;""),IF(Y126='Historical Score'!$C$7,1,0),0)</f>
        <v/>
      </c>
      <c r="AT126" s="3">
        <f>IF(AND(K126&lt;&gt;"",'Historical Score'!$C$8&lt;&gt;""),IF(K126='Historical Score'!$C$8,1,0),0)</f>
        <v/>
      </c>
      <c r="AU126" s="3" t="n"/>
      <c r="AV126" s="3" t="n"/>
      <c r="AW126" s="3" t="n"/>
      <c r="AX126" s="3" t="n"/>
      <c r="AY126" s="3" t="n"/>
      <c r="AZ126" s="3" t="n"/>
      <c r="BA126" s="182">
        <f>IF(AD126=1,(AR126*'Historical Score'!$K$29+1-'Historical Score'!$K$29)*(AT126*'Historical Score'!$L$29+1-'Historical Score'!$L$29)*(AS126*'Historical Score'!$M$29+1-'Historical Score'!$M$29)*(AQ126*'Historical Score'!$N$29+1-'Historical Score'!$N$29),0)</f>
        <v/>
      </c>
      <c r="BB126" s="3" t="n"/>
      <c r="BC126" s="3" t="n"/>
    </row>
    <row r="127" ht="15.75" customHeight="1" s="174">
      <c r="A127" s="3" t="inlineStr">
        <is>
          <t>5674159288</t>
        </is>
      </c>
      <c r="B127" s="3" t="inlineStr">
        <is>
          <t>Fast Affordable College Student Mover and</t>
        </is>
      </c>
      <c r="C127" s="3" t="inlineStr">
        <is>
          <t>Fast Affordable College Student Mover and</t>
        </is>
      </c>
      <c r="D127" s="3" t="inlineStr">
        <is>
          <t>Written-Off</t>
        </is>
      </c>
      <c r="E127" s="23" t="n">
        <v>45817</v>
      </c>
      <c r="F127" s="23" t="n">
        <v>45835</v>
      </c>
      <c r="G127" s="3" t="n">
        <v>2</v>
      </c>
      <c r="H127" s="3" t="inlineStr">
        <is>
          <t>4212</t>
        </is>
      </c>
      <c r="I127" s="3" t="inlineStr">
        <is>
          <t>42</t>
        </is>
      </c>
      <c r="J127" s="3" t="inlineStr">
        <is>
          <t>LA</t>
        </is>
      </c>
      <c r="K127" s="3" t="inlineStr">
        <is>
          <t>Alternative Solutions Funding</t>
        </is>
      </c>
      <c r="L127" s="3" t="inlineStr">
        <is>
          <t>New Deal</t>
        </is>
      </c>
      <c r="M127" s="3" t="n">
        <v>1.5</v>
      </c>
      <c r="N127" s="28" t="n">
        <v>8000</v>
      </c>
      <c r="O127" s="28" t="n">
        <v>0</v>
      </c>
      <c r="P127" s="28" t="n">
        <v>12000</v>
      </c>
      <c r="Q127" s="28" t="n">
        <v>599.76</v>
      </c>
      <c r="R127" s="28" t="n">
        <v>11400.24</v>
      </c>
      <c r="S127" s="42" t="n">
        <v>0.04998</v>
      </c>
      <c r="T127" s="3" t="n">
        <v>2.623</v>
      </c>
      <c r="U127" s="3" t="n">
        <v>3</v>
      </c>
      <c r="V127" s="3" t="n"/>
      <c r="W127" s="42" t="n">
        <v>0.0624</v>
      </c>
      <c r="X127" s="23" t="n">
        <v>45817</v>
      </c>
      <c r="Y127" s="3">
        <f>IF(I127="","No SIC",IFERROR(VLOOKUP(I127,Ref!$A$2:$B$65,2,FALSE()),"Unclassified"))</f>
        <v/>
      </c>
      <c r="Z127" s="3">
        <f>IF(T127="","",IF(T127&lt;12,"Daily","Weekly"))</f>
        <v/>
      </c>
      <c r="AA127" s="3">
        <f>IF(T127="",0,IF(T127&lt;12,T127*Controls!$B$13,T127*5))</f>
        <v/>
      </c>
      <c r="AB127" s="3">
        <f>IF(E127="",0,NETWORKDAYS(E127,Controls!$B$20,Ref!$K$2:$K$42))</f>
        <v/>
      </c>
      <c r="AC127" s="3">
        <f>IF(OR(AF127=1,AND(AA127&gt;0,AB127&gt;=Controls!$B$23*AA127)),1,0)</f>
        <v/>
      </c>
      <c r="AD127" s="3">
        <f>IF(AND(E127&lt;&gt;"",E127&gt;=Controls!$B$21,E127&lt;=Controls!$B$22),1,0)</f>
        <v/>
      </c>
      <c r="AE127" s="3">
        <f>IF(IFERROR(VLOOKUP(D127,Controls!$A$36:$E$46,2,FALSE()),"No")="Yes",1,0)</f>
        <v/>
      </c>
      <c r="AF127" s="3">
        <f>IF(IFERROR(VLOOKUP(D127,Controls!$A$36:$E$46,3,FALSE()),"No")="Yes",1,0)</f>
        <v/>
      </c>
      <c r="AG127" s="3">
        <f>IF(IFERROR(VLOOKUP(D127,Controls!$A$36:$E$46,4,FALSE()),"No")="Yes",1,0)</f>
        <v/>
      </c>
      <c r="AH127" s="3">
        <f>IF(IFERROR(VLOOKUP(D127,Controls!$A$36:$E$46,5,FALSE()),"No")="Yes",1,0)</f>
        <v/>
      </c>
      <c r="AI127" s="3">
        <f>IF(ISNUMBER(MATCH(D127,Controls!$A$36:$A$46,0)),1,0)</f>
        <v/>
      </c>
      <c r="AJ127" s="28">
        <f>Q127-N127</f>
        <v/>
      </c>
      <c r="AK127" s="3">
        <f>IF(AE127=1,MAX(0,N127-Q127),0)</f>
        <v/>
      </c>
      <c r="AL127" s="3">
        <f>IF(OR(V127="",V127=0),0,N127/V127)</f>
        <v/>
      </c>
      <c r="AM127" s="3">
        <f>IF(OR(V127="",V127=0),0,1)</f>
        <v/>
      </c>
      <c r="AN127" s="3">
        <f>IF(OR(E127="",F127=""),0,NETWORKDAYS(E127,F127,Ref!$K$2:$K$42))</f>
        <v/>
      </c>
      <c r="AO127" s="3">
        <f>IF(L127="Renewal",1,0)</f>
        <v/>
      </c>
      <c r="AP127" s="3">
        <f>AC127*AD127</f>
        <v/>
      </c>
      <c r="AQ127" s="3">
        <f>IF(AND(G127&lt;&gt;"",'Historical Score'!$C$6&lt;&gt;""),IF(G127='Historical Score'!$C$6,1,0),0)</f>
        <v/>
      </c>
      <c r="AR127" s="3">
        <f>IF(AND(L127&lt;&gt;"",'Historical Score'!$C$5&lt;&gt;""),IF(L127='Historical Score'!$C$5,1,0),0)</f>
        <v/>
      </c>
      <c r="AS127" s="3">
        <f>IF(AND(Y127&lt;&gt;"",'Historical Score'!$C$7&lt;&gt;""),IF(Y127='Historical Score'!$C$7,1,0),0)</f>
        <v/>
      </c>
      <c r="AT127" s="3">
        <f>IF(AND(K127&lt;&gt;"",'Historical Score'!$C$8&lt;&gt;""),IF(K127='Historical Score'!$C$8,1,0),0)</f>
        <v/>
      </c>
      <c r="AU127" s="3" t="n"/>
      <c r="AV127" s="3" t="n"/>
      <c r="AW127" s="3" t="n"/>
      <c r="AX127" s="3" t="n"/>
      <c r="AY127" s="3" t="n"/>
      <c r="AZ127" s="3" t="n"/>
      <c r="BA127" s="182">
        <f>IF(AD127=1,(AR127*'Historical Score'!$K$29+1-'Historical Score'!$K$29)*(AT127*'Historical Score'!$L$29+1-'Historical Score'!$L$29)*(AS127*'Historical Score'!$M$29+1-'Historical Score'!$M$29)*(AQ127*'Historical Score'!$N$29+1-'Historical Score'!$N$29),0)</f>
        <v/>
      </c>
      <c r="BB127" s="3" t="n"/>
      <c r="BC127" s="3" t="n"/>
    </row>
    <row r="128" ht="15.75" customHeight="1" s="174">
      <c r="A128" s="3" t="inlineStr">
        <is>
          <t>5674159323</t>
        </is>
      </c>
      <c r="B128" s="3" t="inlineStr">
        <is>
          <t>FLOORS AND PAINTING FOR LESS</t>
        </is>
      </c>
      <c r="C128" s="3" t="inlineStr">
        <is>
          <t>FLOORS AND PAINTING FOR LESS, INC.</t>
        </is>
      </c>
      <c r="D128" s="3" t="inlineStr">
        <is>
          <t>Closed</t>
        </is>
      </c>
      <c r="E128" s="23" t="n">
        <v>45817</v>
      </c>
      <c r="F128" s="23" t="n">
        <v>46024</v>
      </c>
      <c r="G128" s="3" t="n">
        <v>1</v>
      </c>
      <c r="H128" s="3" t="inlineStr">
        <is>
          <t>1752</t>
        </is>
      </c>
      <c r="I128" s="3" t="inlineStr">
        <is>
          <t>17</t>
        </is>
      </c>
      <c r="J128" s="3" t="inlineStr">
        <is>
          <t>FL</t>
        </is>
      </c>
      <c r="K128" s="3" t="inlineStr">
        <is>
          <t>EZ ADVANCE LLC</t>
        </is>
      </c>
      <c r="L128" s="3" t="inlineStr">
        <is>
          <t>New Deal</t>
        </is>
      </c>
      <c r="M128" s="3" t="n">
        <v>1.45</v>
      </c>
      <c r="N128" s="28" t="n">
        <v>40000</v>
      </c>
      <c r="O128" s="28" t="n">
        <v>4800</v>
      </c>
      <c r="P128" s="28" t="n">
        <v>58000</v>
      </c>
      <c r="Q128" s="28" t="n">
        <v>58000</v>
      </c>
      <c r="R128" s="28" t="n">
        <v>0</v>
      </c>
      <c r="S128" s="42" t="n">
        <v>1</v>
      </c>
      <c r="T128" s="3" t="n">
        <v>30</v>
      </c>
      <c r="U128" s="3" t="n">
        <v>0</v>
      </c>
      <c r="V128" s="3" t="n"/>
      <c r="W128" s="42" t="n">
        <v>0.073</v>
      </c>
      <c r="X128" s="23" t="n">
        <v>45817</v>
      </c>
      <c r="Y128" s="3">
        <f>IF(I128="","No SIC",IFERROR(VLOOKUP(I128,Ref!$A$2:$B$65,2,FALSE()),"Unclassified"))</f>
        <v/>
      </c>
      <c r="Z128" s="3">
        <f>IF(T128="","",IF(T128&lt;12,"Daily","Weekly"))</f>
        <v/>
      </c>
      <c r="AA128" s="3">
        <f>IF(T128="",0,IF(T128&lt;12,T128*Controls!$B$13,T128*5))</f>
        <v/>
      </c>
      <c r="AB128" s="3">
        <f>IF(E128="",0,NETWORKDAYS(E128,Controls!$B$20,Ref!$K$2:$K$42))</f>
        <v/>
      </c>
      <c r="AC128" s="3">
        <f>IF(OR(AF128=1,AND(AA128&gt;0,AB128&gt;=Controls!$B$23*AA128)),1,0)</f>
        <v/>
      </c>
      <c r="AD128" s="3">
        <f>IF(AND(E128&lt;&gt;"",E128&gt;=Controls!$B$21,E128&lt;=Controls!$B$22),1,0)</f>
        <v/>
      </c>
      <c r="AE128" s="3">
        <f>IF(IFERROR(VLOOKUP(D128,Controls!$A$36:$E$46,2,FALSE()),"No")="Yes",1,0)</f>
        <v/>
      </c>
      <c r="AF128" s="3">
        <f>IF(IFERROR(VLOOKUP(D128,Controls!$A$36:$E$46,3,FALSE()),"No")="Yes",1,0)</f>
        <v/>
      </c>
      <c r="AG128" s="3">
        <f>IF(IFERROR(VLOOKUP(D128,Controls!$A$36:$E$46,4,FALSE()),"No")="Yes",1,0)</f>
        <v/>
      </c>
      <c r="AH128" s="3">
        <f>IF(IFERROR(VLOOKUP(D128,Controls!$A$36:$E$46,5,FALSE()),"No")="Yes",1,0)</f>
        <v/>
      </c>
      <c r="AI128" s="3">
        <f>IF(ISNUMBER(MATCH(D128,Controls!$A$36:$A$46,0)),1,0)</f>
        <v/>
      </c>
      <c r="AJ128" s="28">
        <f>Q128-N128</f>
        <v/>
      </c>
      <c r="AK128" s="3">
        <f>IF(AE128=1,MAX(0,N128-Q128),0)</f>
        <v/>
      </c>
      <c r="AL128" s="3">
        <f>IF(OR(V128="",V128=0),0,N128/V128)</f>
        <v/>
      </c>
      <c r="AM128" s="3">
        <f>IF(OR(V128="",V128=0),0,1)</f>
        <v/>
      </c>
      <c r="AN128" s="3">
        <f>IF(OR(E128="",F128=""),0,NETWORKDAYS(E128,F128,Ref!$K$2:$K$42))</f>
        <v/>
      </c>
      <c r="AO128" s="3">
        <f>IF(L128="Renewal",1,0)</f>
        <v/>
      </c>
      <c r="AP128" s="3">
        <f>AC128*AD128</f>
        <v/>
      </c>
      <c r="AQ128" s="3">
        <f>IF(AND(G128&lt;&gt;"",'Historical Score'!$C$6&lt;&gt;""),IF(G128='Historical Score'!$C$6,1,0),0)</f>
        <v/>
      </c>
      <c r="AR128" s="3">
        <f>IF(AND(L128&lt;&gt;"",'Historical Score'!$C$5&lt;&gt;""),IF(L128='Historical Score'!$C$5,1,0),0)</f>
        <v/>
      </c>
      <c r="AS128" s="3">
        <f>IF(AND(Y128&lt;&gt;"",'Historical Score'!$C$7&lt;&gt;""),IF(Y128='Historical Score'!$C$7,1,0),0)</f>
        <v/>
      </c>
      <c r="AT128" s="3">
        <f>IF(AND(K128&lt;&gt;"",'Historical Score'!$C$8&lt;&gt;""),IF(K128='Historical Score'!$C$8,1,0),0)</f>
        <v/>
      </c>
      <c r="AU128" s="3" t="n"/>
      <c r="AV128" s="3" t="n"/>
      <c r="AW128" s="3" t="n"/>
      <c r="AX128" s="3" t="n"/>
      <c r="AY128" s="3" t="n"/>
      <c r="AZ128" s="3" t="n"/>
      <c r="BA128" s="182">
        <f>IF(AD128=1,(AR128*'Historical Score'!$K$29+1-'Historical Score'!$K$29)*(AT128*'Historical Score'!$L$29+1-'Historical Score'!$L$29)*(AS128*'Historical Score'!$M$29+1-'Historical Score'!$M$29)*(AQ128*'Historical Score'!$N$29+1-'Historical Score'!$N$29),0)</f>
        <v/>
      </c>
      <c r="BB128" s="3" t="n"/>
      <c r="BC128" s="3" t="n"/>
    </row>
    <row r="129" ht="15.75" customHeight="1" s="174">
      <c r="A129" s="3" t="inlineStr">
        <is>
          <t>5674159429</t>
        </is>
      </c>
      <c r="B129" s="3" t="inlineStr">
        <is>
          <t>Gago burger LLC</t>
        </is>
      </c>
      <c r="C129" s="3" t="inlineStr">
        <is>
          <t>Gago burger LLC</t>
        </is>
      </c>
      <c r="D129" s="3" t="inlineStr">
        <is>
          <t>Legal</t>
        </is>
      </c>
      <c r="E129" s="23" t="n">
        <v>45818</v>
      </c>
      <c r="F129" s="23" t="n">
        <v>45832</v>
      </c>
      <c r="G129" s="3" t="n">
        <v>1</v>
      </c>
      <c r="H129" s="3" t="inlineStr">
        <is>
          <t>5812</t>
        </is>
      </c>
      <c r="I129" s="3" t="inlineStr">
        <is>
          <t>58</t>
        </is>
      </c>
      <c r="J129" s="3" t="inlineStr">
        <is>
          <t>TX</t>
        </is>
      </c>
      <c r="K129" s="3" t="inlineStr">
        <is>
          <t>Pyn Capital</t>
        </is>
      </c>
      <c r="L129" s="3" t="inlineStr">
        <is>
          <t>New Deal</t>
        </is>
      </c>
      <c r="M129" s="3" t="n">
        <v>1.499</v>
      </c>
      <c r="N129" s="28" t="n">
        <v>8000</v>
      </c>
      <c r="O129" s="28" t="n">
        <v>0</v>
      </c>
      <c r="P129" s="28" t="n">
        <v>11992</v>
      </c>
      <c r="Q129" s="28" t="n">
        <v>0</v>
      </c>
      <c r="R129" s="28" t="n">
        <v>11992</v>
      </c>
      <c r="S129" s="42" t="n">
        <v>0</v>
      </c>
      <c r="T129" s="3" t="n">
        <v>1.967</v>
      </c>
      <c r="U129" s="3" t="n">
        <v>7</v>
      </c>
      <c r="V129" s="3" t="n"/>
      <c r="W129" s="42" t="n">
        <v>0.0392</v>
      </c>
      <c r="X129" s="23" t="n">
        <v>45818</v>
      </c>
      <c r="Y129" s="3">
        <f>IF(I129="","No SIC",IFERROR(VLOOKUP(I129,Ref!$A$2:$B$65,2,FALSE()),"Unclassified"))</f>
        <v/>
      </c>
      <c r="Z129" s="3">
        <f>IF(T129="","",IF(T129&lt;12,"Daily","Weekly"))</f>
        <v/>
      </c>
      <c r="AA129" s="3">
        <f>IF(T129="",0,IF(T129&lt;12,T129*Controls!$B$13,T129*5))</f>
        <v/>
      </c>
      <c r="AB129" s="3">
        <f>IF(E129="",0,NETWORKDAYS(E129,Controls!$B$20,Ref!$K$2:$K$42))</f>
        <v/>
      </c>
      <c r="AC129" s="3">
        <f>IF(OR(AF129=1,AND(AA129&gt;0,AB129&gt;=Controls!$B$23*AA129)),1,0)</f>
        <v/>
      </c>
      <c r="AD129" s="3">
        <f>IF(AND(E129&lt;&gt;"",E129&gt;=Controls!$B$21,E129&lt;=Controls!$B$22),1,0)</f>
        <v/>
      </c>
      <c r="AE129" s="3">
        <f>IF(IFERROR(VLOOKUP(D129,Controls!$A$36:$E$46,2,FALSE()),"No")="Yes",1,0)</f>
        <v/>
      </c>
      <c r="AF129" s="3">
        <f>IF(IFERROR(VLOOKUP(D129,Controls!$A$36:$E$46,3,FALSE()),"No")="Yes",1,0)</f>
        <v/>
      </c>
      <c r="AG129" s="3">
        <f>IF(IFERROR(VLOOKUP(D129,Controls!$A$36:$E$46,4,FALSE()),"No")="Yes",1,0)</f>
        <v/>
      </c>
      <c r="AH129" s="3">
        <f>IF(IFERROR(VLOOKUP(D129,Controls!$A$36:$E$46,5,FALSE()),"No")="Yes",1,0)</f>
        <v/>
      </c>
      <c r="AI129" s="3">
        <f>IF(ISNUMBER(MATCH(D129,Controls!$A$36:$A$46,0)),1,0)</f>
        <v/>
      </c>
      <c r="AJ129" s="28">
        <f>Q129-N129</f>
        <v/>
      </c>
      <c r="AK129" s="3">
        <f>IF(AE129=1,MAX(0,N129-Q129),0)</f>
        <v/>
      </c>
      <c r="AL129" s="3">
        <f>IF(OR(V129="",V129=0),0,N129/V129)</f>
        <v/>
      </c>
      <c r="AM129" s="3">
        <f>IF(OR(V129="",V129=0),0,1)</f>
        <v/>
      </c>
      <c r="AN129" s="3">
        <f>IF(OR(E129="",F129=""),0,NETWORKDAYS(E129,F129,Ref!$K$2:$K$42))</f>
        <v/>
      </c>
      <c r="AO129" s="3">
        <f>IF(L129="Renewal",1,0)</f>
        <v/>
      </c>
      <c r="AP129" s="3">
        <f>AC129*AD129</f>
        <v/>
      </c>
      <c r="AQ129" s="3">
        <f>IF(AND(G129&lt;&gt;"",'Historical Score'!$C$6&lt;&gt;""),IF(G129='Historical Score'!$C$6,1,0),0)</f>
        <v/>
      </c>
      <c r="AR129" s="3">
        <f>IF(AND(L129&lt;&gt;"",'Historical Score'!$C$5&lt;&gt;""),IF(L129='Historical Score'!$C$5,1,0),0)</f>
        <v/>
      </c>
      <c r="AS129" s="3">
        <f>IF(AND(Y129&lt;&gt;"",'Historical Score'!$C$7&lt;&gt;""),IF(Y129='Historical Score'!$C$7,1,0),0)</f>
        <v/>
      </c>
      <c r="AT129" s="3">
        <f>IF(AND(K129&lt;&gt;"",'Historical Score'!$C$8&lt;&gt;""),IF(K129='Historical Score'!$C$8,1,0),0)</f>
        <v/>
      </c>
      <c r="AU129" s="3" t="n"/>
      <c r="AV129" s="3" t="n"/>
      <c r="AW129" s="3" t="n"/>
      <c r="AX129" s="3" t="n"/>
      <c r="AY129" s="3" t="n"/>
      <c r="AZ129" s="3" t="n"/>
      <c r="BA129" s="182">
        <f>IF(AD129=1,(AR129*'Historical Score'!$K$29+1-'Historical Score'!$K$29)*(AT129*'Historical Score'!$L$29+1-'Historical Score'!$L$29)*(AS129*'Historical Score'!$M$29+1-'Historical Score'!$M$29)*(AQ129*'Historical Score'!$N$29+1-'Historical Score'!$N$29),0)</f>
        <v/>
      </c>
      <c r="BB129" s="3" t="n"/>
      <c r="BC129" s="3" t="n"/>
    </row>
    <row r="130" ht="15.75" customHeight="1" s="174">
      <c r="A130" s="3" t="inlineStr">
        <is>
          <t>5674159655</t>
        </is>
      </c>
      <c r="B130" s="3" t="inlineStr">
        <is>
          <t>International Market LLC.</t>
        </is>
      </c>
      <c r="C130" s="3" t="inlineStr">
        <is>
          <t>International Market LLC.</t>
        </is>
      </c>
      <c r="D130" s="3" t="inlineStr">
        <is>
          <t>Closed</t>
        </is>
      </c>
      <c r="E130" s="23" t="n">
        <v>45820</v>
      </c>
      <c r="F130" s="23" t="n">
        <v>46027</v>
      </c>
      <c r="G130" s="3" t="n">
        <v>2</v>
      </c>
      <c r="H130" s="3" t="inlineStr">
        <is>
          <t>5421</t>
        </is>
      </c>
      <c r="I130" s="3" t="inlineStr">
        <is>
          <t>54</t>
        </is>
      </c>
      <c r="J130" s="3" t="inlineStr">
        <is>
          <t>OH</t>
        </is>
      </c>
      <c r="K130" s="3" t="inlineStr">
        <is>
          <t>PMF</t>
        </is>
      </c>
      <c r="L130" s="3" t="inlineStr">
        <is>
          <t>New Deal</t>
        </is>
      </c>
      <c r="M130" s="3" t="n">
        <v>1.49</v>
      </c>
      <c r="N130" s="28" t="n">
        <v>13500</v>
      </c>
      <c r="O130" s="28" t="n">
        <v>1890</v>
      </c>
      <c r="P130" s="28" t="n">
        <v>20115</v>
      </c>
      <c r="Q130" s="28" t="n">
        <v>20115</v>
      </c>
      <c r="R130" s="28" t="n">
        <v>0</v>
      </c>
      <c r="S130" s="42" t="n">
        <v>1</v>
      </c>
      <c r="T130" s="3" t="n">
        <v>16</v>
      </c>
      <c r="U130" s="3" t="n">
        <v>15</v>
      </c>
      <c r="V130" s="3" t="n"/>
      <c r="W130" s="42" t="n">
        <v>0.073</v>
      </c>
      <c r="X130" s="23" t="n">
        <v>44002</v>
      </c>
      <c r="Y130" s="3">
        <f>IF(I130="","No SIC",IFERROR(VLOOKUP(I130,Ref!$A$2:$B$65,2,FALSE()),"Unclassified"))</f>
        <v/>
      </c>
      <c r="Z130" s="3">
        <f>IF(T130="","",IF(T130&lt;12,"Daily","Weekly"))</f>
        <v/>
      </c>
      <c r="AA130" s="3">
        <f>IF(T130="",0,IF(T130&lt;12,T130*Controls!$B$13,T130*5))</f>
        <v/>
      </c>
      <c r="AB130" s="3">
        <f>IF(E130="",0,NETWORKDAYS(E130,Controls!$B$20,Ref!$K$2:$K$42))</f>
        <v/>
      </c>
      <c r="AC130" s="3">
        <f>IF(OR(AF130=1,AND(AA130&gt;0,AB130&gt;=Controls!$B$23*AA130)),1,0)</f>
        <v/>
      </c>
      <c r="AD130" s="3">
        <f>IF(AND(E130&lt;&gt;"",E130&gt;=Controls!$B$21,E130&lt;=Controls!$B$22),1,0)</f>
        <v/>
      </c>
      <c r="AE130" s="3">
        <f>IF(IFERROR(VLOOKUP(D130,Controls!$A$36:$E$46,2,FALSE()),"No")="Yes",1,0)</f>
        <v/>
      </c>
      <c r="AF130" s="3">
        <f>IF(IFERROR(VLOOKUP(D130,Controls!$A$36:$E$46,3,FALSE()),"No")="Yes",1,0)</f>
        <v/>
      </c>
      <c r="AG130" s="3">
        <f>IF(IFERROR(VLOOKUP(D130,Controls!$A$36:$E$46,4,FALSE()),"No")="Yes",1,0)</f>
        <v/>
      </c>
      <c r="AH130" s="3">
        <f>IF(IFERROR(VLOOKUP(D130,Controls!$A$36:$E$46,5,FALSE()),"No")="Yes",1,0)</f>
        <v/>
      </c>
      <c r="AI130" s="3">
        <f>IF(ISNUMBER(MATCH(D130,Controls!$A$36:$A$46,0)),1,0)</f>
        <v/>
      </c>
      <c r="AJ130" s="28">
        <f>Q130-N130</f>
        <v/>
      </c>
      <c r="AK130" s="3">
        <f>IF(AE130=1,MAX(0,N130-Q130),0)</f>
        <v/>
      </c>
      <c r="AL130" s="3">
        <f>IF(OR(V130="",V130=0),0,N130/V130)</f>
        <v/>
      </c>
      <c r="AM130" s="3">
        <f>IF(OR(V130="",V130=0),0,1)</f>
        <v/>
      </c>
      <c r="AN130" s="3">
        <f>IF(OR(E130="",F130=""),0,NETWORKDAYS(E130,F130,Ref!$K$2:$K$42))</f>
        <v/>
      </c>
      <c r="AO130" s="3">
        <f>IF(L130="Renewal",1,0)</f>
        <v/>
      </c>
      <c r="AP130" s="3">
        <f>AC130*AD130</f>
        <v/>
      </c>
      <c r="AQ130" s="3">
        <f>IF(AND(G130&lt;&gt;"",'Historical Score'!$C$6&lt;&gt;""),IF(G130='Historical Score'!$C$6,1,0),0)</f>
        <v/>
      </c>
      <c r="AR130" s="3">
        <f>IF(AND(L130&lt;&gt;"",'Historical Score'!$C$5&lt;&gt;""),IF(L130='Historical Score'!$C$5,1,0),0)</f>
        <v/>
      </c>
      <c r="AS130" s="3">
        <f>IF(AND(Y130&lt;&gt;"",'Historical Score'!$C$7&lt;&gt;""),IF(Y130='Historical Score'!$C$7,1,0),0)</f>
        <v/>
      </c>
      <c r="AT130" s="3">
        <f>IF(AND(K130&lt;&gt;"",'Historical Score'!$C$8&lt;&gt;""),IF(K130='Historical Score'!$C$8,1,0),0)</f>
        <v/>
      </c>
      <c r="AU130" s="3" t="n"/>
      <c r="AV130" s="3" t="n"/>
      <c r="AW130" s="3" t="n"/>
      <c r="AX130" s="3" t="n"/>
      <c r="AY130" s="3" t="n"/>
      <c r="AZ130" s="3" t="n"/>
      <c r="BA130" s="182">
        <f>IF(AD130=1,(AR130*'Historical Score'!$K$29+1-'Historical Score'!$K$29)*(AT130*'Historical Score'!$L$29+1-'Historical Score'!$L$29)*(AS130*'Historical Score'!$M$29+1-'Historical Score'!$M$29)*(AQ130*'Historical Score'!$N$29+1-'Historical Score'!$N$29),0)</f>
        <v/>
      </c>
      <c r="BB130" s="3" t="n"/>
      <c r="BC130" s="3" t="n"/>
    </row>
    <row r="131" ht="15.75" customHeight="1" s="174">
      <c r="A131" s="3" t="inlineStr">
        <is>
          <t>5674159732</t>
        </is>
      </c>
      <c r="B131" s="3" t="inlineStr">
        <is>
          <t>SPY TRADER LLC</t>
        </is>
      </c>
      <c r="C131" s="3" t="inlineStr">
        <is>
          <t>TRADER LLC</t>
        </is>
      </c>
      <c r="D131" s="3" t="inlineStr">
        <is>
          <t>Legal</t>
        </is>
      </c>
      <c r="E131" s="23" t="n">
        <v>45820</v>
      </c>
      <c r="F131" s="23" t="n">
        <v>45866</v>
      </c>
      <c r="G131" s="3" t="n">
        <v>2</v>
      </c>
      <c r="H131" s="3" t="inlineStr">
        <is>
          <t>8742</t>
        </is>
      </c>
      <c r="I131" s="3" t="inlineStr">
        <is>
          <t>87</t>
        </is>
      </c>
      <c r="J131" s="3" t="inlineStr">
        <is>
          <t>FL</t>
        </is>
      </c>
      <c r="K131" s="3" t="inlineStr">
        <is>
          <t>Business Fund USA 4</t>
        </is>
      </c>
      <c r="L131" s="3" t="inlineStr">
        <is>
          <t>New Deal</t>
        </is>
      </c>
      <c r="M131" s="3" t="n">
        <v>1.499</v>
      </c>
      <c r="N131" s="28" t="n">
        <v>12000</v>
      </c>
      <c r="O131" s="28" t="n">
        <v>1680</v>
      </c>
      <c r="P131" s="28" t="n">
        <v>17988</v>
      </c>
      <c r="Q131" s="28" t="n">
        <v>8058.42</v>
      </c>
      <c r="R131" s="28" t="n">
        <v>9929.58</v>
      </c>
      <c r="S131" s="42" t="n">
        <v>0.447988659106071</v>
      </c>
      <c r="T131" s="3" t="n">
        <v>1.967</v>
      </c>
      <c r="U131" s="3" t="n">
        <v>3</v>
      </c>
      <c r="V131" s="3" t="n"/>
      <c r="W131" s="42" t="n">
        <v>0.0372</v>
      </c>
      <c r="X131" s="23" t="n">
        <v>45820</v>
      </c>
      <c r="Y131" s="3">
        <f>IF(I131="","No SIC",IFERROR(VLOOKUP(I131,Ref!$A$2:$B$65,2,FALSE()),"Unclassified"))</f>
        <v/>
      </c>
      <c r="Z131" s="3">
        <f>IF(T131="","",IF(T131&lt;12,"Daily","Weekly"))</f>
        <v/>
      </c>
      <c r="AA131" s="3">
        <f>IF(T131="",0,IF(T131&lt;12,T131*Controls!$B$13,T131*5))</f>
        <v/>
      </c>
      <c r="AB131" s="3">
        <f>IF(E131="",0,NETWORKDAYS(E131,Controls!$B$20,Ref!$K$2:$K$42))</f>
        <v/>
      </c>
      <c r="AC131" s="3">
        <f>IF(OR(AF131=1,AND(AA131&gt;0,AB131&gt;=Controls!$B$23*AA131)),1,0)</f>
        <v/>
      </c>
      <c r="AD131" s="3">
        <f>IF(AND(E131&lt;&gt;"",E131&gt;=Controls!$B$21,E131&lt;=Controls!$B$22),1,0)</f>
        <v/>
      </c>
      <c r="AE131" s="3">
        <f>IF(IFERROR(VLOOKUP(D131,Controls!$A$36:$E$46,2,FALSE()),"No")="Yes",1,0)</f>
        <v/>
      </c>
      <c r="AF131" s="3">
        <f>IF(IFERROR(VLOOKUP(D131,Controls!$A$36:$E$46,3,FALSE()),"No")="Yes",1,0)</f>
        <v/>
      </c>
      <c r="AG131" s="3">
        <f>IF(IFERROR(VLOOKUP(D131,Controls!$A$36:$E$46,4,FALSE()),"No")="Yes",1,0)</f>
        <v/>
      </c>
      <c r="AH131" s="3">
        <f>IF(IFERROR(VLOOKUP(D131,Controls!$A$36:$E$46,5,FALSE()),"No")="Yes",1,0)</f>
        <v/>
      </c>
      <c r="AI131" s="3">
        <f>IF(ISNUMBER(MATCH(D131,Controls!$A$36:$A$46,0)),1,0)</f>
        <v/>
      </c>
      <c r="AJ131" s="28">
        <f>Q131-N131</f>
        <v/>
      </c>
      <c r="AK131" s="3">
        <f>IF(AE131=1,MAX(0,N131-Q131),0)</f>
        <v/>
      </c>
      <c r="AL131" s="3">
        <f>IF(OR(V131="",V131=0),0,N131/V131)</f>
        <v/>
      </c>
      <c r="AM131" s="3">
        <f>IF(OR(V131="",V131=0),0,1)</f>
        <v/>
      </c>
      <c r="AN131" s="3">
        <f>IF(OR(E131="",F131=""),0,NETWORKDAYS(E131,F131,Ref!$K$2:$K$42))</f>
        <v/>
      </c>
      <c r="AO131" s="3">
        <f>IF(L131="Renewal",1,0)</f>
        <v/>
      </c>
      <c r="AP131" s="3">
        <f>AC131*AD131</f>
        <v/>
      </c>
      <c r="AQ131" s="3">
        <f>IF(AND(G131&lt;&gt;"",'Historical Score'!$C$6&lt;&gt;""),IF(G131='Historical Score'!$C$6,1,0),0)</f>
        <v/>
      </c>
      <c r="AR131" s="3">
        <f>IF(AND(L131&lt;&gt;"",'Historical Score'!$C$5&lt;&gt;""),IF(L131='Historical Score'!$C$5,1,0),0)</f>
        <v/>
      </c>
      <c r="AS131" s="3">
        <f>IF(AND(Y131&lt;&gt;"",'Historical Score'!$C$7&lt;&gt;""),IF(Y131='Historical Score'!$C$7,1,0),0)</f>
        <v/>
      </c>
      <c r="AT131" s="3">
        <f>IF(AND(K131&lt;&gt;"",'Historical Score'!$C$8&lt;&gt;""),IF(K131='Historical Score'!$C$8,1,0),0)</f>
        <v/>
      </c>
      <c r="AU131" s="3" t="n"/>
      <c r="AV131" s="3" t="n"/>
      <c r="AW131" s="3" t="n"/>
      <c r="AX131" s="3" t="n"/>
      <c r="AY131" s="3" t="n"/>
      <c r="AZ131" s="3" t="n"/>
      <c r="BA131" s="182">
        <f>IF(AD131=1,(AR131*'Historical Score'!$K$29+1-'Historical Score'!$K$29)*(AT131*'Historical Score'!$L$29+1-'Historical Score'!$L$29)*(AS131*'Historical Score'!$M$29+1-'Historical Score'!$M$29)*(AQ131*'Historical Score'!$N$29+1-'Historical Score'!$N$29),0)</f>
        <v/>
      </c>
      <c r="BB131" s="3" t="n"/>
      <c r="BC131" s="3" t="n"/>
    </row>
    <row r="132" ht="15.75" customHeight="1" s="174">
      <c r="A132" s="3" t="inlineStr">
        <is>
          <t>5674159929</t>
        </is>
      </c>
      <c r="B132" s="3" t="inlineStr">
        <is>
          <t>LTV EVENTS LLC</t>
        </is>
      </c>
      <c r="C132" s="3" t="inlineStr">
        <is>
          <t>LTV EVENTS LLC</t>
        </is>
      </c>
      <c r="D132" s="3" t="inlineStr">
        <is>
          <t>Legal</t>
        </is>
      </c>
      <c r="E132" s="23" t="n">
        <v>45825</v>
      </c>
      <c r="F132" s="23" t="n">
        <v>46175</v>
      </c>
      <c r="G132" s="3" t="n">
        <v>4</v>
      </c>
      <c r="H132" s="3" t="inlineStr">
        <is>
          <t>7999</t>
        </is>
      </c>
      <c r="I132" s="3" t="inlineStr">
        <is>
          <t>79</t>
        </is>
      </c>
      <c r="J132" s="3" t="inlineStr">
        <is>
          <t>IL</t>
        </is>
      </c>
      <c r="K132" s="3" t="inlineStr">
        <is>
          <t>Redline Capital</t>
        </is>
      </c>
      <c r="L132" s="3" t="inlineStr">
        <is>
          <t>Renewal</t>
        </is>
      </c>
      <c r="M132" s="3" t="n">
        <v>1.49</v>
      </c>
      <c r="N132" s="28" t="n">
        <v>17000</v>
      </c>
      <c r="O132" s="28" t="n">
        <v>2380</v>
      </c>
      <c r="P132" s="28" t="n">
        <v>25330</v>
      </c>
      <c r="Q132" s="28" t="n">
        <v>6567.02</v>
      </c>
      <c r="R132" s="28" t="n">
        <v>18762.98</v>
      </c>
      <c r="S132" s="42" t="n">
        <v>0.259258586656139</v>
      </c>
      <c r="T132" s="3" t="n">
        <v>3.279</v>
      </c>
      <c r="U132" s="3" t="n">
        <v>20</v>
      </c>
      <c r="V132" s="3" t="n"/>
      <c r="W132" s="42" t="n">
        <v>0.187</v>
      </c>
      <c r="X132" s="23" t="n">
        <v>45825</v>
      </c>
      <c r="Y132" s="3">
        <f>IF(I132="","No SIC",IFERROR(VLOOKUP(I132,Ref!$A$2:$B$65,2,FALSE()),"Unclassified"))</f>
        <v/>
      </c>
      <c r="Z132" s="3">
        <f>IF(T132="","",IF(T132&lt;12,"Daily","Weekly"))</f>
        <v/>
      </c>
      <c r="AA132" s="3">
        <f>IF(T132="",0,IF(T132&lt;12,T132*Controls!$B$13,T132*5))</f>
        <v/>
      </c>
      <c r="AB132" s="3">
        <f>IF(E132="",0,NETWORKDAYS(E132,Controls!$B$20,Ref!$K$2:$K$42))</f>
        <v/>
      </c>
      <c r="AC132" s="3">
        <f>IF(OR(AF132=1,AND(AA132&gt;0,AB132&gt;=Controls!$B$23*AA132)),1,0)</f>
        <v/>
      </c>
      <c r="AD132" s="3">
        <f>IF(AND(E132&lt;&gt;"",E132&gt;=Controls!$B$21,E132&lt;=Controls!$B$22),1,0)</f>
        <v/>
      </c>
      <c r="AE132" s="3">
        <f>IF(IFERROR(VLOOKUP(D132,Controls!$A$36:$E$46,2,FALSE()),"No")="Yes",1,0)</f>
        <v/>
      </c>
      <c r="AF132" s="3">
        <f>IF(IFERROR(VLOOKUP(D132,Controls!$A$36:$E$46,3,FALSE()),"No")="Yes",1,0)</f>
        <v/>
      </c>
      <c r="AG132" s="3">
        <f>IF(IFERROR(VLOOKUP(D132,Controls!$A$36:$E$46,4,FALSE()),"No")="Yes",1,0)</f>
        <v/>
      </c>
      <c r="AH132" s="3">
        <f>IF(IFERROR(VLOOKUP(D132,Controls!$A$36:$E$46,5,FALSE()),"No")="Yes",1,0)</f>
        <v/>
      </c>
      <c r="AI132" s="3">
        <f>IF(ISNUMBER(MATCH(D132,Controls!$A$36:$A$46,0)),1,0)</f>
        <v/>
      </c>
      <c r="AJ132" s="28">
        <f>Q132-N132</f>
        <v/>
      </c>
      <c r="AK132" s="3">
        <f>IF(AE132=1,MAX(0,N132-Q132),0)</f>
        <v/>
      </c>
      <c r="AL132" s="3">
        <f>IF(OR(V132="",V132=0),0,N132/V132)</f>
        <v/>
      </c>
      <c r="AM132" s="3">
        <f>IF(OR(V132="",V132=0),0,1)</f>
        <v/>
      </c>
      <c r="AN132" s="3">
        <f>IF(OR(E132="",F132=""),0,NETWORKDAYS(E132,F132,Ref!$K$2:$K$42))</f>
        <v/>
      </c>
      <c r="AO132" s="3">
        <f>IF(L132="Renewal",1,0)</f>
        <v/>
      </c>
      <c r="AP132" s="3">
        <f>AC132*AD132</f>
        <v/>
      </c>
      <c r="AQ132" s="3">
        <f>IF(AND(G132&lt;&gt;"",'Historical Score'!$C$6&lt;&gt;""),IF(G132='Historical Score'!$C$6,1,0),0)</f>
        <v/>
      </c>
      <c r="AR132" s="3">
        <f>IF(AND(L132&lt;&gt;"",'Historical Score'!$C$5&lt;&gt;""),IF(L132='Historical Score'!$C$5,1,0),0)</f>
        <v/>
      </c>
      <c r="AS132" s="3">
        <f>IF(AND(Y132&lt;&gt;"",'Historical Score'!$C$7&lt;&gt;""),IF(Y132='Historical Score'!$C$7,1,0),0)</f>
        <v/>
      </c>
      <c r="AT132" s="3">
        <f>IF(AND(K132&lt;&gt;"",'Historical Score'!$C$8&lt;&gt;""),IF(K132='Historical Score'!$C$8,1,0),0)</f>
        <v/>
      </c>
      <c r="AU132" s="3" t="n"/>
      <c r="AV132" s="3" t="n"/>
      <c r="AW132" s="3" t="n"/>
      <c r="AX132" s="3" t="n"/>
      <c r="AY132" s="3" t="n"/>
      <c r="AZ132" s="3" t="n"/>
      <c r="BA132" s="182">
        <f>IF(AD132=1,(AR132*'Historical Score'!$K$29+1-'Historical Score'!$K$29)*(AT132*'Historical Score'!$L$29+1-'Historical Score'!$L$29)*(AS132*'Historical Score'!$M$29+1-'Historical Score'!$M$29)*(AQ132*'Historical Score'!$N$29+1-'Historical Score'!$N$29),0)</f>
        <v/>
      </c>
      <c r="BB132" s="3" t="n"/>
      <c r="BC132" s="3" t="n"/>
    </row>
    <row r="133" ht="15.75" customHeight="1" s="174">
      <c r="A133" s="3" t="inlineStr">
        <is>
          <t>5674160073</t>
        </is>
      </c>
      <c r="B133" s="3" t="inlineStr">
        <is>
          <t>Top Armour Contracting</t>
        </is>
      </c>
      <c r="C133" s="3" t="inlineStr">
        <is>
          <t>Top Armour Contracting</t>
        </is>
      </c>
      <c r="D133" s="3" t="inlineStr">
        <is>
          <t>Legal</t>
        </is>
      </c>
      <c r="E133" s="23" t="n">
        <v>45826</v>
      </c>
      <c r="F133" s="23" t="n">
        <v>45841</v>
      </c>
      <c r="G133" s="3" t="n">
        <v>1</v>
      </c>
      <c r="H133" s="3" t="inlineStr">
        <is>
          <t>4212</t>
        </is>
      </c>
      <c r="I133" s="3" t="inlineStr">
        <is>
          <t>42</t>
        </is>
      </c>
      <c r="J133" s="3" t="inlineStr">
        <is>
          <t>NC</t>
        </is>
      </c>
      <c r="K133" s="3" t="inlineStr">
        <is>
          <t>PMF</t>
        </is>
      </c>
      <c r="L133" s="3" t="inlineStr">
        <is>
          <t>New Deal</t>
        </is>
      </c>
      <c r="M133" s="3" t="n">
        <v>1.499</v>
      </c>
      <c r="N133" s="28" t="n">
        <v>10000</v>
      </c>
      <c r="O133" s="28" t="n">
        <v>1400</v>
      </c>
      <c r="P133" s="28" t="n">
        <v>14990</v>
      </c>
      <c r="Q133" s="28" t="n">
        <v>1499.18</v>
      </c>
      <c r="R133" s="28" t="n">
        <v>13490.82</v>
      </c>
      <c r="S133" s="42" t="n">
        <v>0.100012008005337</v>
      </c>
      <c r="T133" s="3" t="n">
        <v>20</v>
      </c>
      <c r="U133" s="3" t="n">
        <v>1</v>
      </c>
      <c r="V133" s="3" t="n"/>
      <c r="W133" s="42" t="n">
        <v>0.07049999999999999</v>
      </c>
      <c r="X133" s="23" t="n">
        <v>43391</v>
      </c>
      <c r="Y133" s="3">
        <f>IF(I133="","No SIC",IFERROR(VLOOKUP(I133,Ref!$A$2:$B$65,2,FALSE()),"Unclassified"))</f>
        <v/>
      </c>
      <c r="Z133" s="3">
        <f>IF(T133="","",IF(T133&lt;12,"Daily","Weekly"))</f>
        <v/>
      </c>
      <c r="AA133" s="3">
        <f>IF(T133="",0,IF(T133&lt;12,T133*Controls!$B$13,T133*5))</f>
        <v/>
      </c>
      <c r="AB133" s="3">
        <f>IF(E133="",0,NETWORKDAYS(E133,Controls!$B$20,Ref!$K$2:$K$42))</f>
        <v/>
      </c>
      <c r="AC133" s="3">
        <f>IF(OR(AF133=1,AND(AA133&gt;0,AB133&gt;=Controls!$B$23*AA133)),1,0)</f>
        <v/>
      </c>
      <c r="AD133" s="3">
        <f>IF(AND(E133&lt;&gt;"",E133&gt;=Controls!$B$21,E133&lt;=Controls!$B$22),1,0)</f>
        <v/>
      </c>
      <c r="AE133" s="3">
        <f>IF(IFERROR(VLOOKUP(D133,Controls!$A$36:$E$46,2,FALSE()),"No")="Yes",1,0)</f>
        <v/>
      </c>
      <c r="AF133" s="3">
        <f>IF(IFERROR(VLOOKUP(D133,Controls!$A$36:$E$46,3,FALSE()),"No")="Yes",1,0)</f>
        <v/>
      </c>
      <c r="AG133" s="3">
        <f>IF(IFERROR(VLOOKUP(D133,Controls!$A$36:$E$46,4,FALSE()),"No")="Yes",1,0)</f>
        <v/>
      </c>
      <c r="AH133" s="3">
        <f>IF(IFERROR(VLOOKUP(D133,Controls!$A$36:$E$46,5,FALSE()),"No")="Yes",1,0)</f>
        <v/>
      </c>
      <c r="AI133" s="3">
        <f>IF(ISNUMBER(MATCH(D133,Controls!$A$36:$A$46,0)),1,0)</f>
        <v/>
      </c>
      <c r="AJ133" s="28">
        <f>Q133-N133</f>
        <v/>
      </c>
      <c r="AK133" s="3">
        <f>IF(AE133=1,MAX(0,N133-Q133),0)</f>
        <v/>
      </c>
      <c r="AL133" s="3">
        <f>IF(OR(V133="",V133=0),0,N133/V133)</f>
        <v/>
      </c>
      <c r="AM133" s="3">
        <f>IF(OR(V133="",V133=0),0,1)</f>
        <v/>
      </c>
      <c r="AN133" s="3">
        <f>IF(OR(E133="",F133=""),0,NETWORKDAYS(E133,F133,Ref!$K$2:$K$42))</f>
        <v/>
      </c>
      <c r="AO133" s="3">
        <f>IF(L133="Renewal",1,0)</f>
        <v/>
      </c>
      <c r="AP133" s="3">
        <f>AC133*AD133</f>
        <v/>
      </c>
      <c r="AQ133" s="3">
        <f>IF(AND(G133&lt;&gt;"",'Historical Score'!$C$6&lt;&gt;""),IF(G133='Historical Score'!$C$6,1,0),0)</f>
        <v/>
      </c>
      <c r="AR133" s="3">
        <f>IF(AND(L133&lt;&gt;"",'Historical Score'!$C$5&lt;&gt;""),IF(L133='Historical Score'!$C$5,1,0),0)</f>
        <v/>
      </c>
      <c r="AS133" s="3">
        <f>IF(AND(Y133&lt;&gt;"",'Historical Score'!$C$7&lt;&gt;""),IF(Y133='Historical Score'!$C$7,1,0),0)</f>
        <v/>
      </c>
      <c r="AT133" s="3">
        <f>IF(AND(K133&lt;&gt;"",'Historical Score'!$C$8&lt;&gt;""),IF(K133='Historical Score'!$C$8,1,0),0)</f>
        <v/>
      </c>
      <c r="AU133" s="3" t="n"/>
      <c r="AV133" s="3" t="n"/>
      <c r="AW133" s="3" t="n"/>
      <c r="AX133" s="3" t="n"/>
      <c r="AY133" s="3" t="n"/>
      <c r="AZ133" s="3" t="n"/>
      <c r="BA133" s="182">
        <f>IF(AD133=1,(AR133*'Historical Score'!$K$29+1-'Historical Score'!$K$29)*(AT133*'Historical Score'!$L$29+1-'Historical Score'!$L$29)*(AS133*'Historical Score'!$M$29+1-'Historical Score'!$M$29)*(AQ133*'Historical Score'!$N$29+1-'Historical Score'!$N$29),0)</f>
        <v/>
      </c>
      <c r="BB133" s="3" t="n"/>
      <c r="BC133" s="3" t="n"/>
    </row>
    <row r="134" ht="15.75" customHeight="1" s="174">
      <c r="A134" s="3" t="inlineStr">
        <is>
          <t>5674160322</t>
        </is>
      </c>
      <c r="B134" s="3" t="inlineStr">
        <is>
          <t>TRPLUMBING LLC</t>
        </is>
      </c>
      <c r="C134" s="3" t="inlineStr">
        <is>
          <t>TRPLUMBING LLC</t>
        </is>
      </c>
      <c r="D134" s="3" t="inlineStr">
        <is>
          <t>Legal</t>
        </is>
      </c>
      <c r="E134" s="23" t="n">
        <v>45831</v>
      </c>
      <c r="F134" s="23" t="n">
        <v>45881</v>
      </c>
      <c r="G134" s="3" t="n">
        <v>3</v>
      </c>
      <c r="H134" s="3" t="inlineStr">
        <is>
          <t>1711</t>
        </is>
      </c>
      <c r="I134" s="3" t="inlineStr">
        <is>
          <t>17</t>
        </is>
      </c>
      <c r="J134" s="3" t="inlineStr">
        <is>
          <t>VA</t>
        </is>
      </c>
      <c r="K134" s="3" t="inlineStr">
        <is>
          <t>United Secured Capital 8</t>
        </is>
      </c>
      <c r="L134" s="3" t="inlineStr">
        <is>
          <t>New Deal</t>
        </is>
      </c>
      <c r="M134" s="3" t="n">
        <v>1.49</v>
      </c>
      <c r="N134" s="28" t="n">
        <v>12000</v>
      </c>
      <c r="O134" s="28" t="n">
        <v>1680</v>
      </c>
      <c r="P134" s="28" t="n">
        <v>17880</v>
      </c>
      <c r="Q134" s="28" t="n">
        <v>7869.51</v>
      </c>
      <c r="R134" s="28" t="n">
        <v>10010.49</v>
      </c>
      <c r="S134" s="42" t="n">
        <v>0.440129194630873</v>
      </c>
      <c r="T134" s="3" t="n">
        <v>2.459</v>
      </c>
      <c r="U134" s="3" t="n">
        <v>3</v>
      </c>
      <c r="V134" s="3" t="n"/>
      <c r="W134" s="42" t="n">
        <v>0.1072</v>
      </c>
      <c r="X134" s="23" t="n">
        <v>45831</v>
      </c>
      <c r="Y134" s="3">
        <f>IF(I134="","No SIC",IFERROR(VLOOKUP(I134,Ref!$A$2:$B$65,2,FALSE()),"Unclassified"))</f>
        <v/>
      </c>
      <c r="Z134" s="3">
        <f>IF(T134="","",IF(T134&lt;12,"Daily","Weekly"))</f>
        <v/>
      </c>
      <c r="AA134" s="3">
        <f>IF(T134="",0,IF(T134&lt;12,T134*Controls!$B$13,T134*5))</f>
        <v/>
      </c>
      <c r="AB134" s="3">
        <f>IF(E134="",0,NETWORKDAYS(E134,Controls!$B$20,Ref!$K$2:$K$42))</f>
        <v/>
      </c>
      <c r="AC134" s="3">
        <f>IF(OR(AF134=1,AND(AA134&gt;0,AB134&gt;=Controls!$B$23*AA134)),1,0)</f>
        <v/>
      </c>
      <c r="AD134" s="3">
        <f>IF(AND(E134&lt;&gt;"",E134&gt;=Controls!$B$21,E134&lt;=Controls!$B$22),1,0)</f>
        <v/>
      </c>
      <c r="AE134" s="3">
        <f>IF(IFERROR(VLOOKUP(D134,Controls!$A$36:$E$46,2,FALSE()),"No")="Yes",1,0)</f>
        <v/>
      </c>
      <c r="AF134" s="3">
        <f>IF(IFERROR(VLOOKUP(D134,Controls!$A$36:$E$46,3,FALSE()),"No")="Yes",1,0)</f>
        <v/>
      </c>
      <c r="AG134" s="3">
        <f>IF(IFERROR(VLOOKUP(D134,Controls!$A$36:$E$46,4,FALSE()),"No")="Yes",1,0)</f>
        <v/>
      </c>
      <c r="AH134" s="3">
        <f>IF(IFERROR(VLOOKUP(D134,Controls!$A$36:$E$46,5,FALSE()),"No")="Yes",1,0)</f>
        <v/>
      </c>
      <c r="AI134" s="3">
        <f>IF(ISNUMBER(MATCH(D134,Controls!$A$36:$A$46,0)),1,0)</f>
        <v/>
      </c>
      <c r="AJ134" s="28">
        <f>Q134-N134</f>
        <v/>
      </c>
      <c r="AK134" s="3">
        <f>IF(AE134=1,MAX(0,N134-Q134),0)</f>
        <v/>
      </c>
      <c r="AL134" s="3">
        <f>IF(OR(V134="",V134=0),0,N134/V134)</f>
        <v/>
      </c>
      <c r="AM134" s="3">
        <f>IF(OR(V134="",V134=0),0,1)</f>
        <v/>
      </c>
      <c r="AN134" s="3">
        <f>IF(OR(E134="",F134=""),0,NETWORKDAYS(E134,F134,Ref!$K$2:$K$42))</f>
        <v/>
      </c>
      <c r="AO134" s="3">
        <f>IF(L134="Renewal",1,0)</f>
        <v/>
      </c>
      <c r="AP134" s="3">
        <f>AC134*AD134</f>
        <v/>
      </c>
      <c r="AQ134" s="3">
        <f>IF(AND(G134&lt;&gt;"",'Historical Score'!$C$6&lt;&gt;""),IF(G134='Historical Score'!$C$6,1,0),0)</f>
        <v/>
      </c>
      <c r="AR134" s="3">
        <f>IF(AND(L134&lt;&gt;"",'Historical Score'!$C$5&lt;&gt;""),IF(L134='Historical Score'!$C$5,1,0),0)</f>
        <v/>
      </c>
      <c r="AS134" s="3">
        <f>IF(AND(Y134&lt;&gt;"",'Historical Score'!$C$7&lt;&gt;""),IF(Y134='Historical Score'!$C$7,1,0),0)</f>
        <v/>
      </c>
      <c r="AT134" s="3">
        <f>IF(AND(K134&lt;&gt;"",'Historical Score'!$C$8&lt;&gt;""),IF(K134='Historical Score'!$C$8,1,0),0)</f>
        <v/>
      </c>
      <c r="AU134" s="3" t="n"/>
      <c r="AV134" s="3" t="n"/>
      <c r="AW134" s="3" t="n"/>
      <c r="AX134" s="3" t="n"/>
      <c r="AY134" s="3" t="n"/>
      <c r="AZ134" s="3" t="n"/>
      <c r="BA134" s="182">
        <f>IF(AD134=1,(AR134*'Historical Score'!$K$29+1-'Historical Score'!$K$29)*(AT134*'Historical Score'!$L$29+1-'Historical Score'!$L$29)*(AS134*'Historical Score'!$M$29+1-'Historical Score'!$M$29)*(AQ134*'Historical Score'!$N$29+1-'Historical Score'!$N$29),0)</f>
        <v/>
      </c>
      <c r="BB134" s="3" t="n"/>
      <c r="BC134" s="3" t="n"/>
    </row>
    <row r="135" ht="15.75" customHeight="1" s="174">
      <c r="A135" s="3" t="inlineStr">
        <is>
          <t>5674160473</t>
        </is>
      </c>
      <c r="B135" s="3" t="inlineStr">
        <is>
          <t>Forum Reliability Inc</t>
        </is>
      </c>
      <c r="C135" s="3" t="inlineStr">
        <is>
          <t>Forum Reliability Inc</t>
        </is>
      </c>
      <c r="D135" s="3" t="inlineStr">
        <is>
          <t>Closed</t>
        </is>
      </c>
      <c r="E135" s="23" t="n">
        <v>45833</v>
      </c>
      <c r="F135" s="23" t="n">
        <v>45974</v>
      </c>
      <c r="G135" s="3" t="n">
        <v>1</v>
      </c>
      <c r="H135" s="3" t="inlineStr">
        <is>
          <t>5047</t>
        </is>
      </c>
      <c r="I135" s="3" t="inlineStr">
        <is>
          <t>50</t>
        </is>
      </c>
      <c r="J135" s="3" t="inlineStr">
        <is>
          <t>TX</t>
        </is>
      </c>
      <c r="K135" s="3" t="inlineStr">
        <is>
          <t>The Funding Channel</t>
        </is>
      </c>
      <c r="L135" s="3" t="inlineStr">
        <is>
          <t>New Deal</t>
        </is>
      </c>
      <c r="M135" s="3" t="n">
        <v>1.49</v>
      </c>
      <c r="N135" s="28" t="n">
        <v>20000</v>
      </c>
      <c r="O135" s="28" t="n">
        <v>2800</v>
      </c>
      <c r="P135" s="28" t="n">
        <v>29800</v>
      </c>
      <c r="Q135" s="28" t="n">
        <v>29800</v>
      </c>
      <c r="R135" s="28" t="n">
        <v>0</v>
      </c>
      <c r="S135" s="42" t="n">
        <v>1</v>
      </c>
      <c r="T135" s="3" t="n">
        <v>20</v>
      </c>
      <c r="U135" s="3" t="n">
        <v>1</v>
      </c>
      <c r="V135" s="3" t="n"/>
      <c r="W135" s="42" t="n">
        <v>0.0641</v>
      </c>
      <c r="X135" s="23" t="n">
        <v>44587</v>
      </c>
      <c r="Y135" s="3">
        <f>IF(I135="","No SIC",IFERROR(VLOOKUP(I135,Ref!$A$2:$B$65,2,FALSE()),"Unclassified"))</f>
        <v/>
      </c>
      <c r="Z135" s="3">
        <f>IF(T135="","",IF(T135&lt;12,"Daily","Weekly"))</f>
        <v/>
      </c>
      <c r="AA135" s="3">
        <f>IF(T135="",0,IF(T135&lt;12,T135*Controls!$B$13,T135*5))</f>
        <v/>
      </c>
      <c r="AB135" s="3">
        <f>IF(E135="",0,NETWORKDAYS(E135,Controls!$B$20,Ref!$K$2:$K$42))</f>
        <v/>
      </c>
      <c r="AC135" s="3">
        <f>IF(OR(AF135=1,AND(AA135&gt;0,AB135&gt;=Controls!$B$23*AA135)),1,0)</f>
        <v/>
      </c>
      <c r="AD135" s="3">
        <f>IF(AND(E135&lt;&gt;"",E135&gt;=Controls!$B$21,E135&lt;=Controls!$B$22),1,0)</f>
        <v/>
      </c>
      <c r="AE135" s="3">
        <f>IF(IFERROR(VLOOKUP(D135,Controls!$A$36:$E$46,2,FALSE()),"No")="Yes",1,0)</f>
        <v/>
      </c>
      <c r="AF135" s="3">
        <f>IF(IFERROR(VLOOKUP(D135,Controls!$A$36:$E$46,3,FALSE()),"No")="Yes",1,0)</f>
        <v/>
      </c>
      <c r="AG135" s="3">
        <f>IF(IFERROR(VLOOKUP(D135,Controls!$A$36:$E$46,4,FALSE()),"No")="Yes",1,0)</f>
        <v/>
      </c>
      <c r="AH135" s="3">
        <f>IF(IFERROR(VLOOKUP(D135,Controls!$A$36:$E$46,5,FALSE()),"No")="Yes",1,0)</f>
        <v/>
      </c>
      <c r="AI135" s="3">
        <f>IF(ISNUMBER(MATCH(D135,Controls!$A$36:$A$46,0)),1,0)</f>
        <v/>
      </c>
      <c r="AJ135" s="28">
        <f>Q135-N135</f>
        <v/>
      </c>
      <c r="AK135" s="3">
        <f>IF(AE135=1,MAX(0,N135-Q135),0)</f>
        <v/>
      </c>
      <c r="AL135" s="3">
        <f>IF(OR(V135="",V135=0),0,N135/V135)</f>
        <v/>
      </c>
      <c r="AM135" s="3">
        <f>IF(OR(V135="",V135=0),0,1)</f>
        <v/>
      </c>
      <c r="AN135" s="3">
        <f>IF(OR(E135="",F135=""),0,NETWORKDAYS(E135,F135,Ref!$K$2:$K$42))</f>
        <v/>
      </c>
      <c r="AO135" s="3">
        <f>IF(L135="Renewal",1,0)</f>
        <v/>
      </c>
      <c r="AP135" s="3">
        <f>AC135*AD135</f>
        <v/>
      </c>
      <c r="AQ135" s="3">
        <f>IF(AND(G135&lt;&gt;"",'Historical Score'!$C$6&lt;&gt;""),IF(G135='Historical Score'!$C$6,1,0),0)</f>
        <v/>
      </c>
      <c r="AR135" s="3">
        <f>IF(AND(L135&lt;&gt;"",'Historical Score'!$C$5&lt;&gt;""),IF(L135='Historical Score'!$C$5,1,0),0)</f>
        <v/>
      </c>
      <c r="AS135" s="3">
        <f>IF(AND(Y135&lt;&gt;"",'Historical Score'!$C$7&lt;&gt;""),IF(Y135='Historical Score'!$C$7,1,0),0)</f>
        <v/>
      </c>
      <c r="AT135" s="3">
        <f>IF(AND(K135&lt;&gt;"",'Historical Score'!$C$8&lt;&gt;""),IF(K135='Historical Score'!$C$8,1,0),0)</f>
        <v/>
      </c>
      <c r="AU135" s="3" t="n"/>
      <c r="AV135" s="3" t="n"/>
      <c r="AW135" s="3" t="n"/>
      <c r="AX135" s="3" t="n"/>
      <c r="AY135" s="3" t="n"/>
      <c r="AZ135" s="3" t="n"/>
      <c r="BA135" s="182">
        <f>IF(AD135=1,(AR135*'Historical Score'!$K$29+1-'Historical Score'!$K$29)*(AT135*'Historical Score'!$L$29+1-'Historical Score'!$L$29)*(AS135*'Historical Score'!$M$29+1-'Historical Score'!$M$29)*(AQ135*'Historical Score'!$N$29+1-'Historical Score'!$N$29),0)</f>
        <v/>
      </c>
      <c r="BB135" s="3" t="n"/>
      <c r="BC135" s="3" t="n"/>
    </row>
    <row r="136" ht="15.75" customHeight="1" s="174">
      <c r="A136" s="3" t="inlineStr">
        <is>
          <t>5674160655</t>
        </is>
      </c>
      <c r="B136" s="3" t="inlineStr">
        <is>
          <t>AD Car Detail LLC</t>
        </is>
      </c>
      <c r="C136" s="3" t="inlineStr">
        <is>
          <t>AD Car Detail LLC</t>
        </is>
      </c>
      <c r="D136" s="3" t="inlineStr">
        <is>
          <t>Closed</t>
        </is>
      </c>
      <c r="E136" s="23" t="n">
        <v>45835</v>
      </c>
      <c r="F136" s="23" t="n">
        <v>45918</v>
      </c>
      <c r="G136" s="3" t="n">
        <v>2</v>
      </c>
      <c r="H136" s="3" t="inlineStr">
        <is>
          <t>5012</t>
        </is>
      </c>
      <c r="I136" s="3" t="inlineStr">
        <is>
          <t>50</t>
        </is>
      </c>
      <c r="J136" s="3" t="inlineStr">
        <is>
          <t>MN</t>
        </is>
      </c>
      <c r="K136" s="3" t="inlineStr">
        <is>
          <t>ROK</t>
        </is>
      </c>
      <c r="L136" s="3" t="inlineStr">
        <is>
          <t>New Deal</t>
        </is>
      </c>
      <c r="M136" s="3" t="n">
        <v>1.499</v>
      </c>
      <c r="N136" s="28" t="n">
        <v>10000</v>
      </c>
      <c r="O136" s="28" t="n">
        <v>1400</v>
      </c>
      <c r="P136" s="28" t="n">
        <v>14990</v>
      </c>
      <c r="Q136" s="28" t="n">
        <v>14990</v>
      </c>
      <c r="R136" s="28" t="n">
        <v>1.81898940354586e-12</v>
      </c>
      <c r="S136" s="42" t="n">
        <v>1</v>
      </c>
      <c r="T136" s="3" t="n">
        <v>2.951</v>
      </c>
      <c r="U136" s="3" t="n">
        <v>0</v>
      </c>
      <c r="V136" s="3" t="n">
        <v>27678.72</v>
      </c>
      <c r="W136" s="42" t="n">
        <v>0.1264</v>
      </c>
      <c r="X136" s="23" t="n">
        <v>45020</v>
      </c>
      <c r="Y136" s="3">
        <f>IF(I136="","No SIC",IFERROR(VLOOKUP(I136,Ref!$A$2:$B$65,2,FALSE()),"Unclassified"))</f>
        <v/>
      </c>
      <c r="Z136" s="3">
        <f>IF(T136="","",IF(T136&lt;12,"Daily","Weekly"))</f>
        <v/>
      </c>
      <c r="AA136" s="3">
        <f>IF(T136="",0,IF(T136&lt;12,T136*Controls!$B$13,T136*5))</f>
        <v/>
      </c>
      <c r="AB136" s="3">
        <f>IF(E136="",0,NETWORKDAYS(E136,Controls!$B$20,Ref!$K$2:$K$42))</f>
        <v/>
      </c>
      <c r="AC136" s="3">
        <f>IF(OR(AF136=1,AND(AA136&gt;0,AB136&gt;=Controls!$B$23*AA136)),1,0)</f>
        <v/>
      </c>
      <c r="AD136" s="3">
        <f>IF(AND(E136&lt;&gt;"",E136&gt;=Controls!$B$21,E136&lt;=Controls!$B$22),1,0)</f>
        <v/>
      </c>
      <c r="AE136" s="3">
        <f>IF(IFERROR(VLOOKUP(D136,Controls!$A$36:$E$46,2,FALSE()),"No")="Yes",1,0)</f>
        <v/>
      </c>
      <c r="AF136" s="3">
        <f>IF(IFERROR(VLOOKUP(D136,Controls!$A$36:$E$46,3,FALSE()),"No")="Yes",1,0)</f>
        <v/>
      </c>
      <c r="AG136" s="3">
        <f>IF(IFERROR(VLOOKUP(D136,Controls!$A$36:$E$46,4,FALSE()),"No")="Yes",1,0)</f>
        <v/>
      </c>
      <c r="AH136" s="3">
        <f>IF(IFERROR(VLOOKUP(D136,Controls!$A$36:$E$46,5,FALSE()),"No")="Yes",1,0)</f>
        <v/>
      </c>
      <c r="AI136" s="3">
        <f>IF(ISNUMBER(MATCH(D136,Controls!$A$36:$A$46,0)),1,0)</f>
        <v/>
      </c>
      <c r="AJ136" s="28">
        <f>Q136-N136</f>
        <v/>
      </c>
      <c r="AK136" s="3">
        <f>IF(AE136=1,MAX(0,N136-Q136),0)</f>
        <v/>
      </c>
      <c r="AL136" s="3">
        <f>IF(OR(V136="",V136=0),0,N136/V136)</f>
        <v/>
      </c>
      <c r="AM136" s="3">
        <f>IF(OR(V136="",V136=0),0,1)</f>
        <v/>
      </c>
      <c r="AN136" s="3">
        <f>IF(OR(E136="",F136=""),0,NETWORKDAYS(E136,F136,Ref!$K$2:$K$42))</f>
        <v/>
      </c>
      <c r="AO136" s="3">
        <f>IF(L136="Renewal",1,0)</f>
        <v/>
      </c>
      <c r="AP136" s="3">
        <f>AC136*AD136</f>
        <v/>
      </c>
      <c r="AQ136" s="3">
        <f>IF(AND(G136&lt;&gt;"",'Historical Score'!$C$6&lt;&gt;""),IF(G136='Historical Score'!$C$6,1,0),0)</f>
        <v/>
      </c>
      <c r="AR136" s="3">
        <f>IF(AND(L136&lt;&gt;"",'Historical Score'!$C$5&lt;&gt;""),IF(L136='Historical Score'!$C$5,1,0),0)</f>
        <v/>
      </c>
      <c r="AS136" s="3">
        <f>IF(AND(Y136&lt;&gt;"",'Historical Score'!$C$7&lt;&gt;""),IF(Y136='Historical Score'!$C$7,1,0),0)</f>
        <v/>
      </c>
      <c r="AT136" s="3">
        <f>IF(AND(K136&lt;&gt;"",'Historical Score'!$C$8&lt;&gt;""),IF(K136='Historical Score'!$C$8,1,0),0)</f>
        <v/>
      </c>
      <c r="AU136" s="3" t="n"/>
      <c r="AV136" s="3" t="n"/>
      <c r="AW136" s="3" t="n"/>
      <c r="AX136" s="3" t="n"/>
      <c r="AY136" s="3" t="n"/>
      <c r="AZ136" s="3" t="n"/>
      <c r="BA136" s="182">
        <f>IF(AD136=1,(AR136*'Historical Score'!$K$29+1-'Historical Score'!$K$29)*(AT136*'Historical Score'!$L$29+1-'Historical Score'!$L$29)*(AS136*'Historical Score'!$M$29+1-'Historical Score'!$M$29)*(AQ136*'Historical Score'!$N$29+1-'Historical Score'!$N$29),0)</f>
        <v/>
      </c>
      <c r="BB136" s="3" t="n"/>
      <c r="BC136" s="3" t="n"/>
    </row>
    <row r="137" ht="15.75" customHeight="1" s="174">
      <c r="A137" s="3" t="inlineStr">
        <is>
          <t>5674160718</t>
        </is>
      </c>
      <c r="B137" s="3" t="inlineStr">
        <is>
          <t>Ampliphi Wellness P.M.A. 508c1a</t>
        </is>
      </c>
      <c r="C137" s="3" t="inlineStr">
        <is>
          <t>Ampliphi Wellness P.M.A. 508c1a</t>
        </is>
      </c>
      <c r="D137" s="3" t="inlineStr">
        <is>
          <t>Closed</t>
        </is>
      </c>
      <c r="E137" s="23" t="n">
        <v>45835</v>
      </c>
      <c r="F137" s="23" t="n">
        <v>45929</v>
      </c>
      <c r="G137" s="3" t="n">
        <v>2</v>
      </c>
      <c r="H137" s="3" t="inlineStr">
        <is>
          <t>8049</t>
        </is>
      </c>
      <c r="I137" s="3" t="inlineStr">
        <is>
          <t>80</t>
        </is>
      </c>
      <c r="J137" s="3" t="inlineStr">
        <is>
          <t>ID</t>
        </is>
      </c>
      <c r="K137" s="3" t="inlineStr">
        <is>
          <t>Secure Capital Solutions 7</t>
        </is>
      </c>
      <c r="L137" s="3" t="inlineStr">
        <is>
          <t>New Deal</t>
        </is>
      </c>
      <c r="M137" s="3" t="n">
        <v>1.4767425</v>
      </c>
      <c r="N137" s="28" t="n">
        <v>20000</v>
      </c>
      <c r="O137" s="28" t="n">
        <v>2800</v>
      </c>
      <c r="P137" s="28" t="n">
        <v>29534.85</v>
      </c>
      <c r="Q137" s="28" t="n">
        <v>29534.85</v>
      </c>
      <c r="R137" s="28" t="n">
        <v>3.63797880709171e-12</v>
      </c>
      <c r="S137" s="42" t="n">
        <v>1</v>
      </c>
      <c r="T137" s="3" t="n">
        <v>2.623</v>
      </c>
      <c r="U137" s="3" t="n">
        <v>2</v>
      </c>
      <c r="V137" s="3" t="n"/>
      <c r="W137" s="42" t="n">
        <v>0.0451</v>
      </c>
      <c r="X137" s="23" t="n">
        <v>45292</v>
      </c>
      <c r="Y137" s="3">
        <f>IF(I137="","No SIC",IFERROR(VLOOKUP(I137,Ref!$A$2:$B$65,2,FALSE()),"Unclassified"))</f>
        <v/>
      </c>
      <c r="Z137" s="3">
        <f>IF(T137="","",IF(T137&lt;12,"Daily","Weekly"))</f>
        <v/>
      </c>
      <c r="AA137" s="3">
        <f>IF(T137="",0,IF(T137&lt;12,T137*Controls!$B$13,T137*5))</f>
        <v/>
      </c>
      <c r="AB137" s="3">
        <f>IF(E137="",0,NETWORKDAYS(E137,Controls!$B$20,Ref!$K$2:$K$42))</f>
        <v/>
      </c>
      <c r="AC137" s="3">
        <f>IF(OR(AF137=1,AND(AA137&gt;0,AB137&gt;=Controls!$B$23*AA137)),1,0)</f>
        <v/>
      </c>
      <c r="AD137" s="3">
        <f>IF(AND(E137&lt;&gt;"",E137&gt;=Controls!$B$21,E137&lt;=Controls!$B$22),1,0)</f>
        <v/>
      </c>
      <c r="AE137" s="3">
        <f>IF(IFERROR(VLOOKUP(D137,Controls!$A$36:$E$46,2,FALSE()),"No")="Yes",1,0)</f>
        <v/>
      </c>
      <c r="AF137" s="3">
        <f>IF(IFERROR(VLOOKUP(D137,Controls!$A$36:$E$46,3,FALSE()),"No")="Yes",1,0)</f>
        <v/>
      </c>
      <c r="AG137" s="3">
        <f>IF(IFERROR(VLOOKUP(D137,Controls!$A$36:$E$46,4,FALSE()),"No")="Yes",1,0)</f>
        <v/>
      </c>
      <c r="AH137" s="3">
        <f>IF(IFERROR(VLOOKUP(D137,Controls!$A$36:$E$46,5,FALSE()),"No")="Yes",1,0)</f>
        <v/>
      </c>
      <c r="AI137" s="3">
        <f>IF(ISNUMBER(MATCH(D137,Controls!$A$36:$A$46,0)),1,0)</f>
        <v/>
      </c>
      <c r="AJ137" s="28">
        <f>Q137-N137</f>
        <v/>
      </c>
      <c r="AK137" s="3">
        <f>IF(AE137=1,MAX(0,N137-Q137),0)</f>
        <v/>
      </c>
      <c r="AL137" s="3">
        <f>IF(OR(V137="",V137=0),0,N137/V137)</f>
        <v/>
      </c>
      <c r="AM137" s="3">
        <f>IF(OR(V137="",V137=0),0,1)</f>
        <v/>
      </c>
      <c r="AN137" s="3">
        <f>IF(OR(E137="",F137=""),0,NETWORKDAYS(E137,F137,Ref!$K$2:$K$42))</f>
        <v/>
      </c>
      <c r="AO137" s="3">
        <f>IF(L137="Renewal",1,0)</f>
        <v/>
      </c>
      <c r="AP137" s="3">
        <f>AC137*AD137</f>
        <v/>
      </c>
      <c r="AQ137" s="3">
        <f>IF(AND(G137&lt;&gt;"",'Historical Score'!$C$6&lt;&gt;""),IF(G137='Historical Score'!$C$6,1,0),0)</f>
        <v/>
      </c>
      <c r="AR137" s="3">
        <f>IF(AND(L137&lt;&gt;"",'Historical Score'!$C$5&lt;&gt;""),IF(L137='Historical Score'!$C$5,1,0),0)</f>
        <v/>
      </c>
      <c r="AS137" s="3">
        <f>IF(AND(Y137&lt;&gt;"",'Historical Score'!$C$7&lt;&gt;""),IF(Y137='Historical Score'!$C$7,1,0),0)</f>
        <v/>
      </c>
      <c r="AT137" s="3">
        <f>IF(AND(K137&lt;&gt;"",'Historical Score'!$C$8&lt;&gt;""),IF(K137='Historical Score'!$C$8,1,0),0)</f>
        <v/>
      </c>
      <c r="AU137" s="3" t="n"/>
      <c r="AV137" s="3" t="n"/>
      <c r="AW137" s="3" t="n"/>
      <c r="AX137" s="3" t="n"/>
      <c r="AY137" s="3" t="n"/>
      <c r="AZ137" s="3" t="n"/>
      <c r="BA137" s="182">
        <f>IF(AD137=1,(AR137*'Historical Score'!$K$29+1-'Historical Score'!$K$29)*(AT137*'Historical Score'!$L$29+1-'Historical Score'!$L$29)*(AS137*'Historical Score'!$M$29+1-'Historical Score'!$M$29)*(AQ137*'Historical Score'!$N$29+1-'Historical Score'!$N$29),0)</f>
        <v/>
      </c>
      <c r="BB137" s="3" t="n"/>
      <c r="BC137" s="3" t="n"/>
    </row>
    <row r="138" ht="15.75" customHeight="1" s="174">
      <c r="A138" s="3" t="inlineStr">
        <is>
          <t>5674160797</t>
        </is>
      </c>
      <c r="B138" s="3" t="inlineStr">
        <is>
          <t>MACS CUSTOM INSTALLS</t>
        </is>
      </c>
      <c r="C138" s="3" t="inlineStr">
        <is>
          <t>MACS CUSTOM INSTALLS</t>
        </is>
      </c>
      <c r="D138" s="3" t="inlineStr">
        <is>
          <t>At-Risk</t>
        </is>
      </c>
      <c r="E138" s="23" t="n">
        <v>45838</v>
      </c>
      <c r="F138" s="23" t="n">
        <v>46157</v>
      </c>
      <c r="G138" s="3" t="n">
        <v>2</v>
      </c>
      <c r="H138" s="3" t="inlineStr">
        <is>
          <t>1521</t>
        </is>
      </c>
      <c r="I138" s="3" t="inlineStr">
        <is>
          <t>15</t>
        </is>
      </c>
      <c r="J138" s="3" t="inlineStr">
        <is>
          <t>SC</t>
        </is>
      </c>
      <c r="K138" s="3" t="inlineStr">
        <is>
          <t>Shield Funding</t>
        </is>
      </c>
      <c r="L138" s="3" t="inlineStr">
        <is>
          <t>New Deal</t>
        </is>
      </c>
      <c r="M138" s="3" t="n">
        <v>1.49</v>
      </c>
      <c r="N138" s="28" t="n">
        <v>10000</v>
      </c>
      <c r="O138" s="28" t="n">
        <v>1400</v>
      </c>
      <c r="P138" s="28" t="n">
        <v>14900</v>
      </c>
      <c r="Q138" s="28" t="n">
        <v>8473.92</v>
      </c>
      <c r="R138" s="28" t="n">
        <v>6426.08</v>
      </c>
      <c r="S138" s="42" t="n">
        <v>0.568719463087248</v>
      </c>
      <c r="T138" s="3" t="n">
        <v>2.623</v>
      </c>
      <c r="U138" s="3" t="n">
        <v>12</v>
      </c>
      <c r="V138" s="3" t="n">
        <v>36113.12</v>
      </c>
      <c r="W138" s="42" t="n">
        <v>0.1083</v>
      </c>
      <c r="X138" s="23" t="n">
        <v>43767</v>
      </c>
      <c r="Y138" s="3">
        <f>IF(I138="","No SIC",IFERROR(VLOOKUP(I138,Ref!$A$2:$B$65,2,FALSE()),"Unclassified"))</f>
        <v/>
      </c>
      <c r="Z138" s="3">
        <f>IF(T138="","",IF(T138&lt;12,"Daily","Weekly"))</f>
        <v/>
      </c>
      <c r="AA138" s="3">
        <f>IF(T138="",0,IF(T138&lt;12,T138*Controls!$B$13,T138*5))</f>
        <v/>
      </c>
      <c r="AB138" s="3">
        <f>IF(E138="",0,NETWORKDAYS(E138,Controls!$B$20,Ref!$K$2:$K$42))</f>
        <v/>
      </c>
      <c r="AC138" s="3">
        <f>IF(OR(AF138=1,AND(AA138&gt;0,AB138&gt;=Controls!$B$23*AA138)),1,0)</f>
        <v/>
      </c>
      <c r="AD138" s="3">
        <f>IF(AND(E138&lt;&gt;"",E138&gt;=Controls!$B$21,E138&lt;=Controls!$B$22),1,0)</f>
        <v/>
      </c>
      <c r="AE138" s="3">
        <f>IF(IFERROR(VLOOKUP(D138,Controls!$A$36:$E$46,2,FALSE()),"No")="Yes",1,0)</f>
        <v/>
      </c>
      <c r="AF138" s="3">
        <f>IF(IFERROR(VLOOKUP(D138,Controls!$A$36:$E$46,3,FALSE()),"No")="Yes",1,0)</f>
        <v/>
      </c>
      <c r="AG138" s="3">
        <f>IF(IFERROR(VLOOKUP(D138,Controls!$A$36:$E$46,4,FALSE()),"No")="Yes",1,0)</f>
        <v/>
      </c>
      <c r="AH138" s="3">
        <f>IF(IFERROR(VLOOKUP(D138,Controls!$A$36:$E$46,5,FALSE()),"No")="Yes",1,0)</f>
        <v/>
      </c>
      <c r="AI138" s="3">
        <f>IF(ISNUMBER(MATCH(D138,Controls!$A$36:$A$46,0)),1,0)</f>
        <v/>
      </c>
      <c r="AJ138" s="28">
        <f>Q138-N138</f>
        <v/>
      </c>
      <c r="AK138" s="3">
        <f>IF(AE138=1,MAX(0,N138-Q138),0)</f>
        <v/>
      </c>
      <c r="AL138" s="3">
        <f>IF(OR(V138="",V138=0),0,N138/V138)</f>
        <v/>
      </c>
      <c r="AM138" s="3">
        <f>IF(OR(V138="",V138=0),0,1)</f>
        <v/>
      </c>
      <c r="AN138" s="3">
        <f>IF(OR(E138="",F138=""),0,NETWORKDAYS(E138,F138,Ref!$K$2:$K$42))</f>
        <v/>
      </c>
      <c r="AO138" s="3">
        <f>IF(L138="Renewal",1,0)</f>
        <v/>
      </c>
      <c r="AP138" s="3">
        <f>AC138*AD138</f>
        <v/>
      </c>
      <c r="AQ138" s="3">
        <f>IF(AND(G138&lt;&gt;"",'Historical Score'!$C$6&lt;&gt;""),IF(G138='Historical Score'!$C$6,1,0),0)</f>
        <v/>
      </c>
      <c r="AR138" s="3">
        <f>IF(AND(L138&lt;&gt;"",'Historical Score'!$C$5&lt;&gt;""),IF(L138='Historical Score'!$C$5,1,0),0)</f>
        <v/>
      </c>
      <c r="AS138" s="3">
        <f>IF(AND(Y138&lt;&gt;"",'Historical Score'!$C$7&lt;&gt;""),IF(Y138='Historical Score'!$C$7,1,0),0)</f>
        <v/>
      </c>
      <c r="AT138" s="3">
        <f>IF(AND(K138&lt;&gt;"",'Historical Score'!$C$8&lt;&gt;""),IF(K138='Historical Score'!$C$8,1,0),0)</f>
        <v/>
      </c>
      <c r="AU138" s="3" t="n"/>
      <c r="AV138" s="3" t="n"/>
      <c r="AW138" s="3" t="n"/>
      <c r="AX138" s="3" t="n"/>
      <c r="AY138" s="3" t="n"/>
      <c r="AZ138" s="3" t="n"/>
      <c r="BA138" s="182">
        <f>IF(AD138=1,(AR138*'Historical Score'!$K$29+1-'Historical Score'!$K$29)*(AT138*'Historical Score'!$L$29+1-'Historical Score'!$L$29)*(AS138*'Historical Score'!$M$29+1-'Historical Score'!$M$29)*(AQ138*'Historical Score'!$N$29+1-'Historical Score'!$N$29),0)</f>
        <v/>
      </c>
      <c r="BB138" s="3" t="n"/>
      <c r="BC138" s="3" t="n"/>
    </row>
    <row r="139" ht="15.75" customHeight="1" s="174">
      <c r="A139" s="3" t="inlineStr">
        <is>
          <t>5674160807</t>
        </is>
      </c>
      <c r="B139" s="3" t="inlineStr">
        <is>
          <t>Hard Knocks Concrete LLC</t>
        </is>
      </c>
      <c r="C139" s="3" t="inlineStr">
        <is>
          <t>Hard Knocks Concrete LLC</t>
        </is>
      </c>
      <c r="D139" s="3" t="inlineStr">
        <is>
          <t>Legal</t>
        </is>
      </c>
      <c r="E139" s="23" t="n">
        <v>45838</v>
      </c>
      <c r="F139" s="23" t="n">
        <v>45884</v>
      </c>
      <c r="G139" s="3" t="n">
        <v>3</v>
      </c>
      <c r="H139" s="3" t="inlineStr">
        <is>
          <t>1771</t>
        </is>
      </c>
      <c r="I139" s="3" t="inlineStr">
        <is>
          <t>17</t>
        </is>
      </c>
      <c r="J139" s="3" t="inlineStr">
        <is>
          <t>MO</t>
        </is>
      </c>
      <c r="K139" s="3" t="inlineStr">
        <is>
          <t>Fundible</t>
        </is>
      </c>
      <c r="L139" s="3" t="inlineStr">
        <is>
          <t>New Deal</t>
        </is>
      </c>
      <c r="M139" s="3" t="n">
        <v>1.499</v>
      </c>
      <c r="N139" s="28" t="n">
        <v>25000</v>
      </c>
      <c r="O139" s="28" t="n">
        <v>3500</v>
      </c>
      <c r="P139" s="28" t="n">
        <v>37475</v>
      </c>
      <c r="Q139" s="28" t="n">
        <v>2552.07</v>
      </c>
      <c r="R139" s="28" t="n">
        <v>34922.93</v>
      </c>
      <c r="S139" s="42" t="n">
        <v>0.0681006004002668</v>
      </c>
      <c r="T139" s="3" t="n">
        <v>24</v>
      </c>
      <c r="U139" s="3" t="n">
        <v>3</v>
      </c>
      <c r="V139" s="3" t="n">
        <v>104896.9</v>
      </c>
      <c r="W139" s="42" t="n">
        <v>0.0592</v>
      </c>
      <c r="X139" s="23" t="n">
        <v>44461</v>
      </c>
      <c r="Y139" s="3">
        <f>IF(I139="","No SIC",IFERROR(VLOOKUP(I139,Ref!$A$2:$B$65,2,FALSE()),"Unclassified"))</f>
        <v/>
      </c>
      <c r="Z139" s="3">
        <f>IF(T139="","",IF(T139&lt;12,"Daily","Weekly"))</f>
        <v/>
      </c>
      <c r="AA139" s="3">
        <f>IF(T139="",0,IF(T139&lt;12,T139*Controls!$B$13,T139*5))</f>
        <v/>
      </c>
      <c r="AB139" s="3">
        <f>IF(E139="",0,NETWORKDAYS(E139,Controls!$B$20,Ref!$K$2:$K$42))</f>
        <v/>
      </c>
      <c r="AC139" s="3">
        <f>IF(OR(AF139=1,AND(AA139&gt;0,AB139&gt;=Controls!$B$23*AA139)),1,0)</f>
        <v/>
      </c>
      <c r="AD139" s="3">
        <f>IF(AND(E139&lt;&gt;"",E139&gt;=Controls!$B$21,E139&lt;=Controls!$B$22),1,0)</f>
        <v/>
      </c>
      <c r="AE139" s="3">
        <f>IF(IFERROR(VLOOKUP(D139,Controls!$A$36:$E$46,2,FALSE()),"No")="Yes",1,0)</f>
        <v/>
      </c>
      <c r="AF139" s="3">
        <f>IF(IFERROR(VLOOKUP(D139,Controls!$A$36:$E$46,3,FALSE()),"No")="Yes",1,0)</f>
        <v/>
      </c>
      <c r="AG139" s="3">
        <f>IF(IFERROR(VLOOKUP(D139,Controls!$A$36:$E$46,4,FALSE()),"No")="Yes",1,0)</f>
        <v/>
      </c>
      <c r="AH139" s="3">
        <f>IF(IFERROR(VLOOKUP(D139,Controls!$A$36:$E$46,5,FALSE()),"No")="Yes",1,0)</f>
        <v/>
      </c>
      <c r="AI139" s="3">
        <f>IF(ISNUMBER(MATCH(D139,Controls!$A$36:$A$46,0)),1,0)</f>
        <v/>
      </c>
      <c r="AJ139" s="28">
        <f>Q139-N139</f>
        <v/>
      </c>
      <c r="AK139" s="3">
        <f>IF(AE139=1,MAX(0,N139-Q139),0)</f>
        <v/>
      </c>
      <c r="AL139" s="3">
        <f>IF(OR(V139="",V139=0),0,N139/V139)</f>
        <v/>
      </c>
      <c r="AM139" s="3">
        <f>IF(OR(V139="",V139=0),0,1)</f>
        <v/>
      </c>
      <c r="AN139" s="3">
        <f>IF(OR(E139="",F139=""),0,NETWORKDAYS(E139,F139,Ref!$K$2:$K$42))</f>
        <v/>
      </c>
      <c r="AO139" s="3">
        <f>IF(L139="Renewal",1,0)</f>
        <v/>
      </c>
      <c r="AP139" s="3">
        <f>AC139*AD139</f>
        <v/>
      </c>
      <c r="AQ139" s="3">
        <f>IF(AND(G139&lt;&gt;"",'Historical Score'!$C$6&lt;&gt;""),IF(G139='Historical Score'!$C$6,1,0),0)</f>
        <v/>
      </c>
      <c r="AR139" s="3">
        <f>IF(AND(L139&lt;&gt;"",'Historical Score'!$C$5&lt;&gt;""),IF(L139='Historical Score'!$C$5,1,0),0)</f>
        <v/>
      </c>
      <c r="AS139" s="3">
        <f>IF(AND(Y139&lt;&gt;"",'Historical Score'!$C$7&lt;&gt;""),IF(Y139='Historical Score'!$C$7,1,0),0)</f>
        <v/>
      </c>
      <c r="AT139" s="3">
        <f>IF(AND(K139&lt;&gt;"",'Historical Score'!$C$8&lt;&gt;""),IF(K139='Historical Score'!$C$8,1,0),0)</f>
        <v/>
      </c>
      <c r="AU139" s="3" t="n"/>
      <c r="AV139" s="3" t="n"/>
      <c r="AW139" s="3" t="n"/>
      <c r="AX139" s="3" t="n"/>
      <c r="AY139" s="3" t="n"/>
      <c r="AZ139" s="3" t="n"/>
      <c r="BA139" s="182">
        <f>IF(AD139=1,(AR139*'Historical Score'!$K$29+1-'Historical Score'!$K$29)*(AT139*'Historical Score'!$L$29+1-'Historical Score'!$L$29)*(AS139*'Historical Score'!$M$29+1-'Historical Score'!$M$29)*(AQ139*'Historical Score'!$N$29+1-'Historical Score'!$N$29),0)</f>
        <v/>
      </c>
      <c r="BB139" s="3" t="n"/>
      <c r="BC139" s="3" t="n"/>
    </row>
    <row r="140" ht="15.75" customHeight="1" s="174">
      <c r="A140" s="3" t="inlineStr">
        <is>
          <t>5674161032</t>
        </is>
      </c>
      <c r="B140" s="3" t="inlineStr">
        <is>
          <t>CORNERSTONE GROWTH SOLUTIONS, LLC</t>
        </is>
      </c>
      <c r="C140" s="3" t="inlineStr">
        <is>
          <t>CORNERSTONE GROWTH SOLUTIONS, LLC</t>
        </is>
      </c>
      <c r="D140" s="3" t="inlineStr">
        <is>
          <t>Legal</t>
        </is>
      </c>
      <c r="E140" s="23" t="n">
        <v>45840</v>
      </c>
      <c r="F140" s="23" t="n">
        <v>45923</v>
      </c>
      <c r="G140" s="3" t="n">
        <v>7</v>
      </c>
      <c r="H140" s="3" t="inlineStr">
        <is>
          <t>8748</t>
        </is>
      </c>
      <c r="I140" s="3" t="inlineStr">
        <is>
          <t>87</t>
        </is>
      </c>
      <c r="J140" s="3" t="inlineStr">
        <is>
          <t>TX</t>
        </is>
      </c>
      <c r="K140" s="3" t="inlineStr">
        <is>
          <t>Westwood</t>
        </is>
      </c>
      <c r="L140" s="3" t="inlineStr">
        <is>
          <t>New Deal</t>
        </is>
      </c>
      <c r="M140" s="3" t="n">
        <v>1.499</v>
      </c>
      <c r="N140" s="28" t="n">
        <v>20000</v>
      </c>
      <c r="O140" s="28" t="n">
        <v>2800</v>
      </c>
      <c r="P140" s="28" t="n">
        <v>29980</v>
      </c>
      <c r="Q140" s="28" t="n">
        <v>13242</v>
      </c>
      <c r="R140" s="28" t="n">
        <v>16738</v>
      </c>
      <c r="S140" s="42" t="n">
        <v>0.441694462975317</v>
      </c>
      <c r="T140" s="3" t="n">
        <v>2.951</v>
      </c>
      <c r="U140" s="3" t="n">
        <v>6</v>
      </c>
      <c r="V140" s="3" t="n">
        <v>135783.66</v>
      </c>
      <c r="W140" s="42" t="n">
        <v>0.0512</v>
      </c>
      <c r="X140" s="23" t="n">
        <v>40909</v>
      </c>
      <c r="Y140" s="3">
        <f>IF(I140="","No SIC",IFERROR(VLOOKUP(I140,Ref!$A$2:$B$65,2,FALSE()),"Unclassified"))</f>
        <v/>
      </c>
      <c r="Z140" s="3">
        <f>IF(T140="","",IF(T140&lt;12,"Daily","Weekly"))</f>
        <v/>
      </c>
      <c r="AA140" s="3">
        <f>IF(T140="",0,IF(T140&lt;12,T140*Controls!$B$13,T140*5))</f>
        <v/>
      </c>
      <c r="AB140" s="3">
        <f>IF(E140="",0,NETWORKDAYS(E140,Controls!$B$20,Ref!$K$2:$K$42))</f>
        <v/>
      </c>
      <c r="AC140" s="3">
        <f>IF(OR(AF140=1,AND(AA140&gt;0,AB140&gt;=Controls!$B$23*AA140)),1,0)</f>
        <v/>
      </c>
      <c r="AD140" s="3">
        <f>IF(AND(E140&lt;&gt;"",E140&gt;=Controls!$B$21,E140&lt;=Controls!$B$22),1,0)</f>
        <v/>
      </c>
      <c r="AE140" s="3">
        <f>IF(IFERROR(VLOOKUP(D140,Controls!$A$36:$E$46,2,FALSE()),"No")="Yes",1,0)</f>
        <v/>
      </c>
      <c r="AF140" s="3">
        <f>IF(IFERROR(VLOOKUP(D140,Controls!$A$36:$E$46,3,FALSE()),"No")="Yes",1,0)</f>
        <v/>
      </c>
      <c r="AG140" s="3">
        <f>IF(IFERROR(VLOOKUP(D140,Controls!$A$36:$E$46,4,FALSE()),"No")="Yes",1,0)</f>
        <v/>
      </c>
      <c r="AH140" s="3">
        <f>IF(IFERROR(VLOOKUP(D140,Controls!$A$36:$E$46,5,FALSE()),"No")="Yes",1,0)</f>
        <v/>
      </c>
      <c r="AI140" s="3">
        <f>IF(ISNUMBER(MATCH(D140,Controls!$A$36:$A$46,0)),1,0)</f>
        <v/>
      </c>
      <c r="AJ140" s="28">
        <f>Q140-N140</f>
        <v/>
      </c>
      <c r="AK140" s="3">
        <f>IF(AE140=1,MAX(0,N140-Q140),0)</f>
        <v/>
      </c>
      <c r="AL140" s="3">
        <f>IF(OR(V140="",V140=0),0,N140/V140)</f>
        <v/>
      </c>
      <c r="AM140" s="3">
        <f>IF(OR(V140="",V140=0),0,1)</f>
        <v/>
      </c>
      <c r="AN140" s="3">
        <f>IF(OR(E140="",F140=""),0,NETWORKDAYS(E140,F140,Ref!$K$2:$K$42))</f>
        <v/>
      </c>
      <c r="AO140" s="3">
        <f>IF(L140="Renewal",1,0)</f>
        <v/>
      </c>
      <c r="AP140" s="3">
        <f>AC140*AD140</f>
        <v/>
      </c>
      <c r="AQ140" s="3">
        <f>IF(AND(G140&lt;&gt;"",'Historical Score'!$C$6&lt;&gt;""),IF(G140='Historical Score'!$C$6,1,0),0)</f>
        <v/>
      </c>
      <c r="AR140" s="3">
        <f>IF(AND(L140&lt;&gt;"",'Historical Score'!$C$5&lt;&gt;""),IF(L140='Historical Score'!$C$5,1,0),0)</f>
        <v/>
      </c>
      <c r="AS140" s="3">
        <f>IF(AND(Y140&lt;&gt;"",'Historical Score'!$C$7&lt;&gt;""),IF(Y140='Historical Score'!$C$7,1,0),0)</f>
        <v/>
      </c>
      <c r="AT140" s="3">
        <f>IF(AND(K140&lt;&gt;"",'Historical Score'!$C$8&lt;&gt;""),IF(K140='Historical Score'!$C$8,1,0),0)</f>
        <v/>
      </c>
      <c r="AU140" s="3" t="n"/>
      <c r="AV140" s="3" t="n"/>
      <c r="AW140" s="3" t="n"/>
      <c r="AX140" s="3" t="n"/>
      <c r="AY140" s="3" t="n"/>
      <c r="AZ140" s="3" t="n"/>
      <c r="BA140" s="182">
        <f>IF(AD140=1,(AR140*'Historical Score'!$K$29+1-'Historical Score'!$K$29)*(AT140*'Historical Score'!$L$29+1-'Historical Score'!$L$29)*(AS140*'Historical Score'!$M$29+1-'Historical Score'!$M$29)*(AQ140*'Historical Score'!$N$29+1-'Historical Score'!$N$29),0)</f>
        <v/>
      </c>
      <c r="BB140" s="3" t="n"/>
      <c r="BC140" s="3" t="n"/>
    </row>
    <row r="141" ht="15.75" customHeight="1" s="174">
      <c r="A141" s="3" t="inlineStr">
        <is>
          <t>5674161160</t>
        </is>
      </c>
      <c r="B141" s="3" t="inlineStr">
        <is>
          <t>Bass Unique Services</t>
        </is>
      </c>
      <c r="C141" s="3" t="inlineStr">
        <is>
          <t>Bass Unique Services</t>
        </is>
      </c>
      <c r="D141" s="3" t="inlineStr">
        <is>
          <t>Closed</t>
        </is>
      </c>
      <c r="E141" s="23" t="n">
        <v>45841</v>
      </c>
      <c r="F141" s="23" t="n">
        <v>45903</v>
      </c>
      <c r="G141" s="3" t="n">
        <v>3</v>
      </c>
      <c r="H141" s="3" t="inlineStr">
        <is>
          <t>1521</t>
        </is>
      </c>
      <c r="I141" s="3" t="inlineStr">
        <is>
          <t>15</t>
        </is>
      </c>
      <c r="J141" s="3" t="inlineStr">
        <is>
          <t>FL</t>
        </is>
      </c>
      <c r="K141" s="3" t="inlineStr">
        <is>
          <t>WOTR Enterprise LLC</t>
        </is>
      </c>
      <c r="L141" s="3" t="inlineStr">
        <is>
          <t>New Deal</t>
        </is>
      </c>
      <c r="M141" s="3" t="n">
        <v>1.499</v>
      </c>
      <c r="N141" s="28" t="n">
        <v>10000</v>
      </c>
      <c r="O141" s="28" t="n">
        <v>1400</v>
      </c>
      <c r="P141" s="28" t="n">
        <v>14990</v>
      </c>
      <c r="Q141" s="28" t="n">
        <v>14990</v>
      </c>
      <c r="R141" s="28" t="n">
        <v>1.81898940354586e-12</v>
      </c>
      <c r="S141" s="42" t="n">
        <v>1</v>
      </c>
      <c r="T141" s="3" t="n">
        <v>2.787</v>
      </c>
      <c r="U141" s="3" t="n">
        <v>1</v>
      </c>
      <c r="V141" s="3" t="n">
        <v>56413.26</v>
      </c>
      <c r="W141" s="42" t="n">
        <v>0.06519999999999999</v>
      </c>
      <c r="X141" s="23" t="n">
        <v>43647</v>
      </c>
      <c r="Y141" s="3">
        <f>IF(I141="","No SIC",IFERROR(VLOOKUP(I141,Ref!$A$2:$B$65,2,FALSE()),"Unclassified"))</f>
        <v/>
      </c>
      <c r="Z141" s="3">
        <f>IF(T141="","",IF(T141&lt;12,"Daily","Weekly"))</f>
        <v/>
      </c>
      <c r="AA141" s="3">
        <f>IF(T141="",0,IF(T141&lt;12,T141*Controls!$B$13,T141*5))</f>
        <v/>
      </c>
      <c r="AB141" s="3">
        <f>IF(E141="",0,NETWORKDAYS(E141,Controls!$B$20,Ref!$K$2:$K$42))</f>
        <v/>
      </c>
      <c r="AC141" s="3">
        <f>IF(OR(AF141=1,AND(AA141&gt;0,AB141&gt;=Controls!$B$23*AA141)),1,0)</f>
        <v/>
      </c>
      <c r="AD141" s="3">
        <f>IF(AND(E141&lt;&gt;"",E141&gt;=Controls!$B$21,E141&lt;=Controls!$B$22),1,0)</f>
        <v/>
      </c>
      <c r="AE141" s="3">
        <f>IF(IFERROR(VLOOKUP(D141,Controls!$A$36:$E$46,2,FALSE()),"No")="Yes",1,0)</f>
        <v/>
      </c>
      <c r="AF141" s="3">
        <f>IF(IFERROR(VLOOKUP(D141,Controls!$A$36:$E$46,3,FALSE()),"No")="Yes",1,0)</f>
        <v/>
      </c>
      <c r="AG141" s="3">
        <f>IF(IFERROR(VLOOKUP(D141,Controls!$A$36:$E$46,4,FALSE()),"No")="Yes",1,0)</f>
        <v/>
      </c>
      <c r="AH141" s="3">
        <f>IF(IFERROR(VLOOKUP(D141,Controls!$A$36:$E$46,5,FALSE()),"No")="Yes",1,0)</f>
        <v/>
      </c>
      <c r="AI141" s="3">
        <f>IF(ISNUMBER(MATCH(D141,Controls!$A$36:$A$46,0)),1,0)</f>
        <v/>
      </c>
      <c r="AJ141" s="28">
        <f>Q141-N141</f>
        <v/>
      </c>
      <c r="AK141" s="3">
        <f>IF(AE141=1,MAX(0,N141-Q141),0)</f>
        <v/>
      </c>
      <c r="AL141" s="3">
        <f>IF(OR(V141="",V141=0),0,N141/V141)</f>
        <v/>
      </c>
      <c r="AM141" s="3">
        <f>IF(OR(V141="",V141=0),0,1)</f>
        <v/>
      </c>
      <c r="AN141" s="3">
        <f>IF(OR(E141="",F141=""),0,NETWORKDAYS(E141,F141,Ref!$K$2:$K$42))</f>
        <v/>
      </c>
      <c r="AO141" s="3">
        <f>IF(L141="Renewal",1,0)</f>
        <v/>
      </c>
      <c r="AP141" s="3">
        <f>AC141*AD141</f>
        <v/>
      </c>
      <c r="AQ141" s="3">
        <f>IF(AND(G141&lt;&gt;"",'Historical Score'!$C$6&lt;&gt;""),IF(G141='Historical Score'!$C$6,1,0),0)</f>
        <v/>
      </c>
      <c r="AR141" s="3">
        <f>IF(AND(L141&lt;&gt;"",'Historical Score'!$C$5&lt;&gt;""),IF(L141='Historical Score'!$C$5,1,0),0)</f>
        <v/>
      </c>
      <c r="AS141" s="3">
        <f>IF(AND(Y141&lt;&gt;"",'Historical Score'!$C$7&lt;&gt;""),IF(Y141='Historical Score'!$C$7,1,0),0)</f>
        <v/>
      </c>
      <c r="AT141" s="3">
        <f>IF(AND(K141&lt;&gt;"",'Historical Score'!$C$8&lt;&gt;""),IF(K141='Historical Score'!$C$8,1,0),0)</f>
        <v/>
      </c>
      <c r="AU141" s="3" t="n"/>
      <c r="AV141" s="3" t="n"/>
      <c r="AW141" s="3" t="n"/>
      <c r="AX141" s="3" t="n"/>
      <c r="AY141" s="3" t="n"/>
      <c r="AZ141" s="3" t="n"/>
      <c r="BA141" s="182">
        <f>IF(AD141=1,(AR141*'Historical Score'!$K$29+1-'Historical Score'!$K$29)*(AT141*'Historical Score'!$L$29+1-'Historical Score'!$L$29)*(AS141*'Historical Score'!$M$29+1-'Historical Score'!$M$29)*(AQ141*'Historical Score'!$N$29+1-'Historical Score'!$N$29),0)</f>
        <v/>
      </c>
      <c r="BB141" s="3" t="n"/>
      <c r="BC141" s="3" t="n"/>
    </row>
    <row r="142" ht="15.75" customHeight="1" s="174">
      <c r="A142" s="3" t="inlineStr">
        <is>
          <t>5674161384</t>
        </is>
      </c>
      <c r="B142" s="3" t="inlineStr">
        <is>
          <t>WILLIE'S REPAIR SERVICE</t>
        </is>
      </c>
      <c r="C142" s="3" t="inlineStr">
        <is>
          <t>Willie's Repair Service LLC</t>
        </is>
      </c>
      <c r="D142" s="3" t="inlineStr">
        <is>
          <t>Closed</t>
        </is>
      </c>
      <c r="E142" s="23" t="n">
        <v>45847</v>
      </c>
      <c r="F142" s="23" t="n">
        <v>45978</v>
      </c>
      <c r="G142" s="3" t="n">
        <v>7</v>
      </c>
      <c r="H142" s="3" t="inlineStr">
        <is>
          <t>7538</t>
        </is>
      </c>
      <c r="I142" s="3" t="inlineStr">
        <is>
          <t>75</t>
        </is>
      </c>
      <c r="J142" s="3" t="inlineStr">
        <is>
          <t>VA</t>
        </is>
      </c>
      <c r="K142" s="3" t="inlineStr">
        <is>
          <t>ROYAL FUNDING GROUP</t>
        </is>
      </c>
      <c r="L142" s="3" t="inlineStr">
        <is>
          <t>Renewal</t>
        </is>
      </c>
      <c r="M142" s="3" t="n">
        <v>1.49</v>
      </c>
      <c r="N142" s="28" t="n">
        <v>14000</v>
      </c>
      <c r="O142" s="28" t="n">
        <v>1960</v>
      </c>
      <c r="P142" s="28" t="n">
        <v>20860</v>
      </c>
      <c r="Q142" s="28" t="n">
        <v>20860</v>
      </c>
      <c r="R142" s="28" t="n">
        <v>0</v>
      </c>
      <c r="S142" s="42" t="n">
        <v>1</v>
      </c>
      <c r="T142" s="3" t="n">
        <v>2.951</v>
      </c>
      <c r="U142" s="3" t="n">
        <v>0</v>
      </c>
      <c r="V142" s="3" t="n">
        <v>36539.21</v>
      </c>
      <c r="W142" s="42" t="n">
        <v>0.1332</v>
      </c>
      <c r="X142" s="23" t="n">
        <v>30767</v>
      </c>
      <c r="Y142" s="3">
        <f>IF(I142="","No SIC",IFERROR(VLOOKUP(I142,Ref!$A$2:$B$65,2,FALSE()),"Unclassified"))</f>
        <v/>
      </c>
      <c r="Z142" s="3">
        <f>IF(T142="","",IF(T142&lt;12,"Daily","Weekly"))</f>
        <v/>
      </c>
      <c r="AA142" s="3">
        <f>IF(T142="",0,IF(T142&lt;12,T142*Controls!$B$13,T142*5))</f>
        <v/>
      </c>
      <c r="AB142" s="3">
        <f>IF(E142="",0,NETWORKDAYS(E142,Controls!$B$20,Ref!$K$2:$K$42))</f>
        <v/>
      </c>
      <c r="AC142" s="3">
        <f>IF(OR(AF142=1,AND(AA142&gt;0,AB142&gt;=Controls!$B$23*AA142)),1,0)</f>
        <v/>
      </c>
      <c r="AD142" s="3">
        <f>IF(AND(E142&lt;&gt;"",E142&gt;=Controls!$B$21,E142&lt;=Controls!$B$22),1,0)</f>
        <v/>
      </c>
      <c r="AE142" s="3">
        <f>IF(IFERROR(VLOOKUP(D142,Controls!$A$36:$E$46,2,FALSE()),"No")="Yes",1,0)</f>
        <v/>
      </c>
      <c r="AF142" s="3">
        <f>IF(IFERROR(VLOOKUP(D142,Controls!$A$36:$E$46,3,FALSE()),"No")="Yes",1,0)</f>
        <v/>
      </c>
      <c r="AG142" s="3">
        <f>IF(IFERROR(VLOOKUP(D142,Controls!$A$36:$E$46,4,FALSE()),"No")="Yes",1,0)</f>
        <v/>
      </c>
      <c r="AH142" s="3">
        <f>IF(IFERROR(VLOOKUP(D142,Controls!$A$36:$E$46,5,FALSE()),"No")="Yes",1,0)</f>
        <v/>
      </c>
      <c r="AI142" s="3">
        <f>IF(ISNUMBER(MATCH(D142,Controls!$A$36:$A$46,0)),1,0)</f>
        <v/>
      </c>
      <c r="AJ142" s="28">
        <f>Q142-N142</f>
        <v/>
      </c>
      <c r="AK142" s="3">
        <f>IF(AE142=1,MAX(0,N142-Q142),0)</f>
        <v/>
      </c>
      <c r="AL142" s="3">
        <f>IF(OR(V142="",V142=0),0,N142/V142)</f>
        <v/>
      </c>
      <c r="AM142" s="3">
        <f>IF(OR(V142="",V142=0),0,1)</f>
        <v/>
      </c>
      <c r="AN142" s="3">
        <f>IF(OR(E142="",F142=""),0,NETWORKDAYS(E142,F142,Ref!$K$2:$K$42))</f>
        <v/>
      </c>
      <c r="AO142" s="3">
        <f>IF(L142="Renewal",1,0)</f>
        <v/>
      </c>
      <c r="AP142" s="3">
        <f>AC142*AD142</f>
        <v/>
      </c>
      <c r="AQ142" s="3">
        <f>IF(AND(G142&lt;&gt;"",'Historical Score'!$C$6&lt;&gt;""),IF(G142='Historical Score'!$C$6,1,0),0)</f>
        <v/>
      </c>
      <c r="AR142" s="3">
        <f>IF(AND(L142&lt;&gt;"",'Historical Score'!$C$5&lt;&gt;""),IF(L142='Historical Score'!$C$5,1,0),0)</f>
        <v/>
      </c>
      <c r="AS142" s="3">
        <f>IF(AND(Y142&lt;&gt;"",'Historical Score'!$C$7&lt;&gt;""),IF(Y142='Historical Score'!$C$7,1,0),0)</f>
        <v/>
      </c>
      <c r="AT142" s="3">
        <f>IF(AND(K142&lt;&gt;"",'Historical Score'!$C$8&lt;&gt;""),IF(K142='Historical Score'!$C$8,1,0),0)</f>
        <v/>
      </c>
      <c r="AU142" s="3" t="n"/>
      <c r="AV142" s="3" t="n"/>
      <c r="AW142" s="3" t="n"/>
      <c r="AX142" s="3" t="n"/>
      <c r="AY142" s="3" t="n"/>
      <c r="AZ142" s="3" t="n"/>
      <c r="BA142" s="182">
        <f>IF(AD142=1,(AR142*'Historical Score'!$K$29+1-'Historical Score'!$K$29)*(AT142*'Historical Score'!$L$29+1-'Historical Score'!$L$29)*(AS142*'Historical Score'!$M$29+1-'Historical Score'!$M$29)*(AQ142*'Historical Score'!$N$29+1-'Historical Score'!$N$29),0)</f>
        <v/>
      </c>
      <c r="BB142" s="3" t="n"/>
      <c r="BC142" s="3" t="n"/>
    </row>
    <row r="143" ht="15.75" customHeight="1" s="174">
      <c r="A143" s="3" t="inlineStr">
        <is>
          <t>5674161657</t>
        </is>
      </c>
      <c r="B143" s="3" t="inlineStr">
        <is>
          <t>2SISTERS CLEANING &amp; CARPET CLEANING: SERVICES</t>
        </is>
      </c>
      <c r="C143" s="3" t="inlineStr">
        <is>
          <t>2SISTERS CLEANING &amp; CARPET CLEANING: SERVICES</t>
        </is>
      </c>
      <c r="D143" s="3" t="inlineStr">
        <is>
          <t>Closed</t>
        </is>
      </c>
      <c r="E143" s="23" t="n">
        <v>45849</v>
      </c>
      <c r="F143" s="23" t="n">
        <v>45936</v>
      </c>
      <c r="G143" s="3" t="n">
        <v>1</v>
      </c>
      <c r="H143" s="3" t="inlineStr">
        <is>
          <t>7349</t>
        </is>
      </c>
      <c r="I143" s="3" t="inlineStr">
        <is>
          <t>73</t>
        </is>
      </c>
      <c r="J143" s="3" t="inlineStr">
        <is>
          <t>WI</t>
        </is>
      </c>
      <c r="K143" s="3" t="inlineStr">
        <is>
          <t>Premium Capital (AMRK)</t>
        </is>
      </c>
      <c r="L143" s="3" t="inlineStr">
        <is>
          <t>New Deal</t>
        </is>
      </c>
      <c r="M143" s="3" t="n">
        <v>1.499</v>
      </c>
      <c r="N143" s="28" t="n">
        <v>5000</v>
      </c>
      <c r="O143" s="28" t="n">
        <v>700</v>
      </c>
      <c r="P143" s="28" t="n">
        <v>7495</v>
      </c>
      <c r="Q143" s="28" t="n">
        <v>7495</v>
      </c>
      <c r="R143" s="28" t="n">
        <v>9.09494701772928e-13</v>
      </c>
      <c r="S143" s="42" t="n">
        <v>1</v>
      </c>
      <c r="T143" s="3" t="n">
        <v>1.967</v>
      </c>
      <c r="U143" s="3" t="n">
        <v>0</v>
      </c>
      <c r="V143" s="3" t="n">
        <v>23587.47</v>
      </c>
      <c r="W143" s="42" t="n">
        <v>0.1105</v>
      </c>
      <c r="X143" s="23" t="n">
        <v>45849</v>
      </c>
      <c r="Y143" s="3">
        <f>IF(I143="","No SIC",IFERROR(VLOOKUP(I143,Ref!$A$2:$B$65,2,FALSE()),"Unclassified"))</f>
        <v/>
      </c>
      <c r="Z143" s="3">
        <f>IF(T143="","",IF(T143&lt;12,"Daily","Weekly"))</f>
        <v/>
      </c>
      <c r="AA143" s="3">
        <f>IF(T143="",0,IF(T143&lt;12,T143*Controls!$B$13,T143*5))</f>
        <v/>
      </c>
      <c r="AB143" s="3">
        <f>IF(E143="",0,NETWORKDAYS(E143,Controls!$B$20,Ref!$K$2:$K$42))</f>
        <v/>
      </c>
      <c r="AC143" s="3">
        <f>IF(OR(AF143=1,AND(AA143&gt;0,AB143&gt;=Controls!$B$23*AA143)),1,0)</f>
        <v/>
      </c>
      <c r="AD143" s="3">
        <f>IF(AND(E143&lt;&gt;"",E143&gt;=Controls!$B$21,E143&lt;=Controls!$B$22),1,0)</f>
        <v/>
      </c>
      <c r="AE143" s="3">
        <f>IF(IFERROR(VLOOKUP(D143,Controls!$A$36:$E$46,2,FALSE()),"No")="Yes",1,0)</f>
        <v/>
      </c>
      <c r="AF143" s="3">
        <f>IF(IFERROR(VLOOKUP(D143,Controls!$A$36:$E$46,3,FALSE()),"No")="Yes",1,0)</f>
        <v/>
      </c>
      <c r="AG143" s="3">
        <f>IF(IFERROR(VLOOKUP(D143,Controls!$A$36:$E$46,4,FALSE()),"No")="Yes",1,0)</f>
        <v/>
      </c>
      <c r="AH143" s="3">
        <f>IF(IFERROR(VLOOKUP(D143,Controls!$A$36:$E$46,5,FALSE()),"No")="Yes",1,0)</f>
        <v/>
      </c>
      <c r="AI143" s="3">
        <f>IF(ISNUMBER(MATCH(D143,Controls!$A$36:$A$46,0)),1,0)</f>
        <v/>
      </c>
      <c r="AJ143" s="28">
        <f>Q143-N143</f>
        <v/>
      </c>
      <c r="AK143" s="3">
        <f>IF(AE143=1,MAX(0,N143-Q143),0)</f>
        <v/>
      </c>
      <c r="AL143" s="3">
        <f>IF(OR(V143="",V143=0),0,N143/V143)</f>
        <v/>
      </c>
      <c r="AM143" s="3">
        <f>IF(OR(V143="",V143=0),0,1)</f>
        <v/>
      </c>
      <c r="AN143" s="3">
        <f>IF(OR(E143="",F143=""),0,NETWORKDAYS(E143,F143,Ref!$K$2:$K$42))</f>
        <v/>
      </c>
      <c r="AO143" s="3">
        <f>IF(L143="Renewal",1,0)</f>
        <v/>
      </c>
      <c r="AP143" s="3">
        <f>AC143*AD143</f>
        <v/>
      </c>
      <c r="AQ143" s="3">
        <f>IF(AND(G143&lt;&gt;"",'Historical Score'!$C$6&lt;&gt;""),IF(G143='Historical Score'!$C$6,1,0),0)</f>
        <v/>
      </c>
      <c r="AR143" s="3">
        <f>IF(AND(L143&lt;&gt;"",'Historical Score'!$C$5&lt;&gt;""),IF(L143='Historical Score'!$C$5,1,0),0)</f>
        <v/>
      </c>
      <c r="AS143" s="3">
        <f>IF(AND(Y143&lt;&gt;"",'Historical Score'!$C$7&lt;&gt;""),IF(Y143='Historical Score'!$C$7,1,0),0)</f>
        <v/>
      </c>
      <c r="AT143" s="3">
        <f>IF(AND(K143&lt;&gt;"",'Historical Score'!$C$8&lt;&gt;""),IF(K143='Historical Score'!$C$8,1,0),0)</f>
        <v/>
      </c>
      <c r="AU143" s="3" t="n"/>
      <c r="AV143" s="3" t="n"/>
      <c r="AW143" s="3" t="n"/>
      <c r="AX143" s="3" t="n"/>
      <c r="AY143" s="3" t="n"/>
      <c r="AZ143" s="3" t="n"/>
      <c r="BA143" s="182">
        <f>IF(AD143=1,(AR143*'Historical Score'!$K$29+1-'Historical Score'!$K$29)*(AT143*'Historical Score'!$L$29+1-'Historical Score'!$L$29)*(AS143*'Historical Score'!$M$29+1-'Historical Score'!$M$29)*(AQ143*'Historical Score'!$N$29+1-'Historical Score'!$N$29),0)</f>
        <v/>
      </c>
      <c r="BB143" s="3" t="n"/>
      <c r="BC143" s="3" t="n"/>
    </row>
    <row r="144" ht="15.75" customHeight="1" s="174">
      <c r="A144" s="3" t="inlineStr">
        <is>
          <t>5674161767</t>
        </is>
      </c>
      <c r="B144" s="3" t="inlineStr">
        <is>
          <t>DESIGN CRITERIA</t>
        </is>
      </c>
      <c r="C144" s="3" t="inlineStr">
        <is>
          <t>DESIGN CRITERIA INC</t>
        </is>
      </c>
      <c r="D144" s="3" t="inlineStr">
        <is>
          <t>Legal</t>
        </is>
      </c>
      <c r="E144" s="23" t="n">
        <v>45853</v>
      </c>
      <c r="F144" s="23" t="n">
        <v>45930</v>
      </c>
      <c r="G144" s="3" t="n">
        <v>3</v>
      </c>
      <c r="H144" s="3" t="inlineStr">
        <is>
          <t>3612</t>
        </is>
      </c>
      <c r="I144" s="3" t="inlineStr">
        <is>
          <t>36</t>
        </is>
      </c>
      <c r="J144" s="3" t="inlineStr">
        <is>
          <t>UT</t>
        </is>
      </c>
      <c r="K144" s="3" t="inlineStr">
        <is>
          <t>United Secured Capital 8</t>
        </is>
      </c>
      <c r="L144" s="3" t="inlineStr">
        <is>
          <t>New Deal</t>
        </is>
      </c>
      <c r="M144" s="3" t="n">
        <v>1.499</v>
      </c>
      <c r="N144" s="28" t="n">
        <v>60000</v>
      </c>
      <c r="O144" s="28" t="n">
        <v>0</v>
      </c>
      <c r="P144" s="28" t="n">
        <v>89940</v>
      </c>
      <c r="Q144" s="28" t="n">
        <v>12078.1</v>
      </c>
      <c r="R144" s="28" t="n">
        <v>77861.89999999999</v>
      </c>
      <c r="S144" s="42" t="n">
        <v>0.134290638203247</v>
      </c>
      <c r="T144" s="3" t="n">
        <v>4.59</v>
      </c>
      <c r="U144" s="3" t="n">
        <v>6</v>
      </c>
      <c r="V144" s="3" t="n">
        <v>76319.47</v>
      </c>
      <c r="W144" s="42" t="n">
        <v>0.1757</v>
      </c>
      <c r="X144" s="23" t="n">
        <v>44632</v>
      </c>
      <c r="Y144" s="3">
        <f>IF(I144="","No SIC",IFERROR(VLOOKUP(I144,Ref!$A$2:$B$65,2,FALSE()),"Unclassified"))</f>
        <v/>
      </c>
      <c r="Z144" s="3">
        <f>IF(T144="","",IF(T144&lt;12,"Daily","Weekly"))</f>
        <v/>
      </c>
      <c r="AA144" s="3">
        <f>IF(T144="",0,IF(T144&lt;12,T144*Controls!$B$13,T144*5))</f>
        <v/>
      </c>
      <c r="AB144" s="3">
        <f>IF(E144="",0,NETWORKDAYS(E144,Controls!$B$20,Ref!$K$2:$K$42))</f>
        <v/>
      </c>
      <c r="AC144" s="3">
        <f>IF(OR(AF144=1,AND(AA144&gt;0,AB144&gt;=Controls!$B$23*AA144)),1,0)</f>
        <v/>
      </c>
      <c r="AD144" s="3">
        <f>IF(AND(E144&lt;&gt;"",E144&gt;=Controls!$B$21,E144&lt;=Controls!$B$22),1,0)</f>
        <v/>
      </c>
      <c r="AE144" s="3">
        <f>IF(IFERROR(VLOOKUP(D144,Controls!$A$36:$E$46,2,FALSE()),"No")="Yes",1,0)</f>
        <v/>
      </c>
      <c r="AF144" s="3">
        <f>IF(IFERROR(VLOOKUP(D144,Controls!$A$36:$E$46,3,FALSE()),"No")="Yes",1,0)</f>
        <v/>
      </c>
      <c r="AG144" s="3">
        <f>IF(IFERROR(VLOOKUP(D144,Controls!$A$36:$E$46,4,FALSE()),"No")="Yes",1,0)</f>
        <v/>
      </c>
      <c r="AH144" s="3">
        <f>IF(IFERROR(VLOOKUP(D144,Controls!$A$36:$E$46,5,FALSE()),"No")="Yes",1,0)</f>
        <v/>
      </c>
      <c r="AI144" s="3">
        <f>IF(ISNUMBER(MATCH(D144,Controls!$A$36:$A$46,0)),1,0)</f>
        <v/>
      </c>
      <c r="AJ144" s="28">
        <f>Q144-N144</f>
        <v/>
      </c>
      <c r="AK144" s="3">
        <f>IF(AE144=1,MAX(0,N144-Q144),0)</f>
        <v/>
      </c>
      <c r="AL144" s="3">
        <f>IF(OR(V144="",V144=0),0,N144/V144)</f>
        <v/>
      </c>
      <c r="AM144" s="3">
        <f>IF(OR(V144="",V144=0),0,1)</f>
        <v/>
      </c>
      <c r="AN144" s="3">
        <f>IF(OR(E144="",F144=""),0,NETWORKDAYS(E144,F144,Ref!$K$2:$K$42))</f>
        <v/>
      </c>
      <c r="AO144" s="3">
        <f>IF(L144="Renewal",1,0)</f>
        <v/>
      </c>
      <c r="AP144" s="3">
        <f>AC144*AD144</f>
        <v/>
      </c>
      <c r="AQ144" s="3">
        <f>IF(AND(G144&lt;&gt;"",'Historical Score'!$C$6&lt;&gt;""),IF(G144='Historical Score'!$C$6,1,0),0)</f>
        <v/>
      </c>
      <c r="AR144" s="3">
        <f>IF(AND(L144&lt;&gt;"",'Historical Score'!$C$5&lt;&gt;""),IF(L144='Historical Score'!$C$5,1,0),0)</f>
        <v/>
      </c>
      <c r="AS144" s="3">
        <f>IF(AND(Y144&lt;&gt;"",'Historical Score'!$C$7&lt;&gt;""),IF(Y144='Historical Score'!$C$7,1,0),0)</f>
        <v/>
      </c>
      <c r="AT144" s="3">
        <f>IF(AND(K144&lt;&gt;"",'Historical Score'!$C$8&lt;&gt;""),IF(K144='Historical Score'!$C$8,1,0),0)</f>
        <v/>
      </c>
      <c r="AU144" s="3" t="n"/>
      <c r="AV144" s="3" t="n"/>
      <c r="AW144" s="3" t="n"/>
      <c r="AX144" s="3" t="n"/>
      <c r="AY144" s="3" t="n"/>
      <c r="AZ144" s="3" t="n"/>
      <c r="BA144" s="182">
        <f>IF(AD144=1,(AR144*'Historical Score'!$K$29+1-'Historical Score'!$K$29)*(AT144*'Historical Score'!$L$29+1-'Historical Score'!$L$29)*(AS144*'Historical Score'!$M$29+1-'Historical Score'!$M$29)*(AQ144*'Historical Score'!$N$29+1-'Historical Score'!$N$29),0)</f>
        <v/>
      </c>
      <c r="BB144" s="3" t="n"/>
      <c r="BC144" s="3" t="n"/>
    </row>
    <row r="145" ht="15.75" customHeight="1" s="174">
      <c r="A145" s="3" t="inlineStr">
        <is>
          <t>5674161805</t>
        </is>
      </c>
      <c r="B145" s="3" t="inlineStr">
        <is>
          <t>41 master service</t>
        </is>
      </c>
      <c r="C145" s="3" t="inlineStr">
        <is>
          <t>41 master service</t>
        </is>
      </c>
      <c r="D145" s="3" t="inlineStr">
        <is>
          <t>Legal</t>
        </is>
      </c>
      <c r="E145" s="23" t="n">
        <v>45853</v>
      </c>
      <c r="F145" s="23" t="n">
        <v>45867</v>
      </c>
      <c r="G145" s="3" t="n">
        <v>3</v>
      </c>
      <c r="H145" s="3" t="inlineStr">
        <is>
          <t>3639</t>
        </is>
      </c>
      <c r="I145" s="3" t="inlineStr">
        <is>
          <t>36</t>
        </is>
      </c>
      <c r="J145" s="3" t="inlineStr">
        <is>
          <t>FL</t>
        </is>
      </c>
      <c r="K145" s="3" t="inlineStr">
        <is>
          <t>True Path Funding</t>
        </is>
      </c>
      <c r="L145" s="3" t="inlineStr">
        <is>
          <t>New Deal</t>
        </is>
      </c>
      <c r="M145" s="3" t="n">
        <v>1.499</v>
      </c>
      <c r="N145" s="28" t="n">
        <v>4000</v>
      </c>
      <c r="O145" s="28" t="n">
        <v>560</v>
      </c>
      <c r="P145" s="28" t="n">
        <v>5996</v>
      </c>
      <c r="Q145" s="28" t="n">
        <v>-344.32</v>
      </c>
      <c r="R145" s="28" t="n">
        <v>6340.32</v>
      </c>
      <c r="S145" s="42" t="n">
        <v>-0.0574249499666444</v>
      </c>
      <c r="T145" s="3" t="n">
        <v>2.295</v>
      </c>
      <c r="U145" s="3" t="n">
        <v>6</v>
      </c>
      <c r="V145" s="3" t="n">
        <v>29071.64</v>
      </c>
      <c r="W145" s="42" t="n">
        <v>0.0611</v>
      </c>
      <c r="X145" s="23" t="n"/>
      <c r="Y145" s="3">
        <f>IF(I145="","No SIC",IFERROR(VLOOKUP(I145,Ref!$A$2:$B$65,2,FALSE()),"Unclassified"))</f>
        <v/>
      </c>
      <c r="Z145" s="3">
        <f>IF(T145="","",IF(T145&lt;12,"Daily","Weekly"))</f>
        <v/>
      </c>
      <c r="AA145" s="3">
        <f>IF(T145="",0,IF(T145&lt;12,T145*Controls!$B$13,T145*5))</f>
        <v/>
      </c>
      <c r="AB145" s="3">
        <f>IF(E145="",0,NETWORKDAYS(E145,Controls!$B$20,Ref!$K$2:$K$42))</f>
        <v/>
      </c>
      <c r="AC145" s="3">
        <f>IF(OR(AF145=1,AND(AA145&gt;0,AB145&gt;=Controls!$B$23*AA145)),1,0)</f>
        <v/>
      </c>
      <c r="AD145" s="3">
        <f>IF(AND(E145&lt;&gt;"",E145&gt;=Controls!$B$21,E145&lt;=Controls!$B$22),1,0)</f>
        <v/>
      </c>
      <c r="AE145" s="3">
        <f>IF(IFERROR(VLOOKUP(D145,Controls!$A$36:$E$46,2,FALSE()),"No")="Yes",1,0)</f>
        <v/>
      </c>
      <c r="AF145" s="3">
        <f>IF(IFERROR(VLOOKUP(D145,Controls!$A$36:$E$46,3,FALSE()),"No")="Yes",1,0)</f>
        <v/>
      </c>
      <c r="AG145" s="3">
        <f>IF(IFERROR(VLOOKUP(D145,Controls!$A$36:$E$46,4,FALSE()),"No")="Yes",1,0)</f>
        <v/>
      </c>
      <c r="AH145" s="3">
        <f>IF(IFERROR(VLOOKUP(D145,Controls!$A$36:$E$46,5,FALSE()),"No")="Yes",1,0)</f>
        <v/>
      </c>
      <c r="AI145" s="3">
        <f>IF(ISNUMBER(MATCH(D145,Controls!$A$36:$A$46,0)),1,0)</f>
        <v/>
      </c>
      <c r="AJ145" s="28">
        <f>Q145-N145</f>
        <v/>
      </c>
      <c r="AK145" s="3">
        <f>IF(AE145=1,MAX(0,N145-Q145),0)</f>
        <v/>
      </c>
      <c r="AL145" s="3">
        <f>IF(OR(V145="",V145=0),0,N145/V145)</f>
        <v/>
      </c>
      <c r="AM145" s="3">
        <f>IF(OR(V145="",V145=0),0,1)</f>
        <v/>
      </c>
      <c r="AN145" s="3">
        <f>IF(OR(E145="",F145=""),0,NETWORKDAYS(E145,F145,Ref!$K$2:$K$42))</f>
        <v/>
      </c>
      <c r="AO145" s="3">
        <f>IF(L145="Renewal",1,0)</f>
        <v/>
      </c>
      <c r="AP145" s="3">
        <f>AC145*AD145</f>
        <v/>
      </c>
      <c r="AQ145" s="3">
        <f>IF(AND(G145&lt;&gt;"",'Historical Score'!$C$6&lt;&gt;""),IF(G145='Historical Score'!$C$6,1,0),0)</f>
        <v/>
      </c>
      <c r="AR145" s="3">
        <f>IF(AND(L145&lt;&gt;"",'Historical Score'!$C$5&lt;&gt;""),IF(L145='Historical Score'!$C$5,1,0),0)</f>
        <v/>
      </c>
      <c r="AS145" s="3">
        <f>IF(AND(Y145&lt;&gt;"",'Historical Score'!$C$7&lt;&gt;""),IF(Y145='Historical Score'!$C$7,1,0),0)</f>
        <v/>
      </c>
      <c r="AT145" s="3">
        <f>IF(AND(K145&lt;&gt;"",'Historical Score'!$C$8&lt;&gt;""),IF(K145='Historical Score'!$C$8,1,0),0)</f>
        <v/>
      </c>
      <c r="AU145" s="3" t="n"/>
      <c r="AV145" s="3" t="n"/>
      <c r="AW145" s="3" t="n"/>
      <c r="AX145" s="3" t="n"/>
      <c r="AY145" s="3" t="n"/>
      <c r="AZ145" s="3" t="n"/>
      <c r="BA145" s="182">
        <f>IF(AD145=1,(AR145*'Historical Score'!$K$29+1-'Historical Score'!$K$29)*(AT145*'Historical Score'!$L$29+1-'Historical Score'!$L$29)*(AS145*'Historical Score'!$M$29+1-'Historical Score'!$M$29)*(AQ145*'Historical Score'!$N$29+1-'Historical Score'!$N$29),0)</f>
        <v/>
      </c>
      <c r="BB145" s="3" t="n"/>
      <c r="BC145" s="3" t="n"/>
    </row>
    <row r="146" ht="15.75" customHeight="1" s="174">
      <c r="A146" s="3" t="inlineStr">
        <is>
          <t>5674161807</t>
        </is>
      </c>
      <c r="B146" s="3" t="inlineStr">
        <is>
          <t>Chivo's Pizza LLC</t>
        </is>
      </c>
      <c r="C146" s="3" t="inlineStr">
        <is>
          <t>Chivo's Pizza LLC</t>
        </is>
      </c>
      <c r="D146" s="3" t="inlineStr">
        <is>
          <t>Legal</t>
        </is>
      </c>
      <c r="E146" s="23" t="n">
        <v>45853</v>
      </c>
      <c r="F146" s="23" t="n">
        <v>45953</v>
      </c>
      <c r="G146" s="3" t="n">
        <v>3</v>
      </c>
      <c r="H146" s="3" t="inlineStr">
        <is>
          <t>5812</t>
        </is>
      </c>
      <c r="I146" s="3" t="inlineStr">
        <is>
          <t>58</t>
        </is>
      </c>
      <c r="J146" s="3" t="inlineStr">
        <is>
          <t>IN</t>
        </is>
      </c>
      <c r="K146" s="3" t="inlineStr">
        <is>
          <t>Premium Capital (AMRK)</t>
        </is>
      </c>
      <c r="L146" s="3" t="inlineStr">
        <is>
          <t>New Deal</t>
        </is>
      </c>
      <c r="M146" s="3" t="n">
        <v>1.49</v>
      </c>
      <c r="N146" s="28" t="n">
        <v>15000</v>
      </c>
      <c r="O146" s="28" t="n">
        <v>2100</v>
      </c>
      <c r="P146" s="28" t="n">
        <v>22350</v>
      </c>
      <c r="Q146" s="28" t="n">
        <v>13612.39</v>
      </c>
      <c r="R146" s="28" t="n">
        <v>8737.610000000001</v>
      </c>
      <c r="S146" s="42" t="n">
        <v>0.60905548098434</v>
      </c>
      <c r="T146" s="3" t="n">
        <v>3.607</v>
      </c>
      <c r="U146" s="3" t="n">
        <v>3</v>
      </c>
      <c r="V146" s="3" t="n">
        <v>35057.41</v>
      </c>
      <c r="W146" s="42" t="n">
        <v>0.1217</v>
      </c>
      <c r="X146" s="23" t="n"/>
      <c r="Y146" s="3">
        <f>IF(I146="","No SIC",IFERROR(VLOOKUP(I146,Ref!$A$2:$B$65,2,FALSE()),"Unclassified"))</f>
        <v/>
      </c>
      <c r="Z146" s="3">
        <f>IF(T146="","",IF(T146&lt;12,"Daily","Weekly"))</f>
        <v/>
      </c>
      <c r="AA146" s="3">
        <f>IF(T146="",0,IF(T146&lt;12,T146*Controls!$B$13,T146*5))</f>
        <v/>
      </c>
      <c r="AB146" s="3">
        <f>IF(E146="",0,NETWORKDAYS(E146,Controls!$B$20,Ref!$K$2:$K$42))</f>
        <v/>
      </c>
      <c r="AC146" s="3">
        <f>IF(OR(AF146=1,AND(AA146&gt;0,AB146&gt;=Controls!$B$23*AA146)),1,0)</f>
        <v/>
      </c>
      <c r="AD146" s="3">
        <f>IF(AND(E146&lt;&gt;"",E146&gt;=Controls!$B$21,E146&lt;=Controls!$B$22),1,0)</f>
        <v/>
      </c>
      <c r="AE146" s="3">
        <f>IF(IFERROR(VLOOKUP(D146,Controls!$A$36:$E$46,2,FALSE()),"No")="Yes",1,0)</f>
        <v/>
      </c>
      <c r="AF146" s="3">
        <f>IF(IFERROR(VLOOKUP(D146,Controls!$A$36:$E$46,3,FALSE()),"No")="Yes",1,0)</f>
        <v/>
      </c>
      <c r="AG146" s="3">
        <f>IF(IFERROR(VLOOKUP(D146,Controls!$A$36:$E$46,4,FALSE()),"No")="Yes",1,0)</f>
        <v/>
      </c>
      <c r="AH146" s="3">
        <f>IF(IFERROR(VLOOKUP(D146,Controls!$A$36:$E$46,5,FALSE()),"No")="Yes",1,0)</f>
        <v/>
      </c>
      <c r="AI146" s="3">
        <f>IF(ISNUMBER(MATCH(D146,Controls!$A$36:$A$46,0)),1,0)</f>
        <v/>
      </c>
      <c r="AJ146" s="28">
        <f>Q146-N146</f>
        <v/>
      </c>
      <c r="AK146" s="3">
        <f>IF(AE146=1,MAX(0,N146-Q146),0)</f>
        <v/>
      </c>
      <c r="AL146" s="3">
        <f>IF(OR(V146="",V146=0),0,N146/V146)</f>
        <v/>
      </c>
      <c r="AM146" s="3">
        <f>IF(OR(V146="",V146=0),0,1)</f>
        <v/>
      </c>
      <c r="AN146" s="3">
        <f>IF(OR(E146="",F146=""),0,NETWORKDAYS(E146,F146,Ref!$K$2:$K$42))</f>
        <v/>
      </c>
      <c r="AO146" s="3">
        <f>IF(L146="Renewal",1,0)</f>
        <v/>
      </c>
      <c r="AP146" s="3">
        <f>AC146*AD146</f>
        <v/>
      </c>
      <c r="AQ146" s="3">
        <f>IF(AND(G146&lt;&gt;"",'Historical Score'!$C$6&lt;&gt;""),IF(G146='Historical Score'!$C$6,1,0),0)</f>
        <v/>
      </c>
      <c r="AR146" s="3">
        <f>IF(AND(L146&lt;&gt;"",'Historical Score'!$C$5&lt;&gt;""),IF(L146='Historical Score'!$C$5,1,0),0)</f>
        <v/>
      </c>
      <c r="AS146" s="3">
        <f>IF(AND(Y146&lt;&gt;"",'Historical Score'!$C$7&lt;&gt;""),IF(Y146='Historical Score'!$C$7,1,0),0)</f>
        <v/>
      </c>
      <c r="AT146" s="3">
        <f>IF(AND(K146&lt;&gt;"",'Historical Score'!$C$8&lt;&gt;""),IF(K146='Historical Score'!$C$8,1,0),0)</f>
        <v/>
      </c>
      <c r="AU146" s="3" t="n"/>
      <c r="AV146" s="3" t="n"/>
      <c r="AW146" s="3" t="n"/>
      <c r="AX146" s="3" t="n"/>
      <c r="AY146" s="3" t="n"/>
      <c r="AZ146" s="3" t="n"/>
      <c r="BA146" s="182">
        <f>IF(AD146=1,(AR146*'Historical Score'!$K$29+1-'Historical Score'!$K$29)*(AT146*'Historical Score'!$L$29+1-'Historical Score'!$L$29)*(AS146*'Historical Score'!$M$29+1-'Historical Score'!$M$29)*(AQ146*'Historical Score'!$N$29+1-'Historical Score'!$N$29),0)</f>
        <v/>
      </c>
      <c r="BB146" s="3" t="n"/>
      <c r="BC146" s="3" t="n"/>
    </row>
    <row r="147" ht="15.75" customHeight="1" s="174">
      <c r="A147" s="3" t="inlineStr">
        <is>
          <t>5674161813</t>
        </is>
      </c>
      <c r="B147" s="3" t="inlineStr">
        <is>
          <t>MOOR HERBS MARKETPLACE</t>
        </is>
      </c>
      <c r="C147" s="3" t="inlineStr">
        <is>
          <t>THE MOORISH SCIENCE - TEMPLE THE DIVINE AND NATIONAL MOVEMENT OF NORTH AMERICA INC</t>
        </is>
      </c>
      <c r="D147" s="3" t="inlineStr">
        <is>
          <t>Closed</t>
        </is>
      </c>
      <c r="E147" s="23" t="n">
        <v>45853</v>
      </c>
      <c r="F147" s="23" t="n">
        <v>45904</v>
      </c>
      <c r="G147" s="3" t="n">
        <v>4</v>
      </c>
      <c r="H147" s="3" t="inlineStr">
        <is>
          <t>5812</t>
        </is>
      </c>
      <c r="I147" s="3" t="inlineStr">
        <is>
          <t>58</t>
        </is>
      </c>
      <c r="J147" s="3" t="inlineStr">
        <is>
          <t>MI</t>
        </is>
      </c>
      <c r="K147" s="3" t="inlineStr">
        <is>
          <t>United Secured Capital 8</t>
        </is>
      </c>
      <c r="L147" s="3" t="inlineStr">
        <is>
          <t>New Deal</t>
        </is>
      </c>
      <c r="M147" s="3" t="n">
        <v>1.5</v>
      </c>
      <c r="N147" s="28" t="n">
        <v>15000</v>
      </c>
      <c r="O147" s="28" t="n">
        <v>2100</v>
      </c>
      <c r="P147" s="28" t="n">
        <v>22500</v>
      </c>
      <c r="Q147" s="28" t="n">
        <v>22500</v>
      </c>
      <c r="R147" s="28" t="n">
        <v>0</v>
      </c>
      <c r="S147" s="42" t="n">
        <v>1</v>
      </c>
      <c r="T147" s="3" t="n">
        <v>2.295</v>
      </c>
      <c r="U147" s="3" t="n">
        <v>0</v>
      </c>
      <c r="V147" s="3" t="n">
        <v>70657.38</v>
      </c>
      <c r="W147" s="42" t="n">
        <v>0.0949</v>
      </c>
      <c r="X147" s="23" t="n">
        <v>43221</v>
      </c>
      <c r="Y147" s="3">
        <f>IF(I147="","No SIC",IFERROR(VLOOKUP(I147,Ref!$A$2:$B$65,2,FALSE()),"Unclassified"))</f>
        <v/>
      </c>
      <c r="Z147" s="3">
        <f>IF(T147="","",IF(T147&lt;12,"Daily","Weekly"))</f>
        <v/>
      </c>
      <c r="AA147" s="3">
        <f>IF(T147="",0,IF(T147&lt;12,T147*Controls!$B$13,T147*5))</f>
        <v/>
      </c>
      <c r="AB147" s="3">
        <f>IF(E147="",0,NETWORKDAYS(E147,Controls!$B$20,Ref!$K$2:$K$42))</f>
        <v/>
      </c>
      <c r="AC147" s="3">
        <f>IF(OR(AF147=1,AND(AA147&gt;0,AB147&gt;=Controls!$B$23*AA147)),1,0)</f>
        <v/>
      </c>
      <c r="AD147" s="3">
        <f>IF(AND(E147&lt;&gt;"",E147&gt;=Controls!$B$21,E147&lt;=Controls!$B$22),1,0)</f>
        <v/>
      </c>
      <c r="AE147" s="3">
        <f>IF(IFERROR(VLOOKUP(D147,Controls!$A$36:$E$46,2,FALSE()),"No")="Yes",1,0)</f>
        <v/>
      </c>
      <c r="AF147" s="3">
        <f>IF(IFERROR(VLOOKUP(D147,Controls!$A$36:$E$46,3,FALSE()),"No")="Yes",1,0)</f>
        <v/>
      </c>
      <c r="AG147" s="3">
        <f>IF(IFERROR(VLOOKUP(D147,Controls!$A$36:$E$46,4,FALSE()),"No")="Yes",1,0)</f>
        <v/>
      </c>
      <c r="AH147" s="3">
        <f>IF(IFERROR(VLOOKUP(D147,Controls!$A$36:$E$46,5,FALSE()),"No")="Yes",1,0)</f>
        <v/>
      </c>
      <c r="AI147" s="3">
        <f>IF(ISNUMBER(MATCH(D147,Controls!$A$36:$A$46,0)),1,0)</f>
        <v/>
      </c>
      <c r="AJ147" s="28">
        <f>Q147-N147</f>
        <v/>
      </c>
      <c r="AK147" s="3">
        <f>IF(AE147=1,MAX(0,N147-Q147),0)</f>
        <v/>
      </c>
      <c r="AL147" s="3">
        <f>IF(OR(V147="",V147=0),0,N147/V147)</f>
        <v/>
      </c>
      <c r="AM147" s="3">
        <f>IF(OR(V147="",V147=0),0,1)</f>
        <v/>
      </c>
      <c r="AN147" s="3">
        <f>IF(OR(E147="",F147=""),0,NETWORKDAYS(E147,F147,Ref!$K$2:$K$42))</f>
        <v/>
      </c>
      <c r="AO147" s="3">
        <f>IF(L147="Renewal",1,0)</f>
        <v/>
      </c>
      <c r="AP147" s="3">
        <f>AC147*AD147</f>
        <v/>
      </c>
      <c r="AQ147" s="3">
        <f>IF(AND(G147&lt;&gt;"",'Historical Score'!$C$6&lt;&gt;""),IF(G147='Historical Score'!$C$6,1,0),0)</f>
        <v/>
      </c>
      <c r="AR147" s="3">
        <f>IF(AND(L147&lt;&gt;"",'Historical Score'!$C$5&lt;&gt;""),IF(L147='Historical Score'!$C$5,1,0),0)</f>
        <v/>
      </c>
      <c r="AS147" s="3">
        <f>IF(AND(Y147&lt;&gt;"",'Historical Score'!$C$7&lt;&gt;""),IF(Y147='Historical Score'!$C$7,1,0),0)</f>
        <v/>
      </c>
      <c r="AT147" s="3">
        <f>IF(AND(K147&lt;&gt;"",'Historical Score'!$C$8&lt;&gt;""),IF(K147='Historical Score'!$C$8,1,0),0)</f>
        <v/>
      </c>
      <c r="AU147" s="3" t="n"/>
      <c r="AV147" s="3" t="n"/>
      <c r="AW147" s="3" t="n"/>
      <c r="AX147" s="3" t="n"/>
      <c r="AY147" s="3" t="n"/>
      <c r="AZ147" s="3" t="n"/>
      <c r="BA147" s="182">
        <f>IF(AD147=1,(AR147*'Historical Score'!$K$29+1-'Historical Score'!$K$29)*(AT147*'Historical Score'!$L$29+1-'Historical Score'!$L$29)*(AS147*'Historical Score'!$M$29+1-'Historical Score'!$M$29)*(AQ147*'Historical Score'!$N$29+1-'Historical Score'!$N$29),0)</f>
        <v/>
      </c>
      <c r="BB147" s="3" t="n"/>
      <c r="BC147" s="3" t="n"/>
    </row>
    <row r="148" ht="15.75" customHeight="1" s="174">
      <c r="A148" s="3" t="inlineStr">
        <is>
          <t>5674161856</t>
        </is>
      </c>
      <c r="B148" s="3" t="inlineStr">
        <is>
          <t>TOWERWORX</t>
        </is>
      </c>
      <c r="C148" s="3" t="inlineStr">
        <is>
          <t>TOWERWORX LLC</t>
        </is>
      </c>
      <c r="D148" s="3" t="inlineStr">
        <is>
          <t>Closed</t>
        </is>
      </c>
      <c r="E148" s="23" t="n">
        <v>45854</v>
      </c>
      <c r="F148" s="23" t="n">
        <v>46106</v>
      </c>
      <c r="G148" s="3" t="n">
        <v>2</v>
      </c>
      <c r="H148" s="3" t="inlineStr">
        <is>
          <t>4812</t>
        </is>
      </c>
      <c r="I148" s="3" t="inlineStr">
        <is>
          <t>48</t>
        </is>
      </c>
      <c r="J148" s="3" t="inlineStr">
        <is>
          <t>TX</t>
        </is>
      </c>
      <c r="K148" s="3" t="inlineStr">
        <is>
          <t>Fidelity Funding</t>
        </is>
      </c>
      <c r="L148" s="3" t="inlineStr">
        <is>
          <t>New Deal</t>
        </is>
      </c>
      <c r="M148" s="3" t="n">
        <v>1.35</v>
      </c>
      <c r="N148" s="28" t="n">
        <v>60000</v>
      </c>
      <c r="O148" s="28" t="n">
        <v>4200</v>
      </c>
      <c r="P148" s="28" t="n">
        <v>81000</v>
      </c>
      <c r="Q148" s="28" t="n">
        <v>81000</v>
      </c>
      <c r="R148" s="28" t="n">
        <v>0</v>
      </c>
      <c r="S148" s="42" t="n">
        <v>1</v>
      </c>
      <c r="T148" s="3" t="n">
        <v>36</v>
      </c>
      <c r="U148" s="3" t="n">
        <v>0</v>
      </c>
      <c r="V148" s="3" t="n">
        <v>115748.28</v>
      </c>
      <c r="W148" s="42" t="n">
        <v>0.07779999999999999</v>
      </c>
      <c r="X148" s="23" t="n"/>
      <c r="Y148" s="3">
        <f>IF(I148="","No SIC",IFERROR(VLOOKUP(I148,Ref!$A$2:$B$65,2,FALSE()),"Unclassified"))</f>
        <v/>
      </c>
      <c r="Z148" s="3">
        <f>IF(T148="","",IF(T148&lt;12,"Daily","Weekly"))</f>
        <v/>
      </c>
      <c r="AA148" s="3">
        <f>IF(T148="",0,IF(T148&lt;12,T148*Controls!$B$13,T148*5))</f>
        <v/>
      </c>
      <c r="AB148" s="3">
        <f>IF(E148="",0,NETWORKDAYS(E148,Controls!$B$20,Ref!$K$2:$K$42))</f>
        <v/>
      </c>
      <c r="AC148" s="3">
        <f>IF(OR(AF148=1,AND(AA148&gt;0,AB148&gt;=Controls!$B$23*AA148)),1,0)</f>
        <v/>
      </c>
      <c r="AD148" s="3">
        <f>IF(AND(E148&lt;&gt;"",E148&gt;=Controls!$B$21,E148&lt;=Controls!$B$22),1,0)</f>
        <v/>
      </c>
      <c r="AE148" s="3">
        <f>IF(IFERROR(VLOOKUP(D148,Controls!$A$36:$E$46,2,FALSE()),"No")="Yes",1,0)</f>
        <v/>
      </c>
      <c r="AF148" s="3">
        <f>IF(IFERROR(VLOOKUP(D148,Controls!$A$36:$E$46,3,FALSE()),"No")="Yes",1,0)</f>
        <v/>
      </c>
      <c r="AG148" s="3">
        <f>IF(IFERROR(VLOOKUP(D148,Controls!$A$36:$E$46,4,FALSE()),"No")="Yes",1,0)</f>
        <v/>
      </c>
      <c r="AH148" s="3">
        <f>IF(IFERROR(VLOOKUP(D148,Controls!$A$36:$E$46,5,FALSE()),"No")="Yes",1,0)</f>
        <v/>
      </c>
      <c r="AI148" s="3">
        <f>IF(ISNUMBER(MATCH(D148,Controls!$A$36:$A$46,0)),1,0)</f>
        <v/>
      </c>
      <c r="AJ148" s="28">
        <f>Q148-N148</f>
        <v/>
      </c>
      <c r="AK148" s="3">
        <f>IF(AE148=1,MAX(0,N148-Q148),0)</f>
        <v/>
      </c>
      <c r="AL148" s="3">
        <f>IF(OR(V148="",V148=0),0,N148/V148)</f>
        <v/>
      </c>
      <c r="AM148" s="3">
        <f>IF(OR(V148="",V148=0),0,1)</f>
        <v/>
      </c>
      <c r="AN148" s="3">
        <f>IF(OR(E148="",F148=""),0,NETWORKDAYS(E148,F148,Ref!$K$2:$K$42))</f>
        <v/>
      </c>
      <c r="AO148" s="3">
        <f>IF(L148="Renewal",1,0)</f>
        <v/>
      </c>
      <c r="AP148" s="3">
        <f>AC148*AD148</f>
        <v/>
      </c>
      <c r="AQ148" s="3">
        <f>IF(AND(G148&lt;&gt;"",'Historical Score'!$C$6&lt;&gt;""),IF(G148='Historical Score'!$C$6,1,0),0)</f>
        <v/>
      </c>
      <c r="AR148" s="3">
        <f>IF(AND(L148&lt;&gt;"",'Historical Score'!$C$5&lt;&gt;""),IF(L148='Historical Score'!$C$5,1,0),0)</f>
        <v/>
      </c>
      <c r="AS148" s="3">
        <f>IF(AND(Y148&lt;&gt;"",'Historical Score'!$C$7&lt;&gt;""),IF(Y148='Historical Score'!$C$7,1,0),0)</f>
        <v/>
      </c>
      <c r="AT148" s="3">
        <f>IF(AND(K148&lt;&gt;"",'Historical Score'!$C$8&lt;&gt;""),IF(K148='Historical Score'!$C$8,1,0),0)</f>
        <v/>
      </c>
      <c r="AU148" s="3" t="n"/>
      <c r="AV148" s="3" t="n"/>
      <c r="AW148" s="3" t="n"/>
      <c r="AX148" s="3" t="n"/>
      <c r="AY148" s="3" t="n"/>
      <c r="AZ148" s="3" t="n"/>
      <c r="BA148" s="182">
        <f>IF(AD148=1,(AR148*'Historical Score'!$K$29+1-'Historical Score'!$K$29)*(AT148*'Historical Score'!$L$29+1-'Historical Score'!$L$29)*(AS148*'Historical Score'!$M$29+1-'Historical Score'!$M$29)*(AQ148*'Historical Score'!$N$29+1-'Historical Score'!$N$29),0)</f>
        <v/>
      </c>
      <c r="BB148" s="3" t="n"/>
      <c r="BC148" s="3" t="n"/>
    </row>
    <row r="149" ht="15.75" customHeight="1" s="174">
      <c r="A149" s="3" t="inlineStr">
        <is>
          <t>5674161998</t>
        </is>
      </c>
      <c r="B149" s="3" t="inlineStr">
        <is>
          <t>Midwest Detail And Power Wash</t>
        </is>
      </c>
      <c r="C149" s="3" t="inlineStr">
        <is>
          <t>Midwest Detail And Power Wash</t>
        </is>
      </c>
      <c r="D149" s="3" t="inlineStr">
        <is>
          <t>In House Collection</t>
        </is>
      </c>
      <c r="E149" s="23" t="n">
        <v>45855</v>
      </c>
      <c r="F149" s="23" t="n">
        <v>45883</v>
      </c>
      <c r="G149" s="3" t="n">
        <v>3</v>
      </c>
      <c r="H149" s="3" t="inlineStr">
        <is>
          <t>3271</t>
        </is>
      </c>
      <c r="I149" s="3" t="inlineStr">
        <is>
          <t>32</t>
        </is>
      </c>
      <c r="J149" s="3" t="inlineStr">
        <is>
          <t>IL</t>
        </is>
      </c>
      <c r="K149" s="3" t="inlineStr">
        <is>
          <t>CNL LOANS</t>
        </is>
      </c>
      <c r="L149" s="3" t="inlineStr">
        <is>
          <t>New Deal</t>
        </is>
      </c>
      <c r="M149" s="3" t="n">
        <v>1.499</v>
      </c>
      <c r="N149" s="28" t="n">
        <v>5000</v>
      </c>
      <c r="O149" s="28" t="n">
        <v>0</v>
      </c>
      <c r="P149" s="28" t="n">
        <v>7495</v>
      </c>
      <c r="Q149" s="28" t="n">
        <v>2109.87</v>
      </c>
      <c r="R149" s="28" t="n">
        <v>5385.13</v>
      </c>
      <c r="S149" s="42" t="n">
        <v>0.281503669112742</v>
      </c>
      <c r="T149" s="3" t="n">
        <v>1.967</v>
      </c>
      <c r="U149" s="3" t="n">
        <v>4</v>
      </c>
      <c r="V149" s="3" t="n">
        <v>39491</v>
      </c>
      <c r="W149" s="42" t="n">
        <v>0.066</v>
      </c>
      <c r="X149" s="23" t="n">
        <v>39670</v>
      </c>
      <c r="Y149" s="3">
        <f>IF(I149="","No SIC",IFERROR(VLOOKUP(I149,Ref!$A$2:$B$65,2,FALSE()),"Unclassified"))</f>
        <v/>
      </c>
      <c r="Z149" s="3">
        <f>IF(T149="","",IF(T149&lt;12,"Daily","Weekly"))</f>
        <v/>
      </c>
      <c r="AA149" s="3">
        <f>IF(T149="",0,IF(T149&lt;12,T149*Controls!$B$13,T149*5))</f>
        <v/>
      </c>
      <c r="AB149" s="3">
        <f>IF(E149="",0,NETWORKDAYS(E149,Controls!$B$20,Ref!$K$2:$K$42))</f>
        <v/>
      </c>
      <c r="AC149" s="3">
        <f>IF(OR(AF149=1,AND(AA149&gt;0,AB149&gt;=Controls!$B$23*AA149)),1,0)</f>
        <v/>
      </c>
      <c r="AD149" s="3">
        <f>IF(AND(E149&lt;&gt;"",E149&gt;=Controls!$B$21,E149&lt;=Controls!$B$22),1,0)</f>
        <v/>
      </c>
      <c r="AE149" s="3">
        <f>IF(IFERROR(VLOOKUP(D149,Controls!$A$36:$E$46,2,FALSE()),"No")="Yes",1,0)</f>
        <v/>
      </c>
      <c r="AF149" s="3">
        <f>IF(IFERROR(VLOOKUP(D149,Controls!$A$36:$E$46,3,FALSE()),"No")="Yes",1,0)</f>
        <v/>
      </c>
      <c r="AG149" s="3">
        <f>IF(IFERROR(VLOOKUP(D149,Controls!$A$36:$E$46,4,FALSE()),"No")="Yes",1,0)</f>
        <v/>
      </c>
      <c r="AH149" s="3">
        <f>IF(IFERROR(VLOOKUP(D149,Controls!$A$36:$E$46,5,FALSE()),"No")="Yes",1,0)</f>
        <v/>
      </c>
      <c r="AI149" s="3">
        <f>IF(ISNUMBER(MATCH(D149,Controls!$A$36:$A$46,0)),1,0)</f>
        <v/>
      </c>
      <c r="AJ149" s="28">
        <f>Q149-N149</f>
        <v/>
      </c>
      <c r="AK149" s="3">
        <f>IF(AE149=1,MAX(0,N149-Q149),0)</f>
        <v/>
      </c>
      <c r="AL149" s="3">
        <f>IF(OR(V149="",V149=0),0,N149/V149)</f>
        <v/>
      </c>
      <c r="AM149" s="3">
        <f>IF(OR(V149="",V149=0),0,1)</f>
        <v/>
      </c>
      <c r="AN149" s="3">
        <f>IF(OR(E149="",F149=""),0,NETWORKDAYS(E149,F149,Ref!$K$2:$K$42))</f>
        <v/>
      </c>
      <c r="AO149" s="3">
        <f>IF(L149="Renewal",1,0)</f>
        <v/>
      </c>
      <c r="AP149" s="3">
        <f>AC149*AD149</f>
        <v/>
      </c>
      <c r="AQ149" s="3">
        <f>IF(AND(G149&lt;&gt;"",'Historical Score'!$C$6&lt;&gt;""),IF(G149='Historical Score'!$C$6,1,0),0)</f>
        <v/>
      </c>
      <c r="AR149" s="3">
        <f>IF(AND(L149&lt;&gt;"",'Historical Score'!$C$5&lt;&gt;""),IF(L149='Historical Score'!$C$5,1,0),0)</f>
        <v/>
      </c>
      <c r="AS149" s="3">
        <f>IF(AND(Y149&lt;&gt;"",'Historical Score'!$C$7&lt;&gt;""),IF(Y149='Historical Score'!$C$7,1,0),0)</f>
        <v/>
      </c>
      <c r="AT149" s="3">
        <f>IF(AND(K149&lt;&gt;"",'Historical Score'!$C$8&lt;&gt;""),IF(K149='Historical Score'!$C$8,1,0),0)</f>
        <v/>
      </c>
      <c r="AU149" s="3" t="n"/>
      <c r="AV149" s="3" t="n"/>
      <c r="AW149" s="3" t="n"/>
      <c r="AX149" s="3" t="n"/>
      <c r="AY149" s="3" t="n"/>
      <c r="AZ149" s="3" t="n"/>
      <c r="BA149" s="182">
        <f>IF(AD149=1,(AR149*'Historical Score'!$K$29+1-'Historical Score'!$K$29)*(AT149*'Historical Score'!$L$29+1-'Historical Score'!$L$29)*(AS149*'Historical Score'!$M$29+1-'Historical Score'!$M$29)*(AQ149*'Historical Score'!$N$29+1-'Historical Score'!$N$29),0)</f>
        <v/>
      </c>
      <c r="BB149" s="3" t="n"/>
      <c r="BC149" s="3" t="n"/>
    </row>
    <row r="150" ht="15.75" customHeight="1" s="174">
      <c r="A150" s="3" t="inlineStr">
        <is>
          <t>5674162024</t>
        </is>
      </c>
      <c r="B150" s="3" t="inlineStr">
        <is>
          <t>TONYS TRAILER</t>
        </is>
      </c>
      <c r="C150" s="3" t="inlineStr">
        <is>
          <t>ANTHONY COOK</t>
        </is>
      </c>
      <c r="D150" s="3" t="inlineStr">
        <is>
          <t>Closed</t>
        </is>
      </c>
      <c r="E150" s="23" t="n">
        <v>45855</v>
      </c>
      <c r="F150" s="23" t="n">
        <v>45932</v>
      </c>
      <c r="G150" s="3" t="n">
        <v>4</v>
      </c>
      <c r="H150" s="3" t="inlineStr">
        <is>
          <t>7549</t>
        </is>
      </c>
      <c r="I150" s="3" t="inlineStr">
        <is>
          <t>75</t>
        </is>
      </c>
      <c r="J150" s="3" t="inlineStr">
        <is>
          <t>OK</t>
        </is>
      </c>
      <c r="K150" s="3" t="inlineStr">
        <is>
          <t>biz advance now</t>
        </is>
      </c>
      <c r="L150" s="3" t="inlineStr">
        <is>
          <t>New Deal</t>
        </is>
      </c>
      <c r="M150" s="3" t="n">
        <v>1.49</v>
      </c>
      <c r="N150" s="28" t="n">
        <v>15000</v>
      </c>
      <c r="O150" s="28" t="n">
        <v>2100</v>
      </c>
      <c r="P150" s="28" t="n">
        <v>22350</v>
      </c>
      <c r="Q150" s="28" t="n">
        <v>22350</v>
      </c>
      <c r="R150" s="28" t="n">
        <v>0</v>
      </c>
      <c r="S150" s="42" t="n">
        <v>1</v>
      </c>
      <c r="T150" s="3" t="n">
        <v>18</v>
      </c>
      <c r="U150" s="3" t="n">
        <v>0</v>
      </c>
      <c r="V150" s="3" t="n">
        <v>64897.13</v>
      </c>
      <c r="W150" s="42" t="n">
        <v>0.0765</v>
      </c>
      <c r="X150" s="23" t="n"/>
      <c r="Y150" s="3">
        <f>IF(I150="","No SIC",IFERROR(VLOOKUP(I150,Ref!$A$2:$B$65,2,FALSE()),"Unclassified"))</f>
        <v/>
      </c>
      <c r="Z150" s="3">
        <f>IF(T150="","",IF(T150&lt;12,"Daily","Weekly"))</f>
        <v/>
      </c>
      <c r="AA150" s="3">
        <f>IF(T150="",0,IF(T150&lt;12,T150*Controls!$B$13,T150*5))</f>
        <v/>
      </c>
      <c r="AB150" s="3">
        <f>IF(E150="",0,NETWORKDAYS(E150,Controls!$B$20,Ref!$K$2:$K$42))</f>
        <v/>
      </c>
      <c r="AC150" s="3">
        <f>IF(OR(AF150=1,AND(AA150&gt;0,AB150&gt;=Controls!$B$23*AA150)),1,0)</f>
        <v/>
      </c>
      <c r="AD150" s="3">
        <f>IF(AND(E150&lt;&gt;"",E150&gt;=Controls!$B$21,E150&lt;=Controls!$B$22),1,0)</f>
        <v/>
      </c>
      <c r="AE150" s="3">
        <f>IF(IFERROR(VLOOKUP(D150,Controls!$A$36:$E$46,2,FALSE()),"No")="Yes",1,0)</f>
        <v/>
      </c>
      <c r="AF150" s="3">
        <f>IF(IFERROR(VLOOKUP(D150,Controls!$A$36:$E$46,3,FALSE()),"No")="Yes",1,0)</f>
        <v/>
      </c>
      <c r="AG150" s="3">
        <f>IF(IFERROR(VLOOKUP(D150,Controls!$A$36:$E$46,4,FALSE()),"No")="Yes",1,0)</f>
        <v/>
      </c>
      <c r="AH150" s="3">
        <f>IF(IFERROR(VLOOKUP(D150,Controls!$A$36:$E$46,5,FALSE()),"No")="Yes",1,0)</f>
        <v/>
      </c>
      <c r="AI150" s="3">
        <f>IF(ISNUMBER(MATCH(D150,Controls!$A$36:$A$46,0)),1,0)</f>
        <v/>
      </c>
      <c r="AJ150" s="28">
        <f>Q150-N150</f>
        <v/>
      </c>
      <c r="AK150" s="3">
        <f>IF(AE150=1,MAX(0,N150-Q150),0)</f>
        <v/>
      </c>
      <c r="AL150" s="3">
        <f>IF(OR(V150="",V150=0),0,N150/V150)</f>
        <v/>
      </c>
      <c r="AM150" s="3">
        <f>IF(OR(V150="",V150=0),0,1)</f>
        <v/>
      </c>
      <c r="AN150" s="3">
        <f>IF(OR(E150="",F150=""),0,NETWORKDAYS(E150,F150,Ref!$K$2:$K$42))</f>
        <v/>
      </c>
      <c r="AO150" s="3">
        <f>IF(L150="Renewal",1,0)</f>
        <v/>
      </c>
      <c r="AP150" s="3">
        <f>AC150*AD150</f>
        <v/>
      </c>
      <c r="AQ150" s="3">
        <f>IF(AND(G150&lt;&gt;"",'Historical Score'!$C$6&lt;&gt;""),IF(G150='Historical Score'!$C$6,1,0),0)</f>
        <v/>
      </c>
      <c r="AR150" s="3">
        <f>IF(AND(L150&lt;&gt;"",'Historical Score'!$C$5&lt;&gt;""),IF(L150='Historical Score'!$C$5,1,0),0)</f>
        <v/>
      </c>
      <c r="AS150" s="3">
        <f>IF(AND(Y150&lt;&gt;"",'Historical Score'!$C$7&lt;&gt;""),IF(Y150='Historical Score'!$C$7,1,0),0)</f>
        <v/>
      </c>
      <c r="AT150" s="3">
        <f>IF(AND(K150&lt;&gt;"",'Historical Score'!$C$8&lt;&gt;""),IF(K150='Historical Score'!$C$8,1,0),0)</f>
        <v/>
      </c>
      <c r="AU150" s="3" t="n"/>
      <c r="AV150" s="3" t="n"/>
      <c r="AW150" s="3" t="n"/>
      <c r="AX150" s="3" t="n"/>
      <c r="AY150" s="3" t="n"/>
      <c r="AZ150" s="3" t="n"/>
      <c r="BA150" s="182">
        <f>IF(AD150=1,(AR150*'Historical Score'!$K$29+1-'Historical Score'!$K$29)*(AT150*'Historical Score'!$L$29+1-'Historical Score'!$L$29)*(AS150*'Historical Score'!$M$29+1-'Historical Score'!$M$29)*(AQ150*'Historical Score'!$N$29+1-'Historical Score'!$N$29),0)</f>
        <v/>
      </c>
      <c r="BB150" s="3" t="n"/>
      <c r="BC150" s="3" t="n"/>
    </row>
    <row r="151" ht="15.75" customHeight="1" s="174">
      <c r="A151" s="3" t="inlineStr">
        <is>
          <t>5674162077</t>
        </is>
      </c>
      <c r="B151" s="3" t="inlineStr">
        <is>
          <t>LINCOLN BABIGUMIRA PAIN CLINIC, LTD.</t>
        </is>
      </c>
      <c r="C151" s="3" t="inlineStr">
        <is>
          <t>LINCOLN BABIGUMIRA PAIN CLINIC, LTD.</t>
        </is>
      </c>
      <c r="D151" s="3" t="inlineStr">
        <is>
          <t>Legal</t>
        </is>
      </c>
      <c r="E151" s="23" t="n">
        <v>45856</v>
      </c>
      <c r="F151" s="23" t="n">
        <v>45979</v>
      </c>
      <c r="G151" s="3" t="n">
        <v>7</v>
      </c>
      <c r="H151" s="3" t="inlineStr">
        <is>
          <t>8011</t>
        </is>
      </c>
      <c r="I151" s="3" t="inlineStr">
        <is>
          <t>80</t>
        </is>
      </c>
      <c r="J151" s="3" t="inlineStr">
        <is>
          <t>IL</t>
        </is>
      </c>
      <c r="K151" s="3" t="inlineStr">
        <is>
          <t>United Secured Capital 8</t>
        </is>
      </c>
      <c r="L151" s="3" t="inlineStr">
        <is>
          <t>New Deal</t>
        </is>
      </c>
      <c r="M151" s="3" t="n">
        <v>1.49</v>
      </c>
      <c r="N151" s="28" t="n">
        <v>15000</v>
      </c>
      <c r="O151" s="28" t="n">
        <v>0</v>
      </c>
      <c r="P151" s="28" t="n">
        <v>22350</v>
      </c>
      <c r="Q151" s="28" t="n">
        <v>8661.6</v>
      </c>
      <c r="R151" s="28" t="n">
        <v>13688.4</v>
      </c>
      <c r="S151" s="42" t="n">
        <v>0.387543624161074</v>
      </c>
      <c r="T151" s="3" t="n">
        <v>1.311</v>
      </c>
      <c r="U151" s="3" t="n">
        <v>32</v>
      </c>
      <c r="V151" s="3" t="n">
        <v>107255.94</v>
      </c>
      <c r="W151" s="42" t="n">
        <v>0.1094</v>
      </c>
      <c r="X151" s="23" t="n"/>
      <c r="Y151" s="3">
        <f>IF(I151="","No SIC",IFERROR(VLOOKUP(I151,Ref!$A$2:$B$65,2,FALSE()),"Unclassified"))</f>
        <v/>
      </c>
      <c r="Z151" s="3">
        <f>IF(T151="","",IF(T151&lt;12,"Daily","Weekly"))</f>
        <v/>
      </c>
      <c r="AA151" s="3">
        <f>IF(T151="",0,IF(T151&lt;12,T151*Controls!$B$13,T151*5))</f>
        <v/>
      </c>
      <c r="AB151" s="3">
        <f>IF(E151="",0,NETWORKDAYS(E151,Controls!$B$20,Ref!$K$2:$K$42))</f>
        <v/>
      </c>
      <c r="AC151" s="3">
        <f>IF(OR(AF151=1,AND(AA151&gt;0,AB151&gt;=Controls!$B$23*AA151)),1,0)</f>
        <v/>
      </c>
      <c r="AD151" s="3">
        <f>IF(AND(E151&lt;&gt;"",E151&gt;=Controls!$B$21,E151&lt;=Controls!$B$22),1,0)</f>
        <v/>
      </c>
      <c r="AE151" s="3">
        <f>IF(IFERROR(VLOOKUP(D151,Controls!$A$36:$E$46,2,FALSE()),"No")="Yes",1,0)</f>
        <v/>
      </c>
      <c r="AF151" s="3">
        <f>IF(IFERROR(VLOOKUP(D151,Controls!$A$36:$E$46,3,FALSE()),"No")="Yes",1,0)</f>
        <v/>
      </c>
      <c r="AG151" s="3">
        <f>IF(IFERROR(VLOOKUP(D151,Controls!$A$36:$E$46,4,FALSE()),"No")="Yes",1,0)</f>
        <v/>
      </c>
      <c r="AH151" s="3">
        <f>IF(IFERROR(VLOOKUP(D151,Controls!$A$36:$E$46,5,FALSE()),"No")="Yes",1,0)</f>
        <v/>
      </c>
      <c r="AI151" s="3">
        <f>IF(ISNUMBER(MATCH(D151,Controls!$A$36:$A$46,0)),1,0)</f>
        <v/>
      </c>
      <c r="AJ151" s="28">
        <f>Q151-N151</f>
        <v/>
      </c>
      <c r="AK151" s="3">
        <f>IF(AE151=1,MAX(0,N151-Q151),0)</f>
        <v/>
      </c>
      <c r="AL151" s="3">
        <f>IF(OR(V151="",V151=0),0,N151/V151)</f>
        <v/>
      </c>
      <c r="AM151" s="3">
        <f>IF(OR(V151="",V151=0),0,1)</f>
        <v/>
      </c>
      <c r="AN151" s="3">
        <f>IF(OR(E151="",F151=""),0,NETWORKDAYS(E151,F151,Ref!$K$2:$K$42))</f>
        <v/>
      </c>
      <c r="AO151" s="3">
        <f>IF(L151="Renewal",1,0)</f>
        <v/>
      </c>
      <c r="AP151" s="3">
        <f>AC151*AD151</f>
        <v/>
      </c>
      <c r="AQ151" s="3">
        <f>IF(AND(G151&lt;&gt;"",'Historical Score'!$C$6&lt;&gt;""),IF(G151='Historical Score'!$C$6,1,0),0)</f>
        <v/>
      </c>
      <c r="AR151" s="3">
        <f>IF(AND(L151&lt;&gt;"",'Historical Score'!$C$5&lt;&gt;""),IF(L151='Historical Score'!$C$5,1,0),0)</f>
        <v/>
      </c>
      <c r="AS151" s="3">
        <f>IF(AND(Y151&lt;&gt;"",'Historical Score'!$C$7&lt;&gt;""),IF(Y151='Historical Score'!$C$7,1,0),0)</f>
        <v/>
      </c>
      <c r="AT151" s="3">
        <f>IF(AND(K151&lt;&gt;"",'Historical Score'!$C$8&lt;&gt;""),IF(K151='Historical Score'!$C$8,1,0),0)</f>
        <v/>
      </c>
      <c r="AU151" s="3" t="n"/>
      <c r="AV151" s="3" t="n"/>
      <c r="AW151" s="3" t="n"/>
      <c r="AX151" s="3" t="n"/>
      <c r="AY151" s="3" t="n"/>
      <c r="AZ151" s="3" t="n"/>
      <c r="BA151" s="182">
        <f>IF(AD151=1,(AR151*'Historical Score'!$K$29+1-'Historical Score'!$K$29)*(AT151*'Historical Score'!$L$29+1-'Historical Score'!$L$29)*(AS151*'Historical Score'!$M$29+1-'Historical Score'!$M$29)*(AQ151*'Historical Score'!$N$29+1-'Historical Score'!$N$29),0)</f>
        <v/>
      </c>
      <c r="BB151" s="3" t="n"/>
      <c r="BC151" s="3" t="n"/>
    </row>
    <row r="152" ht="15.75" customHeight="1" s="174">
      <c r="A152" s="3" t="inlineStr">
        <is>
          <t>5674162104</t>
        </is>
      </c>
      <c r="B152" s="3" t="inlineStr">
        <is>
          <t>R &amp; D towing LLC</t>
        </is>
      </c>
      <c r="C152" s="3" t="inlineStr">
        <is>
          <t>R &amp; D towing LLC</t>
        </is>
      </c>
      <c r="D152" s="3" t="inlineStr">
        <is>
          <t>Legal</t>
        </is>
      </c>
      <c r="E152" s="23" t="n">
        <v>45856</v>
      </c>
      <c r="F152" s="23" t="n">
        <v>45924</v>
      </c>
      <c r="G152" s="3" t="n">
        <v>1</v>
      </c>
      <c r="H152" s="3" t="inlineStr">
        <is>
          <t>7549</t>
        </is>
      </c>
      <c r="I152" s="3" t="inlineStr">
        <is>
          <t>75</t>
        </is>
      </c>
      <c r="J152" s="3" t="inlineStr">
        <is>
          <t>MI</t>
        </is>
      </c>
      <c r="K152" s="3" t="inlineStr">
        <is>
          <t>Fund Kite</t>
        </is>
      </c>
      <c r="L152" s="3" t="inlineStr">
        <is>
          <t>New Deal</t>
        </is>
      </c>
      <c r="M152" s="3" t="n">
        <v>1.49</v>
      </c>
      <c r="N152" s="28" t="n">
        <v>8000</v>
      </c>
      <c r="O152" s="28" t="n">
        <v>0</v>
      </c>
      <c r="P152" s="28" t="n">
        <v>11920</v>
      </c>
      <c r="Q152" s="28" t="n">
        <v>0</v>
      </c>
      <c r="R152" s="28" t="n">
        <v>11920</v>
      </c>
      <c r="S152" s="42" t="n">
        <v>0</v>
      </c>
      <c r="T152" s="3" t="n">
        <v>16</v>
      </c>
      <c r="U152" s="3" t="n">
        <v>10</v>
      </c>
      <c r="V152" s="3" t="n">
        <v>66914.91</v>
      </c>
      <c r="W152" s="42" t="n">
        <v>0.0445</v>
      </c>
      <c r="X152" s="23" t="n">
        <v>44727</v>
      </c>
      <c r="Y152" s="3">
        <f>IF(I152="","No SIC",IFERROR(VLOOKUP(I152,Ref!$A$2:$B$65,2,FALSE()),"Unclassified"))</f>
        <v/>
      </c>
      <c r="Z152" s="3">
        <f>IF(T152="","",IF(T152&lt;12,"Daily","Weekly"))</f>
        <v/>
      </c>
      <c r="AA152" s="3">
        <f>IF(T152="",0,IF(T152&lt;12,T152*Controls!$B$13,T152*5))</f>
        <v/>
      </c>
      <c r="AB152" s="3">
        <f>IF(E152="",0,NETWORKDAYS(E152,Controls!$B$20,Ref!$K$2:$K$42))</f>
        <v/>
      </c>
      <c r="AC152" s="3">
        <f>IF(OR(AF152=1,AND(AA152&gt;0,AB152&gt;=Controls!$B$23*AA152)),1,0)</f>
        <v/>
      </c>
      <c r="AD152" s="3">
        <f>IF(AND(E152&lt;&gt;"",E152&gt;=Controls!$B$21,E152&lt;=Controls!$B$22),1,0)</f>
        <v/>
      </c>
      <c r="AE152" s="3">
        <f>IF(IFERROR(VLOOKUP(D152,Controls!$A$36:$E$46,2,FALSE()),"No")="Yes",1,0)</f>
        <v/>
      </c>
      <c r="AF152" s="3">
        <f>IF(IFERROR(VLOOKUP(D152,Controls!$A$36:$E$46,3,FALSE()),"No")="Yes",1,0)</f>
        <v/>
      </c>
      <c r="AG152" s="3">
        <f>IF(IFERROR(VLOOKUP(D152,Controls!$A$36:$E$46,4,FALSE()),"No")="Yes",1,0)</f>
        <v/>
      </c>
      <c r="AH152" s="3">
        <f>IF(IFERROR(VLOOKUP(D152,Controls!$A$36:$E$46,5,FALSE()),"No")="Yes",1,0)</f>
        <v/>
      </c>
      <c r="AI152" s="3">
        <f>IF(ISNUMBER(MATCH(D152,Controls!$A$36:$A$46,0)),1,0)</f>
        <v/>
      </c>
      <c r="AJ152" s="28">
        <f>Q152-N152</f>
        <v/>
      </c>
      <c r="AK152" s="3">
        <f>IF(AE152=1,MAX(0,N152-Q152),0)</f>
        <v/>
      </c>
      <c r="AL152" s="3">
        <f>IF(OR(V152="",V152=0),0,N152/V152)</f>
        <v/>
      </c>
      <c r="AM152" s="3">
        <f>IF(OR(V152="",V152=0),0,1)</f>
        <v/>
      </c>
      <c r="AN152" s="3">
        <f>IF(OR(E152="",F152=""),0,NETWORKDAYS(E152,F152,Ref!$K$2:$K$42))</f>
        <v/>
      </c>
      <c r="AO152" s="3">
        <f>IF(L152="Renewal",1,0)</f>
        <v/>
      </c>
      <c r="AP152" s="3">
        <f>AC152*AD152</f>
        <v/>
      </c>
      <c r="AQ152" s="3">
        <f>IF(AND(G152&lt;&gt;"",'Historical Score'!$C$6&lt;&gt;""),IF(G152='Historical Score'!$C$6,1,0),0)</f>
        <v/>
      </c>
      <c r="AR152" s="3">
        <f>IF(AND(L152&lt;&gt;"",'Historical Score'!$C$5&lt;&gt;""),IF(L152='Historical Score'!$C$5,1,0),0)</f>
        <v/>
      </c>
      <c r="AS152" s="3">
        <f>IF(AND(Y152&lt;&gt;"",'Historical Score'!$C$7&lt;&gt;""),IF(Y152='Historical Score'!$C$7,1,0),0)</f>
        <v/>
      </c>
      <c r="AT152" s="3">
        <f>IF(AND(K152&lt;&gt;"",'Historical Score'!$C$8&lt;&gt;""),IF(K152='Historical Score'!$C$8,1,0),0)</f>
        <v/>
      </c>
      <c r="AU152" s="3" t="n"/>
      <c r="AV152" s="3" t="n"/>
      <c r="AW152" s="3" t="n"/>
      <c r="AX152" s="3" t="n"/>
      <c r="AY152" s="3" t="n"/>
      <c r="AZ152" s="3" t="n"/>
      <c r="BA152" s="182">
        <f>IF(AD152=1,(AR152*'Historical Score'!$K$29+1-'Historical Score'!$K$29)*(AT152*'Historical Score'!$L$29+1-'Historical Score'!$L$29)*(AS152*'Historical Score'!$M$29+1-'Historical Score'!$M$29)*(AQ152*'Historical Score'!$N$29+1-'Historical Score'!$N$29),0)</f>
        <v/>
      </c>
      <c r="BB152" s="3" t="n"/>
      <c r="BC152" s="3" t="n"/>
    </row>
    <row r="153" ht="15.75" customHeight="1" s="174">
      <c r="A153" s="3" t="inlineStr">
        <is>
          <t>5674162110</t>
        </is>
      </c>
      <c r="B153" s="3" t="inlineStr">
        <is>
          <t>POPULAR PROSPECTIVE PRODUCTS</t>
        </is>
      </c>
      <c r="C153" s="3" t="inlineStr">
        <is>
          <t>POPULAR PROSPECTIVE PRODUCTS, INC.</t>
        </is>
      </c>
      <c r="D153" s="3" t="inlineStr">
        <is>
          <t>Legal</t>
        </is>
      </c>
      <c r="E153" s="23" t="n">
        <v>45856</v>
      </c>
      <c r="F153" s="23" t="n">
        <v>46097</v>
      </c>
      <c r="G153" s="3" t="n">
        <v>1</v>
      </c>
      <c r="H153" s="3" t="inlineStr">
        <is>
          <t>5045</t>
        </is>
      </c>
      <c r="I153" s="3" t="inlineStr">
        <is>
          <t>50</t>
        </is>
      </c>
      <c r="J153" s="3" t="inlineStr">
        <is>
          <t>TX</t>
        </is>
      </c>
      <c r="K153" s="3" t="inlineStr">
        <is>
          <t>PMF</t>
        </is>
      </c>
      <c r="L153" s="3" t="inlineStr">
        <is>
          <t>New Deal</t>
        </is>
      </c>
      <c r="M153" s="3" t="n">
        <v>1.31</v>
      </c>
      <c r="N153" s="28" t="n">
        <v>70000</v>
      </c>
      <c r="O153" s="28" t="n">
        <v>2800</v>
      </c>
      <c r="P153" s="28" t="n">
        <v>91700</v>
      </c>
      <c r="Q153" s="28" t="n">
        <v>57312.5</v>
      </c>
      <c r="R153" s="28" t="n">
        <v>34387.5</v>
      </c>
      <c r="S153" s="42" t="n">
        <v>0.625</v>
      </c>
      <c r="T153" s="3" t="n">
        <v>40</v>
      </c>
      <c r="U153" s="3" t="n">
        <v>10</v>
      </c>
      <c r="V153" s="3" t="n">
        <v>187654.36</v>
      </c>
      <c r="W153" s="42" t="n">
        <v>0.0489</v>
      </c>
      <c r="X153" s="23" t="n">
        <v>42705</v>
      </c>
      <c r="Y153" s="3">
        <f>IF(I153="","No SIC",IFERROR(VLOOKUP(I153,Ref!$A$2:$B$65,2,FALSE()),"Unclassified"))</f>
        <v/>
      </c>
      <c r="Z153" s="3">
        <f>IF(T153="","",IF(T153&lt;12,"Daily","Weekly"))</f>
        <v/>
      </c>
      <c r="AA153" s="3">
        <f>IF(T153="",0,IF(T153&lt;12,T153*Controls!$B$13,T153*5))</f>
        <v/>
      </c>
      <c r="AB153" s="3">
        <f>IF(E153="",0,NETWORKDAYS(E153,Controls!$B$20,Ref!$K$2:$K$42))</f>
        <v/>
      </c>
      <c r="AC153" s="3">
        <f>IF(OR(AF153=1,AND(AA153&gt;0,AB153&gt;=Controls!$B$23*AA153)),1,0)</f>
        <v/>
      </c>
      <c r="AD153" s="3">
        <f>IF(AND(E153&lt;&gt;"",E153&gt;=Controls!$B$21,E153&lt;=Controls!$B$22),1,0)</f>
        <v/>
      </c>
      <c r="AE153" s="3">
        <f>IF(IFERROR(VLOOKUP(D153,Controls!$A$36:$E$46,2,FALSE()),"No")="Yes",1,0)</f>
        <v/>
      </c>
      <c r="AF153" s="3">
        <f>IF(IFERROR(VLOOKUP(D153,Controls!$A$36:$E$46,3,FALSE()),"No")="Yes",1,0)</f>
        <v/>
      </c>
      <c r="AG153" s="3">
        <f>IF(IFERROR(VLOOKUP(D153,Controls!$A$36:$E$46,4,FALSE()),"No")="Yes",1,0)</f>
        <v/>
      </c>
      <c r="AH153" s="3">
        <f>IF(IFERROR(VLOOKUP(D153,Controls!$A$36:$E$46,5,FALSE()),"No")="Yes",1,0)</f>
        <v/>
      </c>
      <c r="AI153" s="3">
        <f>IF(ISNUMBER(MATCH(D153,Controls!$A$36:$A$46,0)),1,0)</f>
        <v/>
      </c>
      <c r="AJ153" s="28">
        <f>Q153-N153</f>
        <v/>
      </c>
      <c r="AK153" s="3">
        <f>IF(AE153=1,MAX(0,N153-Q153),0)</f>
        <v/>
      </c>
      <c r="AL153" s="3">
        <f>IF(OR(V153="",V153=0),0,N153/V153)</f>
        <v/>
      </c>
      <c r="AM153" s="3">
        <f>IF(OR(V153="",V153=0),0,1)</f>
        <v/>
      </c>
      <c r="AN153" s="3">
        <f>IF(OR(E153="",F153=""),0,NETWORKDAYS(E153,F153,Ref!$K$2:$K$42))</f>
        <v/>
      </c>
      <c r="AO153" s="3">
        <f>IF(L153="Renewal",1,0)</f>
        <v/>
      </c>
      <c r="AP153" s="3">
        <f>AC153*AD153</f>
        <v/>
      </c>
      <c r="AQ153" s="3">
        <f>IF(AND(G153&lt;&gt;"",'Historical Score'!$C$6&lt;&gt;""),IF(G153='Historical Score'!$C$6,1,0),0)</f>
        <v/>
      </c>
      <c r="AR153" s="3">
        <f>IF(AND(L153&lt;&gt;"",'Historical Score'!$C$5&lt;&gt;""),IF(L153='Historical Score'!$C$5,1,0),0)</f>
        <v/>
      </c>
      <c r="AS153" s="3">
        <f>IF(AND(Y153&lt;&gt;"",'Historical Score'!$C$7&lt;&gt;""),IF(Y153='Historical Score'!$C$7,1,0),0)</f>
        <v/>
      </c>
      <c r="AT153" s="3">
        <f>IF(AND(K153&lt;&gt;"",'Historical Score'!$C$8&lt;&gt;""),IF(K153='Historical Score'!$C$8,1,0),0)</f>
        <v/>
      </c>
      <c r="AU153" s="3" t="n"/>
      <c r="AV153" s="3" t="n"/>
      <c r="AW153" s="3" t="n"/>
      <c r="AX153" s="3" t="n"/>
      <c r="AY153" s="3" t="n"/>
      <c r="AZ153" s="3" t="n"/>
      <c r="BA153" s="182">
        <f>IF(AD153=1,(AR153*'Historical Score'!$K$29+1-'Historical Score'!$K$29)*(AT153*'Historical Score'!$L$29+1-'Historical Score'!$L$29)*(AS153*'Historical Score'!$M$29+1-'Historical Score'!$M$29)*(AQ153*'Historical Score'!$N$29+1-'Historical Score'!$N$29),0)</f>
        <v/>
      </c>
      <c r="BB153" s="3" t="n"/>
      <c r="BC153" s="3" t="n"/>
    </row>
    <row r="154" ht="15.75" customHeight="1" s="174">
      <c r="A154" s="3" t="inlineStr">
        <is>
          <t>5674162284</t>
        </is>
      </c>
      <c r="B154" s="3" t="inlineStr">
        <is>
          <t>Barberia calle loiza</t>
        </is>
      </c>
      <c r="C154" s="3" t="inlineStr">
        <is>
          <t>Barberia calle loiza</t>
        </is>
      </c>
      <c r="D154" s="3" t="inlineStr">
        <is>
          <t>Closed</t>
        </is>
      </c>
      <c r="E154" s="23" t="n">
        <v>45860</v>
      </c>
      <c r="F154" s="23" t="n">
        <v>45924</v>
      </c>
      <c r="G154" s="3" t="n">
        <v>1</v>
      </c>
      <c r="H154" s="3" t="inlineStr">
        <is>
          <t>7241</t>
        </is>
      </c>
      <c r="I154" s="3" t="inlineStr">
        <is>
          <t>72</t>
        </is>
      </c>
      <c r="J154" s="3" t="inlineStr">
        <is>
          <t>PR</t>
        </is>
      </c>
      <c r="K154" s="3" t="inlineStr">
        <is>
          <t>Siriux internacional corp</t>
        </is>
      </c>
      <c r="L154" s="3" t="inlineStr">
        <is>
          <t>New Deal</t>
        </is>
      </c>
      <c r="M154" s="3" t="n">
        <v>1.49</v>
      </c>
      <c r="N154" s="28" t="n">
        <v>6000</v>
      </c>
      <c r="O154" s="28" t="n">
        <v>840</v>
      </c>
      <c r="P154" s="28" t="n">
        <v>8940</v>
      </c>
      <c r="Q154" s="28" t="n">
        <v>8940</v>
      </c>
      <c r="R154" s="28" t="n">
        <v>0</v>
      </c>
      <c r="S154" s="42" t="n">
        <v>1</v>
      </c>
      <c r="T154" s="3" t="n">
        <v>2.623</v>
      </c>
      <c r="U154" s="3" t="n">
        <v>0</v>
      </c>
      <c r="V154" s="3" t="n">
        <v>13986.96</v>
      </c>
      <c r="W154" s="42" t="n">
        <v>0.1419</v>
      </c>
      <c r="X154" s="23" t="n">
        <v>42309</v>
      </c>
      <c r="Y154" s="3">
        <f>IF(I154="","No SIC",IFERROR(VLOOKUP(I154,Ref!$A$2:$B$65,2,FALSE()),"Unclassified"))</f>
        <v/>
      </c>
      <c r="Z154" s="3">
        <f>IF(T154="","",IF(T154&lt;12,"Daily","Weekly"))</f>
        <v/>
      </c>
      <c r="AA154" s="3">
        <f>IF(T154="",0,IF(T154&lt;12,T154*Controls!$B$13,T154*5))</f>
        <v/>
      </c>
      <c r="AB154" s="3">
        <f>IF(E154="",0,NETWORKDAYS(E154,Controls!$B$20,Ref!$K$2:$K$42))</f>
        <v/>
      </c>
      <c r="AC154" s="3">
        <f>IF(OR(AF154=1,AND(AA154&gt;0,AB154&gt;=Controls!$B$23*AA154)),1,0)</f>
        <v/>
      </c>
      <c r="AD154" s="3">
        <f>IF(AND(E154&lt;&gt;"",E154&gt;=Controls!$B$21,E154&lt;=Controls!$B$22),1,0)</f>
        <v/>
      </c>
      <c r="AE154" s="3">
        <f>IF(IFERROR(VLOOKUP(D154,Controls!$A$36:$E$46,2,FALSE()),"No")="Yes",1,0)</f>
        <v/>
      </c>
      <c r="AF154" s="3">
        <f>IF(IFERROR(VLOOKUP(D154,Controls!$A$36:$E$46,3,FALSE()),"No")="Yes",1,0)</f>
        <v/>
      </c>
      <c r="AG154" s="3">
        <f>IF(IFERROR(VLOOKUP(D154,Controls!$A$36:$E$46,4,FALSE()),"No")="Yes",1,0)</f>
        <v/>
      </c>
      <c r="AH154" s="3">
        <f>IF(IFERROR(VLOOKUP(D154,Controls!$A$36:$E$46,5,FALSE()),"No")="Yes",1,0)</f>
        <v/>
      </c>
      <c r="AI154" s="3">
        <f>IF(ISNUMBER(MATCH(D154,Controls!$A$36:$A$46,0)),1,0)</f>
        <v/>
      </c>
      <c r="AJ154" s="28">
        <f>Q154-N154</f>
        <v/>
      </c>
      <c r="AK154" s="3">
        <f>IF(AE154=1,MAX(0,N154-Q154),0)</f>
        <v/>
      </c>
      <c r="AL154" s="3">
        <f>IF(OR(V154="",V154=0),0,N154/V154)</f>
        <v/>
      </c>
      <c r="AM154" s="3">
        <f>IF(OR(V154="",V154=0),0,1)</f>
        <v/>
      </c>
      <c r="AN154" s="3">
        <f>IF(OR(E154="",F154=""),0,NETWORKDAYS(E154,F154,Ref!$K$2:$K$42))</f>
        <v/>
      </c>
      <c r="AO154" s="3">
        <f>IF(L154="Renewal",1,0)</f>
        <v/>
      </c>
      <c r="AP154" s="3">
        <f>AC154*AD154</f>
        <v/>
      </c>
      <c r="AQ154" s="3">
        <f>IF(AND(G154&lt;&gt;"",'Historical Score'!$C$6&lt;&gt;""),IF(G154='Historical Score'!$C$6,1,0),0)</f>
        <v/>
      </c>
      <c r="AR154" s="3">
        <f>IF(AND(L154&lt;&gt;"",'Historical Score'!$C$5&lt;&gt;""),IF(L154='Historical Score'!$C$5,1,0),0)</f>
        <v/>
      </c>
      <c r="AS154" s="3">
        <f>IF(AND(Y154&lt;&gt;"",'Historical Score'!$C$7&lt;&gt;""),IF(Y154='Historical Score'!$C$7,1,0),0)</f>
        <v/>
      </c>
      <c r="AT154" s="3">
        <f>IF(AND(K154&lt;&gt;"",'Historical Score'!$C$8&lt;&gt;""),IF(K154='Historical Score'!$C$8,1,0),0)</f>
        <v/>
      </c>
      <c r="AU154" s="3" t="n"/>
      <c r="AV154" s="3" t="n"/>
      <c r="AW154" s="3" t="n"/>
      <c r="AX154" s="3" t="n"/>
      <c r="AY154" s="3" t="n"/>
      <c r="AZ154" s="3" t="n"/>
      <c r="BA154" s="182">
        <f>IF(AD154=1,(AR154*'Historical Score'!$K$29+1-'Historical Score'!$K$29)*(AT154*'Historical Score'!$L$29+1-'Historical Score'!$L$29)*(AS154*'Historical Score'!$M$29+1-'Historical Score'!$M$29)*(AQ154*'Historical Score'!$N$29+1-'Historical Score'!$N$29),0)</f>
        <v/>
      </c>
      <c r="BB154" s="3" t="n"/>
      <c r="BC154" s="3" t="n"/>
    </row>
    <row r="155" ht="15.75" customHeight="1" s="174">
      <c r="A155" s="3" t="inlineStr">
        <is>
          <t>5674162288</t>
        </is>
      </c>
      <c r="B155" s="3" t="inlineStr">
        <is>
          <t>BLUE RIDGE WORLDWIDE LLC</t>
        </is>
      </c>
      <c r="C155" s="3" t="inlineStr">
        <is>
          <t>BLUE RIDGE WORLDWIDE LLC</t>
        </is>
      </c>
      <c r="D155" s="3" t="inlineStr">
        <is>
          <t>Legal</t>
        </is>
      </c>
      <c r="E155" s="23" t="n">
        <v>45860</v>
      </c>
      <c r="F155" s="23" t="n">
        <v>45980</v>
      </c>
      <c r="G155" s="3" t="n">
        <v>1</v>
      </c>
      <c r="H155" s="3" t="inlineStr">
        <is>
          <t>4212</t>
        </is>
      </c>
      <c r="I155" s="3" t="inlineStr">
        <is>
          <t>42</t>
        </is>
      </c>
      <c r="J155" s="3" t="inlineStr">
        <is>
          <t>SC</t>
        </is>
      </c>
      <c r="K155" s="3" t="inlineStr">
        <is>
          <t>The Funding Channel</t>
        </is>
      </c>
      <c r="L155" s="3" t="inlineStr">
        <is>
          <t>New Deal</t>
        </is>
      </c>
      <c r="M155" s="3" t="n">
        <v>1.499</v>
      </c>
      <c r="N155" s="28" t="n">
        <v>5000</v>
      </c>
      <c r="O155" s="28" t="n">
        <v>700</v>
      </c>
      <c r="P155" s="28" t="n">
        <v>7495</v>
      </c>
      <c r="Q155" s="28" t="n">
        <v>4966.4</v>
      </c>
      <c r="R155" s="28" t="n">
        <v>2528.6</v>
      </c>
      <c r="S155" s="42" t="n">
        <v>0.662628418945964</v>
      </c>
      <c r="T155" s="3" t="n">
        <v>1.967</v>
      </c>
      <c r="U155" s="3" t="n">
        <v>26</v>
      </c>
      <c r="V155" s="3" t="n">
        <v>20211.69</v>
      </c>
      <c r="W155" s="42" t="n">
        <v>0.129</v>
      </c>
      <c r="X155" s="23" t="n">
        <v>40948</v>
      </c>
      <c r="Y155" s="3">
        <f>IF(I155="","No SIC",IFERROR(VLOOKUP(I155,Ref!$A$2:$B$65,2,FALSE()),"Unclassified"))</f>
        <v/>
      </c>
      <c r="Z155" s="3">
        <f>IF(T155="","",IF(T155&lt;12,"Daily","Weekly"))</f>
        <v/>
      </c>
      <c r="AA155" s="3">
        <f>IF(T155="",0,IF(T155&lt;12,T155*Controls!$B$13,T155*5))</f>
        <v/>
      </c>
      <c r="AB155" s="3">
        <f>IF(E155="",0,NETWORKDAYS(E155,Controls!$B$20,Ref!$K$2:$K$42))</f>
        <v/>
      </c>
      <c r="AC155" s="3">
        <f>IF(OR(AF155=1,AND(AA155&gt;0,AB155&gt;=Controls!$B$23*AA155)),1,0)</f>
        <v/>
      </c>
      <c r="AD155" s="3">
        <f>IF(AND(E155&lt;&gt;"",E155&gt;=Controls!$B$21,E155&lt;=Controls!$B$22),1,0)</f>
        <v/>
      </c>
      <c r="AE155" s="3">
        <f>IF(IFERROR(VLOOKUP(D155,Controls!$A$36:$E$46,2,FALSE()),"No")="Yes",1,0)</f>
        <v/>
      </c>
      <c r="AF155" s="3">
        <f>IF(IFERROR(VLOOKUP(D155,Controls!$A$36:$E$46,3,FALSE()),"No")="Yes",1,0)</f>
        <v/>
      </c>
      <c r="AG155" s="3">
        <f>IF(IFERROR(VLOOKUP(D155,Controls!$A$36:$E$46,4,FALSE()),"No")="Yes",1,0)</f>
        <v/>
      </c>
      <c r="AH155" s="3">
        <f>IF(IFERROR(VLOOKUP(D155,Controls!$A$36:$E$46,5,FALSE()),"No")="Yes",1,0)</f>
        <v/>
      </c>
      <c r="AI155" s="3">
        <f>IF(ISNUMBER(MATCH(D155,Controls!$A$36:$A$46,0)),1,0)</f>
        <v/>
      </c>
      <c r="AJ155" s="28">
        <f>Q155-N155</f>
        <v/>
      </c>
      <c r="AK155" s="3">
        <f>IF(AE155=1,MAX(0,N155-Q155),0)</f>
        <v/>
      </c>
      <c r="AL155" s="3">
        <f>IF(OR(V155="",V155=0),0,N155/V155)</f>
        <v/>
      </c>
      <c r="AM155" s="3">
        <f>IF(OR(V155="",V155=0),0,1)</f>
        <v/>
      </c>
      <c r="AN155" s="3">
        <f>IF(OR(E155="",F155=""),0,NETWORKDAYS(E155,F155,Ref!$K$2:$K$42))</f>
        <v/>
      </c>
      <c r="AO155" s="3">
        <f>IF(L155="Renewal",1,0)</f>
        <v/>
      </c>
      <c r="AP155" s="3">
        <f>AC155*AD155</f>
        <v/>
      </c>
      <c r="AQ155" s="3">
        <f>IF(AND(G155&lt;&gt;"",'Historical Score'!$C$6&lt;&gt;""),IF(G155='Historical Score'!$C$6,1,0),0)</f>
        <v/>
      </c>
      <c r="AR155" s="3">
        <f>IF(AND(L155&lt;&gt;"",'Historical Score'!$C$5&lt;&gt;""),IF(L155='Historical Score'!$C$5,1,0),0)</f>
        <v/>
      </c>
      <c r="AS155" s="3">
        <f>IF(AND(Y155&lt;&gt;"",'Historical Score'!$C$7&lt;&gt;""),IF(Y155='Historical Score'!$C$7,1,0),0)</f>
        <v/>
      </c>
      <c r="AT155" s="3">
        <f>IF(AND(K155&lt;&gt;"",'Historical Score'!$C$8&lt;&gt;""),IF(K155='Historical Score'!$C$8,1,0),0)</f>
        <v/>
      </c>
      <c r="AU155" s="3" t="n"/>
      <c r="AV155" s="3" t="n"/>
      <c r="AW155" s="3" t="n"/>
      <c r="AX155" s="3" t="n"/>
      <c r="AY155" s="3" t="n"/>
      <c r="AZ155" s="3" t="n"/>
      <c r="BA155" s="182">
        <f>IF(AD155=1,(AR155*'Historical Score'!$K$29+1-'Historical Score'!$K$29)*(AT155*'Historical Score'!$L$29+1-'Historical Score'!$L$29)*(AS155*'Historical Score'!$M$29+1-'Historical Score'!$M$29)*(AQ155*'Historical Score'!$N$29+1-'Historical Score'!$N$29),0)</f>
        <v/>
      </c>
      <c r="BB155" s="3" t="n"/>
      <c r="BC155" s="3" t="n"/>
    </row>
    <row r="156" ht="15.75" customHeight="1" s="174">
      <c r="A156" s="3" t="inlineStr">
        <is>
          <t>5674162307</t>
        </is>
      </c>
      <c r="B156" s="3" t="inlineStr">
        <is>
          <t>Myatt's Shirts &amp; Sports</t>
        </is>
      </c>
      <c r="C156" s="3" t="inlineStr">
        <is>
          <t>Stratton Inc</t>
        </is>
      </c>
      <c r="D156" s="3" t="inlineStr">
        <is>
          <t>Closed</t>
        </is>
      </c>
      <c r="E156" s="23" t="n">
        <v>45860</v>
      </c>
      <c r="F156" s="23" t="n">
        <v>45968</v>
      </c>
      <c r="G156" s="3" t="n">
        <v>7</v>
      </c>
      <c r="H156" s="3" t="inlineStr">
        <is>
          <t>5999</t>
        </is>
      </c>
      <c r="I156" s="3" t="inlineStr">
        <is>
          <t>59</t>
        </is>
      </c>
      <c r="J156" s="3" t="inlineStr">
        <is>
          <t>ID</t>
        </is>
      </c>
      <c r="K156" s="3" t="inlineStr">
        <is>
          <t>Platform Funding</t>
        </is>
      </c>
      <c r="L156" s="3" t="inlineStr">
        <is>
          <t>New Deal</t>
        </is>
      </c>
      <c r="M156" s="3" t="n">
        <v>1.499</v>
      </c>
      <c r="N156" s="28" t="n">
        <v>8500</v>
      </c>
      <c r="O156" s="28" t="n">
        <v>1190</v>
      </c>
      <c r="P156" s="28" t="n">
        <v>12741.5</v>
      </c>
      <c r="Q156" s="28" t="n">
        <v>12741.5</v>
      </c>
      <c r="R156" s="28" t="n">
        <v>1.81898940354586e-12</v>
      </c>
      <c r="S156" s="42" t="n">
        <v>1</v>
      </c>
      <c r="T156" s="3" t="n">
        <v>14</v>
      </c>
      <c r="U156" s="3" t="n">
        <v>1</v>
      </c>
      <c r="V156" s="3" t="n">
        <v>46683.35</v>
      </c>
      <c r="W156" s="42" t="n">
        <v>0.0775</v>
      </c>
      <c r="X156" s="23" t="n">
        <v>44694</v>
      </c>
      <c r="Y156" s="3">
        <f>IF(I156="","No SIC",IFERROR(VLOOKUP(I156,Ref!$A$2:$B$65,2,FALSE()),"Unclassified"))</f>
        <v/>
      </c>
      <c r="Z156" s="3">
        <f>IF(T156="","",IF(T156&lt;12,"Daily","Weekly"))</f>
        <v/>
      </c>
      <c r="AA156" s="3">
        <f>IF(T156="",0,IF(T156&lt;12,T156*Controls!$B$13,T156*5))</f>
        <v/>
      </c>
      <c r="AB156" s="3">
        <f>IF(E156="",0,NETWORKDAYS(E156,Controls!$B$20,Ref!$K$2:$K$42))</f>
        <v/>
      </c>
      <c r="AC156" s="3">
        <f>IF(OR(AF156=1,AND(AA156&gt;0,AB156&gt;=Controls!$B$23*AA156)),1,0)</f>
        <v/>
      </c>
      <c r="AD156" s="3">
        <f>IF(AND(E156&lt;&gt;"",E156&gt;=Controls!$B$21,E156&lt;=Controls!$B$22),1,0)</f>
        <v/>
      </c>
      <c r="AE156" s="3">
        <f>IF(IFERROR(VLOOKUP(D156,Controls!$A$36:$E$46,2,FALSE()),"No")="Yes",1,0)</f>
        <v/>
      </c>
      <c r="AF156" s="3">
        <f>IF(IFERROR(VLOOKUP(D156,Controls!$A$36:$E$46,3,FALSE()),"No")="Yes",1,0)</f>
        <v/>
      </c>
      <c r="AG156" s="3">
        <f>IF(IFERROR(VLOOKUP(D156,Controls!$A$36:$E$46,4,FALSE()),"No")="Yes",1,0)</f>
        <v/>
      </c>
      <c r="AH156" s="3">
        <f>IF(IFERROR(VLOOKUP(D156,Controls!$A$36:$E$46,5,FALSE()),"No")="Yes",1,0)</f>
        <v/>
      </c>
      <c r="AI156" s="3">
        <f>IF(ISNUMBER(MATCH(D156,Controls!$A$36:$A$46,0)),1,0)</f>
        <v/>
      </c>
      <c r="AJ156" s="28">
        <f>Q156-N156</f>
        <v/>
      </c>
      <c r="AK156" s="3">
        <f>IF(AE156=1,MAX(0,N156-Q156),0)</f>
        <v/>
      </c>
      <c r="AL156" s="3">
        <f>IF(OR(V156="",V156=0),0,N156/V156)</f>
        <v/>
      </c>
      <c r="AM156" s="3">
        <f>IF(OR(V156="",V156=0),0,1)</f>
        <v/>
      </c>
      <c r="AN156" s="3">
        <f>IF(OR(E156="",F156=""),0,NETWORKDAYS(E156,F156,Ref!$K$2:$K$42))</f>
        <v/>
      </c>
      <c r="AO156" s="3">
        <f>IF(L156="Renewal",1,0)</f>
        <v/>
      </c>
      <c r="AP156" s="3">
        <f>AC156*AD156</f>
        <v/>
      </c>
      <c r="AQ156" s="3">
        <f>IF(AND(G156&lt;&gt;"",'Historical Score'!$C$6&lt;&gt;""),IF(G156='Historical Score'!$C$6,1,0),0)</f>
        <v/>
      </c>
      <c r="AR156" s="3">
        <f>IF(AND(L156&lt;&gt;"",'Historical Score'!$C$5&lt;&gt;""),IF(L156='Historical Score'!$C$5,1,0),0)</f>
        <v/>
      </c>
      <c r="AS156" s="3">
        <f>IF(AND(Y156&lt;&gt;"",'Historical Score'!$C$7&lt;&gt;""),IF(Y156='Historical Score'!$C$7,1,0),0)</f>
        <v/>
      </c>
      <c r="AT156" s="3">
        <f>IF(AND(K156&lt;&gt;"",'Historical Score'!$C$8&lt;&gt;""),IF(K156='Historical Score'!$C$8,1,0),0)</f>
        <v/>
      </c>
      <c r="AU156" s="3" t="n"/>
      <c r="AV156" s="3" t="n"/>
      <c r="AW156" s="3" t="n"/>
      <c r="AX156" s="3" t="n"/>
      <c r="AY156" s="3" t="n"/>
      <c r="AZ156" s="3" t="n"/>
      <c r="BA156" s="182">
        <f>IF(AD156=1,(AR156*'Historical Score'!$K$29+1-'Historical Score'!$K$29)*(AT156*'Historical Score'!$L$29+1-'Historical Score'!$L$29)*(AS156*'Historical Score'!$M$29+1-'Historical Score'!$M$29)*(AQ156*'Historical Score'!$N$29+1-'Historical Score'!$N$29),0)</f>
        <v/>
      </c>
      <c r="BB156" s="3" t="n"/>
      <c r="BC156" s="3" t="n"/>
    </row>
    <row r="157" ht="15.75" customHeight="1" s="174">
      <c r="A157" s="3" t="inlineStr">
        <is>
          <t>5674162311</t>
        </is>
      </c>
      <c r="B157" s="3" t="inlineStr">
        <is>
          <t>VALOR TOURS LTD</t>
        </is>
      </c>
      <c r="C157" s="3" t="inlineStr">
        <is>
          <t>VALOR TOURS LTD</t>
        </is>
      </c>
      <c r="D157" s="3" t="inlineStr">
        <is>
          <t>Closed</t>
        </is>
      </c>
      <c r="E157" s="23" t="n">
        <v>45860</v>
      </c>
      <c r="F157" s="23" t="n">
        <v>45961</v>
      </c>
      <c r="G157" s="3" t="n">
        <v>2</v>
      </c>
      <c r="H157" s="3" t="inlineStr">
        <is>
          <t>4725</t>
        </is>
      </c>
      <c r="I157" s="3" t="inlineStr">
        <is>
          <t>47</t>
        </is>
      </c>
      <c r="J157" s="3" t="inlineStr">
        <is>
          <t>CA</t>
        </is>
      </c>
      <c r="K157" s="3" t="inlineStr">
        <is>
          <t>Westwood</t>
        </is>
      </c>
      <c r="L157" s="3" t="inlineStr">
        <is>
          <t>New Deal</t>
        </is>
      </c>
      <c r="M157" s="3" t="n">
        <v>1.49</v>
      </c>
      <c r="N157" s="28" t="n">
        <v>15000</v>
      </c>
      <c r="O157" s="28" t="n">
        <v>2100</v>
      </c>
      <c r="P157" s="28" t="n">
        <v>22350</v>
      </c>
      <c r="Q157" s="28" t="n">
        <v>22350</v>
      </c>
      <c r="R157" s="28" t="n">
        <v>0</v>
      </c>
      <c r="S157" s="42" t="n">
        <v>1</v>
      </c>
      <c r="T157" s="3" t="n">
        <v>3.279</v>
      </c>
      <c r="U157" s="3" t="n">
        <v>1</v>
      </c>
      <c r="V157" s="3" t="n">
        <v>48699.19</v>
      </c>
      <c r="W157" s="42" t="n">
        <v>0.0964</v>
      </c>
      <c r="X157" s="23" t="n">
        <v>42917</v>
      </c>
      <c r="Y157" s="3">
        <f>IF(I157="","No SIC",IFERROR(VLOOKUP(I157,Ref!$A$2:$B$65,2,FALSE()),"Unclassified"))</f>
        <v/>
      </c>
      <c r="Z157" s="3">
        <f>IF(T157="","",IF(T157&lt;12,"Daily","Weekly"))</f>
        <v/>
      </c>
      <c r="AA157" s="3">
        <f>IF(T157="",0,IF(T157&lt;12,T157*Controls!$B$13,T157*5))</f>
        <v/>
      </c>
      <c r="AB157" s="3">
        <f>IF(E157="",0,NETWORKDAYS(E157,Controls!$B$20,Ref!$K$2:$K$42))</f>
        <v/>
      </c>
      <c r="AC157" s="3">
        <f>IF(OR(AF157=1,AND(AA157&gt;0,AB157&gt;=Controls!$B$23*AA157)),1,0)</f>
        <v/>
      </c>
      <c r="AD157" s="3">
        <f>IF(AND(E157&lt;&gt;"",E157&gt;=Controls!$B$21,E157&lt;=Controls!$B$22),1,0)</f>
        <v/>
      </c>
      <c r="AE157" s="3">
        <f>IF(IFERROR(VLOOKUP(D157,Controls!$A$36:$E$46,2,FALSE()),"No")="Yes",1,0)</f>
        <v/>
      </c>
      <c r="AF157" s="3">
        <f>IF(IFERROR(VLOOKUP(D157,Controls!$A$36:$E$46,3,FALSE()),"No")="Yes",1,0)</f>
        <v/>
      </c>
      <c r="AG157" s="3">
        <f>IF(IFERROR(VLOOKUP(D157,Controls!$A$36:$E$46,4,FALSE()),"No")="Yes",1,0)</f>
        <v/>
      </c>
      <c r="AH157" s="3">
        <f>IF(IFERROR(VLOOKUP(D157,Controls!$A$36:$E$46,5,FALSE()),"No")="Yes",1,0)</f>
        <v/>
      </c>
      <c r="AI157" s="3">
        <f>IF(ISNUMBER(MATCH(D157,Controls!$A$36:$A$46,0)),1,0)</f>
        <v/>
      </c>
      <c r="AJ157" s="28">
        <f>Q157-N157</f>
        <v/>
      </c>
      <c r="AK157" s="3">
        <f>IF(AE157=1,MAX(0,N157-Q157),0)</f>
        <v/>
      </c>
      <c r="AL157" s="3">
        <f>IF(OR(V157="",V157=0),0,N157/V157)</f>
        <v/>
      </c>
      <c r="AM157" s="3">
        <f>IF(OR(V157="",V157=0),0,1)</f>
        <v/>
      </c>
      <c r="AN157" s="3">
        <f>IF(OR(E157="",F157=""),0,NETWORKDAYS(E157,F157,Ref!$K$2:$K$42))</f>
        <v/>
      </c>
      <c r="AO157" s="3">
        <f>IF(L157="Renewal",1,0)</f>
        <v/>
      </c>
      <c r="AP157" s="3">
        <f>AC157*AD157</f>
        <v/>
      </c>
      <c r="AQ157" s="3">
        <f>IF(AND(G157&lt;&gt;"",'Historical Score'!$C$6&lt;&gt;""),IF(G157='Historical Score'!$C$6,1,0),0)</f>
        <v/>
      </c>
      <c r="AR157" s="3">
        <f>IF(AND(L157&lt;&gt;"",'Historical Score'!$C$5&lt;&gt;""),IF(L157='Historical Score'!$C$5,1,0),0)</f>
        <v/>
      </c>
      <c r="AS157" s="3">
        <f>IF(AND(Y157&lt;&gt;"",'Historical Score'!$C$7&lt;&gt;""),IF(Y157='Historical Score'!$C$7,1,0),0)</f>
        <v/>
      </c>
      <c r="AT157" s="3">
        <f>IF(AND(K157&lt;&gt;"",'Historical Score'!$C$8&lt;&gt;""),IF(K157='Historical Score'!$C$8,1,0),0)</f>
        <v/>
      </c>
      <c r="AU157" s="3" t="n"/>
      <c r="AV157" s="3" t="n"/>
      <c r="AW157" s="3" t="n"/>
      <c r="AX157" s="3" t="n"/>
      <c r="AY157" s="3" t="n"/>
      <c r="AZ157" s="3" t="n"/>
      <c r="BA157" s="182">
        <f>IF(AD157=1,(AR157*'Historical Score'!$K$29+1-'Historical Score'!$K$29)*(AT157*'Historical Score'!$L$29+1-'Historical Score'!$L$29)*(AS157*'Historical Score'!$M$29+1-'Historical Score'!$M$29)*(AQ157*'Historical Score'!$N$29+1-'Historical Score'!$N$29),0)</f>
        <v/>
      </c>
      <c r="BB157" s="3" t="n"/>
      <c r="BC157" s="3" t="n"/>
    </row>
    <row r="158" ht="15.75" customHeight="1" s="174">
      <c r="A158" s="3" t="inlineStr">
        <is>
          <t>5674162314</t>
        </is>
      </c>
      <c r="B158" s="3" t="inlineStr">
        <is>
          <t>PRIDECO LLC</t>
        </is>
      </c>
      <c r="C158" s="3" t="inlineStr">
        <is>
          <t>PRIDECO LLC</t>
        </is>
      </c>
      <c r="D158" s="3" t="inlineStr">
        <is>
          <t>Closed</t>
        </is>
      </c>
      <c r="E158" s="23" t="n">
        <v>45860</v>
      </c>
      <c r="F158" s="23" t="n">
        <v>45945</v>
      </c>
      <c r="G158" s="3" t="n">
        <v>4</v>
      </c>
      <c r="H158" s="3" t="inlineStr">
        <is>
          <t>1521</t>
        </is>
      </c>
      <c r="I158" s="3" t="inlineStr">
        <is>
          <t>15</t>
        </is>
      </c>
      <c r="J158" s="3" t="inlineStr">
        <is>
          <t>LA</t>
        </is>
      </c>
      <c r="K158" s="3" t="inlineStr">
        <is>
          <t>Supreme Capital Solutions</t>
        </is>
      </c>
      <c r="L158" s="3" t="inlineStr">
        <is>
          <t>New Deal</t>
        </is>
      </c>
      <c r="M158" s="3" t="n">
        <v>1.499</v>
      </c>
      <c r="N158" s="28" t="n">
        <v>10000</v>
      </c>
      <c r="O158" s="28" t="n">
        <v>1400</v>
      </c>
      <c r="P158" s="28" t="n">
        <v>14990</v>
      </c>
      <c r="Q158" s="28" t="n">
        <v>14990</v>
      </c>
      <c r="R158" s="28" t="n">
        <v>1.81898940354586e-12</v>
      </c>
      <c r="S158" s="42" t="n">
        <v>1</v>
      </c>
      <c r="T158" s="3" t="n">
        <v>1.803</v>
      </c>
      <c r="U158" s="3" t="n">
        <v>3</v>
      </c>
      <c r="V158" s="3" t="n">
        <v>167952.8</v>
      </c>
      <c r="W158" s="42" t="n">
        <v>0.0339</v>
      </c>
      <c r="X158" s="23" t="n"/>
      <c r="Y158" s="3">
        <f>IF(I158="","No SIC",IFERROR(VLOOKUP(I158,Ref!$A$2:$B$65,2,FALSE()),"Unclassified"))</f>
        <v/>
      </c>
      <c r="Z158" s="3">
        <f>IF(T158="","",IF(T158&lt;12,"Daily","Weekly"))</f>
        <v/>
      </c>
      <c r="AA158" s="3">
        <f>IF(T158="",0,IF(T158&lt;12,T158*Controls!$B$13,T158*5))</f>
        <v/>
      </c>
      <c r="AB158" s="3">
        <f>IF(E158="",0,NETWORKDAYS(E158,Controls!$B$20,Ref!$K$2:$K$42))</f>
        <v/>
      </c>
      <c r="AC158" s="3">
        <f>IF(OR(AF158=1,AND(AA158&gt;0,AB158&gt;=Controls!$B$23*AA158)),1,0)</f>
        <v/>
      </c>
      <c r="AD158" s="3">
        <f>IF(AND(E158&lt;&gt;"",E158&gt;=Controls!$B$21,E158&lt;=Controls!$B$22),1,0)</f>
        <v/>
      </c>
      <c r="AE158" s="3">
        <f>IF(IFERROR(VLOOKUP(D158,Controls!$A$36:$E$46,2,FALSE()),"No")="Yes",1,0)</f>
        <v/>
      </c>
      <c r="AF158" s="3">
        <f>IF(IFERROR(VLOOKUP(D158,Controls!$A$36:$E$46,3,FALSE()),"No")="Yes",1,0)</f>
        <v/>
      </c>
      <c r="AG158" s="3">
        <f>IF(IFERROR(VLOOKUP(D158,Controls!$A$36:$E$46,4,FALSE()),"No")="Yes",1,0)</f>
        <v/>
      </c>
      <c r="AH158" s="3">
        <f>IF(IFERROR(VLOOKUP(D158,Controls!$A$36:$E$46,5,FALSE()),"No")="Yes",1,0)</f>
        <v/>
      </c>
      <c r="AI158" s="3">
        <f>IF(ISNUMBER(MATCH(D158,Controls!$A$36:$A$46,0)),1,0)</f>
        <v/>
      </c>
      <c r="AJ158" s="28">
        <f>Q158-N158</f>
        <v/>
      </c>
      <c r="AK158" s="3">
        <f>IF(AE158=1,MAX(0,N158-Q158),0)</f>
        <v/>
      </c>
      <c r="AL158" s="3">
        <f>IF(OR(V158="",V158=0),0,N158/V158)</f>
        <v/>
      </c>
      <c r="AM158" s="3">
        <f>IF(OR(V158="",V158=0),0,1)</f>
        <v/>
      </c>
      <c r="AN158" s="3">
        <f>IF(OR(E158="",F158=""),0,NETWORKDAYS(E158,F158,Ref!$K$2:$K$42))</f>
        <v/>
      </c>
      <c r="AO158" s="3">
        <f>IF(L158="Renewal",1,0)</f>
        <v/>
      </c>
      <c r="AP158" s="3">
        <f>AC158*AD158</f>
        <v/>
      </c>
      <c r="AQ158" s="3">
        <f>IF(AND(G158&lt;&gt;"",'Historical Score'!$C$6&lt;&gt;""),IF(G158='Historical Score'!$C$6,1,0),0)</f>
        <v/>
      </c>
      <c r="AR158" s="3">
        <f>IF(AND(L158&lt;&gt;"",'Historical Score'!$C$5&lt;&gt;""),IF(L158='Historical Score'!$C$5,1,0),0)</f>
        <v/>
      </c>
      <c r="AS158" s="3">
        <f>IF(AND(Y158&lt;&gt;"",'Historical Score'!$C$7&lt;&gt;""),IF(Y158='Historical Score'!$C$7,1,0),0)</f>
        <v/>
      </c>
      <c r="AT158" s="3">
        <f>IF(AND(K158&lt;&gt;"",'Historical Score'!$C$8&lt;&gt;""),IF(K158='Historical Score'!$C$8,1,0),0)</f>
        <v/>
      </c>
      <c r="AU158" s="3" t="n"/>
      <c r="AV158" s="3" t="n"/>
      <c r="AW158" s="3" t="n"/>
      <c r="AX158" s="3" t="n"/>
      <c r="AY158" s="3" t="n"/>
      <c r="AZ158" s="3" t="n"/>
      <c r="BA158" s="182">
        <f>IF(AD158=1,(AR158*'Historical Score'!$K$29+1-'Historical Score'!$K$29)*(AT158*'Historical Score'!$L$29+1-'Historical Score'!$L$29)*(AS158*'Historical Score'!$M$29+1-'Historical Score'!$M$29)*(AQ158*'Historical Score'!$N$29+1-'Historical Score'!$N$29),0)</f>
        <v/>
      </c>
      <c r="BB158" s="3" t="n"/>
      <c r="BC158" s="3" t="n"/>
    </row>
    <row r="159" ht="15.75" customHeight="1" s="174">
      <c r="A159" s="3" t="inlineStr">
        <is>
          <t>5674162355</t>
        </is>
      </c>
      <c r="B159" s="3" t="inlineStr">
        <is>
          <t>Our Noire Kitchen LLC</t>
        </is>
      </c>
      <c r="C159" s="3" t="inlineStr">
        <is>
          <t>Our Noire Kitchen LLC</t>
        </is>
      </c>
      <c r="D159" s="3" t="inlineStr">
        <is>
          <t>Legal</t>
        </is>
      </c>
      <c r="E159" s="23" t="n">
        <v>45861</v>
      </c>
      <c r="F159" s="23" t="n">
        <v>45904</v>
      </c>
      <c r="G159" s="3" t="n">
        <v>3</v>
      </c>
      <c r="H159" s="3" t="inlineStr">
        <is>
          <t>5812</t>
        </is>
      </c>
      <c r="I159" s="3" t="inlineStr">
        <is>
          <t>58</t>
        </is>
      </c>
      <c r="J159" s="3" t="inlineStr">
        <is>
          <t>FL</t>
        </is>
      </c>
      <c r="K159" s="3" t="inlineStr">
        <is>
          <t>Vanguard Equities</t>
        </is>
      </c>
      <c r="L159" s="3" t="inlineStr">
        <is>
          <t>New Deal</t>
        </is>
      </c>
      <c r="M159" s="3" t="n">
        <v>1.499</v>
      </c>
      <c r="N159" s="28" t="n">
        <v>5000</v>
      </c>
      <c r="O159" s="28" t="n">
        <v>700</v>
      </c>
      <c r="P159" s="28" t="n">
        <v>7495</v>
      </c>
      <c r="Q159" s="28" t="n">
        <v>2234.79</v>
      </c>
      <c r="R159" s="28" t="n">
        <v>5260.21</v>
      </c>
      <c r="S159" s="42" t="n">
        <v>0.298170780520347</v>
      </c>
      <c r="T159" s="3" t="n">
        <v>2.951</v>
      </c>
      <c r="U159" s="3" t="n">
        <v>4</v>
      </c>
      <c r="V159" s="3" t="n">
        <v>22086.74</v>
      </c>
      <c r="W159" s="42" t="n">
        <v>0.07870000000000001</v>
      </c>
      <c r="X159" s="23" t="n"/>
      <c r="Y159" s="3">
        <f>IF(I159="","No SIC",IFERROR(VLOOKUP(I159,Ref!$A$2:$B$65,2,FALSE()),"Unclassified"))</f>
        <v/>
      </c>
      <c r="Z159" s="3">
        <f>IF(T159="","",IF(T159&lt;12,"Daily","Weekly"))</f>
        <v/>
      </c>
      <c r="AA159" s="3">
        <f>IF(T159="",0,IF(T159&lt;12,T159*Controls!$B$13,T159*5))</f>
        <v/>
      </c>
      <c r="AB159" s="3">
        <f>IF(E159="",0,NETWORKDAYS(E159,Controls!$B$20,Ref!$K$2:$K$42))</f>
        <v/>
      </c>
      <c r="AC159" s="3">
        <f>IF(OR(AF159=1,AND(AA159&gt;0,AB159&gt;=Controls!$B$23*AA159)),1,0)</f>
        <v/>
      </c>
      <c r="AD159" s="3">
        <f>IF(AND(E159&lt;&gt;"",E159&gt;=Controls!$B$21,E159&lt;=Controls!$B$22),1,0)</f>
        <v/>
      </c>
      <c r="AE159" s="3">
        <f>IF(IFERROR(VLOOKUP(D159,Controls!$A$36:$E$46,2,FALSE()),"No")="Yes",1,0)</f>
        <v/>
      </c>
      <c r="AF159" s="3">
        <f>IF(IFERROR(VLOOKUP(D159,Controls!$A$36:$E$46,3,FALSE()),"No")="Yes",1,0)</f>
        <v/>
      </c>
      <c r="AG159" s="3">
        <f>IF(IFERROR(VLOOKUP(D159,Controls!$A$36:$E$46,4,FALSE()),"No")="Yes",1,0)</f>
        <v/>
      </c>
      <c r="AH159" s="3">
        <f>IF(IFERROR(VLOOKUP(D159,Controls!$A$36:$E$46,5,FALSE()),"No")="Yes",1,0)</f>
        <v/>
      </c>
      <c r="AI159" s="3">
        <f>IF(ISNUMBER(MATCH(D159,Controls!$A$36:$A$46,0)),1,0)</f>
        <v/>
      </c>
      <c r="AJ159" s="28">
        <f>Q159-N159</f>
        <v/>
      </c>
      <c r="AK159" s="3">
        <f>IF(AE159=1,MAX(0,N159-Q159),0)</f>
        <v/>
      </c>
      <c r="AL159" s="3">
        <f>IF(OR(V159="",V159=0),0,N159/V159)</f>
        <v/>
      </c>
      <c r="AM159" s="3">
        <f>IF(OR(V159="",V159=0),0,1)</f>
        <v/>
      </c>
      <c r="AN159" s="3">
        <f>IF(OR(E159="",F159=""),0,NETWORKDAYS(E159,F159,Ref!$K$2:$K$42))</f>
        <v/>
      </c>
      <c r="AO159" s="3">
        <f>IF(L159="Renewal",1,0)</f>
        <v/>
      </c>
      <c r="AP159" s="3">
        <f>AC159*AD159</f>
        <v/>
      </c>
      <c r="AQ159" s="3">
        <f>IF(AND(G159&lt;&gt;"",'Historical Score'!$C$6&lt;&gt;""),IF(G159='Historical Score'!$C$6,1,0),0)</f>
        <v/>
      </c>
      <c r="AR159" s="3">
        <f>IF(AND(L159&lt;&gt;"",'Historical Score'!$C$5&lt;&gt;""),IF(L159='Historical Score'!$C$5,1,0),0)</f>
        <v/>
      </c>
      <c r="AS159" s="3">
        <f>IF(AND(Y159&lt;&gt;"",'Historical Score'!$C$7&lt;&gt;""),IF(Y159='Historical Score'!$C$7,1,0),0)</f>
        <v/>
      </c>
      <c r="AT159" s="3">
        <f>IF(AND(K159&lt;&gt;"",'Historical Score'!$C$8&lt;&gt;""),IF(K159='Historical Score'!$C$8,1,0),0)</f>
        <v/>
      </c>
      <c r="AU159" s="3" t="n"/>
      <c r="AV159" s="3" t="n"/>
      <c r="AW159" s="3" t="n"/>
      <c r="AX159" s="3" t="n"/>
      <c r="AY159" s="3" t="n"/>
      <c r="AZ159" s="3" t="n"/>
      <c r="BA159" s="182">
        <f>IF(AD159=1,(AR159*'Historical Score'!$K$29+1-'Historical Score'!$K$29)*(AT159*'Historical Score'!$L$29+1-'Historical Score'!$L$29)*(AS159*'Historical Score'!$M$29+1-'Historical Score'!$M$29)*(AQ159*'Historical Score'!$N$29+1-'Historical Score'!$N$29),0)</f>
        <v/>
      </c>
      <c r="BB159" s="3" t="n"/>
      <c r="BC159" s="3" t="n"/>
    </row>
    <row r="160" ht="15.75" customHeight="1" s="174">
      <c r="A160" s="3" t="inlineStr">
        <is>
          <t>5674162376</t>
        </is>
      </c>
      <c r="B160" s="3" t="inlineStr">
        <is>
          <t>AK INDUSTRIES</t>
        </is>
      </c>
      <c r="C160" s="3" t="inlineStr">
        <is>
          <t>AZEEM A KHAN</t>
        </is>
      </c>
      <c r="D160" s="3" t="inlineStr">
        <is>
          <t>Legal</t>
        </is>
      </c>
      <c r="E160" s="23" t="n">
        <v>45861</v>
      </c>
      <c r="F160" s="23" t="n">
        <v>45929</v>
      </c>
      <c r="G160" s="3" t="n">
        <v>4</v>
      </c>
      <c r="H160" s="3" t="inlineStr">
        <is>
          <t>1521</t>
        </is>
      </c>
      <c r="I160" s="3" t="inlineStr">
        <is>
          <t>15</t>
        </is>
      </c>
      <c r="J160" s="3" t="inlineStr">
        <is>
          <t>CA</t>
        </is>
      </c>
      <c r="K160" s="3" t="inlineStr">
        <is>
          <t>Business Fund USA 4</t>
        </is>
      </c>
      <c r="L160" s="3" t="inlineStr">
        <is>
          <t>New Deal</t>
        </is>
      </c>
      <c r="M160" s="3" t="n">
        <v>1.499</v>
      </c>
      <c r="N160" s="28" t="n">
        <v>15000</v>
      </c>
      <c r="O160" s="28" t="n">
        <v>2100</v>
      </c>
      <c r="P160" s="28" t="n">
        <v>22485</v>
      </c>
      <c r="Q160" s="28" t="n">
        <v>2182</v>
      </c>
      <c r="R160" s="28" t="n">
        <v>20303</v>
      </c>
      <c r="S160" s="42" t="n">
        <v>0.0970424727596175</v>
      </c>
      <c r="T160" s="3" t="n">
        <v>2.787</v>
      </c>
      <c r="U160" s="3" t="n">
        <v>7</v>
      </c>
      <c r="V160" s="3" t="n">
        <v>146954</v>
      </c>
      <c r="W160" s="42" t="n">
        <v>0.0376</v>
      </c>
      <c r="X160" s="23" t="n">
        <v>42098</v>
      </c>
      <c r="Y160" s="3">
        <f>IF(I160="","No SIC",IFERROR(VLOOKUP(I160,Ref!$A$2:$B$65,2,FALSE()),"Unclassified"))</f>
        <v/>
      </c>
      <c r="Z160" s="3">
        <f>IF(T160="","",IF(T160&lt;12,"Daily","Weekly"))</f>
        <v/>
      </c>
      <c r="AA160" s="3">
        <f>IF(T160="",0,IF(T160&lt;12,T160*Controls!$B$13,T160*5))</f>
        <v/>
      </c>
      <c r="AB160" s="3">
        <f>IF(E160="",0,NETWORKDAYS(E160,Controls!$B$20,Ref!$K$2:$K$42))</f>
        <v/>
      </c>
      <c r="AC160" s="3">
        <f>IF(OR(AF160=1,AND(AA160&gt;0,AB160&gt;=Controls!$B$23*AA160)),1,0)</f>
        <v/>
      </c>
      <c r="AD160" s="3">
        <f>IF(AND(E160&lt;&gt;"",E160&gt;=Controls!$B$21,E160&lt;=Controls!$B$22),1,0)</f>
        <v/>
      </c>
      <c r="AE160" s="3">
        <f>IF(IFERROR(VLOOKUP(D160,Controls!$A$36:$E$46,2,FALSE()),"No")="Yes",1,0)</f>
        <v/>
      </c>
      <c r="AF160" s="3">
        <f>IF(IFERROR(VLOOKUP(D160,Controls!$A$36:$E$46,3,FALSE()),"No")="Yes",1,0)</f>
        <v/>
      </c>
      <c r="AG160" s="3">
        <f>IF(IFERROR(VLOOKUP(D160,Controls!$A$36:$E$46,4,FALSE()),"No")="Yes",1,0)</f>
        <v/>
      </c>
      <c r="AH160" s="3">
        <f>IF(IFERROR(VLOOKUP(D160,Controls!$A$36:$E$46,5,FALSE()),"No")="Yes",1,0)</f>
        <v/>
      </c>
      <c r="AI160" s="3">
        <f>IF(ISNUMBER(MATCH(D160,Controls!$A$36:$A$46,0)),1,0)</f>
        <v/>
      </c>
      <c r="AJ160" s="28">
        <f>Q160-N160</f>
        <v/>
      </c>
      <c r="AK160" s="3">
        <f>IF(AE160=1,MAX(0,N160-Q160),0)</f>
        <v/>
      </c>
      <c r="AL160" s="3">
        <f>IF(OR(V160="",V160=0),0,N160/V160)</f>
        <v/>
      </c>
      <c r="AM160" s="3">
        <f>IF(OR(V160="",V160=0),0,1)</f>
        <v/>
      </c>
      <c r="AN160" s="3">
        <f>IF(OR(E160="",F160=""),0,NETWORKDAYS(E160,F160,Ref!$K$2:$K$42))</f>
        <v/>
      </c>
      <c r="AO160" s="3">
        <f>IF(L160="Renewal",1,0)</f>
        <v/>
      </c>
      <c r="AP160" s="3">
        <f>AC160*AD160</f>
        <v/>
      </c>
      <c r="AQ160" s="3">
        <f>IF(AND(G160&lt;&gt;"",'Historical Score'!$C$6&lt;&gt;""),IF(G160='Historical Score'!$C$6,1,0),0)</f>
        <v/>
      </c>
      <c r="AR160" s="3">
        <f>IF(AND(L160&lt;&gt;"",'Historical Score'!$C$5&lt;&gt;""),IF(L160='Historical Score'!$C$5,1,0),0)</f>
        <v/>
      </c>
      <c r="AS160" s="3">
        <f>IF(AND(Y160&lt;&gt;"",'Historical Score'!$C$7&lt;&gt;""),IF(Y160='Historical Score'!$C$7,1,0),0)</f>
        <v/>
      </c>
      <c r="AT160" s="3">
        <f>IF(AND(K160&lt;&gt;"",'Historical Score'!$C$8&lt;&gt;""),IF(K160='Historical Score'!$C$8,1,0),0)</f>
        <v/>
      </c>
      <c r="AU160" s="3" t="n"/>
      <c r="AV160" s="3" t="n"/>
      <c r="AW160" s="3" t="n"/>
      <c r="AX160" s="3" t="n"/>
      <c r="AY160" s="3" t="n"/>
      <c r="AZ160" s="3" t="n"/>
      <c r="BA160" s="182">
        <f>IF(AD160=1,(AR160*'Historical Score'!$K$29+1-'Historical Score'!$K$29)*(AT160*'Historical Score'!$L$29+1-'Historical Score'!$L$29)*(AS160*'Historical Score'!$M$29+1-'Historical Score'!$M$29)*(AQ160*'Historical Score'!$N$29+1-'Historical Score'!$N$29),0)</f>
        <v/>
      </c>
      <c r="BB160" s="3" t="n"/>
      <c r="BC160" s="3" t="n"/>
    </row>
    <row r="161" ht="15.75" customHeight="1" s="174">
      <c r="A161" s="3" t="inlineStr">
        <is>
          <t>5674162412</t>
        </is>
      </c>
      <c r="B161" s="3" t="inlineStr">
        <is>
          <t>ST CAJETAN OIL COMPANY LLC</t>
        </is>
      </c>
      <c r="C161" s="3" t="inlineStr">
        <is>
          <t>ST CAJETAN OIL COMPANY LLC</t>
        </is>
      </c>
      <c r="D161" s="3" t="inlineStr">
        <is>
          <t>Closed</t>
        </is>
      </c>
      <c r="E161" s="23" t="n">
        <v>45861</v>
      </c>
      <c r="F161" s="23" t="n">
        <v>45952</v>
      </c>
      <c r="G161" s="3" t="n">
        <v>4</v>
      </c>
      <c r="H161" s="3" t="inlineStr">
        <is>
          <t>1382</t>
        </is>
      </c>
      <c r="I161" s="3" t="inlineStr">
        <is>
          <t>13</t>
        </is>
      </c>
      <c r="J161" s="3" t="inlineStr">
        <is>
          <t>TX</t>
        </is>
      </c>
      <c r="K161" s="3" t="inlineStr">
        <is>
          <t>United Secured Capital 8</t>
        </is>
      </c>
      <c r="L161" s="3" t="inlineStr">
        <is>
          <t>New Deal</t>
        </is>
      </c>
      <c r="M161" s="3" t="n">
        <v>1.49</v>
      </c>
      <c r="N161" s="28" t="n">
        <v>10000</v>
      </c>
      <c r="O161" s="28" t="n">
        <v>1400</v>
      </c>
      <c r="P161" s="28" t="n">
        <v>14900</v>
      </c>
      <c r="Q161" s="28" t="n">
        <v>14900</v>
      </c>
      <c r="R161" s="28" t="n">
        <v>0</v>
      </c>
      <c r="S161" s="42" t="n">
        <v>1</v>
      </c>
      <c r="T161" s="3" t="n">
        <v>2.623</v>
      </c>
      <c r="U161" s="3" t="n">
        <v>0</v>
      </c>
      <c r="V161" s="3" t="n">
        <v>37694.01</v>
      </c>
      <c r="W161" s="42" t="n">
        <v>0.1038</v>
      </c>
      <c r="X161" s="23" t="n">
        <v>44338</v>
      </c>
      <c r="Y161" s="3">
        <f>IF(I161="","No SIC",IFERROR(VLOOKUP(I161,Ref!$A$2:$B$65,2,FALSE()),"Unclassified"))</f>
        <v/>
      </c>
      <c r="Z161" s="3">
        <f>IF(T161="","",IF(T161&lt;12,"Daily","Weekly"))</f>
        <v/>
      </c>
      <c r="AA161" s="3">
        <f>IF(T161="",0,IF(T161&lt;12,T161*Controls!$B$13,T161*5))</f>
        <v/>
      </c>
      <c r="AB161" s="3">
        <f>IF(E161="",0,NETWORKDAYS(E161,Controls!$B$20,Ref!$K$2:$K$42))</f>
        <v/>
      </c>
      <c r="AC161" s="3">
        <f>IF(OR(AF161=1,AND(AA161&gt;0,AB161&gt;=Controls!$B$23*AA161)),1,0)</f>
        <v/>
      </c>
      <c r="AD161" s="3">
        <f>IF(AND(E161&lt;&gt;"",E161&gt;=Controls!$B$21,E161&lt;=Controls!$B$22),1,0)</f>
        <v/>
      </c>
      <c r="AE161" s="3">
        <f>IF(IFERROR(VLOOKUP(D161,Controls!$A$36:$E$46,2,FALSE()),"No")="Yes",1,0)</f>
        <v/>
      </c>
      <c r="AF161" s="3">
        <f>IF(IFERROR(VLOOKUP(D161,Controls!$A$36:$E$46,3,FALSE()),"No")="Yes",1,0)</f>
        <v/>
      </c>
      <c r="AG161" s="3">
        <f>IF(IFERROR(VLOOKUP(D161,Controls!$A$36:$E$46,4,FALSE()),"No")="Yes",1,0)</f>
        <v/>
      </c>
      <c r="AH161" s="3">
        <f>IF(IFERROR(VLOOKUP(D161,Controls!$A$36:$E$46,5,FALSE()),"No")="Yes",1,0)</f>
        <v/>
      </c>
      <c r="AI161" s="3">
        <f>IF(ISNUMBER(MATCH(D161,Controls!$A$36:$A$46,0)),1,0)</f>
        <v/>
      </c>
      <c r="AJ161" s="28">
        <f>Q161-N161</f>
        <v/>
      </c>
      <c r="AK161" s="3">
        <f>IF(AE161=1,MAX(0,N161-Q161),0)</f>
        <v/>
      </c>
      <c r="AL161" s="3">
        <f>IF(OR(V161="",V161=0),0,N161/V161)</f>
        <v/>
      </c>
      <c r="AM161" s="3">
        <f>IF(OR(V161="",V161=0),0,1)</f>
        <v/>
      </c>
      <c r="AN161" s="3">
        <f>IF(OR(E161="",F161=""),0,NETWORKDAYS(E161,F161,Ref!$K$2:$K$42))</f>
        <v/>
      </c>
      <c r="AO161" s="3">
        <f>IF(L161="Renewal",1,0)</f>
        <v/>
      </c>
      <c r="AP161" s="3">
        <f>AC161*AD161</f>
        <v/>
      </c>
      <c r="AQ161" s="3">
        <f>IF(AND(G161&lt;&gt;"",'Historical Score'!$C$6&lt;&gt;""),IF(G161='Historical Score'!$C$6,1,0),0)</f>
        <v/>
      </c>
      <c r="AR161" s="3">
        <f>IF(AND(L161&lt;&gt;"",'Historical Score'!$C$5&lt;&gt;""),IF(L161='Historical Score'!$C$5,1,0),0)</f>
        <v/>
      </c>
      <c r="AS161" s="3">
        <f>IF(AND(Y161&lt;&gt;"",'Historical Score'!$C$7&lt;&gt;""),IF(Y161='Historical Score'!$C$7,1,0),0)</f>
        <v/>
      </c>
      <c r="AT161" s="3">
        <f>IF(AND(K161&lt;&gt;"",'Historical Score'!$C$8&lt;&gt;""),IF(K161='Historical Score'!$C$8,1,0),0)</f>
        <v/>
      </c>
      <c r="AU161" s="3" t="n"/>
      <c r="AV161" s="3" t="n"/>
      <c r="AW161" s="3" t="n"/>
      <c r="AX161" s="3" t="n"/>
      <c r="AY161" s="3" t="n"/>
      <c r="AZ161" s="3" t="n"/>
      <c r="BA161" s="182">
        <f>IF(AD161=1,(AR161*'Historical Score'!$K$29+1-'Historical Score'!$K$29)*(AT161*'Historical Score'!$L$29+1-'Historical Score'!$L$29)*(AS161*'Historical Score'!$M$29+1-'Historical Score'!$M$29)*(AQ161*'Historical Score'!$N$29+1-'Historical Score'!$N$29),0)</f>
        <v/>
      </c>
      <c r="BB161" s="3" t="n"/>
      <c r="BC161" s="3" t="n"/>
    </row>
    <row r="162" ht="15.75" customHeight="1" s="174">
      <c r="A162" s="3" t="inlineStr">
        <is>
          <t>5674162433</t>
        </is>
      </c>
      <c r="B162" s="3" t="inlineStr">
        <is>
          <t>Garner Construction</t>
        </is>
      </c>
      <c r="C162" s="3" t="inlineStr">
        <is>
          <t>NGM ENTERPRISES LLC</t>
        </is>
      </c>
      <c r="D162" s="3" t="inlineStr">
        <is>
          <t>In House Collection</t>
        </is>
      </c>
      <c r="E162" s="23" t="n">
        <v>45862</v>
      </c>
      <c r="F162" s="23" t="n">
        <v>46247</v>
      </c>
      <c r="G162" s="3" t="n">
        <v>3</v>
      </c>
      <c r="H162" s="3" t="inlineStr">
        <is>
          <t>1521</t>
        </is>
      </c>
      <c r="I162" s="3" t="inlineStr">
        <is>
          <t>15</t>
        </is>
      </c>
      <c r="J162" s="3" t="inlineStr">
        <is>
          <t>NC</t>
        </is>
      </c>
      <c r="K162" s="3" t="inlineStr">
        <is>
          <t>ROYAL FUNDING GROUP</t>
        </is>
      </c>
      <c r="L162" s="3" t="inlineStr">
        <is>
          <t>New Deal</t>
        </is>
      </c>
      <c r="M162" s="3" t="n">
        <v>1.49</v>
      </c>
      <c r="N162" s="28" t="n">
        <v>12500</v>
      </c>
      <c r="O162" s="28" t="n">
        <v>1750</v>
      </c>
      <c r="P162" s="28" t="n">
        <v>18625</v>
      </c>
      <c r="Q162" s="28" t="n">
        <v>4394.49</v>
      </c>
      <c r="R162" s="28" t="n">
        <v>14230.51</v>
      </c>
      <c r="S162" s="42" t="n">
        <v>0.235945771812081</v>
      </c>
      <c r="T162" s="3" t="n">
        <v>18</v>
      </c>
      <c r="U162" s="3" t="n">
        <v>12</v>
      </c>
      <c r="V162" s="3" t="n">
        <v>206134.77</v>
      </c>
      <c r="W162" s="42" t="n">
        <v>0.0201</v>
      </c>
      <c r="X162" s="23" t="n">
        <v>43544</v>
      </c>
      <c r="Y162" s="3">
        <f>IF(I162="","No SIC",IFERROR(VLOOKUP(I162,Ref!$A$2:$B$65,2,FALSE()),"Unclassified"))</f>
        <v/>
      </c>
      <c r="Z162" s="3">
        <f>IF(T162="","",IF(T162&lt;12,"Daily","Weekly"))</f>
        <v/>
      </c>
      <c r="AA162" s="3">
        <f>IF(T162="",0,IF(T162&lt;12,T162*Controls!$B$13,T162*5))</f>
        <v/>
      </c>
      <c r="AB162" s="3">
        <f>IF(E162="",0,NETWORKDAYS(E162,Controls!$B$20,Ref!$K$2:$K$42))</f>
        <v/>
      </c>
      <c r="AC162" s="3">
        <f>IF(OR(AF162=1,AND(AA162&gt;0,AB162&gt;=Controls!$B$23*AA162)),1,0)</f>
        <v/>
      </c>
      <c r="AD162" s="3">
        <f>IF(AND(E162&lt;&gt;"",E162&gt;=Controls!$B$21,E162&lt;=Controls!$B$22),1,0)</f>
        <v/>
      </c>
      <c r="AE162" s="3">
        <f>IF(IFERROR(VLOOKUP(D162,Controls!$A$36:$E$46,2,FALSE()),"No")="Yes",1,0)</f>
        <v/>
      </c>
      <c r="AF162" s="3">
        <f>IF(IFERROR(VLOOKUP(D162,Controls!$A$36:$E$46,3,FALSE()),"No")="Yes",1,0)</f>
        <v/>
      </c>
      <c r="AG162" s="3">
        <f>IF(IFERROR(VLOOKUP(D162,Controls!$A$36:$E$46,4,FALSE()),"No")="Yes",1,0)</f>
        <v/>
      </c>
      <c r="AH162" s="3">
        <f>IF(IFERROR(VLOOKUP(D162,Controls!$A$36:$E$46,5,FALSE()),"No")="Yes",1,0)</f>
        <v/>
      </c>
      <c r="AI162" s="3">
        <f>IF(ISNUMBER(MATCH(D162,Controls!$A$36:$A$46,0)),1,0)</f>
        <v/>
      </c>
      <c r="AJ162" s="28">
        <f>Q162-N162</f>
        <v/>
      </c>
      <c r="AK162" s="3">
        <f>IF(AE162=1,MAX(0,N162-Q162),0)</f>
        <v/>
      </c>
      <c r="AL162" s="3">
        <f>IF(OR(V162="",V162=0),0,N162/V162)</f>
        <v/>
      </c>
      <c r="AM162" s="3">
        <f>IF(OR(V162="",V162=0),0,1)</f>
        <v/>
      </c>
      <c r="AN162" s="3">
        <f>IF(OR(E162="",F162=""),0,NETWORKDAYS(E162,F162,Ref!$K$2:$K$42))</f>
        <v/>
      </c>
      <c r="AO162" s="3">
        <f>IF(L162="Renewal",1,0)</f>
        <v/>
      </c>
      <c r="AP162" s="3">
        <f>AC162*AD162</f>
        <v/>
      </c>
      <c r="AQ162" s="3">
        <f>IF(AND(G162&lt;&gt;"",'Historical Score'!$C$6&lt;&gt;""),IF(G162='Historical Score'!$C$6,1,0),0)</f>
        <v/>
      </c>
      <c r="AR162" s="3">
        <f>IF(AND(L162&lt;&gt;"",'Historical Score'!$C$5&lt;&gt;""),IF(L162='Historical Score'!$C$5,1,0),0)</f>
        <v/>
      </c>
      <c r="AS162" s="3">
        <f>IF(AND(Y162&lt;&gt;"",'Historical Score'!$C$7&lt;&gt;""),IF(Y162='Historical Score'!$C$7,1,0),0)</f>
        <v/>
      </c>
      <c r="AT162" s="3">
        <f>IF(AND(K162&lt;&gt;"",'Historical Score'!$C$8&lt;&gt;""),IF(K162='Historical Score'!$C$8,1,0),0)</f>
        <v/>
      </c>
      <c r="AU162" s="3" t="n"/>
      <c r="AV162" s="3" t="n"/>
      <c r="AW162" s="3" t="n"/>
      <c r="AX162" s="3" t="n"/>
      <c r="AY162" s="3" t="n"/>
      <c r="AZ162" s="3" t="n"/>
      <c r="BA162" s="182">
        <f>IF(AD162=1,(AR162*'Historical Score'!$K$29+1-'Historical Score'!$K$29)*(AT162*'Historical Score'!$L$29+1-'Historical Score'!$L$29)*(AS162*'Historical Score'!$M$29+1-'Historical Score'!$M$29)*(AQ162*'Historical Score'!$N$29+1-'Historical Score'!$N$29),0)</f>
        <v/>
      </c>
      <c r="BB162" s="3" t="n"/>
      <c r="BC162" s="3" t="n"/>
    </row>
    <row r="163" ht="15.75" customHeight="1" s="174">
      <c r="A163" s="3" t="inlineStr">
        <is>
          <t>5674162458</t>
        </is>
      </c>
      <c r="B163" s="3" t="inlineStr">
        <is>
          <t>ARETE GALLERY INC</t>
        </is>
      </c>
      <c r="C163" s="3" t="inlineStr">
        <is>
          <t>ARETE GALLERY INC</t>
        </is>
      </c>
      <c r="D163" s="3" t="inlineStr">
        <is>
          <t>In House Collection</t>
        </is>
      </c>
      <c r="E163" s="23" t="n">
        <v>45862</v>
      </c>
      <c r="F163" s="23" t="n">
        <v>46248</v>
      </c>
      <c r="G163" s="3" t="n">
        <v>3</v>
      </c>
      <c r="H163" s="3" t="inlineStr">
        <is>
          <t>8412</t>
        </is>
      </c>
      <c r="I163" s="3" t="inlineStr">
        <is>
          <t>84</t>
        </is>
      </c>
      <c r="J163" s="3" t="inlineStr">
        <is>
          <t>PA</t>
        </is>
      </c>
      <c r="K163" s="3" t="inlineStr">
        <is>
          <t>Shop Funder</t>
        </is>
      </c>
      <c r="L163" s="3" t="inlineStr">
        <is>
          <t>Renewal</t>
        </is>
      </c>
      <c r="M163" s="3" t="n">
        <v>1.499</v>
      </c>
      <c r="N163" s="28" t="n">
        <v>10000</v>
      </c>
      <c r="O163" s="28" t="n">
        <v>1400</v>
      </c>
      <c r="P163" s="28" t="n">
        <v>14990</v>
      </c>
      <c r="Q163" s="28" t="n">
        <v>5993.45</v>
      </c>
      <c r="R163" s="28" t="n">
        <v>8996.549999999999</v>
      </c>
      <c r="S163" s="42" t="n">
        <v>0.399829886591061</v>
      </c>
      <c r="T163" s="3" t="n">
        <v>3.279</v>
      </c>
      <c r="U163" s="3" t="n">
        <v>23</v>
      </c>
      <c r="V163" s="3" t="n">
        <v>12360.62</v>
      </c>
      <c r="W163" s="42" t="n">
        <v>0.2547</v>
      </c>
      <c r="X163" s="23" t="n">
        <v>44105</v>
      </c>
      <c r="Y163" s="3">
        <f>IF(I163="","No SIC",IFERROR(VLOOKUP(I163,Ref!$A$2:$B$65,2,FALSE()),"Unclassified"))</f>
        <v/>
      </c>
      <c r="Z163" s="3">
        <f>IF(T163="","",IF(T163&lt;12,"Daily","Weekly"))</f>
        <v/>
      </c>
      <c r="AA163" s="3">
        <f>IF(T163="",0,IF(T163&lt;12,T163*Controls!$B$13,T163*5))</f>
        <v/>
      </c>
      <c r="AB163" s="3">
        <f>IF(E163="",0,NETWORKDAYS(E163,Controls!$B$20,Ref!$K$2:$K$42))</f>
        <v/>
      </c>
      <c r="AC163" s="3">
        <f>IF(OR(AF163=1,AND(AA163&gt;0,AB163&gt;=Controls!$B$23*AA163)),1,0)</f>
        <v/>
      </c>
      <c r="AD163" s="3">
        <f>IF(AND(E163&lt;&gt;"",E163&gt;=Controls!$B$21,E163&lt;=Controls!$B$22),1,0)</f>
        <v/>
      </c>
      <c r="AE163" s="3">
        <f>IF(IFERROR(VLOOKUP(D163,Controls!$A$36:$E$46,2,FALSE()),"No")="Yes",1,0)</f>
        <v/>
      </c>
      <c r="AF163" s="3">
        <f>IF(IFERROR(VLOOKUP(D163,Controls!$A$36:$E$46,3,FALSE()),"No")="Yes",1,0)</f>
        <v/>
      </c>
      <c r="AG163" s="3">
        <f>IF(IFERROR(VLOOKUP(D163,Controls!$A$36:$E$46,4,FALSE()),"No")="Yes",1,0)</f>
        <v/>
      </c>
      <c r="AH163" s="3">
        <f>IF(IFERROR(VLOOKUP(D163,Controls!$A$36:$E$46,5,FALSE()),"No")="Yes",1,0)</f>
        <v/>
      </c>
      <c r="AI163" s="3">
        <f>IF(ISNUMBER(MATCH(D163,Controls!$A$36:$A$46,0)),1,0)</f>
        <v/>
      </c>
      <c r="AJ163" s="28">
        <f>Q163-N163</f>
        <v/>
      </c>
      <c r="AK163" s="3">
        <f>IF(AE163=1,MAX(0,N163-Q163),0)</f>
        <v/>
      </c>
      <c r="AL163" s="3">
        <f>IF(OR(V163="",V163=0),0,N163/V163)</f>
        <v/>
      </c>
      <c r="AM163" s="3">
        <f>IF(OR(V163="",V163=0),0,1)</f>
        <v/>
      </c>
      <c r="AN163" s="3">
        <f>IF(OR(E163="",F163=""),0,NETWORKDAYS(E163,F163,Ref!$K$2:$K$42))</f>
        <v/>
      </c>
      <c r="AO163" s="3">
        <f>IF(L163="Renewal",1,0)</f>
        <v/>
      </c>
      <c r="AP163" s="3">
        <f>AC163*AD163</f>
        <v/>
      </c>
      <c r="AQ163" s="3">
        <f>IF(AND(G163&lt;&gt;"",'Historical Score'!$C$6&lt;&gt;""),IF(G163='Historical Score'!$C$6,1,0),0)</f>
        <v/>
      </c>
      <c r="AR163" s="3">
        <f>IF(AND(L163&lt;&gt;"",'Historical Score'!$C$5&lt;&gt;""),IF(L163='Historical Score'!$C$5,1,0),0)</f>
        <v/>
      </c>
      <c r="AS163" s="3">
        <f>IF(AND(Y163&lt;&gt;"",'Historical Score'!$C$7&lt;&gt;""),IF(Y163='Historical Score'!$C$7,1,0),0)</f>
        <v/>
      </c>
      <c r="AT163" s="3">
        <f>IF(AND(K163&lt;&gt;"",'Historical Score'!$C$8&lt;&gt;""),IF(K163='Historical Score'!$C$8,1,0),0)</f>
        <v/>
      </c>
      <c r="AU163" s="3" t="n"/>
      <c r="AV163" s="3" t="n"/>
      <c r="AW163" s="3" t="n"/>
      <c r="AX163" s="3" t="n"/>
      <c r="AY163" s="3" t="n"/>
      <c r="AZ163" s="3" t="n"/>
      <c r="BA163" s="182">
        <f>IF(AD163=1,(AR163*'Historical Score'!$K$29+1-'Historical Score'!$K$29)*(AT163*'Historical Score'!$L$29+1-'Historical Score'!$L$29)*(AS163*'Historical Score'!$M$29+1-'Historical Score'!$M$29)*(AQ163*'Historical Score'!$N$29+1-'Historical Score'!$N$29),0)</f>
        <v/>
      </c>
      <c r="BB163" s="3" t="n"/>
      <c r="BC163" s="3" t="n"/>
    </row>
    <row r="164" ht="15.75" customHeight="1" s="174">
      <c r="A164" s="3" t="inlineStr">
        <is>
          <t>5674162475</t>
        </is>
      </c>
      <c r="B164" s="3" t="inlineStr">
        <is>
          <t>Ace Prevention Private Security LLC</t>
        </is>
      </c>
      <c r="C164" s="3" t="inlineStr">
        <is>
          <t>Ace Prevention Private Security LLC</t>
        </is>
      </c>
      <c r="D164" s="3" t="inlineStr">
        <is>
          <t>Legal</t>
        </is>
      </c>
      <c r="E164" s="23" t="n">
        <v>45862</v>
      </c>
      <c r="F164" s="23" t="n">
        <v>46157</v>
      </c>
      <c r="G164" s="3" t="n">
        <v>3</v>
      </c>
      <c r="H164" s="3" t="inlineStr">
        <is>
          <t>7382</t>
        </is>
      </c>
      <c r="I164" s="3" t="inlineStr">
        <is>
          <t>73</t>
        </is>
      </c>
      <c r="J164" s="3" t="inlineStr">
        <is>
          <t>LA</t>
        </is>
      </c>
      <c r="K164" s="3" t="inlineStr">
        <is>
          <t>I burst funding</t>
        </is>
      </c>
      <c r="L164" s="3" t="inlineStr">
        <is>
          <t>New Deal</t>
        </is>
      </c>
      <c r="M164" s="3" t="n">
        <v>1.499</v>
      </c>
      <c r="N164" s="28" t="n">
        <v>5000</v>
      </c>
      <c r="O164" s="28" t="n">
        <v>700</v>
      </c>
      <c r="P164" s="28" t="n">
        <v>7495</v>
      </c>
      <c r="Q164" s="28" t="n">
        <v>2978.64</v>
      </c>
      <c r="R164" s="28" t="n">
        <v>4516.36</v>
      </c>
      <c r="S164" s="42" t="n">
        <v>0.397416944629753</v>
      </c>
      <c r="T164" s="3" t="n">
        <v>2.295</v>
      </c>
      <c r="U164" s="3" t="n">
        <v>49</v>
      </c>
      <c r="V164" s="3" t="n">
        <v>23564.34</v>
      </c>
      <c r="W164" s="42" t="n">
        <v>0.0948</v>
      </c>
      <c r="X164" s="23" t="n"/>
      <c r="Y164" s="3">
        <f>IF(I164="","No SIC",IFERROR(VLOOKUP(I164,Ref!$A$2:$B$65,2,FALSE()),"Unclassified"))</f>
        <v/>
      </c>
      <c r="Z164" s="3">
        <f>IF(T164="","",IF(T164&lt;12,"Daily","Weekly"))</f>
        <v/>
      </c>
      <c r="AA164" s="3">
        <f>IF(T164="",0,IF(T164&lt;12,T164*Controls!$B$13,T164*5))</f>
        <v/>
      </c>
      <c r="AB164" s="3">
        <f>IF(E164="",0,NETWORKDAYS(E164,Controls!$B$20,Ref!$K$2:$K$42))</f>
        <v/>
      </c>
      <c r="AC164" s="3">
        <f>IF(OR(AF164=1,AND(AA164&gt;0,AB164&gt;=Controls!$B$23*AA164)),1,0)</f>
        <v/>
      </c>
      <c r="AD164" s="3">
        <f>IF(AND(E164&lt;&gt;"",E164&gt;=Controls!$B$21,E164&lt;=Controls!$B$22),1,0)</f>
        <v/>
      </c>
      <c r="AE164" s="3">
        <f>IF(IFERROR(VLOOKUP(D164,Controls!$A$36:$E$46,2,FALSE()),"No")="Yes",1,0)</f>
        <v/>
      </c>
      <c r="AF164" s="3">
        <f>IF(IFERROR(VLOOKUP(D164,Controls!$A$36:$E$46,3,FALSE()),"No")="Yes",1,0)</f>
        <v/>
      </c>
      <c r="AG164" s="3">
        <f>IF(IFERROR(VLOOKUP(D164,Controls!$A$36:$E$46,4,FALSE()),"No")="Yes",1,0)</f>
        <v/>
      </c>
      <c r="AH164" s="3">
        <f>IF(IFERROR(VLOOKUP(D164,Controls!$A$36:$E$46,5,FALSE()),"No")="Yes",1,0)</f>
        <v/>
      </c>
      <c r="AI164" s="3">
        <f>IF(ISNUMBER(MATCH(D164,Controls!$A$36:$A$46,0)),1,0)</f>
        <v/>
      </c>
      <c r="AJ164" s="28">
        <f>Q164-N164</f>
        <v/>
      </c>
      <c r="AK164" s="3">
        <f>IF(AE164=1,MAX(0,N164-Q164),0)</f>
        <v/>
      </c>
      <c r="AL164" s="3">
        <f>IF(OR(V164="",V164=0),0,N164/V164)</f>
        <v/>
      </c>
      <c r="AM164" s="3">
        <f>IF(OR(V164="",V164=0),0,1)</f>
        <v/>
      </c>
      <c r="AN164" s="3">
        <f>IF(OR(E164="",F164=""),0,NETWORKDAYS(E164,F164,Ref!$K$2:$K$42))</f>
        <v/>
      </c>
      <c r="AO164" s="3">
        <f>IF(L164="Renewal",1,0)</f>
        <v/>
      </c>
      <c r="AP164" s="3">
        <f>AC164*AD164</f>
        <v/>
      </c>
      <c r="AQ164" s="3">
        <f>IF(AND(G164&lt;&gt;"",'Historical Score'!$C$6&lt;&gt;""),IF(G164='Historical Score'!$C$6,1,0),0)</f>
        <v/>
      </c>
      <c r="AR164" s="3">
        <f>IF(AND(L164&lt;&gt;"",'Historical Score'!$C$5&lt;&gt;""),IF(L164='Historical Score'!$C$5,1,0),0)</f>
        <v/>
      </c>
      <c r="AS164" s="3">
        <f>IF(AND(Y164&lt;&gt;"",'Historical Score'!$C$7&lt;&gt;""),IF(Y164='Historical Score'!$C$7,1,0),0)</f>
        <v/>
      </c>
      <c r="AT164" s="3">
        <f>IF(AND(K164&lt;&gt;"",'Historical Score'!$C$8&lt;&gt;""),IF(K164='Historical Score'!$C$8,1,0),0)</f>
        <v/>
      </c>
      <c r="AU164" s="3" t="n"/>
      <c r="AV164" s="3" t="n"/>
      <c r="AW164" s="3" t="n"/>
      <c r="AX164" s="3" t="n"/>
      <c r="AY164" s="3" t="n"/>
      <c r="AZ164" s="3" t="n"/>
      <c r="BA164" s="182">
        <f>IF(AD164=1,(AR164*'Historical Score'!$K$29+1-'Historical Score'!$K$29)*(AT164*'Historical Score'!$L$29+1-'Historical Score'!$L$29)*(AS164*'Historical Score'!$M$29+1-'Historical Score'!$M$29)*(AQ164*'Historical Score'!$N$29+1-'Historical Score'!$N$29),0)</f>
        <v/>
      </c>
      <c r="BB164" s="3" t="n"/>
      <c r="BC164" s="3" t="n"/>
    </row>
    <row r="165" ht="15.75" customHeight="1" s="174">
      <c r="A165" s="3" t="inlineStr">
        <is>
          <t>5674162572</t>
        </is>
      </c>
      <c r="B165" s="3" t="inlineStr">
        <is>
          <t>DAVINCI MEDICAL LLC</t>
        </is>
      </c>
      <c r="C165" s="3" t="inlineStr">
        <is>
          <t>DAVINCI MEDICAL LLC</t>
        </is>
      </c>
      <c r="D165" s="3" t="inlineStr">
        <is>
          <t>Legal</t>
        </is>
      </c>
      <c r="E165" s="23" t="n">
        <v>45863</v>
      </c>
      <c r="F165" s="23" t="n">
        <v>45947</v>
      </c>
      <c r="G165" s="3" t="n">
        <v>1</v>
      </c>
      <c r="H165" s="3" t="inlineStr">
        <is>
          <t>8011</t>
        </is>
      </c>
      <c r="I165" s="3" t="inlineStr">
        <is>
          <t>80</t>
        </is>
      </c>
      <c r="J165" s="3" t="inlineStr">
        <is>
          <t>TX</t>
        </is>
      </c>
      <c r="K165" s="3" t="inlineStr">
        <is>
          <t>Direct Funding LLC</t>
        </is>
      </c>
      <c r="L165" s="3" t="inlineStr">
        <is>
          <t>New Deal</t>
        </is>
      </c>
      <c r="M165" s="3" t="n">
        <v>1.499</v>
      </c>
      <c r="N165" s="28" t="n">
        <v>20000</v>
      </c>
      <c r="O165" s="28" t="n">
        <v>2800</v>
      </c>
      <c r="P165" s="28" t="n">
        <v>29980</v>
      </c>
      <c r="Q165" s="28" t="n">
        <v>16738.83</v>
      </c>
      <c r="R165" s="28" t="n">
        <v>13241.17</v>
      </c>
      <c r="S165" s="42" t="n">
        <v>0.558333222148099</v>
      </c>
      <c r="T165" s="3" t="n">
        <v>16</v>
      </c>
      <c r="U165" s="3" t="n">
        <v>3</v>
      </c>
      <c r="V165" s="3" t="n">
        <v>94371.25999999999</v>
      </c>
      <c r="W165" s="42" t="n">
        <v>0.0465</v>
      </c>
      <c r="X165" s="23" t="n">
        <v>42227</v>
      </c>
      <c r="Y165" s="3">
        <f>IF(I165="","No SIC",IFERROR(VLOOKUP(I165,Ref!$A$2:$B$65,2,FALSE()),"Unclassified"))</f>
        <v/>
      </c>
      <c r="Z165" s="3">
        <f>IF(T165="","",IF(T165&lt;12,"Daily","Weekly"))</f>
        <v/>
      </c>
      <c r="AA165" s="3">
        <f>IF(T165="",0,IF(T165&lt;12,T165*Controls!$B$13,T165*5))</f>
        <v/>
      </c>
      <c r="AB165" s="3">
        <f>IF(E165="",0,NETWORKDAYS(E165,Controls!$B$20,Ref!$K$2:$K$42))</f>
        <v/>
      </c>
      <c r="AC165" s="3">
        <f>IF(OR(AF165=1,AND(AA165&gt;0,AB165&gt;=Controls!$B$23*AA165)),1,0)</f>
        <v/>
      </c>
      <c r="AD165" s="3">
        <f>IF(AND(E165&lt;&gt;"",E165&gt;=Controls!$B$21,E165&lt;=Controls!$B$22),1,0)</f>
        <v/>
      </c>
      <c r="AE165" s="3">
        <f>IF(IFERROR(VLOOKUP(D165,Controls!$A$36:$E$46,2,FALSE()),"No")="Yes",1,0)</f>
        <v/>
      </c>
      <c r="AF165" s="3">
        <f>IF(IFERROR(VLOOKUP(D165,Controls!$A$36:$E$46,3,FALSE()),"No")="Yes",1,0)</f>
        <v/>
      </c>
      <c r="AG165" s="3">
        <f>IF(IFERROR(VLOOKUP(D165,Controls!$A$36:$E$46,4,FALSE()),"No")="Yes",1,0)</f>
        <v/>
      </c>
      <c r="AH165" s="3">
        <f>IF(IFERROR(VLOOKUP(D165,Controls!$A$36:$E$46,5,FALSE()),"No")="Yes",1,0)</f>
        <v/>
      </c>
      <c r="AI165" s="3">
        <f>IF(ISNUMBER(MATCH(D165,Controls!$A$36:$A$46,0)),1,0)</f>
        <v/>
      </c>
      <c r="AJ165" s="28">
        <f>Q165-N165</f>
        <v/>
      </c>
      <c r="AK165" s="3">
        <f>IF(AE165=1,MAX(0,N165-Q165),0)</f>
        <v/>
      </c>
      <c r="AL165" s="3">
        <f>IF(OR(V165="",V165=0),0,N165/V165)</f>
        <v/>
      </c>
      <c r="AM165" s="3">
        <f>IF(OR(V165="",V165=0),0,1)</f>
        <v/>
      </c>
      <c r="AN165" s="3">
        <f>IF(OR(E165="",F165=""),0,NETWORKDAYS(E165,F165,Ref!$K$2:$K$42))</f>
        <v/>
      </c>
      <c r="AO165" s="3">
        <f>IF(L165="Renewal",1,0)</f>
        <v/>
      </c>
      <c r="AP165" s="3">
        <f>AC165*AD165</f>
        <v/>
      </c>
      <c r="AQ165" s="3">
        <f>IF(AND(G165&lt;&gt;"",'Historical Score'!$C$6&lt;&gt;""),IF(G165='Historical Score'!$C$6,1,0),0)</f>
        <v/>
      </c>
      <c r="AR165" s="3">
        <f>IF(AND(L165&lt;&gt;"",'Historical Score'!$C$5&lt;&gt;""),IF(L165='Historical Score'!$C$5,1,0),0)</f>
        <v/>
      </c>
      <c r="AS165" s="3">
        <f>IF(AND(Y165&lt;&gt;"",'Historical Score'!$C$7&lt;&gt;""),IF(Y165='Historical Score'!$C$7,1,0),0)</f>
        <v/>
      </c>
      <c r="AT165" s="3">
        <f>IF(AND(K165&lt;&gt;"",'Historical Score'!$C$8&lt;&gt;""),IF(K165='Historical Score'!$C$8,1,0),0)</f>
        <v/>
      </c>
      <c r="AU165" s="3" t="n"/>
      <c r="AV165" s="3" t="n"/>
      <c r="AW165" s="3" t="n"/>
      <c r="AX165" s="3" t="n"/>
      <c r="AY165" s="3" t="n"/>
      <c r="AZ165" s="3" t="n"/>
      <c r="BA165" s="182">
        <f>IF(AD165=1,(AR165*'Historical Score'!$K$29+1-'Historical Score'!$K$29)*(AT165*'Historical Score'!$L$29+1-'Historical Score'!$L$29)*(AS165*'Historical Score'!$M$29+1-'Historical Score'!$M$29)*(AQ165*'Historical Score'!$N$29+1-'Historical Score'!$N$29),0)</f>
        <v/>
      </c>
      <c r="BB165" s="3" t="n"/>
      <c r="BC165" s="3" t="n"/>
    </row>
    <row r="166" ht="15.75" customHeight="1" s="174">
      <c r="A166" s="3" t="inlineStr">
        <is>
          <t>5674162573</t>
        </is>
      </c>
      <c r="B166" s="3" t="inlineStr">
        <is>
          <t>LINCOLN'S CONSTRUCTION REMODELING</t>
        </is>
      </c>
      <c r="C166" s="3" t="inlineStr">
        <is>
          <t>Lincoln'S Construction Remodeling Inc</t>
        </is>
      </c>
      <c r="D166" s="3" t="inlineStr">
        <is>
          <t>Legal</t>
        </is>
      </c>
      <c r="E166" s="23" t="n">
        <v>45863</v>
      </c>
      <c r="F166" s="23" t="n">
        <v>46234</v>
      </c>
      <c r="G166" s="3" t="n">
        <v>1</v>
      </c>
      <c r="H166" s="3" t="inlineStr">
        <is>
          <t>1521</t>
        </is>
      </c>
      <c r="I166" s="3" t="inlineStr">
        <is>
          <t>15</t>
        </is>
      </c>
      <c r="J166" s="3" t="inlineStr">
        <is>
          <t>MA</t>
        </is>
      </c>
      <c r="K166" s="3" t="inlineStr">
        <is>
          <t>PMF</t>
        </is>
      </c>
      <c r="L166" s="3" t="inlineStr">
        <is>
          <t>New Deal</t>
        </is>
      </c>
      <c r="M166" s="3" t="n">
        <v>1.49</v>
      </c>
      <c r="N166" s="28" t="n">
        <v>50000</v>
      </c>
      <c r="O166" s="28" t="n">
        <v>7000</v>
      </c>
      <c r="P166" s="28" t="n">
        <v>74500</v>
      </c>
      <c r="Q166" s="28" t="n">
        <v>51490.08</v>
      </c>
      <c r="R166" s="28" t="n">
        <v>23009.92</v>
      </c>
      <c r="S166" s="42" t="n">
        <v>0.691142013422819</v>
      </c>
      <c r="T166" s="3" t="n">
        <v>28</v>
      </c>
      <c r="U166" s="3" t="n">
        <v>2</v>
      </c>
      <c r="V166" s="3" t="n">
        <v>125203.05</v>
      </c>
      <c r="W166" s="42" t="n">
        <v>0.08500000000000001</v>
      </c>
      <c r="X166" s="23" t="n">
        <v>44531</v>
      </c>
      <c r="Y166" s="3">
        <f>IF(I166="","No SIC",IFERROR(VLOOKUP(I166,Ref!$A$2:$B$65,2,FALSE()),"Unclassified"))</f>
        <v/>
      </c>
      <c r="Z166" s="3">
        <f>IF(T166="","",IF(T166&lt;12,"Daily","Weekly"))</f>
        <v/>
      </c>
      <c r="AA166" s="3">
        <f>IF(T166="",0,IF(T166&lt;12,T166*Controls!$B$13,T166*5))</f>
        <v/>
      </c>
      <c r="AB166" s="3">
        <f>IF(E166="",0,NETWORKDAYS(E166,Controls!$B$20,Ref!$K$2:$K$42))</f>
        <v/>
      </c>
      <c r="AC166" s="3">
        <f>IF(OR(AF166=1,AND(AA166&gt;0,AB166&gt;=Controls!$B$23*AA166)),1,0)</f>
        <v/>
      </c>
      <c r="AD166" s="3">
        <f>IF(AND(E166&lt;&gt;"",E166&gt;=Controls!$B$21,E166&lt;=Controls!$B$22),1,0)</f>
        <v/>
      </c>
      <c r="AE166" s="3">
        <f>IF(IFERROR(VLOOKUP(D166,Controls!$A$36:$E$46,2,FALSE()),"No")="Yes",1,0)</f>
        <v/>
      </c>
      <c r="AF166" s="3">
        <f>IF(IFERROR(VLOOKUP(D166,Controls!$A$36:$E$46,3,FALSE()),"No")="Yes",1,0)</f>
        <v/>
      </c>
      <c r="AG166" s="3">
        <f>IF(IFERROR(VLOOKUP(D166,Controls!$A$36:$E$46,4,FALSE()),"No")="Yes",1,0)</f>
        <v/>
      </c>
      <c r="AH166" s="3">
        <f>IF(IFERROR(VLOOKUP(D166,Controls!$A$36:$E$46,5,FALSE()),"No")="Yes",1,0)</f>
        <v/>
      </c>
      <c r="AI166" s="3">
        <f>IF(ISNUMBER(MATCH(D166,Controls!$A$36:$A$46,0)),1,0)</f>
        <v/>
      </c>
      <c r="AJ166" s="28">
        <f>Q166-N166</f>
        <v/>
      </c>
      <c r="AK166" s="3">
        <f>IF(AE166=1,MAX(0,N166-Q166),0)</f>
        <v/>
      </c>
      <c r="AL166" s="3">
        <f>IF(OR(V166="",V166=0),0,N166/V166)</f>
        <v/>
      </c>
      <c r="AM166" s="3">
        <f>IF(OR(V166="",V166=0),0,1)</f>
        <v/>
      </c>
      <c r="AN166" s="3">
        <f>IF(OR(E166="",F166=""),0,NETWORKDAYS(E166,F166,Ref!$K$2:$K$42))</f>
        <v/>
      </c>
      <c r="AO166" s="3">
        <f>IF(L166="Renewal",1,0)</f>
        <v/>
      </c>
      <c r="AP166" s="3">
        <f>AC166*AD166</f>
        <v/>
      </c>
      <c r="AQ166" s="3">
        <f>IF(AND(G166&lt;&gt;"",'Historical Score'!$C$6&lt;&gt;""),IF(G166='Historical Score'!$C$6,1,0),0)</f>
        <v/>
      </c>
      <c r="AR166" s="3">
        <f>IF(AND(L166&lt;&gt;"",'Historical Score'!$C$5&lt;&gt;""),IF(L166='Historical Score'!$C$5,1,0),0)</f>
        <v/>
      </c>
      <c r="AS166" s="3">
        <f>IF(AND(Y166&lt;&gt;"",'Historical Score'!$C$7&lt;&gt;""),IF(Y166='Historical Score'!$C$7,1,0),0)</f>
        <v/>
      </c>
      <c r="AT166" s="3">
        <f>IF(AND(K166&lt;&gt;"",'Historical Score'!$C$8&lt;&gt;""),IF(K166='Historical Score'!$C$8,1,0),0)</f>
        <v/>
      </c>
      <c r="AU166" s="3" t="n"/>
      <c r="AV166" s="3" t="n"/>
      <c r="AW166" s="3" t="n"/>
      <c r="AX166" s="3" t="n"/>
      <c r="AY166" s="3" t="n"/>
      <c r="AZ166" s="3" t="n"/>
      <c r="BA166" s="182">
        <f>IF(AD166=1,(AR166*'Historical Score'!$K$29+1-'Historical Score'!$K$29)*(AT166*'Historical Score'!$L$29+1-'Historical Score'!$L$29)*(AS166*'Historical Score'!$M$29+1-'Historical Score'!$M$29)*(AQ166*'Historical Score'!$N$29+1-'Historical Score'!$N$29),0)</f>
        <v/>
      </c>
      <c r="BB166" s="3" t="n"/>
      <c r="BC166" s="3" t="n"/>
    </row>
    <row r="167" ht="15.75" customHeight="1" s="174">
      <c r="A167" s="3" t="inlineStr">
        <is>
          <t>5674162590</t>
        </is>
      </c>
      <c r="B167" s="3" t="inlineStr">
        <is>
          <t>Fast Track Auto Carriers</t>
        </is>
      </c>
      <c r="C167" s="3" t="inlineStr">
        <is>
          <t>BEN H WHITEKER</t>
        </is>
      </c>
      <c r="D167" s="3" t="inlineStr">
        <is>
          <t>Closed</t>
        </is>
      </c>
      <c r="E167" s="23" t="n">
        <v>45863</v>
      </c>
      <c r="F167" s="23" t="n">
        <v>45915</v>
      </c>
      <c r="G167" s="3" t="n">
        <v>1</v>
      </c>
      <c r="H167" s="3" t="inlineStr">
        <is>
          <t>7549</t>
        </is>
      </c>
      <c r="I167" s="3" t="inlineStr">
        <is>
          <t>75</t>
        </is>
      </c>
      <c r="J167" s="3" t="inlineStr">
        <is>
          <t>OK</t>
        </is>
      </c>
      <c r="K167" s="3" t="inlineStr">
        <is>
          <t>Premium Capital (AMRK)</t>
        </is>
      </c>
      <c r="L167" s="3" t="inlineStr">
        <is>
          <t>New Deal</t>
        </is>
      </c>
      <c r="M167" s="3" t="n">
        <v>1.2</v>
      </c>
      <c r="N167" s="28" t="n">
        <v>40000</v>
      </c>
      <c r="O167" s="28" t="n">
        <v>5200</v>
      </c>
      <c r="P167" s="28" t="n">
        <v>48000</v>
      </c>
      <c r="Q167" s="28" t="n">
        <v>48000</v>
      </c>
      <c r="R167" s="28" t="n">
        <v>0</v>
      </c>
      <c r="S167" s="42" t="n">
        <v>1</v>
      </c>
      <c r="T167" s="3" t="n">
        <v>32</v>
      </c>
      <c r="U167" s="3" t="n">
        <v>0</v>
      </c>
      <c r="V167" s="3" t="n">
        <v>107515.79</v>
      </c>
      <c r="W167" s="42" t="n">
        <v>0.0684</v>
      </c>
      <c r="X167" s="23" t="n"/>
      <c r="Y167" s="3">
        <f>IF(I167="","No SIC",IFERROR(VLOOKUP(I167,Ref!$A$2:$B$65,2,FALSE()),"Unclassified"))</f>
        <v/>
      </c>
      <c r="Z167" s="3">
        <f>IF(T167="","",IF(T167&lt;12,"Daily","Weekly"))</f>
        <v/>
      </c>
      <c r="AA167" s="3">
        <f>IF(T167="",0,IF(T167&lt;12,T167*Controls!$B$13,T167*5))</f>
        <v/>
      </c>
      <c r="AB167" s="3">
        <f>IF(E167="",0,NETWORKDAYS(E167,Controls!$B$20,Ref!$K$2:$K$42))</f>
        <v/>
      </c>
      <c r="AC167" s="3">
        <f>IF(OR(AF167=1,AND(AA167&gt;0,AB167&gt;=Controls!$B$23*AA167)),1,0)</f>
        <v/>
      </c>
      <c r="AD167" s="3">
        <f>IF(AND(E167&lt;&gt;"",E167&gt;=Controls!$B$21,E167&lt;=Controls!$B$22),1,0)</f>
        <v/>
      </c>
      <c r="AE167" s="3">
        <f>IF(IFERROR(VLOOKUP(D167,Controls!$A$36:$E$46,2,FALSE()),"No")="Yes",1,0)</f>
        <v/>
      </c>
      <c r="AF167" s="3">
        <f>IF(IFERROR(VLOOKUP(D167,Controls!$A$36:$E$46,3,FALSE()),"No")="Yes",1,0)</f>
        <v/>
      </c>
      <c r="AG167" s="3">
        <f>IF(IFERROR(VLOOKUP(D167,Controls!$A$36:$E$46,4,FALSE()),"No")="Yes",1,0)</f>
        <v/>
      </c>
      <c r="AH167" s="3">
        <f>IF(IFERROR(VLOOKUP(D167,Controls!$A$36:$E$46,5,FALSE()),"No")="Yes",1,0)</f>
        <v/>
      </c>
      <c r="AI167" s="3">
        <f>IF(ISNUMBER(MATCH(D167,Controls!$A$36:$A$46,0)),1,0)</f>
        <v/>
      </c>
      <c r="AJ167" s="28">
        <f>Q167-N167</f>
        <v/>
      </c>
      <c r="AK167" s="3">
        <f>IF(AE167=1,MAX(0,N167-Q167),0)</f>
        <v/>
      </c>
      <c r="AL167" s="3">
        <f>IF(OR(V167="",V167=0),0,N167/V167)</f>
        <v/>
      </c>
      <c r="AM167" s="3">
        <f>IF(OR(V167="",V167=0),0,1)</f>
        <v/>
      </c>
      <c r="AN167" s="3">
        <f>IF(OR(E167="",F167=""),0,NETWORKDAYS(E167,F167,Ref!$K$2:$K$42))</f>
        <v/>
      </c>
      <c r="AO167" s="3">
        <f>IF(L167="Renewal",1,0)</f>
        <v/>
      </c>
      <c r="AP167" s="3">
        <f>AC167*AD167</f>
        <v/>
      </c>
      <c r="AQ167" s="3">
        <f>IF(AND(G167&lt;&gt;"",'Historical Score'!$C$6&lt;&gt;""),IF(G167='Historical Score'!$C$6,1,0),0)</f>
        <v/>
      </c>
      <c r="AR167" s="3">
        <f>IF(AND(L167&lt;&gt;"",'Historical Score'!$C$5&lt;&gt;""),IF(L167='Historical Score'!$C$5,1,0),0)</f>
        <v/>
      </c>
      <c r="AS167" s="3">
        <f>IF(AND(Y167&lt;&gt;"",'Historical Score'!$C$7&lt;&gt;""),IF(Y167='Historical Score'!$C$7,1,0),0)</f>
        <v/>
      </c>
      <c r="AT167" s="3">
        <f>IF(AND(K167&lt;&gt;"",'Historical Score'!$C$8&lt;&gt;""),IF(K167='Historical Score'!$C$8,1,0),0)</f>
        <v/>
      </c>
      <c r="AU167" s="3" t="n"/>
      <c r="AV167" s="3" t="n"/>
      <c r="AW167" s="3" t="n"/>
      <c r="AX167" s="3" t="n"/>
      <c r="AY167" s="3" t="n"/>
      <c r="AZ167" s="3" t="n"/>
      <c r="BA167" s="182">
        <f>IF(AD167=1,(AR167*'Historical Score'!$K$29+1-'Historical Score'!$K$29)*(AT167*'Historical Score'!$L$29+1-'Historical Score'!$L$29)*(AS167*'Historical Score'!$M$29+1-'Historical Score'!$M$29)*(AQ167*'Historical Score'!$N$29+1-'Historical Score'!$N$29),0)</f>
        <v/>
      </c>
      <c r="BB167" s="3" t="n"/>
      <c r="BC167" s="3" t="n"/>
    </row>
    <row r="168" ht="15.75" customHeight="1" s="174">
      <c r="A168" s="3" t="inlineStr">
        <is>
          <t>5674162596</t>
        </is>
      </c>
      <c r="B168" s="3" t="inlineStr">
        <is>
          <t>Malibu's Burgers</t>
        </is>
      </c>
      <c r="C168" s="3" t="inlineStr">
        <is>
          <t>Kesos LLC</t>
        </is>
      </c>
      <c r="D168" s="3" t="inlineStr">
        <is>
          <t>Legal</t>
        </is>
      </c>
      <c r="E168" s="23" t="n">
        <v>45863</v>
      </c>
      <c r="F168" s="23" t="n">
        <v>45870</v>
      </c>
      <c r="G168" s="3" t="n">
        <v>3</v>
      </c>
      <c r="H168" s="3" t="inlineStr">
        <is>
          <t>5812</t>
        </is>
      </c>
      <c r="I168" s="3" t="inlineStr">
        <is>
          <t>58</t>
        </is>
      </c>
      <c r="J168" s="3" t="inlineStr">
        <is>
          <t>CA</t>
        </is>
      </c>
      <c r="K168" s="3" t="inlineStr">
        <is>
          <t>American Funding Association 1</t>
        </is>
      </c>
      <c r="L168" s="3" t="inlineStr">
        <is>
          <t>New Deal</t>
        </is>
      </c>
      <c r="M168" s="3" t="n">
        <v>1.5</v>
      </c>
      <c r="N168" s="28" t="n">
        <v>6000</v>
      </c>
      <c r="O168" s="28" t="n">
        <v>720</v>
      </c>
      <c r="P168" s="28" t="n">
        <v>9000</v>
      </c>
      <c r="Q168" s="28" t="n">
        <v>223.6</v>
      </c>
      <c r="R168" s="28" t="n">
        <v>8776.4</v>
      </c>
      <c r="S168" s="42" t="n">
        <v>0.0248444444444444</v>
      </c>
      <c r="T168" s="3" t="n">
        <v>2.623</v>
      </c>
      <c r="U168" s="3" t="n">
        <v>3</v>
      </c>
      <c r="V168" s="3" t="n">
        <v>33588.2</v>
      </c>
      <c r="W168" s="42" t="n">
        <v>0.0699</v>
      </c>
      <c r="X168" s="23" t="n">
        <v>44245</v>
      </c>
      <c r="Y168" s="3">
        <f>IF(I168="","No SIC",IFERROR(VLOOKUP(I168,Ref!$A$2:$B$65,2,FALSE()),"Unclassified"))</f>
        <v/>
      </c>
      <c r="Z168" s="3">
        <f>IF(T168="","",IF(T168&lt;12,"Daily","Weekly"))</f>
        <v/>
      </c>
      <c r="AA168" s="3">
        <f>IF(T168="",0,IF(T168&lt;12,T168*Controls!$B$13,T168*5))</f>
        <v/>
      </c>
      <c r="AB168" s="3">
        <f>IF(E168="",0,NETWORKDAYS(E168,Controls!$B$20,Ref!$K$2:$K$42))</f>
        <v/>
      </c>
      <c r="AC168" s="3">
        <f>IF(OR(AF168=1,AND(AA168&gt;0,AB168&gt;=Controls!$B$23*AA168)),1,0)</f>
        <v/>
      </c>
      <c r="AD168" s="3">
        <f>IF(AND(E168&lt;&gt;"",E168&gt;=Controls!$B$21,E168&lt;=Controls!$B$22),1,0)</f>
        <v/>
      </c>
      <c r="AE168" s="3">
        <f>IF(IFERROR(VLOOKUP(D168,Controls!$A$36:$E$46,2,FALSE()),"No")="Yes",1,0)</f>
        <v/>
      </c>
      <c r="AF168" s="3">
        <f>IF(IFERROR(VLOOKUP(D168,Controls!$A$36:$E$46,3,FALSE()),"No")="Yes",1,0)</f>
        <v/>
      </c>
      <c r="AG168" s="3">
        <f>IF(IFERROR(VLOOKUP(D168,Controls!$A$36:$E$46,4,FALSE()),"No")="Yes",1,0)</f>
        <v/>
      </c>
      <c r="AH168" s="3">
        <f>IF(IFERROR(VLOOKUP(D168,Controls!$A$36:$E$46,5,FALSE()),"No")="Yes",1,0)</f>
        <v/>
      </c>
      <c r="AI168" s="3">
        <f>IF(ISNUMBER(MATCH(D168,Controls!$A$36:$A$46,0)),1,0)</f>
        <v/>
      </c>
      <c r="AJ168" s="28">
        <f>Q168-N168</f>
        <v/>
      </c>
      <c r="AK168" s="3">
        <f>IF(AE168=1,MAX(0,N168-Q168),0)</f>
        <v/>
      </c>
      <c r="AL168" s="3">
        <f>IF(OR(V168="",V168=0),0,N168/V168)</f>
        <v/>
      </c>
      <c r="AM168" s="3">
        <f>IF(OR(V168="",V168=0),0,1)</f>
        <v/>
      </c>
      <c r="AN168" s="3">
        <f>IF(OR(E168="",F168=""),0,NETWORKDAYS(E168,F168,Ref!$K$2:$K$42))</f>
        <v/>
      </c>
      <c r="AO168" s="3">
        <f>IF(L168="Renewal",1,0)</f>
        <v/>
      </c>
      <c r="AP168" s="3">
        <f>AC168*AD168</f>
        <v/>
      </c>
      <c r="AQ168" s="3">
        <f>IF(AND(G168&lt;&gt;"",'Historical Score'!$C$6&lt;&gt;""),IF(G168='Historical Score'!$C$6,1,0),0)</f>
        <v/>
      </c>
      <c r="AR168" s="3">
        <f>IF(AND(L168&lt;&gt;"",'Historical Score'!$C$5&lt;&gt;""),IF(L168='Historical Score'!$C$5,1,0),0)</f>
        <v/>
      </c>
      <c r="AS168" s="3">
        <f>IF(AND(Y168&lt;&gt;"",'Historical Score'!$C$7&lt;&gt;""),IF(Y168='Historical Score'!$C$7,1,0),0)</f>
        <v/>
      </c>
      <c r="AT168" s="3">
        <f>IF(AND(K168&lt;&gt;"",'Historical Score'!$C$8&lt;&gt;""),IF(K168='Historical Score'!$C$8,1,0),0)</f>
        <v/>
      </c>
      <c r="AU168" s="3" t="n"/>
      <c r="AV168" s="3" t="n"/>
      <c r="AW168" s="3" t="n"/>
      <c r="AX168" s="3" t="n"/>
      <c r="AY168" s="3" t="n"/>
      <c r="AZ168" s="3" t="n"/>
      <c r="BA168" s="182">
        <f>IF(AD168=1,(AR168*'Historical Score'!$K$29+1-'Historical Score'!$K$29)*(AT168*'Historical Score'!$L$29+1-'Historical Score'!$L$29)*(AS168*'Historical Score'!$M$29+1-'Historical Score'!$M$29)*(AQ168*'Historical Score'!$N$29+1-'Historical Score'!$N$29),0)</f>
        <v/>
      </c>
      <c r="BB168" s="3" t="n"/>
      <c r="BC168" s="3" t="n"/>
    </row>
    <row r="169" ht="15.75" customHeight="1" s="174">
      <c r="A169" s="3" t="inlineStr">
        <is>
          <t>5674162609</t>
        </is>
      </c>
      <c r="B169" s="3" t="inlineStr">
        <is>
          <t>Ribeiro General Construction Corp</t>
        </is>
      </c>
      <c r="C169" s="3" t="inlineStr">
        <is>
          <t>Ribeiro General Construction Corp</t>
        </is>
      </c>
      <c r="D169" s="3" t="inlineStr">
        <is>
          <t>Closed</t>
        </is>
      </c>
      <c r="E169" s="23" t="n">
        <v>45863</v>
      </c>
      <c r="F169" s="23" t="n">
        <v>45966</v>
      </c>
      <c r="G169" s="3" t="n">
        <v>2</v>
      </c>
      <c r="H169" s="3" t="inlineStr">
        <is>
          <t>1521</t>
        </is>
      </c>
      <c r="I169" s="3" t="inlineStr">
        <is>
          <t>15</t>
        </is>
      </c>
      <c r="J169" s="3" t="inlineStr">
        <is>
          <t>MA</t>
        </is>
      </c>
      <c r="K169" s="3" t="inlineStr">
        <is>
          <t>NY Tribeca Group</t>
        </is>
      </c>
      <c r="L169" s="3" t="inlineStr">
        <is>
          <t>New Deal</t>
        </is>
      </c>
      <c r="M169" s="3" t="n">
        <v>1.35</v>
      </c>
      <c r="N169" s="28" t="n">
        <v>10000</v>
      </c>
      <c r="O169" s="28" t="n">
        <v>700</v>
      </c>
      <c r="P169" s="28" t="n">
        <v>13500</v>
      </c>
      <c r="Q169" s="28" t="n">
        <v>13500</v>
      </c>
      <c r="R169" s="28" t="n">
        <v>0</v>
      </c>
      <c r="S169" s="42" t="n">
        <v>1</v>
      </c>
      <c r="T169" s="3" t="n">
        <v>1.967</v>
      </c>
      <c r="U169" s="3" t="n">
        <v>12</v>
      </c>
      <c r="V169" s="3" t="n">
        <v>75630.53999999999</v>
      </c>
      <c r="W169" s="42" t="n">
        <v>0.0625</v>
      </c>
      <c r="X169" s="23" t="n">
        <v>43314</v>
      </c>
      <c r="Y169" s="3">
        <f>IF(I169="","No SIC",IFERROR(VLOOKUP(I169,Ref!$A$2:$B$65,2,FALSE()),"Unclassified"))</f>
        <v/>
      </c>
      <c r="Z169" s="3">
        <f>IF(T169="","",IF(T169&lt;12,"Daily","Weekly"))</f>
        <v/>
      </c>
      <c r="AA169" s="3">
        <f>IF(T169="",0,IF(T169&lt;12,T169*Controls!$B$13,T169*5))</f>
        <v/>
      </c>
      <c r="AB169" s="3">
        <f>IF(E169="",0,NETWORKDAYS(E169,Controls!$B$20,Ref!$K$2:$K$42))</f>
        <v/>
      </c>
      <c r="AC169" s="3">
        <f>IF(OR(AF169=1,AND(AA169&gt;0,AB169&gt;=Controls!$B$23*AA169)),1,0)</f>
        <v/>
      </c>
      <c r="AD169" s="3">
        <f>IF(AND(E169&lt;&gt;"",E169&gt;=Controls!$B$21,E169&lt;=Controls!$B$22),1,0)</f>
        <v/>
      </c>
      <c r="AE169" s="3">
        <f>IF(IFERROR(VLOOKUP(D169,Controls!$A$36:$E$46,2,FALSE()),"No")="Yes",1,0)</f>
        <v/>
      </c>
      <c r="AF169" s="3">
        <f>IF(IFERROR(VLOOKUP(D169,Controls!$A$36:$E$46,3,FALSE()),"No")="Yes",1,0)</f>
        <v/>
      </c>
      <c r="AG169" s="3">
        <f>IF(IFERROR(VLOOKUP(D169,Controls!$A$36:$E$46,4,FALSE()),"No")="Yes",1,0)</f>
        <v/>
      </c>
      <c r="AH169" s="3">
        <f>IF(IFERROR(VLOOKUP(D169,Controls!$A$36:$E$46,5,FALSE()),"No")="Yes",1,0)</f>
        <v/>
      </c>
      <c r="AI169" s="3">
        <f>IF(ISNUMBER(MATCH(D169,Controls!$A$36:$A$46,0)),1,0)</f>
        <v/>
      </c>
      <c r="AJ169" s="28">
        <f>Q169-N169</f>
        <v/>
      </c>
      <c r="AK169" s="3">
        <f>IF(AE169=1,MAX(0,N169-Q169),0)</f>
        <v/>
      </c>
      <c r="AL169" s="3">
        <f>IF(OR(V169="",V169=0),0,N169/V169)</f>
        <v/>
      </c>
      <c r="AM169" s="3">
        <f>IF(OR(V169="",V169=0),0,1)</f>
        <v/>
      </c>
      <c r="AN169" s="3">
        <f>IF(OR(E169="",F169=""),0,NETWORKDAYS(E169,F169,Ref!$K$2:$K$42))</f>
        <v/>
      </c>
      <c r="AO169" s="3">
        <f>IF(L169="Renewal",1,0)</f>
        <v/>
      </c>
      <c r="AP169" s="3">
        <f>AC169*AD169</f>
        <v/>
      </c>
      <c r="AQ169" s="3">
        <f>IF(AND(G169&lt;&gt;"",'Historical Score'!$C$6&lt;&gt;""),IF(G169='Historical Score'!$C$6,1,0),0)</f>
        <v/>
      </c>
      <c r="AR169" s="3">
        <f>IF(AND(L169&lt;&gt;"",'Historical Score'!$C$5&lt;&gt;""),IF(L169='Historical Score'!$C$5,1,0),0)</f>
        <v/>
      </c>
      <c r="AS169" s="3">
        <f>IF(AND(Y169&lt;&gt;"",'Historical Score'!$C$7&lt;&gt;""),IF(Y169='Historical Score'!$C$7,1,0),0)</f>
        <v/>
      </c>
      <c r="AT169" s="3">
        <f>IF(AND(K169&lt;&gt;"",'Historical Score'!$C$8&lt;&gt;""),IF(K169='Historical Score'!$C$8,1,0),0)</f>
        <v/>
      </c>
      <c r="AU169" s="3" t="n"/>
      <c r="AV169" s="3" t="n"/>
      <c r="AW169" s="3" t="n"/>
      <c r="AX169" s="3" t="n"/>
      <c r="AY169" s="3" t="n"/>
      <c r="AZ169" s="3" t="n"/>
      <c r="BA169" s="182">
        <f>IF(AD169=1,(AR169*'Historical Score'!$K$29+1-'Historical Score'!$K$29)*(AT169*'Historical Score'!$L$29+1-'Historical Score'!$L$29)*(AS169*'Historical Score'!$M$29+1-'Historical Score'!$M$29)*(AQ169*'Historical Score'!$N$29+1-'Historical Score'!$N$29),0)</f>
        <v/>
      </c>
      <c r="BB169" s="3" t="n"/>
      <c r="BC169" s="3" t="n"/>
    </row>
    <row r="170" ht="15.75" customHeight="1" s="174">
      <c r="A170" s="3" t="inlineStr">
        <is>
          <t>5674162669</t>
        </is>
      </c>
      <c r="B170" s="3" t="inlineStr">
        <is>
          <t>TAQUERIA Y ANTOJITOS EL GUANACO LLC</t>
        </is>
      </c>
      <c r="C170" s="3" t="inlineStr">
        <is>
          <t>TAQUERIA Y ANTOJITOS EL GUANACO LLC</t>
        </is>
      </c>
      <c r="D170" s="3" t="inlineStr">
        <is>
          <t>Closed</t>
        </is>
      </c>
      <c r="E170" s="23" t="n">
        <v>45866</v>
      </c>
      <c r="F170" s="23" t="n">
        <v>45989</v>
      </c>
      <c r="G170" s="3" t="n">
        <v>7</v>
      </c>
      <c r="H170" s="3" t="inlineStr">
        <is>
          <t>5812</t>
        </is>
      </c>
      <c r="I170" s="3" t="inlineStr">
        <is>
          <t>58</t>
        </is>
      </c>
      <c r="J170" s="3" t="inlineStr">
        <is>
          <t>FL</t>
        </is>
      </c>
      <c r="K170" s="3" t="inlineStr">
        <is>
          <t>PMF</t>
        </is>
      </c>
      <c r="L170" s="3" t="inlineStr">
        <is>
          <t>Renewal</t>
        </is>
      </c>
      <c r="M170" s="3" t="n">
        <v>1.49</v>
      </c>
      <c r="N170" s="28" t="n">
        <v>35000</v>
      </c>
      <c r="O170" s="28" t="n">
        <v>4900</v>
      </c>
      <c r="P170" s="28" t="n">
        <v>52150</v>
      </c>
      <c r="Q170" s="28" t="n">
        <v>52150</v>
      </c>
      <c r="R170" s="28" t="n">
        <v>0</v>
      </c>
      <c r="S170" s="42" t="n">
        <v>1</v>
      </c>
      <c r="T170" s="3" t="n">
        <v>3.934</v>
      </c>
      <c r="U170" s="3" t="n">
        <v>9</v>
      </c>
      <c r="V170" s="3" t="n">
        <v>138520.32</v>
      </c>
      <c r="W170" s="42" t="n">
        <v>0.0659</v>
      </c>
      <c r="X170" s="23" t="n">
        <v>42430</v>
      </c>
      <c r="Y170" s="3">
        <f>IF(I170="","No SIC",IFERROR(VLOOKUP(I170,Ref!$A$2:$B$65,2,FALSE()),"Unclassified"))</f>
        <v/>
      </c>
      <c r="Z170" s="3">
        <f>IF(T170="","",IF(T170&lt;12,"Daily","Weekly"))</f>
        <v/>
      </c>
      <c r="AA170" s="3">
        <f>IF(T170="",0,IF(T170&lt;12,T170*Controls!$B$13,T170*5))</f>
        <v/>
      </c>
      <c r="AB170" s="3">
        <f>IF(E170="",0,NETWORKDAYS(E170,Controls!$B$20,Ref!$K$2:$K$42))</f>
        <v/>
      </c>
      <c r="AC170" s="3">
        <f>IF(OR(AF170=1,AND(AA170&gt;0,AB170&gt;=Controls!$B$23*AA170)),1,0)</f>
        <v/>
      </c>
      <c r="AD170" s="3">
        <f>IF(AND(E170&lt;&gt;"",E170&gt;=Controls!$B$21,E170&lt;=Controls!$B$22),1,0)</f>
        <v/>
      </c>
      <c r="AE170" s="3">
        <f>IF(IFERROR(VLOOKUP(D170,Controls!$A$36:$E$46,2,FALSE()),"No")="Yes",1,0)</f>
        <v/>
      </c>
      <c r="AF170" s="3">
        <f>IF(IFERROR(VLOOKUP(D170,Controls!$A$36:$E$46,3,FALSE()),"No")="Yes",1,0)</f>
        <v/>
      </c>
      <c r="AG170" s="3">
        <f>IF(IFERROR(VLOOKUP(D170,Controls!$A$36:$E$46,4,FALSE()),"No")="Yes",1,0)</f>
        <v/>
      </c>
      <c r="AH170" s="3">
        <f>IF(IFERROR(VLOOKUP(D170,Controls!$A$36:$E$46,5,FALSE()),"No")="Yes",1,0)</f>
        <v/>
      </c>
      <c r="AI170" s="3">
        <f>IF(ISNUMBER(MATCH(D170,Controls!$A$36:$A$46,0)),1,0)</f>
        <v/>
      </c>
      <c r="AJ170" s="28">
        <f>Q170-N170</f>
        <v/>
      </c>
      <c r="AK170" s="3">
        <f>IF(AE170=1,MAX(0,N170-Q170),0)</f>
        <v/>
      </c>
      <c r="AL170" s="3">
        <f>IF(OR(V170="",V170=0),0,N170/V170)</f>
        <v/>
      </c>
      <c r="AM170" s="3">
        <f>IF(OR(V170="",V170=0),0,1)</f>
        <v/>
      </c>
      <c r="AN170" s="3">
        <f>IF(OR(E170="",F170=""),0,NETWORKDAYS(E170,F170,Ref!$K$2:$K$42))</f>
        <v/>
      </c>
      <c r="AO170" s="3">
        <f>IF(L170="Renewal",1,0)</f>
        <v/>
      </c>
      <c r="AP170" s="3">
        <f>AC170*AD170</f>
        <v/>
      </c>
      <c r="AQ170" s="3">
        <f>IF(AND(G170&lt;&gt;"",'Historical Score'!$C$6&lt;&gt;""),IF(G170='Historical Score'!$C$6,1,0),0)</f>
        <v/>
      </c>
      <c r="AR170" s="3">
        <f>IF(AND(L170&lt;&gt;"",'Historical Score'!$C$5&lt;&gt;""),IF(L170='Historical Score'!$C$5,1,0),0)</f>
        <v/>
      </c>
      <c r="AS170" s="3">
        <f>IF(AND(Y170&lt;&gt;"",'Historical Score'!$C$7&lt;&gt;""),IF(Y170='Historical Score'!$C$7,1,0),0)</f>
        <v/>
      </c>
      <c r="AT170" s="3">
        <f>IF(AND(K170&lt;&gt;"",'Historical Score'!$C$8&lt;&gt;""),IF(K170='Historical Score'!$C$8,1,0),0)</f>
        <v/>
      </c>
      <c r="AU170" s="3" t="n"/>
      <c r="AV170" s="3" t="n"/>
      <c r="AW170" s="3" t="n"/>
      <c r="AX170" s="3" t="n"/>
      <c r="AY170" s="3" t="n"/>
      <c r="AZ170" s="3" t="n"/>
      <c r="BA170" s="182">
        <f>IF(AD170=1,(AR170*'Historical Score'!$K$29+1-'Historical Score'!$K$29)*(AT170*'Historical Score'!$L$29+1-'Historical Score'!$L$29)*(AS170*'Historical Score'!$M$29+1-'Historical Score'!$M$29)*(AQ170*'Historical Score'!$N$29+1-'Historical Score'!$N$29),0)</f>
        <v/>
      </c>
      <c r="BB170" s="3" t="n"/>
      <c r="BC170" s="3" t="n"/>
    </row>
    <row r="171" ht="15.75" customHeight="1" s="174">
      <c r="A171" s="3" t="inlineStr">
        <is>
          <t>5674162670</t>
        </is>
      </c>
      <c r="B171" s="3" t="inlineStr">
        <is>
          <t>Panther De Luxe Shop</t>
        </is>
      </c>
      <c r="C171" s="3" t="inlineStr">
        <is>
          <t>Panther De Luxe Shop</t>
        </is>
      </c>
      <c r="D171" s="3" t="inlineStr">
        <is>
          <t>Bankruptcy</t>
        </is>
      </c>
      <c r="E171" s="23" t="n">
        <v>45866</v>
      </c>
      <c r="F171" s="23" t="n">
        <v>46157</v>
      </c>
      <c r="G171" s="3" t="n">
        <v>5</v>
      </c>
      <c r="H171" s="3" t="inlineStr">
        <is>
          <t>5999</t>
        </is>
      </c>
      <c r="I171" s="3" t="inlineStr">
        <is>
          <t>59</t>
        </is>
      </c>
      <c r="J171" s="3" t="inlineStr">
        <is>
          <t>NJ</t>
        </is>
      </c>
      <c r="K171" s="3" t="inlineStr">
        <is>
          <t>United Secured Capital 8</t>
        </is>
      </c>
      <c r="L171" s="3" t="inlineStr">
        <is>
          <t>New Deal</t>
        </is>
      </c>
      <c r="M171" s="3" t="n">
        <v>1.499</v>
      </c>
      <c r="N171" s="28" t="n">
        <v>10000</v>
      </c>
      <c r="O171" s="28" t="n">
        <v>1400</v>
      </c>
      <c r="P171" s="28" t="n">
        <v>14990</v>
      </c>
      <c r="Q171" s="28" t="n">
        <v>6735.07</v>
      </c>
      <c r="R171" s="28" t="n">
        <v>8254.93</v>
      </c>
      <c r="S171" s="42" t="n">
        <v>0.449304202801868</v>
      </c>
      <c r="T171" s="3" t="n">
        <v>1.803</v>
      </c>
      <c r="U171" s="3" t="n">
        <v>47</v>
      </c>
      <c r="V171" s="3" t="n">
        <v>63523.89</v>
      </c>
      <c r="W171" s="42" t="n">
        <v>0.0896</v>
      </c>
      <c r="X171" s="23" t="n">
        <v>44609</v>
      </c>
      <c r="Y171" s="3">
        <f>IF(I171="","No SIC",IFERROR(VLOOKUP(I171,Ref!$A$2:$B$65,2,FALSE()),"Unclassified"))</f>
        <v/>
      </c>
      <c r="Z171" s="3">
        <f>IF(T171="","",IF(T171&lt;12,"Daily","Weekly"))</f>
        <v/>
      </c>
      <c r="AA171" s="3">
        <f>IF(T171="",0,IF(T171&lt;12,T171*Controls!$B$13,T171*5))</f>
        <v/>
      </c>
      <c r="AB171" s="3">
        <f>IF(E171="",0,NETWORKDAYS(E171,Controls!$B$20,Ref!$K$2:$K$42))</f>
        <v/>
      </c>
      <c r="AC171" s="3">
        <f>IF(OR(AF171=1,AND(AA171&gt;0,AB171&gt;=Controls!$B$23*AA171)),1,0)</f>
        <v/>
      </c>
      <c r="AD171" s="3">
        <f>IF(AND(E171&lt;&gt;"",E171&gt;=Controls!$B$21,E171&lt;=Controls!$B$22),1,0)</f>
        <v/>
      </c>
      <c r="AE171" s="3">
        <f>IF(IFERROR(VLOOKUP(D171,Controls!$A$36:$E$46,2,FALSE()),"No")="Yes",1,0)</f>
        <v/>
      </c>
      <c r="AF171" s="3">
        <f>IF(IFERROR(VLOOKUP(D171,Controls!$A$36:$E$46,3,FALSE()),"No")="Yes",1,0)</f>
        <v/>
      </c>
      <c r="AG171" s="3">
        <f>IF(IFERROR(VLOOKUP(D171,Controls!$A$36:$E$46,4,FALSE()),"No")="Yes",1,0)</f>
        <v/>
      </c>
      <c r="AH171" s="3">
        <f>IF(IFERROR(VLOOKUP(D171,Controls!$A$36:$E$46,5,FALSE()),"No")="Yes",1,0)</f>
        <v/>
      </c>
      <c r="AI171" s="3">
        <f>IF(ISNUMBER(MATCH(D171,Controls!$A$36:$A$46,0)),1,0)</f>
        <v/>
      </c>
      <c r="AJ171" s="28">
        <f>Q171-N171</f>
        <v/>
      </c>
      <c r="AK171" s="3">
        <f>IF(AE171=1,MAX(0,N171-Q171),0)</f>
        <v/>
      </c>
      <c r="AL171" s="3">
        <f>IF(OR(V171="",V171=0),0,N171/V171)</f>
        <v/>
      </c>
      <c r="AM171" s="3">
        <f>IF(OR(V171="",V171=0),0,1)</f>
        <v/>
      </c>
      <c r="AN171" s="3">
        <f>IF(OR(E171="",F171=""),0,NETWORKDAYS(E171,F171,Ref!$K$2:$K$42))</f>
        <v/>
      </c>
      <c r="AO171" s="3">
        <f>IF(L171="Renewal",1,0)</f>
        <v/>
      </c>
      <c r="AP171" s="3">
        <f>AC171*AD171</f>
        <v/>
      </c>
      <c r="AQ171" s="3">
        <f>IF(AND(G171&lt;&gt;"",'Historical Score'!$C$6&lt;&gt;""),IF(G171='Historical Score'!$C$6,1,0),0)</f>
        <v/>
      </c>
      <c r="AR171" s="3">
        <f>IF(AND(L171&lt;&gt;"",'Historical Score'!$C$5&lt;&gt;""),IF(L171='Historical Score'!$C$5,1,0),0)</f>
        <v/>
      </c>
      <c r="AS171" s="3">
        <f>IF(AND(Y171&lt;&gt;"",'Historical Score'!$C$7&lt;&gt;""),IF(Y171='Historical Score'!$C$7,1,0),0)</f>
        <v/>
      </c>
      <c r="AT171" s="3">
        <f>IF(AND(K171&lt;&gt;"",'Historical Score'!$C$8&lt;&gt;""),IF(K171='Historical Score'!$C$8,1,0),0)</f>
        <v/>
      </c>
      <c r="AU171" s="3" t="n"/>
      <c r="AV171" s="3" t="n"/>
      <c r="AW171" s="3" t="n"/>
      <c r="AX171" s="3" t="n"/>
      <c r="AY171" s="3" t="n"/>
      <c r="AZ171" s="3" t="n"/>
      <c r="BA171" s="182">
        <f>IF(AD171=1,(AR171*'Historical Score'!$K$29+1-'Historical Score'!$K$29)*(AT171*'Historical Score'!$L$29+1-'Historical Score'!$L$29)*(AS171*'Historical Score'!$M$29+1-'Historical Score'!$M$29)*(AQ171*'Historical Score'!$N$29+1-'Historical Score'!$N$29),0)</f>
        <v/>
      </c>
      <c r="BB171" s="3" t="n"/>
      <c r="BC171" s="3" t="n"/>
    </row>
    <row r="172" ht="15.75" customHeight="1" s="174">
      <c r="A172" s="3" t="inlineStr">
        <is>
          <t>5674162694</t>
        </is>
      </c>
      <c r="B172" s="3" t="inlineStr">
        <is>
          <t>Pecos discount liquor</t>
        </is>
      </c>
      <c r="C172" s="3" t="inlineStr">
        <is>
          <t>Harleen LLC</t>
        </is>
      </c>
      <c r="D172" s="3" t="inlineStr">
        <is>
          <t>Lowered Payments</t>
        </is>
      </c>
      <c r="E172" s="23" t="n">
        <v>45866</v>
      </c>
      <c r="F172" s="23" t="n">
        <v>46164</v>
      </c>
      <c r="G172" s="3" t="n">
        <v>2</v>
      </c>
      <c r="H172" s="3" t="inlineStr">
        <is>
          <t>5921</t>
        </is>
      </c>
      <c r="I172" s="3" t="inlineStr">
        <is>
          <t>59</t>
        </is>
      </c>
      <c r="J172" s="3" t="inlineStr">
        <is>
          <t>CO</t>
        </is>
      </c>
      <c r="K172" s="3" t="inlineStr">
        <is>
          <t>Fundwell</t>
        </is>
      </c>
      <c r="L172" s="3" t="inlineStr">
        <is>
          <t>New Deal</t>
        </is>
      </c>
      <c r="M172" s="3" t="n">
        <v>1.4</v>
      </c>
      <c r="N172" s="28" t="n">
        <v>40000</v>
      </c>
      <c r="O172" s="28" t="n">
        <v>5200</v>
      </c>
      <c r="P172" s="28" t="n">
        <v>56000</v>
      </c>
      <c r="Q172" s="28" t="n">
        <v>28892.36</v>
      </c>
      <c r="R172" s="28" t="n">
        <v>27107.64</v>
      </c>
      <c r="S172" s="42" t="n">
        <v>0.515935</v>
      </c>
      <c r="T172" s="3" t="n">
        <v>44</v>
      </c>
      <c r="U172" s="3" t="n">
        <v>3</v>
      </c>
      <c r="V172" s="3" t="n">
        <v>67381.39999999999</v>
      </c>
      <c r="W172" s="42" t="n">
        <v>0.0756</v>
      </c>
      <c r="X172" s="23" t="n">
        <v>44479</v>
      </c>
      <c r="Y172" s="3">
        <f>IF(I172="","No SIC",IFERROR(VLOOKUP(I172,Ref!$A$2:$B$65,2,FALSE()),"Unclassified"))</f>
        <v/>
      </c>
      <c r="Z172" s="3">
        <f>IF(T172="","",IF(T172&lt;12,"Daily","Weekly"))</f>
        <v/>
      </c>
      <c r="AA172" s="3">
        <f>IF(T172="",0,IF(T172&lt;12,T172*Controls!$B$13,T172*5))</f>
        <v/>
      </c>
      <c r="AB172" s="3">
        <f>IF(E172="",0,NETWORKDAYS(E172,Controls!$B$20,Ref!$K$2:$K$42))</f>
        <v/>
      </c>
      <c r="AC172" s="3">
        <f>IF(OR(AF172=1,AND(AA172&gt;0,AB172&gt;=Controls!$B$23*AA172)),1,0)</f>
        <v/>
      </c>
      <c r="AD172" s="3">
        <f>IF(AND(E172&lt;&gt;"",E172&gt;=Controls!$B$21,E172&lt;=Controls!$B$22),1,0)</f>
        <v/>
      </c>
      <c r="AE172" s="3">
        <f>IF(IFERROR(VLOOKUP(D172,Controls!$A$36:$E$46,2,FALSE()),"No")="Yes",1,0)</f>
        <v/>
      </c>
      <c r="AF172" s="3">
        <f>IF(IFERROR(VLOOKUP(D172,Controls!$A$36:$E$46,3,FALSE()),"No")="Yes",1,0)</f>
        <v/>
      </c>
      <c r="AG172" s="3">
        <f>IF(IFERROR(VLOOKUP(D172,Controls!$A$36:$E$46,4,FALSE()),"No")="Yes",1,0)</f>
        <v/>
      </c>
      <c r="AH172" s="3">
        <f>IF(IFERROR(VLOOKUP(D172,Controls!$A$36:$E$46,5,FALSE()),"No")="Yes",1,0)</f>
        <v/>
      </c>
      <c r="AI172" s="3">
        <f>IF(ISNUMBER(MATCH(D172,Controls!$A$36:$A$46,0)),1,0)</f>
        <v/>
      </c>
      <c r="AJ172" s="28">
        <f>Q172-N172</f>
        <v/>
      </c>
      <c r="AK172" s="3">
        <f>IF(AE172=1,MAX(0,N172-Q172),0)</f>
        <v/>
      </c>
      <c r="AL172" s="3">
        <f>IF(OR(V172="",V172=0),0,N172/V172)</f>
        <v/>
      </c>
      <c r="AM172" s="3">
        <f>IF(OR(V172="",V172=0),0,1)</f>
        <v/>
      </c>
      <c r="AN172" s="3">
        <f>IF(OR(E172="",F172=""),0,NETWORKDAYS(E172,F172,Ref!$K$2:$K$42))</f>
        <v/>
      </c>
      <c r="AO172" s="3">
        <f>IF(L172="Renewal",1,0)</f>
        <v/>
      </c>
      <c r="AP172" s="3">
        <f>AC172*AD172</f>
        <v/>
      </c>
      <c r="AQ172" s="3">
        <f>IF(AND(G172&lt;&gt;"",'Historical Score'!$C$6&lt;&gt;""),IF(G172='Historical Score'!$C$6,1,0),0)</f>
        <v/>
      </c>
      <c r="AR172" s="3">
        <f>IF(AND(L172&lt;&gt;"",'Historical Score'!$C$5&lt;&gt;""),IF(L172='Historical Score'!$C$5,1,0),0)</f>
        <v/>
      </c>
      <c r="AS172" s="3">
        <f>IF(AND(Y172&lt;&gt;"",'Historical Score'!$C$7&lt;&gt;""),IF(Y172='Historical Score'!$C$7,1,0),0)</f>
        <v/>
      </c>
      <c r="AT172" s="3">
        <f>IF(AND(K172&lt;&gt;"",'Historical Score'!$C$8&lt;&gt;""),IF(K172='Historical Score'!$C$8,1,0),0)</f>
        <v/>
      </c>
      <c r="AU172" s="3" t="n"/>
      <c r="AV172" s="3" t="n"/>
      <c r="AW172" s="3" t="n"/>
      <c r="AX172" s="3" t="n"/>
      <c r="AY172" s="3" t="n"/>
      <c r="AZ172" s="3" t="n"/>
      <c r="BA172" s="182">
        <f>IF(AD172=1,(AR172*'Historical Score'!$K$29+1-'Historical Score'!$K$29)*(AT172*'Historical Score'!$L$29+1-'Historical Score'!$L$29)*(AS172*'Historical Score'!$M$29+1-'Historical Score'!$M$29)*(AQ172*'Historical Score'!$N$29+1-'Historical Score'!$N$29),0)</f>
        <v/>
      </c>
      <c r="BB172" s="3" t="n"/>
      <c r="BC172" s="3" t="n"/>
    </row>
    <row r="173" ht="15.75" customHeight="1" s="174">
      <c r="A173" s="3" t="inlineStr">
        <is>
          <t>5674162756</t>
        </is>
      </c>
      <c r="B173" s="3" t="inlineStr">
        <is>
          <t>Shoperies NE LLC</t>
        </is>
      </c>
      <c r="C173" s="3" t="inlineStr">
        <is>
          <t>Shoperies NE LLC</t>
        </is>
      </c>
      <c r="D173" s="3" t="inlineStr">
        <is>
          <t>Closed</t>
        </is>
      </c>
      <c r="E173" s="23" t="n">
        <v>45867</v>
      </c>
      <c r="F173" s="23" t="n">
        <v>45944</v>
      </c>
      <c r="G173" s="3" t="n">
        <v>3</v>
      </c>
      <c r="H173" s="3" t="inlineStr">
        <is>
          <t>5999</t>
        </is>
      </c>
      <c r="I173" s="3" t="inlineStr">
        <is>
          <t>59</t>
        </is>
      </c>
      <c r="J173" s="3" t="inlineStr">
        <is>
          <t>MA</t>
        </is>
      </c>
      <c r="K173" s="3" t="inlineStr">
        <is>
          <t>Westwood</t>
        </is>
      </c>
      <c r="L173" s="3" t="inlineStr">
        <is>
          <t>Renewal</t>
        </is>
      </c>
      <c r="M173" s="3" t="n">
        <v>1.499</v>
      </c>
      <c r="N173" s="28" t="n">
        <v>20000</v>
      </c>
      <c r="O173" s="28" t="n">
        <v>2800</v>
      </c>
      <c r="P173" s="28" t="n">
        <v>29980</v>
      </c>
      <c r="Q173" s="28" t="n">
        <v>29980</v>
      </c>
      <c r="R173" s="28" t="n">
        <v>3.63797880709171e-12</v>
      </c>
      <c r="S173" s="42" t="n">
        <v>1</v>
      </c>
      <c r="T173" s="3" t="n">
        <v>3.279</v>
      </c>
      <c r="U173" s="3" t="n">
        <v>9</v>
      </c>
      <c r="V173" s="3" t="n">
        <v>109868.79</v>
      </c>
      <c r="W173" s="42" t="n">
        <v>0.057</v>
      </c>
      <c r="X173" s="23" t="n">
        <v>43891</v>
      </c>
      <c r="Y173" s="3">
        <f>IF(I173="","No SIC",IFERROR(VLOOKUP(I173,Ref!$A$2:$B$65,2,FALSE()),"Unclassified"))</f>
        <v/>
      </c>
      <c r="Z173" s="3">
        <f>IF(T173="","",IF(T173&lt;12,"Daily","Weekly"))</f>
        <v/>
      </c>
      <c r="AA173" s="3">
        <f>IF(T173="",0,IF(T173&lt;12,T173*Controls!$B$13,T173*5))</f>
        <v/>
      </c>
      <c r="AB173" s="3">
        <f>IF(E173="",0,NETWORKDAYS(E173,Controls!$B$20,Ref!$K$2:$K$42))</f>
        <v/>
      </c>
      <c r="AC173" s="3">
        <f>IF(OR(AF173=1,AND(AA173&gt;0,AB173&gt;=Controls!$B$23*AA173)),1,0)</f>
        <v/>
      </c>
      <c r="AD173" s="3">
        <f>IF(AND(E173&lt;&gt;"",E173&gt;=Controls!$B$21,E173&lt;=Controls!$B$22),1,0)</f>
        <v/>
      </c>
      <c r="AE173" s="3">
        <f>IF(IFERROR(VLOOKUP(D173,Controls!$A$36:$E$46,2,FALSE()),"No")="Yes",1,0)</f>
        <v/>
      </c>
      <c r="AF173" s="3">
        <f>IF(IFERROR(VLOOKUP(D173,Controls!$A$36:$E$46,3,FALSE()),"No")="Yes",1,0)</f>
        <v/>
      </c>
      <c r="AG173" s="3">
        <f>IF(IFERROR(VLOOKUP(D173,Controls!$A$36:$E$46,4,FALSE()),"No")="Yes",1,0)</f>
        <v/>
      </c>
      <c r="AH173" s="3">
        <f>IF(IFERROR(VLOOKUP(D173,Controls!$A$36:$E$46,5,FALSE()),"No")="Yes",1,0)</f>
        <v/>
      </c>
      <c r="AI173" s="3">
        <f>IF(ISNUMBER(MATCH(D173,Controls!$A$36:$A$46,0)),1,0)</f>
        <v/>
      </c>
      <c r="AJ173" s="28">
        <f>Q173-N173</f>
        <v/>
      </c>
      <c r="AK173" s="3">
        <f>IF(AE173=1,MAX(0,N173-Q173),0)</f>
        <v/>
      </c>
      <c r="AL173" s="3">
        <f>IF(OR(V173="",V173=0),0,N173/V173)</f>
        <v/>
      </c>
      <c r="AM173" s="3">
        <f>IF(OR(V173="",V173=0),0,1)</f>
        <v/>
      </c>
      <c r="AN173" s="3">
        <f>IF(OR(E173="",F173=""),0,NETWORKDAYS(E173,F173,Ref!$K$2:$K$42))</f>
        <v/>
      </c>
      <c r="AO173" s="3">
        <f>IF(L173="Renewal",1,0)</f>
        <v/>
      </c>
      <c r="AP173" s="3">
        <f>AC173*AD173</f>
        <v/>
      </c>
      <c r="AQ173" s="3">
        <f>IF(AND(G173&lt;&gt;"",'Historical Score'!$C$6&lt;&gt;""),IF(G173='Historical Score'!$C$6,1,0),0)</f>
        <v/>
      </c>
      <c r="AR173" s="3">
        <f>IF(AND(L173&lt;&gt;"",'Historical Score'!$C$5&lt;&gt;""),IF(L173='Historical Score'!$C$5,1,0),0)</f>
        <v/>
      </c>
      <c r="AS173" s="3">
        <f>IF(AND(Y173&lt;&gt;"",'Historical Score'!$C$7&lt;&gt;""),IF(Y173='Historical Score'!$C$7,1,0),0)</f>
        <v/>
      </c>
      <c r="AT173" s="3">
        <f>IF(AND(K173&lt;&gt;"",'Historical Score'!$C$8&lt;&gt;""),IF(K173='Historical Score'!$C$8,1,0),0)</f>
        <v/>
      </c>
      <c r="AU173" s="3" t="n"/>
      <c r="AV173" s="3" t="n"/>
      <c r="AW173" s="3" t="n"/>
      <c r="AX173" s="3" t="n"/>
      <c r="AY173" s="3" t="n"/>
      <c r="AZ173" s="3" t="n"/>
      <c r="BA173" s="182">
        <f>IF(AD173=1,(AR173*'Historical Score'!$K$29+1-'Historical Score'!$K$29)*(AT173*'Historical Score'!$L$29+1-'Historical Score'!$L$29)*(AS173*'Historical Score'!$M$29+1-'Historical Score'!$M$29)*(AQ173*'Historical Score'!$N$29+1-'Historical Score'!$N$29),0)</f>
        <v/>
      </c>
      <c r="BB173" s="3" t="n"/>
      <c r="BC173" s="3" t="n"/>
    </row>
    <row r="174" ht="15.75" customHeight="1" s="174">
      <c r="A174" s="3" t="inlineStr">
        <is>
          <t>5674162760</t>
        </is>
      </c>
      <c r="B174" s="3" t="inlineStr">
        <is>
          <t>THE ROBERT ESSIX FOUNDATION LLC</t>
        </is>
      </c>
      <c r="C174" s="3" t="inlineStr">
        <is>
          <t>THE ROBERT ESSIX FOUNDATION LLC</t>
        </is>
      </c>
      <c r="D174" s="3" t="inlineStr">
        <is>
          <t>Legal</t>
        </is>
      </c>
      <c r="E174" s="23" t="n">
        <v>45867</v>
      </c>
      <c r="F174" s="23" t="n">
        <v>45889</v>
      </c>
      <c r="G174" s="3" t="n">
        <v>2</v>
      </c>
      <c r="H174" s="3" t="inlineStr">
        <is>
          <t>8399</t>
        </is>
      </c>
      <c r="I174" s="3" t="inlineStr">
        <is>
          <t>83</t>
        </is>
      </c>
      <c r="J174" s="3" t="inlineStr">
        <is>
          <t>AZ</t>
        </is>
      </c>
      <c r="K174" s="3" t="inlineStr">
        <is>
          <t>Fundible</t>
        </is>
      </c>
      <c r="L174" s="3" t="inlineStr">
        <is>
          <t>New Deal</t>
        </is>
      </c>
      <c r="M174" s="3" t="n">
        <v>1.499</v>
      </c>
      <c r="N174" s="28" t="n">
        <v>7000</v>
      </c>
      <c r="O174" s="28" t="n">
        <v>980</v>
      </c>
      <c r="P174" s="28" t="n">
        <v>10493</v>
      </c>
      <c r="Q174" s="28" t="n">
        <v>1618.98</v>
      </c>
      <c r="R174" s="28" t="n">
        <v>8874.02</v>
      </c>
      <c r="S174" s="42" t="n">
        <v>0.154291432383494</v>
      </c>
      <c r="T174" s="3" t="n">
        <v>2.295</v>
      </c>
      <c r="U174" s="3" t="n">
        <v>5</v>
      </c>
      <c r="V174" s="3" t="n">
        <v>23702.33</v>
      </c>
      <c r="W174" s="42" t="n">
        <v>0.1304</v>
      </c>
      <c r="X174" s="23" t="n">
        <v>43956</v>
      </c>
      <c r="Y174" s="3">
        <f>IF(I174="","No SIC",IFERROR(VLOOKUP(I174,Ref!$A$2:$B$65,2,FALSE()),"Unclassified"))</f>
        <v/>
      </c>
      <c r="Z174" s="3">
        <f>IF(T174="","",IF(T174&lt;12,"Daily","Weekly"))</f>
        <v/>
      </c>
      <c r="AA174" s="3">
        <f>IF(T174="",0,IF(T174&lt;12,T174*Controls!$B$13,T174*5))</f>
        <v/>
      </c>
      <c r="AB174" s="3">
        <f>IF(E174="",0,NETWORKDAYS(E174,Controls!$B$20,Ref!$K$2:$K$42))</f>
        <v/>
      </c>
      <c r="AC174" s="3">
        <f>IF(OR(AF174=1,AND(AA174&gt;0,AB174&gt;=Controls!$B$23*AA174)),1,0)</f>
        <v/>
      </c>
      <c r="AD174" s="3">
        <f>IF(AND(E174&lt;&gt;"",E174&gt;=Controls!$B$21,E174&lt;=Controls!$B$22),1,0)</f>
        <v/>
      </c>
      <c r="AE174" s="3">
        <f>IF(IFERROR(VLOOKUP(D174,Controls!$A$36:$E$46,2,FALSE()),"No")="Yes",1,0)</f>
        <v/>
      </c>
      <c r="AF174" s="3">
        <f>IF(IFERROR(VLOOKUP(D174,Controls!$A$36:$E$46,3,FALSE()),"No")="Yes",1,0)</f>
        <v/>
      </c>
      <c r="AG174" s="3">
        <f>IF(IFERROR(VLOOKUP(D174,Controls!$A$36:$E$46,4,FALSE()),"No")="Yes",1,0)</f>
        <v/>
      </c>
      <c r="AH174" s="3">
        <f>IF(IFERROR(VLOOKUP(D174,Controls!$A$36:$E$46,5,FALSE()),"No")="Yes",1,0)</f>
        <v/>
      </c>
      <c r="AI174" s="3">
        <f>IF(ISNUMBER(MATCH(D174,Controls!$A$36:$A$46,0)),1,0)</f>
        <v/>
      </c>
      <c r="AJ174" s="28">
        <f>Q174-N174</f>
        <v/>
      </c>
      <c r="AK174" s="3">
        <f>IF(AE174=1,MAX(0,N174-Q174),0)</f>
        <v/>
      </c>
      <c r="AL174" s="3">
        <f>IF(OR(V174="",V174=0),0,N174/V174)</f>
        <v/>
      </c>
      <c r="AM174" s="3">
        <f>IF(OR(V174="",V174=0),0,1)</f>
        <v/>
      </c>
      <c r="AN174" s="3">
        <f>IF(OR(E174="",F174=""),0,NETWORKDAYS(E174,F174,Ref!$K$2:$K$42))</f>
        <v/>
      </c>
      <c r="AO174" s="3">
        <f>IF(L174="Renewal",1,0)</f>
        <v/>
      </c>
      <c r="AP174" s="3">
        <f>AC174*AD174</f>
        <v/>
      </c>
      <c r="AQ174" s="3">
        <f>IF(AND(G174&lt;&gt;"",'Historical Score'!$C$6&lt;&gt;""),IF(G174='Historical Score'!$C$6,1,0),0)</f>
        <v/>
      </c>
      <c r="AR174" s="3">
        <f>IF(AND(L174&lt;&gt;"",'Historical Score'!$C$5&lt;&gt;""),IF(L174='Historical Score'!$C$5,1,0),0)</f>
        <v/>
      </c>
      <c r="AS174" s="3">
        <f>IF(AND(Y174&lt;&gt;"",'Historical Score'!$C$7&lt;&gt;""),IF(Y174='Historical Score'!$C$7,1,0),0)</f>
        <v/>
      </c>
      <c r="AT174" s="3">
        <f>IF(AND(K174&lt;&gt;"",'Historical Score'!$C$8&lt;&gt;""),IF(K174='Historical Score'!$C$8,1,0),0)</f>
        <v/>
      </c>
      <c r="AU174" s="3" t="n"/>
      <c r="AV174" s="3" t="n"/>
      <c r="AW174" s="3" t="n"/>
      <c r="AX174" s="3" t="n"/>
      <c r="AY174" s="3" t="n"/>
      <c r="AZ174" s="3" t="n"/>
      <c r="BA174" s="182">
        <f>IF(AD174=1,(AR174*'Historical Score'!$K$29+1-'Historical Score'!$K$29)*(AT174*'Historical Score'!$L$29+1-'Historical Score'!$L$29)*(AS174*'Historical Score'!$M$29+1-'Historical Score'!$M$29)*(AQ174*'Historical Score'!$N$29+1-'Historical Score'!$N$29),0)</f>
        <v/>
      </c>
      <c r="BB174" s="3" t="n"/>
      <c r="BC174" s="3" t="n"/>
    </row>
    <row r="175" ht="15.75" customHeight="1" s="174">
      <c r="A175" s="3" t="inlineStr">
        <is>
          <t>5674162832</t>
        </is>
      </c>
      <c r="B175" s="3" t="inlineStr">
        <is>
          <t>Jojos italian diner</t>
        </is>
      </c>
      <c r="C175" s="3" t="inlineStr">
        <is>
          <t>Jojos italian diner llc</t>
        </is>
      </c>
      <c r="D175" s="3" t="inlineStr">
        <is>
          <t>Closed</t>
        </is>
      </c>
      <c r="E175" s="23" t="n">
        <v>45867</v>
      </c>
      <c r="F175" s="23" t="n">
        <v>45987</v>
      </c>
      <c r="G175" s="3" t="n">
        <v>4</v>
      </c>
      <c r="H175" s="3" t="inlineStr">
        <is>
          <t>3556</t>
        </is>
      </c>
      <c r="I175" s="3" t="inlineStr">
        <is>
          <t>35</t>
        </is>
      </c>
      <c r="J175" s="3" t="inlineStr">
        <is>
          <t>FL</t>
        </is>
      </c>
      <c r="K175" s="3" t="inlineStr">
        <is>
          <t>Platform Funding</t>
        </is>
      </c>
      <c r="L175" s="3" t="inlineStr">
        <is>
          <t>New Deal</t>
        </is>
      </c>
      <c r="M175" s="3" t="n">
        <v>1.39</v>
      </c>
      <c r="N175" s="28" t="n">
        <v>20000</v>
      </c>
      <c r="O175" s="28" t="n">
        <v>1800</v>
      </c>
      <c r="P175" s="28" t="n">
        <v>27800</v>
      </c>
      <c r="Q175" s="28" t="n">
        <v>27800</v>
      </c>
      <c r="R175" s="28" t="n">
        <v>-3.63797880709171e-12</v>
      </c>
      <c r="S175" s="42" t="n">
        <v>1</v>
      </c>
      <c r="T175" s="3" t="n">
        <v>4.918</v>
      </c>
      <c r="U175" s="3" t="n">
        <v>0</v>
      </c>
      <c r="V175" s="3" t="n">
        <v>57649.78</v>
      </c>
      <c r="W175" s="42" t="n">
        <v>0.0675</v>
      </c>
      <c r="X175" s="23" t="n">
        <v>43844</v>
      </c>
      <c r="Y175" s="3">
        <f>IF(I175="","No SIC",IFERROR(VLOOKUP(I175,Ref!$A$2:$B$65,2,FALSE()),"Unclassified"))</f>
        <v/>
      </c>
      <c r="Z175" s="3">
        <f>IF(T175="","",IF(T175&lt;12,"Daily","Weekly"))</f>
        <v/>
      </c>
      <c r="AA175" s="3">
        <f>IF(T175="",0,IF(T175&lt;12,T175*Controls!$B$13,T175*5))</f>
        <v/>
      </c>
      <c r="AB175" s="3">
        <f>IF(E175="",0,NETWORKDAYS(E175,Controls!$B$20,Ref!$K$2:$K$42))</f>
        <v/>
      </c>
      <c r="AC175" s="3">
        <f>IF(OR(AF175=1,AND(AA175&gt;0,AB175&gt;=Controls!$B$23*AA175)),1,0)</f>
        <v/>
      </c>
      <c r="AD175" s="3">
        <f>IF(AND(E175&lt;&gt;"",E175&gt;=Controls!$B$21,E175&lt;=Controls!$B$22),1,0)</f>
        <v/>
      </c>
      <c r="AE175" s="3">
        <f>IF(IFERROR(VLOOKUP(D175,Controls!$A$36:$E$46,2,FALSE()),"No")="Yes",1,0)</f>
        <v/>
      </c>
      <c r="AF175" s="3">
        <f>IF(IFERROR(VLOOKUP(D175,Controls!$A$36:$E$46,3,FALSE()),"No")="Yes",1,0)</f>
        <v/>
      </c>
      <c r="AG175" s="3">
        <f>IF(IFERROR(VLOOKUP(D175,Controls!$A$36:$E$46,4,FALSE()),"No")="Yes",1,0)</f>
        <v/>
      </c>
      <c r="AH175" s="3">
        <f>IF(IFERROR(VLOOKUP(D175,Controls!$A$36:$E$46,5,FALSE()),"No")="Yes",1,0)</f>
        <v/>
      </c>
      <c r="AI175" s="3">
        <f>IF(ISNUMBER(MATCH(D175,Controls!$A$36:$A$46,0)),1,0)</f>
        <v/>
      </c>
      <c r="AJ175" s="28">
        <f>Q175-N175</f>
        <v/>
      </c>
      <c r="AK175" s="3">
        <f>IF(AE175=1,MAX(0,N175-Q175),0)</f>
        <v/>
      </c>
      <c r="AL175" s="3">
        <f>IF(OR(V175="",V175=0),0,N175/V175)</f>
        <v/>
      </c>
      <c r="AM175" s="3">
        <f>IF(OR(V175="",V175=0),0,1)</f>
        <v/>
      </c>
      <c r="AN175" s="3">
        <f>IF(OR(E175="",F175=""),0,NETWORKDAYS(E175,F175,Ref!$K$2:$K$42))</f>
        <v/>
      </c>
      <c r="AO175" s="3">
        <f>IF(L175="Renewal",1,0)</f>
        <v/>
      </c>
      <c r="AP175" s="3">
        <f>AC175*AD175</f>
        <v/>
      </c>
      <c r="AQ175" s="3">
        <f>IF(AND(G175&lt;&gt;"",'Historical Score'!$C$6&lt;&gt;""),IF(G175='Historical Score'!$C$6,1,0),0)</f>
        <v/>
      </c>
      <c r="AR175" s="3">
        <f>IF(AND(L175&lt;&gt;"",'Historical Score'!$C$5&lt;&gt;""),IF(L175='Historical Score'!$C$5,1,0),0)</f>
        <v/>
      </c>
      <c r="AS175" s="3">
        <f>IF(AND(Y175&lt;&gt;"",'Historical Score'!$C$7&lt;&gt;""),IF(Y175='Historical Score'!$C$7,1,0),0)</f>
        <v/>
      </c>
      <c r="AT175" s="3">
        <f>IF(AND(K175&lt;&gt;"",'Historical Score'!$C$8&lt;&gt;""),IF(K175='Historical Score'!$C$8,1,0),0)</f>
        <v/>
      </c>
      <c r="AU175" s="3" t="n"/>
      <c r="AV175" s="3" t="n"/>
      <c r="AW175" s="3" t="n"/>
      <c r="AX175" s="3" t="n"/>
      <c r="AY175" s="3" t="n"/>
      <c r="AZ175" s="3" t="n"/>
      <c r="BA175" s="182">
        <f>IF(AD175=1,(AR175*'Historical Score'!$K$29+1-'Historical Score'!$K$29)*(AT175*'Historical Score'!$L$29+1-'Historical Score'!$L$29)*(AS175*'Historical Score'!$M$29+1-'Historical Score'!$M$29)*(AQ175*'Historical Score'!$N$29+1-'Historical Score'!$N$29),0)</f>
        <v/>
      </c>
      <c r="BB175" s="3" t="n"/>
      <c r="BC175" s="3" t="n"/>
    </row>
    <row r="176" ht="15.75" customHeight="1" s="174">
      <c r="A176" s="3" t="inlineStr">
        <is>
          <t>5674162872</t>
        </is>
      </c>
      <c r="B176" s="3" t="inlineStr">
        <is>
          <t>CJB custom installs</t>
        </is>
      </c>
      <c r="C176" s="3" t="inlineStr">
        <is>
          <t>CJB custom installs LLC</t>
        </is>
      </c>
      <c r="D176" s="3" t="inlineStr">
        <is>
          <t>Closed</t>
        </is>
      </c>
      <c r="E176" s="23" t="n">
        <v>45868</v>
      </c>
      <c r="F176" s="23" t="n">
        <v>45954</v>
      </c>
      <c r="G176" s="3" t="n">
        <v>4</v>
      </c>
      <c r="H176" s="3" t="inlineStr">
        <is>
          <t>1521</t>
        </is>
      </c>
      <c r="I176" s="3" t="inlineStr">
        <is>
          <t>15</t>
        </is>
      </c>
      <c r="J176" s="3" t="inlineStr">
        <is>
          <t>FL</t>
        </is>
      </c>
      <c r="K176" s="3" t="inlineStr">
        <is>
          <t>BFA 3</t>
        </is>
      </c>
      <c r="L176" s="3" t="inlineStr">
        <is>
          <t>New Deal</t>
        </is>
      </c>
      <c r="M176" s="3" t="n">
        <v>1.499</v>
      </c>
      <c r="N176" s="28" t="n">
        <v>8000</v>
      </c>
      <c r="O176" s="28" t="n">
        <v>1120</v>
      </c>
      <c r="P176" s="28" t="n">
        <v>11992</v>
      </c>
      <c r="Q176" s="28" t="n">
        <v>11992</v>
      </c>
      <c r="R176" s="28" t="n">
        <v>0</v>
      </c>
      <c r="S176" s="42" t="n">
        <v>1</v>
      </c>
      <c r="T176" s="3" t="n">
        <v>1.967</v>
      </c>
      <c r="U176" s="3" t="n">
        <v>0</v>
      </c>
      <c r="V176" s="3" t="n">
        <v>36010.88</v>
      </c>
      <c r="W176" s="42" t="n">
        <v>0.1159</v>
      </c>
      <c r="X176" s="23" t="n">
        <v>44690</v>
      </c>
      <c r="Y176" s="3">
        <f>IF(I176="","No SIC",IFERROR(VLOOKUP(I176,Ref!$A$2:$B$65,2,FALSE()),"Unclassified"))</f>
        <v/>
      </c>
      <c r="Z176" s="3">
        <f>IF(T176="","",IF(T176&lt;12,"Daily","Weekly"))</f>
        <v/>
      </c>
      <c r="AA176" s="3">
        <f>IF(T176="",0,IF(T176&lt;12,T176*Controls!$B$13,T176*5))</f>
        <v/>
      </c>
      <c r="AB176" s="3">
        <f>IF(E176="",0,NETWORKDAYS(E176,Controls!$B$20,Ref!$K$2:$K$42))</f>
        <v/>
      </c>
      <c r="AC176" s="3">
        <f>IF(OR(AF176=1,AND(AA176&gt;0,AB176&gt;=Controls!$B$23*AA176)),1,0)</f>
        <v/>
      </c>
      <c r="AD176" s="3">
        <f>IF(AND(E176&lt;&gt;"",E176&gt;=Controls!$B$21,E176&lt;=Controls!$B$22),1,0)</f>
        <v/>
      </c>
      <c r="AE176" s="3">
        <f>IF(IFERROR(VLOOKUP(D176,Controls!$A$36:$E$46,2,FALSE()),"No")="Yes",1,0)</f>
        <v/>
      </c>
      <c r="AF176" s="3">
        <f>IF(IFERROR(VLOOKUP(D176,Controls!$A$36:$E$46,3,FALSE()),"No")="Yes",1,0)</f>
        <v/>
      </c>
      <c r="AG176" s="3">
        <f>IF(IFERROR(VLOOKUP(D176,Controls!$A$36:$E$46,4,FALSE()),"No")="Yes",1,0)</f>
        <v/>
      </c>
      <c r="AH176" s="3">
        <f>IF(IFERROR(VLOOKUP(D176,Controls!$A$36:$E$46,5,FALSE()),"No")="Yes",1,0)</f>
        <v/>
      </c>
      <c r="AI176" s="3">
        <f>IF(ISNUMBER(MATCH(D176,Controls!$A$36:$A$46,0)),1,0)</f>
        <v/>
      </c>
      <c r="AJ176" s="28">
        <f>Q176-N176</f>
        <v/>
      </c>
      <c r="AK176" s="3">
        <f>IF(AE176=1,MAX(0,N176-Q176),0)</f>
        <v/>
      </c>
      <c r="AL176" s="3">
        <f>IF(OR(V176="",V176=0),0,N176/V176)</f>
        <v/>
      </c>
      <c r="AM176" s="3">
        <f>IF(OR(V176="",V176=0),0,1)</f>
        <v/>
      </c>
      <c r="AN176" s="3">
        <f>IF(OR(E176="",F176=""),0,NETWORKDAYS(E176,F176,Ref!$K$2:$K$42))</f>
        <v/>
      </c>
      <c r="AO176" s="3">
        <f>IF(L176="Renewal",1,0)</f>
        <v/>
      </c>
      <c r="AP176" s="3">
        <f>AC176*AD176</f>
        <v/>
      </c>
      <c r="AQ176" s="3">
        <f>IF(AND(G176&lt;&gt;"",'Historical Score'!$C$6&lt;&gt;""),IF(G176='Historical Score'!$C$6,1,0),0)</f>
        <v/>
      </c>
      <c r="AR176" s="3">
        <f>IF(AND(L176&lt;&gt;"",'Historical Score'!$C$5&lt;&gt;""),IF(L176='Historical Score'!$C$5,1,0),0)</f>
        <v/>
      </c>
      <c r="AS176" s="3">
        <f>IF(AND(Y176&lt;&gt;"",'Historical Score'!$C$7&lt;&gt;""),IF(Y176='Historical Score'!$C$7,1,0),0)</f>
        <v/>
      </c>
      <c r="AT176" s="3">
        <f>IF(AND(K176&lt;&gt;"",'Historical Score'!$C$8&lt;&gt;""),IF(K176='Historical Score'!$C$8,1,0),0)</f>
        <v/>
      </c>
      <c r="AU176" s="3" t="n"/>
      <c r="AV176" s="3" t="n"/>
      <c r="AW176" s="3" t="n"/>
      <c r="AX176" s="3" t="n"/>
      <c r="AY176" s="3" t="n"/>
      <c r="AZ176" s="3" t="n"/>
      <c r="BA176" s="182">
        <f>IF(AD176=1,(AR176*'Historical Score'!$K$29+1-'Historical Score'!$K$29)*(AT176*'Historical Score'!$L$29+1-'Historical Score'!$L$29)*(AS176*'Historical Score'!$M$29+1-'Historical Score'!$M$29)*(AQ176*'Historical Score'!$N$29+1-'Historical Score'!$N$29),0)</f>
        <v/>
      </c>
      <c r="BB176" s="3" t="n"/>
      <c r="BC176" s="3" t="n"/>
    </row>
    <row r="177" ht="15.75" customHeight="1" s="174">
      <c r="A177" s="3" t="inlineStr">
        <is>
          <t>5674162911</t>
        </is>
      </c>
      <c r="B177" s="3" t="inlineStr">
        <is>
          <t>OUI BEACH</t>
        </is>
      </c>
      <c r="C177" s="3" t="inlineStr">
        <is>
          <t>OUI BEACH, LLC</t>
        </is>
      </c>
      <c r="D177" s="3" t="inlineStr">
        <is>
          <t>Legal</t>
        </is>
      </c>
      <c r="E177" s="23" t="n">
        <v>45868</v>
      </c>
      <c r="F177" s="23" t="n">
        <v>45884</v>
      </c>
      <c r="G177" s="3" t="n">
        <v>4</v>
      </c>
      <c r="H177" s="3" t="inlineStr">
        <is>
          <t>5137</t>
        </is>
      </c>
      <c r="I177" s="3" t="inlineStr">
        <is>
          <t>51</t>
        </is>
      </c>
      <c r="J177" s="3" t="inlineStr">
        <is>
          <t>CA</t>
        </is>
      </c>
      <c r="K177" s="3" t="inlineStr">
        <is>
          <t>Shield Funding</t>
        </is>
      </c>
      <c r="L177" s="3" t="inlineStr">
        <is>
          <t>New Deal</t>
        </is>
      </c>
      <c r="M177" s="3" t="n">
        <v>1.49</v>
      </c>
      <c r="N177" s="28" t="n">
        <v>30000</v>
      </c>
      <c r="O177" s="28" t="n">
        <v>0</v>
      </c>
      <c r="P177" s="28" t="n">
        <v>44700</v>
      </c>
      <c r="Q177" s="28" t="n">
        <v>2980.24</v>
      </c>
      <c r="R177" s="28" t="n">
        <v>41719.76</v>
      </c>
      <c r="S177" s="42" t="n">
        <v>0.0666720357941835</v>
      </c>
      <c r="T177" s="3" t="n">
        <v>3.934</v>
      </c>
      <c r="U177" s="3" t="n">
        <v>5</v>
      </c>
      <c r="V177" s="3" t="n">
        <v>50052.28</v>
      </c>
      <c r="W177" s="42" t="n">
        <v>0.1563</v>
      </c>
      <c r="X177" s="23" t="n">
        <v>44137</v>
      </c>
      <c r="Y177" s="3">
        <f>IF(I177="","No SIC",IFERROR(VLOOKUP(I177,Ref!$A$2:$B$65,2,FALSE()),"Unclassified"))</f>
        <v/>
      </c>
      <c r="Z177" s="3">
        <f>IF(T177="","",IF(T177&lt;12,"Daily","Weekly"))</f>
        <v/>
      </c>
      <c r="AA177" s="3">
        <f>IF(T177="",0,IF(T177&lt;12,T177*Controls!$B$13,T177*5))</f>
        <v/>
      </c>
      <c r="AB177" s="3">
        <f>IF(E177="",0,NETWORKDAYS(E177,Controls!$B$20,Ref!$K$2:$K$42))</f>
        <v/>
      </c>
      <c r="AC177" s="3">
        <f>IF(OR(AF177=1,AND(AA177&gt;0,AB177&gt;=Controls!$B$23*AA177)),1,0)</f>
        <v/>
      </c>
      <c r="AD177" s="3">
        <f>IF(AND(E177&lt;&gt;"",E177&gt;=Controls!$B$21,E177&lt;=Controls!$B$22),1,0)</f>
        <v/>
      </c>
      <c r="AE177" s="3">
        <f>IF(IFERROR(VLOOKUP(D177,Controls!$A$36:$E$46,2,FALSE()),"No")="Yes",1,0)</f>
        <v/>
      </c>
      <c r="AF177" s="3">
        <f>IF(IFERROR(VLOOKUP(D177,Controls!$A$36:$E$46,3,FALSE()),"No")="Yes",1,0)</f>
        <v/>
      </c>
      <c r="AG177" s="3">
        <f>IF(IFERROR(VLOOKUP(D177,Controls!$A$36:$E$46,4,FALSE()),"No")="Yes",1,0)</f>
        <v/>
      </c>
      <c r="AH177" s="3">
        <f>IF(IFERROR(VLOOKUP(D177,Controls!$A$36:$E$46,5,FALSE()),"No")="Yes",1,0)</f>
        <v/>
      </c>
      <c r="AI177" s="3">
        <f>IF(ISNUMBER(MATCH(D177,Controls!$A$36:$A$46,0)),1,0)</f>
        <v/>
      </c>
      <c r="AJ177" s="28">
        <f>Q177-N177</f>
        <v/>
      </c>
      <c r="AK177" s="3">
        <f>IF(AE177=1,MAX(0,N177-Q177),0)</f>
        <v/>
      </c>
      <c r="AL177" s="3">
        <f>IF(OR(V177="",V177=0),0,N177/V177)</f>
        <v/>
      </c>
      <c r="AM177" s="3">
        <f>IF(OR(V177="",V177=0),0,1)</f>
        <v/>
      </c>
      <c r="AN177" s="3">
        <f>IF(OR(E177="",F177=""),0,NETWORKDAYS(E177,F177,Ref!$K$2:$K$42))</f>
        <v/>
      </c>
      <c r="AO177" s="3">
        <f>IF(L177="Renewal",1,0)</f>
        <v/>
      </c>
      <c r="AP177" s="3">
        <f>AC177*AD177</f>
        <v/>
      </c>
      <c r="AQ177" s="3">
        <f>IF(AND(G177&lt;&gt;"",'Historical Score'!$C$6&lt;&gt;""),IF(G177='Historical Score'!$C$6,1,0),0)</f>
        <v/>
      </c>
      <c r="AR177" s="3">
        <f>IF(AND(L177&lt;&gt;"",'Historical Score'!$C$5&lt;&gt;""),IF(L177='Historical Score'!$C$5,1,0),0)</f>
        <v/>
      </c>
      <c r="AS177" s="3">
        <f>IF(AND(Y177&lt;&gt;"",'Historical Score'!$C$7&lt;&gt;""),IF(Y177='Historical Score'!$C$7,1,0),0)</f>
        <v/>
      </c>
      <c r="AT177" s="3">
        <f>IF(AND(K177&lt;&gt;"",'Historical Score'!$C$8&lt;&gt;""),IF(K177='Historical Score'!$C$8,1,0),0)</f>
        <v/>
      </c>
      <c r="AU177" s="3" t="n"/>
      <c r="AV177" s="3" t="n"/>
      <c r="AW177" s="3" t="n"/>
      <c r="AX177" s="3" t="n"/>
      <c r="AY177" s="3" t="n"/>
      <c r="AZ177" s="3" t="n"/>
      <c r="BA177" s="182">
        <f>IF(AD177=1,(AR177*'Historical Score'!$K$29+1-'Historical Score'!$K$29)*(AT177*'Historical Score'!$L$29+1-'Historical Score'!$L$29)*(AS177*'Historical Score'!$M$29+1-'Historical Score'!$M$29)*(AQ177*'Historical Score'!$N$29+1-'Historical Score'!$N$29),0)</f>
        <v/>
      </c>
      <c r="BB177" s="3" t="n"/>
      <c r="BC177" s="3" t="n"/>
    </row>
    <row r="178" ht="15.75" customHeight="1" s="174">
      <c r="A178" s="3" t="inlineStr">
        <is>
          <t>5674162914</t>
        </is>
      </c>
      <c r="B178" s="3" t="inlineStr">
        <is>
          <t>ProColor Collision Fontana</t>
        </is>
      </c>
      <c r="C178" s="3" t="inlineStr">
        <is>
          <t>Standers Inc</t>
        </is>
      </c>
      <c r="D178" s="3" t="inlineStr">
        <is>
          <t>Closed</t>
        </is>
      </c>
      <c r="E178" s="23" t="n">
        <v>45868</v>
      </c>
      <c r="F178" s="23" t="n">
        <v>46092</v>
      </c>
      <c r="G178" s="3" t="n">
        <v>1</v>
      </c>
      <c r="H178" s="3" t="inlineStr">
        <is>
          <t>7538</t>
        </is>
      </c>
      <c r="I178" s="3" t="inlineStr">
        <is>
          <t>75</t>
        </is>
      </c>
      <c r="J178" s="3" t="inlineStr">
        <is>
          <t>CA</t>
        </is>
      </c>
      <c r="K178" s="3" t="inlineStr">
        <is>
          <t>Fundwell</t>
        </is>
      </c>
      <c r="L178" s="3" t="inlineStr">
        <is>
          <t>New Deal</t>
        </is>
      </c>
      <c r="M178" s="3" t="n">
        <v>1.38</v>
      </c>
      <c r="N178" s="28" t="n">
        <v>70000</v>
      </c>
      <c r="O178" s="28" t="n">
        <v>8400</v>
      </c>
      <c r="P178" s="28" t="n">
        <v>96600</v>
      </c>
      <c r="Q178" s="28" t="n">
        <v>96600</v>
      </c>
      <c r="R178" s="28" t="n">
        <v>-1.45519152283669e-11</v>
      </c>
      <c r="S178" s="42" t="n">
        <v>1</v>
      </c>
      <c r="T178" s="3" t="n">
        <v>40</v>
      </c>
      <c r="U178" s="3" t="n">
        <v>0</v>
      </c>
      <c r="V178" s="3" t="n">
        <v>120575.72</v>
      </c>
      <c r="W178" s="42" t="n">
        <v>0.0801</v>
      </c>
      <c r="X178" s="23" t="n">
        <v>45100</v>
      </c>
      <c r="Y178" s="3">
        <f>IF(I178="","No SIC",IFERROR(VLOOKUP(I178,Ref!$A$2:$B$65,2,FALSE()),"Unclassified"))</f>
        <v/>
      </c>
      <c r="Z178" s="3">
        <f>IF(T178="","",IF(T178&lt;12,"Daily","Weekly"))</f>
        <v/>
      </c>
      <c r="AA178" s="3">
        <f>IF(T178="",0,IF(T178&lt;12,T178*Controls!$B$13,T178*5))</f>
        <v/>
      </c>
      <c r="AB178" s="3">
        <f>IF(E178="",0,NETWORKDAYS(E178,Controls!$B$20,Ref!$K$2:$K$42))</f>
        <v/>
      </c>
      <c r="AC178" s="3">
        <f>IF(OR(AF178=1,AND(AA178&gt;0,AB178&gt;=Controls!$B$23*AA178)),1,0)</f>
        <v/>
      </c>
      <c r="AD178" s="3">
        <f>IF(AND(E178&lt;&gt;"",E178&gt;=Controls!$B$21,E178&lt;=Controls!$B$22),1,0)</f>
        <v/>
      </c>
      <c r="AE178" s="3">
        <f>IF(IFERROR(VLOOKUP(D178,Controls!$A$36:$E$46,2,FALSE()),"No")="Yes",1,0)</f>
        <v/>
      </c>
      <c r="AF178" s="3">
        <f>IF(IFERROR(VLOOKUP(D178,Controls!$A$36:$E$46,3,FALSE()),"No")="Yes",1,0)</f>
        <v/>
      </c>
      <c r="AG178" s="3">
        <f>IF(IFERROR(VLOOKUP(D178,Controls!$A$36:$E$46,4,FALSE()),"No")="Yes",1,0)</f>
        <v/>
      </c>
      <c r="AH178" s="3">
        <f>IF(IFERROR(VLOOKUP(D178,Controls!$A$36:$E$46,5,FALSE()),"No")="Yes",1,0)</f>
        <v/>
      </c>
      <c r="AI178" s="3">
        <f>IF(ISNUMBER(MATCH(D178,Controls!$A$36:$A$46,0)),1,0)</f>
        <v/>
      </c>
      <c r="AJ178" s="28">
        <f>Q178-N178</f>
        <v/>
      </c>
      <c r="AK178" s="3">
        <f>IF(AE178=1,MAX(0,N178-Q178),0)</f>
        <v/>
      </c>
      <c r="AL178" s="3">
        <f>IF(OR(V178="",V178=0),0,N178/V178)</f>
        <v/>
      </c>
      <c r="AM178" s="3">
        <f>IF(OR(V178="",V178=0),0,1)</f>
        <v/>
      </c>
      <c r="AN178" s="3">
        <f>IF(OR(E178="",F178=""),0,NETWORKDAYS(E178,F178,Ref!$K$2:$K$42))</f>
        <v/>
      </c>
      <c r="AO178" s="3">
        <f>IF(L178="Renewal",1,0)</f>
        <v/>
      </c>
      <c r="AP178" s="3">
        <f>AC178*AD178</f>
        <v/>
      </c>
      <c r="AQ178" s="3">
        <f>IF(AND(G178&lt;&gt;"",'Historical Score'!$C$6&lt;&gt;""),IF(G178='Historical Score'!$C$6,1,0),0)</f>
        <v/>
      </c>
      <c r="AR178" s="3">
        <f>IF(AND(L178&lt;&gt;"",'Historical Score'!$C$5&lt;&gt;""),IF(L178='Historical Score'!$C$5,1,0),0)</f>
        <v/>
      </c>
      <c r="AS178" s="3">
        <f>IF(AND(Y178&lt;&gt;"",'Historical Score'!$C$7&lt;&gt;""),IF(Y178='Historical Score'!$C$7,1,0),0)</f>
        <v/>
      </c>
      <c r="AT178" s="3">
        <f>IF(AND(K178&lt;&gt;"",'Historical Score'!$C$8&lt;&gt;""),IF(K178='Historical Score'!$C$8,1,0),0)</f>
        <v/>
      </c>
      <c r="AU178" s="3" t="n"/>
      <c r="AV178" s="3" t="n"/>
      <c r="AW178" s="3" t="n"/>
      <c r="AX178" s="3" t="n"/>
      <c r="AY178" s="3" t="n"/>
      <c r="AZ178" s="3" t="n"/>
      <c r="BA178" s="182">
        <f>IF(AD178=1,(AR178*'Historical Score'!$K$29+1-'Historical Score'!$K$29)*(AT178*'Historical Score'!$L$29+1-'Historical Score'!$L$29)*(AS178*'Historical Score'!$M$29+1-'Historical Score'!$M$29)*(AQ178*'Historical Score'!$N$29+1-'Historical Score'!$N$29),0)</f>
        <v/>
      </c>
      <c r="BB178" s="3" t="n"/>
      <c r="BC178" s="3" t="n"/>
    </row>
    <row r="179" ht="15.75" customHeight="1" s="174">
      <c r="A179" s="3" t="inlineStr">
        <is>
          <t>5674162983</t>
        </is>
      </c>
      <c r="B179" s="3" t="inlineStr">
        <is>
          <t>ON SITE REPAIR SERVICES LLC</t>
        </is>
      </c>
      <c r="C179" s="3" t="inlineStr">
        <is>
          <t>ON SITE REPAIR SERVICES LLC</t>
        </is>
      </c>
      <c r="D179" s="3" t="inlineStr">
        <is>
          <t>Closed</t>
        </is>
      </c>
      <c r="E179" s="23" t="n">
        <v>45869</v>
      </c>
      <c r="F179" s="23" t="n">
        <v>45994</v>
      </c>
      <c r="G179" s="3" t="n">
        <v>2</v>
      </c>
      <c r="H179" s="3" t="inlineStr">
        <is>
          <t>1521</t>
        </is>
      </c>
      <c r="I179" s="3" t="inlineStr">
        <is>
          <t>15</t>
        </is>
      </c>
      <c r="J179" s="3" t="inlineStr">
        <is>
          <t>TX</t>
        </is>
      </c>
      <c r="K179" s="3" t="inlineStr">
        <is>
          <t>Ballicci</t>
        </is>
      </c>
      <c r="L179" s="3" t="inlineStr">
        <is>
          <t>New Deal</t>
        </is>
      </c>
      <c r="M179" s="3" t="n">
        <v>1.49</v>
      </c>
      <c r="N179" s="28" t="n">
        <v>15000</v>
      </c>
      <c r="O179" s="28" t="n">
        <v>2100</v>
      </c>
      <c r="P179" s="28" t="n">
        <v>22350</v>
      </c>
      <c r="Q179" s="28" t="n">
        <v>22350</v>
      </c>
      <c r="R179" s="28" t="n">
        <v>0</v>
      </c>
      <c r="S179" s="42" t="n">
        <v>1</v>
      </c>
      <c r="T179" s="3" t="n">
        <v>2.787</v>
      </c>
      <c r="U179" s="3" t="n">
        <v>0</v>
      </c>
      <c r="V179" s="3" t="n">
        <v>63010.24</v>
      </c>
      <c r="W179" s="42" t="n">
        <v>0.0876</v>
      </c>
      <c r="X179" s="23" t="n"/>
      <c r="Y179" s="3">
        <f>IF(I179="","No SIC",IFERROR(VLOOKUP(I179,Ref!$A$2:$B$65,2,FALSE()),"Unclassified"))</f>
        <v/>
      </c>
      <c r="Z179" s="3">
        <f>IF(T179="","",IF(T179&lt;12,"Daily","Weekly"))</f>
        <v/>
      </c>
      <c r="AA179" s="3">
        <f>IF(T179="",0,IF(T179&lt;12,T179*Controls!$B$13,T179*5))</f>
        <v/>
      </c>
      <c r="AB179" s="3">
        <f>IF(E179="",0,NETWORKDAYS(E179,Controls!$B$20,Ref!$K$2:$K$42))</f>
        <v/>
      </c>
      <c r="AC179" s="3">
        <f>IF(OR(AF179=1,AND(AA179&gt;0,AB179&gt;=Controls!$B$23*AA179)),1,0)</f>
        <v/>
      </c>
      <c r="AD179" s="3">
        <f>IF(AND(E179&lt;&gt;"",E179&gt;=Controls!$B$21,E179&lt;=Controls!$B$22),1,0)</f>
        <v/>
      </c>
      <c r="AE179" s="3">
        <f>IF(IFERROR(VLOOKUP(D179,Controls!$A$36:$E$46,2,FALSE()),"No")="Yes",1,0)</f>
        <v/>
      </c>
      <c r="AF179" s="3">
        <f>IF(IFERROR(VLOOKUP(D179,Controls!$A$36:$E$46,3,FALSE()),"No")="Yes",1,0)</f>
        <v/>
      </c>
      <c r="AG179" s="3">
        <f>IF(IFERROR(VLOOKUP(D179,Controls!$A$36:$E$46,4,FALSE()),"No")="Yes",1,0)</f>
        <v/>
      </c>
      <c r="AH179" s="3">
        <f>IF(IFERROR(VLOOKUP(D179,Controls!$A$36:$E$46,5,FALSE()),"No")="Yes",1,0)</f>
        <v/>
      </c>
      <c r="AI179" s="3">
        <f>IF(ISNUMBER(MATCH(D179,Controls!$A$36:$A$46,0)),1,0)</f>
        <v/>
      </c>
      <c r="AJ179" s="28">
        <f>Q179-N179</f>
        <v/>
      </c>
      <c r="AK179" s="3">
        <f>IF(AE179=1,MAX(0,N179-Q179),0)</f>
        <v/>
      </c>
      <c r="AL179" s="3">
        <f>IF(OR(V179="",V179=0),0,N179/V179)</f>
        <v/>
      </c>
      <c r="AM179" s="3">
        <f>IF(OR(V179="",V179=0),0,1)</f>
        <v/>
      </c>
      <c r="AN179" s="3">
        <f>IF(OR(E179="",F179=""),0,NETWORKDAYS(E179,F179,Ref!$K$2:$K$42))</f>
        <v/>
      </c>
      <c r="AO179" s="3">
        <f>IF(L179="Renewal",1,0)</f>
        <v/>
      </c>
      <c r="AP179" s="3">
        <f>AC179*AD179</f>
        <v/>
      </c>
      <c r="AQ179" s="3">
        <f>IF(AND(G179&lt;&gt;"",'Historical Score'!$C$6&lt;&gt;""),IF(G179='Historical Score'!$C$6,1,0),0)</f>
        <v/>
      </c>
      <c r="AR179" s="3">
        <f>IF(AND(L179&lt;&gt;"",'Historical Score'!$C$5&lt;&gt;""),IF(L179='Historical Score'!$C$5,1,0),0)</f>
        <v/>
      </c>
      <c r="AS179" s="3">
        <f>IF(AND(Y179&lt;&gt;"",'Historical Score'!$C$7&lt;&gt;""),IF(Y179='Historical Score'!$C$7,1,0),0)</f>
        <v/>
      </c>
      <c r="AT179" s="3">
        <f>IF(AND(K179&lt;&gt;"",'Historical Score'!$C$8&lt;&gt;""),IF(K179='Historical Score'!$C$8,1,0),0)</f>
        <v/>
      </c>
      <c r="AU179" s="3" t="n"/>
      <c r="AV179" s="3" t="n"/>
      <c r="AW179" s="3" t="n"/>
      <c r="AX179" s="3" t="n"/>
      <c r="AY179" s="3" t="n"/>
      <c r="AZ179" s="3" t="n"/>
      <c r="BA179" s="182">
        <f>IF(AD179=1,(AR179*'Historical Score'!$K$29+1-'Historical Score'!$K$29)*(AT179*'Historical Score'!$L$29+1-'Historical Score'!$L$29)*(AS179*'Historical Score'!$M$29+1-'Historical Score'!$M$29)*(AQ179*'Historical Score'!$N$29+1-'Historical Score'!$N$29),0)</f>
        <v/>
      </c>
      <c r="BB179" s="3" t="n"/>
      <c r="BC179" s="3" t="n"/>
    </row>
    <row r="180" ht="15.75" customHeight="1" s="174">
      <c r="A180" s="3" t="inlineStr">
        <is>
          <t>5674162988</t>
        </is>
      </c>
      <c r="B180" s="3" t="inlineStr">
        <is>
          <t>Stone Manufacture</t>
        </is>
      </c>
      <c r="C180" s="3" t="inlineStr">
        <is>
          <t>SAWAED INC</t>
        </is>
      </c>
      <c r="D180" s="3" t="inlineStr">
        <is>
          <t>Legal</t>
        </is>
      </c>
      <c r="E180" s="23" t="n">
        <v>45869</v>
      </c>
      <c r="F180" s="23" t="n">
        <v>46160</v>
      </c>
      <c r="G180" s="3" t="n">
        <v>3</v>
      </c>
      <c r="H180" s="3" t="inlineStr">
        <is>
          <t>1521</t>
        </is>
      </c>
      <c r="I180" s="3" t="inlineStr">
        <is>
          <t>15</t>
        </is>
      </c>
      <c r="J180" s="3" t="inlineStr">
        <is>
          <t>CA</t>
        </is>
      </c>
      <c r="K180" s="3" t="inlineStr">
        <is>
          <t>PMF</t>
        </is>
      </c>
      <c r="L180" s="3" t="inlineStr">
        <is>
          <t>New Deal</t>
        </is>
      </c>
      <c r="M180" s="3" t="n">
        <v>1.499</v>
      </c>
      <c r="N180" s="28" t="n">
        <v>5500</v>
      </c>
      <c r="O180" s="28" t="n">
        <v>770</v>
      </c>
      <c r="P180" s="28" t="n">
        <v>8244.5</v>
      </c>
      <c r="Q180" s="28" t="n">
        <v>6451.06</v>
      </c>
      <c r="R180" s="28" t="n">
        <v>1793.44</v>
      </c>
      <c r="S180" s="42" t="n">
        <v>0.7824683122081389</v>
      </c>
      <c r="T180" s="3" t="n">
        <v>2.459</v>
      </c>
      <c r="U180" s="3" t="n">
        <v>36</v>
      </c>
      <c r="V180" s="3" t="n">
        <v>30945.17</v>
      </c>
      <c r="W180" s="42" t="n">
        <v>0.0742</v>
      </c>
      <c r="X180" s="23" t="n">
        <v>38303</v>
      </c>
      <c r="Y180" s="3">
        <f>IF(I180="","No SIC",IFERROR(VLOOKUP(I180,Ref!$A$2:$B$65,2,FALSE()),"Unclassified"))</f>
        <v/>
      </c>
      <c r="Z180" s="3">
        <f>IF(T180="","",IF(T180&lt;12,"Daily","Weekly"))</f>
        <v/>
      </c>
      <c r="AA180" s="3">
        <f>IF(T180="",0,IF(T180&lt;12,T180*Controls!$B$13,T180*5))</f>
        <v/>
      </c>
      <c r="AB180" s="3">
        <f>IF(E180="",0,NETWORKDAYS(E180,Controls!$B$20,Ref!$K$2:$K$42))</f>
        <v/>
      </c>
      <c r="AC180" s="3">
        <f>IF(OR(AF180=1,AND(AA180&gt;0,AB180&gt;=Controls!$B$23*AA180)),1,0)</f>
        <v/>
      </c>
      <c r="AD180" s="3">
        <f>IF(AND(E180&lt;&gt;"",E180&gt;=Controls!$B$21,E180&lt;=Controls!$B$22),1,0)</f>
        <v/>
      </c>
      <c r="AE180" s="3">
        <f>IF(IFERROR(VLOOKUP(D180,Controls!$A$36:$E$46,2,FALSE()),"No")="Yes",1,0)</f>
        <v/>
      </c>
      <c r="AF180" s="3">
        <f>IF(IFERROR(VLOOKUP(D180,Controls!$A$36:$E$46,3,FALSE()),"No")="Yes",1,0)</f>
        <v/>
      </c>
      <c r="AG180" s="3">
        <f>IF(IFERROR(VLOOKUP(D180,Controls!$A$36:$E$46,4,FALSE()),"No")="Yes",1,0)</f>
        <v/>
      </c>
      <c r="AH180" s="3">
        <f>IF(IFERROR(VLOOKUP(D180,Controls!$A$36:$E$46,5,FALSE()),"No")="Yes",1,0)</f>
        <v/>
      </c>
      <c r="AI180" s="3">
        <f>IF(ISNUMBER(MATCH(D180,Controls!$A$36:$A$46,0)),1,0)</f>
        <v/>
      </c>
      <c r="AJ180" s="28">
        <f>Q180-N180</f>
        <v/>
      </c>
      <c r="AK180" s="3">
        <f>IF(AE180=1,MAX(0,N180-Q180),0)</f>
        <v/>
      </c>
      <c r="AL180" s="3">
        <f>IF(OR(V180="",V180=0),0,N180/V180)</f>
        <v/>
      </c>
      <c r="AM180" s="3">
        <f>IF(OR(V180="",V180=0),0,1)</f>
        <v/>
      </c>
      <c r="AN180" s="3">
        <f>IF(OR(E180="",F180=""),0,NETWORKDAYS(E180,F180,Ref!$K$2:$K$42))</f>
        <v/>
      </c>
      <c r="AO180" s="3">
        <f>IF(L180="Renewal",1,0)</f>
        <v/>
      </c>
      <c r="AP180" s="3">
        <f>AC180*AD180</f>
        <v/>
      </c>
      <c r="AQ180" s="3">
        <f>IF(AND(G180&lt;&gt;"",'Historical Score'!$C$6&lt;&gt;""),IF(G180='Historical Score'!$C$6,1,0),0)</f>
        <v/>
      </c>
      <c r="AR180" s="3">
        <f>IF(AND(L180&lt;&gt;"",'Historical Score'!$C$5&lt;&gt;""),IF(L180='Historical Score'!$C$5,1,0),0)</f>
        <v/>
      </c>
      <c r="AS180" s="3">
        <f>IF(AND(Y180&lt;&gt;"",'Historical Score'!$C$7&lt;&gt;""),IF(Y180='Historical Score'!$C$7,1,0),0)</f>
        <v/>
      </c>
      <c r="AT180" s="3">
        <f>IF(AND(K180&lt;&gt;"",'Historical Score'!$C$8&lt;&gt;""),IF(K180='Historical Score'!$C$8,1,0),0)</f>
        <v/>
      </c>
      <c r="AU180" s="3" t="n"/>
      <c r="AV180" s="3" t="n"/>
      <c r="AW180" s="3" t="n"/>
      <c r="AX180" s="3" t="n"/>
      <c r="AY180" s="3" t="n"/>
      <c r="AZ180" s="3" t="n"/>
      <c r="BA180" s="182">
        <f>IF(AD180=1,(AR180*'Historical Score'!$K$29+1-'Historical Score'!$K$29)*(AT180*'Historical Score'!$L$29+1-'Historical Score'!$L$29)*(AS180*'Historical Score'!$M$29+1-'Historical Score'!$M$29)*(AQ180*'Historical Score'!$N$29+1-'Historical Score'!$N$29),0)</f>
        <v/>
      </c>
      <c r="BB180" s="3" t="n"/>
      <c r="BC180" s="3" t="n"/>
    </row>
    <row r="181" ht="15.75" customHeight="1" s="174">
      <c r="A181" s="3" t="inlineStr">
        <is>
          <t>5674162990</t>
        </is>
      </c>
      <c r="B181" s="3" t="inlineStr">
        <is>
          <t>DALLAS DETAIL &amp; CONSTRUCTION</t>
        </is>
      </c>
      <c r="C181" s="3" t="inlineStr">
        <is>
          <t>DALLAS DETAIL &amp; CONSTRUCTION</t>
        </is>
      </c>
      <c r="D181" s="3" t="inlineStr">
        <is>
          <t>Closed</t>
        </is>
      </c>
      <c r="E181" s="23" t="n">
        <v>45869</v>
      </c>
      <c r="F181" s="23" t="n">
        <v>45947</v>
      </c>
      <c r="G181" s="3" t="n">
        <v>7</v>
      </c>
      <c r="H181" s="3" t="inlineStr">
        <is>
          <t>1521</t>
        </is>
      </c>
      <c r="I181" s="3" t="inlineStr">
        <is>
          <t>15</t>
        </is>
      </c>
      <c r="J181" s="3" t="inlineStr">
        <is>
          <t>TX</t>
        </is>
      </c>
      <c r="K181" s="3" t="inlineStr">
        <is>
          <t>The Funding Channel</t>
        </is>
      </c>
      <c r="L181" s="3" t="inlineStr">
        <is>
          <t>New Deal</t>
        </is>
      </c>
      <c r="M181" s="3" t="n">
        <v>1.5</v>
      </c>
      <c r="N181" s="28" t="n">
        <v>5000</v>
      </c>
      <c r="O181" s="28" t="n">
        <v>700</v>
      </c>
      <c r="P181" s="28" t="n">
        <v>7500</v>
      </c>
      <c r="Q181" s="28" t="n">
        <v>7500</v>
      </c>
      <c r="R181" s="28" t="n">
        <v>0</v>
      </c>
      <c r="S181" s="42" t="n">
        <v>1</v>
      </c>
      <c r="T181" s="3" t="n">
        <v>2.295</v>
      </c>
      <c r="U181" s="3" t="n">
        <v>0</v>
      </c>
      <c r="V181" s="3" t="n">
        <v>77765.69</v>
      </c>
      <c r="W181" s="42" t="n">
        <v>0.0287</v>
      </c>
      <c r="X181" s="23" t="n">
        <v>40917</v>
      </c>
      <c r="Y181" s="3">
        <f>IF(I181="","No SIC",IFERROR(VLOOKUP(I181,Ref!$A$2:$B$65,2,FALSE()),"Unclassified"))</f>
        <v/>
      </c>
      <c r="Z181" s="3">
        <f>IF(T181="","",IF(T181&lt;12,"Daily","Weekly"))</f>
        <v/>
      </c>
      <c r="AA181" s="3">
        <f>IF(T181="",0,IF(T181&lt;12,T181*Controls!$B$13,T181*5))</f>
        <v/>
      </c>
      <c r="AB181" s="3">
        <f>IF(E181="",0,NETWORKDAYS(E181,Controls!$B$20,Ref!$K$2:$K$42))</f>
        <v/>
      </c>
      <c r="AC181" s="3">
        <f>IF(OR(AF181=1,AND(AA181&gt;0,AB181&gt;=Controls!$B$23*AA181)),1,0)</f>
        <v/>
      </c>
      <c r="AD181" s="3">
        <f>IF(AND(E181&lt;&gt;"",E181&gt;=Controls!$B$21,E181&lt;=Controls!$B$22),1,0)</f>
        <v/>
      </c>
      <c r="AE181" s="3">
        <f>IF(IFERROR(VLOOKUP(D181,Controls!$A$36:$E$46,2,FALSE()),"No")="Yes",1,0)</f>
        <v/>
      </c>
      <c r="AF181" s="3">
        <f>IF(IFERROR(VLOOKUP(D181,Controls!$A$36:$E$46,3,FALSE()),"No")="Yes",1,0)</f>
        <v/>
      </c>
      <c r="AG181" s="3">
        <f>IF(IFERROR(VLOOKUP(D181,Controls!$A$36:$E$46,4,FALSE()),"No")="Yes",1,0)</f>
        <v/>
      </c>
      <c r="AH181" s="3">
        <f>IF(IFERROR(VLOOKUP(D181,Controls!$A$36:$E$46,5,FALSE()),"No")="Yes",1,0)</f>
        <v/>
      </c>
      <c r="AI181" s="3">
        <f>IF(ISNUMBER(MATCH(D181,Controls!$A$36:$A$46,0)),1,0)</f>
        <v/>
      </c>
      <c r="AJ181" s="28">
        <f>Q181-N181</f>
        <v/>
      </c>
      <c r="AK181" s="3">
        <f>IF(AE181=1,MAX(0,N181-Q181),0)</f>
        <v/>
      </c>
      <c r="AL181" s="3">
        <f>IF(OR(V181="",V181=0),0,N181/V181)</f>
        <v/>
      </c>
      <c r="AM181" s="3">
        <f>IF(OR(V181="",V181=0),0,1)</f>
        <v/>
      </c>
      <c r="AN181" s="3">
        <f>IF(OR(E181="",F181=""),0,NETWORKDAYS(E181,F181,Ref!$K$2:$K$42))</f>
        <v/>
      </c>
      <c r="AO181" s="3">
        <f>IF(L181="Renewal",1,0)</f>
        <v/>
      </c>
      <c r="AP181" s="3">
        <f>AC181*AD181</f>
        <v/>
      </c>
      <c r="AQ181" s="3">
        <f>IF(AND(G181&lt;&gt;"",'Historical Score'!$C$6&lt;&gt;""),IF(G181='Historical Score'!$C$6,1,0),0)</f>
        <v/>
      </c>
      <c r="AR181" s="3">
        <f>IF(AND(L181&lt;&gt;"",'Historical Score'!$C$5&lt;&gt;""),IF(L181='Historical Score'!$C$5,1,0),0)</f>
        <v/>
      </c>
      <c r="AS181" s="3">
        <f>IF(AND(Y181&lt;&gt;"",'Historical Score'!$C$7&lt;&gt;""),IF(Y181='Historical Score'!$C$7,1,0),0)</f>
        <v/>
      </c>
      <c r="AT181" s="3">
        <f>IF(AND(K181&lt;&gt;"",'Historical Score'!$C$8&lt;&gt;""),IF(K181='Historical Score'!$C$8,1,0),0)</f>
        <v/>
      </c>
      <c r="AU181" s="3" t="n"/>
      <c r="AV181" s="3" t="n"/>
      <c r="AW181" s="3" t="n"/>
      <c r="AX181" s="3" t="n"/>
      <c r="AY181" s="3" t="n"/>
      <c r="AZ181" s="3" t="n"/>
      <c r="BA181" s="182">
        <f>IF(AD181=1,(AR181*'Historical Score'!$K$29+1-'Historical Score'!$K$29)*(AT181*'Historical Score'!$L$29+1-'Historical Score'!$L$29)*(AS181*'Historical Score'!$M$29+1-'Historical Score'!$M$29)*(AQ181*'Historical Score'!$N$29+1-'Historical Score'!$N$29),0)</f>
        <v/>
      </c>
      <c r="BB181" s="3" t="n"/>
      <c r="BC181" s="3" t="n"/>
    </row>
    <row r="182" ht="15.75" customHeight="1" s="174">
      <c r="A182" s="3" t="inlineStr">
        <is>
          <t>5674162999</t>
        </is>
      </c>
      <c r="B182" s="3" t="inlineStr">
        <is>
          <t>GREENLIFE BOTANICALS LLC</t>
        </is>
      </c>
      <c r="C182" s="3" t="inlineStr">
        <is>
          <t>GREENLIFE BOTANICALS LLC</t>
        </is>
      </c>
      <c r="D182" s="3" t="inlineStr">
        <is>
          <t>Legal</t>
        </is>
      </c>
      <c r="E182" s="23" t="n">
        <v>45869</v>
      </c>
      <c r="F182" s="23" t="n">
        <v>45881</v>
      </c>
      <c r="G182" s="3" t="n">
        <v>8</v>
      </c>
      <c r="H182" s="3" t="inlineStr">
        <is>
          <t>5999</t>
        </is>
      </c>
      <c r="I182" s="3" t="inlineStr">
        <is>
          <t>59</t>
        </is>
      </c>
      <c r="J182" s="3" t="inlineStr">
        <is>
          <t>GA</t>
        </is>
      </c>
      <c r="K182" s="3" t="inlineStr">
        <is>
          <t>Premium Capital (AMRK)</t>
        </is>
      </c>
      <c r="L182" s="3" t="inlineStr">
        <is>
          <t>New Deal</t>
        </is>
      </c>
      <c r="M182" s="3" t="n">
        <v>1.49</v>
      </c>
      <c r="N182" s="28" t="n">
        <v>10000</v>
      </c>
      <c r="O182" s="28" t="n">
        <v>0</v>
      </c>
      <c r="P182" s="28" t="n">
        <v>14900</v>
      </c>
      <c r="Q182" s="28" t="n">
        <v>186.34</v>
      </c>
      <c r="R182" s="28" t="n">
        <v>14713.66</v>
      </c>
      <c r="S182" s="42" t="n">
        <v>0.0125060402684564</v>
      </c>
      <c r="T182" s="3" t="n">
        <v>2.623</v>
      </c>
      <c r="U182" s="3" t="n">
        <v>7</v>
      </c>
      <c r="V182" s="3" t="n">
        <v>39888.92</v>
      </c>
      <c r="W182" s="42" t="n">
        <v>0.09810000000000001</v>
      </c>
      <c r="X182" s="23" t="n"/>
      <c r="Y182" s="3">
        <f>IF(I182="","No SIC",IFERROR(VLOOKUP(I182,Ref!$A$2:$B$65,2,FALSE()),"Unclassified"))</f>
        <v/>
      </c>
      <c r="Z182" s="3">
        <f>IF(T182="","",IF(T182&lt;12,"Daily","Weekly"))</f>
        <v/>
      </c>
      <c r="AA182" s="3">
        <f>IF(T182="",0,IF(T182&lt;12,T182*Controls!$B$13,T182*5))</f>
        <v/>
      </c>
      <c r="AB182" s="3">
        <f>IF(E182="",0,NETWORKDAYS(E182,Controls!$B$20,Ref!$K$2:$K$42))</f>
        <v/>
      </c>
      <c r="AC182" s="3">
        <f>IF(OR(AF182=1,AND(AA182&gt;0,AB182&gt;=Controls!$B$23*AA182)),1,0)</f>
        <v/>
      </c>
      <c r="AD182" s="3">
        <f>IF(AND(E182&lt;&gt;"",E182&gt;=Controls!$B$21,E182&lt;=Controls!$B$22),1,0)</f>
        <v/>
      </c>
      <c r="AE182" s="3">
        <f>IF(IFERROR(VLOOKUP(D182,Controls!$A$36:$E$46,2,FALSE()),"No")="Yes",1,0)</f>
        <v/>
      </c>
      <c r="AF182" s="3">
        <f>IF(IFERROR(VLOOKUP(D182,Controls!$A$36:$E$46,3,FALSE()),"No")="Yes",1,0)</f>
        <v/>
      </c>
      <c r="AG182" s="3">
        <f>IF(IFERROR(VLOOKUP(D182,Controls!$A$36:$E$46,4,FALSE()),"No")="Yes",1,0)</f>
        <v/>
      </c>
      <c r="AH182" s="3">
        <f>IF(IFERROR(VLOOKUP(D182,Controls!$A$36:$E$46,5,FALSE()),"No")="Yes",1,0)</f>
        <v/>
      </c>
      <c r="AI182" s="3">
        <f>IF(ISNUMBER(MATCH(D182,Controls!$A$36:$A$46,0)),1,0)</f>
        <v/>
      </c>
      <c r="AJ182" s="28">
        <f>Q182-N182</f>
        <v/>
      </c>
      <c r="AK182" s="3">
        <f>IF(AE182=1,MAX(0,N182-Q182),0)</f>
        <v/>
      </c>
      <c r="AL182" s="3">
        <f>IF(OR(V182="",V182=0),0,N182/V182)</f>
        <v/>
      </c>
      <c r="AM182" s="3">
        <f>IF(OR(V182="",V182=0),0,1)</f>
        <v/>
      </c>
      <c r="AN182" s="3">
        <f>IF(OR(E182="",F182=""),0,NETWORKDAYS(E182,F182,Ref!$K$2:$K$42))</f>
        <v/>
      </c>
      <c r="AO182" s="3">
        <f>IF(L182="Renewal",1,0)</f>
        <v/>
      </c>
      <c r="AP182" s="3">
        <f>AC182*AD182</f>
        <v/>
      </c>
      <c r="AQ182" s="3">
        <f>IF(AND(G182&lt;&gt;"",'Historical Score'!$C$6&lt;&gt;""),IF(G182='Historical Score'!$C$6,1,0),0)</f>
        <v/>
      </c>
      <c r="AR182" s="3">
        <f>IF(AND(L182&lt;&gt;"",'Historical Score'!$C$5&lt;&gt;""),IF(L182='Historical Score'!$C$5,1,0),0)</f>
        <v/>
      </c>
      <c r="AS182" s="3">
        <f>IF(AND(Y182&lt;&gt;"",'Historical Score'!$C$7&lt;&gt;""),IF(Y182='Historical Score'!$C$7,1,0),0)</f>
        <v/>
      </c>
      <c r="AT182" s="3">
        <f>IF(AND(K182&lt;&gt;"",'Historical Score'!$C$8&lt;&gt;""),IF(K182='Historical Score'!$C$8,1,0),0)</f>
        <v/>
      </c>
      <c r="AU182" s="3" t="n"/>
      <c r="AV182" s="3" t="n"/>
      <c r="AW182" s="3" t="n"/>
      <c r="AX182" s="3" t="n"/>
      <c r="AY182" s="3" t="n"/>
      <c r="AZ182" s="3" t="n"/>
      <c r="BA182" s="182">
        <f>IF(AD182=1,(AR182*'Historical Score'!$K$29+1-'Historical Score'!$K$29)*(AT182*'Historical Score'!$L$29+1-'Historical Score'!$L$29)*(AS182*'Historical Score'!$M$29+1-'Historical Score'!$M$29)*(AQ182*'Historical Score'!$N$29+1-'Historical Score'!$N$29),0)</f>
        <v/>
      </c>
      <c r="BB182" s="3" t="n"/>
      <c r="BC182" s="3" t="n"/>
    </row>
    <row r="183" ht="15.75" customHeight="1" s="174">
      <c r="A183" s="3" t="inlineStr">
        <is>
          <t>5674163045</t>
        </is>
      </c>
      <c r="B183" s="3" t="inlineStr">
        <is>
          <t>coreys Southern Catering</t>
        </is>
      </c>
      <c r="C183" s="3" t="inlineStr">
        <is>
          <t>FAVOR ONE LLC</t>
        </is>
      </c>
      <c r="D183" s="3" t="inlineStr">
        <is>
          <t>Closed</t>
        </is>
      </c>
      <c r="E183" s="23" t="n">
        <v>45869</v>
      </c>
      <c r="F183" s="23" t="n">
        <v>45986</v>
      </c>
      <c r="G183" s="3" t="n">
        <v>6</v>
      </c>
      <c r="H183" s="3" t="inlineStr">
        <is>
          <t>5812</t>
        </is>
      </c>
      <c r="I183" s="3" t="inlineStr">
        <is>
          <t>58</t>
        </is>
      </c>
      <c r="J183" s="3" t="inlineStr">
        <is>
          <t>VA</t>
        </is>
      </c>
      <c r="K183" s="3" t="inlineStr">
        <is>
          <t>Premium Capital (AMRK)</t>
        </is>
      </c>
      <c r="L183" s="3" t="inlineStr">
        <is>
          <t>New Deal</t>
        </is>
      </c>
      <c r="M183" s="3" t="n">
        <v>1.42</v>
      </c>
      <c r="N183" s="28" t="n">
        <v>10000</v>
      </c>
      <c r="O183" s="28" t="n">
        <v>1050</v>
      </c>
      <c r="P183" s="28" t="n">
        <v>14200</v>
      </c>
      <c r="Q183" s="28" t="n">
        <v>14200</v>
      </c>
      <c r="R183" s="28" t="n">
        <v>0</v>
      </c>
      <c r="S183" s="42" t="n">
        <v>1</v>
      </c>
      <c r="T183" s="3" t="n">
        <v>2.623</v>
      </c>
      <c r="U183" s="3" t="n">
        <v>0</v>
      </c>
      <c r="V183" s="3" t="n">
        <v>42674.88</v>
      </c>
      <c r="W183" s="42" t="n">
        <v>0.0873</v>
      </c>
      <c r="X183" s="23" t="n"/>
      <c r="Y183" s="3">
        <f>IF(I183="","No SIC",IFERROR(VLOOKUP(I183,Ref!$A$2:$B$65,2,FALSE()),"Unclassified"))</f>
        <v/>
      </c>
      <c r="Z183" s="3">
        <f>IF(T183="","",IF(T183&lt;12,"Daily","Weekly"))</f>
        <v/>
      </c>
      <c r="AA183" s="3">
        <f>IF(T183="",0,IF(T183&lt;12,T183*Controls!$B$13,T183*5))</f>
        <v/>
      </c>
      <c r="AB183" s="3">
        <f>IF(E183="",0,NETWORKDAYS(E183,Controls!$B$20,Ref!$K$2:$K$42))</f>
        <v/>
      </c>
      <c r="AC183" s="3">
        <f>IF(OR(AF183=1,AND(AA183&gt;0,AB183&gt;=Controls!$B$23*AA183)),1,0)</f>
        <v/>
      </c>
      <c r="AD183" s="3">
        <f>IF(AND(E183&lt;&gt;"",E183&gt;=Controls!$B$21,E183&lt;=Controls!$B$22),1,0)</f>
        <v/>
      </c>
      <c r="AE183" s="3">
        <f>IF(IFERROR(VLOOKUP(D183,Controls!$A$36:$E$46,2,FALSE()),"No")="Yes",1,0)</f>
        <v/>
      </c>
      <c r="AF183" s="3">
        <f>IF(IFERROR(VLOOKUP(D183,Controls!$A$36:$E$46,3,FALSE()),"No")="Yes",1,0)</f>
        <v/>
      </c>
      <c r="AG183" s="3">
        <f>IF(IFERROR(VLOOKUP(D183,Controls!$A$36:$E$46,4,FALSE()),"No")="Yes",1,0)</f>
        <v/>
      </c>
      <c r="AH183" s="3">
        <f>IF(IFERROR(VLOOKUP(D183,Controls!$A$36:$E$46,5,FALSE()),"No")="Yes",1,0)</f>
        <v/>
      </c>
      <c r="AI183" s="3">
        <f>IF(ISNUMBER(MATCH(D183,Controls!$A$36:$A$46,0)),1,0)</f>
        <v/>
      </c>
      <c r="AJ183" s="28">
        <f>Q183-N183</f>
        <v/>
      </c>
      <c r="AK183" s="3">
        <f>IF(AE183=1,MAX(0,N183-Q183),0)</f>
        <v/>
      </c>
      <c r="AL183" s="3">
        <f>IF(OR(V183="",V183=0),0,N183/V183)</f>
        <v/>
      </c>
      <c r="AM183" s="3">
        <f>IF(OR(V183="",V183=0),0,1)</f>
        <v/>
      </c>
      <c r="AN183" s="3">
        <f>IF(OR(E183="",F183=""),0,NETWORKDAYS(E183,F183,Ref!$K$2:$K$42))</f>
        <v/>
      </c>
      <c r="AO183" s="3">
        <f>IF(L183="Renewal",1,0)</f>
        <v/>
      </c>
      <c r="AP183" s="3">
        <f>AC183*AD183</f>
        <v/>
      </c>
      <c r="AQ183" s="3">
        <f>IF(AND(G183&lt;&gt;"",'Historical Score'!$C$6&lt;&gt;""),IF(G183='Historical Score'!$C$6,1,0),0)</f>
        <v/>
      </c>
      <c r="AR183" s="3">
        <f>IF(AND(L183&lt;&gt;"",'Historical Score'!$C$5&lt;&gt;""),IF(L183='Historical Score'!$C$5,1,0),0)</f>
        <v/>
      </c>
      <c r="AS183" s="3">
        <f>IF(AND(Y183&lt;&gt;"",'Historical Score'!$C$7&lt;&gt;""),IF(Y183='Historical Score'!$C$7,1,0),0)</f>
        <v/>
      </c>
      <c r="AT183" s="3">
        <f>IF(AND(K183&lt;&gt;"",'Historical Score'!$C$8&lt;&gt;""),IF(K183='Historical Score'!$C$8,1,0),0)</f>
        <v/>
      </c>
      <c r="AU183" s="3" t="n"/>
      <c r="AV183" s="3" t="n"/>
      <c r="AW183" s="3" t="n"/>
      <c r="AX183" s="3" t="n"/>
      <c r="AY183" s="3" t="n"/>
      <c r="AZ183" s="3" t="n"/>
      <c r="BA183" s="182">
        <f>IF(AD183=1,(AR183*'Historical Score'!$K$29+1-'Historical Score'!$K$29)*(AT183*'Historical Score'!$L$29+1-'Historical Score'!$L$29)*(AS183*'Historical Score'!$M$29+1-'Historical Score'!$M$29)*(AQ183*'Historical Score'!$N$29+1-'Historical Score'!$N$29),0)</f>
        <v/>
      </c>
      <c r="BB183" s="3" t="n"/>
      <c r="BC183" s="3" t="n"/>
    </row>
    <row r="184" ht="15.75" customHeight="1" s="174">
      <c r="A184" s="3" t="inlineStr">
        <is>
          <t>5674163052</t>
        </is>
      </c>
      <c r="B184" s="3" t="inlineStr">
        <is>
          <t>So Baltimore, LLC</t>
        </is>
      </c>
      <c r="C184" s="3" t="inlineStr">
        <is>
          <t>So Baltimore, LLC</t>
        </is>
      </c>
      <c r="D184" s="3" t="inlineStr">
        <is>
          <t>Closed</t>
        </is>
      </c>
      <c r="E184" s="23" t="n">
        <v>45869</v>
      </c>
      <c r="F184" s="23" t="n">
        <v>45953</v>
      </c>
      <c r="G184" s="3" t="n">
        <v>5</v>
      </c>
      <c r="H184" s="3" t="inlineStr">
        <is>
          <t>5812</t>
        </is>
      </c>
      <c r="I184" s="3" t="inlineStr">
        <is>
          <t>58</t>
        </is>
      </c>
      <c r="J184" s="3" t="inlineStr">
        <is>
          <t>MD</t>
        </is>
      </c>
      <c r="K184" s="3" t="inlineStr">
        <is>
          <t>Llama Loan</t>
        </is>
      </c>
      <c r="L184" s="3" t="inlineStr">
        <is>
          <t>Renewal</t>
        </is>
      </c>
      <c r="M184" s="3" t="n">
        <v>1.43</v>
      </c>
      <c r="N184" s="28" t="n">
        <v>18000</v>
      </c>
      <c r="O184" s="28" t="n">
        <v>1980</v>
      </c>
      <c r="P184" s="28" t="n">
        <v>25740</v>
      </c>
      <c r="Q184" s="28" t="n">
        <v>25740</v>
      </c>
      <c r="R184" s="28" t="n">
        <v>0</v>
      </c>
      <c r="S184" s="42" t="n">
        <v>1</v>
      </c>
      <c r="T184" s="3" t="n">
        <v>2.951</v>
      </c>
      <c r="U184" s="3" t="n">
        <v>0</v>
      </c>
      <c r="V184" s="3" t="n">
        <v>82755.78</v>
      </c>
      <c r="W184" s="42" t="n">
        <v>0.1058</v>
      </c>
      <c r="X184" s="23" t="n">
        <v>44378</v>
      </c>
      <c r="Y184" s="3">
        <f>IF(I184="","No SIC",IFERROR(VLOOKUP(I184,Ref!$A$2:$B$65,2,FALSE()),"Unclassified"))</f>
        <v/>
      </c>
      <c r="Z184" s="3">
        <f>IF(T184="","",IF(T184&lt;12,"Daily","Weekly"))</f>
        <v/>
      </c>
      <c r="AA184" s="3">
        <f>IF(T184="",0,IF(T184&lt;12,T184*Controls!$B$13,T184*5))</f>
        <v/>
      </c>
      <c r="AB184" s="3">
        <f>IF(E184="",0,NETWORKDAYS(E184,Controls!$B$20,Ref!$K$2:$K$42))</f>
        <v/>
      </c>
      <c r="AC184" s="3">
        <f>IF(OR(AF184=1,AND(AA184&gt;0,AB184&gt;=Controls!$B$23*AA184)),1,0)</f>
        <v/>
      </c>
      <c r="AD184" s="3">
        <f>IF(AND(E184&lt;&gt;"",E184&gt;=Controls!$B$21,E184&lt;=Controls!$B$22),1,0)</f>
        <v/>
      </c>
      <c r="AE184" s="3">
        <f>IF(IFERROR(VLOOKUP(D184,Controls!$A$36:$E$46,2,FALSE()),"No")="Yes",1,0)</f>
        <v/>
      </c>
      <c r="AF184" s="3">
        <f>IF(IFERROR(VLOOKUP(D184,Controls!$A$36:$E$46,3,FALSE()),"No")="Yes",1,0)</f>
        <v/>
      </c>
      <c r="AG184" s="3">
        <f>IF(IFERROR(VLOOKUP(D184,Controls!$A$36:$E$46,4,FALSE()),"No")="Yes",1,0)</f>
        <v/>
      </c>
      <c r="AH184" s="3">
        <f>IF(IFERROR(VLOOKUP(D184,Controls!$A$36:$E$46,5,FALSE()),"No")="Yes",1,0)</f>
        <v/>
      </c>
      <c r="AI184" s="3">
        <f>IF(ISNUMBER(MATCH(D184,Controls!$A$36:$A$46,0)),1,0)</f>
        <v/>
      </c>
      <c r="AJ184" s="28">
        <f>Q184-N184</f>
        <v/>
      </c>
      <c r="AK184" s="3">
        <f>IF(AE184=1,MAX(0,N184-Q184),0)</f>
        <v/>
      </c>
      <c r="AL184" s="3">
        <f>IF(OR(V184="",V184=0),0,N184/V184)</f>
        <v/>
      </c>
      <c r="AM184" s="3">
        <f>IF(OR(V184="",V184=0),0,1)</f>
        <v/>
      </c>
      <c r="AN184" s="3">
        <f>IF(OR(E184="",F184=""),0,NETWORKDAYS(E184,F184,Ref!$K$2:$K$42))</f>
        <v/>
      </c>
      <c r="AO184" s="3">
        <f>IF(L184="Renewal",1,0)</f>
        <v/>
      </c>
      <c r="AP184" s="3">
        <f>AC184*AD184</f>
        <v/>
      </c>
      <c r="AQ184" s="3">
        <f>IF(AND(G184&lt;&gt;"",'Historical Score'!$C$6&lt;&gt;""),IF(G184='Historical Score'!$C$6,1,0),0)</f>
        <v/>
      </c>
      <c r="AR184" s="3">
        <f>IF(AND(L184&lt;&gt;"",'Historical Score'!$C$5&lt;&gt;""),IF(L184='Historical Score'!$C$5,1,0),0)</f>
        <v/>
      </c>
      <c r="AS184" s="3">
        <f>IF(AND(Y184&lt;&gt;"",'Historical Score'!$C$7&lt;&gt;""),IF(Y184='Historical Score'!$C$7,1,0),0)</f>
        <v/>
      </c>
      <c r="AT184" s="3">
        <f>IF(AND(K184&lt;&gt;"",'Historical Score'!$C$8&lt;&gt;""),IF(K184='Historical Score'!$C$8,1,0),0)</f>
        <v/>
      </c>
      <c r="AU184" s="3" t="n"/>
      <c r="AV184" s="3" t="n"/>
      <c r="AW184" s="3" t="n"/>
      <c r="AX184" s="3" t="n"/>
      <c r="AY184" s="3" t="n"/>
      <c r="AZ184" s="3" t="n"/>
      <c r="BA184" s="182">
        <f>IF(AD184=1,(AR184*'Historical Score'!$K$29+1-'Historical Score'!$K$29)*(AT184*'Historical Score'!$L$29+1-'Historical Score'!$L$29)*(AS184*'Historical Score'!$M$29+1-'Historical Score'!$M$29)*(AQ184*'Historical Score'!$N$29+1-'Historical Score'!$N$29),0)</f>
        <v/>
      </c>
      <c r="BB184" s="3" t="n"/>
      <c r="BC184" s="3" t="n"/>
    </row>
    <row r="185" ht="15.75" customHeight="1" s="174">
      <c r="A185" s="3" t="inlineStr">
        <is>
          <t>5674163227</t>
        </is>
      </c>
      <c r="B185" s="3" t="inlineStr">
        <is>
          <t>Cramer Brothers Farms LLC</t>
        </is>
      </c>
      <c r="C185" s="3" t="inlineStr">
        <is>
          <t>Cramer Brothers Farms LLC</t>
        </is>
      </c>
      <c r="D185" s="3" t="inlineStr">
        <is>
          <t>Closed</t>
        </is>
      </c>
      <c r="E185" s="23" t="n">
        <v>45873</v>
      </c>
      <c r="F185" s="23" t="n">
        <v>45975</v>
      </c>
      <c r="G185" s="3" t="n">
        <v>1</v>
      </c>
      <c r="H185" s="3" t="inlineStr">
        <is>
          <t>4212</t>
        </is>
      </c>
      <c r="I185" s="3" t="inlineStr">
        <is>
          <t>42</t>
        </is>
      </c>
      <c r="J185" s="3" t="inlineStr">
        <is>
          <t>MO</t>
        </is>
      </c>
      <c r="K185" s="3" t="inlineStr">
        <is>
          <t>Smarter Credit Inc.</t>
        </is>
      </c>
      <c r="L185" s="3" t="inlineStr">
        <is>
          <t>New Deal</t>
        </is>
      </c>
      <c r="M185" s="3" t="n">
        <v>1.499</v>
      </c>
      <c r="N185" s="28" t="n">
        <v>5000</v>
      </c>
      <c r="O185" s="28" t="n">
        <v>700</v>
      </c>
      <c r="P185" s="28" t="n">
        <v>7495</v>
      </c>
      <c r="Q185" s="28" t="n">
        <v>7495</v>
      </c>
      <c r="R185" s="28" t="n">
        <v>9.09494701772928e-13</v>
      </c>
      <c r="S185" s="42" t="n">
        <v>1</v>
      </c>
      <c r="T185" s="3" t="n">
        <v>1.967</v>
      </c>
      <c r="U185" s="3" t="n">
        <v>5</v>
      </c>
      <c r="V185" s="3" t="n">
        <v>88870.11</v>
      </c>
      <c r="W185" s="42" t="n">
        <v>0.0293</v>
      </c>
      <c r="X185" s="23" t="n">
        <v>45258</v>
      </c>
      <c r="Y185" s="3">
        <f>IF(I185="","No SIC",IFERROR(VLOOKUP(I185,Ref!$A$2:$B$65,2,FALSE()),"Unclassified"))</f>
        <v/>
      </c>
      <c r="Z185" s="3">
        <f>IF(T185="","",IF(T185&lt;12,"Daily","Weekly"))</f>
        <v/>
      </c>
      <c r="AA185" s="3">
        <f>IF(T185="",0,IF(T185&lt;12,T185*Controls!$B$13,T185*5))</f>
        <v/>
      </c>
      <c r="AB185" s="3">
        <f>IF(E185="",0,NETWORKDAYS(E185,Controls!$B$20,Ref!$K$2:$K$42))</f>
        <v/>
      </c>
      <c r="AC185" s="3">
        <f>IF(OR(AF185=1,AND(AA185&gt;0,AB185&gt;=Controls!$B$23*AA185)),1,0)</f>
        <v/>
      </c>
      <c r="AD185" s="3">
        <f>IF(AND(E185&lt;&gt;"",E185&gt;=Controls!$B$21,E185&lt;=Controls!$B$22),1,0)</f>
        <v/>
      </c>
      <c r="AE185" s="3">
        <f>IF(IFERROR(VLOOKUP(D185,Controls!$A$36:$E$46,2,FALSE()),"No")="Yes",1,0)</f>
        <v/>
      </c>
      <c r="AF185" s="3">
        <f>IF(IFERROR(VLOOKUP(D185,Controls!$A$36:$E$46,3,FALSE()),"No")="Yes",1,0)</f>
        <v/>
      </c>
      <c r="AG185" s="3">
        <f>IF(IFERROR(VLOOKUP(D185,Controls!$A$36:$E$46,4,FALSE()),"No")="Yes",1,0)</f>
        <v/>
      </c>
      <c r="AH185" s="3">
        <f>IF(IFERROR(VLOOKUP(D185,Controls!$A$36:$E$46,5,FALSE()),"No")="Yes",1,0)</f>
        <v/>
      </c>
      <c r="AI185" s="3">
        <f>IF(ISNUMBER(MATCH(D185,Controls!$A$36:$A$46,0)),1,0)</f>
        <v/>
      </c>
      <c r="AJ185" s="28">
        <f>Q185-N185</f>
        <v/>
      </c>
      <c r="AK185" s="3">
        <f>IF(AE185=1,MAX(0,N185-Q185),0)</f>
        <v/>
      </c>
      <c r="AL185" s="3">
        <f>IF(OR(V185="",V185=0),0,N185/V185)</f>
        <v/>
      </c>
      <c r="AM185" s="3">
        <f>IF(OR(V185="",V185=0),0,1)</f>
        <v/>
      </c>
      <c r="AN185" s="3">
        <f>IF(OR(E185="",F185=""),0,NETWORKDAYS(E185,F185,Ref!$K$2:$K$42))</f>
        <v/>
      </c>
      <c r="AO185" s="3">
        <f>IF(L185="Renewal",1,0)</f>
        <v/>
      </c>
      <c r="AP185" s="3">
        <f>AC185*AD185</f>
        <v/>
      </c>
      <c r="AQ185" s="3">
        <f>IF(AND(G185&lt;&gt;"",'Historical Score'!$C$6&lt;&gt;""),IF(G185='Historical Score'!$C$6,1,0),0)</f>
        <v/>
      </c>
      <c r="AR185" s="3">
        <f>IF(AND(L185&lt;&gt;"",'Historical Score'!$C$5&lt;&gt;""),IF(L185='Historical Score'!$C$5,1,0),0)</f>
        <v/>
      </c>
      <c r="AS185" s="3">
        <f>IF(AND(Y185&lt;&gt;"",'Historical Score'!$C$7&lt;&gt;""),IF(Y185='Historical Score'!$C$7,1,0),0)</f>
        <v/>
      </c>
      <c r="AT185" s="3">
        <f>IF(AND(K185&lt;&gt;"",'Historical Score'!$C$8&lt;&gt;""),IF(K185='Historical Score'!$C$8,1,0),0)</f>
        <v/>
      </c>
      <c r="AU185" s="3" t="n"/>
      <c r="AV185" s="3" t="n"/>
      <c r="AW185" s="3" t="n"/>
      <c r="AX185" s="3" t="n"/>
      <c r="AY185" s="3" t="n"/>
      <c r="AZ185" s="3" t="n"/>
      <c r="BA185" s="182">
        <f>IF(AD185=1,(AR185*'Historical Score'!$K$29+1-'Historical Score'!$K$29)*(AT185*'Historical Score'!$L$29+1-'Historical Score'!$L$29)*(AS185*'Historical Score'!$M$29+1-'Historical Score'!$M$29)*(AQ185*'Historical Score'!$N$29+1-'Historical Score'!$N$29),0)</f>
        <v/>
      </c>
      <c r="BB185" s="3" t="n"/>
      <c r="BC185" s="3" t="n"/>
    </row>
    <row r="186" ht="15.75" customHeight="1" s="174">
      <c r="A186" s="3" t="inlineStr">
        <is>
          <t>5674163296</t>
        </is>
      </c>
      <c r="B186" s="3" t="inlineStr">
        <is>
          <t>parker construction company</t>
        </is>
      </c>
      <c r="C186" s="3" t="inlineStr">
        <is>
          <t>Parker construction company llc</t>
        </is>
      </c>
      <c r="D186" s="3" t="inlineStr">
        <is>
          <t>Legal</t>
        </is>
      </c>
      <c r="E186" s="23" t="n">
        <v>45874</v>
      </c>
      <c r="F186" s="23" t="n">
        <v>45889</v>
      </c>
      <c r="G186" s="3" t="n">
        <v>2</v>
      </c>
      <c r="H186" s="3" t="inlineStr">
        <is>
          <t>1521</t>
        </is>
      </c>
      <c r="I186" s="3" t="inlineStr">
        <is>
          <t>15</t>
        </is>
      </c>
      <c r="J186" s="3" t="inlineStr">
        <is>
          <t>TN</t>
        </is>
      </c>
      <c r="K186" s="3" t="inlineStr">
        <is>
          <t>Springville Partners</t>
        </is>
      </c>
      <c r="L186" s="3" t="inlineStr">
        <is>
          <t>New Deal</t>
        </is>
      </c>
      <c r="M186" s="3" t="n">
        <v>1.499</v>
      </c>
      <c r="N186" s="28" t="n">
        <v>20000</v>
      </c>
      <c r="O186" s="28" t="n">
        <v>2400</v>
      </c>
      <c r="P186" s="28" t="n">
        <v>29980</v>
      </c>
      <c r="Q186" s="28" t="n">
        <v>3350.52</v>
      </c>
      <c r="R186" s="28" t="n">
        <v>26629.48</v>
      </c>
      <c r="S186" s="42" t="n">
        <v>0.111758505670447</v>
      </c>
      <c r="T186" s="3" t="n">
        <v>2.623</v>
      </c>
      <c r="U186" s="3" t="n">
        <v>3</v>
      </c>
      <c r="V186" s="3" t="n">
        <v>132060.2</v>
      </c>
      <c r="W186" s="42" t="n">
        <v>0.0592</v>
      </c>
      <c r="X186" s="23" t="n"/>
      <c r="Y186" s="3">
        <f>IF(I186="","No SIC",IFERROR(VLOOKUP(I186,Ref!$A$2:$B$65,2,FALSE()),"Unclassified"))</f>
        <v/>
      </c>
      <c r="Z186" s="3">
        <f>IF(T186="","",IF(T186&lt;12,"Daily","Weekly"))</f>
        <v/>
      </c>
      <c r="AA186" s="3">
        <f>IF(T186="",0,IF(T186&lt;12,T186*Controls!$B$13,T186*5))</f>
        <v/>
      </c>
      <c r="AB186" s="3">
        <f>IF(E186="",0,NETWORKDAYS(E186,Controls!$B$20,Ref!$K$2:$K$42))</f>
        <v/>
      </c>
      <c r="AC186" s="3">
        <f>IF(OR(AF186=1,AND(AA186&gt;0,AB186&gt;=Controls!$B$23*AA186)),1,0)</f>
        <v/>
      </c>
      <c r="AD186" s="3">
        <f>IF(AND(E186&lt;&gt;"",E186&gt;=Controls!$B$21,E186&lt;=Controls!$B$22),1,0)</f>
        <v/>
      </c>
      <c r="AE186" s="3">
        <f>IF(IFERROR(VLOOKUP(D186,Controls!$A$36:$E$46,2,FALSE()),"No")="Yes",1,0)</f>
        <v/>
      </c>
      <c r="AF186" s="3">
        <f>IF(IFERROR(VLOOKUP(D186,Controls!$A$36:$E$46,3,FALSE()),"No")="Yes",1,0)</f>
        <v/>
      </c>
      <c r="AG186" s="3">
        <f>IF(IFERROR(VLOOKUP(D186,Controls!$A$36:$E$46,4,FALSE()),"No")="Yes",1,0)</f>
        <v/>
      </c>
      <c r="AH186" s="3">
        <f>IF(IFERROR(VLOOKUP(D186,Controls!$A$36:$E$46,5,FALSE()),"No")="Yes",1,0)</f>
        <v/>
      </c>
      <c r="AI186" s="3">
        <f>IF(ISNUMBER(MATCH(D186,Controls!$A$36:$A$46,0)),1,0)</f>
        <v/>
      </c>
      <c r="AJ186" s="28">
        <f>Q186-N186</f>
        <v/>
      </c>
      <c r="AK186" s="3">
        <f>IF(AE186=1,MAX(0,N186-Q186),0)</f>
        <v/>
      </c>
      <c r="AL186" s="3">
        <f>IF(OR(V186="",V186=0),0,N186/V186)</f>
        <v/>
      </c>
      <c r="AM186" s="3">
        <f>IF(OR(V186="",V186=0),0,1)</f>
        <v/>
      </c>
      <c r="AN186" s="3">
        <f>IF(OR(E186="",F186=""),0,NETWORKDAYS(E186,F186,Ref!$K$2:$K$42))</f>
        <v/>
      </c>
      <c r="AO186" s="3">
        <f>IF(L186="Renewal",1,0)</f>
        <v/>
      </c>
      <c r="AP186" s="3">
        <f>AC186*AD186</f>
        <v/>
      </c>
      <c r="AQ186" s="3">
        <f>IF(AND(G186&lt;&gt;"",'Historical Score'!$C$6&lt;&gt;""),IF(G186='Historical Score'!$C$6,1,0),0)</f>
        <v/>
      </c>
      <c r="AR186" s="3">
        <f>IF(AND(L186&lt;&gt;"",'Historical Score'!$C$5&lt;&gt;""),IF(L186='Historical Score'!$C$5,1,0),0)</f>
        <v/>
      </c>
      <c r="AS186" s="3">
        <f>IF(AND(Y186&lt;&gt;"",'Historical Score'!$C$7&lt;&gt;""),IF(Y186='Historical Score'!$C$7,1,0),0)</f>
        <v/>
      </c>
      <c r="AT186" s="3">
        <f>IF(AND(K186&lt;&gt;"",'Historical Score'!$C$8&lt;&gt;""),IF(K186='Historical Score'!$C$8,1,0),0)</f>
        <v/>
      </c>
      <c r="AU186" s="3" t="n"/>
      <c r="AV186" s="3" t="n"/>
      <c r="AW186" s="3" t="n"/>
      <c r="AX186" s="3" t="n"/>
      <c r="AY186" s="3" t="n"/>
      <c r="AZ186" s="3" t="n"/>
      <c r="BA186" s="182">
        <f>IF(AD186=1,(AR186*'Historical Score'!$K$29+1-'Historical Score'!$K$29)*(AT186*'Historical Score'!$L$29+1-'Historical Score'!$L$29)*(AS186*'Historical Score'!$M$29+1-'Historical Score'!$M$29)*(AQ186*'Historical Score'!$N$29+1-'Historical Score'!$N$29),0)</f>
        <v/>
      </c>
      <c r="BB186" s="3" t="n"/>
      <c r="BC186" s="3" t="n"/>
    </row>
    <row r="187" ht="15.75" customHeight="1" s="174">
      <c r="A187" s="3" t="inlineStr">
        <is>
          <t>5674163315</t>
        </is>
      </c>
      <c r="B187" s="3" t="inlineStr">
        <is>
          <t>CAPRI Transportation</t>
        </is>
      </c>
      <c r="C187" s="3" t="inlineStr">
        <is>
          <t>CAPRI TRANSPORTATION LLC</t>
        </is>
      </c>
      <c r="D187" s="3" t="inlineStr">
        <is>
          <t>Closed</t>
        </is>
      </c>
      <c r="E187" s="23" t="n">
        <v>45874</v>
      </c>
      <c r="F187" s="23" t="n">
        <v>45915</v>
      </c>
      <c r="G187" s="3" t="n">
        <v>2</v>
      </c>
      <c r="H187" s="3" t="inlineStr">
        <is>
          <t>4212</t>
        </is>
      </c>
      <c r="I187" s="3" t="inlineStr">
        <is>
          <t>42</t>
        </is>
      </c>
      <c r="J187" s="3" t="inlineStr">
        <is>
          <t>FL</t>
        </is>
      </c>
      <c r="K187" s="3" t="inlineStr">
        <is>
          <t>Premium Capital (AMRK)</t>
        </is>
      </c>
      <c r="L187" s="3" t="inlineStr">
        <is>
          <t>New Deal</t>
        </is>
      </c>
      <c r="M187" s="3" t="n">
        <v>1.49</v>
      </c>
      <c r="N187" s="28" t="n">
        <v>12000</v>
      </c>
      <c r="O187" s="28" t="n">
        <v>1680</v>
      </c>
      <c r="P187" s="28" t="n">
        <v>17880</v>
      </c>
      <c r="Q187" s="28" t="n">
        <v>17880</v>
      </c>
      <c r="R187" s="28" t="n">
        <v>0</v>
      </c>
      <c r="S187" s="42" t="n">
        <v>1</v>
      </c>
      <c r="T187" s="3" t="n">
        <v>1.639</v>
      </c>
      <c r="U187" s="3" t="n">
        <v>0</v>
      </c>
      <c r="V187" s="3" t="n">
        <v>47015.44</v>
      </c>
      <c r="W187" s="42" t="n">
        <v>0.1597</v>
      </c>
      <c r="X187" s="23" t="n"/>
      <c r="Y187" s="3">
        <f>IF(I187="","No SIC",IFERROR(VLOOKUP(I187,Ref!$A$2:$B$65,2,FALSE()),"Unclassified"))</f>
        <v/>
      </c>
      <c r="Z187" s="3">
        <f>IF(T187="","",IF(T187&lt;12,"Daily","Weekly"))</f>
        <v/>
      </c>
      <c r="AA187" s="3">
        <f>IF(T187="",0,IF(T187&lt;12,T187*Controls!$B$13,T187*5))</f>
        <v/>
      </c>
      <c r="AB187" s="3">
        <f>IF(E187="",0,NETWORKDAYS(E187,Controls!$B$20,Ref!$K$2:$K$42))</f>
        <v/>
      </c>
      <c r="AC187" s="3">
        <f>IF(OR(AF187=1,AND(AA187&gt;0,AB187&gt;=Controls!$B$23*AA187)),1,0)</f>
        <v/>
      </c>
      <c r="AD187" s="3">
        <f>IF(AND(E187&lt;&gt;"",E187&gt;=Controls!$B$21,E187&lt;=Controls!$B$22),1,0)</f>
        <v/>
      </c>
      <c r="AE187" s="3">
        <f>IF(IFERROR(VLOOKUP(D187,Controls!$A$36:$E$46,2,FALSE()),"No")="Yes",1,0)</f>
        <v/>
      </c>
      <c r="AF187" s="3">
        <f>IF(IFERROR(VLOOKUP(D187,Controls!$A$36:$E$46,3,FALSE()),"No")="Yes",1,0)</f>
        <v/>
      </c>
      <c r="AG187" s="3">
        <f>IF(IFERROR(VLOOKUP(D187,Controls!$A$36:$E$46,4,FALSE()),"No")="Yes",1,0)</f>
        <v/>
      </c>
      <c r="AH187" s="3">
        <f>IF(IFERROR(VLOOKUP(D187,Controls!$A$36:$E$46,5,FALSE()),"No")="Yes",1,0)</f>
        <v/>
      </c>
      <c r="AI187" s="3">
        <f>IF(ISNUMBER(MATCH(D187,Controls!$A$36:$A$46,0)),1,0)</f>
        <v/>
      </c>
      <c r="AJ187" s="28">
        <f>Q187-N187</f>
        <v/>
      </c>
      <c r="AK187" s="3">
        <f>IF(AE187=1,MAX(0,N187-Q187),0)</f>
        <v/>
      </c>
      <c r="AL187" s="3">
        <f>IF(OR(V187="",V187=0),0,N187/V187)</f>
        <v/>
      </c>
      <c r="AM187" s="3">
        <f>IF(OR(V187="",V187=0),0,1)</f>
        <v/>
      </c>
      <c r="AN187" s="3">
        <f>IF(OR(E187="",F187=""),0,NETWORKDAYS(E187,F187,Ref!$K$2:$K$42))</f>
        <v/>
      </c>
      <c r="AO187" s="3">
        <f>IF(L187="Renewal",1,0)</f>
        <v/>
      </c>
      <c r="AP187" s="3">
        <f>AC187*AD187</f>
        <v/>
      </c>
      <c r="AQ187" s="3">
        <f>IF(AND(G187&lt;&gt;"",'Historical Score'!$C$6&lt;&gt;""),IF(G187='Historical Score'!$C$6,1,0),0)</f>
        <v/>
      </c>
      <c r="AR187" s="3">
        <f>IF(AND(L187&lt;&gt;"",'Historical Score'!$C$5&lt;&gt;""),IF(L187='Historical Score'!$C$5,1,0),0)</f>
        <v/>
      </c>
      <c r="AS187" s="3">
        <f>IF(AND(Y187&lt;&gt;"",'Historical Score'!$C$7&lt;&gt;""),IF(Y187='Historical Score'!$C$7,1,0),0)</f>
        <v/>
      </c>
      <c r="AT187" s="3">
        <f>IF(AND(K187&lt;&gt;"",'Historical Score'!$C$8&lt;&gt;""),IF(K187='Historical Score'!$C$8,1,0),0)</f>
        <v/>
      </c>
      <c r="AU187" s="3" t="n"/>
      <c r="AV187" s="3" t="n"/>
      <c r="AW187" s="3" t="n"/>
      <c r="AX187" s="3" t="n"/>
      <c r="AY187" s="3" t="n"/>
      <c r="AZ187" s="3" t="n"/>
      <c r="BA187" s="182">
        <f>IF(AD187=1,(AR187*'Historical Score'!$K$29+1-'Historical Score'!$K$29)*(AT187*'Historical Score'!$L$29+1-'Historical Score'!$L$29)*(AS187*'Historical Score'!$M$29+1-'Historical Score'!$M$29)*(AQ187*'Historical Score'!$N$29+1-'Historical Score'!$N$29),0)</f>
        <v/>
      </c>
      <c r="BB187" s="3" t="n"/>
      <c r="BC187" s="3" t="n"/>
    </row>
    <row r="188" ht="15.75" customHeight="1" s="174">
      <c r="A188" s="3" t="inlineStr">
        <is>
          <t>5674163394</t>
        </is>
      </c>
      <c r="B188" s="3" t="inlineStr">
        <is>
          <t>S&amp;C SERVICES LLC</t>
        </is>
      </c>
      <c r="C188" s="3" t="inlineStr">
        <is>
          <t>S&amp;C SERVICES LLC</t>
        </is>
      </c>
      <c r="D188" s="3" t="inlineStr">
        <is>
          <t>Legal</t>
        </is>
      </c>
      <c r="E188" s="23" t="n">
        <v>45875</v>
      </c>
      <c r="F188" s="23" t="n">
        <v>45891</v>
      </c>
      <c r="G188" s="3" t="n">
        <v>5</v>
      </c>
      <c r="H188" s="3" t="inlineStr">
        <is>
          <t>1521</t>
        </is>
      </c>
      <c r="I188" s="3" t="inlineStr">
        <is>
          <t>15</t>
        </is>
      </c>
      <c r="J188" s="3" t="inlineStr">
        <is>
          <t>MD</t>
        </is>
      </c>
      <c r="K188" s="3" t="inlineStr">
        <is>
          <t>United Secured Capital 8</t>
        </is>
      </c>
      <c r="L188" s="3" t="inlineStr">
        <is>
          <t>New Deal</t>
        </is>
      </c>
      <c r="M188" s="3" t="n">
        <v>1.499</v>
      </c>
      <c r="N188" s="28" t="n">
        <v>15000</v>
      </c>
      <c r="O188" s="28" t="n">
        <v>2100</v>
      </c>
      <c r="P188" s="28" t="n">
        <v>22485</v>
      </c>
      <c r="Q188" s="28" t="n">
        <v>1861.95</v>
      </c>
      <c r="R188" s="28" t="n">
        <v>20623.05</v>
      </c>
      <c r="S188" s="42" t="n">
        <v>0.0828085390260173</v>
      </c>
      <c r="T188" s="3" t="n">
        <v>1.967</v>
      </c>
      <c r="U188" s="3" t="n">
        <v>7</v>
      </c>
      <c r="V188" s="3" t="n">
        <v>99494.14999999999</v>
      </c>
      <c r="W188" s="42" t="n">
        <v>0.0786</v>
      </c>
      <c r="X188" s="23" t="n">
        <v>44958</v>
      </c>
      <c r="Y188" s="3">
        <f>IF(I188="","No SIC",IFERROR(VLOOKUP(I188,Ref!$A$2:$B$65,2,FALSE()),"Unclassified"))</f>
        <v/>
      </c>
      <c r="Z188" s="3">
        <f>IF(T188="","",IF(T188&lt;12,"Daily","Weekly"))</f>
        <v/>
      </c>
      <c r="AA188" s="3">
        <f>IF(T188="",0,IF(T188&lt;12,T188*Controls!$B$13,T188*5))</f>
        <v/>
      </c>
      <c r="AB188" s="3">
        <f>IF(E188="",0,NETWORKDAYS(E188,Controls!$B$20,Ref!$K$2:$K$42))</f>
        <v/>
      </c>
      <c r="AC188" s="3">
        <f>IF(OR(AF188=1,AND(AA188&gt;0,AB188&gt;=Controls!$B$23*AA188)),1,0)</f>
        <v/>
      </c>
      <c r="AD188" s="3">
        <f>IF(AND(E188&lt;&gt;"",E188&gt;=Controls!$B$21,E188&lt;=Controls!$B$22),1,0)</f>
        <v/>
      </c>
      <c r="AE188" s="3">
        <f>IF(IFERROR(VLOOKUP(D188,Controls!$A$36:$E$46,2,FALSE()),"No")="Yes",1,0)</f>
        <v/>
      </c>
      <c r="AF188" s="3">
        <f>IF(IFERROR(VLOOKUP(D188,Controls!$A$36:$E$46,3,FALSE()),"No")="Yes",1,0)</f>
        <v/>
      </c>
      <c r="AG188" s="3">
        <f>IF(IFERROR(VLOOKUP(D188,Controls!$A$36:$E$46,4,FALSE()),"No")="Yes",1,0)</f>
        <v/>
      </c>
      <c r="AH188" s="3">
        <f>IF(IFERROR(VLOOKUP(D188,Controls!$A$36:$E$46,5,FALSE()),"No")="Yes",1,0)</f>
        <v/>
      </c>
      <c r="AI188" s="3">
        <f>IF(ISNUMBER(MATCH(D188,Controls!$A$36:$A$46,0)),1,0)</f>
        <v/>
      </c>
      <c r="AJ188" s="28">
        <f>Q188-N188</f>
        <v/>
      </c>
      <c r="AK188" s="3">
        <f>IF(AE188=1,MAX(0,N188-Q188),0)</f>
        <v/>
      </c>
      <c r="AL188" s="3">
        <f>IF(OR(V188="",V188=0),0,N188/V188)</f>
        <v/>
      </c>
      <c r="AM188" s="3">
        <f>IF(OR(V188="",V188=0),0,1)</f>
        <v/>
      </c>
      <c r="AN188" s="3">
        <f>IF(OR(E188="",F188=""),0,NETWORKDAYS(E188,F188,Ref!$K$2:$K$42))</f>
        <v/>
      </c>
      <c r="AO188" s="3">
        <f>IF(L188="Renewal",1,0)</f>
        <v/>
      </c>
      <c r="AP188" s="3">
        <f>AC188*AD188</f>
        <v/>
      </c>
      <c r="AQ188" s="3">
        <f>IF(AND(G188&lt;&gt;"",'Historical Score'!$C$6&lt;&gt;""),IF(G188='Historical Score'!$C$6,1,0),0)</f>
        <v/>
      </c>
      <c r="AR188" s="3">
        <f>IF(AND(L188&lt;&gt;"",'Historical Score'!$C$5&lt;&gt;""),IF(L188='Historical Score'!$C$5,1,0),0)</f>
        <v/>
      </c>
      <c r="AS188" s="3">
        <f>IF(AND(Y188&lt;&gt;"",'Historical Score'!$C$7&lt;&gt;""),IF(Y188='Historical Score'!$C$7,1,0),0)</f>
        <v/>
      </c>
      <c r="AT188" s="3">
        <f>IF(AND(K188&lt;&gt;"",'Historical Score'!$C$8&lt;&gt;""),IF(K188='Historical Score'!$C$8,1,0),0)</f>
        <v/>
      </c>
      <c r="AU188" s="3" t="n"/>
      <c r="AV188" s="3" t="n"/>
      <c r="AW188" s="3" t="n"/>
      <c r="AX188" s="3" t="n"/>
      <c r="AY188" s="3" t="n"/>
      <c r="AZ188" s="3" t="n"/>
      <c r="BA188" s="182">
        <f>IF(AD188=1,(AR188*'Historical Score'!$K$29+1-'Historical Score'!$K$29)*(AT188*'Historical Score'!$L$29+1-'Historical Score'!$L$29)*(AS188*'Historical Score'!$M$29+1-'Historical Score'!$M$29)*(AQ188*'Historical Score'!$N$29+1-'Historical Score'!$N$29),0)</f>
        <v/>
      </c>
      <c r="BB188" s="3" t="n"/>
      <c r="BC188" s="3" t="n"/>
    </row>
    <row r="189" ht="15.75" customHeight="1" s="174">
      <c r="A189" s="3" t="inlineStr">
        <is>
          <t>5674163419</t>
        </is>
      </c>
      <c r="B189" s="3" t="inlineStr">
        <is>
          <t>POSA Management Group LLC</t>
        </is>
      </c>
      <c r="C189" s="3" t="inlineStr">
        <is>
          <t>POSA Management Group LLC</t>
        </is>
      </c>
      <c r="D189" s="3" t="inlineStr">
        <is>
          <t>Closed</t>
        </is>
      </c>
      <c r="E189" s="23" t="n">
        <v>45875</v>
      </c>
      <c r="F189" s="23" t="n">
        <v>45961</v>
      </c>
      <c r="G189" s="3" t="n">
        <v>1</v>
      </c>
      <c r="H189" s="3" t="inlineStr">
        <is>
          <t>5999</t>
        </is>
      </c>
      <c r="I189" s="3" t="inlineStr">
        <is>
          <t>59</t>
        </is>
      </c>
      <c r="J189" s="3" t="inlineStr">
        <is>
          <t>NM</t>
        </is>
      </c>
      <c r="K189" s="3" t="inlineStr">
        <is>
          <t>Westwood</t>
        </is>
      </c>
      <c r="L189" s="3" t="inlineStr">
        <is>
          <t>New Deal</t>
        </is>
      </c>
      <c r="M189" s="3" t="n">
        <v>1.499</v>
      </c>
      <c r="N189" s="28" t="n">
        <v>3000</v>
      </c>
      <c r="O189" s="28" t="n">
        <v>420</v>
      </c>
      <c r="P189" s="28" t="n">
        <v>4497</v>
      </c>
      <c r="Q189" s="28" t="n">
        <v>4497</v>
      </c>
      <c r="R189" s="28" t="n">
        <v>0</v>
      </c>
      <c r="S189" s="42" t="n">
        <v>1</v>
      </c>
      <c r="T189" s="3" t="n">
        <v>1.967</v>
      </c>
      <c r="U189" s="3" t="n">
        <v>0</v>
      </c>
      <c r="V189" s="3" t="n">
        <v>9353.92</v>
      </c>
      <c r="W189" s="42" t="n">
        <v>0.2</v>
      </c>
      <c r="X189" s="23" t="n">
        <v>45243</v>
      </c>
      <c r="Y189" s="3">
        <f>IF(I189="","No SIC",IFERROR(VLOOKUP(I189,Ref!$A$2:$B$65,2,FALSE()),"Unclassified"))</f>
        <v/>
      </c>
      <c r="Z189" s="3">
        <f>IF(T189="","",IF(T189&lt;12,"Daily","Weekly"))</f>
        <v/>
      </c>
      <c r="AA189" s="3">
        <f>IF(T189="",0,IF(T189&lt;12,T189*Controls!$B$13,T189*5))</f>
        <v/>
      </c>
      <c r="AB189" s="3">
        <f>IF(E189="",0,NETWORKDAYS(E189,Controls!$B$20,Ref!$K$2:$K$42))</f>
        <v/>
      </c>
      <c r="AC189" s="3">
        <f>IF(OR(AF189=1,AND(AA189&gt;0,AB189&gt;=Controls!$B$23*AA189)),1,0)</f>
        <v/>
      </c>
      <c r="AD189" s="3">
        <f>IF(AND(E189&lt;&gt;"",E189&gt;=Controls!$B$21,E189&lt;=Controls!$B$22),1,0)</f>
        <v/>
      </c>
      <c r="AE189" s="3">
        <f>IF(IFERROR(VLOOKUP(D189,Controls!$A$36:$E$46,2,FALSE()),"No")="Yes",1,0)</f>
        <v/>
      </c>
      <c r="AF189" s="3">
        <f>IF(IFERROR(VLOOKUP(D189,Controls!$A$36:$E$46,3,FALSE()),"No")="Yes",1,0)</f>
        <v/>
      </c>
      <c r="AG189" s="3">
        <f>IF(IFERROR(VLOOKUP(D189,Controls!$A$36:$E$46,4,FALSE()),"No")="Yes",1,0)</f>
        <v/>
      </c>
      <c r="AH189" s="3">
        <f>IF(IFERROR(VLOOKUP(D189,Controls!$A$36:$E$46,5,FALSE()),"No")="Yes",1,0)</f>
        <v/>
      </c>
      <c r="AI189" s="3">
        <f>IF(ISNUMBER(MATCH(D189,Controls!$A$36:$A$46,0)),1,0)</f>
        <v/>
      </c>
      <c r="AJ189" s="28">
        <f>Q189-N189</f>
        <v/>
      </c>
      <c r="AK189" s="3">
        <f>IF(AE189=1,MAX(0,N189-Q189),0)</f>
        <v/>
      </c>
      <c r="AL189" s="3">
        <f>IF(OR(V189="",V189=0),0,N189/V189)</f>
        <v/>
      </c>
      <c r="AM189" s="3">
        <f>IF(OR(V189="",V189=0),0,1)</f>
        <v/>
      </c>
      <c r="AN189" s="3">
        <f>IF(OR(E189="",F189=""),0,NETWORKDAYS(E189,F189,Ref!$K$2:$K$42))</f>
        <v/>
      </c>
      <c r="AO189" s="3">
        <f>IF(L189="Renewal",1,0)</f>
        <v/>
      </c>
      <c r="AP189" s="3">
        <f>AC189*AD189</f>
        <v/>
      </c>
      <c r="AQ189" s="3">
        <f>IF(AND(G189&lt;&gt;"",'Historical Score'!$C$6&lt;&gt;""),IF(G189='Historical Score'!$C$6,1,0),0)</f>
        <v/>
      </c>
      <c r="AR189" s="3">
        <f>IF(AND(L189&lt;&gt;"",'Historical Score'!$C$5&lt;&gt;""),IF(L189='Historical Score'!$C$5,1,0),0)</f>
        <v/>
      </c>
      <c r="AS189" s="3">
        <f>IF(AND(Y189&lt;&gt;"",'Historical Score'!$C$7&lt;&gt;""),IF(Y189='Historical Score'!$C$7,1,0),0)</f>
        <v/>
      </c>
      <c r="AT189" s="3">
        <f>IF(AND(K189&lt;&gt;"",'Historical Score'!$C$8&lt;&gt;""),IF(K189='Historical Score'!$C$8,1,0),0)</f>
        <v/>
      </c>
      <c r="AU189" s="3" t="n"/>
      <c r="AV189" s="3" t="n"/>
      <c r="AW189" s="3" t="n"/>
      <c r="AX189" s="3" t="n"/>
      <c r="AY189" s="3" t="n"/>
      <c r="AZ189" s="3" t="n"/>
      <c r="BA189" s="182">
        <f>IF(AD189=1,(AR189*'Historical Score'!$K$29+1-'Historical Score'!$K$29)*(AT189*'Historical Score'!$L$29+1-'Historical Score'!$L$29)*(AS189*'Historical Score'!$M$29+1-'Historical Score'!$M$29)*(AQ189*'Historical Score'!$N$29+1-'Historical Score'!$N$29),0)</f>
        <v/>
      </c>
      <c r="BB189" s="3" t="n"/>
      <c r="BC189" s="3" t="n"/>
    </row>
    <row r="190" ht="15.75" customHeight="1" s="174">
      <c r="A190" s="3" t="inlineStr">
        <is>
          <t>5674163484</t>
        </is>
      </c>
      <c r="B190" s="3" t="inlineStr">
        <is>
          <t>Medina And Associates PC</t>
        </is>
      </c>
      <c r="C190" s="3" t="inlineStr">
        <is>
          <t>Medina And Associates PC</t>
        </is>
      </c>
      <c r="D190" s="3" t="inlineStr">
        <is>
          <t>Closed</t>
        </is>
      </c>
      <c r="E190" s="23" t="n">
        <v>45876</v>
      </c>
      <c r="F190" s="23" t="n">
        <v>45967</v>
      </c>
      <c r="G190" s="3" t="n">
        <v>6</v>
      </c>
      <c r="H190" s="3" t="inlineStr">
        <is>
          <t>8021</t>
        </is>
      </c>
      <c r="I190" s="3" t="inlineStr">
        <is>
          <t>80</t>
        </is>
      </c>
      <c r="J190" s="3" t="inlineStr">
        <is>
          <t>MD</t>
        </is>
      </c>
      <c r="K190" s="3" t="inlineStr">
        <is>
          <t>Premium Capital (AMRK)</t>
        </is>
      </c>
      <c r="L190" s="3" t="inlineStr">
        <is>
          <t>New Deal</t>
        </is>
      </c>
      <c r="M190" s="3" t="n">
        <v>1.5</v>
      </c>
      <c r="N190" s="28" t="n">
        <v>20000</v>
      </c>
      <c r="O190" s="28" t="n">
        <v>2800</v>
      </c>
      <c r="P190" s="28" t="n">
        <v>30000</v>
      </c>
      <c r="Q190" s="28" t="n">
        <v>30000</v>
      </c>
      <c r="R190" s="28" t="n">
        <v>0</v>
      </c>
      <c r="S190" s="42" t="n">
        <v>1</v>
      </c>
      <c r="T190" s="3" t="n">
        <v>22</v>
      </c>
      <c r="U190" s="3" t="n">
        <v>0</v>
      </c>
      <c r="V190" s="3" t="n">
        <v>122458.04</v>
      </c>
      <c r="W190" s="42" t="n">
        <v>0.0466</v>
      </c>
      <c r="X190" s="23" t="n">
        <v>45876</v>
      </c>
      <c r="Y190" s="3">
        <f>IF(I190="","No SIC",IFERROR(VLOOKUP(I190,Ref!$A$2:$B$65,2,FALSE()),"Unclassified"))</f>
        <v/>
      </c>
      <c r="Z190" s="3">
        <f>IF(T190="","",IF(T190&lt;12,"Daily","Weekly"))</f>
        <v/>
      </c>
      <c r="AA190" s="3">
        <f>IF(T190="",0,IF(T190&lt;12,T190*Controls!$B$13,T190*5))</f>
        <v/>
      </c>
      <c r="AB190" s="3">
        <f>IF(E190="",0,NETWORKDAYS(E190,Controls!$B$20,Ref!$K$2:$K$42))</f>
        <v/>
      </c>
      <c r="AC190" s="3">
        <f>IF(OR(AF190=1,AND(AA190&gt;0,AB190&gt;=Controls!$B$23*AA190)),1,0)</f>
        <v/>
      </c>
      <c r="AD190" s="3">
        <f>IF(AND(E190&lt;&gt;"",E190&gt;=Controls!$B$21,E190&lt;=Controls!$B$22),1,0)</f>
        <v/>
      </c>
      <c r="AE190" s="3">
        <f>IF(IFERROR(VLOOKUP(D190,Controls!$A$36:$E$46,2,FALSE()),"No")="Yes",1,0)</f>
        <v/>
      </c>
      <c r="AF190" s="3">
        <f>IF(IFERROR(VLOOKUP(D190,Controls!$A$36:$E$46,3,FALSE()),"No")="Yes",1,0)</f>
        <v/>
      </c>
      <c r="AG190" s="3">
        <f>IF(IFERROR(VLOOKUP(D190,Controls!$A$36:$E$46,4,FALSE()),"No")="Yes",1,0)</f>
        <v/>
      </c>
      <c r="AH190" s="3">
        <f>IF(IFERROR(VLOOKUP(D190,Controls!$A$36:$E$46,5,FALSE()),"No")="Yes",1,0)</f>
        <v/>
      </c>
      <c r="AI190" s="3">
        <f>IF(ISNUMBER(MATCH(D190,Controls!$A$36:$A$46,0)),1,0)</f>
        <v/>
      </c>
      <c r="AJ190" s="28">
        <f>Q190-N190</f>
        <v/>
      </c>
      <c r="AK190" s="3">
        <f>IF(AE190=1,MAX(0,N190-Q190),0)</f>
        <v/>
      </c>
      <c r="AL190" s="3">
        <f>IF(OR(V190="",V190=0),0,N190/V190)</f>
        <v/>
      </c>
      <c r="AM190" s="3">
        <f>IF(OR(V190="",V190=0),0,1)</f>
        <v/>
      </c>
      <c r="AN190" s="3">
        <f>IF(OR(E190="",F190=""),0,NETWORKDAYS(E190,F190,Ref!$K$2:$K$42))</f>
        <v/>
      </c>
      <c r="AO190" s="3">
        <f>IF(L190="Renewal",1,0)</f>
        <v/>
      </c>
      <c r="AP190" s="3">
        <f>AC190*AD190</f>
        <v/>
      </c>
      <c r="AQ190" s="3">
        <f>IF(AND(G190&lt;&gt;"",'Historical Score'!$C$6&lt;&gt;""),IF(G190='Historical Score'!$C$6,1,0),0)</f>
        <v/>
      </c>
      <c r="AR190" s="3">
        <f>IF(AND(L190&lt;&gt;"",'Historical Score'!$C$5&lt;&gt;""),IF(L190='Historical Score'!$C$5,1,0),0)</f>
        <v/>
      </c>
      <c r="AS190" s="3">
        <f>IF(AND(Y190&lt;&gt;"",'Historical Score'!$C$7&lt;&gt;""),IF(Y190='Historical Score'!$C$7,1,0),0)</f>
        <v/>
      </c>
      <c r="AT190" s="3">
        <f>IF(AND(K190&lt;&gt;"",'Historical Score'!$C$8&lt;&gt;""),IF(K190='Historical Score'!$C$8,1,0),0)</f>
        <v/>
      </c>
      <c r="AU190" s="3" t="n"/>
      <c r="AV190" s="3" t="n"/>
      <c r="AW190" s="3" t="n"/>
      <c r="AX190" s="3" t="n"/>
      <c r="AY190" s="3" t="n"/>
      <c r="AZ190" s="3" t="n"/>
      <c r="BA190" s="182">
        <f>IF(AD190=1,(AR190*'Historical Score'!$K$29+1-'Historical Score'!$K$29)*(AT190*'Historical Score'!$L$29+1-'Historical Score'!$L$29)*(AS190*'Historical Score'!$M$29+1-'Historical Score'!$M$29)*(AQ190*'Historical Score'!$N$29+1-'Historical Score'!$N$29),0)</f>
        <v/>
      </c>
      <c r="BB190" s="3" t="n"/>
      <c r="BC190" s="3" t="n"/>
    </row>
    <row r="191" ht="15.75" customHeight="1" s="174">
      <c r="A191" s="3" t="inlineStr">
        <is>
          <t>5674163699</t>
        </is>
      </c>
      <c r="B191" s="3" t="inlineStr">
        <is>
          <t>CLARITI EYE CARE LLC</t>
        </is>
      </c>
      <c r="C191" s="3" t="inlineStr">
        <is>
          <t>CLARITI EYE CARE LLC</t>
        </is>
      </c>
      <c r="D191" s="3" t="inlineStr">
        <is>
          <t>Legal</t>
        </is>
      </c>
      <c r="E191" s="23" t="n">
        <v>45880</v>
      </c>
      <c r="F191" s="23" t="n">
        <v>45908</v>
      </c>
      <c r="G191" s="3" t="n">
        <v>2</v>
      </c>
      <c r="H191" s="3" t="inlineStr">
        <is>
          <t>8011</t>
        </is>
      </c>
      <c r="I191" s="3" t="inlineStr">
        <is>
          <t>80</t>
        </is>
      </c>
      <c r="J191" s="3" t="inlineStr">
        <is>
          <t>TN</t>
        </is>
      </c>
      <c r="K191" s="3" t="inlineStr">
        <is>
          <t>Fund Max</t>
        </is>
      </c>
      <c r="L191" s="3" t="inlineStr">
        <is>
          <t>New Deal</t>
        </is>
      </c>
      <c r="M191" s="3" t="n">
        <v>1.5</v>
      </c>
      <c r="N191" s="28" t="n">
        <v>12000</v>
      </c>
      <c r="O191" s="28" t="n">
        <v>1680</v>
      </c>
      <c r="P191" s="28" t="n">
        <v>18000</v>
      </c>
      <c r="Q191" s="28" t="n">
        <v>3351.54</v>
      </c>
      <c r="R191" s="28" t="n">
        <v>14648.46</v>
      </c>
      <c r="S191" s="42" t="n">
        <v>0.186196666666667</v>
      </c>
      <c r="T191" s="3" t="n">
        <v>16</v>
      </c>
      <c r="U191" s="3" t="n">
        <v>1</v>
      </c>
      <c r="V191" s="3" t="n">
        <v>37902.61</v>
      </c>
      <c r="W191" s="42" t="n">
        <v>0.1179</v>
      </c>
      <c r="X191" s="23" t="n">
        <v>45189</v>
      </c>
      <c r="Y191" s="3">
        <f>IF(I191="","No SIC",IFERROR(VLOOKUP(I191,Ref!$A$2:$B$65,2,FALSE()),"Unclassified"))</f>
        <v/>
      </c>
      <c r="Z191" s="3">
        <f>IF(T191="","",IF(T191&lt;12,"Daily","Weekly"))</f>
        <v/>
      </c>
      <c r="AA191" s="3">
        <f>IF(T191="",0,IF(T191&lt;12,T191*Controls!$B$13,T191*5))</f>
        <v/>
      </c>
      <c r="AB191" s="3">
        <f>IF(E191="",0,NETWORKDAYS(E191,Controls!$B$20,Ref!$K$2:$K$42))</f>
        <v/>
      </c>
      <c r="AC191" s="3">
        <f>IF(OR(AF191=1,AND(AA191&gt;0,AB191&gt;=Controls!$B$23*AA191)),1,0)</f>
        <v/>
      </c>
      <c r="AD191" s="3">
        <f>IF(AND(E191&lt;&gt;"",E191&gt;=Controls!$B$21,E191&lt;=Controls!$B$22),1,0)</f>
        <v/>
      </c>
      <c r="AE191" s="3">
        <f>IF(IFERROR(VLOOKUP(D191,Controls!$A$36:$E$46,2,FALSE()),"No")="Yes",1,0)</f>
        <v/>
      </c>
      <c r="AF191" s="3">
        <f>IF(IFERROR(VLOOKUP(D191,Controls!$A$36:$E$46,3,FALSE()),"No")="Yes",1,0)</f>
        <v/>
      </c>
      <c r="AG191" s="3">
        <f>IF(IFERROR(VLOOKUP(D191,Controls!$A$36:$E$46,4,FALSE()),"No")="Yes",1,0)</f>
        <v/>
      </c>
      <c r="AH191" s="3">
        <f>IF(IFERROR(VLOOKUP(D191,Controls!$A$36:$E$46,5,FALSE()),"No")="Yes",1,0)</f>
        <v/>
      </c>
      <c r="AI191" s="3">
        <f>IF(ISNUMBER(MATCH(D191,Controls!$A$36:$A$46,0)),1,0)</f>
        <v/>
      </c>
      <c r="AJ191" s="28">
        <f>Q191-N191</f>
        <v/>
      </c>
      <c r="AK191" s="3">
        <f>IF(AE191=1,MAX(0,N191-Q191),0)</f>
        <v/>
      </c>
      <c r="AL191" s="3">
        <f>IF(OR(V191="",V191=0),0,N191/V191)</f>
        <v/>
      </c>
      <c r="AM191" s="3">
        <f>IF(OR(V191="",V191=0),0,1)</f>
        <v/>
      </c>
      <c r="AN191" s="3">
        <f>IF(OR(E191="",F191=""),0,NETWORKDAYS(E191,F191,Ref!$K$2:$K$42))</f>
        <v/>
      </c>
      <c r="AO191" s="3">
        <f>IF(L191="Renewal",1,0)</f>
        <v/>
      </c>
      <c r="AP191" s="3">
        <f>AC191*AD191</f>
        <v/>
      </c>
      <c r="AQ191" s="3">
        <f>IF(AND(G191&lt;&gt;"",'Historical Score'!$C$6&lt;&gt;""),IF(G191='Historical Score'!$C$6,1,0),0)</f>
        <v/>
      </c>
      <c r="AR191" s="3">
        <f>IF(AND(L191&lt;&gt;"",'Historical Score'!$C$5&lt;&gt;""),IF(L191='Historical Score'!$C$5,1,0),0)</f>
        <v/>
      </c>
      <c r="AS191" s="3">
        <f>IF(AND(Y191&lt;&gt;"",'Historical Score'!$C$7&lt;&gt;""),IF(Y191='Historical Score'!$C$7,1,0),0)</f>
        <v/>
      </c>
      <c r="AT191" s="3">
        <f>IF(AND(K191&lt;&gt;"",'Historical Score'!$C$8&lt;&gt;""),IF(K191='Historical Score'!$C$8,1,0),0)</f>
        <v/>
      </c>
      <c r="AU191" s="3" t="n"/>
      <c r="AV191" s="3" t="n"/>
      <c r="AW191" s="3" t="n"/>
      <c r="AX191" s="3" t="n"/>
      <c r="AY191" s="3" t="n"/>
      <c r="AZ191" s="3" t="n"/>
      <c r="BA191" s="182">
        <f>IF(AD191=1,(AR191*'Historical Score'!$K$29+1-'Historical Score'!$K$29)*(AT191*'Historical Score'!$L$29+1-'Historical Score'!$L$29)*(AS191*'Historical Score'!$M$29+1-'Historical Score'!$M$29)*(AQ191*'Historical Score'!$N$29+1-'Historical Score'!$N$29),0)</f>
        <v/>
      </c>
      <c r="BB191" s="3" t="n"/>
      <c r="BC191" s="3" t="n"/>
    </row>
    <row r="192" ht="15.75" customHeight="1" s="174">
      <c r="A192" s="3" t="inlineStr">
        <is>
          <t>5674163921</t>
        </is>
      </c>
      <c r="B192" s="3" t="inlineStr">
        <is>
          <t>Tm Bristol group LLC</t>
        </is>
      </c>
      <c r="C192" s="3" t="inlineStr">
        <is>
          <t>Tm Bristol group LLC</t>
        </is>
      </c>
      <c r="D192" s="3" t="inlineStr">
        <is>
          <t>Legal</t>
        </is>
      </c>
      <c r="E192" s="23" t="n">
        <v>45882</v>
      </c>
      <c r="F192" s="23" t="n">
        <v>45985</v>
      </c>
      <c r="G192" s="3" t="n">
        <v>3</v>
      </c>
      <c r="H192" s="3" t="inlineStr">
        <is>
          <t>4212</t>
        </is>
      </c>
      <c r="I192" s="3" t="inlineStr">
        <is>
          <t>42</t>
        </is>
      </c>
      <c r="J192" s="3" t="inlineStr">
        <is>
          <t>MD</t>
        </is>
      </c>
      <c r="K192" s="3" t="inlineStr">
        <is>
          <t>Tip Top Capital</t>
        </is>
      </c>
      <c r="L192" s="3" t="inlineStr">
        <is>
          <t>New Deal</t>
        </is>
      </c>
      <c r="M192" s="3" t="n">
        <v>1.499</v>
      </c>
      <c r="N192" s="28" t="n">
        <v>10000</v>
      </c>
      <c r="O192" s="28" t="n">
        <v>1400</v>
      </c>
      <c r="P192" s="28" t="n">
        <v>14990</v>
      </c>
      <c r="Q192" s="28" t="n">
        <v>7266.87</v>
      </c>
      <c r="R192" s="28" t="n">
        <v>7723.13</v>
      </c>
      <c r="S192" s="42" t="n">
        <v>0.484781187458306</v>
      </c>
      <c r="T192" s="3" t="n">
        <v>2.623</v>
      </c>
      <c r="U192" s="3" t="n">
        <v>24</v>
      </c>
      <c r="V192" s="3" t="n">
        <v>86571.36</v>
      </c>
      <c r="W192" s="42" t="n">
        <v>0.0452</v>
      </c>
      <c r="X192" s="23" t="n">
        <v>43507</v>
      </c>
      <c r="Y192" s="3">
        <f>IF(I192="","No SIC",IFERROR(VLOOKUP(I192,Ref!$A$2:$B$65,2,FALSE()),"Unclassified"))</f>
        <v/>
      </c>
      <c r="Z192" s="3">
        <f>IF(T192="","",IF(T192&lt;12,"Daily","Weekly"))</f>
        <v/>
      </c>
      <c r="AA192" s="3">
        <f>IF(T192="",0,IF(T192&lt;12,T192*Controls!$B$13,T192*5))</f>
        <v/>
      </c>
      <c r="AB192" s="3">
        <f>IF(E192="",0,NETWORKDAYS(E192,Controls!$B$20,Ref!$K$2:$K$42))</f>
        <v/>
      </c>
      <c r="AC192" s="3">
        <f>IF(OR(AF192=1,AND(AA192&gt;0,AB192&gt;=Controls!$B$23*AA192)),1,0)</f>
        <v/>
      </c>
      <c r="AD192" s="3">
        <f>IF(AND(E192&lt;&gt;"",E192&gt;=Controls!$B$21,E192&lt;=Controls!$B$22),1,0)</f>
        <v/>
      </c>
      <c r="AE192" s="3">
        <f>IF(IFERROR(VLOOKUP(D192,Controls!$A$36:$E$46,2,FALSE()),"No")="Yes",1,0)</f>
        <v/>
      </c>
      <c r="AF192" s="3">
        <f>IF(IFERROR(VLOOKUP(D192,Controls!$A$36:$E$46,3,FALSE()),"No")="Yes",1,0)</f>
        <v/>
      </c>
      <c r="AG192" s="3">
        <f>IF(IFERROR(VLOOKUP(D192,Controls!$A$36:$E$46,4,FALSE()),"No")="Yes",1,0)</f>
        <v/>
      </c>
      <c r="AH192" s="3">
        <f>IF(IFERROR(VLOOKUP(D192,Controls!$A$36:$E$46,5,FALSE()),"No")="Yes",1,0)</f>
        <v/>
      </c>
      <c r="AI192" s="3">
        <f>IF(ISNUMBER(MATCH(D192,Controls!$A$36:$A$46,0)),1,0)</f>
        <v/>
      </c>
      <c r="AJ192" s="28">
        <f>Q192-N192</f>
        <v/>
      </c>
      <c r="AK192" s="3">
        <f>IF(AE192=1,MAX(0,N192-Q192),0)</f>
        <v/>
      </c>
      <c r="AL192" s="3">
        <f>IF(OR(V192="",V192=0),0,N192/V192)</f>
        <v/>
      </c>
      <c r="AM192" s="3">
        <f>IF(OR(V192="",V192=0),0,1)</f>
        <v/>
      </c>
      <c r="AN192" s="3">
        <f>IF(OR(E192="",F192=""),0,NETWORKDAYS(E192,F192,Ref!$K$2:$K$42))</f>
        <v/>
      </c>
      <c r="AO192" s="3">
        <f>IF(L192="Renewal",1,0)</f>
        <v/>
      </c>
      <c r="AP192" s="3">
        <f>AC192*AD192</f>
        <v/>
      </c>
      <c r="AQ192" s="3">
        <f>IF(AND(G192&lt;&gt;"",'Historical Score'!$C$6&lt;&gt;""),IF(G192='Historical Score'!$C$6,1,0),0)</f>
        <v/>
      </c>
      <c r="AR192" s="3">
        <f>IF(AND(L192&lt;&gt;"",'Historical Score'!$C$5&lt;&gt;""),IF(L192='Historical Score'!$C$5,1,0),0)</f>
        <v/>
      </c>
      <c r="AS192" s="3">
        <f>IF(AND(Y192&lt;&gt;"",'Historical Score'!$C$7&lt;&gt;""),IF(Y192='Historical Score'!$C$7,1,0),0)</f>
        <v/>
      </c>
      <c r="AT192" s="3">
        <f>IF(AND(K192&lt;&gt;"",'Historical Score'!$C$8&lt;&gt;""),IF(K192='Historical Score'!$C$8,1,0),0)</f>
        <v/>
      </c>
      <c r="AU192" s="3" t="n"/>
      <c r="AV192" s="3" t="n"/>
      <c r="AW192" s="3" t="n"/>
      <c r="AX192" s="3" t="n"/>
      <c r="AY192" s="3" t="n"/>
      <c r="AZ192" s="3" t="n"/>
      <c r="BA192" s="182">
        <f>IF(AD192=1,(AR192*'Historical Score'!$K$29+1-'Historical Score'!$K$29)*(AT192*'Historical Score'!$L$29+1-'Historical Score'!$L$29)*(AS192*'Historical Score'!$M$29+1-'Historical Score'!$M$29)*(AQ192*'Historical Score'!$N$29+1-'Historical Score'!$N$29),0)</f>
        <v/>
      </c>
      <c r="BB192" s="3" t="n"/>
      <c r="BC192" s="3" t="n"/>
    </row>
    <row r="193" ht="15.75" customHeight="1" s="174">
      <c r="A193" s="3" t="inlineStr">
        <is>
          <t>5674163929</t>
        </is>
      </c>
      <c r="B193" s="3" t="inlineStr">
        <is>
          <t>EXCELLENCE HOME SERVICES LLC</t>
        </is>
      </c>
      <c r="C193" s="3" t="inlineStr">
        <is>
          <t>EXCELLENCE HOME SERVICES LLC</t>
        </is>
      </c>
      <c r="D193" s="3" t="inlineStr">
        <is>
          <t>Closed</t>
        </is>
      </c>
      <c r="E193" s="23" t="n">
        <v>45882</v>
      </c>
      <c r="F193" s="23" t="n">
        <v>45987</v>
      </c>
      <c r="G193" s="3" t="n">
        <v>2</v>
      </c>
      <c r="H193" s="3" t="inlineStr">
        <is>
          <t>1522</t>
        </is>
      </c>
      <c r="I193" s="3" t="inlineStr">
        <is>
          <t>15</t>
        </is>
      </c>
      <c r="J193" s="3" t="inlineStr">
        <is>
          <t>FL</t>
        </is>
      </c>
      <c r="K193" s="3" t="inlineStr">
        <is>
          <t>The Funding Channel</t>
        </is>
      </c>
      <c r="L193" s="3" t="inlineStr">
        <is>
          <t>New Deal</t>
        </is>
      </c>
      <c r="M193" s="3" t="n">
        <v>1.49</v>
      </c>
      <c r="N193" s="28" t="n">
        <v>15000</v>
      </c>
      <c r="O193" s="28" t="n">
        <v>2100</v>
      </c>
      <c r="P193" s="28" t="n">
        <v>22350</v>
      </c>
      <c r="Q193" s="28" t="n">
        <v>22350</v>
      </c>
      <c r="R193" s="28" t="n">
        <v>0</v>
      </c>
      <c r="S193" s="42" t="n">
        <v>1</v>
      </c>
      <c r="T193" s="3" t="n">
        <v>15</v>
      </c>
      <c r="U193" s="3" t="n">
        <v>0</v>
      </c>
      <c r="V193" s="3" t="n">
        <v>47733.57</v>
      </c>
      <c r="W193" s="42" t="n">
        <v>0.1249</v>
      </c>
      <c r="X193" s="23" t="n">
        <v>44697</v>
      </c>
      <c r="Y193" s="3">
        <f>IF(I193="","No SIC",IFERROR(VLOOKUP(I193,Ref!$A$2:$B$65,2,FALSE()),"Unclassified"))</f>
        <v/>
      </c>
      <c r="Z193" s="3">
        <f>IF(T193="","",IF(T193&lt;12,"Daily","Weekly"))</f>
        <v/>
      </c>
      <c r="AA193" s="3">
        <f>IF(T193="",0,IF(T193&lt;12,T193*Controls!$B$13,T193*5))</f>
        <v/>
      </c>
      <c r="AB193" s="3">
        <f>IF(E193="",0,NETWORKDAYS(E193,Controls!$B$20,Ref!$K$2:$K$42))</f>
        <v/>
      </c>
      <c r="AC193" s="3">
        <f>IF(OR(AF193=1,AND(AA193&gt;0,AB193&gt;=Controls!$B$23*AA193)),1,0)</f>
        <v/>
      </c>
      <c r="AD193" s="3">
        <f>IF(AND(E193&lt;&gt;"",E193&gt;=Controls!$B$21,E193&lt;=Controls!$B$22),1,0)</f>
        <v/>
      </c>
      <c r="AE193" s="3">
        <f>IF(IFERROR(VLOOKUP(D193,Controls!$A$36:$E$46,2,FALSE()),"No")="Yes",1,0)</f>
        <v/>
      </c>
      <c r="AF193" s="3">
        <f>IF(IFERROR(VLOOKUP(D193,Controls!$A$36:$E$46,3,FALSE()),"No")="Yes",1,0)</f>
        <v/>
      </c>
      <c r="AG193" s="3">
        <f>IF(IFERROR(VLOOKUP(D193,Controls!$A$36:$E$46,4,FALSE()),"No")="Yes",1,0)</f>
        <v/>
      </c>
      <c r="AH193" s="3">
        <f>IF(IFERROR(VLOOKUP(D193,Controls!$A$36:$E$46,5,FALSE()),"No")="Yes",1,0)</f>
        <v/>
      </c>
      <c r="AI193" s="3">
        <f>IF(ISNUMBER(MATCH(D193,Controls!$A$36:$A$46,0)),1,0)</f>
        <v/>
      </c>
      <c r="AJ193" s="28">
        <f>Q193-N193</f>
        <v/>
      </c>
      <c r="AK193" s="3">
        <f>IF(AE193=1,MAX(0,N193-Q193),0)</f>
        <v/>
      </c>
      <c r="AL193" s="3">
        <f>IF(OR(V193="",V193=0),0,N193/V193)</f>
        <v/>
      </c>
      <c r="AM193" s="3">
        <f>IF(OR(V193="",V193=0),0,1)</f>
        <v/>
      </c>
      <c r="AN193" s="3">
        <f>IF(OR(E193="",F193=""),0,NETWORKDAYS(E193,F193,Ref!$K$2:$K$42))</f>
        <v/>
      </c>
      <c r="AO193" s="3">
        <f>IF(L193="Renewal",1,0)</f>
        <v/>
      </c>
      <c r="AP193" s="3">
        <f>AC193*AD193</f>
        <v/>
      </c>
      <c r="AQ193" s="3">
        <f>IF(AND(G193&lt;&gt;"",'Historical Score'!$C$6&lt;&gt;""),IF(G193='Historical Score'!$C$6,1,0),0)</f>
        <v/>
      </c>
      <c r="AR193" s="3">
        <f>IF(AND(L193&lt;&gt;"",'Historical Score'!$C$5&lt;&gt;""),IF(L193='Historical Score'!$C$5,1,0),0)</f>
        <v/>
      </c>
      <c r="AS193" s="3">
        <f>IF(AND(Y193&lt;&gt;"",'Historical Score'!$C$7&lt;&gt;""),IF(Y193='Historical Score'!$C$7,1,0),0)</f>
        <v/>
      </c>
      <c r="AT193" s="3">
        <f>IF(AND(K193&lt;&gt;"",'Historical Score'!$C$8&lt;&gt;""),IF(K193='Historical Score'!$C$8,1,0),0)</f>
        <v/>
      </c>
      <c r="AU193" s="3" t="n"/>
      <c r="AV193" s="3" t="n"/>
      <c r="AW193" s="3" t="n"/>
      <c r="AX193" s="3" t="n"/>
      <c r="AY193" s="3" t="n"/>
      <c r="AZ193" s="3" t="n"/>
      <c r="BA193" s="182">
        <f>IF(AD193=1,(AR193*'Historical Score'!$K$29+1-'Historical Score'!$K$29)*(AT193*'Historical Score'!$L$29+1-'Historical Score'!$L$29)*(AS193*'Historical Score'!$M$29+1-'Historical Score'!$M$29)*(AQ193*'Historical Score'!$N$29+1-'Historical Score'!$N$29),0)</f>
        <v/>
      </c>
      <c r="BB193" s="3" t="n"/>
      <c r="BC193" s="3" t="n"/>
    </row>
    <row r="194" ht="15.75" customHeight="1" s="174">
      <c r="A194" s="3" t="inlineStr">
        <is>
          <t>5674164038</t>
        </is>
      </c>
      <c r="B194" s="3" t="inlineStr">
        <is>
          <t>DYVINE CARE LLC</t>
        </is>
      </c>
      <c r="C194" s="3" t="inlineStr">
        <is>
          <t>DYVINE CARE LLC</t>
        </is>
      </c>
      <c r="D194" s="3" t="inlineStr">
        <is>
          <t>Legal</t>
        </is>
      </c>
      <c r="E194" s="23" t="n">
        <v>45883</v>
      </c>
      <c r="F194" s="23" t="n">
        <v>45898</v>
      </c>
      <c r="G194" s="3" t="n">
        <v>3</v>
      </c>
      <c r="H194" s="3" t="inlineStr">
        <is>
          <t>8049</t>
        </is>
      </c>
      <c r="I194" s="3" t="inlineStr">
        <is>
          <t>80</t>
        </is>
      </c>
      <c r="J194" s="3" t="inlineStr">
        <is>
          <t>NC</t>
        </is>
      </c>
      <c r="K194" s="3" t="inlineStr">
        <is>
          <t>United Secured Capital 8</t>
        </is>
      </c>
      <c r="L194" s="3" t="inlineStr">
        <is>
          <t>New Deal</t>
        </is>
      </c>
      <c r="M194" s="3" t="n">
        <v>1.499</v>
      </c>
      <c r="N194" s="28" t="n">
        <v>30000</v>
      </c>
      <c r="O194" s="28" t="n">
        <v>0</v>
      </c>
      <c r="P194" s="28" t="n">
        <v>44970</v>
      </c>
      <c r="Q194" s="28" t="n">
        <v>1798.6</v>
      </c>
      <c r="R194" s="28" t="n">
        <v>43171.4</v>
      </c>
      <c r="S194" s="42" t="n">
        <v>0.039995552590616</v>
      </c>
      <c r="T194" s="3" t="n">
        <v>25</v>
      </c>
      <c r="U194" s="3" t="n">
        <v>1</v>
      </c>
      <c r="V194" s="3" t="n">
        <v>58490.99</v>
      </c>
      <c r="W194" s="42" t="n">
        <v>0.123</v>
      </c>
      <c r="X194" s="23" t="n"/>
      <c r="Y194" s="3">
        <f>IF(I194="","No SIC",IFERROR(VLOOKUP(I194,Ref!$A$2:$B$65,2,FALSE()),"Unclassified"))</f>
        <v/>
      </c>
      <c r="Z194" s="3">
        <f>IF(T194="","",IF(T194&lt;12,"Daily","Weekly"))</f>
        <v/>
      </c>
      <c r="AA194" s="3">
        <f>IF(T194="",0,IF(T194&lt;12,T194*Controls!$B$13,T194*5))</f>
        <v/>
      </c>
      <c r="AB194" s="3">
        <f>IF(E194="",0,NETWORKDAYS(E194,Controls!$B$20,Ref!$K$2:$K$42))</f>
        <v/>
      </c>
      <c r="AC194" s="3">
        <f>IF(OR(AF194=1,AND(AA194&gt;0,AB194&gt;=Controls!$B$23*AA194)),1,0)</f>
        <v/>
      </c>
      <c r="AD194" s="3">
        <f>IF(AND(E194&lt;&gt;"",E194&gt;=Controls!$B$21,E194&lt;=Controls!$B$22),1,0)</f>
        <v/>
      </c>
      <c r="AE194" s="3">
        <f>IF(IFERROR(VLOOKUP(D194,Controls!$A$36:$E$46,2,FALSE()),"No")="Yes",1,0)</f>
        <v/>
      </c>
      <c r="AF194" s="3">
        <f>IF(IFERROR(VLOOKUP(D194,Controls!$A$36:$E$46,3,FALSE()),"No")="Yes",1,0)</f>
        <v/>
      </c>
      <c r="AG194" s="3">
        <f>IF(IFERROR(VLOOKUP(D194,Controls!$A$36:$E$46,4,FALSE()),"No")="Yes",1,0)</f>
        <v/>
      </c>
      <c r="AH194" s="3">
        <f>IF(IFERROR(VLOOKUP(D194,Controls!$A$36:$E$46,5,FALSE()),"No")="Yes",1,0)</f>
        <v/>
      </c>
      <c r="AI194" s="3">
        <f>IF(ISNUMBER(MATCH(D194,Controls!$A$36:$A$46,0)),1,0)</f>
        <v/>
      </c>
      <c r="AJ194" s="28">
        <f>Q194-N194</f>
        <v/>
      </c>
      <c r="AK194" s="3">
        <f>IF(AE194=1,MAX(0,N194-Q194),0)</f>
        <v/>
      </c>
      <c r="AL194" s="3">
        <f>IF(OR(V194="",V194=0),0,N194/V194)</f>
        <v/>
      </c>
      <c r="AM194" s="3">
        <f>IF(OR(V194="",V194=0),0,1)</f>
        <v/>
      </c>
      <c r="AN194" s="3">
        <f>IF(OR(E194="",F194=""),0,NETWORKDAYS(E194,F194,Ref!$K$2:$K$42))</f>
        <v/>
      </c>
      <c r="AO194" s="3">
        <f>IF(L194="Renewal",1,0)</f>
        <v/>
      </c>
      <c r="AP194" s="3">
        <f>AC194*AD194</f>
        <v/>
      </c>
      <c r="AQ194" s="3">
        <f>IF(AND(G194&lt;&gt;"",'Historical Score'!$C$6&lt;&gt;""),IF(G194='Historical Score'!$C$6,1,0),0)</f>
        <v/>
      </c>
      <c r="AR194" s="3">
        <f>IF(AND(L194&lt;&gt;"",'Historical Score'!$C$5&lt;&gt;""),IF(L194='Historical Score'!$C$5,1,0),0)</f>
        <v/>
      </c>
      <c r="AS194" s="3">
        <f>IF(AND(Y194&lt;&gt;"",'Historical Score'!$C$7&lt;&gt;""),IF(Y194='Historical Score'!$C$7,1,0),0)</f>
        <v/>
      </c>
      <c r="AT194" s="3">
        <f>IF(AND(K194&lt;&gt;"",'Historical Score'!$C$8&lt;&gt;""),IF(K194='Historical Score'!$C$8,1,0),0)</f>
        <v/>
      </c>
      <c r="AU194" s="3" t="n"/>
      <c r="AV194" s="3" t="n"/>
      <c r="AW194" s="3" t="n"/>
      <c r="AX194" s="3" t="n"/>
      <c r="AY194" s="3" t="n"/>
      <c r="AZ194" s="3" t="n"/>
      <c r="BA194" s="182">
        <f>IF(AD194=1,(AR194*'Historical Score'!$K$29+1-'Historical Score'!$K$29)*(AT194*'Historical Score'!$L$29+1-'Historical Score'!$L$29)*(AS194*'Historical Score'!$M$29+1-'Historical Score'!$M$29)*(AQ194*'Historical Score'!$N$29+1-'Historical Score'!$N$29),0)</f>
        <v/>
      </c>
      <c r="BB194" s="3" t="n"/>
      <c r="BC194" s="3" t="n"/>
    </row>
    <row r="195" ht="15.75" customHeight="1" s="174">
      <c r="A195" s="3" t="inlineStr">
        <is>
          <t>5674164046</t>
        </is>
      </c>
      <c r="B195" s="3" t="inlineStr">
        <is>
          <t>GURU JI HOMECARE</t>
        </is>
      </c>
      <c r="C195" s="3" t="inlineStr">
        <is>
          <t>GURU JI HOMECARE AGENCY INC</t>
        </is>
      </c>
      <c r="D195" s="3" t="inlineStr">
        <is>
          <t>Closed</t>
        </is>
      </c>
      <c r="E195" s="23" t="n">
        <v>45883</v>
      </c>
      <c r="F195" s="23" t="n">
        <v>46066</v>
      </c>
      <c r="G195" s="3" t="n">
        <v>1</v>
      </c>
      <c r="H195" s="3" t="inlineStr">
        <is>
          <t>8049</t>
        </is>
      </c>
      <c r="I195" s="3" t="inlineStr">
        <is>
          <t>80</t>
        </is>
      </c>
      <c r="J195" s="3" t="inlineStr">
        <is>
          <t>IN</t>
        </is>
      </c>
      <c r="K195" s="3" t="inlineStr">
        <is>
          <t>BFA 3</t>
        </is>
      </c>
      <c r="L195" s="3" t="inlineStr">
        <is>
          <t>New Deal</t>
        </is>
      </c>
      <c r="M195" s="3" t="n">
        <v>1.47</v>
      </c>
      <c r="N195" s="28" t="n">
        <v>27000</v>
      </c>
      <c r="O195" s="28" t="n">
        <v>3510</v>
      </c>
      <c r="P195" s="28" t="n">
        <v>39690</v>
      </c>
      <c r="Q195" s="28" t="n">
        <v>39690</v>
      </c>
      <c r="R195" s="28" t="n">
        <v>0</v>
      </c>
      <c r="S195" s="42" t="n">
        <v>1</v>
      </c>
      <c r="T195" s="3" t="n">
        <v>25</v>
      </c>
      <c r="U195" s="3" t="n">
        <v>0</v>
      </c>
      <c r="V195" s="3" t="n">
        <v>65317.97</v>
      </c>
      <c r="W195" s="42" t="n">
        <v>0.09719999999999999</v>
      </c>
      <c r="X195" s="23" t="n">
        <v>45158</v>
      </c>
      <c r="Y195" s="3">
        <f>IF(I195="","No SIC",IFERROR(VLOOKUP(I195,Ref!$A$2:$B$65,2,FALSE()),"Unclassified"))</f>
        <v/>
      </c>
      <c r="Z195" s="3">
        <f>IF(T195="","",IF(T195&lt;12,"Daily","Weekly"))</f>
        <v/>
      </c>
      <c r="AA195" s="3">
        <f>IF(T195="",0,IF(T195&lt;12,T195*Controls!$B$13,T195*5))</f>
        <v/>
      </c>
      <c r="AB195" s="3">
        <f>IF(E195="",0,NETWORKDAYS(E195,Controls!$B$20,Ref!$K$2:$K$42))</f>
        <v/>
      </c>
      <c r="AC195" s="3">
        <f>IF(OR(AF195=1,AND(AA195&gt;0,AB195&gt;=Controls!$B$23*AA195)),1,0)</f>
        <v/>
      </c>
      <c r="AD195" s="3">
        <f>IF(AND(E195&lt;&gt;"",E195&gt;=Controls!$B$21,E195&lt;=Controls!$B$22),1,0)</f>
        <v/>
      </c>
      <c r="AE195" s="3">
        <f>IF(IFERROR(VLOOKUP(D195,Controls!$A$36:$E$46,2,FALSE()),"No")="Yes",1,0)</f>
        <v/>
      </c>
      <c r="AF195" s="3">
        <f>IF(IFERROR(VLOOKUP(D195,Controls!$A$36:$E$46,3,FALSE()),"No")="Yes",1,0)</f>
        <v/>
      </c>
      <c r="AG195" s="3">
        <f>IF(IFERROR(VLOOKUP(D195,Controls!$A$36:$E$46,4,FALSE()),"No")="Yes",1,0)</f>
        <v/>
      </c>
      <c r="AH195" s="3">
        <f>IF(IFERROR(VLOOKUP(D195,Controls!$A$36:$E$46,5,FALSE()),"No")="Yes",1,0)</f>
        <v/>
      </c>
      <c r="AI195" s="3">
        <f>IF(ISNUMBER(MATCH(D195,Controls!$A$36:$A$46,0)),1,0)</f>
        <v/>
      </c>
      <c r="AJ195" s="28">
        <f>Q195-N195</f>
        <v/>
      </c>
      <c r="AK195" s="3">
        <f>IF(AE195=1,MAX(0,N195-Q195),0)</f>
        <v/>
      </c>
      <c r="AL195" s="3">
        <f>IF(OR(V195="",V195=0),0,N195/V195)</f>
        <v/>
      </c>
      <c r="AM195" s="3">
        <f>IF(OR(V195="",V195=0),0,1)</f>
        <v/>
      </c>
      <c r="AN195" s="3">
        <f>IF(OR(E195="",F195=""),0,NETWORKDAYS(E195,F195,Ref!$K$2:$K$42))</f>
        <v/>
      </c>
      <c r="AO195" s="3">
        <f>IF(L195="Renewal",1,0)</f>
        <v/>
      </c>
      <c r="AP195" s="3">
        <f>AC195*AD195</f>
        <v/>
      </c>
      <c r="AQ195" s="3">
        <f>IF(AND(G195&lt;&gt;"",'Historical Score'!$C$6&lt;&gt;""),IF(G195='Historical Score'!$C$6,1,0),0)</f>
        <v/>
      </c>
      <c r="AR195" s="3">
        <f>IF(AND(L195&lt;&gt;"",'Historical Score'!$C$5&lt;&gt;""),IF(L195='Historical Score'!$C$5,1,0),0)</f>
        <v/>
      </c>
      <c r="AS195" s="3">
        <f>IF(AND(Y195&lt;&gt;"",'Historical Score'!$C$7&lt;&gt;""),IF(Y195='Historical Score'!$C$7,1,0),0)</f>
        <v/>
      </c>
      <c r="AT195" s="3">
        <f>IF(AND(K195&lt;&gt;"",'Historical Score'!$C$8&lt;&gt;""),IF(K195='Historical Score'!$C$8,1,0),0)</f>
        <v/>
      </c>
      <c r="AU195" s="3" t="n"/>
      <c r="AV195" s="3" t="n"/>
      <c r="AW195" s="3" t="n"/>
      <c r="AX195" s="3" t="n"/>
      <c r="AY195" s="3" t="n"/>
      <c r="AZ195" s="3" t="n"/>
      <c r="BA195" s="182">
        <f>IF(AD195=1,(AR195*'Historical Score'!$K$29+1-'Historical Score'!$K$29)*(AT195*'Historical Score'!$L$29+1-'Historical Score'!$L$29)*(AS195*'Historical Score'!$M$29+1-'Historical Score'!$M$29)*(AQ195*'Historical Score'!$N$29+1-'Historical Score'!$N$29),0)</f>
        <v/>
      </c>
      <c r="BB195" s="3" t="n"/>
      <c r="BC195" s="3" t="n"/>
    </row>
    <row r="196" ht="15.75" customHeight="1" s="174">
      <c r="A196" s="3" t="inlineStr">
        <is>
          <t>5674164085</t>
        </is>
      </c>
      <c r="B196" s="3" t="inlineStr">
        <is>
          <t>BLESSING FAMILY CARE HOME</t>
        </is>
      </c>
      <c r="C196" s="3" t="inlineStr">
        <is>
          <t>GERLYNE JEAN</t>
        </is>
      </c>
      <c r="D196" s="3" t="inlineStr">
        <is>
          <t>Legal</t>
        </is>
      </c>
      <c r="E196" s="23" t="n">
        <v>45883</v>
      </c>
      <c r="F196" s="23" t="n">
        <v>46181</v>
      </c>
      <c r="G196" s="3" t="n">
        <v>3</v>
      </c>
      <c r="H196" s="3" t="inlineStr">
        <is>
          <t>8082</t>
        </is>
      </c>
      <c r="I196" s="3" t="inlineStr">
        <is>
          <t>80</t>
        </is>
      </c>
      <c r="J196" s="3" t="inlineStr">
        <is>
          <t>FL</t>
        </is>
      </c>
      <c r="K196" s="3" t="inlineStr">
        <is>
          <t>United Secured Capital 8</t>
        </is>
      </c>
      <c r="L196" s="3" t="inlineStr">
        <is>
          <t>New Deal</t>
        </is>
      </c>
      <c r="M196" s="3" t="n">
        <v>1.499</v>
      </c>
      <c r="N196" s="28" t="n">
        <v>8000</v>
      </c>
      <c r="O196" s="28" t="n">
        <v>1120</v>
      </c>
      <c r="P196" s="28" t="n">
        <v>11992</v>
      </c>
      <c r="Q196" s="28" t="n">
        <v>7404.97</v>
      </c>
      <c r="R196" s="28" t="n">
        <v>4587.03</v>
      </c>
      <c r="S196" s="42" t="n">
        <v>0.617492494996665</v>
      </c>
      <c r="T196" s="3" t="n">
        <v>2.295</v>
      </c>
      <c r="U196" s="3" t="n">
        <v>34</v>
      </c>
      <c r="V196" s="3" t="n">
        <v>24553.12</v>
      </c>
      <c r="W196" s="42" t="n">
        <v>0.1456</v>
      </c>
      <c r="X196" s="23" t="n"/>
      <c r="Y196" s="3">
        <f>IF(I196="","No SIC",IFERROR(VLOOKUP(I196,Ref!$A$2:$B$65,2,FALSE()),"Unclassified"))</f>
        <v/>
      </c>
      <c r="Z196" s="3">
        <f>IF(T196="","",IF(T196&lt;12,"Daily","Weekly"))</f>
        <v/>
      </c>
      <c r="AA196" s="3">
        <f>IF(T196="",0,IF(T196&lt;12,T196*Controls!$B$13,T196*5))</f>
        <v/>
      </c>
      <c r="AB196" s="3">
        <f>IF(E196="",0,NETWORKDAYS(E196,Controls!$B$20,Ref!$K$2:$K$42))</f>
        <v/>
      </c>
      <c r="AC196" s="3">
        <f>IF(OR(AF196=1,AND(AA196&gt;0,AB196&gt;=Controls!$B$23*AA196)),1,0)</f>
        <v/>
      </c>
      <c r="AD196" s="3">
        <f>IF(AND(E196&lt;&gt;"",E196&gt;=Controls!$B$21,E196&lt;=Controls!$B$22),1,0)</f>
        <v/>
      </c>
      <c r="AE196" s="3">
        <f>IF(IFERROR(VLOOKUP(D196,Controls!$A$36:$E$46,2,FALSE()),"No")="Yes",1,0)</f>
        <v/>
      </c>
      <c r="AF196" s="3">
        <f>IF(IFERROR(VLOOKUP(D196,Controls!$A$36:$E$46,3,FALSE()),"No")="Yes",1,0)</f>
        <v/>
      </c>
      <c r="AG196" s="3">
        <f>IF(IFERROR(VLOOKUP(D196,Controls!$A$36:$E$46,4,FALSE()),"No")="Yes",1,0)</f>
        <v/>
      </c>
      <c r="AH196" s="3">
        <f>IF(IFERROR(VLOOKUP(D196,Controls!$A$36:$E$46,5,FALSE()),"No")="Yes",1,0)</f>
        <v/>
      </c>
      <c r="AI196" s="3">
        <f>IF(ISNUMBER(MATCH(D196,Controls!$A$36:$A$46,0)),1,0)</f>
        <v/>
      </c>
      <c r="AJ196" s="28">
        <f>Q196-N196</f>
        <v/>
      </c>
      <c r="AK196" s="3">
        <f>IF(AE196=1,MAX(0,N196-Q196),0)</f>
        <v/>
      </c>
      <c r="AL196" s="3">
        <f>IF(OR(V196="",V196=0),0,N196/V196)</f>
        <v/>
      </c>
      <c r="AM196" s="3">
        <f>IF(OR(V196="",V196=0),0,1)</f>
        <v/>
      </c>
      <c r="AN196" s="3">
        <f>IF(OR(E196="",F196=""),0,NETWORKDAYS(E196,F196,Ref!$K$2:$K$42))</f>
        <v/>
      </c>
      <c r="AO196" s="3">
        <f>IF(L196="Renewal",1,0)</f>
        <v/>
      </c>
      <c r="AP196" s="3">
        <f>AC196*AD196</f>
        <v/>
      </c>
      <c r="AQ196" s="3">
        <f>IF(AND(G196&lt;&gt;"",'Historical Score'!$C$6&lt;&gt;""),IF(G196='Historical Score'!$C$6,1,0),0)</f>
        <v/>
      </c>
      <c r="AR196" s="3">
        <f>IF(AND(L196&lt;&gt;"",'Historical Score'!$C$5&lt;&gt;""),IF(L196='Historical Score'!$C$5,1,0),0)</f>
        <v/>
      </c>
      <c r="AS196" s="3">
        <f>IF(AND(Y196&lt;&gt;"",'Historical Score'!$C$7&lt;&gt;""),IF(Y196='Historical Score'!$C$7,1,0),0)</f>
        <v/>
      </c>
      <c r="AT196" s="3">
        <f>IF(AND(K196&lt;&gt;"",'Historical Score'!$C$8&lt;&gt;""),IF(K196='Historical Score'!$C$8,1,0),0)</f>
        <v/>
      </c>
      <c r="AU196" s="3" t="n"/>
      <c r="AV196" s="3" t="n"/>
      <c r="AW196" s="3" t="n"/>
      <c r="AX196" s="3" t="n"/>
      <c r="AY196" s="3" t="n"/>
      <c r="AZ196" s="3" t="n"/>
      <c r="BA196" s="182">
        <f>IF(AD196=1,(AR196*'Historical Score'!$K$29+1-'Historical Score'!$K$29)*(AT196*'Historical Score'!$L$29+1-'Historical Score'!$L$29)*(AS196*'Historical Score'!$M$29+1-'Historical Score'!$M$29)*(AQ196*'Historical Score'!$N$29+1-'Historical Score'!$N$29),0)</f>
        <v/>
      </c>
      <c r="BB196" s="3" t="n"/>
      <c r="BC196" s="3" t="n"/>
    </row>
    <row r="197" ht="15.75" customHeight="1" s="174">
      <c r="A197" s="3" t="inlineStr">
        <is>
          <t>5674164116</t>
        </is>
      </c>
      <c r="B197" s="3" t="inlineStr">
        <is>
          <t>BIG DUDE AUTO CARE LLC</t>
        </is>
      </c>
      <c r="C197" s="3" t="inlineStr">
        <is>
          <t>BIG DUDE AUTO CARE LLC</t>
        </is>
      </c>
      <c r="D197" s="3" t="inlineStr">
        <is>
          <t>Legal</t>
        </is>
      </c>
      <c r="E197" s="23" t="n">
        <v>45884</v>
      </c>
      <c r="F197" s="23" t="n">
        <v>46036</v>
      </c>
      <c r="G197" s="3" t="n">
        <v>3</v>
      </c>
      <c r="H197" s="3" t="inlineStr">
        <is>
          <t>7533</t>
        </is>
      </c>
      <c r="I197" s="3" t="inlineStr">
        <is>
          <t>75</t>
        </is>
      </c>
      <c r="J197" s="3" t="inlineStr">
        <is>
          <t>AZ</t>
        </is>
      </c>
      <c r="K197" s="3" t="inlineStr">
        <is>
          <t>Shield Funding</t>
        </is>
      </c>
      <c r="L197" s="3" t="inlineStr">
        <is>
          <t>New Deal</t>
        </is>
      </c>
      <c r="M197" s="3" t="n">
        <v>1.499</v>
      </c>
      <c r="N197" s="28" t="n">
        <v>3500</v>
      </c>
      <c r="O197" s="28" t="n">
        <v>0</v>
      </c>
      <c r="P197" s="28" t="n">
        <v>5246.5</v>
      </c>
      <c r="Q197" s="28" t="n">
        <v>111.78</v>
      </c>
      <c r="R197" s="28" t="n">
        <v>5134.72</v>
      </c>
      <c r="S197" s="42" t="n">
        <v>0.0213056323263128</v>
      </c>
      <c r="T197" s="3" t="n">
        <v>2.295</v>
      </c>
      <c r="U197" s="3" t="n">
        <v>62</v>
      </c>
      <c r="V197" s="3" t="n">
        <v>17194.25</v>
      </c>
      <c r="W197" s="42" t="n"/>
      <c r="X197" s="23" t="n">
        <v>44999</v>
      </c>
      <c r="Y197" s="3">
        <f>IF(I197="","No SIC",IFERROR(VLOOKUP(I197,Ref!$A$2:$B$65,2,FALSE()),"Unclassified"))</f>
        <v/>
      </c>
      <c r="Z197" s="3">
        <f>IF(T197="","",IF(T197&lt;12,"Daily","Weekly"))</f>
        <v/>
      </c>
      <c r="AA197" s="3">
        <f>IF(T197="",0,IF(T197&lt;12,T197*Controls!$B$13,T197*5))</f>
        <v/>
      </c>
      <c r="AB197" s="3">
        <f>IF(E197="",0,NETWORKDAYS(E197,Controls!$B$20,Ref!$K$2:$K$42))</f>
        <v/>
      </c>
      <c r="AC197" s="3">
        <f>IF(OR(AF197=1,AND(AA197&gt;0,AB197&gt;=Controls!$B$23*AA197)),1,0)</f>
        <v/>
      </c>
      <c r="AD197" s="3">
        <f>IF(AND(E197&lt;&gt;"",E197&gt;=Controls!$B$21,E197&lt;=Controls!$B$22),1,0)</f>
        <v/>
      </c>
      <c r="AE197" s="3">
        <f>IF(IFERROR(VLOOKUP(D197,Controls!$A$36:$E$46,2,FALSE()),"No")="Yes",1,0)</f>
        <v/>
      </c>
      <c r="AF197" s="3">
        <f>IF(IFERROR(VLOOKUP(D197,Controls!$A$36:$E$46,3,FALSE()),"No")="Yes",1,0)</f>
        <v/>
      </c>
      <c r="AG197" s="3">
        <f>IF(IFERROR(VLOOKUP(D197,Controls!$A$36:$E$46,4,FALSE()),"No")="Yes",1,0)</f>
        <v/>
      </c>
      <c r="AH197" s="3">
        <f>IF(IFERROR(VLOOKUP(D197,Controls!$A$36:$E$46,5,FALSE()),"No")="Yes",1,0)</f>
        <v/>
      </c>
      <c r="AI197" s="3">
        <f>IF(ISNUMBER(MATCH(D197,Controls!$A$36:$A$46,0)),1,0)</f>
        <v/>
      </c>
      <c r="AJ197" s="28">
        <f>Q197-N197</f>
        <v/>
      </c>
      <c r="AK197" s="3">
        <f>IF(AE197=1,MAX(0,N197-Q197),0)</f>
        <v/>
      </c>
      <c r="AL197" s="3">
        <f>IF(OR(V197="",V197=0),0,N197/V197)</f>
        <v/>
      </c>
      <c r="AM197" s="3">
        <f>IF(OR(V197="",V197=0),0,1)</f>
        <v/>
      </c>
      <c r="AN197" s="3">
        <f>IF(OR(E197="",F197=""),0,NETWORKDAYS(E197,F197,Ref!$K$2:$K$42))</f>
        <v/>
      </c>
      <c r="AO197" s="3">
        <f>IF(L197="Renewal",1,0)</f>
        <v/>
      </c>
      <c r="AP197" s="3">
        <f>AC197*AD197</f>
        <v/>
      </c>
      <c r="AQ197" s="3">
        <f>IF(AND(G197&lt;&gt;"",'Historical Score'!$C$6&lt;&gt;""),IF(G197='Historical Score'!$C$6,1,0),0)</f>
        <v/>
      </c>
      <c r="AR197" s="3">
        <f>IF(AND(L197&lt;&gt;"",'Historical Score'!$C$5&lt;&gt;""),IF(L197='Historical Score'!$C$5,1,0),0)</f>
        <v/>
      </c>
      <c r="AS197" s="3">
        <f>IF(AND(Y197&lt;&gt;"",'Historical Score'!$C$7&lt;&gt;""),IF(Y197='Historical Score'!$C$7,1,0),0)</f>
        <v/>
      </c>
      <c r="AT197" s="3">
        <f>IF(AND(K197&lt;&gt;"",'Historical Score'!$C$8&lt;&gt;""),IF(K197='Historical Score'!$C$8,1,0),0)</f>
        <v/>
      </c>
      <c r="AU197" s="3" t="n"/>
      <c r="AV197" s="3" t="n"/>
      <c r="AW197" s="3" t="n"/>
      <c r="AX197" s="3" t="n"/>
      <c r="AY197" s="3" t="n"/>
      <c r="AZ197" s="3" t="n"/>
      <c r="BA197" s="182">
        <f>IF(AD197=1,(AR197*'Historical Score'!$K$29+1-'Historical Score'!$K$29)*(AT197*'Historical Score'!$L$29+1-'Historical Score'!$L$29)*(AS197*'Historical Score'!$M$29+1-'Historical Score'!$M$29)*(AQ197*'Historical Score'!$N$29+1-'Historical Score'!$N$29),0)</f>
        <v/>
      </c>
      <c r="BB197" s="3" t="n"/>
      <c r="BC197" s="3" t="n"/>
    </row>
    <row r="198" ht="15.75" customHeight="1" s="174">
      <c r="A198" s="3" t="inlineStr">
        <is>
          <t>5674164132</t>
        </is>
      </c>
      <c r="B198" s="3" t="inlineStr">
        <is>
          <t>M. Delaney LLC</t>
        </is>
      </c>
      <c r="C198" s="3" t="inlineStr">
        <is>
          <t>M. Delaney LLC</t>
        </is>
      </c>
      <c r="D198" s="3" t="inlineStr">
        <is>
          <t>Closed</t>
        </is>
      </c>
      <c r="E198" s="23" t="n">
        <v>45884</v>
      </c>
      <c r="F198" s="23" t="n">
        <v>45996</v>
      </c>
      <c r="G198" s="3" t="n">
        <v>3</v>
      </c>
      <c r="H198" s="3" t="inlineStr">
        <is>
          <t>6513</t>
        </is>
      </c>
      <c r="I198" s="3" t="inlineStr">
        <is>
          <t>65</t>
        </is>
      </c>
      <c r="J198" s="3" t="inlineStr">
        <is>
          <t>GA</t>
        </is>
      </c>
      <c r="K198" s="3" t="inlineStr">
        <is>
          <t>Llama Loan</t>
        </is>
      </c>
      <c r="L198" s="3" t="inlineStr">
        <is>
          <t>Renewal</t>
        </is>
      </c>
      <c r="M198" s="3" t="n">
        <v>1.49</v>
      </c>
      <c r="N198" s="28" t="n">
        <v>22000</v>
      </c>
      <c r="O198" s="28" t="n">
        <v>3080</v>
      </c>
      <c r="P198" s="28" t="n">
        <v>32780</v>
      </c>
      <c r="Q198" s="28" t="n">
        <v>32780</v>
      </c>
      <c r="R198" s="28" t="n">
        <v>0</v>
      </c>
      <c r="S198" s="42" t="n">
        <v>1</v>
      </c>
      <c r="T198" s="3" t="n">
        <v>3.934</v>
      </c>
      <c r="U198" s="3" t="n">
        <v>2</v>
      </c>
      <c r="V198" s="3" t="n">
        <v>51823.33</v>
      </c>
      <c r="W198" s="42" t="n">
        <v>0.1107</v>
      </c>
      <c r="X198" s="23" t="n"/>
      <c r="Y198" s="3">
        <f>IF(I198="","No SIC",IFERROR(VLOOKUP(I198,Ref!$A$2:$B$65,2,FALSE()),"Unclassified"))</f>
        <v/>
      </c>
      <c r="Z198" s="3">
        <f>IF(T198="","",IF(T198&lt;12,"Daily","Weekly"))</f>
        <v/>
      </c>
      <c r="AA198" s="3">
        <f>IF(T198="",0,IF(T198&lt;12,T198*Controls!$B$13,T198*5))</f>
        <v/>
      </c>
      <c r="AB198" s="3">
        <f>IF(E198="",0,NETWORKDAYS(E198,Controls!$B$20,Ref!$K$2:$K$42))</f>
        <v/>
      </c>
      <c r="AC198" s="3">
        <f>IF(OR(AF198=1,AND(AA198&gt;0,AB198&gt;=Controls!$B$23*AA198)),1,0)</f>
        <v/>
      </c>
      <c r="AD198" s="3">
        <f>IF(AND(E198&lt;&gt;"",E198&gt;=Controls!$B$21,E198&lt;=Controls!$B$22),1,0)</f>
        <v/>
      </c>
      <c r="AE198" s="3">
        <f>IF(IFERROR(VLOOKUP(D198,Controls!$A$36:$E$46,2,FALSE()),"No")="Yes",1,0)</f>
        <v/>
      </c>
      <c r="AF198" s="3">
        <f>IF(IFERROR(VLOOKUP(D198,Controls!$A$36:$E$46,3,FALSE()),"No")="Yes",1,0)</f>
        <v/>
      </c>
      <c r="AG198" s="3">
        <f>IF(IFERROR(VLOOKUP(D198,Controls!$A$36:$E$46,4,FALSE()),"No")="Yes",1,0)</f>
        <v/>
      </c>
      <c r="AH198" s="3">
        <f>IF(IFERROR(VLOOKUP(D198,Controls!$A$36:$E$46,5,FALSE()),"No")="Yes",1,0)</f>
        <v/>
      </c>
      <c r="AI198" s="3">
        <f>IF(ISNUMBER(MATCH(D198,Controls!$A$36:$A$46,0)),1,0)</f>
        <v/>
      </c>
      <c r="AJ198" s="28">
        <f>Q198-N198</f>
        <v/>
      </c>
      <c r="AK198" s="3">
        <f>IF(AE198=1,MAX(0,N198-Q198),0)</f>
        <v/>
      </c>
      <c r="AL198" s="3">
        <f>IF(OR(V198="",V198=0),0,N198/V198)</f>
        <v/>
      </c>
      <c r="AM198" s="3">
        <f>IF(OR(V198="",V198=0),0,1)</f>
        <v/>
      </c>
      <c r="AN198" s="3">
        <f>IF(OR(E198="",F198=""),0,NETWORKDAYS(E198,F198,Ref!$K$2:$K$42))</f>
        <v/>
      </c>
      <c r="AO198" s="3">
        <f>IF(L198="Renewal",1,0)</f>
        <v/>
      </c>
      <c r="AP198" s="3">
        <f>AC198*AD198</f>
        <v/>
      </c>
      <c r="AQ198" s="3">
        <f>IF(AND(G198&lt;&gt;"",'Historical Score'!$C$6&lt;&gt;""),IF(G198='Historical Score'!$C$6,1,0),0)</f>
        <v/>
      </c>
      <c r="AR198" s="3">
        <f>IF(AND(L198&lt;&gt;"",'Historical Score'!$C$5&lt;&gt;""),IF(L198='Historical Score'!$C$5,1,0),0)</f>
        <v/>
      </c>
      <c r="AS198" s="3">
        <f>IF(AND(Y198&lt;&gt;"",'Historical Score'!$C$7&lt;&gt;""),IF(Y198='Historical Score'!$C$7,1,0),0)</f>
        <v/>
      </c>
      <c r="AT198" s="3">
        <f>IF(AND(K198&lt;&gt;"",'Historical Score'!$C$8&lt;&gt;""),IF(K198='Historical Score'!$C$8,1,0),0)</f>
        <v/>
      </c>
      <c r="AU198" s="3" t="n"/>
      <c r="AV198" s="3" t="n"/>
      <c r="AW198" s="3" t="n"/>
      <c r="AX198" s="3" t="n"/>
      <c r="AY198" s="3" t="n"/>
      <c r="AZ198" s="3" t="n"/>
      <c r="BA198" s="182">
        <f>IF(AD198=1,(AR198*'Historical Score'!$K$29+1-'Historical Score'!$K$29)*(AT198*'Historical Score'!$L$29+1-'Historical Score'!$L$29)*(AS198*'Historical Score'!$M$29+1-'Historical Score'!$M$29)*(AQ198*'Historical Score'!$N$29+1-'Historical Score'!$N$29),0)</f>
        <v/>
      </c>
      <c r="BB198" s="3" t="n"/>
      <c r="BC198" s="3" t="n"/>
    </row>
    <row r="199" ht="15.75" customHeight="1" s="174">
      <c r="A199" s="3" t="inlineStr">
        <is>
          <t>5674164163</t>
        </is>
      </c>
      <c r="B199" s="3" t="inlineStr">
        <is>
          <t>Balanced Bites Cafe LLC</t>
        </is>
      </c>
      <c r="C199" s="3" t="inlineStr">
        <is>
          <t>Balanced Bites Cafe LLC</t>
        </is>
      </c>
      <c r="D199" s="3" t="inlineStr">
        <is>
          <t>In House Collection</t>
        </is>
      </c>
      <c r="E199" s="23" t="n">
        <v>45884</v>
      </c>
      <c r="F199" s="23" t="n">
        <v>46253</v>
      </c>
      <c r="G199" s="3" t="n">
        <v>1</v>
      </c>
      <c r="H199" s="3" t="inlineStr">
        <is>
          <t>5812</t>
        </is>
      </c>
      <c r="I199" s="3" t="inlineStr">
        <is>
          <t>58</t>
        </is>
      </c>
      <c r="J199" s="3" t="inlineStr">
        <is>
          <t>CA</t>
        </is>
      </c>
      <c r="K199" s="3" t="inlineStr">
        <is>
          <t>PMF</t>
        </is>
      </c>
      <c r="L199" s="3" t="inlineStr">
        <is>
          <t>New Deal</t>
        </is>
      </c>
      <c r="M199" s="3" t="n">
        <v>1.499</v>
      </c>
      <c r="N199" s="28" t="n">
        <v>10000</v>
      </c>
      <c r="O199" s="28" t="n">
        <v>1400</v>
      </c>
      <c r="P199" s="28" t="n">
        <v>14990</v>
      </c>
      <c r="Q199" s="28" t="n">
        <v>7358.06</v>
      </c>
      <c r="R199" s="28" t="n">
        <v>7631.94</v>
      </c>
      <c r="S199" s="42" t="n">
        <v>0.490864576384256</v>
      </c>
      <c r="T199" s="3" t="n">
        <v>2.623</v>
      </c>
      <c r="U199" s="3" t="n">
        <v>42</v>
      </c>
      <c r="V199" s="3" t="n">
        <v>32383.46</v>
      </c>
      <c r="W199" s="42" t="n">
        <v>0.1208</v>
      </c>
      <c r="X199" s="23" t="n">
        <v>45659</v>
      </c>
      <c r="Y199" s="3">
        <f>IF(I199="","No SIC",IFERROR(VLOOKUP(I199,Ref!$A$2:$B$65,2,FALSE()),"Unclassified"))</f>
        <v/>
      </c>
      <c r="Z199" s="3">
        <f>IF(T199="","",IF(T199&lt;12,"Daily","Weekly"))</f>
        <v/>
      </c>
      <c r="AA199" s="3">
        <f>IF(T199="",0,IF(T199&lt;12,T199*Controls!$B$13,T199*5))</f>
        <v/>
      </c>
      <c r="AB199" s="3">
        <f>IF(E199="",0,NETWORKDAYS(E199,Controls!$B$20,Ref!$K$2:$K$42))</f>
        <v/>
      </c>
      <c r="AC199" s="3">
        <f>IF(OR(AF199=1,AND(AA199&gt;0,AB199&gt;=Controls!$B$23*AA199)),1,0)</f>
        <v/>
      </c>
      <c r="AD199" s="3">
        <f>IF(AND(E199&lt;&gt;"",E199&gt;=Controls!$B$21,E199&lt;=Controls!$B$22),1,0)</f>
        <v/>
      </c>
      <c r="AE199" s="3">
        <f>IF(IFERROR(VLOOKUP(D199,Controls!$A$36:$E$46,2,FALSE()),"No")="Yes",1,0)</f>
        <v/>
      </c>
      <c r="AF199" s="3">
        <f>IF(IFERROR(VLOOKUP(D199,Controls!$A$36:$E$46,3,FALSE()),"No")="Yes",1,0)</f>
        <v/>
      </c>
      <c r="AG199" s="3">
        <f>IF(IFERROR(VLOOKUP(D199,Controls!$A$36:$E$46,4,FALSE()),"No")="Yes",1,0)</f>
        <v/>
      </c>
      <c r="AH199" s="3">
        <f>IF(IFERROR(VLOOKUP(D199,Controls!$A$36:$E$46,5,FALSE()),"No")="Yes",1,0)</f>
        <v/>
      </c>
      <c r="AI199" s="3">
        <f>IF(ISNUMBER(MATCH(D199,Controls!$A$36:$A$46,0)),1,0)</f>
        <v/>
      </c>
      <c r="AJ199" s="28">
        <f>Q199-N199</f>
        <v/>
      </c>
      <c r="AK199" s="3">
        <f>IF(AE199=1,MAX(0,N199-Q199),0)</f>
        <v/>
      </c>
      <c r="AL199" s="3">
        <f>IF(OR(V199="",V199=0),0,N199/V199)</f>
        <v/>
      </c>
      <c r="AM199" s="3">
        <f>IF(OR(V199="",V199=0),0,1)</f>
        <v/>
      </c>
      <c r="AN199" s="3">
        <f>IF(OR(E199="",F199=""),0,NETWORKDAYS(E199,F199,Ref!$K$2:$K$42))</f>
        <v/>
      </c>
      <c r="AO199" s="3">
        <f>IF(L199="Renewal",1,0)</f>
        <v/>
      </c>
      <c r="AP199" s="3">
        <f>AC199*AD199</f>
        <v/>
      </c>
      <c r="AQ199" s="3">
        <f>IF(AND(G199&lt;&gt;"",'Historical Score'!$C$6&lt;&gt;""),IF(G199='Historical Score'!$C$6,1,0),0)</f>
        <v/>
      </c>
      <c r="AR199" s="3">
        <f>IF(AND(L199&lt;&gt;"",'Historical Score'!$C$5&lt;&gt;""),IF(L199='Historical Score'!$C$5,1,0),0)</f>
        <v/>
      </c>
      <c r="AS199" s="3">
        <f>IF(AND(Y199&lt;&gt;"",'Historical Score'!$C$7&lt;&gt;""),IF(Y199='Historical Score'!$C$7,1,0),0)</f>
        <v/>
      </c>
      <c r="AT199" s="3">
        <f>IF(AND(K199&lt;&gt;"",'Historical Score'!$C$8&lt;&gt;""),IF(K199='Historical Score'!$C$8,1,0),0)</f>
        <v/>
      </c>
      <c r="AU199" s="3" t="n"/>
      <c r="AV199" s="3" t="n"/>
      <c r="AW199" s="3" t="n"/>
      <c r="AX199" s="3" t="n"/>
      <c r="AY199" s="3" t="n"/>
      <c r="AZ199" s="3" t="n"/>
      <c r="BA199" s="182">
        <f>IF(AD199=1,(AR199*'Historical Score'!$K$29+1-'Historical Score'!$K$29)*(AT199*'Historical Score'!$L$29+1-'Historical Score'!$L$29)*(AS199*'Historical Score'!$M$29+1-'Historical Score'!$M$29)*(AQ199*'Historical Score'!$N$29+1-'Historical Score'!$N$29),0)</f>
        <v/>
      </c>
      <c r="BB199" s="3" t="n"/>
      <c r="BC199" s="3" t="n"/>
    </row>
    <row r="200" ht="15.75" customHeight="1" s="174">
      <c r="A200" s="3" t="inlineStr">
        <is>
          <t>5674164225</t>
        </is>
      </c>
      <c r="B200" s="3" t="inlineStr">
        <is>
          <t>Charles Hannum Inc</t>
        </is>
      </c>
      <c r="C200" s="3" t="inlineStr">
        <is>
          <t>Charles Hannum Inc</t>
        </is>
      </c>
      <c r="D200" s="3" t="inlineStr">
        <is>
          <t>Closed</t>
        </is>
      </c>
      <c r="E200" s="23" t="n">
        <v>45887</v>
      </c>
      <c r="F200" s="23" t="n">
        <v>45960</v>
      </c>
      <c r="G200" s="3" t="n">
        <v>6</v>
      </c>
      <c r="H200" s="3" t="inlineStr">
        <is>
          <t>5999</t>
        </is>
      </c>
      <c r="I200" s="3" t="inlineStr">
        <is>
          <t>59</t>
        </is>
      </c>
      <c r="J200" s="3" t="inlineStr">
        <is>
          <t>PA</t>
        </is>
      </c>
      <c r="K200" s="3" t="inlineStr">
        <is>
          <t>Triumph Cap Fund</t>
        </is>
      </c>
      <c r="L200" s="3" t="inlineStr">
        <is>
          <t>New Deal</t>
        </is>
      </c>
      <c r="M200" s="3" t="n">
        <v>1.36</v>
      </c>
      <c r="N200" s="28" t="n">
        <v>15000</v>
      </c>
      <c r="O200" s="28" t="n">
        <v>1125</v>
      </c>
      <c r="P200" s="28" t="n">
        <v>20400</v>
      </c>
      <c r="Q200" s="28" t="n">
        <v>20400</v>
      </c>
      <c r="R200" s="28" t="n">
        <v>0</v>
      </c>
      <c r="S200" s="42" t="n">
        <v>1</v>
      </c>
      <c r="T200" s="3" t="n">
        <v>3.279</v>
      </c>
      <c r="U200" s="3" t="n">
        <v>0</v>
      </c>
      <c r="V200" s="3" t="n">
        <v>33782.45</v>
      </c>
      <c r="W200" s="42" t="n">
        <v>0.1268</v>
      </c>
      <c r="X200" s="23" t="n"/>
      <c r="Y200" s="3">
        <f>IF(I200="","No SIC",IFERROR(VLOOKUP(I200,Ref!$A$2:$B$65,2,FALSE()),"Unclassified"))</f>
        <v/>
      </c>
      <c r="Z200" s="3">
        <f>IF(T200="","",IF(T200&lt;12,"Daily","Weekly"))</f>
        <v/>
      </c>
      <c r="AA200" s="3">
        <f>IF(T200="",0,IF(T200&lt;12,T200*Controls!$B$13,T200*5))</f>
        <v/>
      </c>
      <c r="AB200" s="3">
        <f>IF(E200="",0,NETWORKDAYS(E200,Controls!$B$20,Ref!$K$2:$K$42))</f>
        <v/>
      </c>
      <c r="AC200" s="3">
        <f>IF(OR(AF200=1,AND(AA200&gt;0,AB200&gt;=Controls!$B$23*AA200)),1,0)</f>
        <v/>
      </c>
      <c r="AD200" s="3">
        <f>IF(AND(E200&lt;&gt;"",E200&gt;=Controls!$B$21,E200&lt;=Controls!$B$22),1,0)</f>
        <v/>
      </c>
      <c r="AE200" s="3">
        <f>IF(IFERROR(VLOOKUP(D200,Controls!$A$36:$E$46,2,FALSE()),"No")="Yes",1,0)</f>
        <v/>
      </c>
      <c r="AF200" s="3">
        <f>IF(IFERROR(VLOOKUP(D200,Controls!$A$36:$E$46,3,FALSE()),"No")="Yes",1,0)</f>
        <v/>
      </c>
      <c r="AG200" s="3">
        <f>IF(IFERROR(VLOOKUP(D200,Controls!$A$36:$E$46,4,FALSE()),"No")="Yes",1,0)</f>
        <v/>
      </c>
      <c r="AH200" s="3">
        <f>IF(IFERROR(VLOOKUP(D200,Controls!$A$36:$E$46,5,FALSE()),"No")="Yes",1,0)</f>
        <v/>
      </c>
      <c r="AI200" s="3">
        <f>IF(ISNUMBER(MATCH(D200,Controls!$A$36:$A$46,0)),1,0)</f>
        <v/>
      </c>
      <c r="AJ200" s="28">
        <f>Q200-N200</f>
        <v/>
      </c>
      <c r="AK200" s="3">
        <f>IF(AE200=1,MAX(0,N200-Q200),0)</f>
        <v/>
      </c>
      <c r="AL200" s="3">
        <f>IF(OR(V200="",V200=0),0,N200/V200)</f>
        <v/>
      </c>
      <c r="AM200" s="3">
        <f>IF(OR(V200="",V200=0),0,1)</f>
        <v/>
      </c>
      <c r="AN200" s="3">
        <f>IF(OR(E200="",F200=""),0,NETWORKDAYS(E200,F200,Ref!$K$2:$K$42))</f>
        <v/>
      </c>
      <c r="AO200" s="3">
        <f>IF(L200="Renewal",1,0)</f>
        <v/>
      </c>
      <c r="AP200" s="3">
        <f>AC200*AD200</f>
        <v/>
      </c>
      <c r="AQ200" s="3">
        <f>IF(AND(G200&lt;&gt;"",'Historical Score'!$C$6&lt;&gt;""),IF(G200='Historical Score'!$C$6,1,0),0)</f>
        <v/>
      </c>
      <c r="AR200" s="3">
        <f>IF(AND(L200&lt;&gt;"",'Historical Score'!$C$5&lt;&gt;""),IF(L200='Historical Score'!$C$5,1,0),0)</f>
        <v/>
      </c>
      <c r="AS200" s="3">
        <f>IF(AND(Y200&lt;&gt;"",'Historical Score'!$C$7&lt;&gt;""),IF(Y200='Historical Score'!$C$7,1,0),0)</f>
        <v/>
      </c>
      <c r="AT200" s="3">
        <f>IF(AND(K200&lt;&gt;"",'Historical Score'!$C$8&lt;&gt;""),IF(K200='Historical Score'!$C$8,1,0),0)</f>
        <v/>
      </c>
      <c r="AU200" s="3" t="n"/>
      <c r="AV200" s="3" t="n"/>
      <c r="AW200" s="3" t="n"/>
      <c r="AX200" s="3" t="n"/>
      <c r="AY200" s="3" t="n"/>
      <c r="AZ200" s="3" t="n"/>
      <c r="BA200" s="182">
        <f>IF(AD200=1,(AR200*'Historical Score'!$K$29+1-'Historical Score'!$K$29)*(AT200*'Historical Score'!$L$29+1-'Historical Score'!$L$29)*(AS200*'Historical Score'!$M$29+1-'Historical Score'!$M$29)*(AQ200*'Historical Score'!$N$29+1-'Historical Score'!$N$29),0)</f>
        <v/>
      </c>
      <c r="BB200" s="3" t="n"/>
      <c r="BC200" s="3" t="n"/>
    </row>
    <row r="201" ht="15.75" customHeight="1" s="174">
      <c r="A201" s="3" t="inlineStr">
        <is>
          <t>5674164276</t>
        </is>
      </c>
      <c r="B201" s="3" t="inlineStr">
        <is>
          <t>COASTLINE SERVICES</t>
        </is>
      </c>
      <c r="C201" s="3" t="inlineStr">
        <is>
          <t>JULIAN JAKE CANALES</t>
        </is>
      </c>
      <c r="D201" s="3" t="inlineStr">
        <is>
          <t>Closed/NSF Unpaid</t>
        </is>
      </c>
      <c r="E201" s="23" t="n">
        <v>45888</v>
      </c>
      <c r="F201" s="23" t="n">
        <v>46113</v>
      </c>
      <c r="G201" s="3" t="n">
        <v>4</v>
      </c>
      <c r="H201" s="3" t="inlineStr">
        <is>
          <t>7521</t>
        </is>
      </c>
      <c r="I201" s="3" t="inlineStr">
        <is>
          <t>75</t>
        </is>
      </c>
      <c r="J201" s="3" t="inlineStr">
        <is>
          <t>CA</t>
        </is>
      </c>
      <c r="K201" s="3" t="inlineStr">
        <is>
          <t>Fundible</t>
        </is>
      </c>
      <c r="L201" s="3" t="inlineStr">
        <is>
          <t>New Deal</t>
        </is>
      </c>
      <c r="M201" s="3" t="n">
        <v>1.499</v>
      </c>
      <c r="N201" s="28" t="n">
        <v>4500</v>
      </c>
      <c r="O201" s="28" t="n">
        <v>630</v>
      </c>
      <c r="P201" s="28" t="n">
        <v>6745.5</v>
      </c>
      <c r="Q201" s="28" t="n">
        <v>6745.5</v>
      </c>
      <c r="R201" s="28" t="n">
        <v>9.09494701772928e-13</v>
      </c>
      <c r="S201" s="42" t="n">
        <v>1</v>
      </c>
      <c r="T201" s="3" t="n">
        <v>1.967</v>
      </c>
      <c r="U201" s="3" t="n">
        <v>44</v>
      </c>
      <c r="V201" s="3" t="n">
        <v>18481.21</v>
      </c>
      <c r="W201" s="42" t="n">
        <v>0.1261</v>
      </c>
      <c r="X201" s="23" t="n">
        <v>39083</v>
      </c>
      <c r="Y201" s="3">
        <f>IF(I201="","No SIC",IFERROR(VLOOKUP(I201,Ref!$A$2:$B$65,2,FALSE()),"Unclassified"))</f>
        <v/>
      </c>
      <c r="Z201" s="3">
        <f>IF(T201="","",IF(T201&lt;12,"Daily","Weekly"))</f>
        <v/>
      </c>
      <c r="AA201" s="3">
        <f>IF(T201="",0,IF(T201&lt;12,T201*Controls!$B$13,T201*5))</f>
        <v/>
      </c>
      <c r="AB201" s="3">
        <f>IF(E201="",0,NETWORKDAYS(E201,Controls!$B$20,Ref!$K$2:$K$42))</f>
        <v/>
      </c>
      <c r="AC201" s="3">
        <f>IF(OR(AF201=1,AND(AA201&gt;0,AB201&gt;=Controls!$B$23*AA201)),1,0)</f>
        <v/>
      </c>
      <c r="AD201" s="3">
        <f>IF(AND(E201&lt;&gt;"",E201&gt;=Controls!$B$21,E201&lt;=Controls!$B$22),1,0)</f>
        <v/>
      </c>
      <c r="AE201" s="3">
        <f>IF(IFERROR(VLOOKUP(D201,Controls!$A$36:$E$46,2,FALSE()),"No")="Yes",1,0)</f>
        <v/>
      </c>
      <c r="AF201" s="3">
        <f>IF(IFERROR(VLOOKUP(D201,Controls!$A$36:$E$46,3,FALSE()),"No")="Yes",1,0)</f>
        <v/>
      </c>
      <c r="AG201" s="3">
        <f>IF(IFERROR(VLOOKUP(D201,Controls!$A$36:$E$46,4,FALSE()),"No")="Yes",1,0)</f>
        <v/>
      </c>
      <c r="AH201" s="3">
        <f>IF(IFERROR(VLOOKUP(D201,Controls!$A$36:$E$46,5,FALSE()),"No")="Yes",1,0)</f>
        <v/>
      </c>
      <c r="AI201" s="3">
        <f>IF(ISNUMBER(MATCH(D201,Controls!$A$36:$A$46,0)),1,0)</f>
        <v/>
      </c>
      <c r="AJ201" s="28">
        <f>Q201-N201</f>
        <v/>
      </c>
      <c r="AK201" s="3">
        <f>IF(AE201=1,MAX(0,N201-Q201),0)</f>
        <v/>
      </c>
      <c r="AL201" s="3">
        <f>IF(OR(V201="",V201=0),0,N201/V201)</f>
        <v/>
      </c>
      <c r="AM201" s="3">
        <f>IF(OR(V201="",V201=0),0,1)</f>
        <v/>
      </c>
      <c r="AN201" s="3">
        <f>IF(OR(E201="",F201=""),0,NETWORKDAYS(E201,F201,Ref!$K$2:$K$42))</f>
        <v/>
      </c>
      <c r="AO201" s="3">
        <f>IF(L201="Renewal",1,0)</f>
        <v/>
      </c>
      <c r="AP201" s="3">
        <f>AC201*AD201</f>
        <v/>
      </c>
      <c r="AQ201" s="3">
        <f>IF(AND(G201&lt;&gt;"",'Historical Score'!$C$6&lt;&gt;""),IF(G201='Historical Score'!$C$6,1,0),0)</f>
        <v/>
      </c>
      <c r="AR201" s="3">
        <f>IF(AND(L201&lt;&gt;"",'Historical Score'!$C$5&lt;&gt;""),IF(L201='Historical Score'!$C$5,1,0),0)</f>
        <v/>
      </c>
      <c r="AS201" s="3">
        <f>IF(AND(Y201&lt;&gt;"",'Historical Score'!$C$7&lt;&gt;""),IF(Y201='Historical Score'!$C$7,1,0),0)</f>
        <v/>
      </c>
      <c r="AT201" s="3">
        <f>IF(AND(K201&lt;&gt;"",'Historical Score'!$C$8&lt;&gt;""),IF(K201='Historical Score'!$C$8,1,0),0)</f>
        <v/>
      </c>
      <c r="AU201" s="3" t="n"/>
      <c r="AV201" s="3" t="n"/>
      <c r="AW201" s="3" t="n"/>
      <c r="AX201" s="3" t="n"/>
      <c r="AY201" s="3" t="n"/>
      <c r="AZ201" s="3" t="n"/>
      <c r="BA201" s="182">
        <f>IF(AD201=1,(AR201*'Historical Score'!$K$29+1-'Historical Score'!$K$29)*(AT201*'Historical Score'!$L$29+1-'Historical Score'!$L$29)*(AS201*'Historical Score'!$M$29+1-'Historical Score'!$M$29)*(AQ201*'Historical Score'!$N$29+1-'Historical Score'!$N$29),0)</f>
        <v/>
      </c>
      <c r="BB201" s="3" t="n"/>
      <c r="BC201" s="3" t="n"/>
    </row>
    <row r="202" ht="15.75" customHeight="1" s="174">
      <c r="A202" s="3" t="inlineStr">
        <is>
          <t>5674164322</t>
        </is>
      </c>
      <c r="B202" s="3" t="inlineStr">
        <is>
          <t>Fast Line Delivery</t>
        </is>
      </c>
      <c r="C202" s="3" t="inlineStr">
        <is>
          <t>Fast Line Delivery LLC</t>
        </is>
      </c>
      <c r="D202" s="3" t="inlineStr">
        <is>
          <t>Closed</t>
        </is>
      </c>
      <c r="E202" s="23" t="n">
        <v>45888</v>
      </c>
      <c r="F202" s="23" t="n">
        <v>46113</v>
      </c>
      <c r="G202" s="3" t="n">
        <v>3</v>
      </c>
      <c r="H202" s="3" t="inlineStr">
        <is>
          <t>4212</t>
        </is>
      </c>
      <c r="I202" s="3" t="inlineStr">
        <is>
          <t>42</t>
        </is>
      </c>
      <c r="J202" s="3" t="inlineStr">
        <is>
          <t>FL</t>
        </is>
      </c>
      <c r="K202" s="3" t="inlineStr">
        <is>
          <t>Diamond Bar Funding</t>
        </is>
      </c>
      <c r="L202" s="3" t="inlineStr">
        <is>
          <t>New Deal</t>
        </is>
      </c>
      <c r="M202" s="3" t="n">
        <v>1.4</v>
      </c>
      <c r="N202" s="28" t="n">
        <v>7000</v>
      </c>
      <c r="O202" s="28" t="n">
        <v>665</v>
      </c>
      <c r="P202" s="28" t="n">
        <v>9800</v>
      </c>
      <c r="Q202" s="28" t="n">
        <v>9800</v>
      </c>
      <c r="R202" s="28" t="n">
        <v>0</v>
      </c>
      <c r="S202" s="42" t="n">
        <v>1</v>
      </c>
      <c r="T202" s="3" t="n">
        <v>3.934</v>
      </c>
      <c r="U202" s="3" t="n">
        <v>40</v>
      </c>
      <c r="V202" s="3" t="n">
        <v>63028.05</v>
      </c>
      <c r="W202" s="42" t="n">
        <v>0.0272</v>
      </c>
      <c r="X202" s="23" t="n">
        <v>44673</v>
      </c>
      <c r="Y202" s="3">
        <f>IF(I202="","No SIC",IFERROR(VLOOKUP(I202,Ref!$A$2:$B$65,2,FALSE()),"Unclassified"))</f>
        <v/>
      </c>
      <c r="Z202" s="3">
        <f>IF(T202="","",IF(T202&lt;12,"Daily","Weekly"))</f>
        <v/>
      </c>
      <c r="AA202" s="3">
        <f>IF(T202="",0,IF(T202&lt;12,T202*Controls!$B$13,T202*5))</f>
        <v/>
      </c>
      <c r="AB202" s="3">
        <f>IF(E202="",0,NETWORKDAYS(E202,Controls!$B$20,Ref!$K$2:$K$42))</f>
        <v/>
      </c>
      <c r="AC202" s="3">
        <f>IF(OR(AF202=1,AND(AA202&gt;0,AB202&gt;=Controls!$B$23*AA202)),1,0)</f>
        <v/>
      </c>
      <c r="AD202" s="3">
        <f>IF(AND(E202&lt;&gt;"",E202&gt;=Controls!$B$21,E202&lt;=Controls!$B$22),1,0)</f>
        <v/>
      </c>
      <c r="AE202" s="3">
        <f>IF(IFERROR(VLOOKUP(D202,Controls!$A$36:$E$46,2,FALSE()),"No")="Yes",1,0)</f>
        <v/>
      </c>
      <c r="AF202" s="3">
        <f>IF(IFERROR(VLOOKUP(D202,Controls!$A$36:$E$46,3,FALSE()),"No")="Yes",1,0)</f>
        <v/>
      </c>
      <c r="AG202" s="3">
        <f>IF(IFERROR(VLOOKUP(D202,Controls!$A$36:$E$46,4,FALSE()),"No")="Yes",1,0)</f>
        <v/>
      </c>
      <c r="AH202" s="3">
        <f>IF(IFERROR(VLOOKUP(D202,Controls!$A$36:$E$46,5,FALSE()),"No")="Yes",1,0)</f>
        <v/>
      </c>
      <c r="AI202" s="3">
        <f>IF(ISNUMBER(MATCH(D202,Controls!$A$36:$A$46,0)),1,0)</f>
        <v/>
      </c>
      <c r="AJ202" s="28">
        <f>Q202-N202</f>
        <v/>
      </c>
      <c r="AK202" s="3">
        <f>IF(AE202=1,MAX(0,N202-Q202),0)</f>
        <v/>
      </c>
      <c r="AL202" s="3">
        <f>IF(OR(V202="",V202=0),0,N202/V202)</f>
        <v/>
      </c>
      <c r="AM202" s="3">
        <f>IF(OR(V202="",V202=0),0,1)</f>
        <v/>
      </c>
      <c r="AN202" s="3">
        <f>IF(OR(E202="",F202=""),0,NETWORKDAYS(E202,F202,Ref!$K$2:$K$42))</f>
        <v/>
      </c>
      <c r="AO202" s="3">
        <f>IF(L202="Renewal",1,0)</f>
        <v/>
      </c>
      <c r="AP202" s="3">
        <f>AC202*AD202</f>
        <v/>
      </c>
      <c r="AQ202" s="3">
        <f>IF(AND(G202&lt;&gt;"",'Historical Score'!$C$6&lt;&gt;""),IF(G202='Historical Score'!$C$6,1,0),0)</f>
        <v/>
      </c>
      <c r="AR202" s="3">
        <f>IF(AND(L202&lt;&gt;"",'Historical Score'!$C$5&lt;&gt;""),IF(L202='Historical Score'!$C$5,1,0),0)</f>
        <v/>
      </c>
      <c r="AS202" s="3">
        <f>IF(AND(Y202&lt;&gt;"",'Historical Score'!$C$7&lt;&gt;""),IF(Y202='Historical Score'!$C$7,1,0),0)</f>
        <v/>
      </c>
      <c r="AT202" s="3">
        <f>IF(AND(K202&lt;&gt;"",'Historical Score'!$C$8&lt;&gt;""),IF(K202='Historical Score'!$C$8,1,0),0)</f>
        <v/>
      </c>
      <c r="AU202" s="3" t="n"/>
      <c r="AV202" s="3" t="n"/>
      <c r="AW202" s="3" t="n"/>
      <c r="AX202" s="3" t="n"/>
      <c r="AY202" s="3" t="n"/>
      <c r="AZ202" s="3" t="n"/>
      <c r="BA202" s="182">
        <f>IF(AD202=1,(AR202*'Historical Score'!$K$29+1-'Historical Score'!$K$29)*(AT202*'Historical Score'!$L$29+1-'Historical Score'!$L$29)*(AS202*'Historical Score'!$M$29+1-'Historical Score'!$M$29)*(AQ202*'Historical Score'!$N$29+1-'Historical Score'!$N$29),0)</f>
        <v/>
      </c>
      <c r="BB202" s="3" t="n"/>
      <c r="BC202" s="3" t="n"/>
    </row>
    <row r="203" ht="15.75" customHeight="1" s="174">
      <c r="A203" s="3" t="inlineStr">
        <is>
          <t>5674164352</t>
        </is>
      </c>
      <c r="B203" s="3" t="inlineStr">
        <is>
          <t>Properties on the Go LLC</t>
        </is>
      </c>
      <c r="C203" s="3" t="inlineStr">
        <is>
          <t>Properties on the Go LLC</t>
        </is>
      </c>
      <c r="D203" s="3" t="inlineStr">
        <is>
          <t>Closed</t>
        </is>
      </c>
      <c r="E203" s="23" t="n">
        <v>45888</v>
      </c>
      <c r="F203" s="23" t="n">
        <v>45985</v>
      </c>
      <c r="G203" s="3" t="n">
        <v>1</v>
      </c>
      <c r="H203" s="3" t="inlineStr">
        <is>
          <t>8741</t>
        </is>
      </c>
      <c r="I203" s="3" t="inlineStr">
        <is>
          <t>87</t>
        </is>
      </c>
      <c r="J203" s="3" t="inlineStr">
        <is>
          <t>CA</t>
        </is>
      </c>
      <c r="K203" s="3" t="inlineStr">
        <is>
          <t>Tech Consulting Pro LLC D/B/A: Nationwide Advance</t>
        </is>
      </c>
      <c r="L203" s="3" t="inlineStr">
        <is>
          <t>New Deal</t>
        </is>
      </c>
      <c r="M203" s="3" t="n">
        <v>1.49</v>
      </c>
      <c r="N203" s="28" t="n">
        <v>30000</v>
      </c>
      <c r="O203" s="28" t="n">
        <v>4200</v>
      </c>
      <c r="P203" s="28" t="n">
        <v>44700</v>
      </c>
      <c r="Q203" s="28" t="n">
        <v>44700</v>
      </c>
      <c r="R203" s="28" t="n">
        <v>0</v>
      </c>
      <c r="S203" s="42" t="n">
        <v>1</v>
      </c>
      <c r="T203" s="3" t="n">
        <v>3.934</v>
      </c>
      <c r="U203" s="3" t="n">
        <v>0</v>
      </c>
      <c r="V203" s="3" t="n">
        <v>496879.88</v>
      </c>
      <c r="W203" s="42" t="n">
        <v>0.0157</v>
      </c>
      <c r="X203" s="23" t="n"/>
      <c r="Y203" s="3">
        <f>IF(I203="","No SIC",IFERROR(VLOOKUP(I203,Ref!$A$2:$B$65,2,FALSE()),"Unclassified"))</f>
        <v/>
      </c>
      <c r="Z203" s="3">
        <f>IF(T203="","",IF(T203&lt;12,"Daily","Weekly"))</f>
        <v/>
      </c>
      <c r="AA203" s="3">
        <f>IF(T203="",0,IF(T203&lt;12,T203*Controls!$B$13,T203*5))</f>
        <v/>
      </c>
      <c r="AB203" s="3">
        <f>IF(E203="",0,NETWORKDAYS(E203,Controls!$B$20,Ref!$K$2:$K$42))</f>
        <v/>
      </c>
      <c r="AC203" s="3">
        <f>IF(OR(AF203=1,AND(AA203&gt;0,AB203&gt;=Controls!$B$23*AA203)),1,0)</f>
        <v/>
      </c>
      <c r="AD203" s="3">
        <f>IF(AND(E203&lt;&gt;"",E203&gt;=Controls!$B$21,E203&lt;=Controls!$B$22),1,0)</f>
        <v/>
      </c>
      <c r="AE203" s="3">
        <f>IF(IFERROR(VLOOKUP(D203,Controls!$A$36:$E$46,2,FALSE()),"No")="Yes",1,0)</f>
        <v/>
      </c>
      <c r="AF203" s="3">
        <f>IF(IFERROR(VLOOKUP(D203,Controls!$A$36:$E$46,3,FALSE()),"No")="Yes",1,0)</f>
        <v/>
      </c>
      <c r="AG203" s="3">
        <f>IF(IFERROR(VLOOKUP(D203,Controls!$A$36:$E$46,4,FALSE()),"No")="Yes",1,0)</f>
        <v/>
      </c>
      <c r="AH203" s="3">
        <f>IF(IFERROR(VLOOKUP(D203,Controls!$A$36:$E$46,5,FALSE()),"No")="Yes",1,0)</f>
        <v/>
      </c>
      <c r="AI203" s="3">
        <f>IF(ISNUMBER(MATCH(D203,Controls!$A$36:$A$46,0)),1,0)</f>
        <v/>
      </c>
      <c r="AJ203" s="28">
        <f>Q203-N203</f>
        <v/>
      </c>
      <c r="AK203" s="3">
        <f>IF(AE203=1,MAX(0,N203-Q203),0)</f>
        <v/>
      </c>
      <c r="AL203" s="3">
        <f>IF(OR(V203="",V203=0),0,N203/V203)</f>
        <v/>
      </c>
      <c r="AM203" s="3">
        <f>IF(OR(V203="",V203=0),0,1)</f>
        <v/>
      </c>
      <c r="AN203" s="3">
        <f>IF(OR(E203="",F203=""),0,NETWORKDAYS(E203,F203,Ref!$K$2:$K$42))</f>
        <v/>
      </c>
      <c r="AO203" s="3">
        <f>IF(L203="Renewal",1,0)</f>
        <v/>
      </c>
      <c r="AP203" s="3">
        <f>AC203*AD203</f>
        <v/>
      </c>
      <c r="AQ203" s="3">
        <f>IF(AND(G203&lt;&gt;"",'Historical Score'!$C$6&lt;&gt;""),IF(G203='Historical Score'!$C$6,1,0),0)</f>
        <v/>
      </c>
      <c r="AR203" s="3">
        <f>IF(AND(L203&lt;&gt;"",'Historical Score'!$C$5&lt;&gt;""),IF(L203='Historical Score'!$C$5,1,0),0)</f>
        <v/>
      </c>
      <c r="AS203" s="3">
        <f>IF(AND(Y203&lt;&gt;"",'Historical Score'!$C$7&lt;&gt;""),IF(Y203='Historical Score'!$C$7,1,0),0)</f>
        <v/>
      </c>
      <c r="AT203" s="3">
        <f>IF(AND(K203&lt;&gt;"",'Historical Score'!$C$8&lt;&gt;""),IF(K203='Historical Score'!$C$8,1,0),0)</f>
        <v/>
      </c>
      <c r="AU203" s="3" t="n"/>
      <c r="AV203" s="3" t="n"/>
      <c r="AW203" s="3" t="n"/>
      <c r="AX203" s="3" t="n"/>
      <c r="AY203" s="3" t="n"/>
      <c r="AZ203" s="3" t="n"/>
      <c r="BA203" s="182">
        <f>IF(AD203=1,(AR203*'Historical Score'!$K$29+1-'Historical Score'!$K$29)*(AT203*'Historical Score'!$L$29+1-'Historical Score'!$L$29)*(AS203*'Historical Score'!$M$29+1-'Historical Score'!$M$29)*(AQ203*'Historical Score'!$N$29+1-'Historical Score'!$N$29),0)</f>
        <v/>
      </c>
      <c r="BB203" s="3" t="n"/>
      <c r="BC203" s="3" t="n"/>
    </row>
    <row r="204" ht="15.75" customHeight="1" s="174">
      <c r="A204" s="3" t="inlineStr">
        <is>
          <t>5674164385</t>
        </is>
      </c>
      <c r="B204" s="3" t="inlineStr">
        <is>
          <t>Philadelphia Academy for Nurse Aide Training</t>
        </is>
      </c>
      <c r="C204" s="3" t="inlineStr">
        <is>
          <t>PA NAT INC</t>
        </is>
      </c>
      <c r="D204" s="3" t="inlineStr">
        <is>
          <t>Legal</t>
        </is>
      </c>
      <c r="E204" s="23" t="n">
        <v>45889</v>
      </c>
      <c r="F204" s="23" t="n">
        <v>46234</v>
      </c>
      <c r="G204" s="3" t="n">
        <v>3</v>
      </c>
      <c r="H204" s="3" t="inlineStr">
        <is>
          <t>8331</t>
        </is>
      </c>
      <c r="I204" s="3" t="inlineStr">
        <is>
          <t>83</t>
        </is>
      </c>
      <c r="J204" s="3" t="inlineStr">
        <is>
          <t>PA</t>
        </is>
      </c>
      <c r="K204" s="3" t="inlineStr">
        <is>
          <t>Shore Funding USA</t>
        </is>
      </c>
      <c r="L204" s="3" t="inlineStr">
        <is>
          <t>New Deal</t>
        </is>
      </c>
      <c r="M204" s="3" t="n">
        <v>1.45</v>
      </c>
      <c r="N204" s="28" t="n">
        <v>4000</v>
      </c>
      <c r="O204" s="28" t="n">
        <v>480</v>
      </c>
      <c r="P204" s="28" t="n">
        <v>5800</v>
      </c>
      <c r="Q204" s="28" t="n">
        <v>4658.88</v>
      </c>
      <c r="R204" s="28" t="n">
        <v>1141.12</v>
      </c>
      <c r="S204" s="42" t="n">
        <v>0.803255172413793</v>
      </c>
      <c r="T204" s="3" t="n">
        <v>14</v>
      </c>
      <c r="U204" s="3" t="n">
        <v>12</v>
      </c>
      <c r="V204" s="3" t="n">
        <v>33266.53</v>
      </c>
      <c r="W204" s="42" t="n">
        <v>0.047</v>
      </c>
      <c r="X204" s="23" t="n">
        <v>42964</v>
      </c>
      <c r="Y204" s="3">
        <f>IF(I204="","No SIC",IFERROR(VLOOKUP(I204,Ref!$A$2:$B$65,2,FALSE()),"Unclassified"))</f>
        <v/>
      </c>
      <c r="Z204" s="3">
        <f>IF(T204="","",IF(T204&lt;12,"Daily","Weekly"))</f>
        <v/>
      </c>
      <c r="AA204" s="3">
        <f>IF(T204="",0,IF(T204&lt;12,T204*Controls!$B$13,T204*5))</f>
        <v/>
      </c>
      <c r="AB204" s="3">
        <f>IF(E204="",0,NETWORKDAYS(E204,Controls!$B$20,Ref!$K$2:$K$42))</f>
        <v/>
      </c>
      <c r="AC204" s="3">
        <f>IF(OR(AF204=1,AND(AA204&gt;0,AB204&gt;=Controls!$B$23*AA204)),1,0)</f>
        <v/>
      </c>
      <c r="AD204" s="3">
        <f>IF(AND(E204&lt;&gt;"",E204&gt;=Controls!$B$21,E204&lt;=Controls!$B$22),1,0)</f>
        <v/>
      </c>
      <c r="AE204" s="3">
        <f>IF(IFERROR(VLOOKUP(D204,Controls!$A$36:$E$46,2,FALSE()),"No")="Yes",1,0)</f>
        <v/>
      </c>
      <c r="AF204" s="3">
        <f>IF(IFERROR(VLOOKUP(D204,Controls!$A$36:$E$46,3,FALSE()),"No")="Yes",1,0)</f>
        <v/>
      </c>
      <c r="AG204" s="3">
        <f>IF(IFERROR(VLOOKUP(D204,Controls!$A$36:$E$46,4,FALSE()),"No")="Yes",1,0)</f>
        <v/>
      </c>
      <c r="AH204" s="3">
        <f>IF(IFERROR(VLOOKUP(D204,Controls!$A$36:$E$46,5,FALSE()),"No")="Yes",1,0)</f>
        <v/>
      </c>
      <c r="AI204" s="3">
        <f>IF(ISNUMBER(MATCH(D204,Controls!$A$36:$A$46,0)),1,0)</f>
        <v/>
      </c>
      <c r="AJ204" s="28">
        <f>Q204-N204</f>
        <v/>
      </c>
      <c r="AK204" s="3">
        <f>IF(AE204=1,MAX(0,N204-Q204),0)</f>
        <v/>
      </c>
      <c r="AL204" s="3">
        <f>IF(OR(V204="",V204=0),0,N204/V204)</f>
        <v/>
      </c>
      <c r="AM204" s="3">
        <f>IF(OR(V204="",V204=0),0,1)</f>
        <v/>
      </c>
      <c r="AN204" s="3">
        <f>IF(OR(E204="",F204=""),0,NETWORKDAYS(E204,F204,Ref!$K$2:$K$42))</f>
        <v/>
      </c>
      <c r="AO204" s="3">
        <f>IF(L204="Renewal",1,0)</f>
        <v/>
      </c>
      <c r="AP204" s="3">
        <f>AC204*AD204</f>
        <v/>
      </c>
      <c r="AQ204" s="3">
        <f>IF(AND(G204&lt;&gt;"",'Historical Score'!$C$6&lt;&gt;""),IF(G204='Historical Score'!$C$6,1,0),0)</f>
        <v/>
      </c>
      <c r="AR204" s="3">
        <f>IF(AND(L204&lt;&gt;"",'Historical Score'!$C$5&lt;&gt;""),IF(L204='Historical Score'!$C$5,1,0),0)</f>
        <v/>
      </c>
      <c r="AS204" s="3">
        <f>IF(AND(Y204&lt;&gt;"",'Historical Score'!$C$7&lt;&gt;""),IF(Y204='Historical Score'!$C$7,1,0),0)</f>
        <v/>
      </c>
      <c r="AT204" s="3">
        <f>IF(AND(K204&lt;&gt;"",'Historical Score'!$C$8&lt;&gt;""),IF(K204='Historical Score'!$C$8,1,0),0)</f>
        <v/>
      </c>
      <c r="AU204" s="3" t="n"/>
      <c r="AV204" s="3" t="n"/>
      <c r="AW204" s="3" t="n"/>
      <c r="AX204" s="3" t="n"/>
      <c r="AY204" s="3" t="n"/>
      <c r="AZ204" s="3" t="n"/>
      <c r="BA204" s="182">
        <f>IF(AD204=1,(AR204*'Historical Score'!$K$29+1-'Historical Score'!$K$29)*(AT204*'Historical Score'!$L$29+1-'Historical Score'!$L$29)*(AS204*'Historical Score'!$M$29+1-'Historical Score'!$M$29)*(AQ204*'Historical Score'!$N$29+1-'Historical Score'!$N$29),0)</f>
        <v/>
      </c>
      <c r="BB204" s="3" t="n"/>
      <c r="BC204" s="3" t="n"/>
    </row>
    <row r="205" ht="15.75" customHeight="1" s="174">
      <c r="A205" s="3" t="inlineStr">
        <is>
          <t>5674164388</t>
        </is>
      </c>
      <c r="B205" s="3" t="inlineStr">
        <is>
          <t>BOUNCIN LIL' RASCALS</t>
        </is>
      </c>
      <c r="C205" s="3" t="inlineStr">
        <is>
          <t>KARLY MARGARET SCOTT</t>
        </is>
      </c>
      <c r="D205" s="3" t="inlineStr">
        <is>
          <t>Closed</t>
        </is>
      </c>
      <c r="E205" s="23" t="n">
        <v>45889</v>
      </c>
      <c r="F205" s="23" t="n">
        <v>46120</v>
      </c>
      <c r="G205" s="3" t="n">
        <v>2</v>
      </c>
      <c r="H205" s="3" t="inlineStr">
        <is>
          <t>7999</t>
        </is>
      </c>
      <c r="I205" s="3" t="inlineStr">
        <is>
          <t>79</t>
        </is>
      </c>
      <c r="J205" s="3" t="inlineStr">
        <is>
          <t>TX</t>
        </is>
      </c>
      <c r="K205" s="3" t="inlineStr">
        <is>
          <t>Fidelity Funding</t>
        </is>
      </c>
      <c r="L205" s="3" t="inlineStr">
        <is>
          <t>New Deal</t>
        </is>
      </c>
      <c r="M205" s="3" t="n">
        <v>1.49</v>
      </c>
      <c r="N205" s="28" t="n">
        <v>25000</v>
      </c>
      <c r="O205" s="28" t="n">
        <v>3500</v>
      </c>
      <c r="P205" s="28" t="n">
        <v>37250</v>
      </c>
      <c r="Q205" s="28" t="n">
        <v>37250</v>
      </c>
      <c r="R205" s="28" t="n">
        <v>0</v>
      </c>
      <c r="S205" s="42" t="n">
        <v>1</v>
      </c>
      <c r="T205" s="3" t="n">
        <v>32</v>
      </c>
      <c r="U205" s="3" t="n">
        <v>0</v>
      </c>
      <c r="V205" s="3" t="n">
        <v>39684.84</v>
      </c>
      <c r="W205" s="42" t="n">
        <v>0.1173</v>
      </c>
      <c r="X205" s="23" t="n"/>
      <c r="Y205" s="3">
        <f>IF(I205="","No SIC",IFERROR(VLOOKUP(I205,Ref!$A$2:$B$65,2,FALSE()),"Unclassified"))</f>
        <v/>
      </c>
      <c r="Z205" s="3">
        <f>IF(T205="","",IF(T205&lt;12,"Daily","Weekly"))</f>
        <v/>
      </c>
      <c r="AA205" s="3">
        <f>IF(T205="",0,IF(T205&lt;12,T205*Controls!$B$13,T205*5))</f>
        <v/>
      </c>
      <c r="AB205" s="3">
        <f>IF(E205="",0,NETWORKDAYS(E205,Controls!$B$20,Ref!$K$2:$K$42))</f>
        <v/>
      </c>
      <c r="AC205" s="3">
        <f>IF(OR(AF205=1,AND(AA205&gt;0,AB205&gt;=Controls!$B$23*AA205)),1,0)</f>
        <v/>
      </c>
      <c r="AD205" s="3">
        <f>IF(AND(E205&lt;&gt;"",E205&gt;=Controls!$B$21,E205&lt;=Controls!$B$22),1,0)</f>
        <v/>
      </c>
      <c r="AE205" s="3">
        <f>IF(IFERROR(VLOOKUP(D205,Controls!$A$36:$E$46,2,FALSE()),"No")="Yes",1,0)</f>
        <v/>
      </c>
      <c r="AF205" s="3">
        <f>IF(IFERROR(VLOOKUP(D205,Controls!$A$36:$E$46,3,FALSE()),"No")="Yes",1,0)</f>
        <v/>
      </c>
      <c r="AG205" s="3">
        <f>IF(IFERROR(VLOOKUP(D205,Controls!$A$36:$E$46,4,FALSE()),"No")="Yes",1,0)</f>
        <v/>
      </c>
      <c r="AH205" s="3">
        <f>IF(IFERROR(VLOOKUP(D205,Controls!$A$36:$E$46,5,FALSE()),"No")="Yes",1,0)</f>
        <v/>
      </c>
      <c r="AI205" s="3">
        <f>IF(ISNUMBER(MATCH(D205,Controls!$A$36:$A$46,0)),1,0)</f>
        <v/>
      </c>
      <c r="AJ205" s="28">
        <f>Q205-N205</f>
        <v/>
      </c>
      <c r="AK205" s="3">
        <f>IF(AE205=1,MAX(0,N205-Q205),0)</f>
        <v/>
      </c>
      <c r="AL205" s="3">
        <f>IF(OR(V205="",V205=0),0,N205/V205)</f>
        <v/>
      </c>
      <c r="AM205" s="3">
        <f>IF(OR(V205="",V205=0),0,1)</f>
        <v/>
      </c>
      <c r="AN205" s="3">
        <f>IF(OR(E205="",F205=""),0,NETWORKDAYS(E205,F205,Ref!$K$2:$K$42))</f>
        <v/>
      </c>
      <c r="AO205" s="3">
        <f>IF(L205="Renewal",1,0)</f>
        <v/>
      </c>
      <c r="AP205" s="3">
        <f>AC205*AD205</f>
        <v/>
      </c>
      <c r="AQ205" s="3">
        <f>IF(AND(G205&lt;&gt;"",'Historical Score'!$C$6&lt;&gt;""),IF(G205='Historical Score'!$C$6,1,0),0)</f>
        <v/>
      </c>
      <c r="AR205" s="3">
        <f>IF(AND(L205&lt;&gt;"",'Historical Score'!$C$5&lt;&gt;""),IF(L205='Historical Score'!$C$5,1,0),0)</f>
        <v/>
      </c>
      <c r="AS205" s="3">
        <f>IF(AND(Y205&lt;&gt;"",'Historical Score'!$C$7&lt;&gt;""),IF(Y205='Historical Score'!$C$7,1,0),0)</f>
        <v/>
      </c>
      <c r="AT205" s="3">
        <f>IF(AND(K205&lt;&gt;"",'Historical Score'!$C$8&lt;&gt;""),IF(K205='Historical Score'!$C$8,1,0),0)</f>
        <v/>
      </c>
      <c r="AU205" s="3" t="n"/>
      <c r="AV205" s="3" t="n"/>
      <c r="AW205" s="3" t="n"/>
      <c r="AX205" s="3" t="n"/>
      <c r="AY205" s="3" t="n"/>
      <c r="AZ205" s="3" t="n"/>
      <c r="BA205" s="182">
        <f>IF(AD205=1,(AR205*'Historical Score'!$K$29+1-'Historical Score'!$K$29)*(AT205*'Historical Score'!$L$29+1-'Historical Score'!$L$29)*(AS205*'Historical Score'!$M$29+1-'Historical Score'!$M$29)*(AQ205*'Historical Score'!$N$29+1-'Historical Score'!$N$29),0)</f>
        <v/>
      </c>
      <c r="BB205" s="3" t="n"/>
      <c r="BC205" s="3" t="n"/>
    </row>
    <row r="206" ht="15.75" customHeight="1" s="174">
      <c r="A206" s="3" t="inlineStr">
        <is>
          <t>5674164443</t>
        </is>
      </c>
      <c r="B206" s="3" t="inlineStr">
        <is>
          <t>The Head Spa Sanctuary</t>
        </is>
      </c>
      <c r="C206" s="3" t="inlineStr">
        <is>
          <t>The Head Spa Sanctuary</t>
        </is>
      </c>
      <c r="D206" s="3" t="inlineStr">
        <is>
          <t>Closed</t>
        </is>
      </c>
      <c r="E206" s="23" t="n">
        <v>45889</v>
      </c>
      <c r="F206" s="23" t="n">
        <v>46191</v>
      </c>
      <c r="G206" s="3" t="n">
        <v>4</v>
      </c>
      <c r="H206" s="3" t="inlineStr">
        <is>
          <t>7299</t>
        </is>
      </c>
      <c r="I206" s="3" t="inlineStr">
        <is>
          <t>72</t>
        </is>
      </c>
      <c r="J206" s="3" t="inlineStr">
        <is>
          <t>NC</t>
        </is>
      </c>
      <c r="K206" s="3" t="inlineStr">
        <is>
          <t>Tech Consulting Pro LLC D/B/A: Nationwide Advance</t>
        </is>
      </c>
      <c r="L206" s="3" t="inlineStr">
        <is>
          <t>New Deal</t>
        </is>
      </c>
      <c r="M206" s="3" t="n">
        <v>1.49</v>
      </c>
      <c r="N206" s="28" t="n">
        <v>30000</v>
      </c>
      <c r="O206" s="28" t="n">
        <v>4200</v>
      </c>
      <c r="P206" s="28" t="n">
        <v>44700</v>
      </c>
      <c r="Q206" s="28" t="n">
        <v>44700</v>
      </c>
      <c r="R206" s="28" t="n">
        <v>0</v>
      </c>
      <c r="S206" s="42" t="n">
        <v>1</v>
      </c>
      <c r="T206" s="3" t="n">
        <v>26</v>
      </c>
      <c r="U206" s="3" t="n">
        <v>0</v>
      </c>
      <c r="V206" s="3" t="n">
        <v>417627.88</v>
      </c>
      <c r="W206" s="42" t="n">
        <v>0.0165</v>
      </c>
      <c r="X206" s="23" t="n"/>
      <c r="Y206" s="3">
        <f>IF(I206="","No SIC",IFERROR(VLOOKUP(I206,Ref!$A$2:$B$65,2,FALSE()),"Unclassified"))</f>
        <v/>
      </c>
      <c r="Z206" s="3">
        <f>IF(T206="","",IF(T206&lt;12,"Daily","Weekly"))</f>
        <v/>
      </c>
      <c r="AA206" s="3">
        <f>IF(T206="",0,IF(T206&lt;12,T206*Controls!$B$13,T206*5))</f>
        <v/>
      </c>
      <c r="AB206" s="3">
        <f>IF(E206="",0,NETWORKDAYS(E206,Controls!$B$20,Ref!$K$2:$K$42))</f>
        <v/>
      </c>
      <c r="AC206" s="3">
        <f>IF(OR(AF206=1,AND(AA206&gt;0,AB206&gt;=Controls!$B$23*AA206)),1,0)</f>
        <v/>
      </c>
      <c r="AD206" s="3">
        <f>IF(AND(E206&lt;&gt;"",E206&gt;=Controls!$B$21,E206&lt;=Controls!$B$22),1,0)</f>
        <v/>
      </c>
      <c r="AE206" s="3">
        <f>IF(IFERROR(VLOOKUP(D206,Controls!$A$36:$E$46,2,FALSE()),"No")="Yes",1,0)</f>
        <v/>
      </c>
      <c r="AF206" s="3">
        <f>IF(IFERROR(VLOOKUP(D206,Controls!$A$36:$E$46,3,FALSE()),"No")="Yes",1,0)</f>
        <v/>
      </c>
      <c r="AG206" s="3">
        <f>IF(IFERROR(VLOOKUP(D206,Controls!$A$36:$E$46,4,FALSE()),"No")="Yes",1,0)</f>
        <v/>
      </c>
      <c r="AH206" s="3">
        <f>IF(IFERROR(VLOOKUP(D206,Controls!$A$36:$E$46,5,FALSE()),"No")="Yes",1,0)</f>
        <v/>
      </c>
      <c r="AI206" s="3">
        <f>IF(ISNUMBER(MATCH(D206,Controls!$A$36:$A$46,0)),1,0)</f>
        <v/>
      </c>
      <c r="AJ206" s="28">
        <f>Q206-N206</f>
        <v/>
      </c>
      <c r="AK206" s="3">
        <f>IF(AE206=1,MAX(0,N206-Q206),0)</f>
        <v/>
      </c>
      <c r="AL206" s="3">
        <f>IF(OR(V206="",V206=0),0,N206/V206)</f>
        <v/>
      </c>
      <c r="AM206" s="3">
        <f>IF(OR(V206="",V206=0),0,1)</f>
        <v/>
      </c>
      <c r="AN206" s="3">
        <f>IF(OR(E206="",F206=""),0,NETWORKDAYS(E206,F206,Ref!$K$2:$K$42))</f>
        <v/>
      </c>
      <c r="AO206" s="3">
        <f>IF(L206="Renewal",1,0)</f>
        <v/>
      </c>
      <c r="AP206" s="3">
        <f>AC206*AD206</f>
        <v/>
      </c>
      <c r="AQ206" s="3">
        <f>IF(AND(G206&lt;&gt;"",'Historical Score'!$C$6&lt;&gt;""),IF(G206='Historical Score'!$C$6,1,0),0)</f>
        <v/>
      </c>
      <c r="AR206" s="3">
        <f>IF(AND(L206&lt;&gt;"",'Historical Score'!$C$5&lt;&gt;""),IF(L206='Historical Score'!$C$5,1,0),0)</f>
        <v/>
      </c>
      <c r="AS206" s="3">
        <f>IF(AND(Y206&lt;&gt;"",'Historical Score'!$C$7&lt;&gt;""),IF(Y206='Historical Score'!$C$7,1,0),0)</f>
        <v/>
      </c>
      <c r="AT206" s="3">
        <f>IF(AND(K206&lt;&gt;"",'Historical Score'!$C$8&lt;&gt;""),IF(K206='Historical Score'!$C$8,1,0),0)</f>
        <v/>
      </c>
      <c r="AU206" s="3" t="n"/>
      <c r="AV206" s="3" t="n"/>
      <c r="AW206" s="3" t="n"/>
      <c r="AX206" s="3" t="n"/>
      <c r="AY206" s="3" t="n"/>
      <c r="AZ206" s="3" t="n"/>
      <c r="BA206" s="182">
        <f>IF(AD206=1,(AR206*'Historical Score'!$K$29+1-'Historical Score'!$K$29)*(AT206*'Historical Score'!$L$29+1-'Historical Score'!$L$29)*(AS206*'Historical Score'!$M$29+1-'Historical Score'!$M$29)*(AQ206*'Historical Score'!$N$29+1-'Historical Score'!$N$29),0)</f>
        <v/>
      </c>
      <c r="BB206" s="3" t="n"/>
      <c r="BC206" s="3" t="n"/>
    </row>
    <row r="207" ht="15.75" customHeight="1" s="174">
      <c r="A207" s="3" t="inlineStr">
        <is>
          <t>5674164518</t>
        </is>
      </c>
      <c r="B207" s="3" t="inlineStr">
        <is>
          <t>REDLINE FORESTRY MULCHING LLC</t>
        </is>
      </c>
      <c r="C207" s="3" t="inlineStr">
        <is>
          <t>REDLINE FORESTRY MULCHING LLC</t>
        </is>
      </c>
      <c r="D207" s="3" t="inlineStr">
        <is>
          <t>Closed</t>
        </is>
      </c>
      <c r="E207" s="23" t="n">
        <v>45890</v>
      </c>
      <c r="F207" s="23" t="n">
        <v>45939</v>
      </c>
      <c r="G207" s="3" t="n">
        <v>3</v>
      </c>
      <c r="H207" s="3" t="inlineStr">
        <is>
          <t>0781</t>
        </is>
      </c>
      <c r="I207" s="3" t="inlineStr">
        <is>
          <t>07</t>
        </is>
      </c>
      <c r="J207" s="3" t="inlineStr">
        <is>
          <t>NC</t>
        </is>
      </c>
      <c r="K207" s="3" t="inlineStr">
        <is>
          <t>United Secured Capital 8</t>
        </is>
      </c>
      <c r="L207" s="3" t="inlineStr">
        <is>
          <t>New Deal</t>
        </is>
      </c>
      <c r="M207" s="3" t="n">
        <v>1.499</v>
      </c>
      <c r="N207" s="28" t="n">
        <v>10000</v>
      </c>
      <c r="O207" s="28" t="n">
        <v>1400</v>
      </c>
      <c r="P207" s="28" t="n">
        <v>14990</v>
      </c>
      <c r="Q207" s="28" t="n">
        <v>14990</v>
      </c>
      <c r="R207" s="28" t="n">
        <v>1.81898940354586e-12</v>
      </c>
      <c r="S207" s="42" t="n">
        <v>1</v>
      </c>
      <c r="T207" s="3" t="n">
        <v>2.295</v>
      </c>
      <c r="U207" s="3" t="n">
        <v>0</v>
      </c>
      <c r="V207" s="3" t="n">
        <v>27587.37</v>
      </c>
      <c r="W207" s="42" t="n">
        <v>0.162</v>
      </c>
      <c r="X207" s="23" t="n"/>
      <c r="Y207" s="3">
        <f>IF(I207="","No SIC",IFERROR(VLOOKUP(I207,Ref!$A$2:$B$65,2,FALSE()),"Unclassified"))</f>
        <v/>
      </c>
      <c r="Z207" s="3">
        <f>IF(T207="","",IF(T207&lt;12,"Daily","Weekly"))</f>
        <v/>
      </c>
      <c r="AA207" s="3">
        <f>IF(T207="",0,IF(T207&lt;12,T207*Controls!$B$13,T207*5))</f>
        <v/>
      </c>
      <c r="AB207" s="3">
        <f>IF(E207="",0,NETWORKDAYS(E207,Controls!$B$20,Ref!$K$2:$K$42))</f>
        <v/>
      </c>
      <c r="AC207" s="3">
        <f>IF(OR(AF207=1,AND(AA207&gt;0,AB207&gt;=Controls!$B$23*AA207)),1,0)</f>
        <v/>
      </c>
      <c r="AD207" s="3">
        <f>IF(AND(E207&lt;&gt;"",E207&gt;=Controls!$B$21,E207&lt;=Controls!$B$22),1,0)</f>
        <v/>
      </c>
      <c r="AE207" s="3">
        <f>IF(IFERROR(VLOOKUP(D207,Controls!$A$36:$E$46,2,FALSE()),"No")="Yes",1,0)</f>
        <v/>
      </c>
      <c r="AF207" s="3">
        <f>IF(IFERROR(VLOOKUP(D207,Controls!$A$36:$E$46,3,FALSE()),"No")="Yes",1,0)</f>
        <v/>
      </c>
      <c r="AG207" s="3">
        <f>IF(IFERROR(VLOOKUP(D207,Controls!$A$36:$E$46,4,FALSE()),"No")="Yes",1,0)</f>
        <v/>
      </c>
      <c r="AH207" s="3">
        <f>IF(IFERROR(VLOOKUP(D207,Controls!$A$36:$E$46,5,FALSE()),"No")="Yes",1,0)</f>
        <v/>
      </c>
      <c r="AI207" s="3">
        <f>IF(ISNUMBER(MATCH(D207,Controls!$A$36:$A$46,0)),1,0)</f>
        <v/>
      </c>
      <c r="AJ207" s="28">
        <f>Q207-N207</f>
        <v/>
      </c>
      <c r="AK207" s="3">
        <f>IF(AE207=1,MAX(0,N207-Q207),0)</f>
        <v/>
      </c>
      <c r="AL207" s="3">
        <f>IF(OR(V207="",V207=0),0,N207/V207)</f>
        <v/>
      </c>
      <c r="AM207" s="3">
        <f>IF(OR(V207="",V207=0),0,1)</f>
        <v/>
      </c>
      <c r="AN207" s="3">
        <f>IF(OR(E207="",F207=""),0,NETWORKDAYS(E207,F207,Ref!$K$2:$K$42))</f>
        <v/>
      </c>
      <c r="AO207" s="3">
        <f>IF(L207="Renewal",1,0)</f>
        <v/>
      </c>
      <c r="AP207" s="3">
        <f>AC207*AD207</f>
        <v/>
      </c>
      <c r="AQ207" s="3">
        <f>IF(AND(G207&lt;&gt;"",'Historical Score'!$C$6&lt;&gt;""),IF(G207='Historical Score'!$C$6,1,0),0)</f>
        <v/>
      </c>
      <c r="AR207" s="3">
        <f>IF(AND(L207&lt;&gt;"",'Historical Score'!$C$5&lt;&gt;""),IF(L207='Historical Score'!$C$5,1,0),0)</f>
        <v/>
      </c>
      <c r="AS207" s="3">
        <f>IF(AND(Y207&lt;&gt;"",'Historical Score'!$C$7&lt;&gt;""),IF(Y207='Historical Score'!$C$7,1,0),0)</f>
        <v/>
      </c>
      <c r="AT207" s="3">
        <f>IF(AND(K207&lt;&gt;"",'Historical Score'!$C$8&lt;&gt;""),IF(K207='Historical Score'!$C$8,1,0),0)</f>
        <v/>
      </c>
      <c r="AU207" s="3" t="n"/>
      <c r="AV207" s="3" t="n"/>
      <c r="AW207" s="3" t="n"/>
      <c r="AX207" s="3" t="n"/>
      <c r="AY207" s="3" t="n"/>
      <c r="AZ207" s="3" t="n"/>
      <c r="BA207" s="182">
        <f>IF(AD207=1,(AR207*'Historical Score'!$K$29+1-'Historical Score'!$K$29)*(AT207*'Historical Score'!$L$29+1-'Historical Score'!$L$29)*(AS207*'Historical Score'!$M$29+1-'Historical Score'!$M$29)*(AQ207*'Historical Score'!$N$29+1-'Historical Score'!$N$29),0)</f>
        <v/>
      </c>
      <c r="BB207" s="3" t="n"/>
      <c r="BC207" s="3" t="n"/>
    </row>
    <row r="208" ht="15.75" customHeight="1" s="174">
      <c r="A208" s="3" t="inlineStr">
        <is>
          <t>5674164557</t>
        </is>
      </c>
      <c r="B208" s="3" t="inlineStr">
        <is>
          <t>Energy Curve Technologies</t>
        </is>
      </c>
      <c r="C208" s="3" t="inlineStr">
        <is>
          <t>ENERGY CURVE TECHNOLOGIES LLC</t>
        </is>
      </c>
      <c r="D208" s="3" t="inlineStr">
        <is>
          <t>Closed</t>
        </is>
      </c>
      <c r="E208" s="23" t="n">
        <v>45890</v>
      </c>
      <c r="F208" s="23" t="n">
        <v>46051</v>
      </c>
      <c r="G208" s="3" t="n">
        <v>1</v>
      </c>
      <c r="H208" s="3" t="inlineStr">
        <is>
          <t>5191</t>
        </is>
      </c>
      <c r="I208" s="3" t="inlineStr">
        <is>
          <t>51</t>
        </is>
      </c>
      <c r="J208" s="3" t="inlineStr">
        <is>
          <t>MO</t>
        </is>
      </c>
      <c r="K208" s="3" t="inlineStr">
        <is>
          <t>Vanguard Equities</t>
        </is>
      </c>
      <c r="L208" s="3" t="inlineStr">
        <is>
          <t>New Deal</t>
        </is>
      </c>
      <c r="M208" s="3" t="n">
        <v>1.49</v>
      </c>
      <c r="N208" s="28" t="n">
        <v>22000</v>
      </c>
      <c r="O208" s="28" t="n">
        <v>3080</v>
      </c>
      <c r="P208" s="28" t="n">
        <v>32780</v>
      </c>
      <c r="Q208" s="28" t="n">
        <v>32780</v>
      </c>
      <c r="R208" s="28" t="n">
        <v>0</v>
      </c>
      <c r="S208" s="42" t="n">
        <v>1</v>
      </c>
      <c r="T208" s="3" t="n">
        <v>3.279</v>
      </c>
      <c r="U208" s="3" t="n">
        <v>9</v>
      </c>
      <c r="V208" s="3" t="n">
        <v>70400.13</v>
      </c>
      <c r="W208" s="42" t="n">
        <v>0.0978</v>
      </c>
      <c r="X208" s="23" t="n"/>
      <c r="Y208" s="3">
        <f>IF(I208="","No SIC",IFERROR(VLOOKUP(I208,Ref!$A$2:$B$65,2,FALSE()),"Unclassified"))</f>
        <v/>
      </c>
      <c r="Z208" s="3">
        <f>IF(T208="","",IF(T208&lt;12,"Daily","Weekly"))</f>
        <v/>
      </c>
      <c r="AA208" s="3">
        <f>IF(T208="",0,IF(T208&lt;12,T208*Controls!$B$13,T208*5))</f>
        <v/>
      </c>
      <c r="AB208" s="3">
        <f>IF(E208="",0,NETWORKDAYS(E208,Controls!$B$20,Ref!$K$2:$K$42))</f>
        <v/>
      </c>
      <c r="AC208" s="3">
        <f>IF(OR(AF208=1,AND(AA208&gt;0,AB208&gt;=Controls!$B$23*AA208)),1,0)</f>
        <v/>
      </c>
      <c r="AD208" s="3">
        <f>IF(AND(E208&lt;&gt;"",E208&gt;=Controls!$B$21,E208&lt;=Controls!$B$22),1,0)</f>
        <v/>
      </c>
      <c r="AE208" s="3">
        <f>IF(IFERROR(VLOOKUP(D208,Controls!$A$36:$E$46,2,FALSE()),"No")="Yes",1,0)</f>
        <v/>
      </c>
      <c r="AF208" s="3">
        <f>IF(IFERROR(VLOOKUP(D208,Controls!$A$36:$E$46,3,FALSE()),"No")="Yes",1,0)</f>
        <v/>
      </c>
      <c r="AG208" s="3">
        <f>IF(IFERROR(VLOOKUP(D208,Controls!$A$36:$E$46,4,FALSE()),"No")="Yes",1,0)</f>
        <v/>
      </c>
      <c r="AH208" s="3">
        <f>IF(IFERROR(VLOOKUP(D208,Controls!$A$36:$E$46,5,FALSE()),"No")="Yes",1,0)</f>
        <v/>
      </c>
      <c r="AI208" s="3">
        <f>IF(ISNUMBER(MATCH(D208,Controls!$A$36:$A$46,0)),1,0)</f>
        <v/>
      </c>
      <c r="AJ208" s="28">
        <f>Q208-N208</f>
        <v/>
      </c>
      <c r="AK208" s="3">
        <f>IF(AE208=1,MAX(0,N208-Q208),0)</f>
        <v/>
      </c>
      <c r="AL208" s="3">
        <f>IF(OR(V208="",V208=0),0,N208/V208)</f>
        <v/>
      </c>
      <c r="AM208" s="3">
        <f>IF(OR(V208="",V208=0),0,1)</f>
        <v/>
      </c>
      <c r="AN208" s="3">
        <f>IF(OR(E208="",F208=""),0,NETWORKDAYS(E208,F208,Ref!$K$2:$K$42))</f>
        <v/>
      </c>
      <c r="AO208" s="3">
        <f>IF(L208="Renewal",1,0)</f>
        <v/>
      </c>
      <c r="AP208" s="3">
        <f>AC208*AD208</f>
        <v/>
      </c>
      <c r="AQ208" s="3">
        <f>IF(AND(G208&lt;&gt;"",'Historical Score'!$C$6&lt;&gt;""),IF(G208='Historical Score'!$C$6,1,0),0)</f>
        <v/>
      </c>
      <c r="AR208" s="3">
        <f>IF(AND(L208&lt;&gt;"",'Historical Score'!$C$5&lt;&gt;""),IF(L208='Historical Score'!$C$5,1,0),0)</f>
        <v/>
      </c>
      <c r="AS208" s="3">
        <f>IF(AND(Y208&lt;&gt;"",'Historical Score'!$C$7&lt;&gt;""),IF(Y208='Historical Score'!$C$7,1,0),0)</f>
        <v/>
      </c>
      <c r="AT208" s="3">
        <f>IF(AND(K208&lt;&gt;"",'Historical Score'!$C$8&lt;&gt;""),IF(K208='Historical Score'!$C$8,1,0),0)</f>
        <v/>
      </c>
      <c r="AU208" s="3" t="n"/>
      <c r="AV208" s="3" t="n"/>
      <c r="AW208" s="3" t="n"/>
      <c r="AX208" s="3" t="n"/>
      <c r="AY208" s="3" t="n"/>
      <c r="AZ208" s="3" t="n"/>
      <c r="BA208" s="182">
        <f>IF(AD208=1,(AR208*'Historical Score'!$K$29+1-'Historical Score'!$K$29)*(AT208*'Historical Score'!$L$29+1-'Historical Score'!$L$29)*(AS208*'Historical Score'!$M$29+1-'Historical Score'!$M$29)*(AQ208*'Historical Score'!$N$29+1-'Historical Score'!$N$29),0)</f>
        <v/>
      </c>
      <c r="BB208" s="3" t="n"/>
      <c r="BC208" s="3" t="n"/>
    </row>
    <row r="209" ht="15.75" customHeight="1" s="174">
      <c r="A209" s="3" t="inlineStr">
        <is>
          <t>5674164561</t>
        </is>
      </c>
      <c r="B209" s="3" t="inlineStr">
        <is>
          <t>OL SKOOL TRUCKING</t>
        </is>
      </c>
      <c r="C209" s="3" t="inlineStr">
        <is>
          <t>OL SKOOL TRUCKING INC</t>
        </is>
      </c>
      <c r="D209" s="3" t="inlineStr">
        <is>
          <t>Closed</t>
        </is>
      </c>
      <c r="E209" s="23" t="n">
        <v>45890</v>
      </c>
      <c r="F209" s="23" t="n">
        <v>46132</v>
      </c>
      <c r="G209" s="3" t="n">
        <v>1</v>
      </c>
      <c r="H209" s="3" t="inlineStr">
        <is>
          <t>4212</t>
        </is>
      </c>
      <c r="I209" s="3" t="inlineStr">
        <is>
          <t>42</t>
        </is>
      </c>
      <c r="J209" s="3" t="inlineStr">
        <is>
          <t>UT</t>
        </is>
      </c>
      <c r="K209" s="3" t="inlineStr">
        <is>
          <t>United Secured Capital 8</t>
        </is>
      </c>
      <c r="L209" s="3" t="inlineStr">
        <is>
          <t>Renewal</t>
        </is>
      </c>
      <c r="M209" s="3" t="n">
        <v>1.49</v>
      </c>
      <c r="N209" s="28" t="n">
        <v>40000</v>
      </c>
      <c r="O209" s="28" t="n">
        <v>5600</v>
      </c>
      <c r="P209" s="28" t="n">
        <v>59600</v>
      </c>
      <c r="Q209" s="28" t="n">
        <v>59600</v>
      </c>
      <c r="R209" s="28" t="n">
        <v>0</v>
      </c>
      <c r="S209" s="42" t="n">
        <v>1</v>
      </c>
      <c r="T209" s="3" t="n">
        <v>22</v>
      </c>
      <c r="U209" s="3" t="n">
        <v>0</v>
      </c>
      <c r="V209" s="3" t="n">
        <v>110307.25</v>
      </c>
      <c r="W209" s="42" t="n">
        <v>0.1067</v>
      </c>
      <c r="X209" s="23" t="n">
        <v>40861</v>
      </c>
      <c r="Y209" s="3">
        <f>IF(I209="","No SIC",IFERROR(VLOOKUP(I209,Ref!$A$2:$B$65,2,FALSE()),"Unclassified"))</f>
        <v/>
      </c>
      <c r="Z209" s="3">
        <f>IF(T209="","",IF(T209&lt;12,"Daily","Weekly"))</f>
        <v/>
      </c>
      <c r="AA209" s="3">
        <f>IF(T209="",0,IF(T209&lt;12,T209*Controls!$B$13,T209*5))</f>
        <v/>
      </c>
      <c r="AB209" s="3">
        <f>IF(E209="",0,NETWORKDAYS(E209,Controls!$B$20,Ref!$K$2:$K$42))</f>
        <v/>
      </c>
      <c r="AC209" s="3">
        <f>IF(OR(AF209=1,AND(AA209&gt;0,AB209&gt;=Controls!$B$23*AA209)),1,0)</f>
        <v/>
      </c>
      <c r="AD209" s="3">
        <f>IF(AND(E209&lt;&gt;"",E209&gt;=Controls!$B$21,E209&lt;=Controls!$B$22),1,0)</f>
        <v/>
      </c>
      <c r="AE209" s="3">
        <f>IF(IFERROR(VLOOKUP(D209,Controls!$A$36:$E$46,2,FALSE()),"No")="Yes",1,0)</f>
        <v/>
      </c>
      <c r="AF209" s="3">
        <f>IF(IFERROR(VLOOKUP(D209,Controls!$A$36:$E$46,3,FALSE()),"No")="Yes",1,0)</f>
        <v/>
      </c>
      <c r="AG209" s="3">
        <f>IF(IFERROR(VLOOKUP(D209,Controls!$A$36:$E$46,4,FALSE()),"No")="Yes",1,0)</f>
        <v/>
      </c>
      <c r="AH209" s="3">
        <f>IF(IFERROR(VLOOKUP(D209,Controls!$A$36:$E$46,5,FALSE()),"No")="Yes",1,0)</f>
        <v/>
      </c>
      <c r="AI209" s="3">
        <f>IF(ISNUMBER(MATCH(D209,Controls!$A$36:$A$46,0)),1,0)</f>
        <v/>
      </c>
      <c r="AJ209" s="28">
        <f>Q209-N209</f>
        <v/>
      </c>
      <c r="AK209" s="3">
        <f>IF(AE209=1,MAX(0,N209-Q209),0)</f>
        <v/>
      </c>
      <c r="AL209" s="3">
        <f>IF(OR(V209="",V209=0),0,N209/V209)</f>
        <v/>
      </c>
      <c r="AM209" s="3">
        <f>IF(OR(V209="",V209=0),0,1)</f>
        <v/>
      </c>
      <c r="AN209" s="3">
        <f>IF(OR(E209="",F209=""),0,NETWORKDAYS(E209,F209,Ref!$K$2:$K$42))</f>
        <v/>
      </c>
      <c r="AO209" s="3">
        <f>IF(L209="Renewal",1,0)</f>
        <v/>
      </c>
      <c r="AP209" s="3">
        <f>AC209*AD209</f>
        <v/>
      </c>
      <c r="AQ209" s="3">
        <f>IF(AND(G209&lt;&gt;"",'Historical Score'!$C$6&lt;&gt;""),IF(G209='Historical Score'!$C$6,1,0),0)</f>
        <v/>
      </c>
      <c r="AR209" s="3">
        <f>IF(AND(L209&lt;&gt;"",'Historical Score'!$C$5&lt;&gt;""),IF(L209='Historical Score'!$C$5,1,0),0)</f>
        <v/>
      </c>
      <c r="AS209" s="3">
        <f>IF(AND(Y209&lt;&gt;"",'Historical Score'!$C$7&lt;&gt;""),IF(Y209='Historical Score'!$C$7,1,0),0)</f>
        <v/>
      </c>
      <c r="AT209" s="3">
        <f>IF(AND(K209&lt;&gt;"",'Historical Score'!$C$8&lt;&gt;""),IF(K209='Historical Score'!$C$8,1,0),0)</f>
        <v/>
      </c>
      <c r="AU209" s="3" t="n"/>
      <c r="AV209" s="3" t="n"/>
      <c r="AW209" s="3" t="n"/>
      <c r="AX209" s="3" t="n"/>
      <c r="AY209" s="3" t="n"/>
      <c r="AZ209" s="3" t="n"/>
      <c r="BA209" s="182">
        <f>IF(AD209=1,(AR209*'Historical Score'!$K$29+1-'Historical Score'!$K$29)*(AT209*'Historical Score'!$L$29+1-'Historical Score'!$L$29)*(AS209*'Historical Score'!$M$29+1-'Historical Score'!$M$29)*(AQ209*'Historical Score'!$N$29+1-'Historical Score'!$N$29),0)</f>
        <v/>
      </c>
      <c r="BB209" s="3" t="n"/>
      <c r="BC209" s="3" t="n"/>
    </row>
    <row r="210" ht="15.75" customHeight="1" s="174">
      <c r="A210" s="3" t="inlineStr">
        <is>
          <t>5674164599</t>
        </is>
      </c>
      <c r="B210" s="3" t="inlineStr">
        <is>
          <t>KNGDM Sports Performance</t>
        </is>
      </c>
      <c r="C210" s="3" t="inlineStr">
        <is>
          <t>KNGDM SPORTS PERFORMANCE CORP</t>
        </is>
      </c>
      <c r="D210" s="3" t="inlineStr">
        <is>
          <t>Closed</t>
        </is>
      </c>
      <c r="E210" s="23" t="n">
        <v>45891</v>
      </c>
      <c r="F210" s="23" t="n">
        <v>46129</v>
      </c>
      <c r="G210" s="3" t="n">
        <v>2</v>
      </c>
      <c r="H210" s="3" t="inlineStr">
        <is>
          <t>7997</t>
        </is>
      </c>
      <c r="I210" s="3" t="inlineStr">
        <is>
          <t>79</t>
        </is>
      </c>
      <c r="J210" s="3" t="inlineStr">
        <is>
          <t>CO</t>
        </is>
      </c>
      <c r="K210" s="3" t="inlineStr">
        <is>
          <t>Fundwell</t>
        </is>
      </c>
      <c r="L210" s="3" t="inlineStr">
        <is>
          <t>New Deal</t>
        </is>
      </c>
      <c r="M210" s="3" t="n">
        <v>1.32</v>
      </c>
      <c r="N210" s="28" t="n">
        <v>53000</v>
      </c>
      <c r="O210" s="28" t="n">
        <v>3710</v>
      </c>
      <c r="P210" s="28" t="n">
        <v>69960</v>
      </c>
      <c r="Q210" s="28" t="n">
        <v>69960</v>
      </c>
      <c r="R210" s="28" t="n">
        <v>0</v>
      </c>
      <c r="S210" s="42" t="n">
        <v>1</v>
      </c>
      <c r="T210" s="3" t="n">
        <v>46</v>
      </c>
      <c r="U210" s="3" t="n">
        <v>1</v>
      </c>
      <c r="V210" s="3" t="n">
        <v>185128.1</v>
      </c>
      <c r="W210" s="42" t="n">
        <v>0.0329</v>
      </c>
      <c r="X210" s="23" t="n">
        <v>44896</v>
      </c>
      <c r="Y210" s="3">
        <f>IF(I210="","No SIC",IFERROR(VLOOKUP(I210,Ref!$A$2:$B$65,2,FALSE()),"Unclassified"))</f>
        <v/>
      </c>
      <c r="Z210" s="3">
        <f>IF(T210="","",IF(T210&lt;12,"Daily","Weekly"))</f>
        <v/>
      </c>
      <c r="AA210" s="3">
        <f>IF(T210="",0,IF(T210&lt;12,T210*Controls!$B$13,T210*5))</f>
        <v/>
      </c>
      <c r="AB210" s="3">
        <f>IF(E210="",0,NETWORKDAYS(E210,Controls!$B$20,Ref!$K$2:$K$42))</f>
        <v/>
      </c>
      <c r="AC210" s="3">
        <f>IF(OR(AF210=1,AND(AA210&gt;0,AB210&gt;=Controls!$B$23*AA210)),1,0)</f>
        <v/>
      </c>
      <c r="AD210" s="3">
        <f>IF(AND(E210&lt;&gt;"",E210&gt;=Controls!$B$21,E210&lt;=Controls!$B$22),1,0)</f>
        <v/>
      </c>
      <c r="AE210" s="3">
        <f>IF(IFERROR(VLOOKUP(D210,Controls!$A$36:$E$46,2,FALSE()),"No")="Yes",1,0)</f>
        <v/>
      </c>
      <c r="AF210" s="3">
        <f>IF(IFERROR(VLOOKUP(D210,Controls!$A$36:$E$46,3,FALSE()),"No")="Yes",1,0)</f>
        <v/>
      </c>
      <c r="AG210" s="3">
        <f>IF(IFERROR(VLOOKUP(D210,Controls!$A$36:$E$46,4,FALSE()),"No")="Yes",1,0)</f>
        <v/>
      </c>
      <c r="AH210" s="3">
        <f>IF(IFERROR(VLOOKUP(D210,Controls!$A$36:$E$46,5,FALSE()),"No")="Yes",1,0)</f>
        <v/>
      </c>
      <c r="AI210" s="3">
        <f>IF(ISNUMBER(MATCH(D210,Controls!$A$36:$A$46,0)),1,0)</f>
        <v/>
      </c>
      <c r="AJ210" s="28">
        <f>Q210-N210</f>
        <v/>
      </c>
      <c r="AK210" s="3">
        <f>IF(AE210=1,MAX(0,N210-Q210),0)</f>
        <v/>
      </c>
      <c r="AL210" s="3">
        <f>IF(OR(V210="",V210=0),0,N210/V210)</f>
        <v/>
      </c>
      <c r="AM210" s="3">
        <f>IF(OR(V210="",V210=0),0,1)</f>
        <v/>
      </c>
      <c r="AN210" s="3">
        <f>IF(OR(E210="",F210=""),0,NETWORKDAYS(E210,F210,Ref!$K$2:$K$42))</f>
        <v/>
      </c>
      <c r="AO210" s="3">
        <f>IF(L210="Renewal",1,0)</f>
        <v/>
      </c>
      <c r="AP210" s="3">
        <f>AC210*AD210</f>
        <v/>
      </c>
      <c r="AQ210" s="3">
        <f>IF(AND(G210&lt;&gt;"",'Historical Score'!$C$6&lt;&gt;""),IF(G210='Historical Score'!$C$6,1,0),0)</f>
        <v/>
      </c>
      <c r="AR210" s="3">
        <f>IF(AND(L210&lt;&gt;"",'Historical Score'!$C$5&lt;&gt;""),IF(L210='Historical Score'!$C$5,1,0),0)</f>
        <v/>
      </c>
      <c r="AS210" s="3">
        <f>IF(AND(Y210&lt;&gt;"",'Historical Score'!$C$7&lt;&gt;""),IF(Y210='Historical Score'!$C$7,1,0),0)</f>
        <v/>
      </c>
      <c r="AT210" s="3">
        <f>IF(AND(K210&lt;&gt;"",'Historical Score'!$C$8&lt;&gt;""),IF(K210='Historical Score'!$C$8,1,0),0)</f>
        <v/>
      </c>
      <c r="AU210" s="3" t="n"/>
      <c r="AV210" s="3" t="n"/>
      <c r="AW210" s="3" t="n"/>
      <c r="AX210" s="3" t="n"/>
      <c r="AY210" s="3" t="n"/>
      <c r="AZ210" s="3" t="n"/>
      <c r="BA210" s="182">
        <f>IF(AD210=1,(AR210*'Historical Score'!$K$29+1-'Historical Score'!$K$29)*(AT210*'Historical Score'!$L$29+1-'Historical Score'!$L$29)*(AS210*'Historical Score'!$M$29+1-'Historical Score'!$M$29)*(AQ210*'Historical Score'!$N$29+1-'Historical Score'!$N$29),0)</f>
        <v/>
      </c>
      <c r="BB210" s="3" t="n"/>
      <c r="BC210" s="3" t="n"/>
    </row>
    <row r="211" ht="15.75" customHeight="1" s="174">
      <c r="A211" s="3" t="inlineStr">
        <is>
          <t>5674164604</t>
        </is>
      </c>
      <c r="B211" s="3" t="inlineStr">
        <is>
          <t>OPTIMUS LOGISTICS LLC</t>
        </is>
      </c>
      <c r="C211" s="3" t="inlineStr">
        <is>
          <t>OPTIMUS LOGISTICS LLC</t>
        </is>
      </c>
      <c r="D211" s="3" t="inlineStr">
        <is>
          <t>Legal</t>
        </is>
      </c>
      <c r="E211" s="23" t="n">
        <v>45891</v>
      </c>
      <c r="F211" s="23" t="n">
        <v>45931</v>
      </c>
      <c r="G211" s="3" t="n">
        <v>3</v>
      </c>
      <c r="H211" s="3" t="inlineStr">
        <is>
          <t>4212</t>
        </is>
      </c>
      <c r="I211" s="3" t="inlineStr">
        <is>
          <t>42</t>
        </is>
      </c>
      <c r="J211" s="3" t="inlineStr">
        <is>
          <t>TN</t>
        </is>
      </c>
      <c r="K211" s="3" t="inlineStr">
        <is>
          <t>Shield Funding</t>
        </is>
      </c>
      <c r="L211" s="3" t="inlineStr">
        <is>
          <t>New Deal</t>
        </is>
      </c>
      <c r="M211" s="3" t="n">
        <v>1.499</v>
      </c>
      <c r="N211" s="28" t="n">
        <v>6000</v>
      </c>
      <c r="O211" s="28" t="n">
        <v>840</v>
      </c>
      <c r="P211" s="28" t="n">
        <v>8994</v>
      </c>
      <c r="Q211" s="28" t="n">
        <v>2207.73</v>
      </c>
      <c r="R211" s="28" t="n">
        <v>6786.27</v>
      </c>
      <c r="S211" s="42" t="n">
        <v>0.245466977985324</v>
      </c>
      <c r="T211" s="3" t="n">
        <v>2.787</v>
      </c>
      <c r="U211" s="3" t="n">
        <v>7</v>
      </c>
      <c r="V211" s="3" t="n">
        <v>19712.41</v>
      </c>
      <c r="W211" s="42" t="n">
        <v>0.112</v>
      </c>
      <c r="X211" s="23" t="n">
        <v>43032</v>
      </c>
      <c r="Y211" s="3">
        <f>IF(I211="","No SIC",IFERROR(VLOOKUP(I211,Ref!$A$2:$B$65,2,FALSE()),"Unclassified"))</f>
        <v/>
      </c>
      <c r="Z211" s="3">
        <f>IF(T211="","",IF(T211&lt;12,"Daily","Weekly"))</f>
        <v/>
      </c>
      <c r="AA211" s="3">
        <f>IF(T211="",0,IF(T211&lt;12,T211*Controls!$B$13,T211*5))</f>
        <v/>
      </c>
      <c r="AB211" s="3">
        <f>IF(E211="",0,NETWORKDAYS(E211,Controls!$B$20,Ref!$K$2:$K$42))</f>
        <v/>
      </c>
      <c r="AC211" s="3">
        <f>IF(OR(AF211=1,AND(AA211&gt;0,AB211&gt;=Controls!$B$23*AA211)),1,0)</f>
        <v/>
      </c>
      <c r="AD211" s="3">
        <f>IF(AND(E211&lt;&gt;"",E211&gt;=Controls!$B$21,E211&lt;=Controls!$B$22),1,0)</f>
        <v/>
      </c>
      <c r="AE211" s="3">
        <f>IF(IFERROR(VLOOKUP(D211,Controls!$A$36:$E$46,2,FALSE()),"No")="Yes",1,0)</f>
        <v/>
      </c>
      <c r="AF211" s="3">
        <f>IF(IFERROR(VLOOKUP(D211,Controls!$A$36:$E$46,3,FALSE()),"No")="Yes",1,0)</f>
        <v/>
      </c>
      <c r="AG211" s="3">
        <f>IF(IFERROR(VLOOKUP(D211,Controls!$A$36:$E$46,4,FALSE()),"No")="Yes",1,0)</f>
        <v/>
      </c>
      <c r="AH211" s="3">
        <f>IF(IFERROR(VLOOKUP(D211,Controls!$A$36:$E$46,5,FALSE()),"No")="Yes",1,0)</f>
        <v/>
      </c>
      <c r="AI211" s="3">
        <f>IF(ISNUMBER(MATCH(D211,Controls!$A$36:$A$46,0)),1,0)</f>
        <v/>
      </c>
      <c r="AJ211" s="28">
        <f>Q211-N211</f>
        <v/>
      </c>
      <c r="AK211" s="3">
        <f>IF(AE211=1,MAX(0,N211-Q211),0)</f>
        <v/>
      </c>
      <c r="AL211" s="3">
        <f>IF(OR(V211="",V211=0),0,N211/V211)</f>
        <v/>
      </c>
      <c r="AM211" s="3">
        <f>IF(OR(V211="",V211=0),0,1)</f>
        <v/>
      </c>
      <c r="AN211" s="3">
        <f>IF(OR(E211="",F211=""),0,NETWORKDAYS(E211,F211,Ref!$K$2:$K$42))</f>
        <v/>
      </c>
      <c r="AO211" s="3">
        <f>IF(L211="Renewal",1,0)</f>
        <v/>
      </c>
      <c r="AP211" s="3">
        <f>AC211*AD211</f>
        <v/>
      </c>
      <c r="AQ211" s="3">
        <f>IF(AND(G211&lt;&gt;"",'Historical Score'!$C$6&lt;&gt;""),IF(G211='Historical Score'!$C$6,1,0),0)</f>
        <v/>
      </c>
      <c r="AR211" s="3">
        <f>IF(AND(L211&lt;&gt;"",'Historical Score'!$C$5&lt;&gt;""),IF(L211='Historical Score'!$C$5,1,0),0)</f>
        <v/>
      </c>
      <c r="AS211" s="3">
        <f>IF(AND(Y211&lt;&gt;"",'Historical Score'!$C$7&lt;&gt;""),IF(Y211='Historical Score'!$C$7,1,0),0)</f>
        <v/>
      </c>
      <c r="AT211" s="3">
        <f>IF(AND(K211&lt;&gt;"",'Historical Score'!$C$8&lt;&gt;""),IF(K211='Historical Score'!$C$8,1,0),0)</f>
        <v/>
      </c>
      <c r="AU211" s="3" t="n"/>
      <c r="AV211" s="3" t="n"/>
      <c r="AW211" s="3" t="n"/>
      <c r="AX211" s="3" t="n"/>
      <c r="AY211" s="3" t="n"/>
      <c r="AZ211" s="3" t="n"/>
      <c r="BA211" s="182">
        <f>IF(AD211=1,(AR211*'Historical Score'!$K$29+1-'Historical Score'!$K$29)*(AT211*'Historical Score'!$L$29+1-'Historical Score'!$L$29)*(AS211*'Historical Score'!$M$29+1-'Historical Score'!$M$29)*(AQ211*'Historical Score'!$N$29+1-'Historical Score'!$N$29),0)</f>
        <v/>
      </c>
      <c r="BB211" s="3" t="n"/>
      <c r="BC211" s="3" t="n"/>
    </row>
    <row r="212" ht="15.75" customHeight="1" s="174">
      <c r="A212" s="3" t="inlineStr">
        <is>
          <t>5674164632</t>
        </is>
      </c>
      <c r="B212" s="3" t="inlineStr">
        <is>
          <t>YOANNA FLIGHT SCHOOL INTERNATIONAL</t>
        </is>
      </c>
      <c r="C212" s="3" t="inlineStr">
        <is>
          <t>Yoanna Flight School International, Inc</t>
        </is>
      </c>
      <c r="D212" s="3" t="inlineStr">
        <is>
          <t>Lowered Payments</t>
        </is>
      </c>
      <c r="E212" s="23" t="n">
        <v>45891</v>
      </c>
      <c r="F212" s="23" t="n">
        <v>46253</v>
      </c>
      <c r="G212" s="3" t="n">
        <v>3</v>
      </c>
      <c r="H212" s="3" t="inlineStr">
        <is>
          <t>4581</t>
        </is>
      </c>
      <c r="I212" s="3" t="inlineStr">
        <is>
          <t>45</t>
        </is>
      </c>
      <c r="J212" s="3" t="inlineStr">
        <is>
          <t>FL</t>
        </is>
      </c>
      <c r="K212" s="3" t="inlineStr">
        <is>
          <t>Shore Funding USA</t>
        </is>
      </c>
      <c r="L212" s="3" t="inlineStr">
        <is>
          <t>New Deal</t>
        </is>
      </c>
      <c r="M212" s="3" t="n">
        <v>1.45</v>
      </c>
      <c r="N212" s="28" t="n">
        <v>35000</v>
      </c>
      <c r="O212" s="28" t="n">
        <v>4200</v>
      </c>
      <c r="P212" s="28" t="n">
        <v>50750</v>
      </c>
      <c r="Q212" s="28" t="n">
        <v>29464.46</v>
      </c>
      <c r="R212" s="28" t="n">
        <v>21285.54</v>
      </c>
      <c r="S212" s="42" t="n">
        <v>0.580580492610837</v>
      </c>
      <c r="T212" s="3" t="n">
        <v>32</v>
      </c>
      <c r="U212" s="3" t="n">
        <v>36</v>
      </c>
      <c r="V212" s="3" t="n">
        <v>49442.1</v>
      </c>
      <c r="W212" s="42" t="n">
        <v>0.1283</v>
      </c>
      <c r="X212" s="23" t="n">
        <v>43975</v>
      </c>
      <c r="Y212" s="3">
        <f>IF(I212="","No SIC",IFERROR(VLOOKUP(I212,Ref!$A$2:$B$65,2,FALSE()),"Unclassified"))</f>
        <v/>
      </c>
      <c r="Z212" s="3">
        <f>IF(T212="","",IF(T212&lt;12,"Daily","Weekly"))</f>
        <v/>
      </c>
      <c r="AA212" s="3">
        <f>IF(T212="",0,IF(T212&lt;12,T212*Controls!$B$13,T212*5))</f>
        <v/>
      </c>
      <c r="AB212" s="3">
        <f>IF(E212="",0,NETWORKDAYS(E212,Controls!$B$20,Ref!$K$2:$K$42))</f>
        <v/>
      </c>
      <c r="AC212" s="3">
        <f>IF(OR(AF212=1,AND(AA212&gt;0,AB212&gt;=Controls!$B$23*AA212)),1,0)</f>
        <v/>
      </c>
      <c r="AD212" s="3">
        <f>IF(AND(E212&lt;&gt;"",E212&gt;=Controls!$B$21,E212&lt;=Controls!$B$22),1,0)</f>
        <v/>
      </c>
      <c r="AE212" s="3">
        <f>IF(IFERROR(VLOOKUP(D212,Controls!$A$36:$E$46,2,FALSE()),"No")="Yes",1,0)</f>
        <v/>
      </c>
      <c r="AF212" s="3">
        <f>IF(IFERROR(VLOOKUP(D212,Controls!$A$36:$E$46,3,FALSE()),"No")="Yes",1,0)</f>
        <v/>
      </c>
      <c r="AG212" s="3">
        <f>IF(IFERROR(VLOOKUP(D212,Controls!$A$36:$E$46,4,FALSE()),"No")="Yes",1,0)</f>
        <v/>
      </c>
      <c r="AH212" s="3">
        <f>IF(IFERROR(VLOOKUP(D212,Controls!$A$36:$E$46,5,FALSE()),"No")="Yes",1,0)</f>
        <v/>
      </c>
      <c r="AI212" s="3">
        <f>IF(ISNUMBER(MATCH(D212,Controls!$A$36:$A$46,0)),1,0)</f>
        <v/>
      </c>
      <c r="AJ212" s="28">
        <f>Q212-N212</f>
        <v/>
      </c>
      <c r="AK212" s="3">
        <f>IF(AE212=1,MAX(0,N212-Q212),0)</f>
        <v/>
      </c>
      <c r="AL212" s="3">
        <f>IF(OR(V212="",V212=0),0,N212/V212)</f>
        <v/>
      </c>
      <c r="AM212" s="3">
        <f>IF(OR(V212="",V212=0),0,1)</f>
        <v/>
      </c>
      <c r="AN212" s="3">
        <f>IF(OR(E212="",F212=""),0,NETWORKDAYS(E212,F212,Ref!$K$2:$K$42))</f>
        <v/>
      </c>
      <c r="AO212" s="3">
        <f>IF(L212="Renewal",1,0)</f>
        <v/>
      </c>
      <c r="AP212" s="3">
        <f>AC212*AD212</f>
        <v/>
      </c>
      <c r="AQ212" s="3">
        <f>IF(AND(G212&lt;&gt;"",'Historical Score'!$C$6&lt;&gt;""),IF(G212='Historical Score'!$C$6,1,0),0)</f>
        <v/>
      </c>
      <c r="AR212" s="3">
        <f>IF(AND(L212&lt;&gt;"",'Historical Score'!$C$5&lt;&gt;""),IF(L212='Historical Score'!$C$5,1,0),0)</f>
        <v/>
      </c>
      <c r="AS212" s="3">
        <f>IF(AND(Y212&lt;&gt;"",'Historical Score'!$C$7&lt;&gt;""),IF(Y212='Historical Score'!$C$7,1,0),0)</f>
        <v/>
      </c>
      <c r="AT212" s="3">
        <f>IF(AND(K212&lt;&gt;"",'Historical Score'!$C$8&lt;&gt;""),IF(K212='Historical Score'!$C$8,1,0),0)</f>
        <v/>
      </c>
      <c r="AU212" s="3" t="n"/>
      <c r="AV212" s="3" t="n"/>
      <c r="AW212" s="3" t="n"/>
      <c r="AX212" s="3" t="n"/>
      <c r="AY212" s="3" t="n"/>
      <c r="AZ212" s="3" t="n"/>
      <c r="BA212" s="182">
        <f>IF(AD212=1,(AR212*'Historical Score'!$K$29+1-'Historical Score'!$K$29)*(AT212*'Historical Score'!$L$29+1-'Historical Score'!$L$29)*(AS212*'Historical Score'!$M$29+1-'Historical Score'!$M$29)*(AQ212*'Historical Score'!$N$29+1-'Historical Score'!$N$29),0)</f>
        <v/>
      </c>
      <c r="BB212" s="3" t="n"/>
      <c r="BC212" s="3" t="n"/>
    </row>
    <row r="213" ht="15.75" customHeight="1" s="174">
      <c r="A213" s="3" t="inlineStr">
        <is>
          <t>5674164635</t>
        </is>
      </c>
      <c r="B213" s="3" t="inlineStr">
        <is>
          <t>503 BUILDERS LLC</t>
        </is>
      </c>
      <c r="C213" s="3" t="inlineStr">
        <is>
          <t>503 Builders LLC</t>
        </is>
      </c>
      <c r="D213" s="3" t="inlineStr">
        <is>
          <t>Closed</t>
        </is>
      </c>
      <c r="E213" s="23" t="n">
        <v>45891</v>
      </c>
      <c r="F213" s="23" t="n">
        <v>45950</v>
      </c>
      <c r="G213" s="3" t="n">
        <v>5</v>
      </c>
      <c r="H213" s="3" t="inlineStr">
        <is>
          <t>1521</t>
        </is>
      </c>
      <c r="I213" s="3" t="inlineStr">
        <is>
          <t>15</t>
        </is>
      </c>
      <c r="J213" s="3" t="inlineStr">
        <is>
          <t>OR</t>
        </is>
      </c>
      <c r="K213" s="3" t="inlineStr">
        <is>
          <t>Biz fuel</t>
        </is>
      </c>
      <c r="L213" s="3" t="inlineStr">
        <is>
          <t>New Deal</t>
        </is>
      </c>
      <c r="M213" s="3" t="n">
        <v>1.499</v>
      </c>
      <c r="N213" s="28" t="n">
        <v>12000</v>
      </c>
      <c r="O213" s="28" t="n">
        <v>1680</v>
      </c>
      <c r="P213" s="28" t="n">
        <v>17988</v>
      </c>
      <c r="Q213" s="28" t="n">
        <v>17988</v>
      </c>
      <c r="R213" s="28" t="n">
        <v>0</v>
      </c>
      <c r="S213" s="42" t="n">
        <v>1</v>
      </c>
      <c r="T213" s="3" t="n">
        <v>2.131</v>
      </c>
      <c r="U213" s="3" t="n">
        <v>0</v>
      </c>
      <c r="V213" s="3" t="n">
        <v>70535.06</v>
      </c>
      <c r="W213" s="42" t="n">
        <v>0.0819</v>
      </c>
      <c r="X213" s="23" t="n">
        <v>44367</v>
      </c>
      <c r="Y213" s="3">
        <f>IF(I213="","No SIC",IFERROR(VLOOKUP(I213,Ref!$A$2:$B$65,2,FALSE()),"Unclassified"))</f>
        <v/>
      </c>
      <c r="Z213" s="3">
        <f>IF(T213="","",IF(T213&lt;12,"Daily","Weekly"))</f>
        <v/>
      </c>
      <c r="AA213" s="3">
        <f>IF(T213="",0,IF(T213&lt;12,T213*Controls!$B$13,T213*5))</f>
        <v/>
      </c>
      <c r="AB213" s="3">
        <f>IF(E213="",0,NETWORKDAYS(E213,Controls!$B$20,Ref!$K$2:$K$42))</f>
        <v/>
      </c>
      <c r="AC213" s="3">
        <f>IF(OR(AF213=1,AND(AA213&gt;0,AB213&gt;=Controls!$B$23*AA213)),1,0)</f>
        <v/>
      </c>
      <c r="AD213" s="3">
        <f>IF(AND(E213&lt;&gt;"",E213&gt;=Controls!$B$21,E213&lt;=Controls!$B$22),1,0)</f>
        <v/>
      </c>
      <c r="AE213" s="3">
        <f>IF(IFERROR(VLOOKUP(D213,Controls!$A$36:$E$46,2,FALSE()),"No")="Yes",1,0)</f>
        <v/>
      </c>
      <c r="AF213" s="3">
        <f>IF(IFERROR(VLOOKUP(D213,Controls!$A$36:$E$46,3,FALSE()),"No")="Yes",1,0)</f>
        <v/>
      </c>
      <c r="AG213" s="3">
        <f>IF(IFERROR(VLOOKUP(D213,Controls!$A$36:$E$46,4,FALSE()),"No")="Yes",1,0)</f>
        <v/>
      </c>
      <c r="AH213" s="3">
        <f>IF(IFERROR(VLOOKUP(D213,Controls!$A$36:$E$46,5,FALSE()),"No")="Yes",1,0)</f>
        <v/>
      </c>
      <c r="AI213" s="3">
        <f>IF(ISNUMBER(MATCH(D213,Controls!$A$36:$A$46,0)),1,0)</f>
        <v/>
      </c>
      <c r="AJ213" s="28">
        <f>Q213-N213</f>
        <v/>
      </c>
      <c r="AK213" s="3">
        <f>IF(AE213=1,MAX(0,N213-Q213),0)</f>
        <v/>
      </c>
      <c r="AL213" s="3">
        <f>IF(OR(V213="",V213=0),0,N213/V213)</f>
        <v/>
      </c>
      <c r="AM213" s="3">
        <f>IF(OR(V213="",V213=0),0,1)</f>
        <v/>
      </c>
      <c r="AN213" s="3">
        <f>IF(OR(E213="",F213=""),0,NETWORKDAYS(E213,F213,Ref!$K$2:$K$42))</f>
        <v/>
      </c>
      <c r="AO213" s="3">
        <f>IF(L213="Renewal",1,0)</f>
        <v/>
      </c>
      <c r="AP213" s="3">
        <f>AC213*AD213</f>
        <v/>
      </c>
      <c r="AQ213" s="3">
        <f>IF(AND(G213&lt;&gt;"",'Historical Score'!$C$6&lt;&gt;""),IF(G213='Historical Score'!$C$6,1,0),0)</f>
        <v/>
      </c>
      <c r="AR213" s="3">
        <f>IF(AND(L213&lt;&gt;"",'Historical Score'!$C$5&lt;&gt;""),IF(L213='Historical Score'!$C$5,1,0),0)</f>
        <v/>
      </c>
      <c r="AS213" s="3">
        <f>IF(AND(Y213&lt;&gt;"",'Historical Score'!$C$7&lt;&gt;""),IF(Y213='Historical Score'!$C$7,1,0),0)</f>
        <v/>
      </c>
      <c r="AT213" s="3">
        <f>IF(AND(K213&lt;&gt;"",'Historical Score'!$C$8&lt;&gt;""),IF(K213='Historical Score'!$C$8,1,0),0)</f>
        <v/>
      </c>
      <c r="AU213" s="3" t="n"/>
      <c r="AV213" s="3" t="n"/>
      <c r="AW213" s="3" t="n"/>
      <c r="AX213" s="3" t="n"/>
      <c r="AY213" s="3" t="n"/>
      <c r="AZ213" s="3" t="n"/>
      <c r="BA213" s="182">
        <f>IF(AD213=1,(AR213*'Historical Score'!$K$29+1-'Historical Score'!$K$29)*(AT213*'Historical Score'!$L$29+1-'Historical Score'!$L$29)*(AS213*'Historical Score'!$M$29+1-'Historical Score'!$M$29)*(AQ213*'Historical Score'!$N$29+1-'Historical Score'!$N$29),0)</f>
        <v/>
      </c>
      <c r="BB213" s="3" t="n"/>
      <c r="BC213" s="3" t="n"/>
    </row>
    <row r="214" ht="15.75" customHeight="1" s="174">
      <c r="A214" s="3" t="inlineStr">
        <is>
          <t>5674164667</t>
        </is>
      </c>
      <c r="B214" s="3" t="inlineStr">
        <is>
          <t>Haus of Athletes</t>
        </is>
      </c>
      <c r="C214" s="3" t="inlineStr">
        <is>
          <t>Hybrid Athlete llc</t>
        </is>
      </c>
      <c r="D214" s="3" t="inlineStr">
        <is>
          <t>Legal</t>
        </is>
      </c>
      <c r="E214" s="23" t="n">
        <v>45891</v>
      </c>
      <c r="F214" s="23" t="n">
        <v>46142</v>
      </c>
      <c r="G214" s="3" t="n">
        <v>2</v>
      </c>
      <c r="H214" s="3" t="inlineStr">
        <is>
          <t>7991</t>
        </is>
      </c>
      <c r="I214" s="3" t="inlineStr">
        <is>
          <t>79</t>
        </is>
      </c>
      <c r="J214" s="3" t="inlineStr">
        <is>
          <t>MA</t>
        </is>
      </c>
      <c r="K214" s="3" t="inlineStr">
        <is>
          <t>Fundwell</t>
        </is>
      </c>
      <c r="L214" s="3" t="inlineStr">
        <is>
          <t>New Deal</t>
        </is>
      </c>
      <c r="M214" s="3" t="n">
        <v>1.42</v>
      </c>
      <c r="N214" s="28" t="n">
        <v>26500</v>
      </c>
      <c r="O214" s="28" t="n">
        <v>3710</v>
      </c>
      <c r="P214" s="28" t="n">
        <v>37630</v>
      </c>
      <c r="Q214" s="28" t="n">
        <v>33332.19</v>
      </c>
      <c r="R214" s="28" t="n">
        <v>4297.81</v>
      </c>
      <c r="S214" s="42" t="n">
        <v>0.885787669412703</v>
      </c>
      <c r="T214" s="3" t="n">
        <v>28</v>
      </c>
      <c r="U214" s="3" t="n">
        <v>8</v>
      </c>
      <c r="V214" s="3" t="n">
        <v>165974.37</v>
      </c>
      <c r="W214" s="42" t="n">
        <v>0.0324</v>
      </c>
      <c r="X214" s="23" t="n">
        <v>44348</v>
      </c>
      <c r="Y214" s="3">
        <f>IF(I214="","No SIC",IFERROR(VLOOKUP(I214,Ref!$A$2:$B$65,2,FALSE()),"Unclassified"))</f>
        <v/>
      </c>
      <c r="Z214" s="3">
        <f>IF(T214="","",IF(T214&lt;12,"Daily","Weekly"))</f>
        <v/>
      </c>
      <c r="AA214" s="3">
        <f>IF(T214="",0,IF(T214&lt;12,T214*Controls!$B$13,T214*5))</f>
        <v/>
      </c>
      <c r="AB214" s="3">
        <f>IF(E214="",0,NETWORKDAYS(E214,Controls!$B$20,Ref!$K$2:$K$42))</f>
        <v/>
      </c>
      <c r="AC214" s="3">
        <f>IF(OR(AF214=1,AND(AA214&gt;0,AB214&gt;=Controls!$B$23*AA214)),1,0)</f>
        <v/>
      </c>
      <c r="AD214" s="3">
        <f>IF(AND(E214&lt;&gt;"",E214&gt;=Controls!$B$21,E214&lt;=Controls!$B$22),1,0)</f>
        <v/>
      </c>
      <c r="AE214" s="3">
        <f>IF(IFERROR(VLOOKUP(D214,Controls!$A$36:$E$46,2,FALSE()),"No")="Yes",1,0)</f>
        <v/>
      </c>
      <c r="AF214" s="3">
        <f>IF(IFERROR(VLOOKUP(D214,Controls!$A$36:$E$46,3,FALSE()),"No")="Yes",1,0)</f>
        <v/>
      </c>
      <c r="AG214" s="3">
        <f>IF(IFERROR(VLOOKUP(D214,Controls!$A$36:$E$46,4,FALSE()),"No")="Yes",1,0)</f>
        <v/>
      </c>
      <c r="AH214" s="3">
        <f>IF(IFERROR(VLOOKUP(D214,Controls!$A$36:$E$46,5,FALSE()),"No")="Yes",1,0)</f>
        <v/>
      </c>
      <c r="AI214" s="3">
        <f>IF(ISNUMBER(MATCH(D214,Controls!$A$36:$A$46,0)),1,0)</f>
        <v/>
      </c>
      <c r="AJ214" s="28">
        <f>Q214-N214</f>
        <v/>
      </c>
      <c r="AK214" s="3">
        <f>IF(AE214=1,MAX(0,N214-Q214),0)</f>
        <v/>
      </c>
      <c r="AL214" s="3">
        <f>IF(OR(V214="",V214=0),0,N214/V214)</f>
        <v/>
      </c>
      <c r="AM214" s="3">
        <f>IF(OR(V214="",V214=0),0,1)</f>
        <v/>
      </c>
      <c r="AN214" s="3">
        <f>IF(OR(E214="",F214=""),0,NETWORKDAYS(E214,F214,Ref!$K$2:$K$42))</f>
        <v/>
      </c>
      <c r="AO214" s="3">
        <f>IF(L214="Renewal",1,0)</f>
        <v/>
      </c>
      <c r="AP214" s="3">
        <f>AC214*AD214</f>
        <v/>
      </c>
      <c r="AQ214" s="3">
        <f>IF(AND(G214&lt;&gt;"",'Historical Score'!$C$6&lt;&gt;""),IF(G214='Historical Score'!$C$6,1,0),0)</f>
        <v/>
      </c>
      <c r="AR214" s="3">
        <f>IF(AND(L214&lt;&gt;"",'Historical Score'!$C$5&lt;&gt;""),IF(L214='Historical Score'!$C$5,1,0),0)</f>
        <v/>
      </c>
      <c r="AS214" s="3">
        <f>IF(AND(Y214&lt;&gt;"",'Historical Score'!$C$7&lt;&gt;""),IF(Y214='Historical Score'!$C$7,1,0),0)</f>
        <v/>
      </c>
      <c r="AT214" s="3">
        <f>IF(AND(K214&lt;&gt;"",'Historical Score'!$C$8&lt;&gt;""),IF(K214='Historical Score'!$C$8,1,0),0)</f>
        <v/>
      </c>
      <c r="AU214" s="3" t="n"/>
      <c r="AV214" s="3" t="n"/>
      <c r="AW214" s="3" t="n"/>
      <c r="AX214" s="3" t="n"/>
      <c r="AY214" s="3" t="n"/>
      <c r="AZ214" s="3" t="n"/>
      <c r="BA214" s="182">
        <f>IF(AD214=1,(AR214*'Historical Score'!$K$29+1-'Historical Score'!$K$29)*(AT214*'Historical Score'!$L$29+1-'Historical Score'!$L$29)*(AS214*'Historical Score'!$M$29+1-'Historical Score'!$M$29)*(AQ214*'Historical Score'!$N$29+1-'Historical Score'!$N$29),0)</f>
        <v/>
      </c>
      <c r="BB214" s="3" t="n"/>
      <c r="BC214" s="3" t="n"/>
    </row>
    <row r="215" ht="15.75" customHeight="1" s="174">
      <c r="A215" s="3" t="inlineStr">
        <is>
          <t>5674164698</t>
        </is>
      </c>
      <c r="B215" s="3" t="inlineStr">
        <is>
          <t>S&amp;E ENTERPRISE LLC</t>
        </is>
      </c>
      <c r="C215" s="3" t="inlineStr">
        <is>
          <t>S&amp;E ENTERPRISE LLC</t>
        </is>
      </c>
      <c r="D215" s="3" t="inlineStr">
        <is>
          <t>Legal</t>
        </is>
      </c>
      <c r="E215" s="23" t="n">
        <v>45894</v>
      </c>
      <c r="F215" s="23" t="n">
        <v>45917</v>
      </c>
      <c r="G215" s="3" t="n">
        <v>2</v>
      </c>
      <c r="H215" s="3" t="inlineStr">
        <is>
          <t>1521</t>
        </is>
      </c>
      <c r="I215" s="3" t="inlineStr">
        <is>
          <t>15</t>
        </is>
      </c>
      <c r="J215" s="3" t="inlineStr">
        <is>
          <t>RI</t>
        </is>
      </c>
      <c r="K215" s="3" t="inlineStr">
        <is>
          <t>Triumph Cap Fund</t>
        </is>
      </c>
      <c r="L215" s="3" t="inlineStr">
        <is>
          <t>Renewal</t>
        </is>
      </c>
      <c r="M215" s="3" t="n">
        <v>1.49</v>
      </c>
      <c r="N215" s="28" t="n">
        <v>32000</v>
      </c>
      <c r="O215" s="28" t="n">
        <v>4480</v>
      </c>
      <c r="P215" s="28" t="n">
        <v>47680</v>
      </c>
      <c r="Q215" s="28" t="n">
        <v>4628.39</v>
      </c>
      <c r="R215" s="28" t="n">
        <v>43051.61</v>
      </c>
      <c r="S215" s="42" t="n">
        <v>0.0970719379194631</v>
      </c>
      <c r="T215" s="3" t="n">
        <v>3.607</v>
      </c>
      <c r="U215" s="3" t="n">
        <v>5</v>
      </c>
      <c r="V215" s="3" t="n">
        <v>35079.82</v>
      </c>
      <c r="W215" s="42" t="n">
        <v>0.2595</v>
      </c>
      <c r="X215" s="23" t="n">
        <v>45005</v>
      </c>
      <c r="Y215" s="3">
        <f>IF(I215="","No SIC",IFERROR(VLOOKUP(I215,Ref!$A$2:$B$65,2,FALSE()),"Unclassified"))</f>
        <v/>
      </c>
      <c r="Z215" s="3">
        <f>IF(T215="","",IF(T215&lt;12,"Daily","Weekly"))</f>
        <v/>
      </c>
      <c r="AA215" s="3">
        <f>IF(T215="",0,IF(T215&lt;12,T215*Controls!$B$13,T215*5))</f>
        <v/>
      </c>
      <c r="AB215" s="3">
        <f>IF(E215="",0,NETWORKDAYS(E215,Controls!$B$20,Ref!$K$2:$K$42))</f>
        <v/>
      </c>
      <c r="AC215" s="3">
        <f>IF(OR(AF215=1,AND(AA215&gt;0,AB215&gt;=Controls!$B$23*AA215)),1,0)</f>
        <v/>
      </c>
      <c r="AD215" s="3">
        <f>IF(AND(E215&lt;&gt;"",E215&gt;=Controls!$B$21,E215&lt;=Controls!$B$22),1,0)</f>
        <v/>
      </c>
      <c r="AE215" s="3">
        <f>IF(IFERROR(VLOOKUP(D215,Controls!$A$36:$E$46,2,FALSE()),"No")="Yes",1,0)</f>
        <v/>
      </c>
      <c r="AF215" s="3">
        <f>IF(IFERROR(VLOOKUP(D215,Controls!$A$36:$E$46,3,FALSE()),"No")="Yes",1,0)</f>
        <v/>
      </c>
      <c r="AG215" s="3">
        <f>IF(IFERROR(VLOOKUP(D215,Controls!$A$36:$E$46,4,FALSE()),"No")="Yes",1,0)</f>
        <v/>
      </c>
      <c r="AH215" s="3">
        <f>IF(IFERROR(VLOOKUP(D215,Controls!$A$36:$E$46,5,FALSE()),"No")="Yes",1,0)</f>
        <v/>
      </c>
      <c r="AI215" s="3">
        <f>IF(ISNUMBER(MATCH(D215,Controls!$A$36:$A$46,0)),1,0)</f>
        <v/>
      </c>
      <c r="AJ215" s="28">
        <f>Q215-N215</f>
        <v/>
      </c>
      <c r="AK215" s="3">
        <f>IF(AE215=1,MAX(0,N215-Q215),0)</f>
        <v/>
      </c>
      <c r="AL215" s="3">
        <f>IF(OR(V215="",V215=0),0,N215/V215)</f>
        <v/>
      </c>
      <c r="AM215" s="3">
        <f>IF(OR(V215="",V215=0),0,1)</f>
        <v/>
      </c>
      <c r="AN215" s="3">
        <f>IF(OR(E215="",F215=""),0,NETWORKDAYS(E215,F215,Ref!$K$2:$K$42))</f>
        <v/>
      </c>
      <c r="AO215" s="3">
        <f>IF(L215="Renewal",1,0)</f>
        <v/>
      </c>
      <c r="AP215" s="3">
        <f>AC215*AD215</f>
        <v/>
      </c>
      <c r="AQ215" s="3">
        <f>IF(AND(G215&lt;&gt;"",'Historical Score'!$C$6&lt;&gt;""),IF(G215='Historical Score'!$C$6,1,0),0)</f>
        <v/>
      </c>
      <c r="AR215" s="3">
        <f>IF(AND(L215&lt;&gt;"",'Historical Score'!$C$5&lt;&gt;""),IF(L215='Historical Score'!$C$5,1,0),0)</f>
        <v/>
      </c>
      <c r="AS215" s="3">
        <f>IF(AND(Y215&lt;&gt;"",'Historical Score'!$C$7&lt;&gt;""),IF(Y215='Historical Score'!$C$7,1,0),0)</f>
        <v/>
      </c>
      <c r="AT215" s="3">
        <f>IF(AND(K215&lt;&gt;"",'Historical Score'!$C$8&lt;&gt;""),IF(K215='Historical Score'!$C$8,1,0),0)</f>
        <v/>
      </c>
      <c r="AU215" s="3" t="n"/>
      <c r="AV215" s="3" t="n"/>
      <c r="AW215" s="3" t="n"/>
      <c r="AX215" s="3" t="n"/>
      <c r="AY215" s="3" t="n"/>
      <c r="AZ215" s="3" t="n"/>
      <c r="BA215" s="182">
        <f>IF(AD215=1,(AR215*'Historical Score'!$K$29+1-'Historical Score'!$K$29)*(AT215*'Historical Score'!$L$29+1-'Historical Score'!$L$29)*(AS215*'Historical Score'!$M$29+1-'Historical Score'!$M$29)*(AQ215*'Historical Score'!$N$29+1-'Historical Score'!$N$29),0)</f>
        <v/>
      </c>
      <c r="BB215" s="3" t="n"/>
      <c r="BC215" s="3" t="n"/>
    </row>
    <row r="216" ht="15.75" customHeight="1" s="174">
      <c r="A216" s="3" t="inlineStr">
        <is>
          <t>5674164716</t>
        </is>
      </c>
      <c r="B216" s="3" t="inlineStr">
        <is>
          <t>JIU HONG CANYIN YULE, INC</t>
        </is>
      </c>
      <c r="C216" s="3" t="inlineStr">
        <is>
          <t>JIU HONG CANYIN YULE, INC</t>
        </is>
      </c>
      <c r="D216" s="3" t="inlineStr">
        <is>
          <t>Closed</t>
        </is>
      </c>
      <c r="E216" s="23" t="n">
        <v>45894</v>
      </c>
      <c r="F216" s="23" t="n">
        <v>45981</v>
      </c>
      <c r="G216" s="3" t="n">
        <v>7</v>
      </c>
      <c r="H216" s="3" t="inlineStr">
        <is>
          <t>5812</t>
        </is>
      </c>
      <c r="I216" s="3" t="inlineStr">
        <is>
          <t>58</t>
        </is>
      </c>
      <c r="J216" s="3" t="inlineStr">
        <is>
          <t>CO</t>
        </is>
      </c>
      <c r="K216" s="3" t="inlineStr">
        <is>
          <t>United Secured Capital 8</t>
        </is>
      </c>
      <c r="L216" s="3" t="inlineStr">
        <is>
          <t>New Deal</t>
        </is>
      </c>
      <c r="M216" s="3" t="n">
        <v>1.49</v>
      </c>
      <c r="N216" s="28" t="n">
        <v>12500</v>
      </c>
      <c r="O216" s="28" t="n">
        <v>1750</v>
      </c>
      <c r="P216" s="28" t="n">
        <v>18625</v>
      </c>
      <c r="Q216" s="28" t="n">
        <v>18625</v>
      </c>
      <c r="R216" s="28" t="n">
        <v>0</v>
      </c>
      <c r="S216" s="42" t="n">
        <v>1</v>
      </c>
      <c r="T216" s="3" t="n">
        <v>3.279</v>
      </c>
      <c r="U216" s="3" t="n">
        <v>0</v>
      </c>
      <c r="V216" s="3" t="n">
        <v>42013.9</v>
      </c>
      <c r="W216" s="42" t="n">
        <v>0.0931</v>
      </c>
      <c r="X216" s="23" t="n"/>
      <c r="Y216" s="3">
        <f>IF(I216="","No SIC",IFERROR(VLOOKUP(I216,Ref!$A$2:$B$65,2,FALSE()),"Unclassified"))</f>
        <v/>
      </c>
      <c r="Z216" s="3">
        <f>IF(T216="","",IF(T216&lt;12,"Daily","Weekly"))</f>
        <v/>
      </c>
      <c r="AA216" s="3">
        <f>IF(T216="",0,IF(T216&lt;12,T216*Controls!$B$13,T216*5))</f>
        <v/>
      </c>
      <c r="AB216" s="3">
        <f>IF(E216="",0,NETWORKDAYS(E216,Controls!$B$20,Ref!$K$2:$K$42))</f>
        <v/>
      </c>
      <c r="AC216" s="3">
        <f>IF(OR(AF216=1,AND(AA216&gt;0,AB216&gt;=Controls!$B$23*AA216)),1,0)</f>
        <v/>
      </c>
      <c r="AD216" s="3">
        <f>IF(AND(E216&lt;&gt;"",E216&gt;=Controls!$B$21,E216&lt;=Controls!$B$22),1,0)</f>
        <v/>
      </c>
      <c r="AE216" s="3">
        <f>IF(IFERROR(VLOOKUP(D216,Controls!$A$36:$E$46,2,FALSE()),"No")="Yes",1,0)</f>
        <v/>
      </c>
      <c r="AF216" s="3">
        <f>IF(IFERROR(VLOOKUP(D216,Controls!$A$36:$E$46,3,FALSE()),"No")="Yes",1,0)</f>
        <v/>
      </c>
      <c r="AG216" s="3">
        <f>IF(IFERROR(VLOOKUP(D216,Controls!$A$36:$E$46,4,FALSE()),"No")="Yes",1,0)</f>
        <v/>
      </c>
      <c r="AH216" s="3">
        <f>IF(IFERROR(VLOOKUP(D216,Controls!$A$36:$E$46,5,FALSE()),"No")="Yes",1,0)</f>
        <v/>
      </c>
      <c r="AI216" s="3">
        <f>IF(ISNUMBER(MATCH(D216,Controls!$A$36:$A$46,0)),1,0)</f>
        <v/>
      </c>
      <c r="AJ216" s="28">
        <f>Q216-N216</f>
        <v/>
      </c>
      <c r="AK216" s="3">
        <f>IF(AE216=1,MAX(0,N216-Q216),0)</f>
        <v/>
      </c>
      <c r="AL216" s="3">
        <f>IF(OR(V216="",V216=0),0,N216/V216)</f>
        <v/>
      </c>
      <c r="AM216" s="3">
        <f>IF(OR(V216="",V216=0),0,1)</f>
        <v/>
      </c>
      <c r="AN216" s="3">
        <f>IF(OR(E216="",F216=""),0,NETWORKDAYS(E216,F216,Ref!$K$2:$K$42))</f>
        <v/>
      </c>
      <c r="AO216" s="3">
        <f>IF(L216="Renewal",1,0)</f>
        <v/>
      </c>
      <c r="AP216" s="3">
        <f>AC216*AD216</f>
        <v/>
      </c>
      <c r="AQ216" s="3">
        <f>IF(AND(G216&lt;&gt;"",'Historical Score'!$C$6&lt;&gt;""),IF(G216='Historical Score'!$C$6,1,0),0)</f>
        <v/>
      </c>
      <c r="AR216" s="3">
        <f>IF(AND(L216&lt;&gt;"",'Historical Score'!$C$5&lt;&gt;""),IF(L216='Historical Score'!$C$5,1,0),0)</f>
        <v/>
      </c>
      <c r="AS216" s="3">
        <f>IF(AND(Y216&lt;&gt;"",'Historical Score'!$C$7&lt;&gt;""),IF(Y216='Historical Score'!$C$7,1,0),0)</f>
        <v/>
      </c>
      <c r="AT216" s="3">
        <f>IF(AND(K216&lt;&gt;"",'Historical Score'!$C$8&lt;&gt;""),IF(K216='Historical Score'!$C$8,1,0),0)</f>
        <v/>
      </c>
      <c r="AU216" s="3" t="n"/>
      <c r="AV216" s="3" t="n"/>
      <c r="AW216" s="3" t="n"/>
      <c r="AX216" s="3" t="n"/>
      <c r="AY216" s="3" t="n"/>
      <c r="AZ216" s="3" t="n"/>
      <c r="BA216" s="182">
        <f>IF(AD216=1,(AR216*'Historical Score'!$K$29+1-'Historical Score'!$K$29)*(AT216*'Historical Score'!$L$29+1-'Historical Score'!$L$29)*(AS216*'Historical Score'!$M$29+1-'Historical Score'!$M$29)*(AQ216*'Historical Score'!$N$29+1-'Historical Score'!$N$29),0)</f>
        <v/>
      </c>
      <c r="BB216" s="3" t="n"/>
      <c r="BC216" s="3" t="n"/>
    </row>
    <row r="217" ht="15.75" customHeight="1" s="174">
      <c r="A217" s="3" t="inlineStr">
        <is>
          <t>5674164806</t>
        </is>
      </c>
      <c r="B217" s="3" t="inlineStr">
        <is>
          <t>Phiri Property Management LLC</t>
        </is>
      </c>
      <c r="C217" s="3" t="inlineStr">
        <is>
          <t>Phiri Property Management LLC</t>
        </is>
      </c>
      <c r="D217" s="3" t="inlineStr">
        <is>
          <t>Closed</t>
        </is>
      </c>
      <c r="E217" s="23" t="n">
        <v>45895</v>
      </c>
      <c r="F217" s="23" t="n">
        <v>46009</v>
      </c>
      <c r="G217" s="3" t="n">
        <v>4</v>
      </c>
      <c r="H217" s="3" t="inlineStr">
        <is>
          <t>1521</t>
        </is>
      </c>
      <c r="I217" s="3" t="inlineStr">
        <is>
          <t>15</t>
        </is>
      </c>
      <c r="J217" s="3" t="inlineStr">
        <is>
          <t>IL</t>
        </is>
      </c>
      <c r="K217" s="3" t="inlineStr">
        <is>
          <t>cavala funding</t>
        </is>
      </c>
      <c r="L217" s="3" t="inlineStr">
        <is>
          <t>New Deal</t>
        </is>
      </c>
      <c r="M217" s="3" t="n">
        <v>1.35</v>
      </c>
      <c r="N217" s="28" t="n">
        <v>10000</v>
      </c>
      <c r="O217" s="28" t="n">
        <v>700</v>
      </c>
      <c r="P217" s="28" t="n">
        <v>13500</v>
      </c>
      <c r="Q217" s="28" t="n">
        <v>13500</v>
      </c>
      <c r="R217" s="28" t="n">
        <v>0</v>
      </c>
      <c r="S217" s="42" t="n">
        <v>1</v>
      </c>
      <c r="T217" s="3" t="n">
        <v>15</v>
      </c>
      <c r="U217" s="3" t="n">
        <v>0</v>
      </c>
      <c r="V217" s="3" t="n">
        <v>31931.67</v>
      </c>
      <c r="W217" s="42" t="n">
        <v>0.1127</v>
      </c>
      <c r="X217" s="23" t="n">
        <v>42557</v>
      </c>
      <c r="Y217" s="3">
        <f>IF(I217="","No SIC",IFERROR(VLOOKUP(I217,Ref!$A$2:$B$65,2,FALSE()),"Unclassified"))</f>
        <v/>
      </c>
      <c r="Z217" s="3">
        <f>IF(T217="","",IF(T217&lt;12,"Daily","Weekly"))</f>
        <v/>
      </c>
      <c r="AA217" s="3">
        <f>IF(T217="",0,IF(T217&lt;12,T217*Controls!$B$13,T217*5))</f>
        <v/>
      </c>
      <c r="AB217" s="3">
        <f>IF(E217="",0,NETWORKDAYS(E217,Controls!$B$20,Ref!$K$2:$K$42))</f>
        <v/>
      </c>
      <c r="AC217" s="3">
        <f>IF(OR(AF217=1,AND(AA217&gt;0,AB217&gt;=Controls!$B$23*AA217)),1,0)</f>
        <v/>
      </c>
      <c r="AD217" s="3">
        <f>IF(AND(E217&lt;&gt;"",E217&gt;=Controls!$B$21,E217&lt;=Controls!$B$22),1,0)</f>
        <v/>
      </c>
      <c r="AE217" s="3">
        <f>IF(IFERROR(VLOOKUP(D217,Controls!$A$36:$E$46,2,FALSE()),"No")="Yes",1,0)</f>
        <v/>
      </c>
      <c r="AF217" s="3">
        <f>IF(IFERROR(VLOOKUP(D217,Controls!$A$36:$E$46,3,FALSE()),"No")="Yes",1,0)</f>
        <v/>
      </c>
      <c r="AG217" s="3">
        <f>IF(IFERROR(VLOOKUP(D217,Controls!$A$36:$E$46,4,FALSE()),"No")="Yes",1,0)</f>
        <v/>
      </c>
      <c r="AH217" s="3">
        <f>IF(IFERROR(VLOOKUP(D217,Controls!$A$36:$E$46,5,FALSE()),"No")="Yes",1,0)</f>
        <v/>
      </c>
      <c r="AI217" s="3">
        <f>IF(ISNUMBER(MATCH(D217,Controls!$A$36:$A$46,0)),1,0)</f>
        <v/>
      </c>
      <c r="AJ217" s="28">
        <f>Q217-N217</f>
        <v/>
      </c>
      <c r="AK217" s="3">
        <f>IF(AE217=1,MAX(0,N217-Q217),0)</f>
        <v/>
      </c>
      <c r="AL217" s="3">
        <f>IF(OR(V217="",V217=0),0,N217/V217)</f>
        <v/>
      </c>
      <c r="AM217" s="3">
        <f>IF(OR(V217="",V217=0),0,1)</f>
        <v/>
      </c>
      <c r="AN217" s="3">
        <f>IF(OR(E217="",F217=""),0,NETWORKDAYS(E217,F217,Ref!$K$2:$K$42))</f>
        <v/>
      </c>
      <c r="AO217" s="3">
        <f>IF(L217="Renewal",1,0)</f>
        <v/>
      </c>
      <c r="AP217" s="3">
        <f>AC217*AD217</f>
        <v/>
      </c>
      <c r="AQ217" s="3">
        <f>IF(AND(G217&lt;&gt;"",'Historical Score'!$C$6&lt;&gt;""),IF(G217='Historical Score'!$C$6,1,0),0)</f>
        <v/>
      </c>
      <c r="AR217" s="3">
        <f>IF(AND(L217&lt;&gt;"",'Historical Score'!$C$5&lt;&gt;""),IF(L217='Historical Score'!$C$5,1,0),0)</f>
        <v/>
      </c>
      <c r="AS217" s="3">
        <f>IF(AND(Y217&lt;&gt;"",'Historical Score'!$C$7&lt;&gt;""),IF(Y217='Historical Score'!$C$7,1,0),0)</f>
        <v/>
      </c>
      <c r="AT217" s="3">
        <f>IF(AND(K217&lt;&gt;"",'Historical Score'!$C$8&lt;&gt;""),IF(K217='Historical Score'!$C$8,1,0),0)</f>
        <v/>
      </c>
      <c r="AU217" s="3" t="n"/>
      <c r="AV217" s="3" t="n"/>
      <c r="AW217" s="3" t="n"/>
      <c r="AX217" s="3" t="n"/>
      <c r="AY217" s="3" t="n"/>
      <c r="AZ217" s="3" t="n"/>
      <c r="BA217" s="182">
        <f>IF(AD217=1,(AR217*'Historical Score'!$K$29+1-'Historical Score'!$K$29)*(AT217*'Historical Score'!$L$29+1-'Historical Score'!$L$29)*(AS217*'Historical Score'!$M$29+1-'Historical Score'!$M$29)*(AQ217*'Historical Score'!$N$29+1-'Historical Score'!$N$29),0)</f>
        <v/>
      </c>
      <c r="BB217" s="3" t="n"/>
      <c r="BC217" s="3" t="n"/>
    </row>
    <row r="218" ht="15.75" customHeight="1" s="174">
      <c r="A218" s="3" t="inlineStr">
        <is>
          <t>5674164817</t>
        </is>
      </c>
      <c r="B218" s="3" t="inlineStr">
        <is>
          <t>JAMES CORVIN</t>
        </is>
      </c>
      <c r="C218" s="3" t="inlineStr">
        <is>
          <t>James Corvin Inc</t>
        </is>
      </c>
      <c r="D218" s="3" t="inlineStr">
        <is>
          <t>Legal</t>
        </is>
      </c>
      <c r="E218" s="23" t="n">
        <v>45895</v>
      </c>
      <c r="F218" s="23" t="n">
        <v>45950</v>
      </c>
      <c r="G218" s="3" t="n">
        <v>2</v>
      </c>
      <c r="H218" s="3" t="inlineStr">
        <is>
          <t>1521</t>
        </is>
      </c>
      <c r="I218" s="3" t="inlineStr">
        <is>
          <t>15</t>
        </is>
      </c>
      <c r="J218" s="3" t="inlineStr">
        <is>
          <t>VA</t>
        </is>
      </c>
      <c r="K218" s="3" t="inlineStr">
        <is>
          <t>PMF</t>
        </is>
      </c>
      <c r="L218" s="3" t="inlineStr">
        <is>
          <t>New Deal</t>
        </is>
      </c>
      <c r="M218" s="3" t="n">
        <v>1.49</v>
      </c>
      <c r="N218" s="28" t="n">
        <v>75000</v>
      </c>
      <c r="O218" s="28" t="n">
        <v>10500</v>
      </c>
      <c r="P218" s="28" t="n">
        <v>111750</v>
      </c>
      <c r="Q218" s="28" t="n">
        <v>27953.45</v>
      </c>
      <c r="R218" s="28" t="n">
        <v>83796.55</v>
      </c>
      <c r="S218" s="42" t="n">
        <v>0.250142729306488</v>
      </c>
      <c r="T218" s="3" t="n">
        <v>28</v>
      </c>
      <c r="U218" s="3" t="n">
        <v>1</v>
      </c>
      <c r="V218" s="3" t="n">
        <v>192218.95</v>
      </c>
      <c r="W218" s="42" t="n">
        <v>0.08309999999999999</v>
      </c>
      <c r="X218" s="23" t="n">
        <v>36161</v>
      </c>
      <c r="Y218" s="3">
        <f>IF(I218="","No SIC",IFERROR(VLOOKUP(I218,Ref!$A$2:$B$65,2,FALSE()),"Unclassified"))</f>
        <v/>
      </c>
      <c r="Z218" s="3">
        <f>IF(T218="","",IF(T218&lt;12,"Daily","Weekly"))</f>
        <v/>
      </c>
      <c r="AA218" s="3">
        <f>IF(T218="",0,IF(T218&lt;12,T218*Controls!$B$13,T218*5))</f>
        <v/>
      </c>
      <c r="AB218" s="3">
        <f>IF(E218="",0,NETWORKDAYS(E218,Controls!$B$20,Ref!$K$2:$K$42))</f>
        <v/>
      </c>
      <c r="AC218" s="3">
        <f>IF(OR(AF218=1,AND(AA218&gt;0,AB218&gt;=Controls!$B$23*AA218)),1,0)</f>
        <v/>
      </c>
      <c r="AD218" s="3">
        <f>IF(AND(E218&lt;&gt;"",E218&gt;=Controls!$B$21,E218&lt;=Controls!$B$22),1,0)</f>
        <v/>
      </c>
      <c r="AE218" s="3">
        <f>IF(IFERROR(VLOOKUP(D218,Controls!$A$36:$E$46,2,FALSE()),"No")="Yes",1,0)</f>
        <v/>
      </c>
      <c r="AF218" s="3">
        <f>IF(IFERROR(VLOOKUP(D218,Controls!$A$36:$E$46,3,FALSE()),"No")="Yes",1,0)</f>
        <v/>
      </c>
      <c r="AG218" s="3">
        <f>IF(IFERROR(VLOOKUP(D218,Controls!$A$36:$E$46,4,FALSE()),"No")="Yes",1,0)</f>
        <v/>
      </c>
      <c r="AH218" s="3">
        <f>IF(IFERROR(VLOOKUP(D218,Controls!$A$36:$E$46,5,FALSE()),"No")="Yes",1,0)</f>
        <v/>
      </c>
      <c r="AI218" s="3">
        <f>IF(ISNUMBER(MATCH(D218,Controls!$A$36:$A$46,0)),1,0)</f>
        <v/>
      </c>
      <c r="AJ218" s="28">
        <f>Q218-N218</f>
        <v/>
      </c>
      <c r="AK218" s="3">
        <f>IF(AE218=1,MAX(0,N218-Q218),0)</f>
        <v/>
      </c>
      <c r="AL218" s="3">
        <f>IF(OR(V218="",V218=0),0,N218/V218)</f>
        <v/>
      </c>
      <c r="AM218" s="3">
        <f>IF(OR(V218="",V218=0),0,1)</f>
        <v/>
      </c>
      <c r="AN218" s="3">
        <f>IF(OR(E218="",F218=""),0,NETWORKDAYS(E218,F218,Ref!$K$2:$K$42))</f>
        <v/>
      </c>
      <c r="AO218" s="3">
        <f>IF(L218="Renewal",1,0)</f>
        <v/>
      </c>
      <c r="AP218" s="3">
        <f>AC218*AD218</f>
        <v/>
      </c>
      <c r="AQ218" s="3">
        <f>IF(AND(G218&lt;&gt;"",'Historical Score'!$C$6&lt;&gt;""),IF(G218='Historical Score'!$C$6,1,0),0)</f>
        <v/>
      </c>
      <c r="AR218" s="3">
        <f>IF(AND(L218&lt;&gt;"",'Historical Score'!$C$5&lt;&gt;""),IF(L218='Historical Score'!$C$5,1,0),0)</f>
        <v/>
      </c>
      <c r="AS218" s="3">
        <f>IF(AND(Y218&lt;&gt;"",'Historical Score'!$C$7&lt;&gt;""),IF(Y218='Historical Score'!$C$7,1,0),0)</f>
        <v/>
      </c>
      <c r="AT218" s="3">
        <f>IF(AND(K218&lt;&gt;"",'Historical Score'!$C$8&lt;&gt;""),IF(K218='Historical Score'!$C$8,1,0),0)</f>
        <v/>
      </c>
      <c r="AU218" s="3" t="n"/>
      <c r="AV218" s="3" t="n"/>
      <c r="AW218" s="3" t="n"/>
      <c r="AX218" s="3" t="n"/>
      <c r="AY218" s="3" t="n"/>
      <c r="AZ218" s="3" t="n"/>
      <c r="BA218" s="182">
        <f>IF(AD218=1,(AR218*'Historical Score'!$K$29+1-'Historical Score'!$K$29)*(AT218*'Historical Score'!$L$29+1-'Historical Score'!$L$29)*(AS218*'Historical Score'!$M$29+1-'Historical Score'!$M$29)*(AQ218*'Historical Score'!$N$29+1-'Historical Score'!$N$29),0)</f>
        <v/>
      </c>
      <c r="BB218" s="3" t="n"/>
      <c r="BC218" s="3" t="n"/>
    </row>
    <row r="219" ht="15.75" customHeight="1" s="174">
      <c r="A219" s="3" t="inlineStr">
        <is>
          <t>5674164844</t>
        </is>
      </c>
      <c r="B219" s="3" t="inlineStr">
        <is>
          <t>Alpine Springs Water Distribution</t>
        </is>
      </c>
      <c r="C219" s="3" t="inlineStr">
        <is>
          <t>ALPINE SPRINGS WATER DISTRIBUTION LLC</t>
        </is>
      </c>
      <c r="D219" s="3" t="inlineStr">
        <is>
          <t>Open</t>
        </is>
      </c>
      <c r="E219" s="23" t="n">
        <v>45895</v>
      </c>
      <c r="F219" s="23" t="n">
        <v>46252</v>
      </c>
      <c r="G219" s="3" t="n">
        <v>3</v>
      </c>
      <c r="H219" s="3" t="inlineStr">
        <is>
          <t>4941</t>
        </is>
      </c>
      <c r="I219" s="3" t="inlineStr">
        <is>
          <t>49</t>
        </is>
      </c>
      <c r="J219" s="3" t="inlineStr">
        <is>
          <t>CA</t>
        </is>
      </c>
      <c r="K219" s="3" t="inlineStr">
        <is>
          <t>Shore Funding USA</t>
        </is>
      </c>
      <c r="L219" s="3" t="inlineStr">
        <is>
          <t>New Deal</t>
        </is>
      </c>
      <c r="M219" s="3" t="n">
        <v>1.43</v>
      </c>
      <c r="N219" s="28" t="n">
        <v>30000</v>
      </c>
      <c r="O219" s="28" t="n">
        <v>3300</v>
      </c>
      <c r="P219" s="28" t="n">
        <v>42900</v>
      </c>
      <c r="Q219" s="28" t="n">
        <v>34021.27</v>
      </c>
      <c r="R219" s="28" t="n">
        <v>8878.73</v>
      </c>
      <c r="S219" s="42" t="n">
        <v>0.793036596736597</v>
      </c>
      <c r="T219" s="3" t="n">
        <v>34</v>
      </c>
      <c r="U219" s="3" t="n">
        <v>16</v>
      </c>
      <c r="V219" s="3" t="n">
        <v>91768.06</v>
      </c>
      <c r="W219" s="42" t="n">
        <v>0.055</v>
      </c>
      <c r="X219" s="23" t="n">
        <v>43025</v>
      </c>
      <c r="Y219" s="3">
        <f>IF(I219="","No SIC",IFERROR(VLOOKUP(I219,Ref!$A$2:$B$65,2,FALSE()),"Unclassified"))</f>
        <v/>
      </c>
      <c r="Z219" s="3">
        <f>IF(T219="","",IF(T219&lt;12,"Daily","Weekly"))</f>
        <v/>
      </c>
      <c r="AA219" s="3">
        <f>IF(T219="",0,IF(T219&lt;12,T219*Controls!$B$13,T219*5))</f>
        <v/>
      </c>
      <c r="AB219" s="3">
        <f>IF(E219="",0,NETWORKDAYS(E219,Controls!$B$20,Ref!$K$2:$K$42))</f>
        <v/>
      </c>
      <c r="AC219" s="3">
        <f>IF(OR(AF219=1,AND(AA219&gt;0,AB219&gt;=Controls!$B$23*AA219)),1,0)</f>
        <v/>
      </c>
      <c r="AD219" s="3">
        <f>IF(AND(E219&lt;&gt;"",E219&gt;=Controls!$B$21,E219&lt;=Controls!$B$22),1,0)</f>
        <v/>
      </c>
      <c r="AE219" s="3">
        <f>IF(IFERROR(VLOOKUP(D219,Controls!$A$36:$E$46,2,FALSE()),"No")="Yes",1,0)</f>
        <v/>
      </c>
      <c r="AF219" s="3">
        <f>IF(IFERROR(VLOOKUP(D219,Controls!$A$36:$E$46,3,FALSE()),"No")="Yes",1,0)</f>
        <v/>
      </c>
      <c r="AG219" s="3">
        <f>IF(IFERROR(VLOOKUP(D219,Controls!$A$36:$E$46,4,FALSE()),"No")="Yes",1,0)</f>
        <v/>
      </c>
      <c r="AH219" s="3">
        <f>IF(IFERROR(VLOOKUP(D219,Controls!$A$36:$E$46,5,FALSE()),"No")="Yes",1,0)</f>
        <v/>
      </c>
      <c r="AI219" s="3">
        <f>IF(ISNUMBER(MATCH(D219,Controls!$A$36:$A$46,0)),1,0)</f>
        <v/>
      </c>
      <c r="AJ219" s="28">
        <f>Q219-N219</f>
        <v/>
      </c>
      <c r="AK219" s="3">
        <f>IF(AE219=1,MAX(0,N219-Q219),0)</f>
        <v/>
      </c>
      <c r="AL219" s="3">
        <f>IF(OR(V219="",V219=0),0,N219/V219)</f>
        <v/>
      </c>
      <c r="AM219" s="3">
        <f>IF(OR(V219="",V219=0),0,1)</f>
        <v/>
      </c>
      <c r="AN219" s="3">
        <f>IF(OR(E219="",F219=""),0,NETWORKDAYS(E219,F219,Ref!$K$2:$K$42))</f>
        <v/>
      </c>
      <c r="AO219" s="3">
        <f>IF(L219="Renewal",1,0)</f>
        <v/>
      </c>
      <c r="AP219" s="3">
        <f>AC219*AD219</f>
        <v/>
      </c>
      <c r="AQ219" s="3">
        <f>IF(AND(G219&lt;&gt;"",'Historical Score'!$C$6&lt;&gt;""),IF(G219='Historical Score'!$C$6,1,0),0)</f>
        <v/>
      </c>
      <c r="AR219" s="3">
        <f>IF(AND(L219&lt;&gt;"",'Historical Score'!$C$5&lt;&gt;""),IF(L219='Historical Score'!$C$5,1,0),0)</f>
        <v/>
      </c>
      <c r="AS219" s="3">
        <f>IF(AND(Y219&lt;&gt;"",'Historical Score'!$C$7&lt;&gt;""),IF(Y219='Historical Score'!$C$7,1,0),0)</f>
        <v/>
      </c>
      <c r="AT219" s="3">
        <f>IF(AND(K219&lt;&gt;"",'Historical Score'!$C$8&lt;&gt;""),IF(K219='Historical Score'!$C$8,1,0),0)</f>
        <v/>
      </c>
      <c r="AU219" s="3" t="n"/>
      <c r="AV219" s="3" t="n"/>
      <c r="AW219" s="3" t="n"/>
      <c r="AX219" s="3" t="n"/>
      <c r="AY219" s="3" t="n"/>
      <c r="AZ219" s="3" t="n"/>
      <c r="BA219" s="182">
        <f>IF(AD219=1,(AR219*'Historical Score'!$K$29+1-'Historical Score'!$K$29)*(AT219*'Historical Score'!$L$29+1-'Historical Score'!$L$29)*(AS219*'Historical Score'!$M$29+1-'Historical Score'!$M$29)*(AQ219*'Historical Score'!$N$29+1-'Historical Score'!$N$29),0)</f>
        <v/>
      </c>
      <c r="BB219" s="3" t="n"/>
      <c r="BC219" s="3" t="n"/>
    </row>
    <row r="220" ht="15.75" customHeight="1" s="174">
      <c r="A220" s="3" t="inlineStr">
        <is>
          <t>5674164847</t>
        </is>
      </c>
      <c r="B220" s="3" t="inlineStr">
        <is>
          <t>HOLLINS &amp; ASSOCIATES</t>
        </is>
      </c>
      <c r="C220" s="3" t="inlineStr">
        <is>
          <t>HOLLINS &amp; ASSOCIATES LLC</t>
        </is>
      </c>
      <c r="D220" s="3" t="inlineStr">
        <is>
          <t>Closed</t>
        </is>
      </c>
      <c r="E220" s="23" t="n">
        <v>45895</v>
      </c>
      <c r="F220" s="23" t="n">
        <v>46070</v>
      </c>
      <c r="G220" s="3" t="n">
        <v>4</v>
      </c>
      <c r="H220" s="3" t="inlineStr">
        <is>
          <t>8721</t>
        </is>
      </c>
      <c r="I220" s="3" t="inlineStr">
        <is>
          <t>87</t>
        </is>
      </c>
      <c r="J220" s="3" t="inlineStr">
        <is>
          <t>TX</t>
        </is>
      </c>
      <c r="K220" s="3" t="inlineStr">
        <is>
          <t>Shore Funding USA</t>
        </is>
      </c>
      <c r="L220" s="3" t="inlineStr">
        <is>
          <t>New Deal</t>
        </is>
      </c>
      <c r="M220" s="3" t="n">
        <v>1.48</v>
      </c>
      <c r="N220" s="28" t="n">
        <v>16000</v>
      </c>
      <c r="O220" s="28" t="n">
        <v>2160</v>
      </c>
      <c r="P220" s="28" t="n">
        <v>23680</v>
      </c>
      <c r="Q220" s="28" t="n">
        <v>23680</v>
      </c>
      <c r="R220" s="28" t="n">
        <v>0</v>
      </c>
      <c r="S220" s="42" t="n">
        <v>1</v>
      </c>
      <c r="T220" s="3" t="n">
        <v>24</v>
      </c>
      <c r="U220" s="3" t="n">
        <v>0</v>
      </c>
      <c r="V220" s="3" t="n">
        <v>15131.52</v>
      </c>
      <c r="W220" s="42" t="n">
        <v>0.2608</v>
      </c>
      <c r="X220" s="23" t="n">
        <v>44153</v>
      </c>
      <c r="Y220" s="3">
        <f>IF(I220="","No SIC",IFERROR(VLOOKUP(I220,Ref!$A$2:$B$65,2,FALSE()),"Unclassified"))</f>
        <v/>
      </c>
      <c r="Z220" s="3">
        <f>IF(T220="","",IF(T220&lt;12,"Daily","Weekly"))</f>
        <v/>
      </c>
      <c r="AA220" s="3">
        <f>IF(T220="",0,IF(T220&lt;12,T220*Controls!$B$13,T220*5))</f>
        <v/>
      </c>
      <c r="AB220" s="3">
        <f>IF(E220="",0,NETWORKDAYS(E220,Controls!$B$20,Ref!$K$2:$K$42))</f>
        <v/>
      </c>
      <c r="AC220" s="3">
        <f>IF(OR(AF220=1,AND(AA220&gt;0,AB220&gt;=Controls!$B$23*AA220)),1,0)</f>
        <v/>
      </c>
      <c r="AD220" s="3">
        <f>IF(AND(E220&lt;&gt;"",E220&gt;=Controls!$B$21,E220&lt;=Controls!$B$22),1,0)</f>
        <v/>
      </c>
      <c r="AE220" s="3">
        <f>IF(IFERROR(VLOOKUP(D220,Controls!$A$36:$E$46,2,FALSE()),"No")="Yes",1,0)</f>
        <v/>
      </c>
      <c r="AF220" s="3">
        <f>IF(IFERROR(VLOOKUP(D220,Controls!$A$36:$E$46,3,FALSE()),"No")="Yes",1,0)</f>
        <v/>
      </c>
      <c r="AG220" s="3">
        <f>IF(IFERROR(VLOOKUP(D220,Controls!$A$36:$E$46,4,FALSE()),"No")="Yes",1,0)</f>
        <v/>
      </c>
      <c r="AH220" s="3">
        <f>IF(IFERROR(VLOOKUP(D220,Controls!$A$36:$E$46,5,FALSE()),"No")="Yes",1,0)</f>
        <v/>
      </c>
      <c r="AI220" s="3">
        <f>IF(ISNUMBER(MATCH(D220,Controls!$A$36:$A$46,0)),1,0)</f>
        <v/>
      </c>
      <c r="AJ220" s="28">
        <f>Q220-N220</f>
        <v/>
      </c>
      <c r="AK220" s="3">
        <f>IF(AE220=1,MAX(0,N220-Q220),0)</f>
        <v/>
      </c>
      <c r="AL220" s="3">
        <f>IF(OR(V220="",V220=0),0,N220/V220)</f>
        <v/>
      </c>
      <c r="AM220" s="3">
        <f>IF(OR(V220="",V220=0),0,1)</f>
        <v/>
      </c>
      <c r="AN220" s="3">
        <f>IF(OR(E220="",F220=""),0,NETWORKDAYS(E220,F220,Ref!$K$2:$K$42))</f>
        <v/>
      </c>
      <c r="AO220" s="3">
        <f>IF(L220="Renewal",1,0)</f>
        <v/>
      </c>
      <c r="AP220" s="3">
        <f>AC220*AD220</f>
        <v/>
      </c>
      <c r="AQ220" s="3">
        <f>IF(AND(G220&lt;&gt;"",'Historical Score'!$C$6&lt;&gt;""),IF(G220='Historical Score'!$C$6,1,0),0)</f>
        <v/>
      </c>
      <c r="AR220" s="3">
        <f>IF(AND(L220&lt;&gt;"",'Historical Score'!$C$5&lt;&gt;""),IF(L220='Historical Score'!$C$5,1,0),0)</f>
        <v/>
      </c>
      <c r="AS220" s="3">
        <f>IF(AND(Y220&lt;&gt;"",'Historical Score'!$C$7&lt;&gt;""),IF(Y220='Historical Score'!$C$7,1,0),0)</f>
        <v/>
      </c>
      <c r="AT220" s="3">
        <f>IF(AND(K220&lt;&gt;"",'Historical Score'!$C$8&lt;&gt;""),IF(K220='Historical Score'!$C$8,1,0),0)</f>
        <v/>
      </c>
      <c r="AU220" s="3" t="n"/>
      <c r="AV220" s="3" t="n"/>
      <c r="AW220" s="3" t="n"/>
      <c r="AX220" s="3" t="n"/>
      <c r="AY220" s="3" t="n"/>
      <c r="AZ220" s="3" t="n"/>
      <c r="BA220" s="182">
        <f>IF(AD220=1,(AR220*'Historical Score'!$K$29+1-'Historical Score'!$K$29)*(AT220*'Historical Score'!$L$29+1-'Historical Score'!$L$29)*(AS220*'Historical Score'!$M$29+1-'Historical Score'!$M$29)*(AQ220*'Historical Score'!$N$29+1-'Historical Score'!$N$29),0)</f>
        <v/>
      </c>
      <c r="BB220" s="3" t="n"/>
      <c r="BC220" s="3" t="n"/>
    </row>
    <row r="221" ht="15.75" customHeight="1" s="174">
      <c r="A221" s="3" t="inlineStr">
        <is>
          <t>5674164887</t>
        </is>
      </c>
      <c r="B221" s="3" t="inlineStr">
        <is>
          <t>SOCAL MEDICAL TRANSPORTATION LLC</t>
        </is>
      </c>
      <c r="C221" s="3" t="inlineStr">
        <is>
          <t>SOCAL MEDICAL TRANSPORTATION LLC</t>
        </is>
      </c>
      <c r="D221" s="3" t="inlineStr">
        <is>
          <t>Closed</t>
        </is>
      </c>
      <c r="E221" s="23" t="n">
        <v>45896</v>
      </c>
      <c r="F221" s="23" t="n">
        <v>46029</v>
      </c>
      <c r="G221" s="3" t="n">
        <v>2</v>
      </c>
      <c r="H221" s="3" t="inlineStr">
        <is>
          <t>4119</t>
        </is>
      </c>
      <c r="I221" s="3" t="inlineStr">
        <is>
          <t>41</t>
        </is>
      </c>
      <c r="J221" s="3" t="inlineStr">
        <is>
          <t>CA</t>
        </is>
      </c>
      <c r="K221" s="3" t="inlineStr">
        <is>
          <t>The Funding Channel</t>
        </is>
      </c>
      <c r="L221" s="3" t="inlineStr">
        <is>
          <t>New Deal</t>
        </is>
      </c>
      <c r="M221" s="3" t="n">
        <v>1.45</v>
      </c>
      <c r="N221" s="28" t="n">
        <v>20000</v>
      </c>
      <c r="O221" s="28" t="n">
        <v>2400</v>
      </c>
      <c r="P221" s="28" t="n">
        <v>29000</v>
      </c>
      <c r="Q221" s="28" t="n">
        <v>29000</v>
      </c>
      <c r="R221" s="28" t="n">
        <v>0</v>
      </c>
      <c r="S221" s="42" t="n">
        <v>1</v>
      </c>
      <c r="T221" s="3" t="n">
        <v>28</v>
      </c>
      <c r="U221" s="3" t="n">
        <v>1</v>
      </c>
      <c r="V221" s="3" t="n">
        <v>108901.57</v>
      </c>
      <c r="W221" s="42" t="n">
        <v>0.038</v>
      </c>
      <c r="X221" s="23" t="n">
        <v>45497</v>
      </c>
      <c r="Y221" s="3">
        <f>IF(I221="","No SIC",IFERROR(VLOOKUP(I221,Ref!$A$2:$B$65,2,FALSE()),"Unclassified"))</f>
        <v/>
      </c>
      <c r="Z221" s="3">
        <f>IF(T221="","",IF(T221&lt;12,"Daily","Weekly"))</f>
        <v/>
      </c>
      <c r="AA221" s="3">
        <f>IF(T221="",0,IF(T221&lt;12,T221*Controls!$B$13,T221*5))</f>
        <v/>
      </c>
      <c r="AB221" s="3">
        <f>IF(E221="",0,NETWORKDAYS(E221,Controls!$B$20,Ref!$K$2:$K$42))</f>
        <v/>
      </c>
      <c r="AC221" s="3">
        <f>IF(OR(AF221=1,AND(AA221&gt;0,AB221&gt;=Controls!$B$23*AA221)),1,0)</f>
        <v/>
      </c>
      <c r="AD221" s="3">
        <f>IF(AND(E221&lt;&gt;"",E221&gt;=Controls!$B$21,E221&lt;=Controls!$B$22),1,0)</f>
        <v/>
      </c>
      <c r="AE221" s="3">
        <f>IF(IFERROR(VLOOKUP(D221,Controls!$A$36:$E$46,2,FALSE()),"No")="Yes",1,0)</f>
        <v/>
      </c>
      <c r="AF221" s="3">
        <f>IF(IFERROR(VLOOKUP(D221,Controls!$A$36:$E$46,3,FALSE()),"No")="Yes",1,0)</f>
        <v/>
      </c>
      <c r="AG221" s="3">
        <f>IF(IFERROR(VLOOKUP(D221,Controls!$A$36:$E$46,4,FALSE()),"No")="Yes",1,0)</f>
        <v/>
      </c>
      <c r="AH221" s="3">
        <f>IF(IFERROR(VLOOKUP(D221,Controls!$A$36:$E$46,5,FALSE()),"No")="Yes",1,0)</f>
        <v/>
      </c>
      <c r="AI221" s="3">
        <f>IF(ISNUMBER(MATCH(D221,Controls!$A$36:$A$46,0)),1,0)</f>
        <v/>
      </c>
      <c r="AJ221" s="28">
        <f>Q221-N221</f>
        <v/>
      </c>
      <c r="AK221" s="3">
        <f>IF(AE221=1,MAX(0,N221-Q221),0)</f>
        <v/>
      </c>
      <c r="AL221" s="3">
        <f>IF(OR(V221="",V221=0),0,N221/V221)</f>
        <v/>
      </c>
      <c r="AM221" s="3">
        <f>IF(OR(V221="",V221=0),0,1)</f>
        <v/>
      </c>
      <c r="AN221" s="3">
        <f>IF(OR(E221="",F221=""),0,NETWORKDAYS(E221,F221,Ref!$K$2:$K$42))</f>
        <v/>
      </c>
      <c r="AO221" s="3">
        <f>IF(L221="Renewal",1,0)</f>
        <v/>
      </c>
      <c r="AP221" s="3">
        <f>AC221*AD221</f>
        <v/>
      </c>
      <c r="AQ221" s="3">
        <f>IF(AND(G221&lt;&gt;"",'Historical Score'!$C$6&lt;&gt;""),IF(G221='Historical Score'!$C$6,1,0),0)</f>
        <v/>
      </c>
      <c r="AR221" s="3">
        <f>IF(AND(L221&lt;&gt;"",'Historical Score'!$C$5&lt;&gt;""),IF(L221='Historical Score'!$C$5,1,0),0)</f>
        <v/>
      </c>
      <c r="AS221" s="3">
        <f>IF(AND(Y221&lt;&gt;"",'Historical Score'!$C$7&lt;&gt;""),IF(Y221='Historical Score'!$C$7,1,0),0)</f>
        <v/>
      </c>
      <c r="AT221" s="3">
        <f>IF(AND(K221&lt;&gt;"",'Historical Score'!$C$8&lt;&gt;""),IF(K221='Historical Score'!$C$8,1,0),0)</f>
        <v/>
      </c>
      <c r="AU221" s="3" t="n"/>
      <c r="AV221" s="3" t="n"/>
      <c r="AW221" s="3" t="n"/>
      <c r="AX221" s="3" t="n"/>
      <c r="AY221" s="3" t="n"/>
      <c r="AZ221" s="3" t="n"/>
      <c r="BA221" s="182">
        <f>IF(AD221=1,(AR221*'Historical Score'!$K$29+1-'Historical Score'!$K$29)*(AT221*'Historical Score'!$L$29+1-'Historical Score'!$L$29)*(AS221*'Historical Score'!$M$29+1-'Historical Score'!$M$29)*(AQ221*'Historical Score'!$N$29+1-'Historical Score'!$N$29),0)</f>
        <v/>
      </c>
      <c r="BB221" s="3" t="n"/>
      <c r="BC221" s="3" t="n"/>
    </row>
    <row r="222" ht="15.75" customHeight="1" s="174">
      <c r="A222" s="3" t="inlineStr">
        <is>
          <t>5674164922</t>
        </is>
      </c>
      <c r="B222" s="3" t="inlineStr">
        <is>
          <t>MAMMA LEONE BAKERY, LLC</t>
        </is>
      </c>
      <c r="C222" s="3" t="inlineStr">
        <is>
          <t>MAMMA LEONE BAKERY, LLC</t>
        </is>
      </c>
      <c r="D222" s="3" t="inlineStr">
        <is>
          <t>Legal</t>
        </is>
      </c>
      <c r="E222" s="23" t="n">
        <v>45896</v>
      </c>
      <c r="F222" s="23" t="n">
        <v>45912</v>
      </c>
      <c r="G222" s="3" t="n">
        <v>4</v>
      </c>
      <c r="H222" s="3" t="inlineStr">
        <is>
          <t>5812</t>
        </is>
      </c>
      <c r="I222" s="3" t="inlineStr">
        <is>
          <t>58</t>
        </is>
      </c>
      <c r="J222" s="3" t="inlineStr">
        <is>
          <t>FL</t>
        </is>
      </c>
      <c r="K222" s="3" t="inlineStr">
        <is>
          <t>Westwood</t>
        </is>
      </c>
      <c r="L222" s="3" t="inlineStr">
        <is>
          <t>New Deal</t>
        </is>
      </c>
      <c r="M222" s="3" t="n">
        <v>1.49</v>
      </c>
      <c r="N222" s="28" t="n">
        <v>10000</v>
      </c>
      <c r="O222" s="28" t="n">
        <v>1400</v>
      </c>
      <c r="P222" s="28" t="n">
        <v>14900</v>
      </c>
      <c r="Q222" s="28" t="n">
        <v>1489.6</v>
      </c>
      <c r="R222" s="28" t="n">
        <v>13410.4</v>
      </c>
      <c r="S222" s="42" t="n">
        <v>0.09997315436241611</v>
      </c>
      <c r="T222" s="3" t="n">
        <v>2.623</v>
      </c>
      <c r="U222" s="3" t="n">
        <v>4</v>
      </c>
      <c r="V222" s="3" t="n">
        <v>35406.72</v>
      </c>
      <c r="W222" s="42" t="n">
        <v>0.0595</v>
      </c>
      <c r="X222" s="23" t="n">
        <v>43388</v>
      </c>
      <c r="Y222" s="3">
        <f>IF(I222="","No SIC",IFERROR(VLOOKUP(I222,Ref!$A$2:$B$65,2,FALSE()),"Unclassified"))</f>
        <v/>
      </c>
      <c r="Z222" s="3">
        <f>IF(T222="","",IF(T222&lt;12,"Daily","Weekly"))</f>
        <v/>
      </c>
      <c r="AA222" s="3">
        <f>IF(T222="",0,IF(T222&lt;12,T222*Controls!$B$13,T222*5))</f>
        <v/>
      </c>
      <c r="AB222" s="3">
        <f>IF(E222="",0,NETWORKDAYS(E222,Controls!$B$20,Ref!$K$2:$K$42))</f>
        <v/>
      </c>
      <c r="AC222" s="3">
        <f>IF(OR(AF222=1,AND(AA222&gt;0,AB222&gt;=Controls!$B$23*AA222)),1,0)</f>
        <v/>
      </c>
      <c r="AD222" s="3">
        <f>IF(AND(E222&lt;&gt;"",E222&gt;=Controls!$B$21,E222&lt;=Controls!$B$22),1,0)</f>
        <v/>
      </c>
      <c r="AE222" s="3">
        <f>IF(IFERROR(VLOOKUP(D222,Controls!$A$36:$E$46,2,FALSE()),"No")="Yes",1,0)</f>
        <v/>
      </c>
      <c r="AF222" s="3">
        <f>IF(IFERROR(VLOOKUP(D222,Controls!$A$36:$E$46,3,FALSE()),"No")="Yes",1,0)</f>
        <v/>
      </c>
      <c r="AG222" s="3">
        <f>IF(IFERROR(VLOOKUP(D222,Controls!$A$36:$E$46,4,FALSE()),"No")="Yes",1,0)</f>
        <v/>
      </c>
      <c r="AH222" s="3">
        <f>IF(IFERROR(VLOOKUP(D222,Controls!$A$36:$E$46,5,FALSE()),"No")="Yes",1,0)</f>
        <v/>
      </c>
      <c r="AI222" s="3">
        <f>IF(ISNUMBER(MATCH(D222,Controls!$A$36:$A$46,0)),1,0)</f>
        <v/>
      </c>
      <c r="AJ222" s="28">
        <f>Q222-N222</f>
        <v/>
      </c>
      <c r="AK222" s="3">
        <f>IF(AE222=1,MAX(0,N222-Q222),0)</f>
        <v/>
      </c>
      <c r="AL222" s="3">
        <f>IF(OR(V222="",V222=0),0,N222/V222)</f>
        <v/>
      </c>
      <c r="AM222" s="3">
        <f>IF(OR(V222="",V222=0),0,1)</f>
        <v/>
      </c>
      <c r="AN222" s="3">
        <f>IF(OR(E222="",F222=""),0,NETWORKDAYS(E222,F222,Ref!$K$2:$K$42))</f>
        <v/>
      </c>
      <c r="AO222" s="3">
        <f>IF(L222="Renewal",1,0)</f>
        <v/>
      </c>
      <c r="AP222" s="3">
        <f>AC222*AD222</f>
        <v/>
      </c>
      <c r="AQ222" s="3">
        <f>IF(AND(G222&lt;&gt;"",'Historical Score'!$C$6&lt;&gt;""),IF(G222='Historical Score'!$C$6,1,0),0)</f>
        <v/>
      </c>
      <c r="AR222" s="3">
        <f>IF(AND(L222&lt;&gt;"",'Historical Score'!$C$5&lt;&gt;""),IF(L222='Historical Score'!$C$5,1,0),0)</f>
        <v/>
      </c>
      <c r="AS222" s="3">
        <f>IF(AND(Y222&lt;&gt;"",'Historical Score'!$C$7&lt;&gt;""),IF(Y222='Historical Score'!$C$7,1,0),0)</f>
        <v/>
      </c>
      <c r="AT222" s="3">
        <f>IF(AND(K222&lt;&gt;"",'Historical Score'!$C$8&lt;&gt;""),IF(K222='Historical Score'!$C$8,1,0),0)</f>
        <v/>
      </c>
      <c r="AU222" s="3" t="n"/>
      <c r="AV222" s="3" t="n"/>
      <c r="AW222" s="3" t="n"/>
      <c r="AX222" s="3" t="n"/>
      <c r="AY222" s="3" t="n"/>
      <c r="AZ222" s="3" t="n"/>
      <c r="BA222" s="182">
        <f>IF(AD222=1,(AR222*'Historical Score'!$K$29+1-'Historical Score'!$K$29)*(AT222*'Historical Score'!$L$29+1-'Historical Score'!$L$29)*(AS222*'Historical Score'!$M$29+1-'Historical Score'!$M$29)*(AQ222*'Historical Score'!$N$29+1-'Historical Score'!$N$29),0)</f>
        <v/>
      </c>
      <c r="BB222" s="3" t="n"/>
      <c r="BC222" s="3" t="n"/>
    </row>
    <row r="223" ht="15.75" customHeight="1" s="174">
      <c r="A223" s="3" t="inlineStr">
        <is>
          <t>5674164997</t>
        </is>
      </c>
      <c r="B223" s="3" t="inlineStr">
        <is>
          <t>Star Nails LLC</t>
        </is>
      </c>
      <c r="C223" s="3" t="inlineStr">
        <is>
          <t>Star Nails LLC</t>
        </is>
      </c>
      <c r="D223" s="3" t="inlineStr">
        <is>
          <t>Closed</t>
        </is>
      </c>
      <c r="E223" s="23" t="n">
        <v>45897</v>
      </c>
      <c r="F223" s="23" t="n">
        <v>46008</v>
      </c>
      <c r="G223" s="3" t="n">
        <v>2</v>
      </c>
      <c r="H223" s="3" t="inlineStr">
        <is>
          <t>7231</t>
        </is>
      </c>
      <c r="I223" s="3" t="inlineStr">
        <is>
          <t>72</t>
        </is>
      </c>
      <c r="J223" s="3" t="inlineStr">
        <is>
          <t>IN</t>
        </is>
      </c>
      <c r="K223" s="3" t="inlineStr">
        <is>
          <t>Fund Your Bizz</t>
        </is>
      </c>
      <c r="L223" s="3" t="inlineStr">
        <is>
          <t>New Deal</t>
        </is>
      </c>
      <c r="M223" s="3" t="n">
        <v>1.499</v>
      </c>
      <c r="N223" s="28" t="n">
        <v>15000</v>
      </c>
      <c r="O223" s="28" t="n">
        <v>2100</v>
      </c>
      <c r="P223" s="28" t="n">
        <v>22485</v>
      </c>
      <c r="Q223" s="28" t="n">
        <v>22485</v>
      </c>
      <c r="R223" s="28" t="n">
        <v>0</v>
      </c>
      <c r="S223" s="42" t="n">
        <v>1</v>
      </c>
      <c r="T223" s="3" t="n">
        <v>36</v>
      </c>
      <c r="U223" s="3" t="n">
        <v>0</v>
      </c>
      <c r="V223" s="3" t="n">
        <v>27724.08</v>
      </c>
      <c r="W223" s="42" t="n">
        <v>0.0896</v>
      </c>
      <c r="X223" s="23" t="n">
        <v>38838</v>
      </c>
      <c r="Y223" s="3">
        <f>IF(I223="","No SIC",IFERROR(VLOOKUP(I223,Ref!$A$2:$B$65,2,FALSE()),"Unclassified"))</f>
        <v/>
      </c>
      <c r="Z223" s="3">
        <f>IF(T223="","",IF(T223&lt;12,"Daily","Weekly"))</f>
        <v/>
      </c>
      <c r="AA223" s="3">
        <f>IF(T223="",0,IF(T223&lt;12,T223*Controls!$B$13,T223*5))</f>
        <v/>
      </c>
      <c r="AB223" s="3">
        <f>IF(E223="",0,NETWORKDAYS(E223,Controls!$B$20,Ref!$K$2:$K$42))</f>
        <v/>
      </c>
      <c r="AC223" s="3">
        <f>IF(OR(AF223=1,AND(AA223&gt;0,AB223&gt;=Controls!$B$23*AA223)),1,0)</f>
        <v/>
      </c>
      <c r="AD223" s="3">
        <f>IF(AND(E223&lt;&gt;"",E223&gt;=Controls!$B$21,E223&lt;=Controls!$B$22),1,0)</f>
        <v/>
      </c>
      <c r="AE223" s="3">
        <f>IF(IFERROR(VLOOKUP(D223,Controls!$A$36:$E$46,2,FALSE()),"No")="Yes",1,0)</f>
        <v/>
      </c>
      <c r="AF223" s="3">
        <f>IF(IFERROR(VLOOKUP(D223,Controls!$A$36:$E$46,3,FALSE()),"No")="Yes",1,0)</f>
        <v/>
      </c>
      <c r="AG223" s="3">
        <f>IF(IFERROR(VLOOKUP(D223,Controls!$A$36:$E$46,4,FALSE()),"No")="Yes",1,0)</f>
        <v/>
      </c>
      <c r="AH223" s="3">
        <f>IF(IFERROR(VLOOKUP(D223,Controls!$A$36:$E$46,5,FALSE()),"No")="Yes",1,0)</f>
        <v/>
      </c>
      <c r="AI223" s="3">
        <f>IF(ISNUMBER(MATCH(D223,Controls!$A$36:$A$46,0)),1,0)</f>
        <v/>
      </c>
      <c r="AJ223" s="28">
        <f>Q223-N223</f>
        <v/>
      </c>
      <c r="AK223" s="3">
        <f>IF(AE223=1,MAX(0,N223-Q223),0)</f>
        <v/>
      </c>
      <c r="AL223" s="3">
        <f>IF(OR(V223="",V223=0),0,N223/V223)</f>
        <v/>
      </c>
      <c r="AM223" s="3">
        <f>IF(OR(V223="",V223=0),0,1)</f>
        <v/>
      </c>
      <c r="AN223" s="3">
        <f>IF(OR(E223="",F223=""),0,NETWORKDAYS(E223,F223,Ref!$K$2:$K$42))</f>
        <v/>
      </c>
      <c r="AO223" s="3">
        <f>IF(L223="Renewal",1,0)</f>
        <v/>
      </c>
      <c r="AP223" s="3">
        <f>AC223*AD223</f>
        <v/>
      </c>
      <c r="AQ223" s="3">
        <f>IF(AND(G223&lt;&gt;"",'Historical Score'!$C$6&lt;&gt;""),IF(G223='Historical Score'!$C$6,1,0),0)</f>
        <v/>
      </c>
      <c r="AR223" s="3">
        <f>IF(AND(L223&lt;&gt;"",'Historical Score'!$C$5&lt;&gt;""),IF(L223='Historical Score'!$C$5,1,0),0)</f>
        <v/>
      </c>
      <c r="AS223" s="3">
        <f>IF(AND(Y223&lt;&gt;"",'Historical Score'!$C$7&lt;&gt;""),IF(Y223='Historical Score'!$C$7,1,0),0)</f>
        <v/>
      </c>
      <c r="AT223" s="3">
        <f>IF(AND(K223&lt;&gt;"",'Historical Score'!$C$8&lt;&gt;""),IF(K223='Historical Score'!$C$8,1,0),0)</f>
        <v/>
      </c>
      <c r="AU223" s="3" t="n"/>
      <c r="AV223" s="3" t="n"/>
      <c r="AW223" s="3" t="n"/>
      <c r="AX223" s="3" t="n"/>
      <c r="AY223" s="3" t="n"/>
      <c r="AZ223" s="3" t="n"/>
      <c r="BA223" s="182">
        <f>IF(AD223=1,(AR223*'Historical Score'!$K$29+1-'Historical Score'!$K$29)*(AT223*'Historical Score'!$L$29+1-'Historical Score'!$L$29)*(AS223*'Historical Score'!$M$29+1-'Historical Score'!$M$29)*(AQ223*'Historical Score'!$N$29+1-'Historical Score'!$N$29),0)</f>
        <v/>
      </c>
      <c r="BB223" s="3" t="n"/>
      <c r="BC223" s="3" t="n"/>
    </row>
    <row r="224" ht="15.75" customHeight="1" s="174">
      <c r="A224" s="3" t="inlineStr">
        <is>
          <t>5674165100</t>
        </is>
      </c>
      <c r="B224" s="3" t="inlineStr">
        <is>
          <t>Q&amp;B Trucking Fleet LLC</t>
        </is>
      </c>
      <c r="C224" s="3" t="inlineStr">
        <is>
          <t>Q&amp;B Trucking Fleet LLC</t>
        </is>
      </c>
      <c r="D224" s="3" t="inlineStr">
        <is>
          <t>Legal</t>
        </is>
      </c>
      <c r="E224" s="23" t="n">
        <v>45897</v>
      </c>
      <c r="F224" s="23" t="n">
        <v>45909</v>
      </c>
      <c r="G224" s="3" t="n">
        <v>1</v>
      </c>
      <c r="H224" s="3" t="inlineStr">
        <is>
          <t>4212</t>
        </is>
      </c>
      <c r="I224" s="3" t="inlineStr">
        <is>
          <t>42</t>
        </is>
      </c>
      <c r="J224" s="3" t="inlineStr">
        <is>
          <t>GA</t>
        </is>
      </c>
      <c r="K224" s="3" t="inlineStr">
        <is>
          <t>Vanguard Equities</t>
        </is>
      </c>
      <c r="L224" s="3" t="inlineStr">
        <is>
          <t>New Deal</t>
        </is>
      </c>
      <c r="M224" s="3" t="n">
        <v>1.49</v>
      </c>
      <c r="N224" s="28" t="n">
        <v>3500</v>
      </c>
      <c r="O224" s="28" t="n">
        <v>490</v>
      </c>
      <c r="P224" s="28" t="n">
        <v>5215</v>
      </c>
      <c r="Q224" s="28" t="n">
        <v>74.48</v>
      </c>
      <c r="R224" s="28" t="n">
        <v>5140.52</v>
      </c>
      <c r="S224" s="42" t="n">
        <v>0.0142818791946309</v>
      </c>
      <c r="T224" s="3" t="n">
        <v>2.295</v>
      </c>
      <c r="U224" s="3" t="n">
        <v>6</v>
      </c>
      <c r="V224" s="3" t="n">
        <v>10999.31</v>
      </c>
      <c r="W224" s="42" t="n"/>
      <c r="X224" s="23" t="n"/>
      <c r="Y224" s="3">
        <f>IF(I224="","No SIC",IFERROR(VLOOKUP(I224,Ref!$A$2:$B$65,2,FALSE()),"Unclassified"))</f>
        <v/>
      </c>
      <c r="Z224" s="3">
        <f>IF(T224="","",IF(T224&lt;12,"Daily","Weekly"))</f>
        <v/>
      </c>
      <c r="AA224" s="3">
        <f>IF(T224="",0,IF(T224&lt;12,T224*Controls!$B$13,T224*5))</f>
        <v/>
      </c>
      <c r="AB224" s="3">
        <f>IF(E224="",0,NETWORKDAYS(E224,Controls!$B$20,Ref!$K$2:$K$42))</f>
        <v/>
      </c>
      <c r="AC224" s="3">
        <f>IF(OR(AF224=1,AND(AA224&gt;0,AB224&gt;=Controls!$B$23*AA224)),1,0)</f>
        <v/>
      </c>
      <c r="AD224" s="3">
        <f>IF(AND(E224&lt;&gt;"",E224&gt;=Controls!$B$21,E224&lt;=Controls!$B$22),1,0)</f>
        <v/>
      </c>
      <c r="AE224" s="3">
        <f>IF(IFERROR(VLOOKUP(D224,Controls!$A$36:$E$46,2,FALSE()),"No")="Yes",1,0)</f>
        <v/>
      </c>
      <c r="AF224" s="3">
        <f>IF(IFERROR(VLOOKUP(D224,Controls!$A$36:$E$46,3,FALSE()),"No")="Yes",1,0)</f>
        <v/>
      </c>
      <c r="AG224" s="3">
        <f>IF(IFERROR(VLOOKUP(D224,Controls!$A$36:$E$46,4,FALSE()),"No")="Yes",1,0)</f>
        <v/>
      </c>
      <c r="AH224" s="3">
        <f>IF(IFERROR(VLOOKUP(D224,Controls!$A$36:$E$46,5,FALSE()),"No")="Yes",1,0)</f>
        <v/>
      </c>
      <c r="AI224" s="3">
        <f>IF(ISNUMBER(MATCH(D224,Controls!$A$36:$A$46,0)),1,0)</f>
        <v/>
      </c>
      <c r="AJ224" s="28">
        <f>Q224-N224</f>
        <v/>
      </c>
      <c r="AK224" s="3">
        <f>IF(AE224=1,MAX(0,N224-Q224),0)</f>
        <v/>
      </c>
      <c r="AL224" s="3">
        <f>IF(OR(V224="",V224=0),0,N224/V224)</f>
        <v/>
      </c>
      <c r="AM224" s="3">
        <f>IF(OR(V224="",V224=0),0,1)</f>
        <v/>
      </c>
      <c r="AN224" s="3">
        <f>IF(OR(E224="",F224=""),0,NETWORKDAYS(E224,F224,Ref!$K$2:$K$42))</f>
        <v/>
      </c>
      <c r="AO224" s="3">
        <f>IF(L224="Renewal",1,0)</f>
        <v/>
      </c>
      <c r="AP224" s="3">
        <f>AC224*AD224</f>
        <v/>
      </c>
      <c r="AQ224" s="3">
        <f>IF(AND(G224&lt;&gt;"",'Historical Score'!$C$6&lt;&gt;""),IF(G224='Historical Score'!$C$6,1,0),0)</f>
        <v/>
      </c>
      <c r="AR224" s="3">
        <f>IF(AND(L224&lt;&gt;"",'Historical Score'!$C$5&lt;&gt;""),IF(L224='Historical Score'!$C$5,1,0),0)</f>
        <v/>
      </c>
      <c r="AS224" s="3">
        <f>IF(AND(Y224&lt;&gt;"",'Historical Score'!$C$7&lt;&gt;""),IF(Y224='Historical Score'!$C$7,1,0),0)</f>
        <v/>
      </c>
      <c r="AT224" s="3">
        <f>IF(AND(K224&lt;&gt;"",'Historical Score'!$C$8&lt;&gt;""),IF(K224='Historical Score'!$C$8,1,0),0)</f>
        <v/>
      </c>
      <c r="AU224" s="3" t="n"/>
      <c r="AV224" s="3" t="n"/>
      <c r="AW224" s="3" t="n"/>
      <c r="AX224" s="3" t="n"/>
      <c r="AY224" s="3" t="n"/>
      <c r="AZ224" s="3" t="n"/>
      <c r="BA224" s="182">
        <f>IF(AD224=1,(AR224*'Historical Score'!$K$29+1-'Historical Score'!$K$29)*(AT224*'Historical Score'!$L$29+1-'Historical Score'!$L$29)*(AS224*'Historical Score'!$M$29+1-'Historical Score'!$M$29)*(AQ224*'Historical Score'!$N$29+1-'Historical Score'!$N$29),0)</f>
        <v/>
      </c>
      <c r="BB224" s="3" t="n"/>
      <c r="BC224" s="3" t="n"/>
    </row>
    <row r="225" ht="15.75" customHeight="1" s="174">
      <c r="A225" s="3" t="inlineStr">
        <is>
          <t>5674165134</t>
        </is>
      </c>
      <c r="B225" s="3" t="inlineStr">
        <is>
          <t>TH Custom Finishes</t>
        </is>
      </c>
      <c r="C225" s="3" t="inlineStr">
        <is>
          <t>TH CUSTOM FINISHES LLC</t>
        </is>
      </c>
      <c r="D225" s="3" t="inlineStr">
        <is>
          <t>Legal</t>
        </is>
      </c>
      <c r="E225" s="23" t="n">
        <v>45898</v>
      </c>
      <c r="F225" s="23" t="n">
        <v>46234</v>
      </c>
      <c r="G225" s="3" t="n">
        <v>1</v>
      </c>
      <c r="H225" s="3" t="inlineStr">
        <is>
          <t>1521</t>
        </is>
      </c>
      <c r="I225" s="3" t="inlineStr">
        <is>
          <t>15</t>
        </is>
      </c>
      <c r="J225" s="3" t="inlineStr">
        <is>
          <t>AZ</t>
        </is>
      </c>
      <c r="K225" s="3" t="inlineStr">
        <is>
          <t>Shore Funding USA</t>
        </is>
      </c>
      <c r="L225" s="3" t="inlineStr">
        <is>
          <t>New Deal</t>
        </is>
      </c>
      <c r="M225" s="3" t="n">
        <v>1.49</v>
      </c>
      <c r="N225" s="28" t="n">
        <v>15000</v>
      </c>
      <c r="O225" s="28" t="n">
        <v>2100</v>
      </c>
      <c r="P225" s="28" t="n">
        <v>22350</v>
      </c>
      <c r="Q225" s="28" t="n">
        <v>8085.18</v>
      </c>
      <c r="R225" s="28" t="n">
        <v>14264.82</v>
      </c>
      <c r="S225" s="42" t="n">
        <v>0.361753020134228</v>
      </c>
      <c r="T225" s="3" t="n">
        <v>22</v>
      </c>
      <c r="U225" s="3" t="n">
        <v>15</v>
      </c>
      <c r="V225" s="3" t="n">
        <v>33457.75</v>
      </c>
      <c r="W225" s="42" t="n">
        <v>0.1215</v>
      </c>
      <c r="X225" s="23" t="n">
        <v>45156</v>
      </c>
      <c r="Y225" s="3">
        <f>IF(I225="","No SIC",IFERROR(VLOOKUP(I225,Ref!$A$2:$B$65,2,FALSE()),"Unclassified"))</f>
        <v/>
      </c>
      <c r="Z225" s="3">
        <f>IF(T225="","",IF(T225&lt;12,"Daily","Weekly"))</f>
        <v/>
      </c>
      <c r="AA225" s="3">
        <f>IF(T225="",0,IF(T225&lt;12,T225*Controls!$B$13,T225*5))</f>
        <v/>
      </c>
      <c r="AB225" s="3">
        <f>IF(E225="",0,NETWORKDAYS(E225,Controls!$B$20,Ref!$K$2:$K$42))</f>
        <v/>
      </c>
      <c r="AC225" s="3">
        <f>IF(OR(AF225=1,AND(AA225&gt;0,AB225&gt;=Controls!$B$23*AA225)),1,0)</f>
        <v/>
      </c>
      <c r="AD225" s="3">
        <f>IF(AND(E225&lt;&gt;"",E225&gt;=Controls!$B$21,E225&lt;=Controls!$B$22),1,0)</f>
        <v/>
      </c>
      <c r="AE225" s="3">
        <f>IF(IFERROR(VLOOKUP(D225,Controls!$A$36:$E$46,2,FALSE()),"No")="Yes",1,0)</f>
        <v/>
      </c>
      <c r="AF225" s="3">
        <f>IF(IFERROR(VLOOKUP(D225,Controls!$A$36:$E$46,3,FALSE()),"No")="Yes",1,0)</f>
        <v/>
      </c>
      <c r="AG225" s="3">
        <f>IF(IFERROR(VLOOKUP(D225,Controls!$A$36:$E$46,4,FALSE()),"No")="Yes",1,0)</f>
        <v/>
      </c>
      <c r="AH225" s="3">
        <f>IF(IFERROR(VLOOKUP(D225,Controls!$A$36:$E$46,5,FALSE()),"No")="Yes",1,0)</f>
        <v/>
      </c>
      <c r="AI225" s="3">
        <f>IF(ISNUMBER(MATCH(D225,Controls!$A$36:$A$46,0)),1,0)</f>
        <v/>
      </c>
      <c r="AJ225" s="28">
        <f>Q225-N225</f>
        <v/>
      </c>
      <c r="AK225" s="3">
        <f>IF(AE225=1,MAX(0,N225-Q225),0)</f>
        <v/>
      </c>
      <c r="AL225" s="3">
        <f>IF(OR(V225="",V225=0),0,N225/V225)</f>
        <v/>
      </c>
      <c r="AM225" s="3">
        <f>IF(OR(V225="",V225=0),0,1)</f>
        <v/>
      </c>
      <c r="AN225" s="3">
        <f>IF(OR(E225="",F225=""),0,NETWORKDAYS(E225,F225,Ref!$K$2:$K$42))</f>
        <v/>
      </c>
      <c r="AO225" s="3">
        <f>IF(L225="Renewal",1,0)</f>
        <v/>
      </c>
      <c r="AP225" s="3">
        <f>AC225*AD225</f>
        <v/>
      </c>
      <c r="AQ225" s="3">
        <f>IF(AND(G225&lt;&gt;"",'Historical Score'!$C$6&lt;&gt;""),IF(G225='Historical Score'!$C$6,1,0),0)</f>
        <v/>
      </c>
      <c r="AR225" s="3">
        <f>IF(AND(L225&lt;&gt;"",'Historical Score'!$C$5&lt;&gt;""),IF(L225='Historical Score'!$C$5,1,0),0)</f>
        <v/>
      </c>
      <c r="AS225" s="3">
        <f>IF(AND(Y225&lt;&gt;"",'Historical Score'!$C$7&lt;&gt;""),IF(Y225='Historical Score'!$C$7,1,0),0)</f>
        <v/>
      </c>
      <c r="AT225" s="3">
        <f>IF(AND(K225&lt;&gt;"",'Historical Score'!$C$8&lt;&gt;""),IF(K225='Historical Score'!$C$8,1,0),0)</f>
        <v/>
      </c>
      <c r="AU225" s="3" t="n"/>
      <c r="AV225" s="3" t="n"/>
      <c r="AW225" s="3" t="n"/>
      <c r="AX225" s="3" t="n"/>
      <c r="AY225" s="3" t="n"/>
      <c r="AZ225" s="3" t="n"/>
      <c r="BA225" s="182">
        <f>IF(AD225=1,(AR225*'Historical Score'!$K$29+1-'Historical Score'!$K$29)*(AT225*'Historical Score'!$L$29+1-'Historical Score'!$L$29)*(AS225*'Historical Score'!$M$29+1-'Historical Score'!$M$29)*(AQ225*'Historical Score'!$N$29+1-'Historical Score'!$N$29),0)</f>
        <v/>
      </c>
      <c r="BB225" s="3" t="n"/>
      <c r="BC225" s="3" t="n"/>
    </row>
    <row r="226" ht="15.75" customHeight="1" s="174">
      <c r="A226" s="3" t="inlineStr">
        <is>
          <t>5674165155</t>
        </is>
      </c>
      <c r="B226" s="3" t="inlineStr">
        <is>
          <t>MANASSES HENRY FURNITURE</t>
        </is>
      </c>
      <c r="C226" s="3" t="inlineStr">
        <is>
          <t>MANASSES HENRY FURNITURE</t>
        </is>
      </c>
      <c r="D226" s="3" t="inlineStr">
        <is>
          <t>Closed</t>
        </is>
      </c>
      <c r="E226" s="23" t="n">
        <v>45898</v>
      </c>
      <c r="F226" s="23" t="n">
        <v>45981</v>
      </c>
      <c r="G226" s="3" t="n">
        <v>3</v>
      </c>
      <c r="H226" s="3" t="inlineStr">
        <is>
          <t>5999</t>
        </is>
      </c>
      <c r="I226" s="3" t="inlineStr">
        <is>
          <t>59</t>
        </is>
      </c>
      <c r="J226" s="3" t="inlineStr">
        <is>
          <t>IN</t>
        </is>
      </c>
      <c r="K226" s="3" t="inlineStr">
        <is>
          <t>Shield Funding</t>
        </is>
      </c>
      <c r="L226" s="3" t="inlineStr">
        <is>
          <t>New Deal</t>
        </is>
      </c>
      <c r="M226" s="3" t="n">
        <v>1.49</v>
      </c>
      <c r="N226" s="28" t="n">
        <v>17000</v>
      </c>
      <c r="O226" s="28" t="n">
        <v>2380</v>
      </c>
      <c r="P226" s="28" t="n">
        <v>25330</v>
      </c>
      <c r="Q226" s="28" t="n">
        <v>25330</v>
      </c>
      <c r="R226" s="28" t="n">
        <v>0</v>
      </c>
      <c r="S226" s="42" t="n">
        <v>1</v>
      </c>
      <c r="T226" s="3" t="n">
        <v>17</v>
      </c>
      <c r="U226" s="3" t="n">
        <v>1</v>
      </c>
      <c r="V226" s="3" t="n">
        <v>56713.1</v>
      </c>
      <c r="W226" s="42" t="n">
        <v>0.1051</v>
      </c>
      <c r="X226" s="23" t="n">
        <v>42308</v>
      </c>
      <c r="Y226" s="3">
        <f>IF(I226="","No SIC",IFERROR(VLOOKUP(I226,Ref!$A$2:$B$65,2,FALSE()),"Unclassified"))</f>
        <v/>
      </c>
      <c r="Z226" s="3">
        <f>IF(T226="","",IF(T226&lt;12,"Daily","Weekly"))</f>
        <v/>
      </c>
      <c r="AA226" s="3">
        <f>IF(T226="",0,IF(T226&lt;12,T226*Controls!$B$13,T226*5))</f>
        <v/>
      </c>
      <c r="AB226" s="3">
        <f>IF(E226="",0,NETWORKDAYS(E226,Controls!$B$20,Ref!$K$2:$K$42))</f>
        <v/>
      </c>
      <c r="AC226" s="3">
        <f>IF(OR(AF226=1,AND(AA226&gt;0,AB226&gt;=Controls!$B$23*AA226)),1,0)</f>
        <v/>
      </c>
      <c r="AD226" s="3">
        <f>IF(AND(E226&lt;&gt;"",E226&gt;=Controls!$B$21,E226&lt;=Controls!$B$22),1,0)</f>
        <v/>
      </c>
      <c r="AE226" s="3">
        <f>IF(IFERROR(VLOOKUP(D226,Controls!$A$36:$E$46,2,FALSE()),"No")="Yes",1,0)</f>
        <v/>
      </c>
      <c r="AF226" s="3">
        <f>IF(IFERROR(VLOOKUP(D226,Controls!$A$36:$E$46,3,FALSE()),"No")="Yes",1,0)</f>
        <v/>
      </c>
      <c r="AG226" s="3">
        <f>IF(IFERROR(VLOOKUP(D226,Controls!$A$36:$E$46,4,FALSE()),"No")="Yes",1,0)</f>
        <v/>
      </c>
      <c r="AH226" s="3">
        <f>IF(IFERROR(VLOOKUP(D226,Controls!$A$36:$E$46,5,FALSE()),"No")="Yes",1,0)</f>
        <v/>
      </c>
      <c r="AI226" s="3">
        <f>IF(ISNUMBER(MATCH(D226,Controls!$A$36:$A$46,0)),1,0)</f>
        <v/>
      </c>
      <c r="AJ226" s="28">
        <f>Q226-N226</f>
        <v/>
      </c>
      <c r="AK226" s="3">
        <f>IF(AE226=1,MAX(0,N226-Q226),0)</f>
        <v/>
      </c>
      <c r="AL226" s="3">
        <f>IF(OR(V226="",V226=0),0,N226/V226)</f>
        <v/>
      </c>
      <c r="AM226" s="3">
        <f>IF(OR(V226="",V226=0),0,1)</f>
        <v/>
      </c>
      <c r="AN226" s="3">
        <f>IF(OR(E226="",F226=""),0,NETWORKDAYS(E226,F226,Ref!$K$2:$K$42))</f>
        <v/>
      </c>
      <c r="AO226" s="3">
        <f>IF(L226="Renewal",1,0)</f>
        <v/>
      </c>
      <c r="AP226" s="3">
        <f>AC226*AD226</f>
        <v/>
      </c>
      <c r="AQ226" s="3">
        <f>IF(AND(G226&lt;&gt;"",'Historical Score'!$C$6&lt;&gt;""),IF(G226='Historical Score'!$C$6,1,0),0)</f>
        <v/>
      </c>
      <c r="AR226" s="3">
        <f>IF(AND(L226&lt;&gt;"",'Historical Score'!$C$5&lt;&gt;""),IF(L226='Historical Score'!$C$5,1,0),0)</f>
        <v/>
      </c>
      <c r="AS226" s="3">
        <f>IF(AND(Y226&lt;&gt;"",'Historical Score'!$C$7&lt;&gt;""),IF(Y226='Historical Score'!$C$7,1,0),0)</f>
        <v/>
      </c>
      <c r="AT226" s="3">
        <f>IF(AND(K226&lt;&gt;"",'Historical Score'!$C$8&lt;&gt;""),IF(K226='Historical Score'!$C$8,1,0),0)</f>
        <v/>
      </c>
      <c r="AU226" s="3" t="n"/>
      <c r="AV226" s="3" t="n"/>
      <c r="AW226" s="3" t="n"/>
      <c r="AX226" s="3" t="n"/>
      <c r="AY226" s="3" t="n"/>
      <c r="AZ226" s="3" t="n"/>
      <c r="BA226" s="182">
        <f>IF(AD226=1,(AR226*'Historical Score'!$K$29+1-'Historical Score'!$K$29)*(AT226*'Historical Score'!$L$29+1-'Historical Score'!$L$29)*(AS226*'Historical Score'!$M$29+1-'Historical Score'!$M$29)*(AQ226*'Historical Score'!$N$29+1-'Historical Score'!$N$29),0)</f>
        <v/>
      </c>
      <c r="BB226" s="3" t="n"/>
      <c r="BC226" s="3" t="n"/>
    </row>
    <row r="227" ht="15.75" customHeight="1" s="174">
      <c r="A227" s="3" t="inlineStr">
        <is>
          <t>5674165163</t>
        </is>
      </c>
      <c r="B227" s="3" t="inlineStr">
        <is>
          <t>JUST-IN-TIME LANDSCAPING LLC</t>
        </is>
      </c>
      <c r="C227" s="3" t="inlineStr">
        <is>
          <t>JUST-IN-TIME LANDSCAPING LLC</t>
        </is>
      </c>
      <c r="D227" s="3" t="inlineStr">
        <is>
          <t>In House Collection</t>
        </is>
      </c>
      <c r="E227" s="23" t="n">
        <v>45898</v>
      </c>
      <c r="F227" s="23" t="n">
        <v>46224</v>
      </c>
      <c r="G227" s="3" t="n">
        <v>3</v>
      </c>
      <c r="H227" s="3" t="inlineStr">
        <is>
          <t>0781</t>
        </is>
      </c>
      <c r="I227" s="3" t="inlineStr">
        <is>
          <t>07</t>
        </is>
      </c>
      <c r="J227" s="3" t="inlineStr">
        <is>
          <t>AZ</t>
        </is>
      </c>
      <c r="K227" s="3" t="inlineStr">
        <is>
          <t>United Secured Capital 8</t>
        </is>
      </c>
      <c r="L227" s="3" t="inlineStr">
        <is>
          <t>New Deal</t>
        </is>
      </c>
      <c r="M227" s="3" t="n">
        <v>1.5</v>
      </c>
      <c r="N227" s="28" t="n">
        <v>10000</v>
      </c>
      <c r="O227" s="28" t="n">
        <v>1400</v>
      </c>
      <c r="P227" s="28" t="n">
        <v>15000</v>
      </c>
      <c r="Q227" s="28" t="n">
        <v>14421.4</v>
      </c>
      <c r="R227" s="28" t="n">
        <v>578.6</v>
      </c>
      <c r="S227" s="42" t="n">
        <v>0.961426666666667</v>
      </c>
      <c r="T227" s="3" t="n">
        <v>16</v>
      </c>
      <c r="U227" s="3" t="n">
        <v>10</v>
      </c>
      <c r="V227" s="3" t="n"/>
      <c r="W227" s="42" t="n">
        <v>0.08309999999999999</v>
      </c>
      <c r="X227" s="23" t="n">
        <v>43835</v>
      </c>
      <c r="Y227" s="3">
        <f>IF(I227="","No SIC",IFERROR(VLOOKUP(I227,Ref!$A$2:$B$65,2,FALSE()),"Unclassified"))</f>
        <v/>
      </c>
      <c r="Z227" s="3">
        <f>IF(T227="","",IF(T227&lt;12,"Daily","Weekly"))</f>
        <v/>
      </c>
      <c r="AA227" s="3">
        <f>IF(T227="",0,IF(T227&lt;12,T227*Controls!$B$13,T227*5))</f>
        <v/>
      </c>
      <c r="AB227" s="3">
        <f>IF(E227="",0,NETWORKDAYS(E227,Controls!$B$20,Ref!$K$2:$K$42))</f>
        <v/>
      </c>
      <c r="AC227" s="3">
        <f>IF(OR(AF227=1,AND(AA227&gt;0,AB227&gt;=Controls!$B$23*AA227)),1,0)</f>
        <v/>
      </c>
      <c r="AD227" s="3">
        <f>IF(AND(E227&lt;&gt;"",E227&gt;=Controls!$B$21,E227&lt;=Controls!$B$22),1,0)</f>
        <v/>
      </c>
      <c r="AE227" s="3">
        <f>IF(IFERROR(VLOOKUP(D227,Controls!$A$36:$E$46,2,FALSE()),"No")="Yes",1,0)</f>
        <v/>
      </c>
      <c r="AF227" s="3">
        <f>IF(IFERROR(VLOOKUP(D227,Controls!$A$36:$E$46,3,FALSE()),"No")="Yes",1,0)</f>
        <v/>
      </c>
      <c r="AG227" s="3">
        <f>IF(IFERROR(VLOOKUP(D227,Controls!$A$36:$E$46,4,FALSE()),"No")="Yes",1,0)</f>
        <v/>
      </c>
      <c r="AH227" s="3">
        <f>IF(IFERROR(VLOOKUP(D227,Controls!$A$36:$E$46,5,FALSE()),"No")="Yes",1,0)</f>
        <v/>
      </c>
      <c r="AI227" s="3">
        <f>IF(ISNUMBER(MATCH(D227,Controls!$A$36:$A$46,0)),1,0)</f>
        <v/>
      </c>
      <c r="AJ227" s="28">
        <f>Q227-N227</f>
        <v/>
      </c>
      <c r="AK227" s="3">
        <f>IF(AE227=1,MAX(0,N227-Q227),0)</f>
        <v/>
      </c>
      <c r="AL227" s="3">
        <f>IF(OR(V227="",V227=0),0,N227/V227)</f>
        <v/>
      </c>
      <c r="AM227" s="3">
        <f>IF(OR(V227="",V227=0),0,1)</f>
        <v/>
      </c>
      <c r="AN227" s="3">
        <f>IF(OR(E227="",F227=""),0,NETWORKDAYS(E227,F227,Ref!$K$2:$K$42))</f>
        <v/>
      </c>
      <c r="AO227" s="3">
        <f>IF(L227="Renewal",1,0)</f>
        <v/>
      </c>
      <c r="AP227" s="3">
        <f>AC227*AD227</f>
        <v/>
      </c>
      <c r="AQ227" s="3">
        <f>IF(AND(G227&lt;&gt;"",'Historical Score'!$C$6&lt;&gt;""),IF(G227='Historical Score'!$C$6,1,0),0)</f>
        <v/>
      </c>
      <c r="AR227" s="3">
        <f>IF(AND(L227&lt;&gt;"",'Historical Score'!$C$5&lt;&gt;""),IF(L227='Historical Score'!$C$5,1,0),0)</f>
        <v/>
      </c>
      <c r="AS227" s="3">
        <f>IF(AND(Y227&lt;&gt;"",'Historical Score'!$C$7&lt;&gt;""),IF(Y227='Historical Score'!$C$7,1,0),0)</f>
        <v/>
      </c>
      <c r="AT227" s="3">
        <f>IF(AND(K227&lt;&gt;"",'Historical Score'!$C$8&lt;&gt;""),IF(K227='Historical Score'!$C$8,1,0),0)</f>
        <v/>
      </c>
      <c r="AU227" s="3" t="n"/>
      <c r="AV227" s="3" t="n"/>
      <c r="AW227" s="3" t="n"/>
      <c r="AX227" s="3" t="n"/>
      <c r="AY227" s="3" t="n"/>
      <c r="AZ227" s="3" t="n"/>
      <c r="BA227" s="182">
        <f>IF(AD227=1,(AR227*'Historical Score'!$K$29+1-'Historical Score'!$K$29)*(AT227*'Historical Score'!$L$29+1-'Historical Score'!$L$29)*(AS227*'Historical Score'!$M$29+1-'Historical Score'!$M$29)*(AQ227*'Historical Score'!$N$29+1-'Historical Score'!$N$29),0)</f>
        <v/>
      </c>
      <c r="BB227" s="3" t="n"/>
      <c r="BC227" s="3" t="n"/>
    </row>
    <row r="228" ht="15.75" customHeight="1" s="174">
      <c r="A228" s="3" t="inlineStr">
        <is>
          <t>5674165354</t>
        </is>
      </c>
      <c r="B228" s="3" t="inlineStr">
        <is>
          <t>EASY PARKING</t>
        </is>
      </c>
      <c r="C228" s="3" t="inlineStr">
        <is>
          <t>Easy Parking LLC</t>
        </is>
      </c>
      <c r="D228" s="3" t="inlineStr">
        <is>
          <t>Legal</t>
        </is>
      </c>
      <c r="E228" s="23" t="n">
        <v>45903</v>
      </c>
      <c r="F228" s="23" t="n">
        <v>45959</v>
      </c>
      <c r="G228" s="3" t="n">
        <v>4</v>
      </c>
      <c r="H228" s="3" t="inlineStr">
        <is>
          <t>7521</t>
        </is>
      </c>
      <c r="I228" s="3" t="inlineStr">
        <is>
          <t>75</t>
        </is>
      </c>
      <c r="J228" s="3" t="inlineStr">
        <is>
          <t>GA</t>
        </is>
      </c>
      <c r="K228" s="3" t="inlineStr">
        <is>
          <t>American Funding Association 1</t>
        </is>
      </c>
      <c r="L228" s="3" t="inlineStr">
        <is>
          <t>New Deal</t>
        </is>
      </c>
      <c r="M228" s="3" t="n">
        <v>1.38</v>
      </c>
      <c r="N228" s="28" t="n">
        <v>30000</v>
      </c>
      <c r="O228" s="28" t="n">
        <v>0</v>
      </c>
      <c r="P228" s="28" t="n">
        <v>41400</v>
      </c>
      <c r="Q228" s="28" t="n">
        <v>3764.5</v>
      </c>
      <c r="R228" s="28" t="n">
        <v>37635.5</v>
      </c>
      <c r="S228" s="42" t="n">
        <v>0.0909299516908213</v>
      </c>
      <c r="T228" s="3" t="n">
        <v>22</v>
      </c>
      <c r="U228" s="3" t="n">
        <v>13</v>
      </c>
      <c r="V228" s="3" t="n">
        <v>91929.23</v>
      </c>
      <c r="W228" s="42" t="n">
        <v>0.0819</v>
      </c>
      <c r="X228" s="23" t="n">
        <v>41506</v>
      </c>
      <c r="Y228" s="3">
        <f>IF(I228="","No SIC",IFERROR(VLOOKUP(I228,Ref!$A$2:$B$65,2,FALSE()),"Unclassified"))</f>
        <v/>
      </c>
      <c r="Z228" s="3">
        <f>IF(T228="","",IF(T228&lt;12,"Daily","Weekly"))</f>
        <v/>
      </c>
      <c r="AA228" s="3">
        <f>IF(T228="",0,IF(T228&lt;12,T228*Controls!$B$13,T228*5))</f>
        <v/>
      </c>
      <c r="AB228" s="3">
        <f>IF(E228="",0,NETWORKDAYS(E228,Controls!$B$20,Ref!$K$2:$K$42))</f>
        <v/>
      </c>
      <c r="AC228" s="3">
        <f>IF(OR(AF228=1,AND(AA228&gt;0,AB228&gt;=Controls!$B$23*AA228)),1,0)</f>
        <v/>
      </c>
      <c r="AD228" s="3">
        <f>IF(AND(E228&lt;&gt;"",E228&gt;=Controls!$B$21,E228&lt;=Controls!$B$22),1,0)</f>
        <v/>
      </c>
      <c r="AE228" s="3">
        <f>IF(IFERROR(VLOOKUP(D228,Controls!$A$36:$E$46,2,FALSE()),"No")="Yes",1,0)</f>
        <v/>
      </c>
      <c r="AF228" s="3">
        <f>IF(IFERROR(VLOOKUP(D228,Controls!$A$36:$E$46,3,FALSE()),"No")="Yes",1,0)</f>
        <v/>
      </c>
      <c r="AG228" s="3">
        <f>IF(IFERROR(VLOOKUP(D228,Controls!$A$36:$E$46,4,FALSE()),"No")="Yes",1,0)</f>
        <v/>
      </c>
      <c r="AH228" s="3">
        <f>IF(IFERROR(VLOOKUP(D228,Controls!$A$36:$E$46,5,FALSE()),"No")="Yes",1,0)</f>
        <v/>
      </c>
      <c r="AI228" s="3">
        <f>IF(ISNUMBER(MATCH(D228,Controls!$A$36:$A$46,0)),1,0)</f>
        <v/>
      </c>
      <c r="AJ228" s="28">
        <f>Q228-N228</f>
        <v/>
      </c>
      <c r="AK228" s="3">
        <f>IF(AE228=1,MAX(0,N228-Q228),0)</f>
        <v/>
      </c>
      <c r="AL228" s="3">
        <f>IF(OR(V228="",V228=0),0,N228/V228)</f>
        <v/>
      </c>
      <c r="AM228" s="3">
        <f>IF(OR(V228="",V228=0),0,1)</f>
        <v/>
      </c>
      <c r="AN228" s="3">
        <f>IF(OR(E228="",F228=""),0,NETWORKDAYS(E228,F228,Ref!$K$2:$K$42))</f>
        <v/>
      </c>
      <c r="AO228" s="3">
        <f>IF(L228="Renewal",1,0)</f>
        <v/>
      </c>
      <c r="AP228" s="3">
        <f>AC228*AD228</f>
        <v/>
      </c>
      <c r="AQ228" s="3">
        <f>IF(AND(G228&lt;&gt;"",'Historical Score'!$C$6&lt;&gt;""),IF(G228='Historical Score'!$C$6,1,0),0)</f>
        <v/>
      </c>
      <c r="AR228" s="3">
        <f>IF(AND(L228&lt;&gt;"",'Historical Score'!$C$5&lt;&gt;""),IF(L228='Historical Score'!$C$5,1,0),0)</f>
        <v/>
      </c>
      <c r="AS228" s="3">
        <f>IF(AND(Y228&lt;&gt;"",'Historical Score'!$C$7&lt;&gt;""),IF(Y228='Historical Score'!$C$7,1,0),0)</f>
        <v/>
      </c>
      <c r="AT228" s="3">
        <f>IF(AND(K228&lt;&gt;"",'Historical Score'!$C$8&lt;&gt;""),IF(K228='Historical Score'!$C$8,1,0),0)</f>
        <v/>
      </c>
      <c r="AU228" s="3" t="n"/>
      <c r="AV228" s="3" t="n"/>
      <c r="AW228" s="3" t="n"/>
      <c r="AX228" s="3" t="n"/>
      <c r="AY228" s="3" t="n"/>
      <c r="AZ228" s="3" t="n"/>
      <c r="BA228" s="182">
        <f>IF(AD228=1,(AR228*'Historical Score'!$K$29+1-'Historical Score'!$K$29)*(AT228*'Historical Score'!$L$29+1-'Historical Score'!$L$29)*(AS228*'Historical Score'!$M$29+1-'Historical Score'!$M$29)*(AQ228*'Historical Score'!$N$29+1-'Historical Score'!$N$29),0)</f>
        <v/>
      </c>
      <c r="BB228" s="3" t="n"/>
      <c r="BC228" s="3" t="n"/>
    </row>
    <row r="229" ht="15.75" customHeight="1" s="174">
      <c r="A229" s="3" t="inlineStr">
        <is>
          <t>5674165467</t>
        </is>
      </c>
      <c r="B229" s="3" t="inlineStr">
        <is>
          <t>Bass Unique Services</t>
        </is>
      </c>
      <c r="C229" s="3" t="inlineStr">
        <is>
          <t>Bass Unique Services</t>
        </is>
      </c>
      <c r="D229" s="3" t="inlineStr">
        <is>
          <t>Closed</t>
        </is>
      </c>
      <c r="E229" s="23" t="n">
        <v>45903</v>
      </c>
      <c r="F229" s="23" t="n">
        <v>45986</v>
      </c>
      <c r="G229" s="3" t="n">
        <v>3</v>
      </c>
      <c r="H229" s="3" t="inlineStr">
        <is>
          <t>1521</t>
        </is>
      </c>
      <c r="I229" s="3" t="inlineStr">
        <is>
          <t>15</t>
        </is>
      </c>
      <c r="J229" s="3" t="inlineStr">
        <is>
          <t>FL</t>
        </is>
      </c>
      <c r="K229" s="3" t="inlineStr">
        <is>
          <t>WOTR Enterprise LLC</t>
        </is>
      </c>
      <c r="L229" s="3" t="inlineStr">
        <is>
          <t>Renewal</t>
        </is>
      </c>
      <c r="M229" s="3" t="n">
        <v>1.49</v>
      </c>
      <c r="N229" s="28" t="n">
        <v>18000</v>
      </c>
      <c r="O229" s="28" t="n">
        <v>2520</v>
      </c>
      <c r="P229" s="28" t="n">
        <v>26820</v>
      </c>
      <c r="Q229" s="28" t="n">
        <v>26820</v>
      </c>
      <c r="R229" s="28" t="n">
        <v>0</v>
      </c>
      <c r="S229" s="42" t="n">
        <v>1</v>
      </c>
      <c r="T229" s="3" t="n">
        <v>3.279</v>
      </c>
      <c r="U229" s="3" t="n">
        <v>0</v>
      </c>
      <c r="V229" s="3" t="n">
        <v>50449.57</v>
      </c>
      <c r="W229" s="42" t="n">
        <v>0.0998</v>
      </c>
      <c r="X229" s="23" t="n">
        <v>43647</v>
      </c>
      <c r="Y229" s="3">
        <f>IF(I229="","No SIC",IFERROR(VLOOKUP(I229,Ref!$A$2:$B$65,2,FALSE()),"Unclassified"))</f>
        <v/>
      </c>
      <c r="Z229" s="3">
        <f>IF(T229="","",IF(T229&lt;12,"Daily","Weekly"))</f>
        <v/>
      </c>
      <c r="AA229" s="3">
        <f>IF(T229="",0,IF(T229&lt;12,T229*Controls!$B$13,T229*5))</f>
        <v/>
      </c>
      <c r="AB229" s="3">
        <f>IF(E229="",0,NETWORKDAYS(E229,Controls!$B$20,Ref!$K$2:$K$42))</f>
        <v/>
      </c>
      <c r="AC229" s="3">
        <f>IF(OR(AF229=1,AND(AA229&gt;0,AB229&gt;=Controls!$B$23*AA229)),1,0)</f>
        <v/>
      </c>
      <c r="AD229" s="3">
        <f>IF(AND(E229&lt;&gt;"",E229&gt;=Controls!$B$21,E229&lt;=Controls!$B$22),1,0)</f>
        <v/>
      </c>
      <c r="AE229" s="3">
        <f>IF(IFERROR(VLOOKUP(D229,Controls!$A$36:$E$46,2,FALSE()),"No")="Yes",1,0)</f>
        <v/>
      </c>
      <c r="AF229" s="3">
        <f>IF(IFERROR(VLOOKUP(D229,Controls!$A$36:$E$46,3,FALSE()),"No")="Yes",1,0)</f>
        <v/>
      </c>
      <c r="AG229" s="3">
        <f>IF(IFERROR(VLOOKUP(D229,Controls!$A$36:$E$46,4,FALSE()),"No")="Yes",1,0)</f>
        <v/>
      </c>
      <c r="AH229" s="3">
        <f>IF(IFERROR(VLOOKUP(D229,Controls!$A$36:$E$46,5,FALSE()),"No")="Yes",1,0)</f>
        <v/>
      </c>
      <c r="AI229" s="3">
        <f>IF(ISNUMBER(MATCH(D229,Controls!$A$36:$A$46,0)),1,0)</f>
        <v/>
      </c>
      <c r="AJ229" s="28">
        <f>Q229-N229</f>
        <v/>
      </c>
      <c r="AK229" s="3">
        <f>IF(AE229=1,MAX(0,N229-Q229),0)</f>
        <v/>
      </c>
      <c r="AL229" s="3">
        <f>IF(OR(V229="",V229=0),0,N229/V229)</f>
        <v/>
      </c>
      <c r="AM229" s="3">
        <f>IF(OR(V229="",V229=0),0,1)</f>
        <v/>
      </c>
      <c r="AN229" s="3">
        <f>IF(OR(E229="",F229=""),0,NETWORKDAYS(E229,F229,Ref!$K$2:$K$42))</f>
        <v/>
      </c>
      <c r="AO229" s="3">
        <f>IF(L229="Renewal",1,0)</f>
        <v/>
      </c>
      <c r="AP229" s="3">
        <f>AC229*AD229</f>
        <v/>
      </c>
      <c r="AQ229" s="3">
        <f>IF(AND(G229&lt;&gt;"",'Historical Score'!$C$6&lt;&gt;""),IF(G229='Historical Score'!$C$6,1,0),0)</f>
        <v/>
      </c>
      <c r="AR229" s="3">
        <f>IF(AND(L229&lt;&gt;"",'Historical Score'!$C$5&lt;&gt;""),IF(L229='Historical Score'!$C$5,1,0),0)</f>
        <v/>
      </c>
      <c r="AS229" s="3">
        <f>IF(AND(Y229&lt;&gt;"",'Historical Score'!$C$7&lt;&gt;""),IF(Y229='Historical Score'!$C$7,1,0),0)</f>
        <v/>
      </c>
      <c r="AT229" s="3">
        <f>IF(AND(K229&lt;&gt;"",'Historical Score'!$C$8&lt;&gt;""),IF(K229='Historical Score'!$C$8,1,0),0)</f>
        <v/>
      </c>
      <c r="AU229" s="3" t="n"/>
      <c r="AV229" s="3" t="n"/>
      <c r="AW229" s="3" t="n"/>
      <c r="AX229" s="3" t="n"/>
      <c r="AY229" s="3" t="n"/>
      <c r="AZ229" s="3" t="n"/>
      <c r="BA229" s="182">
        <f>IF(AD229=1,(AR229*'Historical Score'!$K$29+1-'Historical Score'!$K$29)*(AT229*'Historical Score'!$L$29+1-'Historical Score'!$L$29)*(AS229*'Historical Score'!$M$29+1-'Historical Score'!$M$29)*(AQ229*'Historical Score'!$N$29+1-'Historical Score'!$N$29),0)</f>
        <v/>
      </c>
      <c r="BB229" s="3" t="n"/>
      <c r="BC229" s="3" t="n"/>
    </row>
    <row r="230" ht="15.75" customHeight="1" s="174">
      <c r="A230" s="3" t="inlineStr">
        <is>
          <t>5674165546</t>
        </is>
      </c>
      <c r="B230" s="3" t="inlineStr">
        <is>
          <t>The Dent Mann</t>
        </is>
      </c>
      <c r="C230" s="3" t="inlineStr">
        <is>
          <t>The Dent Mann</t>
        </is>
      </c>
      <c r="D230" s="3" t="inlineStr">
        <is>
          <t>Closed</t>
        </is>
      </c>
      <c r="E230" s="23" t="n">
        <v>45904</v>
      </c>
      <c r="F230" s="23" t="n">
        <v>46055</v>
      </c>
      <c r="G230" s="3" t="n">
        <v>2</v>
      </c>
      <c r="H230" s="3" t="inlineStr">
        <is>
          <t>7538</t>
        </is>
      </c>
      <c r="I230" s="3" t="inlineStr">
        <is>
          <t>75</t>
        </is>
      </c>
      <c r="J230" s="3" t="inlineStr">
        <is>
          <t>OK</t>
        </is>
      </c>
      <c r="K230" s="3" t="inlineStr">
        <is>
          <t>AVON ADVANCE</t>
        </is>
      </c>
      <c r="L230" s="3" t="inlineStr">
        <is>
          <t>New Deal</t>
        </is>
      </c>
      <c r="M230" s="3" t="n">
        <v>1.499</v>
      </c>
      <c r="N230" s="28" t="n">
        <v>10000</v>
      </c>
      <c r="O230" s="28" t="n">
        <v>1400</v>
      </c>
      <c r="P230" s="28" t="n">
        <v>14990</v>
      </c>
      <c r="Q230" s="28" t="n">
        <v>14990</v>
      </c>
      <c r="R230" s="28" t="n">
        <v>1.81898940354586e-12</v>
      </c>
      <c r="S230" s="42" t="n">
        <v>1</v>
      </c>
      <c r="T230" s="3" t="n">
        <v>2.951</v>
      </c>
      <c r="U230" s="3" t="n">
        <v>11</v>
      </c>
      <c r="V230" s="3" t="n">
        <v>32903.61</v>
      </c>
      <c r="W230" s="42" t="n">
        <v>0.1057</v>
      </c>
      <c r="X230" s="23" t="n"/>
      <c r="Y230" s="3">
        <f>IF(I230="","No SIC",IFERROR(VLOOKUP(I230,Ref!$A$2:$B$65,2,FALSE()),"Unclassified"))</f>
        <v/>
      </c>
      <c r="Z230" s="3">
        <f>IF(T230="","",IF(T230&lt;12,"Daily","Weekly"))</f>
        <v/>
      </c>
      <c r="AA230" s="3">
        <f>IF(T230="",0,IF(T230&lt;12,T230*Controls!$B$13,T230*5))</f>
        <v/>
      </c>
      <c r="AB230" s="3">
        <f>IF(E230="",0,NETWORKDAYS(E230,Controls!$B$20,Ref!$K$2:$K$42))</f>
        <v/>
      </c>
      <c r="AC230" s="3">
        <f>IF(OR(AF230=1,AND(AA230&gt;0,AB230&gt;=Controls!$B$23*AA230)),1,0)</f>
        <v/>
      </c>
      <c r="AD230" s="3">
        <f>IF(AND(E230&lt;&gt;"",E230&gt;=Controls!$B$21,E230&lt;=Controls!$B$22),1,0)</f>
        <v/>
      </c>
      <c r="AE230" s="3">
        <f>IF(IFERROR(VLOOKUP(D230,Controls!$A$36:$E$46,2,FALSE()),"No")="Yes",1,0)</f>
        <v/>
      </c>
      <c r="AF230" s="3">
        <f>IF(IFERROR(VLOOKUP(D230,Controls!$A$36:$E$46,3,FALSE()),"No")="Yes",1,0)</f>
        <v/>
      </c>
      <c r="AG230" s="3">
        <f>IF(IFERROR(VLOOKUP(D230,Controls!$A$36:$E$46,4,FALSE()),"No")="Yes",1,0)</f>
        <v/>
      </c>
      <c r="AH230" s="3">
        <f>IF(IFERROR(VLOOKUP(D230,Controls!$A$36:$E$46,5,FALSE()),"No")="Yes",1,0)</f>
        <v/>
      </c>
      <c r="AI230" s="3">
        <f>IF(ISNUMBER(MATCH(D230,Controls!$A$36:$A$46,0)),1,0)</f>
        <v/>
      </c>
      <c r="AJ230" s="28">
        <f>Q230-N230</f>
        <v/>
      </c>
      <c r="AK230" s="3">
        <f>IF(AE230=1,MAX(0,N230-Q230),0)</f>
        <v/>
      </c>
      <c r="AL230" s="3">
        <f>IF(OR(V230="",V230=0),0,N230/V230)</f>
        <v/>
      </c>
      <c r="AM230" s="3">
        <f>IF(OR(V230="",V230=0),0,1)</f>
        <v/>
      </c>
      <c r="AN230" s="3">
        <f>IF(OR(E230="",F230=""),0,NETWORKDAYS(E230,F230,Ref!$K$2:$K$42))</f>
        <v/>
      </c>
      <c r="AO230" s="3">
        <f>IF(L230="Renewal",1,0)</f>
        <v/>
      </c>
      <c r="AP230" s="3">
        <f>AC230*AD230</f>
        <v/>
      </c>
      <c r="AQ230" s="3">
        <f>IF(AND(G230&lt;&gt;"",'Historical Score'!$C$6&lt;&gt;""),IF(G230='Historical Score'!$C$6,1,0),0)</f>
        <v/>
      </c>
      <c r="AR230" s="3">
        <f>IF(AND(L230&lt;&gt;"",'Historical Score'!$C$5&lt;&gt;""),IF(L230='Historical Score'!$C$5,1,0),0)</f>
        <v/>
      </c>
      <c r="AS230" s="3">
        <f>IF(AND(Y230&lt;&gt;"",'Historical Score'!$C$7&lt;&gt;""),IF(Y230='Historical Score'!$C$7,1,0),0)</f>
        <v/>
      </c>
      <c r="AT230" s="3">
        <f>IF(AND(K230&lt;&gt;"",'Historical Score'!$C$8&lt;&gt;""),IF(K230='Historical Score'!$C$8,1,0),0)</f>
        <v/>
      </c>
      <c r="AU230" s="3" t="n"/>
      <c r="AV230" s="3" t="n"/>
      <c r="AW230" s="3" t="n"/>
      <c r="AX230" s="3" t="n"/>
      <c r="AY230" s="3" t="n"/>
      <c r="AZ230" s="3" t="n"/>
      <c r="BA230" s="182">
        <f>IF(AD230=1,(AR230*'Historical Score'!$K$29+1-'Historical Score'!$K$29)*(AT230*'Historical Score'!$L$29+1-'Historical Score'!$L$29)*(AS230*'Historical Score'!$M$29+1-'Historical Score'!$M$29)*(AQ230*'Historical Score'!$N$29+1-'Historical Score'!$N$29),0)</f>
        <v/>
      </c>
      <c r="BB230" s="3" t="n"/>
      <c r="BC230" s="3" t="n"/>
    </row>
    <row r="231" ht="15.75" customHeight="1" s="174">
      <c r="A231" s="3" t="inlineStr">
        <is>
          <t>5674165547</t>
        </is>
      </c>
      <c r="B231" s="3" t="inlineStr">
        <is>
          <t>southeast customs</t>
        </is>
      </c>
      <c r="C231" s="3" t="inlineStr">
        <is>
          <t>SOUTHEAST CUSTOMS LLC</t>
        </is>
      </c>
      <c r="D231" s="3" t="inlineStr">
        <is>
          <t>Legal</t>
        </is>
      </c>
      <c r="E231" s="23" t="n">
        <v>45904</v>
      </c>
      <c r="F231" s="23" t="n">
        <v>45938</v>
      </c>
      <c r="G231" s="3" t="n">
        <v>2</v>
      </c>
      <c r="H231" s="3" t="inlineStr">
        <is>
          <t>5014</t>
        </is>
      </c>
      <c r="I231" s="3" t="inlineStr">
        <is>
          <t>50</t>
        </is>
      </c>
      <c r="J231" s="3" t="inlineStr">
        <is>
          <t>TX</t>
        </is>
      </c>
      <c r="K231" s="3" t="inlineStr">
        <is>
          <t>EZ ADVANCE LLC</t>
        </is>
      </c>
      <c r="L231" s="3" t="inlineStr">
        <is>
          <t>New Deal</t>
        </is>
      </c>
      <c r="M231" s="3" t="n">
        <v>1.49</v>
      </c>
      <c r="N231" s="28" t="n">
        <v>30000</v>
      </c>
      <c r="O231" s="28" t="n">
        <v>4200</v>
      </c>
      <c r="P231" s="28" t="n">
        <v>44700</v>
      </c>
      <c r="Q231" s="28" t="n">
        <v>6796</v>
      </c>
      <c r="R231" s="28" t="n">
        <v>37904</v>
      </c>
      <c r="S231" s="42" t="n">
        <v>0.152035794183445</v>
      </c>
      <c r="T231" s="3" t="n">
        <v>26</v>
      </c>
      <c r="U231" s="3" t="n">
        <v>1</v>
      </c>
      <c r="V231" s="3" t="n">
        <v>82340.97</v>
      </c>
      <c r="W231" s="42" t="n">
        <v>0.0825</v>
      </c>
      <c r="X231" s="23" t="n">
        <v>44409</v>
      </c>
      <c r="Y231" s="3">
        <f>IF(I231="","No SIC",IFERROR(VLOOKUP(I231,Ref!$A$2:$B$65,2,FALSE()),"Unclassified"))</f>
        <v/>
      </c>
      <c r="Z231" s="3">
        <f>IF(T231="","",IF(T231&lt;12,"Daily","Weekly"))</f>
        <v/>
      </c>
      <c r="AA231" s="3">
        <f>IF(T231="",0,IF(T231&lt;12,T231*Controls!$B$13,T231*5))</f>
        <v/>
      </c>
      <c r="AB231" s="3">
        <f>IF(E231="",0,NETWORKDAYS(E231,Controls!$B$20,Ref!$K$2:$K$42))</f>
        <v/>
      </c>
      <c r="AC231" s="3">
        <f>IF(OR(AF231=1,AND(AA231&gt;0,AB231&gt;=Controls!$B$23*AA231)),1,0)</f>
        <v/>
      </c>
      <c r="AD231" s="3">
        <f>IF(AND(E231&lt;&gt;"",E231&gt;=Controls!$B$21,E231&lt;=Controls!$B$22),1,0)</f>
        <v/>
      </c>
      <c r="AE231" s="3">
        <f>IF(IFERROR(VLOOKUP(D231,Controls!$A$36:$E$46,2,FALSE()),"No")="Yes",1,0)</f>
        <v/>
      </c>
      <c r="AF231" s="3">
        <f>IF(IFERROR(VLOOKUP(D231,Controls!$A$36:$E$46,3,FALSE()),"No")="Yes",1,0)</f>
        <v/>
      </c>
      <c r="AG231" s="3">
        <f>IF(IFERROR(VLOOKUP(D231,Controls!$A$36:$E$46,4,FALSE()),"No")="Yes",1,0)</f>
        <v/>
      </c>
      <c r="AH231" s="3">
        <f>IF(IFERROR(VLOOKUP(D231,Controls!$A$36:$E$46,5,FALSE()),"No")="Yes",1,0)</f>
        <v/>
      </c>
      <c r="AI231" s="3">
        <f>IF(ISNUMBER(MATCH(D231,Controls!$A$36:$A$46,0)),1,0)</f>
        <v/>
      </c>
      <c r="AJ231" s="28">
        <f>Q231-N231</f>
        <v/>
      </c>
      <c r="AK231" s="3">
        <f>IF(AE231=1,MAX(0,N231-Q231),0)</f>
        <v/>
      </c>
      <c r="AL231" s="3">
        <f>IF(OR(V231="",V231=0),0,N231/V231)</f>
        <v/>
      </c>
      <c r="AM231" s="3">
        <f>IF(OR(V231="",V231=0),0,1)</f>
        <v/>
      </c>
      <c r="AN231" s="3">
        <f>IF(OR(E231="",F231=""),0,NETWORKDAYS(E231,F231,Ref!$K$2:$K$42))</f>
        <v/>
      </c>
      <c r="AO231" s="3">
        <f>IF(L231="Renewal",1,0)</f>
        <v/>
      </c>
      <c r="AP231" s="3">
        <f>AC231*AD231</f>
        <v/>
      </c>
      <c r="AQ231" s="3">
        <f>IF(AND(G231&lt;&gt;"",'Historical Score'!$C$6&lt;&gt;""),IF(G231='Historical Score'!$C$6,1,0),0)</f>
        <v/>
      </c>
      <c r="AR231" s="3">
        <f>IF(AND(L231&lt;&gt;"",'Historical Score'!$C$5&lt;&gt;""),IF(L231='Historical Score'!$C$5,1,0),0)</f>
        <v/>
      </c>
      <c r="AS231" s="3">
        <f>IF(AND(Y231&lt;&gt;"",'Historical Score'!$C$7&lt;&gt;""),IF(Y231='Historical Score'!$C$7,1,0),0)</f>
        <v/>
      </c>
      <c r="AT231" s="3">
        <f>IF(AND(K231&lt;&gt;"",'Historical Score'!$C$8&lt;&gt;""),IF(K231='Historical Score'!$C$8,1,0),0)</f>
        <v/>
      </c>
      <c r="AU231" s="3" t="n"/>
      <c r="AV231" s="3" t="n"/>
      <c r="AW231" s="3" t="n"/>
      <c r="AX231" s="3" t="n"/>
      <c r="AY231" s="3" t="n"/>
      <c r="AZ231" s="3" t="n"/>
      <c r="BA231" s="182">
        <f>IF(AD231=1,(AR231*'Historical Score'!$K$29+1-'Historical Score'!$K$29)*(AT231*'Historical Score'!$L$29+1-'Historical Score'!$L$29)*(AS231*'Historical Score'!$M$29+1-'Historical Score'!$M$29)*(AQ231*'Historical Score'!$N$29+1-'Historical Score'!$N$29),0)</f>
        <v/>
      </c>
      <c r="BB231" s="3" t="n"/>
      <c r="BC231" s="3" t="n"/>
    </row>
    <row r="232" ht="15.75" customHeight="1" s="174">
      <c r="A232" s="3" t="inlineStr">
        <is>
          <t>5674165577</t>
        </is>
      </c>
      <c r="B232" s="3" t="inlineStr">
        <is>
          <t>PALMETTO HOME REMODELS LLC</t>
        </is>
      </c>
      <c r="C232" s="3" t="inlineStr">
        <is>
          <t>PALMETTO HOME REMODELS LLC</t>
        </is>
      </c>
      <c r="D232" s="3" t="inlineStr">
        <is>
          <t>Legal</t>
        </is>
      </c>
      <c r="E232" s="23" t="n">
        <v>45904</v>
      </c>
      <c r="F232" s="23" t="n">
        <v>46031</v>
      </c>
      <c r="G232" s="3" t="n">
        <v>3</v>
      </c>
      <c r="H232" s="3" t="inlineStr">
        <is>
          <t>1521</t>
        </is>
      </c>
      <c r="I232" s="3" t="inlineStr">
        <is>
          <t>15</t>
        </is>
      </c>
      <c r="J232" s="3" t="inlineStr">
        <is>
          <t>SC</t>
        </is>
      </c>
      <c r="K232" s="3" t="inlineStr">
        <is>
          <t>United Secured Capital 8</t>
        </is>
      </c>
      <c r="L232" s="3" t="inlineStr">
        <is>
          <t>New Deal</t>
        </is>
      </c>
      <c r="M232" s="3" t="n">
        <v>1.499</v>
      </c>
      <c r="N232" s="28" t="n">
        <v>15000</v>
      </c>
      <c r="O232" s="28" t="n">
        <v>2100</v>
      </c>
      <c r="P232" s="28" t="n">
        <v>22485</v>
      </c>
      <c r="Q232" s="28" t="n">
        <v>4965</v>
      </c>
      <c r="R232" s="28" t="n">
        <v>17520</v>
      </c>
      <c r="S232" s="42" t="n">
        <v>0.220813875917278</v>
      </c>
      <c r="T232" s="3" t="n">
        <v>18</v>
      </c>
      <c r="U232" s="3" t="n">
        <v>14</v>
      </c>
      <c r="V232" s="3" t="n">
        <v>137534.52</v>
      </c>
      <c r="W232" s="42" t="n">
        <v>0.0361</v>
      </c>
      <c r="X232" s="23" t="n"/>
      <c r="Y232" s="3">
        <f>IF(I232="","No SIC",IFERROR(VLOOKUP(I232,Ref!$A$2:$B$65,2,FALSE()),"Unclassified"))</f>
        <v/>
      </c>
      <c r="Z232" s="3">
        <f>IF(T232="","",IF(T232&lt;12,"Daily","Weekly"))</f>
        <v/>
      </c>
      <c r="AA232" s="3">
        <f>IF(T232="",0,IF(T232&lt;12,T232*Controls!$B$13,T232*5))</f>
        <v/>
      </c>
      <c r="AB232" s="3">
        <f>IF(E232="",0,NETWORKDAYS(E232,Controls!$B$20,Ref!$K$2:$K$42))</f>
        <v/>
      </c>
      <c r="AC232" s="3">
        <f>IF(OR(AF232=1,AND(AA232&gt;0,AB232&gt;=Controls!$B$23*AA232)),1,0)</f>
        <v/>
      </c>
      <c r="AD232" s="3">
        <f>IF(AND(E232&lt;&gt;"",E232&gt;=Controls!$B$21,E232&lt;=Controls!$B$22),1,0)</f>
        <v/>
      </c>
      <c r="AE232" s="3">
        <f>IF(IFERROR(VLOOKUP(D232,Controls!$A$36:$E$46,2,FALSE()),"No")="Yes",1,0)</f>
        <v/>
      </c>
      <c r="AF232" s="3">
        <f>IF(IFERROR(VLOOKUP(D232,Controls!$A$36:$E$46,3,FALSE()),"No")="Yes",1,0)</f>
        <v/>
      </c>
      <c r="AG232" s="3">
        <f>IF(IFERROR(VLOOKUP(D232,Controls!$A$36:$E$46,4,FALSE()),"No")="Yes",1,0)</f>
        <v/>
      </c>
      <c r="AH232" s="3">
        <f>IF(IFERROR(VLOOKUP(D232,Controls!$A$36:$E$46,5,FALSE()),"No")="Yes",1,0)</f>
        <v/>
      </c>
      <c r="AI232" s="3">
        <f>IF(ISNUMBER(MATCH(D232,Controls!$A$36:$A$46,0)),1,0)</f>
        <v/>
      </c>
      <c r="AJ232" s="28">
        <f>Q232-N232</f>
        <v/>
      </c>
      <c r="AK232" s="3">
        <f>IF(AE232=1,MAX(0,N232-Q232),0)</f>
        <v/>
      </c>
      <c r="AL232" s="3">
        <f>IF(OR(V232="",V232=0),0,N232/V232)</f>
        <v/>
      </c>
      <c r="AM232" s="3">
        <f>IF(OR(V232="",V232=0),0,1)</f>
        <v/>
      </c>
      <c r="AN232" s="3">
        <f>IF(OR(E232="",F232=""),0,NETWORKDAYS(E232,F232,Ref!$K$2:$K$42))</f>
        <v/>
      </c>
      <c r="AO232" s="3">
        <f>IF(L232="Renewal",1,0)</f>
        <v/>
      </c>
      <c r="AP232" s="3">
        <f>AC232*AD232</f>
        <v/>
      </c>
      <c r="AQ232" s="3">
        <f>IF(AND(G232&lt;&gt;"",'Historical Score'!$C$6&lt;&gt;""),IF(G232='Historical Score'!$C$6,1,0),0)</f>
        <v/>
      </c>
      <c r="AR232" s="3">
        <f>IF(AND(L232&lt;&gt;"",'Historical Score'!$C$5&lt;&gt;""),IF(L232='Historical Score'!$C$5,1,0),0)</f>
        <v/>
      </c>
      <c r="AS232" s="3">
        <f>IF(AND(Y232&lt;&gt;"",'Historical Score'!$C$7&lt;&gt;""),IF(Y232='Historical Score'!$C$7,1,0),0)</f>
        <v/>
      </c>
      <c r="AT232" s="3">
        <f>IF(AND(K232&lt;&gt;"",'Historical Score'!$C$8&lt;&gt;""),IF(K232='Historical Score'!$C$8,1,0),0)</f>
        <v/>
      </c>
      <c r="AU232" s="3" t="n"/>
      <c r="AV232" s="3" t="n"/>
      <c r="AW232" s="3" t="n"/>
      <c r="AX232" s="3" t="n"/>
      <c r="AY232" s="3" t="n"/>
      <c r="AZ232" s="3" t="n"/>
      <c r="BA232" s="182">
        <f>IF(AD232=1,(AR232*'Historical Score'!$K$29+1-'Historical Score'!$K$29)*(AT232*'Historical Score'!$L$29+1-'Historical Score'!$L$29)*(AS232*'Historical Score'!$M$29+1-'Historical Score'!$M$29)*(AQ232*'Historical Score'!$N$29+1-'Historical Score'!$N$29),0)</f>
        <v/>
      </c>
      <c r="BB232" s="3" t="n"/>
      <c r="BC232" s="3" t="n"/>
    </row>
    <row r="233" ht="15.75" customHeight="1" s="174">
      <c r="A233" s="3" t="inlineStr">
        <is>
          <t>5674165609</t>
        </is>
      </c>
      <c r="B233" s="3" t="inlineStr">
        <is>
          <t>MOOR HERBS MARKETPLACE</t>
        </is>
      </c>
      <c r="C233" s="3" t="inlineStr">
        <is>
          <t>THE MOORISH SCIENCE - TEMPLE THE DIVINE AND NATIONAL MOVEMENT OF NORTH AMERICA INC</t>
        </is>
      </c>
      <c r="D233" s="3" t="inlineStr">
        <is>
          <t>Closed</t>
        </is>
      </c>
      <c r="E233" s="23" t="n">
        <v>45904</v>
      </c>
      <c r="F233" s="23" t="n">
        <v>45973</v>
      </c>
      <c r="G233" s="3" t="n">
        <v>4</v>
      </c>
      <c r="H233" s="3" t="inlineStr">
        <is>
          <t>5999</t>
        </is>
      </c>
      <c r="I233" s="3" t="inlineStr">
        <is>
          <t>59</t>
        </is>
      </c>
      <c r="J233" s="3" t="inlineStr">
        <is>
          <t>MI</t>
        </is>
      </c>
      <c r="K233" s="3" t="inlineStr">
        <is>
          <t>United Secured Capital 8</t>
        </is>
      </c>
      <c r="L233" s="3" t="inlineStr">
        <is>
          <t>Renewal</t>
        </is>
      </c>
      <c r="M233" s="3" t="n">
        <v>1.49</v>
      </c>
      <c r="N233" s="28" t="n">
        <v>20000</v>
      </c>
      <c r="O233" s="28" t="n">
        <v>2800</v>
      </c>
      <c r="P233" s="28" t="n">
        <v>29800</v>
      </c>
      <c r="Q233" s="28" t="n">
        <v>29800</v>
      </c>
      <c r="R233" s="28" t="n">
        <v>0</v>
      </c>
      <c r="S233" s="42" t="n">
        <v>1</v>
      </c>
      <c r="T233" s="3" t="n">
        <v>2.787</v>
      </c>
      <c r="U233" s="3" t="n">
        <v>0</v>
      </c>
      <c r="V233" s="3" t="n">
        <v>104379.99</v>
      </c>
      <c r="W233" s="42" t="n">
        <v>0.1042</v>
      </c>
      <c r="X233" s="23" t="n">
        <v>43221</v>
      </c>
      <c r="Y233" s="3">
        <f>IF(I233="","No SIC",IFERROR(VLOOKUP(I233,Ref!$A$2:$B$65,2,FALSE()),"Unclassified"))</f>
        <v/>
      </c>
      <c r="Z233" s="3">
        <f>IF(T233="","",IF(T233&lt;12,"Daily","Weekly"))</f>
        <v/>
      </c>
      <c r="AA233" s="3">
        <f>IF(T233="",0,IF(T233&lt;12,T233*Controls!$B$13,T233*5))</f>
        <v/>
      </c>
      <c r="AB233" s="3">
        <f>IF(E233="",0,NETWORKDAYS(E233,Controls!$B$20,Ref!$K$2:$K$42))</f>
        <v/>
      </c>
      <c r="AC233" s="3">
        <f>IF(OR(AF233=1,AND(AA233&gt;0,AB233&gt;=Controls!$B$23*AA233)),1,0)</f>
        <v/>
      </c>
      <c r="AD233" s="3">
        <f>IF(AND(E233&lt;&gt;"",E233&gt;=Controls!$B$21,E233&lt;=Controls!$B$22),1,0)</f>
        <v/>
      </c>
      <c r="AE233" s="3">
        <f>IF(IFERROR(VLOOKUP(D233,Controls!$A$36:$E$46,2,FALSE()),"No")="Yes",1,0)</f>
        <v/>
      </c>
      <c r="AF233" s="3">
        <f>IF(IFERROR(VLOOKUP(D233,Controls!$A$36:$E$46,3,FALSE()),"No")="Yes",1,0)</f>
        <v/>
      </c>
      <c r="AG233" s="3">
        <f>IF(IFERROR(VLOOKUP(D233,Controls!$A$36:$E$46,4,FALSE()),"No")="Yes",1,0)</f>
        <v/>
      </c>
      <c r="AH233" s="3">
        <f>IF(IFERROR(VLOOKUP(D233,Controls!$A$36:$E$46,5,FALSE()),"No")="Yes",1,0)</f>
        <v/>
      </c>
      <c r="AI233" s="3">
        <f>IF(ISNUMBER(MATCH(D233,Controls!$A$36:$A$46,0)),1,0)</f>
        <v/>
      </c>
      <c r="AJ233" s="28">
        <f>Q233-N233</f>
        <v/>
      </c>
      <c r="AK233" s="3">
        <f>IF(AE233=1,MAX(0,N233-Q233),0)</f>
        <v/>
      </c>
      <c r="AL233" s="3">
        <f>IF(OR(V233="",V233=0),0,N233/V233)</f>
        <v/>
      </c>
      <c r="AM233" s="3">
        <f>IF(OR(V233="",V233=0),0,1)</f>
        <v/>
      </c>
      <c r="AN233" s="3">
        <f>IF(OR(E233="",F233=""),0,NETWORKDAYS(E233,F233,Ref!$K$2:$K$42))</f>
        <v/>
      </c>
      <c r="AO233" s="3">
        <f>IF(L233="Renewal",1,0)</f>
        <v/>
      </c>
      <c r="AP233" s="3">
        <f>AC233*AD233</f>
        <v/>
      </c>
      <c r="AQ233" s="3">
        <f>IF(AND(G233&lt;&gt;"",'Historical Score'!$C$6&lt;&gt;""),IF(G233='Historical Score'!$C$6,1,0),0)</f>
        <v/>
      </c>
      <c r="AR233" s="3">
        <f>IF(AND(L233&lt;&gt;"",'Historical Score'!$C$5&lt;&gt;""),IF(L233='Historical Score'!$C$5,1,0),0)</f>
        <v/>
      </c>
      <c r="AS233" s="3">
        <f>IF(AND(Y233&lt;&gt;"",'Historical Score'!$C$7&lt;&gt;""),IF(Y233='Historical Score'!$C$7,1,0),0)</f>
        <v/>
      </c>
      <c r="AT233" s="3">
        <f>IF(AND(K233&lt;&gt;"",'Historical Score'!$C$8&lt;&gt;""),IF(K233='Historical Score'!$C$8,1,0),0)</f>
        <v/>
      </c>
      <c r="AU233" s="3" t="n"/>
      <c r="AV233" s="3" t="n"/>
      <c r="AW233" s="3" t="n"/>
      <c r="AX233" s="3" t="n"/>
      <c r="AY233" s="3" t="n"/>
      <c r="AZ233" s="3" t="n"/>
      <c r="BA233" s="182">
        <f>IF(AD233=1,(AR233*'Historical Score'!$K$29+1-'Historical Score'!$K$29)*(AT233*'Historical Score'!$L$29+1-'Historical Score'!$L$29)*(AS233*'Historical Score'!$M$29+1-'Historical Score'!$M$29)*(AQ233*'Historical Score'!$N$29+1-'Historical Score'!$N$29),0)</f>
        <v/>
      </c>
      <c r="BB233" s="3" t="n"/>
      <c r="BC233" s="3" t="n"/>
    </row>
    <row r="234" ht="15.75" customHeight="1" s="174">
      <c r="A234" s="3" t="inlineStr">
        <is>
          <t>5674165610</t>
        </is>
      </c>
      <c r="B234" s="3" t="inlineStr">
        <is>
          <t>W&amp;D AUTO SALES INC</t>
        </is>
      </c>
      <c r="C234" s="3" t="inlineStr">
        <is>
          <t>W&amp;D AUTO SALES INC</t>
        </is>
      </c>
      <c r="D234" s="3" t="inlineStr">
        <is>
          <t>Closed</t>
        </is>
      </c>
      <c r="E234" s="23" t="n">
        <v>45904</v>
      </c>
      <c r="F234" s="23" t="n">
        <v>45985</v>
      </c>
      <c r="G234" s="3" t="n">
        <v>2</v>
      </c>
      <c r="H234" s="3" t="inlineStr">
        <is>
          <t>5599</t>
        </is>
      </c>
      <c r="I234" s="3" t="inlineStr">
        <is>
          <t>55</t>
        </is>
      </c>
      <c r="J234" s="3" t="inlineStr">
        <is>
          <t>NC</t>
        </is>
      </c>
      <c r="K234" s="3" t="inlineStr">
        <is>
          <t>United Secured Capital 8</t>
        </is>
      </c>
      <c r="L234" s="3" t="inlineStr">
        <is>
          <t>New Deal</t>
        </is>
      </c>
      <c r="M234" s="3" t="n">
        <v>1.499</v>
      </c>
      <c r="N234" s="28" t="n">
        <v>25000</v>
      </c>
      <c r="O234" s="28" t="n">
        <v>3500</v>
      </c>
      <c r="P234" s="28" t="n">
        <v>37475</v>
      </c>
      <c r="Q234" s="28" t="n">
        <v>37475</v>
      </c>
      <c r="R234" s="28" t="n">
        <v>0</v>
      </c>
      <c r="S234" s="42" t="n">
        <v>1</v>
      </c>
      <c r="T234" s="3" t="n">
        <v>24</v>
      </c>
      <c r="U234" s="3" t="n">
        <v>0</v>
      </c>
      <c r="V234" s="3" t="n">
        <v>78209.86</v>
      </c>
      <c r="W234" s="42" t="n">
        <v>0.0794</v>
      </c>
      <c r="X234" s="23" t="n"/>
      <c r="Y234" s="3">
        <f>IF(I234="","No SIC",IFERROR(VLOOKUP(I234,Ref!$A$2:$B$65,2,FALSE()),"Unclassified"))</f>
        <v/>
      </c>
      <c r="Z234" s="3">
        <f>IF(T234="","",IF(T234&lt;12,"Daily","Weekly"))</f>
        <v/>
      </c>
      <c r="AA234" s="3">
        <f>IF(T234="",0,IF(T234&lt;12,T234*Controls!$B$13,T234*5))</f>
        <v/>
      </c>
      <c r="AB234" s="3">
        <f>IF(E234="",0,NETWORKDAYS(E234,Controls!$B$20,Ref!$K$2:$K$42))</f>
        <v/>
      </c>
      <c r="AC234" s="3">
        <f>IF(OR(AF234=1,AND(AA234&gt;0,AB234&gt;=Controls!$B$23*AA234)),1,0)</f>
        <v/>
      </c>
      <c r="AD234" s="3">
        <f>IF(AND(E234&lt;&gt;"",E234&gt;=Controls!$B$21,E234&lt;=Controls!$B$22),1,0)</f>
        <v/>
      </c>
      <c r="AE234" s="3">
        <f>IF(IFERROR(VLOOKUP(D234,Controls!$A$36:$E$46,2,FALSE()),"No")="Yes",1,0)</f>
        <v/>
      </c>
      <c r="AF234" s="3">
        <f>IF(IFERROR(VLOOKUP(D234,Controls!$A$36:$E$46,3,FALSE()),"No")="Yes",1,0)</f>
        <v/>
      </c>
      <c r="AG234" s="3">
        <f>IF(IFERROR(VLOOKUP(D234,Controls!$A$36:$E$46,4,FALSE()),"No")="Yes",1,0)</f>
        <v/>
      </c>
      <c r="AH234" s="3">
        <f>IF(IFERROR(VLOOKUP(D234,Controls!$A$36:$E$46,5,FALSE()),"No")="Yes",1,0)</f>
        <v/>
      </c>
      <c r="AI234" s="3">
        <f>IF(ISNUMBER(MATCH(D234,Controls!$A$36:$A$46,0)),1,0)</f>
        <v/>
      </c>
      <c r="AJ234" s="28">
        <f>Q234-N234</f>
        <v/>
      </c>
      <c r="AK234" s="3">
        <f>IF(AE234=1,MAX(0,N234-Q234),0)</f>
        <v/>
      </c>
      <c r="AL234" s="3">
        <f>IF(OR(V234="",V234=0),0,N234/V234)</f>
        <v/>
      </c>
      <c r="AM234" s="3">
        <f>IF(OR(V234="",V234=0),0,1)</f>
        <v/>
      </c>
      <c r="AN234" s="3">
        <f>IF(OR(E234="",F234=""),0,NETWORKDAYS(E234,F234,Ref!$K$2:$K$42))</f>
        <v/>
      </c>
      <c r="AO234" s="3">
        <f>IF(L234="Renewal",1,0)</f>
        <v/>
      </c>
      <c r="AP234" s="3">
        <f>AC234*AD234</f>
        <v/>
      </c>
      <c r="AQ234" s="3">
        <f>IF(AND(G234&lt;&gt;"",'Historical Score'!$C$6&lt;&gt;""),IF(G234='Historical Score'!$C$6,1,0),0)</f>
        <v/>
      </c>
      <c r="AR234" s="3">
        <f>IF(AND(L234&lt;&gt;"",'Historical Score'!$C$5&lt;&gt;""),IF(L234='Historical Score'!$C$5,1,0),0)</f>
        <v/>
      </c>
      <c r="AS234" s="3">
        <f>IF(AND(Y234&lt;&gt;"",'Historical Score'!$C$7&lt;&gt;""),IF(Y234='Historical Score'!$C$7,1,0),0)</f>
        <v/>
      </c>
      <c r="AT234" s="3">
        <f>IF(AND(K234&lt;&gt;"",'Historical Score'!$C$8&lt;&gt;""),IF(K234='Historical Score'!$C$8,1,0),0)</f>
        <v/>
      </c>
      <c r="AU234" s="3" t="n"/>
      <c r="AV234" s="3" t="n"/>
      <c r="AW234" s="3" t="n"/>
      <c r="AX234" s="3" t="n"/>
      <c r="AY234" s="3" t="n"/>
      <c r="AZ234" s="3" t="n"/>
      <c r="BA234" s="182">
        <f>IF(AD234=1,(AR234*'Historical Score'!$K$29+1-'Historical Score'!$K$29)*(AT234*'Historical Score'!$L$29+1-'Historical Score'!$L$29)*(AS234*'Historical Score'!$M$29+1-'Historical Score'!$M$29)*(AQ234*'Historical Score'!$N$29+1-'Historical Score'!$N$29),0)</f>
        <v/>
      </c>
      <c r="BB234" s="3" t="n"/>
      <c r="BC234" s="3" t="n"/>
    </row>
    <row r="235" ht="15.75" customHeight="1" s="174">
      <c r="A235" s="3" t="inlineStr">
        <is>
          <t>5674165622</t>
        </is>
      </c>
      <c r="B235" s="3" t="inlineStr">
        <is>
          <t>JACKS PEST MGMT LLC</t>
        </is>
      </c>
      <c r="C235" s="3" t="inlineStr">
        <is>
          <t>JACKS PEST MGMT LLC</t>
        </is>
      </c>
      <c r="D235" s="3" t="inlineStr">
        <is>
          <t>Closed</t>
        </is>
      </c>
      <c r="E235" s="23" t="n">
        <v>45904</v>
      </c>
      <c r="F235" s="23" t="n">
        <v>46014</v>
      </c>
      <c r="G235" s="3" t="n">
        <v>3</v>
      </c>
      <c r="H235" s="3" t="inlineStr">
        <is>
          <t>7342</t>
        </is>
      </c>
      <c r="I235" s="3" t="inlineStr">
        <is>
          <t>73</t>
        </is>
      </c>
      <c r="J235" s="3" t="inlineStr">
        <is>
          <t>MO</t>
        </is>
      </c>
      <c r="K235" s="3" t="inlineStr">
        <is>
          <t>Samson Funding</t>
        </is>
      </c>
      <c r="L235" s="3" t="inlineStr">
        <is>
          <t>Renewal</t>
        </is>
      </c>
      <c r="M235" s="3" t="n">
        <v>1.499</v>
      </c>
      <c r="N235" s="28" t="n">
        <v>7500</v>
      </c>
      <c r="O235" s="28" t="n">
        <v>1050</v>
      </c>
      <c r="P235" s="28" t="n">
        <v>11242.5</v>
      </c>
      <c r="Q235" s="28" t="n">
        <v>11242.5</v>
      </c>
      <c r="R235" s="28" t="n">
        <v>0</v>
      </c>
      <c r="S235" s="42" t="n">
        <v>1</v>
      </c>
      <c r="T235" s="3" t="n">
        <v>3.607</v>
      </c>
      <c r="U235" s="3" t="n">
        <v>0</v>
      </c>
      <c r="V235" s="3" t="n">
        <v>10878.25</v>
      </c>
      <c r="W235" s="42" t="n">
        <v>0.1973</v>
      </c>
      <c r="X235" s="23" t="n">
        <v>45280</v>
      </c>
      <c r="Y235" s="3">
        <f>IF(I235="","No SIC",IFERROR(VLOOKUP(I235,Ref!$A$2:$B$65,2,FALSE()),"Unclassified"))</f>
        <v/>
      </c>
      <c r="Z235" s="3">
        <f>IF(T235="","",IF(T235&lt;12,"Daily","Weekly"))</f>
        <v/>
      </c>
      <c r="AA235" s="3">
        <f>IF(T235="",0,IF(T235&lt;12,T235*Controls!$B$13,T235*5))</f>
        <v/>
      </c>
      <c r="AB235" s="3">
        <f>IF(E235="",0,NETWORKDAYS(E235,Controls!$B$20,Ref!$K$2:$K$42))</f>
        <v/>
      </c>
      <c r="AC235" s="3">
        <f>IF(OR(AF235=1,AND(AA235&gt;0,AB235&gt;=Controls!$B$23*AA235)),1,0)</f>
        <v/>
      </c>
      <c r="AD235" s="3">
        <f>IF(AND(E235&lt;&gt;"",E235&gt;=Controls!$B$21,E235&lt;=Controls!$B$22),1,0)</f>
        <v/>
      </c>
      <c r="AE235" s="3">
        <f>IF(IFERROR(VLOOKUP(D235,Controls!$A$36:$E$46,2,FALSE()),"No")="Yes",1,0)</f>
        <v/>
      </c>
      <c r="AF235" s="3">
        <f>IF(IFERROR(VLOOKUP(D235,Controls!$A$36:$E$46,3,FALSE()),"No")="Yes",1,0)</f>
        <v/>
      </c>
      <c r="AG235" s="3">
        <f>IF(IFERROR(VLOOKUP(D235,Controls!$A$36:$E$46,4,FALSE()),"No")="Yes",1,0)</f>
        <v/>
      </c>
      <c r="AH235" s="3">
        <f>IF(IFERROR(VLOOKUP(D235,Controls!$A$36:$E$46,5,FALSE()),"No")="Yes",1,0)</f>
        <v/>
      </c>
      <c r="AI235" s="3">
        <f>IF(ISNUMBER(MATCH(D235,Controls!$A$36:$A$46,0)),1,0)</f>
        <v/>
      </c>
      <c r="AJ235" s="28">
        <f>Q235-N235</f>
        <v/>
      </c>
      <c r="AK235" s="3">
        <f>IF(AE235=1,MAX(0,N235-Q235),0)</f>
        <v/>
      </c>
      <c r="AL235" s="3">
        <f>IF(OR(V235="",V235=0),0,N235/V235)</f>
        <v/>
      </c>
      <c r="AM235" s="3">
        <f>IF(OR(V235="",V235=0),0,1)</f>
        <v/>
      </c>
      <c r="AN235" s="3">
        <f>IF(OR(E235="",F235=""),0,NETWORKDAYS(E235,F235,Ref!$K$2:$K$42))</f>
        <v/>
      </c>
      <c r="AO235" s="3">
        <f>IF(L235="Renewal",1,0)</f>
        <v/>
      </c>
      <c r="AP235" s="3">
        <f>AC235*AD235</f>
        <v/>
      </c>
      <c r="AQ235" s="3">
        <f>IF(AND(G235&lt;&gt;"",'Historical Score'!$C$6&lt;&gt;""),IF(G235='Historical Score'!$C$6,1,0),0)</f>
        <v/>
      </c>
      <c r="AR235" s="3">
        <f>IF(AND(L235&lt;&gt;"",'Historical Score'!$C$5&lt;&gt;""),IF(L235='Historical Score'!$C$5,1,0),0)</f>
        <v/>
      </c>
      <c r="AS235" s="3">
        <f>IF(AND(Y235&lt;&gt;"",'Historical Score'!$C$7&lt;&gt;""),IF(Y235='Historical Score'!$C$7,1,0),0)</f>
        <v/>
      </c>
      <c r="AT235" s="3">
        <f>IF(AND(K235&lt;&gt;"",'Historical Score'!$C$8&lt;&gt;""),IF(K235='Historical Score'!$C$8,1,0),0)</f>
        <v/>
      </c>
      <c r="AU235" s="3" t="n"/>
      <c r="AV235" s="3" t="n"/>
      <c r="AW235" s="3" t="n"/>
      <c r="AX235" s="3" t="n"/>
      <c r="AY235" s="3" t="n"/>
      <c r="AZ235" s="3" t="n"/>
      <c r="BA235" s="182">
        <f>IF(AD235=1,(AR235*'Historical Score'!$K$29+1-'Historical Score'!$K$29)*(AT235*'Historical Score'!$L$29+1-'Historical Score'!$L$29)*(AS235*'Historical Score'!$M$29+1-'Historical Score'!$M$29)*(AQ235*'Historical Score'!$N$29+1-'Historical Score'!$N$29),0)</f>
        <v/>
      </c>
      <c r="BB235" s="3" t="n"/>
      <c r="BC235" s="3" t="n"/>
    </row>
    <row r="236" ht="15.75" customHeight="1" s="174">
      <c r="A236" s="3" t="inlineStr">
        <is>
          <t>5674165708</t>
        </is>
      </c>
      <c r="B236" s="3" t="inlineStr">
        <is>
          <t>KCGLLC</t>
        </is>
      </c>
      <c r="C236" s="3" t="inlineStr">
        <is>
          <t>KCG LLC</t>
        </is>
      </c>
      <c r="D236" s="3" t="inlineStr">
        <is>
          <t>Legal</t>
        </is>
      </c>
      <c r="E236" s="23" t="n">
        <v>45905</v>
      </c>
      <c r="F236" s="23" t="n">
        <v>45958</v>
      </c>
      <c r="G236" s="3" t="n">
        <v>3</v>
      </c>
      <c r="H236" s="3" t="inlineStr">
        <is>
          <t>1521</t>
        </is>
      </c>
      <c r="I236" s="3" t="inlineStr">
        <is>
          <t>15</t>
        </is>
      </c>
      <c r="J236" s="3" t="inlineStr">
        <is>
          <t>NC</t>
        </is>
      </c>
      <c r="K236" s="3" t="inlineStr">
        <is>
          <t>Elite Advance 5</t>
        </is>
      </c>
      <c r="L236" s="3" t="inlineStr">
        <is>
          <t>Renewal</t>
        </is>
      </c>
      <c r="M236" s="3" t="n">
        <v>1.499</v>
      </c>
      <c r="N236" s="28" t="n">
        <v>20000</v>
      </c>
      <c r="O236" s="28" t="n">
        <v>2800</v>
      </c>
      <c r="P236" s="28" t="n">
        <v>29980</v>
      </c>
      <c r="Q236" s="28" t="n">
        <v>10079.75</v>
      </c>
      <c r="R236" s="28" t="n">
        <v>19900.25</v>
      </c>
      <c r="S236" s="42" t="n">
        <v>0.33621581054036</v>
      </c>
      <c r="T236" s="3" t="n">
        <v>2.951</v>
      </c>
      <c r="U236" s="3" t="n">
        <v>8</v>
      </c>
      <c r="V236" s="3" t="n">
        <v>198137.58</v>
      </c>
      <c r="W236" s="42" t="n">
        <v>0.0551</v>
      </c>
      <c r="X236" s="23" t="n"/>
      <c r="Y236" s="3">
        <f>IF(I236="","No SIC",IFERROR(VLOOKUP(I236,Ref!$A$2:$B$65,2,FALSE()),"Unclassified"))</f>
        <v/>
      </c>
      <c r="Z236" s="3">
        <f>IF(T236="","",IF(T236&lt;12,"Daily","Weekly"))</f>
        <v/>
      </c>
      <c r="AA236" s="3">
        <f>IF(T236="",0,IF(T236&lt;12,T236*Controls!$B$13,T236*5))</f>
        <v/>
      </c>
      <c r="AB236" s="3">
        <f>IF(E236="",0,NETWORKDAYS(E236,Controls!$B$20,Ref!$K$2:$K$42))</f>
        <v/>
      </c>
      <c r="AC236" s="3">
        <f>IF(OR(AF236=1,AND(AA236&gt;0,AB236&gt;=Controls!$B$23*AA236)),1,0)</f>
        <v/>
      </c>
      <c r="AD236" s="3">
        <f>IF(AND(E236&lt;&gt;"",E236&gt;=Controls!$B$21,E236&lt;=Controls!$B$22),1,0)</f>
        <v/>
      </c>
      <c r="AE236" s="3">
        <f>IF(IFERROR(VLOOKUP(D236,Controls!$A$36:$E$46,2,FALSE()),"No")="Yes",1,0)</f>
        <v/>
      </c>
      <c r="AF236" s="3">
        <f>IF(IFERROR(VLOOKUP(D236,Controls!$A$36:$E$46,3,FALSE()),"No")="Yes",1,0)</f>
        <v/>
      </c>
      <c r="AG236" s="3">
        <f>IF(IFERROR(VLOOKUP(D236,Controls!$A$36:$E$46,4,FALSE()),"No")="Yes",1,0)</f>
        <v/>
      </c>
      <c r="AH236" s="3">
        <f>IF(IFERROR(VLOOKUP(D236,Controls!$A$36:$E$46,5,FALSE()),"No")="Yes",1,0)</f>
        <v/>
      </c>
      <c r="AI236" s="3">
        <f>IF(ISNUMBER(MATCH(D236,Controls!$A$36:$A$46,0)),1,0)</f>
        <v/>
      </c>
      <c r="AJ236" s="28">
        <f>Q236-N236</f>
        <v/>
      </c>
      <c r="AK236" s="3">
        <f>IF(AE236=1,MAX(0,N236-Q236),0)</f>
        <v/>
      </c>
      <c r="AL236" s="3">
        <f>IF(OR(V236="",V236=0),0,N236/V236)</f>
        <v/>
      </c>
      <c r="AM236" s="3">
        <f>IF(OR(V236="",V236=0),0,1)</f>
        <v/>
      </c>
      <c r="AN236" s="3">
        <f>IF(OR(E236="",F236=""),0,NETWORKDAYS(E236,F236,Ref!$K$2:$K$42))</f>
        <v/>
      </c>
      <c r="AO236" s="3">
        <f>IF(L236="Renewal",1,0)</f>
        <v/>
      </c>
      <c r="AP236" s="3">
        <f>AC236*AD236</f>
        <v/>
      </c>
      <c r="AQ236" s="3">
        <f>IF(AND(G236&lt;&gt;"",'Historical Score'!$C$6&lt;&gt;""),IF(G236='Historical Score'!$C$6,1,0),0)</f>
        <v/>
      </c>
      <c r="AR236" s="3">
        <f>IF(AND(L236&lt;&gt;"",'Historical Score'!$C$5&lt;&gt;""),IF(L236='Historical Score'!$C$5,1,0),0)</f>
        <v/>
      </c>
      <c r="AS236" s="3">
        <f>IF(AND(Y236&lt;&gt;"",'Historical Score'!$C$7&lt;&gt;""),IF(Y236='Historical Score'!$C$7,1,0),0)</f>
        <v/>
      </c>
      <c r="AT236" s="3">
        <f>IF(AND(K236&lt;&gt;"",'Historical Score'!$C$8&lt;&gt;""),IF(K236='Historical Score'!$C$8,1,0),0)</f>
        <v/>
      </c>
      <c r="AU236" s="3" t="n"/>
      <c r="AV236" s="3" t="n"/>
      <c r="AW236" s="3" t="n"/>
      <c r="AX236" s="3" t="n"/>
      <c r="AY236" s="3" t="n"/>
      <c r="AZ236" s="3" t="n"/>
      <c r="BA236" s="182">
        <f>IF(AD236=1,(AR236*'Historical Score'!$K$29+1-'Historical Score'!$K$29)*(AT236*'Historical Score'!$L$29+1-'Historical Score'!$L$29)*(AS236*'Historical Score'!$M$29+1-'Historical Score'!$M$29)*(AQ236*'Historical Score'!$N$29+1-'Historical Score'!$N$29),0)</f>
        <v/>
      </c>
      <c r="BB236" s="3" t="n"/>
      <c r="BC236" s="3" t="n"/>
    </row>
    <row r="237" ht="15.75" customHeight="1" s="174">
      <c r="A237" s="3" t="inlineStr">
        <is>
          <t>5674165723</t>
        </is>
      </c>
      <c r="B237" s="3" t="inlineStr">
        <is>
          <t>BENZ MANAGEMENT INC</t>
        </is>
      </c>
      <c r="C237" s="3" t="inlineStr">
        <is>
          <t>BENZ MANAGEMENT INC</t>
        </is>
      </c>
      <c r="D237" s="3" t="inlineStr">
        <is>
          <t>Legal</t>
        </is>
      </c>
      <c r="E237" s="23" t="n">
        <v>45905</v>
      </c>
      <c r="F237" s="23" t="n">
        <v>45936</v>
      </c>
      <c r="G237" s="3" t="n">
        <v>3</v>
      </c>
      <c r="H237" s="3" t="inlineStr">
        <is>
          <t>6531</t>
        </is>
      </c>
      <c r="I237" s="3" t="inlineStr">
        <is>
          <t>65</t>
        </is>
      </c>
      <c r="J237" s="3" t="inlineStr">
        <is>
          <t>No state</t>
        </is>
      </c>
      <c r="K237" s="3" t="inlineStr">
        <is>
          <t>United Secured Capital 8</t>
        </is>
      </c>
      <c r="L237" s="3" t="inlineStr">
        <is>
          <t>New Deal</t>
        </is>
      </c>
      <c r="M237" s="3" t="n">
        <v>1.49</v>
      </c>
      <c r="N237" s="28" t="n">
        <v>8000</v>
      </c>
      <c r="O237" s="28" t="n">
        <v>1120</v>
      </c>
      <c r="P237" s="28" t="n">
        <v>11920</v>
      </c>
      <c r="Q237" s="28" t="n">
        <v>2682</v>
      </c>
      <c r="R237" s="28" t="n">
        <v>9238</v>
      </c>
      <c r="S237" s="42" t="n">
        <v>0.225</v>
      </c>
      <c r="T237" s="3" t="n">
        <v>2.623</v>
      </c>
      <c r="U237" s="3" t="n">
        <v>4</v>
      </c>
      <c r="V237" s="3" t="n"/>
      <c r="W237" s="42" t="n">
        <v>0.0149</v>
      </c>
      <c r="X237" s="23" t="n">
        <v>45905</v>
      </c>
      <c r="Y237" s="3">
        <f>IF(I237="","No SIC",IFERROR(VLOOKUP(I237,Ref!$A$2:$B$65,2,FALSE()),"Unclassified"))</f>
        <v/>
      </c>
      <c r="Z237" s="3">
        <f>IF(T237="","",IF(T237&lt;12,"Daily","Weekly"))</f>
        <v/>
      </c>
      <c r="AA237" s="3">
        <f>IF(T237="",0,IF(T237&lt;12,T237*Controls!$B$13,T237*5))</f>
        <v/>
      </c>
      <c r="AB237" s="3">
        <f>IF(E237="",0,NETWORKDAYS(E237,Controls!$B$20,Ref!$K$2:$K$42))</f>
        <v/>
      </c>
      <c r="AC237" s="3">
        <f>IF(OR(AF237=1,AND(AA237&gt;0,AB237&gt;=Controls!$B$23*AA237)),1,0)</f>
        <v/>
      </c>
      <c r="AD237" s="3">
        <f>IF(AND(E237&lt;&gt;"",E237&gt;=Controls!$B$21,E237&lt;=Controls!$B$22),1,0)</f>
        <v/>
      </c>
      <c r="AE237" s="3">
        <f>IF(IFERROR(VLOOKUP(D237,Controls!$A$36:$E$46,2,FALSE()),"No")="Yes",1,0)</f>
        <v/>
      </c>
      <c r="AF237" s="3">
        <f>IF(IFERROR(VLOOKUP(D237,Controls!$A$36:$E$46,3,FALSE()),"No")="Yes",1,0)</f>
        <v/>
      </c>
      <c r="AG237" s="3">
        <f>IF(IFERROR(VLOOKUP(D237,Controls!$A$36:$E$46,4,FALSE()),"No")="Yes",1,0)</f>
        <v/>
      </c>
      <c r="AH237" s="3">
        <f>IF(IFERROR(VLOOKUP(D237,Controls!$A$36:$E$46,5,FALSE()),"No")="Yes",1,0)</f>
        <v/>
      </c>
      <c r="AI237" s="3">
        <f>IF(ISNUMBER(MATCH(D237,Controls!$A$36:$A$46,0)),1,0)</f>
        <v/>
      </c>
      <c r="AJ237" s="28">
        <f>Q237-N237</f>
        <v/>
      </c>
      <c r="AK237" s="3">
        <f>IF(AE237=1,MAX(0,N237-Q237),0)</f>
        <v/>
      </c>
      <c r="AL237" s="3">
        <f>IF(OR(V237="",V237=0),0,N237/V237)</f>
        <v/>
      </c>
      <c r="AM237" s="3">
        <f>IF(OR(V237="",V237=0),0,1)</f>
        <v/>
      </c>
      <c r="AN237" s="3">
        <f>IF(OR(E237="",F237=""),0,NETWORKDAYS(E237,F237,Ref!$K$2:$K$42))</f>
        <v/>
      </c>
      <c r="AO237" s="3">
        <f>IF(L237="Renewal",1,0)</f>
        <v/>
      </c>
      <c r="AP237" s="3">
        <f>AC237*AD237</f>
        <v/>
      </c>
      <c r="AQ237" s="3">
        <f>IF(AND(G237&lt;&gt;"",'Historical Score'!$C$6&lt;&gt;""),IF(G237='Historical Score'!$C$6,1,0),0)</f>
        <v/>
      </c>
      <c r="AR237" s="3">
        <f>IF(AND(L237&lt;&gt;"",'Historical Score'!$C$5&lt;&gt;""),IF(L237='Historical Score'!$C$5,1,0),0)</f>
        <v/>
      </c>
      <c r="AS237" s="3">
        <f>IF(AND(Y237&lt;&gt;"",'Historical Score'!$C$7&lt;&gt;""),IF(Y237='Historical Score'!$C$7,1,0),0)</f>
        <v/>
      </c>
      <c r="AT237" s="3">
        <f>IF(AND(K237&lt;&gt;"",'Historical Score'!$C$8&lt;&gt;""),IF(K237='Historical Score'!$C$8,1,0),0)</f>
        <v/>
      </c>
      <c r="AU237" s="3" t="n"/>
      <c r="AV237" s="3" t="n"/>
      <c r="AW237" s="3" t="n"/>
      <c r="AX237" s="3" t="n"/>
      <c r="AY237" s="3" t="n"/>
      <c r="AZ237" s="3" t="n"/>
      <c r="BA237" s="182">
        <f>IF(AD237=1,(AR237*'Historical Score'!$K$29+1-'Historical Score'!$K$29)*(AT237*'Historical Score'!$L$29+1-'Historical Score'!$L$29)*(AS237*'Historical Score'!$M$29+1-'Historical Score'!$M$29)*(AQ237*'Historical Score'!$N$29+1-'Historical Score'!$N$29),0)</f>
        <v/>
      </c>
      <c r="BB237" s="3" t="n"/>
      <c r="BC237" s="3" t="n"/>
    </row>
    <row r="238" ht="15.75" customHeight="1" s="174">
      <c r="A238" s="3" t="inlineStr">
        <is>
          <t>5674165729</t>
        </is>
      </c>
      <c r="B238" s="3" t="inlineStr">
        <is>
          <t>﻿TRIPLE D FINANCIAL INC</t>
        </is>
      </c>
      <c r="C238" s="3" t="inlineStr">
        <is>
          <t>﻿TRIPLE D FINANCIAL INC</t>
        </is>
      </c>
      <c r="D238" s="3" t="inlineStr">
        <is>
          <t>Closed</t>
        </is>
      </c>
      <c r="E238" s="23" t="n">
        <v>45905</v>
      </c>
      <c r="F238" s="23" t="n">
        <v>46007</v>
      </c>
      <c r="G238" s="3" t="n">
        <v>4</v>
      </c>
      <c r="H238" s="3" t="inlineStr">
        <is>
          <t>7291</t>
        </is>
      </c>
      <c r="I238" s="3" t="inlineStr">
        <is>
          <t>72</t>
        </is>
      </c>
      <c r="J238" s="3" t="inlineStr">
        <is>
          <t>No state</t>
        </is>
      </c>
      <c r="K238" s="3" t="inlineStr">
        <is>
          <t>Fundwell</t>
        </is>
      </c>
      <c r="L238" s="3" t="inlineStr">
        <is>
          <t>New Deal</t>
        </is>
      </c>
      <c r="M238" s="3" t="n">
        <v>1.42</v>
      </c>
      <c r="N238" s="28" t="n">
        <v>21126</v>
      </c>
      <c r="O238" s="28" t="n">
        <v>2957.64</v>
      </c>
      <c r="P238" s="28" t="n">
        <v>29998.92</v>
      </c>
      <c r="Q238" s="28" t="n">
        <v>29998.92</v>
      </c>
      <c r="R238" s="28" t="n">
        <v>0</v>
      </c>
      <c r="S238" s="42" t="n">
        <v>1</v>
      </c>
      <c r="T238" s="3" t="n">
        <v>3.934</v>
      </c>
      <c r="U238" s="3" t="n">
        <v>0</v>
      </c>
      <c r="V238" s="3" t="n"/>
      <c r="W238" s="42" t="n"/>
      <c r="X238" s="23" t="n">
        <v>44490</v>
      </c>
      <c r="Y238" s="3">
        <f>IF(I238="","No SIC",IFERROR(VLOOKUP(I238,Ref!$A$2:$B$65,2,FALSE()),"Unclassified"))</f>
        <v/>
      </c>
      <c r="Z238" s="3">
        <f>IF(T238="","",IF(T238&lt;12,"Daily","Weekly"))</f>
        <v/>
      </c>
      <c r="AA238" s="3">
        <f>IF(T238="",0,IF(T238&lt;12,T238*Controls!$B$13,T238*5))</f>
        <v/>
      </c>
      <c r="AB238" s="3">
        <f>IF(E238="",0,NETWORKDAYS(E238,Controls!$B$20,Ref!$K$2:$K$42))</f>
        <v/>
      </c>
      <c r="AC238" s="3">
        <f>IF(OR(AF238=1,AND(AA238&gt;0,AB238&gt;=Controls!$B$23*AA238)),1,0)</f>
        <v/>
      </c>
      <c r="AD238" s="3">
        <f>IF(AND(E238&lt;&gt;"",E238&gt;=Controls!$B$21,E238&lt;=Controls!$B$22),1,0)</f>
        <v/>
      </c>
      <c r="AE238" s="3">
        <f>IF(IFERROR(VLOOKUP(D238,Controls!$A$36:$E$46,2,FALSE()),"No")="Yes",1,0)</f>
        <v/>
      </c>
      <c r="AF238" s="3">
        <f>IF(IFERROR(VLOOKUP(D238,Controls!$A$36:$E$46,3,FALSE()),"No")="Yes",1,0)</f>
        <v/>
      </c>
      <c r="AG238" s="3">
        <f>IF(IFERROR(VLOOKUP(D238,Controls!$A$36:$E$46,4,FALSE()),"No")="Yes",1,0)</f>
        <v/>
      </c>
      <c r="AH238" s="3">
        <f>IF(IFERROR(VLOOKUP(D238,Controls!$A$36:$E$46,5,FALSE()),"No")="Yes",1,0)</f>
        <v/>
      </c>
      <c r="AI238" s="3">
        <f>IF(ISNUMBER(MATCH(D238,Controls!$A$36:$A$46,0)),1,0)</f>
        <v/>
      </c>
      <c r="AJ238" s="28">
        <f>Q238-N238</f>
        <v/>
      </c>
      <c r="AK238" s="3">
        <f>IF(AE238=1,MAX(0,N238-Q238),0)</f>
        <v/>
      </c>
      <c r="AL238" s="3">
        <f>IF(OR(V238="",V238=0),0,N238/V238)</f>
        <v/>
      </c>
      <c r="AM238" s="3">
        <f>IF(OR(V238="",V238=0),0,1)</f>
        <v/>
      </c>
      <c r="AN238" s="3">
        <f>IF(OR(E238="",F238=""),0,NETWORKDAYS(E238,F238,Ref!$K$2:$K$42))</f>
        <v/>
      </c>
      <c r="AO238" s="3">
        <f>IF(L238="Renewal",1,0)</f>
        <v/>
      </c>
      <c r="AP238" s="3">
        <f>AC238*AD238</f>
        <v/>
      </c>
      <c r="AQ238" s="3">
        <f>IF(AND(G238&lt;&gt;"",'Historical Score'!$C$6&lt;&gt;""),IF(G238='Historical Score'!$C$6,1,0),0)</f>
        <v/>
      </c>
      <c r="AR238" s="3">
        <f>IF(AND(L238&lt;&gt;"",'Historical Score'!$C$5&lt;&gt;""),IF(L238='Historical Score'!$C$5,1,0),0)</f>
        <v/>
      </c>
      <c r="AS238" s="3">
        <f>IF(AND(Y238&lt;&gt;"",'Historical Score'!$C$7&lt;&gt;""),IF(Y238='Historical Score'!$C$7,1,0),0)</f>
        <v/>
      </c>
      <c r="AT238" s="3">
        <f>IF(AND(K238&lt;&gt;"",'Historical Score'!$C$8&lt;&gt;""),IF(K238='Historical Score'!$C$8,1,0),0)</f>
        <v/>
      </c>
      <c r="AU238" s="3" t="n"/>
      <c r="AV238" s="3" t="n"/>
      <c r="AW238" s="3" t="n"/>
      <c r="AX238" s="3" t="n"/>
      <c r="AY238" s="3" t="n"/>
      <c r="AZ238" s="3" t="n"/>
      <c r="BA238" s="182">
        <f>IF(AD238=1,(AR238*'Historical Score'!$K$29+1-'Historical Score'!$K$29)*(AT238*'Historical Score'!$L$29+1-'Historical Score'!$L$29)*(AS238*'Historical Score'!$M$29+1-'Historical Score'!$M$29)*(AQ238*'Historical Score'!$N$29+1-'Historical Score'!$N$29),0)</f>
        <v/>
      </c>
      <c r="BB238" s="3" t="n"/>
      <c r="BC238" s="3" t="n"/>
    </row>
    <row r="239" ht="15.75" customHeight="1" s="174">
      <c r="A239" s="3" t="inlineStr">
        <is>
          <t>5674165739</t>
        </is>
      </c>
      <c r="B239" s="3" t="inlineStr">
        <is>
          <t>Az deck pros</t>
        </is>
      </c>
      <c r="C239" s="3" t="inlineStr">
        <is>
          <t>AZ COOL DECK LLC</t>
        </is>
      </c>
      <c r="D239" s="3" t="inlineStr">
        <is>
          <t>Closed</t>
        </is>
      </c>
      <c r="E239" s="23" t="n">
        <v>45905</v>
      </c>
      <c r="F239" s="23" t="n">
        <v>45929</v>
      </c>
      <c r="G239" s="3" t="n">
        <v>1</v>
      </c>
      <c r="H239" s="3" t="inlineStr">
        <is>
          <t>1521</t>
        </is>
      </c>
      <c r="I239" s="3" t="inlineStr">
        <is>
          <t>15</t>
        </is>
      </c>
      <c r="J239" s="3" t="inlineStr">
        <is>
          <t>AZ</t>
        </is>
      </c>
      <c r="K239" s="3" t="inlineStr">
        <is>
          <t>Go Ai Ez LLC Dba:Gova Funding</t>
        </is>
      </c>
      <c r="L239" s="3" t="inlineStr">
        <is>
          <t>New Deal</t>
        </is>
      </c>
      <c r="M239" s="3" t="n">
        <v>1.30835</v>
      </c>
      <c r="N239" s="28" t="n">
        <v>15000</v>
      </c>
      <c r="O239" s="28" t="n">
        <v>1200</v>
      </c>
      <c r="P239" s="28" t="n">
        <v>19625.25</v>
      </c>
      <c r="Q239" s="28" t="n">
        <v>19625.25</v>
      </c>
      <c r="R239" s="28" t="n">
        <v>0</v>
      </c>
      <c r="S239" s="42" t="n">
        <v>1</v>
      </c>
      <c r="T239" s="3" t="n">
        <v>20</v>
      </c>
      <c r="U239" s="3" t="n">
        <v>1</v>
      </c>
      <c r="V239" s="3" t="n">
        <v>45000</v>
      </c>
      <c r="W239" s="42" t="n">
        <v>0.0548</v>
      </c>
      <c r="X239" s="23" t="n">
        <v>45505</v>
      </c>
      <c r="Y239" s="3">
        <f>IF(I239="","No SIC",IFERROR(VLOOKUP(I239,Ref!$A$2:$B$65,2,FALSE()),"Unclassified"))</f>
        <v/>
      </c>
      <c r="Z239" s="3">
        <f>IF(T239="","",IF(T239&lt;12,"Daily","Weekly"))</f>
        <v/>
      </c>
      <c r="AA239" s="3">
        <f>IF(T239="",0,IF(T239&lt;12,T239*Controls!$B$13,T239*5))</f>
        <v/>
      </c>
      <c r="AB239" s="3">
        <f>IF(E239="",0,NETWORKDAYS(E239,Controls!$B$20,Ref!$K$2:$K$42))</f>
        <v/>
      </c>
      <c r="AC239" s="3">
        <f>IF(OR(AF239=1,AND(AA239&gt;0,AB239&gt;=Controls!$B$23*AA239)),1,0)</f>
        <v/>
      </c>
      <c r="AD239" s="3">
        <f>IF(AND(E239&lt;&gt;"",E239&gt;=Controls!$B$21,E239&lt;=Controls!$B$22),1,0)</f>
        <v/>
      </c>
      <c r="AE239" s="3">
        <f>IF(IFERROR(VLOOKUP(D239,Controls!$A$36:$E$46,2,FALSE()),"No")="Yes",1,0)</f>
        <v/>
      </c>
      <c r="AF239" s="3">
        <f>IF(IFERROR(VLOOKUP(D239,Controls!$A$36:$E$46,3,FALSE()),"No")="Yes",1,0)</f>
        <v/>
      </c>
      <c r="AG239" s="3">
        <f>IF(IFERROR(VLOOKUP(D239,Controls!$A$36:$E$46,4,FALSE()),"No")="Yes",1,0)</f>
        <v/>
      </c>
      <c r="AH239" s="3">
        <f>IF(IFERROR(VLOOKUP(D239,Controls!$A$36:$E$46,5,FALSE()),"No")="Yes",1,0)</f>
        <v/>
      </c>
      <c r="AI239" s="3">
        <f>IF(ISNUMBER(MATCH(D239,Controls!$A$36:$A$46,0)),1,0)</f>
        <v/>
      </c>
      <c r="AJ239" s="28">
        <f>Q239-N239</f>
        <v/>
      </c>
      <c r="AK239" s="3">
        <f>IF(AE239=1,MAX(0,N239-Q239),0)</f>
        <v/>
      </c>
      <c r="AL239" s="3">
        <f>IF(OR(V239="",V239=0),0,N239/V239)</f>
        <v/>
      </c>
      <c r="AM239" s="3">
        <f>IF(OR(V239="",V239=0),0,1)</f>
        <v/>
      </c>
      <c r="AN239" s="3">
        <f>IF(OR(E239="",F239=""),0,NETWORKDAYS(E239,F239,Ref!$K$2:$K$42))</f>
        <v/>
      </c>
      <c r="AO239" s="3">
        <f>IF(L239="Renewal",1,0)</f>
        <v/>
      </c>
      <c r="AP239" s="3">
        <f>AC239*AD239</f>
        <v/>
      </c>
      <c r="AQ239" s="3">
        <f>IF(AND(G239&lt;&gt;"",'Historical Score'!$C$6&lt;&gt;""),IF(G239='Historical Score'!$C$6,1,0),0)</f>
        <v/>
      </c>
      <c r="AR239" s="3">
        <f>IF(AND(L239&lt;&gt;"",'Historical Score'!$C$5&lt;&gt;""),IF(L239='Historical Score'!$C$5,1,0),0)</f>
        <v/>
      </c>
      <c r="AS239" s="3">
        <f>IF(AND(Y239&lt;&gt;"",'Historical Score'!$C$7&lt;&gt;""),IF(Y239='Historical Score'!$C$7,1,0),0)</f>
        <v/>
      </c>
      <c r="AT239" s="3">
        <f>IF(AND(K239&lt;&gt;"",'Historical Score'!$C$8&lt;&gt;""),IF(K239='Historical Score'!$C$8,1,0),0)</f>
        <v/>
      </c>
      <c r="AU239" s="3" t="n"/>
      <c r="AV239" s="3" t="n"/>
      <c r="AW239" s="3" t="n"/>
      <c r="AX239" s="3" t="n"/>
      <c r="AY239" s="3" t="n"/>
      <c r="AZ239" s="3" t="n"/>
      <c r="BA239" s="182">
        <f>IF(AD239=1,(AR239*'Historical Score'!$K$29+1-'Historical Score'!$K$29)*(AT239*'Historical Score'!$L$29+1-'Historical Score'!$L$29)*(AS239*'Historical Score'!$M$29+1-'Historical Score'!$M$29)*(AQ239*'Historical Score'!$N$29+1-'Historical Score'!$N$29),0)</f>
        <v/>
      </c>
      <c r="BB239" s="3" t="n"/>
      <c r="BC239" s="3" t="n"/>
    </row>
    <row r="240" ht="15.75" customHeight="1" s="174">
      <c r="A240" s="3" t="inlineStr">
        <is>
          <t>5674165849</t>
        </is>
      </c>
      <c r="B240" s="3" t="inlineStr">
        <is>
          <t>BD Home Group Inc</t>
        </is>
      </c>
      <c r="C240" s="3" t="inlineStr">
        <is>
          <t>BD Home Group Inc</t>
        </is>
      </c>
      <c r="D240" s="3" t="inlineStr">
        <is>
          <t>Legal</t>
        </is>
      </c>
      <c r="E240" s="23" t="n">
        <v>45908</v>
      </c>
      <c r="F240" s="23" t="n">
        <v>46175</v>
      </c>
      <c r="G240" s="3" t="n">
        <v>2</v>
      </c>
      <c r="H240" s="3" t="inlineStr">
        <is>
          <t>1521</t>
        </is>
      </c>
      <c r="I240" s="3" t="inlineStr">
        <is>
          <t>15</t>
        </is>
      </c>
      <c r="J240" s="3" t="inlineStr">
        <is>
          <t>CA</t>
        </is>
      </c>
      <c r="K240" s="3" t="inlineStr">
        <is>
          <t>Tech Consulting Pro LLC D/B/A: Nationwide Advance</t>
        </is>
      </c>
      <c r="L240" s="3" t="inlineStr">
        <is>
          <t>New Deal</t>
        </is>
      </c>
      <c r="M240" s="3" t="n">
        <v>1.499</v>
      </c>
      <c r="N240" s="28" t="n">
        <v>16000</v>
      </c>
      <c r="O240" s="28" t="n">
        <v>0</v>
      </c>
      <c r="P240" s="28" t="n">
        <v>23984</v>
      </c>
      <c r="Q240" s="28" t="n">
        <v>866.4</v>
      </c>
      <c r="R240" s="28" t="n">
        <v>23117.6</v>
      </c>
      <c r="S240" s="42" t="n">
        <v>0.0361240827218145</v>
      </c>
      <c r="T240" s="3" t="n">
        <v>1.803</v>
      </c>
      <c r="U240" s="3" t="n">
        <v>26</v>
      </c>
      <c r="V240" s="3" t="n">
        <v>218160.46</v>
      </c>
      <c r="W240" s="42" t="n">
        <v>0.0417</v>
      </c>
      <c r="X240" s="23" t="n"/>
      <c r="Y240" s="3">
        <f>IF(I240="","No SIC",IFERROR(VLOOKUP(I240,Ref!$A$2:$B$65,2,FALSE()),"Unclassified"))</f>
        <v/>
      </c>
      <c r="Z240" s="3">
        <f>IF(T240="","",IF(T240&lt;12,"Daily","Weekly"))</f>
        <v/>
      </c>
      <c r="AA240" s="3">
        <f>IF(T240="",0,IF(T240&lt;12,T240*Controls!$B$13,T240*5))</f>
        <v/>
      </c>
      <c r="AB240" s="3">
        <f>IF(E240="",0,NETWORKDAYS(E240,Controls!$B$20,Ref!$K$2:$K$42))</f>
        <v/>
      </c>
      <c r="AC240" s="3">
        <f>IF(OR(AF240=1,AND(AA240&gt;0,AB240&gt;=Controls!$B$23*AA240)),1,0)</f>
        <v/>
      </c>
      <c r="AD240" s="3">
        <f>IF(AND(E240&lt;&gt;"",E240&gt;=Controls!$B$21,E240&lt;=Controls!$B$22),1,0)</f>
        <v/>
      </c>
      <c r="AE240" s="3">
        <f>IF(IFERROR(VLOOKUP(D240,Controls!$A$36:$E$46,2,FALSE()),"No")="Yes",1,0)</f>
        <v/>
      </c>
      <c r="AF240" s="3">
        <f>IF(IFERROR(VLOOKUP(D240,Controls!$A$36:$E$46,3,FALSE()),"No")="Yes",1,0)</f>
        <v/>
      </c>
      <c r="AG240" s="3">
        <f>IF(IFERROR(VLOOKUP(D240,Controls!$A$36:$E$46,4,FALSE()),"No")="Yes",1,0)</f>
        <v/>
      </c>
      <c r="AH240" s="3">
        <f>IF(IFERROR(VLOOKUP(D240,Controls!$A$36:$E$46,5,FALSE()),"No")="Yes",1,0)</f>
        <v/>
      </c>
      <c r="AI240" s="3">
        <f>IF(ISNUMBER(MATCH(D240,Controls!$A$36:$A$46,0)),1,0)</f>
        <v/>
      </c>
      <c r="AJ240" s="28">
        <f>Q240-N240</f>
        <v/>
      </c>
      <c r="AK240" s="3">
        <f>IF(AE240=1,MAX(0,N240-Q240),0)</f>
        <v/>
      </c>
      <c r="AL240" s="3">
        <f>IF(OR(V240="",V240=0),0,N240/V240)</f>
        <v/>
      </c>
      <c r="AM240" s="3">
        <f>IF(OR(V240="",V240=0),0,1)</f>
        <v/>
      </c>
      <c r="AN240" s="3">
        <f>IF(OR(E240="",F240=""),0,NETWORKDAYS(E240,F240,Ref!$K$2:$K$42))</f>
        <v/>
      </c>
      <c r="AO240" s="3">
        <f>IF(L240="Renewal",1,0)</f>
        <v/>
      </c>
      <c r="AP240" s="3">
        <f>AC240*AD240</f>
        <v/>
      </c>
      <c r="AQ240" s="3">
        <f>IF(AND(G240&lt;&gt;"",'Historical Score'!$C$6&lt;&gt;""),IF(G240='Historical Score'!$C$6,1,0),0)</f>
        <v/>
      </c>
      <c r="AR240" s="3">
        <f>IF(AND(L240&lt;&gt;"",'Historical Score'!$C$5&lt;&gt;""),IF(L240='Historical Score'!$C$5,1,0),0)</f>
        <v/>
      </c>
      <c r="AS240" s="3">
        <f>IF(AND(Y240&lt;&gt;"",'Historical Score'!$C$7&lt;&gt;""),IF(Y240='Historical Score'!$C$7,1,0),0)</f>
        <v/>
      </c>
      <c r="AT240" s="3">
        <f>IF(AND(K240&lt;&gt;"",'Historical Score'!$C$8&lt;&gt;""),IF(K240='Historical Score'!$C$8,1,0),0)</f>
        <v/>
      </c>
      <c r="AU240" s="3" t="n"/>
      <c r="AV240" s="3" t="n"/>
      <c r="AW240" s="3" t="n"/>
      <c r="AX240" s="3" t="n"/>
      <c r="AY240" s="3" t="n"/>
      <c r="AZ240" s="3" t="n"/>
      <c r="BA240" s="182">
        <f>IF(AD240=1,(AR240*'Historical Score'!$K$29+1-'Historical Score'!$K$29)*(AT240*'Historical Score'!$L$29+1-'Historical Score'!$L$29)*(AS240*'Historical Score'!$M$29+1-'Historical Score'!$M$29)*(AQ240*'Historical Score'!$N$29+1-'Historical Score'!$N$29),0)</f>
        <v/>
      </c>
      <c r="BB240" s="3" t="n"/>
      <c r="BC240" s="3" t="n"/>
    </row>
    <row r="241" ht="15.75" customHeight="1" s="174">
      <c r="A241" s="3" t="inlineStr">
        <is>
          <t>5674165932</t>
        </is>
      </c>
      <c r="B241" s="3" t="inlineStr">
        <is>
          <t>Jay's Technology Solutions, LLC</t>
        </is>
      </c>
      <c r="C241" s="3" t="inlineStr">
        <is>
          <t>Jay's Technology Solutions, LLC</t>
        </is>
      </c>
      <c r="D241" s="3" t="inlineStr">
        <is>
          <t>In House Collection</t>
        </is>
      </c>
      <c r="E241" s="23" t="n">
        <v>45909</v>
      </c>
      <c r="F241" s="23" t="n">
        <v>46248</v>
      </c>
      <c r="G241" s="3" t="n">
        <v>1</v>
      </c>
      <c r="H241" s="3" t="inlineStr">
        <is>
          <t>7371</t>
        </is>
      </c>
      <c r="I241" s="3" t="inlineStr">
        <is>
          <t>73</t>
        </is>
      </c>
      <c r="J241" s="3" t="inlineStr">
        <is>
          <t>WA</t>
        </is>
      </c>
      <c r="K241" s="3" t="inlineStr">
        <is>
          <t>Go Ai Ez LLC Dba:Gova Funding</t>
        </is>
      </c>
      <c r="L241" s="3" t="inlineStr">
        <is>
          <t>New Deal</t>
        </is>
      </c>
      <c r="M241" s="3" t="n">
        <v>1.499</v>
      </c>
      <c r="N241" s="28" t="n">
        <v>8000</v>
      </c>
      <c r="O241" s="28" t="n">
        <v>0</v>
      </c>
      <c r="P241" s="28" t="n">
        <v>11992</v>
      </c>
      <c r="Q241" s="28" t="n">
        <v>2789.48</v>
      </c>
      <c r="R241" s="28" t="n">
        <v>9202.52</v>
      </c>
      <c r="S241" s="42" t="n">
        <v>0.232611741160774</v>
      </c>
      <c r="T241" s="3" t="n">
        <v>2.82</v>
      </c>
      <c r="U241" s="3" t="n">
        <v>40</v>
      </c>
      <c r="V241" s="3" t="n">
        <v>13137.95</v>
      </c>
      <c r="W241" s="42" t="n">
        <v>0.2224</v>
      </c>
      <c r="X241" s="23" t="n">
        <v>37580</v>
      </c>
      <c r="Y241" s="3">
        <f>IF(I241="","No SIC",IFERROR(VLOOKUP(I241,Ref!$A$2:$B$65,2,FALSE()),"Unclassified"))</f>
        <v/>
      </c>
      <c r="Z241" s="3">
        <f>IF(T241="","",IF(T241&lt;12,"Daily","Weekly"))</f>
        <v/>
      </c>
      <c r="AA241" s="3">
        <f>IF(T241="",0,IF(T241&lt;12,T241*Controls!$B$13,T241*5))</f>
        <v/>
      </c>
      <c r="AB241" s="3">
        <f>IF(E241="",0,NETWORKDAYS(E241,Controls!$B$20,Ref!$K$2:$K$42))</f>
        <v/>
      </c>
      <c r="AC241" s="3">
        <f>IF(OR(AF241=1,AND(AA241&gt;0,AB241&gt;=Controls!$B$23*AA241)),1,0)</f>
        <v/>
      </c>
      <c r="AD241" s="3">
        <f>IF(AND(E241&lt;&gt;"",E241&gt;=Controls!$B$21,E241&lt;=Controls!$B$22),1,0)</f>
        <v/>
      </c>
      <c r="AE241" s="3">
        <f>IF(IFERROR(VLOOKUP(D241,Controls!$A$36:$E$46,2,FALSE()),"No")="Yes",1,0)</f>
        <v/>
      </c>
      <c r="AF241" s="3">
        <f>IF(IFERROR(VLOOKUP(D241,Controls!$A$36:$E$46,3,FALSE()),"No")="Yes",1,0)</f>
        <v/>
      </c>
      <c r="AG241" s="3">
        <f>IF(IFERROR(VLOOKUP(D241,Controls!$A$36:$E$46,4,FALSE()),"No")="Yes",1,0)</f>
        <v/>
      </c>
      <c r="AH241" s="3">
        <f>IF(IFERROR(VLOOKUP(D241,Controls!$A$36:$E$46,5,FALSE()),"No")="Yes",1,0)</f>
        <v/>
      </c>
      <c r="AI241" s="3">
        <f>IF(ISNUMBER(MATCH(D241,Controls!$A$36:$A$46,0)),1,0)</f>
        <v/>
      </c>
      <c r="AJ241" s="28">
        <f>Q241-N241</f>
        <v/>
      </c>
      <c r="AK241" s="3">
        <f>IF(AE241=1,MAX(0,N241-Q241),0)</f>
        <v/>
      </c>
      <c r="AL241" s="3">
        <f>IF(OR(V241="",V241=0),0,N241/V241)</f>
        <v/>
      </c>
      <c r="AM241" s="3">
        <f>IF(OR(V241="",V241=0),0,1)</f>
        <v/>
      </c>
      <c r="AN241" s="3">
        <f>IF(OR(E241="",F241=""),0,NETWORKDAYS(E241,F241,Ref!$K$2:$K$42))</f>
        <v/>
      </c>
      <c r="AO241" s="3">
        <f>IF(L241="Renewal",1,0)</f>
        <v/>
      </c>
      <c r="AP241" s="3">
        <f>AC241*AD241</f>
        <v/>
      </c>
      <c r="AQ241" s="3">
        <f>IF(AND(G241&lt;&gt;"",'Historical Score'!$C$6&lt;&gt;""),IF(G241='Historical Score'!$C$6,1,0),0)</f>
        <v/>
      </c>
      <c r="AR241" s="3">
        <f>IF(AND(L241&lt;&gt;"",'Historical Score'!$C$5&lt;&gt;""),IF(L241='Historical Score'!$C$5,1,0),0)</f>
        <v/>
      </c>
      <c r="AS241" s="3">
        <f>IF(AND(Y241&lt;&gt;"",'Historical Score'!$C$7&lt;&gt;""),IF(Y241='Historical Score'!$C$7,1,0),0)</f>
        <v/>
      </c>
      <c r="AT241" s="3">
        <f>IF(AND(K241&lt;&gt;"",'Historical Score'!$C$8&lt;&gt;""),IF(K241='Historical Score'!$C$8,1,0),0)</f>
        <v/>
      </c>
      <c r="AU241" s="3" t="n"/>
      <c r="AV241" s="3" t="n"/>
      <c r="AW241" s="3" t="n"/>
      <c r="AX241" s="3" t="n"/>
      <c r="AY241" s="3" t="n"/>
      <c r="AZ241" s="3" t="n"/>
      <c r="BA241" s="182">
        <f>IF(AD241=1,(AR241*'Historical Score'!$K$29+1-'Historical Score'!$K$29)*(AT241*'Historical Score'!$L$29+1-'Historical Score'!$L$29)*(AS241*'Historical Score'!$M$29+1-'Historical Score'!$M$29)*(AQ241*'Historical Score'!$N$29+1-'Historical Score'!$N$29),0)</f>
        <v/>
      </c>
      <c r="BB241" s="3" t="n"/>
      <c r="BC241" s="3" t="n"/>
    </row>
    <row r="242" ht="15.75" customHeight="1" s="174">
      <c r="A242" s="3" t="inlineStr">
        <is>
          <t>5674165956</t>
        </is>
      </c>
      <c r="B242" s="3" t="inlineStr">
        <is>
          <t>Cygnus Staffing and Consulting Inc</t>
        </is>
      </c>
      <c r="C242" s="3" t="inlineStr">
        <is>
          <t>Cygnus Staffing and Consulting Inc</t>
        </is>
      </c>
      <c r="D242" s="3" t="inlineStr">
        <is>
          <t>Closed</t>
        </is>
      </c>
      <c r="E242" s="23" t="n">
        <v>45909</v>
      </c>
      <c r="F242" s="23" t="n">
        <v>46069</v>
      </c>
      <c r="G242" s="3" t="n">
        <v>2</v>
      </c>
      <c r="H242" s="3" t="inlineStr">
        <is>
          <t>7363</t>
        </is>
      </c>
      <c r="I242" s="3" t="inlineStr">
        <is>
          <t>73</t>
        </is>
      </c>
      <c r="J242" s="3" t="inlineStr">
        <is>
          <t>TX</t>
        </is>
      </c>
      <c r="K242" s="3" t="inlineStr">
        <is>
          <t>Fundwell</t>
        </is>
      </c>
      <c r="L242" s="3" t="inlineStr">
        <is>
          <t>New Deal</t>
        </is>
      </c>
      <c r="M242" s="3" t="n">
        <v>1.39</v>
      </c>
      <c r="N242" s="28" t="n">
        <v>25000</v>
      </c>
      <c r="O242" s="28" t="n">
        <v>2750</v>
      </c>
      <c r="P242" s="28" t="n">
        <v>34750</v>
      </c>
      <c r="Q242" s="28" t="n">
        <v>34750</v>
      </c>
      <c r="R242" s="28" t="n">
        <v>0</v>
      </c>
      <c r="S242" s="42" t="n">
        <v>1</v>
      </c>
      <c r="T242" s="3" t="n">
        <v>20</v>
      </c>
      <c r="U242" s="3" t="n">
        <v>2</v>
      </c>
      <c r="V242" s="3" t="n">
        <v>52212</v>
      </c>
      <c r="W242" s="42" t="n">
        <v>0.1285</v>
      </c>
      <c r="X242" s="23" t="n">
        <v>43843</v>
      </c>
      <c r="Y242" s="3">
        <f>IF(I242="","No SIC",IFERROR(VLOOKUP(I242,Ref!$A$2:$B$65,2,FALSE()),"Unclassified"))</f>
        <v/>
      </c>
      <c r="Z242" s="3">
        <f>IF(T242="","",IF(T242&lt;12,"Daily","Weekly"))</f>
        <v/>
      </c>
      <c r="AA242" s="3">
        <f>IF(T242="",0,IF(T242&lt;12,T242*Controls!$B$13,T242*5))</f>
        <v/>
      </c>
      <c r="AB242" s="3">
        <f>IF(E242="",0,NETWORKDAYS(E242,Controls!$B$20,Ref!$K$2:$K$42))</f>
        <v/>
      </c>
      <c r="AC242" s="3">
        <f>IF(OR(AF242=1,AND(AA242&gt;0,AB242&gt;=Controls!$B$23*AA242)),1,0)</f>
        <v/>
      </c>
      <c r="AD242" s="3">
        <f>IF(AND(E242&lt;&gt;"",E242&gt;=Controls!$B$21,E242&lt;=Controls!$B$22),1,0)</f>
        <v/>
      </c>
      <c r="AE242" s="3">
        <f>IF(IFERROR(VLOOKUP(D242,Controls!$A$36:$E$46,2,FALSE()),"No")="Yes",1,0)</f>
        <v/>
      </c>
      <c r="AF242" s="3">
        <f>IF(IFERROR(VLOOKUP(D242,Controls!$A$36:$E$46,3,FALSE()),"No")="Yes",1,0)</f>
        <v/>
      </c>
      <c r="AG242" s="3">
        <f>IF(IFERROR(VLOOKUP(D242,Controls!$A$36:$E$46,4,FALSE()),"No")="Yes",1,0)</f>
        <v/>
      </c>
      <c r="AH242" s="3">
        <f>IF(IFERROR(VLOOKUP(D242,Controls!$A$36:$E$46,5,FALSE()),"No")="Yes",1,0)</f>
        <v/>
      </c>
      <c r="AI242" s="3">
        <f>IF(ISNUMBER(MATCH(D242,Controls!$A$36:$A$46,0)),1,0)</f>
        <v/>
      </c>
      <c r="AJ242" s="28">
        <f>Q242-N242</f>
        <v/>
      </c>
      <c r="AK242" s="3">
        <f>IF(AE242=1,MAX(0,N242-Q242),0)</f>
        <v/>
      </c>
      <c r="AL242" s="3">
        <f>IF(OR(V242="",V242=0),0,N242/V242)</f>
        <v/>
      </c>
      <c r="AM242" s="3">
        <f>IF(OR(V242="",V242=0),0,1)</f>
        <v/>
      </c>
      <c r="AN242" s="3">
        <f>IF(OR(E242="",F242=""),0,NETWORKDAYS(E242,F242,Ref!$K$2:$K$42))</f>
        <v/>
      </c>
      <c r="AO242" s="3">
        <f>IF(L242="Renewal",1,0)</f>
        <v/>
      </c>
      <c r="AP242" s="3">
        <f>AC242*AD242</f>
        <v/>
      </c>
      <c r="AQ242" s="3">
        <f>IF(AND(G242&lt;&gt;"",'Historical Score'!$C$6&lt;&gt;""),IF(G242='Historical Score'!$C$6,1,0),0)</f>
        <v/>
      </c>
      <c r="AR242" s="3">
        <f>IF(AND(L242&lt;&gt;"",'Historical Score'!$C$5&lt;&gt;""),IF(L242='Historical Score'!$C$5,1,0),0)</f>
        <v/>
      </c>
      <c r="AS242" s="3">
        <f>IF(AND(Y242&lt;&gt;"",'Historical Score'!$C$7&lt;&gt;""),IF(Y242='Historical Score'!$C$7,1,0),0)</f>
        <v/>
      </c>
      <c r="AT242" s="3">
        <f>IF(AND(K242&lt;&gt;"",'Historical Score'!$C$8&lt;&gt;""),IF(K242='Historical Score'!$C$8,1,0),0)</f>
        <v/>
      </c>
      <c r="AU242" s="3" t="n"/>
      <c r="AV242" s="3" t="n"/>
      <c r="AW242" s="3" t="n"/>
      <c r="AX242" s="3" t="n"/>
      <c r="AY242" s="3" t="n"/>
      <c r="AZ242" s="3" t="n"/>
      <c r="BA242" s="182">
        <f>IF(AD242=1,(AR242*'Historical Score'!$K$29+1-'Historical Score'!$K$29)*(AT242*'Historical Score'!$L$29+1-'Historical Score'!$L$29)*(AS242*'Historical Score'!$M$29+1-'Historical Score'!$M$29)*(AQ242*'Historical Score'!$N$29+1-'Historical Score'!$N$29),0)</f>
        <v/>
      </c>
      <c r="BB242" s="3" t="n"/>
      <c r="BC242" s="3" t="n"/>
    </row>
    <row r="243" ht="15.75" customHeight="1" s="174">
      <c r="A243" s="3" t="inlineStr">
        <is>
          <t>5674165958</t>
        </is>
      </c>
      <c r="B243" s="3" t="inlineStr">
        <is>
          <t>Blast blow dry</t>
        </is>
      </c>
      <c r="C243" s="3" t="inlineStr">
        <is>
          <t>Blast blow dry</t>
        </is>
      </c>
      <c r="D243" s="3" t="inlineStr">
        <is>
          <t>Written-Off</t>
        </is>
      </c>
      <c r="E243" s="23" t="n">
        <v>45909</v>
      </c>
      <c r="F243" s="23" t="n">
        <v>46024</v>
      </c>
      <c r="G243" s="3" t="n">
        <v>2</v>
      </c>
      <c r="H243" s="3" t="inlineStr">
        <is>
          <t>7231</t>
        </is>
      </c>
      <c r="I243" s="3" t="inlineStr">
        <is>
          <t>72</t>
        </is>
      </c>
      <c r="J243" s="3" t="inlineStr">
        <is>
          <t>TX</t>
        </is>
      </c>
      <c r="K243" s="3" t="inlineStr">
        <is>
          <t>Premium Capital (AMRK)</t>
        </is>
      </c>
      <c r="L243" s="3" t="inlineStr">
        <is>
          <t>New Deal</t>
        </is>
      </c>
      <c r="M243" s="3" t="n">
        <v>1.499</v>
      </c>
      <c r="N243" s="28" t="n">
        <v>8500</v>
      </c>
      <c r="O243" s="28" t="n">
        <v>1190</v>
      </c>
      <c r="P243" s="28" t="n">
        <v>12741.5</v>
      </c>
      <c r="Q243" s="28" t="n">
        <v>12673</v>
      </c>
      <c r="R243" s="28" t="n">
        <v>68.5000000000018</v>
      </c>
      <c r="S243" s="42" t="n">
        <v>0.9946238668916531</v>
      </c>
      <c r="T243" s="3" t="n">
        <v>2.459</v>
      </c>
      <c r="U243" s="3" t="n">
        <v>4</v>
      </c>
      <c r="V243" s="3" t="n">
        <v>30093.78</v>
      </c>
      <c r="W243" s="42" t="n">
        <v>0.1179</v>
      </c>
      <c r="X243" s="23" t="n"/>
      <c r="Y243" s="3">
        <f>IF(I243="","No SIC",IFERROR(VLOOKUP(I243,Ref!$A$2:$B$65,2,FALSE()),"Unclassified"))</f>
        <v/>
      </c>
      <c r="Z243" s="3">
        <f>IF(T243="","",IF(T243&lt;12,"Daily","Weekly"))</f>
        <v/>
      </c>
      <c r="AA243" s="3">
        <f>IF(T243="",0,IF(T243&lt;12,T243*Controls!$B$13,T243*5))</f>
        <v/>
      </c>
      <c r="AB243" s="3">
        <f>IF(E243="",0,NETWORKDAYS(E243,Controls!$B$20,Ref!$K$2:$K$42))</f>
        <v/>
      </c>
      <c r="AC243" s="3">
        <f>IF(OR(AF243=1,AND(AA243&gt;0,AB243&gt;=Controls!$B$23*AA243)),1,0)</f>
        <v/>
      </c>
      <c r="AD243" s="3">
        <f>IF(AND(E243&lt;&gt;"",E243&gt;=Controls!$B$21,E243&lt;=Controls!$B$22),1,0)</f>
        <v/>
      </c>
      <c r="AE243" s="3">
        <f>IF(IFERROR(VLOOKUP(D243,Controls!$A$36:$E$46,2,FALSE()),"No")="Yes",1,0)</f>
        <v/>
      </c>
      <c r="AF243" s="3">
        <f>IF(IFERROR(VLOOKUP(D243,Controls!$A$36:$E$46,3,FALSE()),"No")="Yes",1,0)</f>
        <v/>
      </c>
      <c r="AG243" s="3">
        <f>IF(IFERROR(VLOOKUP(D243,Controls!$A$36:$E$46,4,FALSE()),"No")="Yes",1,0)</f>
        <v/>
      </c>
      <c r="AH243" s="3">
        <f>IF(IFERROR(VLOOKUP(D243,Controls!$A$36:$E$46,5,FALSE()),"No")="Yes",1,0)</f>
        <v/>
      </c>
      <c r="AI243" s="3">
        <f>IF(ISNUMBER(MATCH(D243,Controls!$A$36:$A$46,0)),1,0)</f>
        <v/>
      </c>
      <c r="AJ243" s="28">
        <f>Q243-N243</f>
        <v/>
      </c>
      <c r="AK243" s="3">
        <f>IF(AE243=1,MAX(0,N243-Q243),0)</f>
        <v/>
      </c>
      <c r="AL243" s="3">
        <f>IF(OR(V243="",V243=0),0,N243/V243)</f>
        <v/>
      </c>
      <c r="AM243" s="3">
        <f>IF(OR(V243="",V243=0),0,1)</f>
        <v/>
      </c>
      <c r="AN243" s="3">
        <f>IF(OR(E243="",F243=""),0,NETWORKDAYS(E243,F243,Ref!$K$2:$K$42))</f>
        <v/>
      </c>
      <c r="AO243" s="3">
        <f>IF(L243="Renewal",1,0)</f>
        <v/>
      </c>
      <c r="AP243" s="3">
        <f>AC243*AD243</f>
        <v/>
      </c>
      <c r="AQ243" s="3">
        <f>IF(AND(G243&lt;&gt;"",'Historical Score'!$C$6&lt;&gt;""),IF(G243='Historical Score'!$C$6,1,0),0)</f>
        <v/>
      </c>
      <c r="AR243" s="3">
        <f>IF(AND(L243&lt;&gt;"",'Historical Score'!$C$5&lt;&gt;""),IF(L243='Historical Score'!$C$5,1,0),0)</f>
        <v/>
      </c>
      <c r="AS243" s="3">
        <f>IF(AND(Y243&lt;&gt;"",'Historical Score'!$C$7&lt;&gt;""),IF(Y243='Historical Score'!$C$7,1,0),0)</f>
        <v/>
      </c>
      <c r="AT243" s="3">
        <f>IF(AND(K243&lt;&gt;"",'Historical Score'!$C$8&lt;&gt;""),IF(K243='Historical Score'!$C$8,1,0),0)</f>
        <v/>
      </c>
      <c r="AU243" s="3" t="n"/>
      <c r="AV243" s="3" t="n"/>
      <c r="AW243" s="3" t="n"/>
      <c r="AX243" s="3" t="n"/>
      <c r="AY243" s="3" t="n"/>
      <c r="AZ243" s="3" t="n"/>
      <c r="BA243" s="182">
        <f>IF(AD243=1,(AR243*'Historical Score'!$K$29+1-'Historical Score'!$K$29)*(AT243*'Historical Score'!$L$29+1-'Historical Score'!$L$29)*(AS243*'Historical Score'!$M$29+1-'Historical Score'!$M$29)*(AQ243*'Historical Score'!$N$29+1-'Historical Score'!$N$29),0)</f>
        <v/>
      </c>
      <c r="BB243" s="3" t="n"/>
      <c r="BC243" s="3" t="n"/>
    </row>
    <row r="244" ht="15.75" customHeight="1" s="174">
      <c r="A244" s="3" t="inlineStr">
        <is>
          <t>5674165960</t>
        </is>
      </c>
      <c r="B244" s="3" t="inlineStr">
        <is>
          <t>EMDR NH LLC</t>
        </is>
      </c>
      <c r="C244" s="3" t="inlineStr">
        <is>
          <t>LIFE IN BLOOM COUNSELING, LLC</t>
        </is>
      </c>
      <c r="D244" s="3" t="inlineStr">
        <is>
          <t>Legal</t>
        </is>
      </c>
      <c r="E244" s="23" t="n">
        <v>45909</v>
      </c>
      <c r="F244" s="23" t="n">
        <v>46170</v>
      </c>
      <c r="G244" s="3" t="n">
        <v>3</v>
      </c>
      <c r="H244" s="3" t="inlineStr">
        <is>
          <t>8049</t>
        </is>
      </c>
      <c r="I244" s="3" t="inlineStr">
        <is>
          <t>80</t>
        </is>
      </c>
      <c r="J244" s="3" t="inlineStr">
        <is>
          <t>NH</t>
        </is>
      </c>
      <c r="K244" s="3" t="inlineStr">
        <is>
          <t>ROYAL FUNDING GROUP</t>
        </is>
      </c>
      <c r="L244" s="3" t="inlineStr">
        <is>
          <t>New Deal</t>
        </is>
      </c>
      <c r="M244" s="3" t="n">
        <v>1.499</v>
      </c>
      <c r="N244" s="28" t="n">
        <v>15000</v>
      </c>
      <c r="O244" s="28" t="n">
        <v>0</v>
      </c>
      <c r="P244" s="28" t="n">
        <v>22485</v>
      </c>
      <c r="Q244" s="28" t="n">
        <v>11404.4</v>
      </c>
      <c r="R244" s="28" t="n">
        <v>11080.6</v>
      </c>
      <c r="S244" s="42" t="n">
        <v>0.507200355792751</v>
      </c>
      <c r="T244" s="3" t="n">
        <v>15</v>
      </c>
      <c r="U244" s="3" t="n">
        <v>36</v>
      </c>
      <c r="V244" s="3" t="n">
        <v>29576.08</v>
      </c>
      <c r="W244" s="42" t="n">
        <v>0.2015</v>
      </c>
      <c r="X244" s="23" t="n">
        <v>43225</v>
      </c>
      <c r="Y244" s="3">
        <f>IF(I244="","No SIC",IFERROR(VLOOKUP(I244,Ref!$A$2:$B$65,2,FALSE()),"Unclassified"))</f>
        <v/>
      </c>
      <c r="Z244" s="3">
        <f>IF(T244="","",IF(T244&lt;12,"Daily","Weekly"))</f>
        <v/>
      </c>
      <c r="AA244" s="3">
        <f>IF(T244="",0,IF(T244&lt;12,T244*Controls!$B$13,T244*5))</f>
        <v/>
      </c>
      <c r="AB244" s="3">
        <f>IF(E244="",0,NETWORKDAYS(E244,Controls!$B$20,Ref!$K$2:$K$42))</f>
        <v/>
      </c>
      <c r="AC244" s="3">
        <f>IF(OR(AF244=1,AND(AA244&gt;0,AB244&gt;=Controls!$B$23*AA244)),1,0)</f>
        <v/>
      </c>
      <c r="AD244" s="3">
        <f>IF(AND(E244&lt;&gt;"",E244&gt;=Controls!$B$21,E244&lt;=Controls!$B$22),1,0)</f>
        <v/>
      </c>
      <c r="AE244" s="3">
        <f>IF(IFERROR(VLOOKUP(D244,Controls!$A$36:$E$46,2,FALSE()),"No")="Yes",1,0)</f>
        <v/>
      </c>
      <c r="AF244" s="3">
        <f>IF(IFERROR(VLOOKUP(D244,Controls!$A$36:$E$46,3,FALSE()),"No")="Yes",1,0)</f>
        <v/>
      </c>
      <c r="AG244" s="3">
        <f>IF(IFERROR(VLOOKUP(D244,Controls!$A$36:$E$46,4,FALSE()),"No")="Yes",1,0)</f>
        <v/>
      </c>
      <c r="AH244" s="3">
        <f>IF(IFERROR(VLOOKUP(D244,Controls!$A$36:$E$46,5,FALSE()),"No")="Yes",1,0)</f>
        <v/>
      </c>
      <c r="AI244" s="3">
        <f>IF(ISNUMBER(MATCH(D244,Controls!$A$36:$A$46,0)),1,0)</f>
        <v/>
      </c>
      <c r="AJ244" s="28">
        <f>Q244-N244</f>
        <v/>
      </c>
      <c r="AK244" s="3">
        <f>IF(AE244=1,MAX(0,N244-Q244),0)</f>
        <v/>
      </c>
      <c r="AL244" s="3">
        <f>IF(OR(V244="",V244=0),0,N244/V244)</f>
        <v/>
      </c>
      <c r="AM244" s="3">
        <f>IF(OR(V244="",V244=0),0,1)</f>
        <v/>
      </c>
      <c r="AN244" s="3">
        <f>IF(OR(E244="",F244=""),0,NETWORKDAYS(E244,F244,Ref!$K$2:$K$42))</f>
        <v/>
      </c>
      <c r="AO244" s="3">
        <f>IF(L244="Renewal",1,0)</f>
        <v/>
      </c>
      <c r="AP244" s="3">
        <f>AC244*AD244</f>
        <v/>
      </c>
      <c r="AQ244" s="3">
        <f>IF(AND(G244&lt;&gt;"",'Historical Score'!$C$6&lt;&gt;""),IF(G244='Historical Score'!$C$6,1,0),0)</f>
        <v/>
      </c>
      <c r="AR244" s="3">
        <f>IF(AND(L244&lt;&gt;"",'Historical Score'!$C$5&lt;&gt;""),IF(L244='Historical Score'!$C$5,1,0),0)</f>
        <v/>
      </c>
      <c r="AS244" s="3">
        <f>IF(AND(Y244&lt;&gt;"",'Historical Score'!$C$7&lt;&gt;""),IF(Y244='Historical Score'!$C$7,1,0),0)</f>
        <v/>
      </c>
      <c r="AT244" s="3">
        <f>IF(AND(K244&lt;&gt;"",'Historical Score'!$C$8&lt;&gt;""),IF(K244='Historical Score'!$C$8,1,0),0)</f>
        <v/>
      </c>
      <c r="AU244" s="3" t="n"/>
      <c r="AV244" s="3" t="n"/>
      <c r="AW244" s="3" t="n"/>
      <c r="AX244" s="3" t="n"/>
      <c r="AY244" s="3" t="n"/>
      <c r="AZ244" s="3" t="n"/>
      <c r="BA244" s="182">
        <f>IF(AD244=1,(AR244*'Historical Score'!$K$29+1-'Historical Score'!$K$29)*(AT244*'Historical Score'!$L$29+1-'Historical Score'!$L$29)*(AS244*'Historical Score'!$M$29+1-'Historical Score'!$M$29)*(AQ244*'Historical Score'!$N$29+1-'Historical Score'!$N$29),0)</f>
        <v/>
      </c>
      <c r="BB244" s="3" t="n"/>
      <c r="BC244" s="3" t="n"/>
    </row>
    <row r="245" ht="15.75" customHeight="1" s="174">
      <c r="A245" s="3" t="inlineStr">
        <is>
          <t>5674166066</t>
        </is>
      </c>
      <c r="B245" s="3" t="inlineStr">
        <is>
          <t>CC REMODELING SERVICES INC</t>
        </is>
      </c>
      <c r="C245" s="3" t="inlineStr">
        <is>
          <t>CC REMODELING SERVICES INC</t>
        </is>
      </c>
      <c r="D245" s="3" t="inlineStr">
        <is>
          <t>Closed</t>
        </is>
      </c>
      <c r="E245" s="23" t="n">
        <v>45910</v>
      </c>
      <c r="F245" s="23" t="n">
        <v>46030</v>
      </c>
      <c r="G245" s="3" t="n">
        <v>2</v>
      </c>
      <c r="H245" s="3" t="inlineStr">
        <is>
          <t>1521</t>
        </is>
      </c>
      <c r="I245" s="3" t="inlineStr">
        <is>
          <t>15</t>
        </is>
      </c>
      <c r="J245" s="3" t="inlineStr">
        <is>
          <t>TN</t>
        </is>
      </c>
      <c r="K245" s="3" t="inlineStr">
        <is>
          <t>biz advance now</t>
        </is>
      </c>
      <c r="L245" s="3" t="inlineStr">
        <is>
          <t>New Deal</t>
        </is>
      </c>
      <c r="M245" s="3" t="n">
        <v>1.499</v>
      </c>
      <c r="N245" s="28" t="n">
        <v>15000</v>
      </c>
      <c r="O245" s="28" t="n">
        <v>2100</v>
      </c>
      <c r="P245" s="28" t="n">
        <v>22485</v>
      </c>
      <c r="Q245" s="28" t="n">
        <v>22485</v>
      </c>
      <c r="R245" s="28" t="n">
        <v>0</v>
      </c>
      <c r="S245" s="42" t="n">
        <v>1</v>
      </c>
      <c r="T245" s="3" t="n">
        <v>2.623</v>
      </c>
      <c r="U245" s="3" t="n">
        <v>10</v>
      </c>
      <c r="V245" s="3" t="n">
        <v>81491.69</v>
      </c>
      <c r="W245" s="42" t="n">
        <v>0.0716</v>
      </c>
      <c r="X245" s="23" t="n">
        <v>45292</v>
      </c>
      <c r="Y245" s="3">
        <f>IF(I245="","No SIC",IFERROR(VLOOKUP(I245,Ref!$A$2:$B$65,2,FALSE()),"Unclassified"))</f>
        <v/>
      </c>
      <c r="Z245" s="3">
        <f>IF(T245="","",IF(T245&lt;12,"Daily","Weekly"))</f>
        <v/>
      </c>
      <c r="AA245" s="3">
        <f>IF(T245="",0,IF(T245&lt;12,T245*Controls!$B$13,T245*5))</f>
        <v/>
      </c>
      <c r="AB245" s="3">
        <f>IF(E245="",0,NETWORKDAYS(E245,Controls!$B$20,Ref!$K$2:$K$42))</f>
        <v/>
      </c>
      <c r="AC245" s="3">
        <f>IF(OR(AF245=1,AND(AA245&gt;0,AB245&gt;=Controls!$B$23*AA245)),1,0)</f>
        <v/>
      </c>
      <c r="AD245" s="3">
        <f>IF(AND(E245&lt;&gt;"",E245&gt;=Controls!$B$21,E245&lt;=Controls!$B$22),1,0)</f>
        <v/>
      </c>
      <c r="AE245" s="3">
        <f>IF(IFERROR(VLOOKUP(D245,Controls!$A$36:$E$46,2,FALSE()),"No")="Yes",1,0)</f>
        <v/>
      </c>
      <c r="AF245" s="3">
        <f>IF(IFERROR(VLOOKUP(D245,Controls!$A$36:$E$46,3,FALSE()),"No")="Yes",1,0)</f>
        <v/>
      </c>
      <c r="AG245" s="3">
        <f>IF(IFERROR(VLOOKUP(D245,Controls!$A$36:$E$46,4,FALSE()),"No")="Yes",1,0)</f>
        <v/>
      </c>
      <c r="AH245" s="3">
        <f>IF(IFERROR(VLOOKUP(D245,Controls!$A$36:$E$46,5,FALSE()),"No")="Yes",1,0)</f>
        <v/>
      </c>
      <c r="AI245" s="3">
        <f>IF(ISNUMBER(MATCH(D245,Controls!$A$36:$A$46,0)),1,0)</f>
        <v/>
      </c>
      <c r="AJ245" s="28">
        <f>Q245-N245</f>
        <v/>
      </c>
      <c r="AK245" s="3">
        <f>IF(AE245=1,MAX(0,N245-Q245),0)</f>
        <v/>
      </c>
      <c r="AL245" s="3">
        <f>IF(OR(V245="",V245=0),0,N245/V245)</f>
        <v/>
      </c>
      <c r="AM245" s="3">
        <f>IF(OR(V245="",V245=0),0,1)</f>
        <v/>
      </c>
      <c r="AN245" s="3">
        <f>IF(OR(E245="",F245=""),0,NETWORKDAYS(E245,F245,Ref!$K$2:$K$42))</f>
        <v/>
      </c>
      <c r="AO245" s="3">
        <f>IF(L245="Renewal",1,0)</f>
        <v/>
      </c>
      <c r="AP245" s="3">
        <f>AC245*AD245</f>
        <v/>
      </c>
      <c r="AQ245" s="3">
        <f>IF(AND(G245&lt;&gt;"",'Historical Score'!$C$6&lt;&gt;""),IF(G245='Historical Score'!$C$6,1,0),0)</f>
        <v/>
      </c>
      <c r="AR245" s="3">
        <f>IF(AND(L245&lt;&gt;"",'Historical Score'!$C$5&lt;&gt;""),IF(L245='Historical Score'!$C$5,1,0),0)</f>
        <v/>
      </c>
      <c r="AS245" s="3">
        <f>IF(AND(Y245&lt;&gt;"",'Historical Score'!$C$7&lt;&gt;""),IF(Y245='Historical Score'!$C$7,1,0),0)</f>
        <v/>
      </c>
      <c r="AT245" s="3">
        <f>IF(AND(K245&lt;&gt;"",'Historical Score'!$C$8&lt;&gt;""),IF(K245='Historical Score'!$C$8,1,0),0)</f>
        <v/>
      </c>
      <c r="AU245" s="3" t="n"/>
      <c r="AV245" s="3" t="n"/>
      <c r="AW245" s="3" t="n"/>
      <c r="AX245" s="3" t="n"/>
      <c r="AY245" s="3" t="n"/>
      <c r="AZ245" s="3" t="n"/>
      <c r="BA245" s="182">
        <f>IF(AD245=1,(AR245*'Historical Score'!$K$29+1-'Historical Score'!$K$29)*(AT245*'Historical Score'!$L$29+1-'Historical Score'!$L$29)*(AS245*'Historical Score'!$M$29+1-'Historical Score'!$M$29)*(AQ245*'Historical Score'!$N$29+1-'Historical Score'!$N$29),0)</f>
        <v/>
      </c>
      <c r="BB245" s="3" t="n"/>
      <c r="BC245" s="3" t="n"/>
    </row>
    <row r="246" ht="15.75" customHeight="1" s="174">
      <c r="A246" s="3" t="inlineStr">
        <is>
          <t>5674166141</t>
        </is>
      </c>
      <c r="B246" s="3" t="inlineStr">
        <is>
          <t>Champion Lanes</t>
        </is>
      </c>
      <c r="C246" s="3" t="inlineStr">
        <is>
          <t>Champions IB LLC</t>
        </is>
      </c>
      <c r="D246" s="3" t="inlineStr">
        <is>
          <t>Closed</t>
        </is>
      </c>
      <c r="E246" s="23" t="n">
        <v>45911</v>
      </c>
      <c r="F246" s="23" t="n">
        <v>46149</v>
      </c>
      <c r="G246" s="3" t="n">
        <v>3</v>
      </c>
      <c r="H246" s="3" t="inlineStr">
        <is>
          <t>7933</t>
        </is>
      </c>
      <c r="I246" s="3" t="inlineStr">
        <is>
          <t>79</t>
        </is>
      </c>
      <c r="J246" s="3" t="inlineStr">
        <is>
          <t>CA</t>
        </is>
      </c>
      <c r="K246" s="3" t="inlineStr">
        <is>
          <t>Vantage Cap Group</t>
        </is>
      </c>
      <c r="L246" s="3" t="inlineStr">
        <is>
          <t>New Deal</t>
        </is>
      </c>
      <c r="M246" s="3" t="n">
        <v>1.499</v>
      </c>
      <c r="N246" s="28" t="n">
        <v>5000</v>
      </c>
      <c r="O246" s="28" t="n">
        <v>700</v>
      </c>
      <c r="P246" s="28" t="n">
        <v>7495</v>
      </c>
      <c r="Q246" s="28" t="n">
        <v>7495</v>
      </c>
      <c r="R246" s="28" t="n">
        <v>9.09494701772928e-13</v>
      </c>
      <c r="S246" s="42" t="n">
        <v>1</v>
      </c>
      <c r="T246" s="3" t="n">
        <v>2.295</v>
      </c>
      <c r="U246" s="3" t="n">
        <v>22</v>
      </c>
      <c r="V246" s="3" t="n">
        <v>88940.89</v>
      </c>
      <c r="W246" s="42" t="n">
        <v>0.0251</v>
      </c>
      <c r="X246" s="23" t="n"/>
      <c r="Y246" s="3">
        <f>IF(I246="","No SIC",IFERROR(VLOOKUP(I246,Ref!$A$2:$B$65,2,FALSE()),"Unclassified"))</f>
        <v/>
      </c>
      <c r="Z246" s="3">
        <f>IF(T246="","",IF(T246&lt;12,"Daily","Weekly"))</f>
        <v/>
      </c>
      <c r="AA246" s="3">
        <f>IF(T246="",0,IF(T246&lt;12,T246*Controls!$B$13,T246*5))</f>
        <v/>
      </c>
      <c r="AB246" s="3">
        <f>IF(E246="",0,NETWORKDAYS(E246,Controls!$B$20,Ref!$K$2:$K$42))</f>
        <v/>
      </c>
      <c r="AC246" s="3">
        <f>IF(OR(AF246=1,AND(AA246&gt;0,AB246&gt;=Controls!$B$23*AA246)),1,0)</f>
        <v/>
      </c>
      <c r="AD246" s="3">
        <f>IF(AND(E246&lt;&gt;"",E246&gt;=Controls!$B$21,E246&lt;=Controls!$B$22),1,0)</f>
        <v/>
      </c>
      <c r="AE246" s="3">
        <f>IF(IFERROR(VLOOKUP(D246,Controls!$A$36:$E$46,2,FALSE()),"No")="Yes",1,0)</f>
        <v/>
      </c>
      <c r="AF246" s="3">
        <f>IF(IFERROR(VLOOKUP(D246,Controls!$A$36:$E$46,3,FALSE()),"No")="Yes",1,0)</f>
        <v/>
      </c>
      <c r="AG246" s="3">
        <f>IF(IFERROR(VLOOKUP(D246,Controls!$A$36:$E$46,4,FALSE()),"No")="Yes",1,0)</f>
        <v/>
      </c>
      <c r="AH246" s="3">
        <f>IF(IFERROR(VLOOKUP(D246,Controls!$A$36:$E$46,5,FALSE()),"No")="Yes",1,0)</f>
        <v/>
      </c>
      <c r="AI246" s="3">
        <f>IF(ISNUMBER(MATCH(D246,Controls!$A$36:$A$46,0)),1,0)</f>
        <v/>
      </c>
      <c r="AJ246" s="28">
        <f>Q246-N246</f>
        <v/>
      </c>
      <c r="AK246" s="3">
        <f>IF(AE246=1,MAX(0,N246-Q246),0)</f>
        <v/>
      </c>
      <c r="AL246" s="3">
        <f>IF(OR(V246="",V246=0),0,N246/V246)</f>
        <v/>
      </c>
      <c r="AM246" s="3">
        <f>IF(OR(V246="",V246=0),0,1)</f>
        <v/>
      </c>
      <c r="AN246" s="3">
        <f>IF(OR(E246="",F246=""),0,NETWORKDAYS(E246,F246,Ref!$K$2:$K$42))</f>
        <v/>
      </c>
      <c r="AO246" s="3">
        <f>IF(L246="Renewal",1,0)</f>
        <v/>
      </c>
      <c r="AP246" s="3">
        <f>AC246*AD246</f>
        <v/>
      </c>
      <c r="AQ246" s="3">
        <f>IF(AND(G246&lt;&gt;"",'Historical Score'!$C$6&lt;&gt;""),IF(G246='Historical Score'!$C$6,1,0),0)</f>
        <v/>
      </c>
      <c r="AR246" s="3">
        <f>IF(AND(L246&lt;&gt;"",'Historical Score'!$C$5&lt;&gt;""),IF(L246='Historical Score'!$C$5,1,0),0)</f>
        <v/>
      </c>
      <c r="AS246" s="3">
        <f>IF(AND(Y246&lt;&gt;"",'Historical Score'!$C$7&lt;&gt;""),IF(Y246='Historical Score'!$C$7,1,0),0)</f>
        <v/>
      </c>
      <c r="AT246" s="3">
        <f>IF(AND(K246&lt;&gt;"",'Historical Score'!$C$8&lt;&gt;""),IF(K246='Historical Score'!$C$8,1,0),0)</f>
        <v/>
      </c>
      <c r="AU246" s="3" t="n"/>
      <c r="AV246" s="3" t="n"/>
      <c r="AW246" s="3" t="n"/>
      <c r="AX246" s="3" t="n"/>
      <c r="AY246" s="3" t="n"/>
      <c r="AZ246" s="3" t="n"/>
      <c r="BA246" s="182">
        <f>IF(AD246=1,(AR246*'Historical Score'!$K$29+1-'Historical Score'!$K$29)*(AT246*'Historical Score'!$L$29+1-'Historical Score'!$L$29)*(AS246*'Historical Score'!$M$29+1-'Historical Score'!$M$29)*(AQ246*'Historical Score'!$N$29+1-'Historical Score'!$N$29),0)</f>
        <v/>
      </c>
      <c r="BB246" s="3" t="n"/>
      <c r="BC246" s="3" t="n"/>
    </row>
    <row r="247" ht="15.75" customHeight="1" s="174">
      <c r="A247" s="3" t="inlineStr">
        <is>
          <t>5674166148</t>
        </is>
      </c>
      <c r="B247" s="3" t="inlineStr">
        <is>
          <t>SR UNBOUNDED</t>
        </is>
      </c>
      <c r="C247" s="3" t="inlineStr">
        <is>
          <t>SR UNBOUNDED</t>
        </is>
      </c>
      <c r="D247" s="3" t="inlineStr">
        <is>
          <t>Closed</t>
        </is>
      </c>
      <c r="E247" s="23" t="n">
        <v>45911</v>
      </c>
      <c r="F247" s="23" t="n">
        <v>45967</v>
      </c>
      <c r="G247" s="3" t="n">
        <v>6</v>
      </c>
      <c r="H247" s="3" t="inlineStr">
        <is>
          <t>7999</t>
        </is>
      </c>
      <c r="I247" s="3" t="inlineStr">
        <is>
          <t>79</t>
        </is>
      </c>
      <c r="J247" s="3" t="inlineStr">
        <is>
          <t>CA</t>
        </is>
      </c>
      <c r="K247" s="3" t="inlineStr">
        <is>
          <t>Shore Funding USA</t>
        </is>
      </c>
      <c r="L247" s="3" t="inlineStr">
        <is>
          <t>New Deal</t>
        </is>
      </c>
      <c r="M247" s="3" t="n">
        <v>1.499</v>
      </c>
      <c r="N247" s="28" t="n">
        <v>3500</v>
      </c>
      <c r="O247" s="28" t="n">
        <v>490</v>
      </c>
      <c r="P247" s="28" t="n">
        <v>5246.5</v>
      </c>
      <c r="Q247" s="28" t="n">
        <v>5246.5</v>
      </c>
      <c r="R247" s="28" t="n">
        <v>0</v>
      </c>
      <c r="S247" s="42" t="n">
        <v>1</v>
      </c>
      <c r="T247" s="3" t="n">
        <v>2.295</v>
      </c>
      <c r="U247" s="3" t="n">
        <v>2</v>
      </c>
      <c r="V247" s="3" t="n">
        <v>15635.79</v>
      </c>
      <c r="W247" s="42" t="n">
        <v>0.1001</v>
      </c>
      <c r="X247" s="23" t="n">
        <v>43863</v>
      </c>
      <c r="Y247" s="3">
        <f>IF(I247="","No SIC",IFERROR(VLOOKUP(I247,Ref!$A$2:$B$65,2,FALSE()),"Unclassified"))</f>
        <v/>
      </c>
      <c r="Z247" s="3">
        <f>IF(T247="","",IF(T247&lt;12,"Daily","Weekly"))</f>
        <v/>
      </c>
      <c r="AA247" s="3">
        <f>IF(T247="",0,IF(T247&lt;12,T247*Controls!$B$13,T247*5))</f>
        <v/>
      </c>
      <c r="AB247" s="3">
        <f>IF(E247="",0,NETWORKDAYS(E247,Controls!$B$20,Ref!$K$2:$K$42))</f>
        <v/>
      </c>
      <c r="AC247" s="3">
        <f>IF(OR(AF247=1,AND(AA247&gt;0,AB247&gt;=Controls!$B$23*AA247)),1,0)</f>
        <v/>
      </c>
      <c r="AD247" s="3">
        <f>IF(AND(E247&lt;&gt;"",E247&gt;=Controls!$B$21,E247&lt;=Controls!$B$22),1,0)</f>
        <v/>
      </c>
      <c r="AE247" s="3">
        <f>IF(IFERROR(VLOOKUP(D247,Controls!$A$36:$E$46,2,FALSE()),"No")="Yes",1,0)</f>
        <v/>
      </c>
      <c r="AF247" s="3">
        <f>IF(IFERROR(VLOOKUP(D247,Controls!$A$36:$E$46,3,FALSE()),"No")="Yes",1,0)</f>
        <v/>
      </c>
      <c r="AG247" s="3">
        <f>IF(IFERROR(VLOOKUP(D247,Controls!$A$36:$E$46,4,FALSE()),"No")="Yes",1,0)</f>
        <v/>
      </c>
      <c r="AH247" s="3">
        <f>IF(IFERROR(VLOOKUP(D247,Controls!$A$36:$E$46,5,FALSE()),"No")="Yes",1,0)</f>
        <v/>
      </c>
      <c r="AI247" s="3">
        <f>IF(ISNUMBER(MATCH(D247,Controls!$A$36:$A$46,0)),1,0)</f>
        <v/>
      </c>
      <c r="AJ247" s="28">
        <f>Q247-N247</f>
        <v/>
      </c>
      <c r="AK247" s="3">
        <f>IF(AE247=1,MAX(0,N247-Q247),0)</f>
        <v/>
      </c>
      <c r="AL247" s="3">
        <f>IF(OR(V247="",V247=0),0,N247/V247)</f>
        <v/>
      </c>
      <c r="AM247" s="3">
        <f>IF(OR(V247="",V247=0),0,1)</f>
        <v/>
      </c>
      <c r="AN247" s="3">
        <f>IF(OR(E247="",F247=""),0,NETWORKDAYS(E247,F247,Ref!$K$2:$K$42))</f>
        <v/>
      </c>
      <c r="AO247" s="3">
        <f>IF(L247="Renewal",1,0)</f>
        <v/>
      </c>
      <c r="AP247" s="3">
        <f>AC247*AD247</f>
        <v/>
      </c>
      <c r="AQ247" s="3">
        <f>IF(AND(G247&lt;&gt;"",'Historical Score'!$C$6&lt;&gt;""),IF(G247='Historical Score'!$C$6,1,0),0)</f>
        <v/>
      </c>
      <c r="AR247" s="3">
        <f>IF(AND(L247&lt;&gt;"",'Historical Score'!$C$5&lt;&gt;""),IF(L247='Historical Score'!$C$5,1,0),0)</f>
        <v/>
      </c>
      <c r="AS247" s="3">
        <f>IF(AND(Y247&lt;&gt;"",'Historical Score'!$C$7&lt;&gt;""),IF(Y247='Historical Score'!$C$7,1,0),0)</f>
        <v/>
      </c>
      <c r="AT247" s="3">
        <f>IF(AND(K247&lt;&gt;"",'Historical Score'!$C$8&lt;&gt;""),IF(K247='Historical Score'!$C$8,1,0),0)</f>
        <v/>
      </c>
      <c r="AU247" s="3" t="n"/>
      <c r="AV247" s="3" t="n"/>
      <c r="AW247" s="3" t="n"/>
      <c r="AX247" s="3" t="n"/>
      <c r="AY247" s="3" t="n"/>
      <c r="AZ247" s="3" t="n"/>
      <c r="BA247" s="182">
        <f>IF(AD247=1,(AR247*'Historical Score'!$K$29+1-'Historical Score'!$K$29)*(AT247*'Historical Score'!$L$29+1-'Historical Score'!$L$29)*(AS247*'Historical Score'!$M$29+1-'Historical Score'!$M$29)*(AQ247*'Historical Score'!$N$29+1-'Historical Score'!$N$29),0)</f>
        <v/>
      </c>
      <c r="BB247" s="3" t="n"/>
      <c r="BC247" s="3" t="n"/>
    </row>
    <row r="248" ht="15.75" customHeight="1" s="174">
      <c r="A248" s="3" t="inlineStr">
        <is>
          <t>5674166156</t>
        </is>
      </c>
      <c r="B248" s="3" t="inlineStr">
        <is>
          <t>FL AUTO TRANSPORT LLC</t>
        </is>
      </c>
      <c r="C248" s="3" t="inlineStr">
        <is>
          <t>FL AUTO TRANSPORT LLC</t>
        </is>
      </c>
      <c r="D248" s="3" t="inlineStr">
        <is>
          <t>Legal</t>
        </is>
      </c>
      <c r="E248" s="23" t="n">
        <v>45911</v>
      </c>
      <c r="F248" s="23" t="n">
        <v>45926</v>
      </c>
      <c r="G248" s="3" t="n">
        <v>1</v>
      </c>
      <c r="H248" s="3" t="inlineStr">
        <is>
          <t>3799</t>
        </is>
      </c>
      <c r="I248" s="3" t="inlineStr">
        <is>
          <t>37</t>
        </is>
      </c>
      <c r="J248" s="3" t="inlineStr">
        <is>
          <t>FL</t>
        </is>
      </c>
      <c r="K248" s="3" t="inlineStr">
        <is>
          <t>The Funding Channel</t>
        </is>
      </c>
      <c r="L248" s="3" t="inlineStr">
        <is>
          <t>New Deal</t>
        </is>
      </c>
      <c r="M248" s="3" t="n">
        <v>1.499</v>
      </c>
      <c r="N248" s="28" t="n">
        <v>5000</v>
      </c>
      <c r="O248" s="28" t="n">
        <v>700</v>
      </c>
      <c r="P248" s="28" t="n">
        <v>7495</v>
      </c>
      <c r="Q248" s="28" t="n">
        <v>492.9</v>
      </c>
      <c r="R248" s="28" t="n">
        <v>7002.1</v>
      </c>
      <c r="S248" s="42" t="n">
        <v>0.06576384256170779</v>
      </c>
      <c r="T248" s="3" t="n">
        <v>2.459</v>
      </c>
      <c r="U248" s="3" t="n">
        <v>7</v>
      </c>
      <c r="V248" s="3" t="n">
        <v>34050.09</v>
      </c>
      <c r="W248" s="42" t="n">
        <v>0.0608</v>
      </c>
      <c r="X248" s="23" t="n">
        <v>40948</v>
      </c>
      <c r="Y248" s="3">
        <f>IF(I248="","No SIC",IFERROR(VLOOKUP(I248,Ref!$A$2:$B$65,2,FALSE()),"Unclassified"))</f>
        <v/>
      </c>
      <c r="Z248" s="3">
        <f>IF(T248="","",IF(T248&lt;12,"Daily","Weekly"))</f>
        <v/>
      </c>
      <c r="AA248" s="3">
        <f>IF(T248="",0,IF(T248&lt;12,T248*Controls!$B$13,T248*5))</f>
        <v/>
      </c>
      <c r="AB248" s="3">
        <f>IF(E248="",0,NETWORKDAYS(E248,Controls!$B$20,Ref!$K$2:$K$42))</f>
        <v/>
      </c>
      <c r="AC248" s="3">
        <f>IF(OR(AF248=1,AND(AA248&gt;0,AB248&gt;=Controls!$B$23*AA248)),1,0)</f>
        <v/>
      </c>
      <c r="AD248" s="3">
        <f>IF(AND(E248&lt;&gt;"",E248&gt;=Controls!$B$21,E248&lt;=Controls!$B$22),1,0)</f>
        <v/>
      </c>
      <c r="AE248" s="3">
        <f>IF(IFERROR(VLOOKUP(D248,Controls!$A$36:$E$46,2,FALSE()),"No")="Yes",1,0)</f>
        <v/>
      </c>
      <c r="AF248" s="3">
        <f>IF(IFERROR(VLOOKUP(D248,Controls!$A$36:$E$46,3,FALSE()),"No")="Yes",1,0)</f>
        <v/>
      </c>
      <c r="AG248" s="3">
        <f>IF(IFERROR(VLOOKUP(D248,Controls!$A$36:$E$46,4,FALSE()),"No")="Yes",1,0)</f>
        <v/>
      </c>
      <c r="AH248" s="3">
        <f>IF(IFERROR(VLOOKUP(D248,Controls!$A$36:$E$46,5,FALSE()),"No")="Yes",1,0)</f>
        <v/>
      </c>
      <c r="AI248" s="3">
        <f>IF(ISNUMBER(MATCH(D248,Controls!$A$36:$A$46,0)),1,0)</f>
        <v/>
      </c>
      <c r="AJ248" s="28">
        <f>Q248-N248</f>
        <v/>
      </c>
      <c r="AK248" s="3">
        <f>IF(AE248=1,MAX(0,N248-Q248),0)</f>
        <v/>
      </c>
      <c r="AL248" s="3">
        <f>IF(OR(V248="",V248=0),0,N248/V248)</f>
        <v/>
      </c>
      <c r="AM248" s="3">
        <f>IF(OR(V248="",V248=0),0,1)</f>
        <v/>
      </c>
      <c r="AN248" s="3">
        <f>IF(OR(E248="",F248=""),0,NETWORKDAYS(E248,F248,Ref!$K$2:$K$42))</f>
        <v/>
      </c>
      <c r="AO248" s="3">
        <f>IF(L248="Renewal",1,0)</f>
        <v/>
      </c>
      <c r="AP248" s="3">
        <f>AC248*AD248</f>
        <v/>
      </c>
      <c r="AQ248" s="3">
        <f>IF(AND(G248&lt;&gt;"",'Historical Score'!$C$6&lt;&gt;""),IF(G248='Historical Score'!$C$6,1,0),0)</f>
        <v/>
      </c>
      <c r="AR248" s="3">
        <f>IF(AND(L248&lt;&gt;"",'Historical Score'!$C$5&lt;&gt;""),IF(L248='Historical Score'!$C$5,1,0),0)</f>
        <v/>
      </c>
      <c r="AS248" s="3">
        <f>IF(AND(Y248&lt;&gt;"",'Historical Score'!$C$7&lt;&gt;""),IF(Y248='Historical Score'!$C$7,1,0),0)</f>
        <v/>
      </c>
      <c r="AT248" s="3">
        <f>IF(AND(K248&lt;&gt;"",'Historical Score'!$C$8&lt;&gt;""),IF(K248='Historical Score'!$C$8,1,0),0)</f>
        <v/>
      </c>
      <c r="AU248" s="3" t="n"/>
      <c r="AV248" s="3" t="n"/>
      <c r="AW248" s="3" t="n"/>
      <c r="AX248" s="3" t="n"/>
      <c r="AY248" s="3" t="n"/>
      <c r="AZ248" s="3" t="n"/>
      <c r="BA248" s="182">
        <f>IF(AD248=1,(AR248*'Historical Score'!$K$29+1-'Historical Score'!$K$29)*(AT248*'Historical Score'!$L$29+1-'Historical Score'!$L$29)*(AS248*'Historical Score'!$M$29+1-'Historical Score'!$M$29)*(AQ248*'Historical Score'!$N$29+1-'Historical Score'!$N$29),0)</f>
        <v/>
      </c>
      <c r="BB248" s="3" t="n"/>
      <c r="BC248" s="3" t="n"/>
    </row>
    <row r="249" ht="15.75" customHeight="1" s="174">
      <c r="A249" s="3" t="inlineStr">
        <is>
          <t>5674166369</t>
        </is>
      </c>
      <c r="B249" s="3" t="inlineStr">
        <is>
          <t>CAPRI Transportation</t>
        </is>
      </c>
      <c r="C249" s="3" t="inlineStr">
        <is>
          <t>CAPRI TRANSPORTATION LLC</t>
        </is>
      </c>
      <c r="D249" s="3" t="inlineStr">
        <is>
          <t>Legal</t>
        </is>
      </c>
      <c r="E249" s="23" t="n">
        <v>45915</v>
      </c>
      <c r="F249" s="23" t="n">
        <v>45961</v>
      </c>
      <c r="G249" s="3" t="n">
        <v>2</v>
      </c>
      <c r="H249" s="3" t="inlineStr">
        <is>
          <t>4121</t>
        </is>
      </c>
      <c r="I249" s="3" t="inlineStr">
        <is>
          <t>41</t>
        </is>
      </c>
      <c r="J249" s="3" t="inlineStr">
        <is>
          <t>FL</t>
        </is>
      </c>
      <c r="K249" s="3" t="inlineStr">
        <is>
          <t>Premium Capital (AMRK)</t>
        </is>
      </c>
      <c r="L249" s="3" t="inlineStr">
        <is>
          <t>Renewal</t>
        </is>
      </c>
      <c r="M249" s="3" t="n">
        <v>1.499</v>
      </c>
      <c r="N249" s="28" t="n">
        <v>18000</v>
      </c>
      <c r="O249" s="28" t="n">
        <v>2520</v>
      </c>
      <c r="P249" s="28" t="n">
        <v>26982</v>
      </c>
      <c r="Q249" s="28" t="n">
        <v>6577.73</v>
      </c>
      <c r="R249" s="28" t="n">
        <v>20404.27</v>
      </c>
      <c r="S249" s="42" t="n">
        <v>0.243782151063672</v>
      </c>
      <c r="T249" s="3" t="n">
        <v>2.951</v>
      </c>
      <c r="U249" s="3" t="n">
        <v>10</v>
      </c>
      <c r="V249" s="3" t="n">
        <v>47015.44</v>
      </c>
      <c r="W249" s="42" t="n">
        <v>0.1331</v>
      </c>
      <c r="X249" s="23" t="n"/>
      <c r="Y249" s="3">
        <f>IF(I249="","No SIC",IFERROR(VLOOKUP(I249,Ref!$A$2:$B$65,2,FALSE()),"Unclassified"))</f>
        <v/>
      </c>
      <c r="Z249" s="3">
        <f>IF(T249="","",IF(T249&lt;12,"Daily","Weekly"))</f>
        <v/>
      </c>
      <c r="AA249" s="3">
        <f>IF(T249="",0,IF(T249&lt;12,T249*Controls!$B$13,T249*5))</f>
        <v/>
      </c>
      <c r="AB249" s="3">
        <f>IF(E249="",0,NETWORKDAYS(E249,Controls!$B$20,Ref!$K$2:$K$42))</f>
        <v/>
      </c>
      <c r="AC249" s="3">
        <f>IF(OR(AF249=1,AND(AA249&gt;0,AB249&gt;=Controls!$B$23*AA249)),1,0)</f>
        <v/>
      </c>
      <c r="AD249" s="3">
        <f>IF(AND(E249&lt;&gt;"",E249&gt;=Controls!$B$21,E249&lt;=Controls!$B$22),1,0)</f>
        <v/>
      </c>
      <c r="AE249" s="3">
        <f>IF(IFERROR(VLOOKUP(D249,Controls!$A$36:$E$46,2,FALSE()),"No")="Yes",1,0)</f>
        <v/>
      </c>
      <c r="AF249" s="3">
        <f>IF(IFERROR(VLOOKUP(D249,Controls!$A$36:$E$46,3,FALSE()),"No")="Yes",1,0)</f>
        <v/>
      </c>
      <c r="AG249" s="3">
        <f>IF(IFERROR(VLOOKUP(D249,Controls!$A$36:$E$46,4,FALSE()),"No")="Yes",1,0)</f>
        <v/>
      </c>
      <c r="AH249" s="3">
        <f>IF(IFERROR(VLOOKUP(D249,Controls!$A$36:$E$46,5,FALSE()),"No")="Yes",1,0)</f>
        <v/>
      </c>
      <c r="AI249" s="3">
        <f>IF(ISNUMBER(MATCH(D249,Controls!$A$36:$A$46,0)),1,0)</f>
        <v/>
      </c>
      <c r="AJ249" s="28">
        <f>Q249-N249</f>
        <v/>
      </c>
      <c r="AK249" s="3">
        <f>IF(AE249=1,MAX(0,N249-Q249),0)</f>
        <v/>
      </c>
      <c r="AL249" s="3">
        <f>IF(OR(V249="",V249=0),0,N249/V249)</f>
        <v/>
      </c>
      <c r="AM249" s="3">
        <f>IF(OR(V249="",V249=0),0,1)</f>
        <v/>
      </c>
      <c r="AN249" s="3">
        <f>IF(OR(E249="",F249=""),0,NETWORKDAYS(E249,F249,Ref!$K$2:$K$42))</f>
        <v/>
      </c>
      <c r="AO249" s="3">
        <f>IF(L249="Renewal",1,0)</f>
        <v/>
      </c>
      <c r="AP249" s="3">
        <f>AC249*AD249</f>
        <v/>
      </c>
      <c r="AQ249" s="3">
        <f>IF(AND(G249&lt;&gt;"",'Historical Score'!$C$6&lt;&gt;""),IF(G249='Historical Score'!$C$6,1,0),0)</f>
        <v/>
      </c>
      <c r="AR249" s="3">
        <f>IF(AND(L249&lt;&gt;"",'Historical Score'!$C$5&lt;&gt;""),IF(L249='Historical Score'!$C$5,1,0),0)</f>
        <v/>
      </c>
      <c r="AS249" s="3">
        <f>IF(AND(Y249&lt;&gt;"",'Historical Score'!$C$7&lt;&gt;""),IF(Y249='Historical Score'!$C$7,1,0),0)</f>
        <v/>
      </c>
      <c r="AT249" s="3">
        <f>IF(AND(K249&lt;&gt;"",'Historical Score'!$C$8&lt;&gt;""),IF(K249='Historical Score'!$C$8,1,0),0)</f>
        <v/>
      </c>
      <c r="AU249" s="3" t="n"/>
      <c r="AV249" s="3" t="n"/>
      <c r="AW249" s="3" t="n"/>
      <c r="AX249" s="3" t="n"/>
      <c r="AY249" s="3" t="n"/>
      <c r="AZ249" s="3" t="n"/>
      <c r="BA249" s="182">
        <f>IF(AD249=1,(AR249*'Historical Score'!$K$29+1-'Historical Score'!$K$29)*(AT249*'Historical Score'!$L$29+1-'Historical Score'!$L$29)*(AS249*'Historical Score'!$M$29+1-'Historical Score'!$M$29)*(AQ249*'Historical Score'!$N$29+1-'Historical Score'!$N$29),0)</f>
        <v/>
      </c>
      <c r="BB249" s="3" t="n"/>
      <c r="BC249" s="3" t="n"/>
    </row>
    <row r="250" ht="15.75" customHeight="1" s="174">
      <c r="A250" s="3" t="inlineStr">
        <is>
          <t>5674166400</t>
        </is>
      </c>
      <c r="B250" s="3" t="inlineStr">
        <is>
          <t>Pet Dynasty</t>
        </is>
      </c>
      <c r="C250" s="3" t="inlineStr">
        <is>
          <t>MOO-VA-PET</t>
        </is>
      </c>
      <c r="D250" s="3" t="inlineStr">
        <is>
          <t>In House Collection</t>
        </is>
      </c>
      <c r="E250" s="23" t="n">
        <v>45915</v>
      </c>
      <c r="F250" s="23" t="n">
        <v>46097</v>
      </c>
      <c r="G250" s="3" t="n">
        <v>2</v>
      </c>
      <c r="H250" s="3" t="inlineStr">
        <is>
          <t>0742</t>
        </is>
      </c>
      <c r="I250" s="3" t="inlineStr">
        <is>
          <t>07</t>
        </is>
      </c>
      <c r="J250" s="3" t="inlineStr">
        <is>
          <t>CA</t>
        </is>
      </c>
      <c r="K250" s="3" t="inlineStr">
        <is>
          <t>FC ADVANCE</t>
        </is>
      </c>
      <c r="L250" s="3" t="inlineStr">
        <is>
          <t>Renewal</t>
        </is>
      </c>
      <c r="M250" s="3" t="n">
        <v>1.49</v>
      </c>
      <c r="N250" s="28" t="n">
        <v>10000</v>
      </c>
      <c r="O250" s="28" t="n">
        <v>1400</v>
      </c>
      <c r="P250" s="28" t="n">
        <v>14900</v>
      </c>
      <c r="Q250" s="28" t="n">
        <v>10733.76</v>
      </c>
      <c r="R250" s="28" t="n">
        <v>4166.24</v>
      </c>
      <c r="S250" s="42" t="n">
        <v>0.720386577181208</v>
      </c>
      <c r="T250" s="3" t="n">
        <v>3.279</v>
      </c>
      <c r="U250" s="3" t="n">
        <v>38</v>
      </c>
      <c r="V250" s="3" t="n">
        <v>41301.41</v>
      </c>
      <c r="W250" s="42" t="n">
        <v>0.07580000000000001</v>
      </c>
      <c r="X250" s="23" t="n">
        <v>43472</v>
      </c>
      <c r="Y250" s="3">
        <f>IF(I250="","No SIC",IFERROR(VLOOKUP(I250,Ref!$A$2:$B$65,2,FALSE()),"Unclassified"))</f>
        <v/>
      </c>
      <c r="Z250" s="3">
        <f>IF(T250="","",IF(T250&lt;12,"Daily","Weekly"))</f>
        <v/>
      </c>
      <c r="AA250" s="3">
        <f>IF(T250="",0,IF(T250&lt;12,T250*Controls!$B$13,T250*5))</f>
        <v/>
      </c>
      <c r="AB250" s="3">
        <f>IF(E250="",0,NETWORKDAYS(E250,Controls!$B$20,Ref!$K$2:$K$42))</f>
        <v/>
      </c>
      <c r="AC250" s="3">
        <f>IF(OR(AF250=1,AND(AA250&gt;0,AB250&gt;=Controls!$B$23*AA250)),1,0)</f>
        <v/>
      </c>
      <c r="AD250" s="3">
        <f>IF(AND(E250&lt;&gt;"",E250&gt;=Controls!$B$21,E250&lt;=Controls!$B$22),1,0)</f>
        <v/>
      </c>
      <c r="AE250" s="3">
        <f>IF(IFERROR(VLOOKUP(D250,Controls!$A$36:$E$46,2,FALSE()),"No")="Yes",1,0)</f>
        <v/>
      </c>
      <c r="AF250" s="3">
        <f>IF(IFERROR(VLOOKUP(D250,Controls!$A$36:$E$46,3,FALSE()),"No")="Yes",1,0)</f>
        <v/>
      </c>
      <c r="AG250" s="3">
        <f>IF(IFERROR(VLOOKUP(D250,Controls!$A$36:$E$46,4,FALSE()),"No")="Yes",1,0)</f>
        <v/>
      </c>
      <c r="AH250" s="3">
        <f>IF(IFERROR(VLOOKUP(D250,Controls!$A$36:$E$46,5,FALSE()),"No")="Yes",1,0)</f>
        <v/>
      </c>
      <c r="AI250" s="3">
        <f>IF(ISNUMBER(MATCH(D250,Controls!$A$36:$A$46,0)),1,0)</f>
        <v/>
      </c>
      <c r="AJ250" s="28">
        <f>Q250-N250</f>
        <v/>
      </c>
      <c r="AK250" s="3">
        <f>IF(AE250=1,MAX(0,N250-Q250),0)</f>
        <v/>
      </c>
      <c r="AL250" s="3">
        <f>IF(OR(V250="",V250=0),0,N250/V250)</f>
        <v/>
      </c>
      <c r="AM250" s="3">
        <f>IF(OR(V250="",V250=0),0,1)</f>
        <v/>
      </c>
      <c r="AN250" s="3">
        <f>IF(OR(E250="",F250=""),0,NETWORKDAYS(E250,F250,Ref!$K$2:$K$42))</f>
        <v/>
      </c>
      <c r="AO250" s="3">
        <f>IF(L250="Renewal",1,0)</f>
        <v/>
      </c>
      <c r="AP250" s="3">
        <f>AC250*AD250</f>
        <v/>
      </c>
      <c r="AQ250" s="3">
        <f>IF(AND(G250&lt;&gt;"",'Historical Score'!$C$6&lt;&gt;""),IF(G250='Historical Score'!$C$6,1,0),0)</f>
        <v/>
      </c>
      <c r="AR250" s="3">
        <f>IF(AND(L250&lt;&gt;"",'Historical Score'!$C$5&lt;&gt;""),IF(L250='Historical Score'!$C$5,1,0),0)</f>
        <v/>
      </c>
      <c r="AS250" s="3">
        <f>IF(AND(Y250&lt;&gt;"",'Historical Score'!$C$7&lt;&gt;""),IF(Y250='Historical Score'!$C$7,1,0),0)</f>
        <v/>
      </c>
      <c r="AT250" s="3">
        <f>IF(AND(K250&lt;&gt;"",'Historical Score'!$C$8&lt;&gt;""),IF(K250='Historical Score'!$C$8,1,0),0)</f>
        <v/>
      </c>
      <c r="AU250" s="3" t="n"/>
      <c r="AV250" s="3" t="n"/>
      <c r="AW250" s="3" t="n"/>
      <c r="AX250" s="3" t="n"/>
      <c r="AY250" s="3" t="n"/>
      <c r="AZ250" s="3" t="n"/>
      <c r="BA250" s="182">
        <f>IF(AD250=1,(AR250*'Historical Score'!$K$29+1-'Historical Score'!$K$29)*(AT250*'Historical Score'!$L$29+1-'Historical Score'!$L$29)*(AS250*'Historical Score'!$M$29+1-'Historical Score'!$M$29)*(AQ250*'Historical Score'!$N$29+1-'Historical Score'!$N$29),0)</f>
        <v/>
      </c>
      <c r="BB250" s="3" t="n"/>
      <c r="BC250" s="3" t="n"/>
    </row>
    <row r="251" ht="15.75" customHeight="1" s="174">
      <c r="A251" s="3" t="inlineStr">
        <is>
          <t>5674166825</t>
        </is>
      </c>
      <c r="B251" s="3" t="inlineStr">
        <is>
          <t>ALPHA 3 MASONRY &amp; REMODEL</t>
        </is>
      </c>
      <c r="C251" s="3" t="inlineStr">
        <is>
          <t>ALPHA 3 MASONRY &amp; REMODEL LLC</t>
        </is>
      </c>
      <c r="D251" s="3" t="inlineStr">
        <is>
          <t>Closed</t>
        </is>
      </c>
      <c r="E251" s="23" t="n">
        <v>45917</v>
      </c>
      <c r="F251" s="23" t="n">
        <v>46079</v>
      </c>
      <c r="G251" s="3" t="n">
        <v>2</v>
      </c>
      <c r="H251" s="3" t="inlineStr">
        <is>
          <t>1521</t>
        </is>
      </c>
      <c r="I251" s="3" t="inlineStr">
        <is>
          <t>15</t>
        </is>
      </c>
      <c r="J251" s="3" t="inlineStr">
        <is>
          <t>AZ</t>
        </is>
      </c>
      <c r="K251" s="3" t="inlineStr">
        <is>
          <t>FIMACAP INC</t>
        </is>
      </c>
      <c r="L251" s="3" t="inlineStr">
        <is>
          <t>New Deal</t>
        </is>
      </c>
      <c r="M251" s="3" t="n">
        <v>1.35</v>
      </c>
      <c r="N251" s="28" t="n">
        <v>20000</v>
      </c>
      <c r="O251" s="28" t="n">
        <v>1400</v>
      </c>
      <c r="P251" s="28" t="n">
        <v>27000</v>
      </c>
      <c r="Q251" s="28" t="n">
        <v>27000</v>
      </c>
      <c r="R251" s="28" t="n">
        <v>0</v>
      </c>
      <c r="S251" s="42" t="n">
        <v>1</v>
      </c>
      <c r="T251" s="3" t="n">
        <v>22</v>
      </c>
      <c r="U251" s="3" t="n">
        <v>2</v>
      </c>
      <c r="V251" s="3" t="n">
        <v>123628.7</v>
      </c>
      <c r="W251" s="42" t="n">
        <v>0.0397</v>
      </c>
      <c r="X251" s="23" t="n">
        <v>44562</v>
      </c>
      <c r="Y251" s="3">
        <f>IF(I251="","No SIC",IFERROR(VLOOKUP(I251,Ref!$A$2:$B$65,2,FALSE()),"Unclassified"))</f>
        <v/>
      </c>
      <c r="Z251" s="3">
        <f>IF(T251="","",IF(T251&lt;12,"Daily","Weekly"))</f>
        <v/>
      </c>
      <c r="AA251" s="3">
        <f>IF(T251="",0,IF(T251&lt;12,T251*Controls!$B$13,T251*5))</f>
        <v/>
      </c>
      <c r="AB251" s="3">
        <f>IF(E251="",0,NETWORKDAYS(E251,Controls!$B$20,Ref!$K$2:$K$42))</f>
        <v/>
      </c>
      <c r="AC251" s="3">
        <f>IF(OR(AF251=1,AND(AA251&gt;0,AB251&gt;=Controls!$B$23*AA251)),1,0)</f>
        <v/>
      </c>
      <c r="AD251" s="3">
        <f>IF(AND(E251&lt;&gt;"",E251&gt;=Controls!$B$21,E251&lt;=Controls!$B$22),1,0)</f>
        <v/>
      </c>
      <c r="AE251" s="3">
        <f>IF(IFERROR(VLOOKUP(D251,Controls!$A$36:$E$46,2,FALSE()),"No")="Yes",1,0)</f>
        <v/>
      </c>
      <c r="AF251" s="3">
        <f>IF(IFERROR(VLOOKUP(D251,Controls!$A$36:$E$46,3,FALSE()),"No")="Yes",1,0)</f>
        <v/>
      </c>
      <c r="AG251" s="3">
        <f>IF(IFERROR(VLOOKUP(D251,Controls!$A$36:$E$46,4,FALSE()),"No")="Yes",1,0)</f>
        <v/>
      </c>
      <c r="AH251" s="3">
        <f>IF(IFERROR(VLOOKUP(D251,Controls!$A$36:$E$46,5,FALSE()),"No")="Yes",1,0)</f>
        <v/>
      </c>
      <c r="AI251" s="3">
        <f>IF(ISNUMBER(MATCH(D251,Controls!$A$36:$A$46,0)),1,0)</f>
        <v/>
      </c>
      <c r="AJ251" s="28">
        <f>Q251-N251</f>
        <v/>
      </c>
      <c r="AK251" s="3">
        <f>IF(AE251=1,MAX(0,N251-Q251),0)</f>
        <v/>
      </c>
      <c r="AL251" s="3">
        <f>IF(OR(V251="",V251=0),0,N251/V251)</f>
        <v/>
      </c>
      <c r="AM251" s="3">
        <f>IF(OR(V251="",V251=0),0,1)</f>
        <v/>
      </c>
      <c r="AN251" s="3">
        <f>IF(OR(E251="",F251=""),0,NETWORKDAYS(E251,F251,Ref!$K$2:$K$42))</f>
        <v/>
      </c>
      <c r="AO251" s="3">
        <f>IF(L251="Renewal",1,0)</f>
        <v/>
      </c>
      <c r="AP251" s="3">
        <f>AC251*AD251</f>
        <v/>
      </c>
      <c r="AQ251" s="3">
        <f>IF(AND(G251&lt;&gt;"",'Historical Score'!$C$6&lt;&gt;""),IF(G251='Historical Score'!$C$6,1,0),0)</f>
        <v/>
      </c>
      <c r="AR251" s="3">
        <f>IF(AND(L251&lt;&gt;"",'Historical Score'!$C$5&lt;&gt;""),IF(L251='Historical Score'!$C$5,1,0),0)</f>
        <v/>
      </c>
      <c r="AS251" s="3">
        <f>IF(AND(Y251&lt;&gt;"",'Historical Score'!$C$7&lt;&gt;""),IF(Y251='Historical Score'!$C$7,1,0),0)</f>
        <v/>
      </c>
      <c r="AT251" s="3">
        <f>IF(AND(K251&lt;&gt;"",'Historical Score'!$C$8&lt;&gt;""),IF(K251='Historical Score'!$C$8,1,0),0)</f>
        <v/>
      </c>
      <c r="AU251" s="3" t="n"/>
      <c r="AV251" s="3" t="n"/>
      <c r="AW251" s="3" t="n"/>
      <c r="AX251" s="3" t="n"/>
      <c r="AY251" s="3" t="n"/>
      <c r="AZ251" s="3" t="n"/>
      <c r="BA251" s="182">
        <f>IF(AD251=1,(AR251*'Historical Score'!$K$29+1-'Historical Score'!$K$29)*(AT251*'Historical Score'!$L$29+1-'Historical Score'!$L$29)*(AS251*'Historical Score'!$M$29+1-'Historical Score'!$M$29)*(AQ251*'Historical Score'!$N$29+1-'Historical Score'!$N$29),0)</f>
        <v/>
      </c>
      <c r="BB251" s="3" t="n"/>
      <c r="BC251" s="3" t="n"/>
    </row>
    <row r="252" ht="15.75" customHeight="1" s="174">
      <c r="A252" s="3" t="inlineStr">
        <is>
          <t>5674166925</t>
        </is>
      </c>
      <c r="B252" s="3" t="inlineStr">
        <is>
          <t>AD Car Detail LLC</t>
        </is>
      </c>
      <c r="C252" s="3" t="inlineStr">
        <is>
          <t>AD Car Detail LLC</t>
        </is>
      </c>
      <c r="D252" s="3" t="inlineStr">
        <is>
          <t>Legal</t>
        </is>
      </c>
      <c r="E252" s="23" t="n">
        <v>45918</v>
      </c>
      <c r="F252" s="23" t="n">
        <v>46014</v>
      </c>
      <c r="G252" s="3" t="n">
        <v>2</v>
      </c>
      <c r="H252" s="3" t="inlineStr">
        <is>
          <t>7538</t>
        </is>
      </c>
      <c r="I252" s="3" t="inlineStr">
        <is>
          <t>75</t>
        </is>
      </c>
      <c r="J252" s="3" t="inlineStr">
        <is>
          <t>MN</t>
        </is>
      </c>
      <c r="K252" s="3" t="inlineStr">
        <is>
          <t>ROK</t>
        </is>
      </c>
      <c r="L252" s="3" t="inlineStr">
        <is>
          <t>Renewal</t>
        </is>
      </c>
      <c r="M252" s="3" t="n">
        <v>1.499</v>
      </c>
      <c r="N252" s="28" t="n">
        <v>12500</v>
      </c>
      <c r="O252" s="28" t="n">
        <v>1750</v>
      </c>
      <c r="P252" s="28" t="n">
        <v>18737.5</v>
      </c>
      <c r="Q252" s="28" t="n">
        <v>11340.2</v>
      </c>
      <c r="R252" s="28" t="n">
        <v>7397.3</v>
      </c>
      <c r="S252" s="42" t="n">
        <v>0.605214142761841</v>
      </c>
      <c r="T252" s="3" t="n">
        <v>3.279</v>
      </c>
      <c r="U252" s="3" t="n">
        <v>5</v>
      </c>
      <c r="V252" s="3" t="n">
        <v>28775.85</v>
      </c>
      <c r="W252" s="42" t="n">
        <v>0.1413</v>
      </c>
      <c r="X252" s="23" t="n">
        <v>45020</v>
      </c>
      <c r="Y252" s="3">
        <f>IF(I252="","No SIC",IFERROR(VLOOKUP(I252,Ref!$A$2:$B$65,2,FALSE()),"Unclassified"))</f>
        <v/>
      </c>
      <c r="Z252" s="3">
        <f>IF(T252="","",IF(T252&lt;12,"Daily","Weekly"))</f>
        <v/>
      </c>
      <c r="AA252" s="3">
        <f>IF(T252="",0,IF(T252&lt;12,T252*Controls!$B$13,T252*5))</f>
        <v/>
      </c>
      <c r="AB252" s="3">
        <f>IF(E252="",0,NETWORKDAYS(E252,Controls!$B$20,Ref!$K$2:$K$42))</f>
        <v/>
      </c>
      <c r="AC252" s="3">
        <f>IF(OR(AF252=1,AND(AA252&gt;0,AB252&gt;=Controls!$B$23*AA252)),1,0)</f>
        <v/>
      </c>
      <c r="AD252" s="3">
        <f>IF(AND(E252&lt;&gt;"",E252&gt;=Controls!$B$21,E252&lt;=Controls!$B$22),1,0)</f>
        <v/>
      </c>
      <c r="AE252" s="3">
        <f>IF(IFERROR(VLOOKUP(D252,Controls!$A$36:$E$46,2,FALSE()),"No")="Yes",1,0)</f>
        <v/>
      </c>
      <c r="AF252" s="3">
        <f>IF(IFERROR(VLOOKUP(D252,Controls!$A$36:$E$46,3,FALSE()),"No")="Yes",1,0)</f>
        <v/>
      </c>
      <c r="AG252" s="3">
        <f>IF(IFERROR(VLOOKUP(D252,Controls!$A$36:$E$46,4,FALSE()),"No")="Yes",1,0)</f>
        <v/>
      </c>
      <c r="AH252" s="3">
        <f>IF(IFERROR(VLOOKUP(D252,Controls!$A$36:$E$46,5,FALSE()),"No")="Yes",1,0)</f>
        <v/>
      </c>
      <c r="AI252" s="3">
        <f>IF(ISNUMBER(MATCH(D252,Controls!$A$36:$A$46,0)),1,0)</f>
        <v/>
      </c>
      <c r="AJ252" s="28">
        <f>Q252-N252</f>
        <v/>
      </c>
      <c r="AK252" s="3">
        <f>IF(AE252=1,MAX(0,N252-Q252),0)</f>
        <v/>
      </c>
      <c r="AL252" s="3">
        <f>IF(OR(V252="",V252=0),0,N252/V252)</f>
        <v/>
      </c>
      <c r="AM252" s="3">
        <f>IF(OR(V252="",V252=0),0,1)</f>
        <v/>
      </c>
      <c r="AN252" s="3">
        <f>IF(OR(E252="",F252=""),0,NETWORKDAYS(E252,F252,Ref!$K$2:$K$42))</f>
        <v/>
      </c>
      <c r="AO252" s="3">
        <f>IF(L252="Renewal",1,0)</f>
        <v/>
      </c>
      <c r="AP252" s="3">
        <f>AC252*AD252</f>
        <v/>
      </c>
      <c r="AQ252" s="3">
        <f>IF(AND(G252&lt;&gt;"",'Historical Score'!$C$6&lt;&gt;""),IF(G252='Historical Score'!$C$6,1,0),0)</f>
        <v/>
      </c>
      <c r="AR252" s="3">
        <f>IF(AND(L252&lt;&gt;"",'Historical Score'!$C$5&lt;&gt;""),IF(L252='Historical Score'!$C$5,1,0),0)</f>
        <v/>
      </c>
      <c r="AS252" s="3">
        <f>IF(AND(Y252&lt;&gt;"",'Historical Score'!$C$7&lt;&gt;""),IF(Y252='Historical Score'!$C$7,1,0),0)</f>
        <v/>
      </c>
      <c r="AT252" s="3">
        <f>IF(AND(K252&lt;&gt;"",'Historical Score'!$C$8&lt;&gt;""),IF(K252='Historical Score'!$C$8,1,0),0)</f>
        <v/>
      </c>
      <c r="AU252" s="3" t="n"/>
      <c r="AV252" s="3" t="n"/>
      <c r="AW252" s="3" t="n"/>
      <c r="AX252" s="3" t="n"/>
      <c r="AY252" s="3" t="n"/>
      <c r="AZ252" s="3" t="n"/>
      <c r="BA252" s="182">
        <f>IF(AD252=1,(AR252*'Historical Score'!$K$29+1-'Historical Score'!$K$29)*(AT252*'Historical Score'!$L$29+1-'Historical Score'!$L$29)*(AS252*'Historical Score'!$M$29+1-'Historical Score'!$M$29)*(AQ252*'Historical Score'!$N$29+1-'Historical Score'!$N$29),0)</f>
        <v/>
      </c>
      <c r="BB252" s="3" t="n"/>
      <c r="BC252" s="3" t="n"/>
    </row>
    <row r="253" ht="15.75" customHeight="1" s="174">
      <c r="A253" s="3" t="inlineStr">
        <is>
          <t>5674166986</t>
        </is>
      </c>
      <c r="B253" s="3" t="inlineStr">
        <is>
          <t>Klenk Holdings LLC</t>
        </is>
      </c>
      <c r="C253" s="3" t="inlineStr">
        <is>
          <t>Klenk Holdings LLC</t>
        </is>
      </c>
      <c r="D253" s="3" t="inlineStr">
        <is>
          <t>Legal</t>
        </is>
      </c>
      <c r="E253" s="23" t="n">
        <v>45918</v>
      </c>
      <c r="F253" s="23" t="n">
        <v>46230</v>
      </c>
      <c r="G253" s="3" t="n">
        <v>2</v>
      </c>
      <c r="H253" s="3" t="inlineStr">
        <is>
          <t>5999</t>
        </is>
      </c>
      <c r="I253" s="3" t="inlineStr">
        <is>
          <t>59</t>
        </is>
      </c>
      <c r="J253" s="3" t="inlineStr">
        <is>
          <t>IN</t>
        </is>
      </c>
      <c r="K253" s="3" t="inlineStr">
        <is>
          <t>United Secured Capital 8</t>
        </is>
      </c>
      <c r="L253" s="3" t="inlineStr">
        <is>
          <t>New Deal</t>
        </is>
      </c>
      <c r="M253" s="3" t="n">
        <v>1.49</v>
      </c>
      <c r="N253" s="28" t="n">
        <v>11500</v>
      </c>
      <c r="O253" s="28" t="n">
        <v>1610</v>
      </c>
      <c r="P253" s="28" t="n">
        <v>17135</v>
      </c>
      <c r="Q253" s="28" t="n">
        <v>6750</v>
      </c>
      <c r="R253" s="28" t="n">
        <v>10385</v>
      </c>
      <c r="S253" s="42" t="n">
        <v>0.393930551502772</v>
      </c>
      <c r="T253" s="3" t="n">
        <v>1.967</v>
      </c>
      <c r="U253" s="3" t="n">
        <v>41</v>
      </c>
      <c r="V253" s="3" t="n">
        <v>11443.09</v>
      </c>
      <c r="W253" s="42" t="n">
        <v>0.5241</v>
      </c>
      <c r="X253" s="23" t="n">
        <v>45292</v>
      </c>
      <c r="Y253" s="3">
        <f>IF(I253="","No SIC",IFERROR(VLOOKUP(I253,Ref!$A$2:$B$65,2,FALSE()),"Unclassified"))</f>
        <v/>
      </c>
      <c r="Z253" s="3">
        <f>IF(T253="","",IF(T253&lt;12,"Daily","Weekly"))</f>
        <v/>
      </c>
      <c r="AA253" s="3">
        <f>IF(T253="",0,IF(T253&lt;12,T253*Controls!$B$13,T253*5))</f>
        <v/>
      </c>
      <c r="AB253" s="3">
        <f>IF(E253="",0,NETWORKDAYS(E253,Controls!$B$20,Ref!$K$2:$K$42))</f>
        <v/>
      </c>
      <c r="AC253" s="3">
        <f>IF(OR(AF253=1,AND(AA253&gt;0,AB253&gt;=Controls!$B$23*AA253)),1,0)</f>
        <v/>
      </c>
      <c r="AD253" s="3">
        <f>IF(AND(E253&lt;&gt;"",E253&gt;=Controls!$B$21,E253&lt;=Controls!$B$22),1,0)</f>
        <v/>
      </c>
      <c r="AE253" s="3">
        <f>IF(IFERROR(VLOOKUP(D253,Controls!$A$36:$E$46,2,FALSE()),"No")="Yes",1,0)</f>
        <v/>
      </c>
      <c r="AF253" s="3">
        <f>IF(IFERROR(VLOOKUP(D253,Controls!$A$36:$E$46,3,FALSE()),"No")="Yes",1,0)</f>
        <v/>
      </c>
      <c r="AG253" s="3">
        <f>IF(IFERROR(VLOOKUP(D253,Controls!$A$36:$E$46,4,FALSE()),"No")="Yes",1,0)</f>
        <v/>
      </c>
      <c r="AH253" s="3">
        <f>IF(IFERROR(VLOOKUP(D253,Controls!$A$36:$E$46,5,FALSE()),"No")="Yes",1,0)</f>
        <v/>
      </c>
      <c r="AI253" s="3">
        <f>IF(ISNUMBER(MATCH(D253,Controls!$A$36:$A$46,0)),1,0)</f>
        <v/>
      </c>
      <c r="AJ253" s="28">
        <f>Q253-N253</f>
        <v/>
      </c>
      <c r="AK253" s="3">
        <f>IF(AE253=1,MAX(0,N253-Q253),0)</f>
        <v/>
      </c>
      <c r="AL253" s="3">
        <f>IF(OR(V253="",V253=0),0,N253/V253)</f>
        <v/>
      </c>
      <c r="AM253" s="3">
        <f>IF(OR(V253="",V253=0),0,1)</f>
        <v/>
      </c>
      <c r="AN253" s="3">
        <f>IF(OR(E253="",F253=""),0,NETWORKDAYS(E253,F253,Ref!$K$2:$K$42))</f>
        <v/>
      </c>
      <c r="AO253" s="3">
        <f>IF(L253="Renewal",1,0)</f>
        <v/>
      </c>
      <c r="AP253" s="3">
        <f>AC253*AD253</f>
        <v/>
      </c>
      <c r="AQ253" s="3">
        <f>IF(AND(G253&lt;&gt;"",'Historical Score'!$C$6&lt;&gt;""),IF(G253='Historical Score'!$C$6,1,0),0)</f>
        <v/>
      </c>
      <c r="AR253" s="3">
        <f>IF(AND(L253&lt;&gt;"",'Historical Score'!$C$5&lt;&gt;""),IF(L253='Historical Score'!$C$5,1,0),0)</f>
        <v/>
      </c>
      <c r="AS253" s="3">
        <f>IF(AND(Y253&lt;&gt;"",'Historical Score'!$C$7&lt;&gt;""),IF(Y253='Historical Score'!$C$7,1,0),0)</f>
        <v/>
      </c>
      <c r="AT253" s="3">
        <f>IF(AND(K253&lt;&gt;"",'Historical Score'!$C$8&lt;&gt;""),IF(K253='Historical Score'!$C$8,1,0),0)</f>
        <v/>
      </c>
      <c r="AU253" s="3" t="n"/>
      <c r="AV253" s="3" t="n"/>
      <c r="AW253" s="3" t="n"/>
      <c r="AX253" s="3" t="n"/>
      <c r="AY253" s="3" t="n"/>
      <c r="AZ253" s="3" t="n"/>
      <c r="BA253" s="182">
        <f>IF(AD253=1,(AR253*'Historical Score'!$K$29+1-'Historical Score'!$K$29)*(AT253*'Historical Score'!$L$29+1-'Historical Score'!$L$29)*(AS253*'Historical Score'!$M$29+1-'Historical Score'!$M$29)*(AQ253*'Historical Score'!$N$29+1-'Historical Score'!$N$29),0)</f>
        <v/>
      </c>
      <c r="BB253" s="3" t="n"/>
      <c r="BC253" s="3" t="n"/>
    </row>
    <row r="254" ht="15.75" customHeight="1" s="174">
      <c r="A254" s="3" t="inlineStr">
        <is>
          <t>5674167047</t>
        </is>
      </c>
      <c r="B254" s="3" t="inlineStr">
        <is>
          <t>Kenetix Performance and Fitness</t>
        </is>
      </c>
      <c r="C254" s="3" t="inlineStr">
        <is>
          <t>Kenetix LLC</t>
        </is>
      </c>
      <c r="D254" s="3" t="inlineStr">
        <is>
          <t>Closed</t>
        </is>
      </c>
      <c r="E254" s="23" t="n">
        <v>45919</v>
      </c>
      <c r="F254" s="23" t="n">
        <v>46087</v>
      </c>
      <c r="G254" s="3" t="n">
        <v>1</v>
      </c>
      <c r="H254" s="3" t="inlineStr">
        <is>
          <t>7991</t>
        </is>
      </c>
      <c r="I254" s="3" t="inlineStr">
        <is>
          <t>79</t>
        </is>
      </c>
      <c r="J254" s="3" t="inlineStr">
        <is>
          <t>TN</t>
        </is>
      </c>
      <c r="K254" s="3" t="inlineStr">
        <is>
          <t>Fundwell</t>
        </is>
      </c>
      <c r="L254" s="3" t="inlineStr">
        <is>
          <t>New Deal</t>
        </is>
      </c>
      <c r="M254" s="3" t="n">
        <v>1.38</v>
      </c>
      <c r="N254" s="28" t="n">
        <v>10000</v>
      </c>
      <c r="O254" s="28" t="n">
        <v>1200</v>
      </c>
      <c r="P254" s="28" t="n">
        <v>13800</v>
      </c>
      <c r="Q254" s="28" t="n">
        <v>13800</v>
      </c>
      <c r="R254" s="28" t="n">
        <v>-1.81898940354586e-12</v>
      </c>
      <c r="S254" s="42" t="n">
        <v>1</v>
      </c>
      <c r="T254" s="3" t="n">
        <v>24</v>
      </c>
      <c r="U254" s="3" t="n">
        <v>0</v>
      </c>
      <c r="V254" s="3" t="n">
        <v>16327.93</v>
      </c>
      <c r="W254" s="42" t="n">
        <v>0.1409</v>
      </c>
      <c r="X254" s="23" t="n">
        <v>43686</v>
      </c>
      <c r="Y254" s="3">
        <f>IF(I254="","No SIC",IFERROR(VLOOKUP(I254,Ref!$A$2:$B$65,2,FALSE()),"Unclassified"))</f>
        <v/>
      </c>
      <c r="Z254" s="3">
        <f>IF(T254="","",IF(T254&lt;12,"Daily","Weekly"))</f>
        <v/>
      </c>
      <c r="AA254" s="3">
        <f>IF(T254="",0,IF(T254&lt;12,T254*Controls!$B$13,T254*5))</f>
        <v/>
      </c>
      <c r="AB254" s="3">
        <f>IF(E254="",0,NETWORKDAYS(E254,Controls!$B$20,Ref!$K$2:$K$42))</f>
        <v/>
      </c>
      <c r="AC254" s="3">
        <f>IF(OR(AF254=1,AND(AA254&gt;0,AB254&gt;=Controls!$B$23*AA254)),1,0)</f>
        <v/>
      </c>
      <c r="AD254" s="3">
        <f>IF(AND(E254&lt;&gt;"",E254&gt;=Controls!$B$21,E254&lt;=Controls!$B$22),1,0)</f>
        <v/>
      </c>
      <c r="AE254" s="3">
        <f>IF(IFERROR(VLOOKUP(D254,Controls!$A$36:$E$46,2,FALSE()),"No")="Yes",1,0)</f>
        <v/>
      </c>
      <c r="AF254" s="3">
        <f>IF(IFERROR(VLOOKUP(D254,Controls!$A$36:$E$46,3,FALSE()),"No")="Yes",1,0)</f>
        <v/>
      </c>
      <c r="AG254" s="3">
        <f>IF(IFERROR(VLOOKUP(D254,Controls!$A$36:$E$46,4,FALSE()),"No")="Yes",1,0)</f>
        <v/>
      </c>
      <c r="AH254" s="3">
        <f>IF(IFERROR(VLOOKUP(D254,Controls!$A$36:$E$46,5,FALSE()),"No")="Yes",1,0)</f>
        <v/>
      </c>
      <c r="AI254" s="3">
        <f>IF(ISNUMBER(MATCH(D254,Controls!$A$36:$A$46,0)),1,0)</f>
        <v/>
      </c>
      <c r="AJ254" s="28">
        <f>Q254-N254</f>
        <v/>
      </c>
      <c r="AK254" s="3">
        <f>IF(AE254=1,MAX(0,N254-Q254),0)</f>
        <v/>
      </c>
      <c r="AL254" s="3">
        <f>IF(OR(V254="",V254=0),0,N254/V254)</f>
        <v/>
      </c>
      <c r="AM254" s="3">
        <f>IF(OR(V254="",V254=0),0,1)</f>
        <v/>
      </c>
      <c r="AN254" s="3">
        <f>IF(OR(E254="",F254=""),0,NETWORKDAYS(E254,F254,Ref!$K$2:$K$42))</f>
        <v/>
      </c>
      <c r="AO254" s="3">
        <f>IF(L254="Renewal",1,0)</f>
        <v/>
      </c>
      <c r="AP254" s="3">
        <f>AC254*AD254</f>
        <v/>
      </c>
      <c r="AQ254" s="3">
        <f>IF(AND(G254&lt;&gt;"",'Historical Score'!$C$6&lt;&gt;""),IF(G254='Historical Score'!$C$6,1,0),0)</f>
        <v/>
      </c>
      <c r="AR254" s="3">
        <f>IF(AND(L254&lt;&gt;"",'Historical Score'!$C$5&lt;&gt;""),IF(L254='Historical Score'!$C$5,1,0),0)</f>
        <v/>
      </c>
      <c r="AS254" s="3">
        <f>IF(AND(Y254&lt;&gt;"",'Historical Score'!$C$7&lt;&gt;""),IF(Y254='Historical Score'!$C$7,1,0),0)</f>
        <v/>
      </c>
      <c r="AT254" s="3">
        <f>IF(AND(K254&lt;&gt;"",'Historical Score'!$C$8&lt;&gt;""),IF(K254='Historical Score'!$C$8,1,0),0)</f>
        <v/>
      </c>
      <c r="AU254" s="3" t="n"/>
      <c r="AV254" s="3" t="n"/>
      <c r="AW254" s="3" t="n"/>
      <c r="AX254" s="3" t="n"/>
      <c r="AY254" s="3" t="n"/>
      <c r="AZ254" s="3" t="n"/>
      <c r="BA254" s="182">
        <f>IF(AD254=1,(AR254*'Historical Score'!$K$29+1-'Historical Score'!$K$29)*(AT254*'Historical Score'!$L$29+1-'Historical Score'!$L$29)*(AS254*'Historical Score'!$M$29+1-'Historical Score'!$M$29)*(AQ254*'Historical Score'!$N$29+1-'Historical Score'!$N$29),0)</f>
        <v/>
      </c>
      <c r="BB254" s="3" t="n"/>
      <c r="BC254" s="3" t="n"/>
    </row>
    <row r="255" ht="15.75" customHeight="1" s="174">
      <c r="A255" s="3" t="inlineStr">
        <is>
          <t>5674167065</t>
        </is>
      </c>
      <c r="B255" s="3" t="inlineStr">
        <is>
          <t>THE THERAPY CORNER COUNSELING &amp; CONSULTING, PLLC</t>
        </is>
      </c>
      <c r="C255" s="3" t="inlineStr">
        <is>
          <t>THE THERAPY CORNER COUNSELING &amp; CONSULTING, PLLC</t>
        </is>
      </c>
      <c r="D255" s="3" t="inlineStr">
        <is>
          <t>Closed</t>
        </is>
      </c>
      <c r="E255" s="23" t="n">
        <v>45919</v>
      </c>
      <c r="F255" s="23" t="n">
        <v>46125</v>
      </c>
      <c r="G255" s="3" t="n">
        <v>1</v>
      </c>
      <c r="H255" s="3" t="inlineStr">
        <is>
          <t>8732</t>
        </is>
      </c>
      <c r="I255" s="3" t="inlineStr">
        <is>
          <t>87</t>
        </is>
      </c>
      <c r="J255" s="3" t="inlineStr">
        <is>
          <t>TX</t>
        </is>
      </c>
      <c r="K255" s="3" t="inlineStr">
        <is>
          <t>Fundwell</t>
        </is>
      </c>
      <c r="L255" s="3" t="inlineStr">
        <is>
          <t>New Deal</t>
        </is>
      </c>
      <c r="M255" s="3" t="n">
        <v>1.38</v>
      </c>
      <c r="N255" s="28" t="n">
        <v>12000</v>
      </c>
      <c r="O255" s="28" t="n">
        <v>1440</v>
      </c>
      <c r="P255" s="28" t="n">
        <v>16560</v>
      </c>
      <c r="Q255" s="28" t="n">
        <v>16560</v>
      </c>
      <c r="R255" s="28" t="n">
        <v>0</v>
      </c>
      <c r="S255" s="42" t="n">
        <v>1</v>
      </c>
      <c r="T255" s="3" t="n">
        <v>4.59</v>
      </c>
      <c r="U255" s="3" t="n">
        <v>0</v>
      </c>
      <c r="V255" s="3" t="n">
        <v>26806.34</v>
      </c>
      <c r="W255" s="42" t="n">
        <v>0.0883</v>
      </c>
      <c r="X255" s="23" t="n">
        <v>44496</v>
      </c>
      <c r="Y255" s="3">
        <f>IF(I255="","No SIC",IFERROR(VLOOKUP(I255,Ref!$A$2:$B$65,2,FALSE()),"Unclassified"))</f>
        <v/>
      </c>
      <c r="Z255" s="3">
        <f>IF(T255="","",IF(T255&lt;12,"Daily","Weekly"))</f>
        <v/>
      </c>
      <c r="AA255" s="3">
        <f>IF(T255="",0,IF(T255&lt;12,T255*Controls!$B$13,T255*5))</f>
        <v/>
      </c>
      <c r="AB255" s="3">
        <f>IF(E255="",0,NETWORKDAYS(E255,Controls!$B$20,Ref!$K$2:$K$42))</f>
        <v/>
      </c>
      <c r="AC255" s="3">
        <f>IF(OR(AF255=1,AND(AA255&gt;0,AB255&gt;=Controls!$B$23*AA255)),1,0)</f>
        <v/>
      </c>
      <c r="AD255" s="3">
        <f>IF(AND(E255&lt;&gt;"",E255&gt;=Controls!$B$21,E255&lt;=Controls!$B$22),1,0)</f>
        <v/>
      </c>
      <c r="AE255" s="3">
        <f>IF(IFERROR(VLOOKUP(D255,Controls!$A$36:$E$46,2,FALSE()),"No")="Yes",1,0)</f>
        <v/>
      </c>
      <c r="AF255" s="3">
        <f>IF(IFERROR(VLOOKUP(D255,Controls!$A$36:$E$46,3,FALSE()),"No")="Yes",1,0)</f>
        <v/>
      </c>
      <c r="AG255" s="3">
        <f>IF(IFERROR(VLOOKUP(D255,Controls!$A$36:$E$46,4,FALSE()),"No")="Yes",1,0)</f>
        <v/>
      </c>
      <c r="AH255" s="3">
        <f>IF(IFERROR(VLOOKUP(D255,Controls!$A$36:$E$46,5,FALSE()),"No")="Yes",1,0)</f>
        <v/>
      </c>
      <c r="AI255" s="3">
        <f>IF(ISNUMBER(MATCH(D255,Controls!$A$36:$A$46,0)),1,0)</f>
        <v/>
      </c>
      <c r="AJ255" s="28">
        <f>Q255-N255</f>
        <v/>
      </c>
      <c r="AK255" s="3">
        <f>IF(AE255=1,MAX(0,N255-Q255),0)</f>
        <v/>
      </c>
      <c r="AL255" s="3">
        <f>IF(OR(V255="",V255=0),0,N255/V255)</f>
        <v/>
      </c>
      <c r="AM255" s="3">
        <f>IF(OR(V255="",V255=0),0,1)</f>
        <v/>
      </c>
      <c r="AN255" s="3">
        <f>IF(OR(E255="",F255=""),0,NETWORKDAYS(E255,F255,Ref!$K$2:$K$42))</f>
        <v/>
      </c>
      <c r="AO255" s="3">
        <f>IF(L255="Renewal",1,0)</f>
        <v/>
      </c>
      <c r="AP255" s="3">
        <f>AC255*AD255</f>
        <v/>
      </c>
      <c r="AQ255" s="3">
        <f>IF(AND(G255&lt;&gt;"",'Historical Score'!$C$6&lt;&gt;""),IF(G255='Historical Score'!$C$6,1,0),0)</f>
        <v/>
      </c>
      <c r="AR255" s="3">
        <f>IF(AND(L255&lt;&gt;"",'Historical Score'!$C$5&lt;&gt;""),IF(L255='Historical Score'!$C$5,1,0),0)</f>
        <v/>
      </c>
      <c r="AS255" s="3">
        <f>IF(AND(Y255&lt;&gt;"",'Historical Score'!$C$7&lt;&gt;""),IF(Y255='Historical Score'!$C$7,1,0),0)</f>
        <v/>
      </c>
      <c r="AT255" s="3">
        <f>IF(AND(K255&lt;&gt;"",'Historical Score'!$C$8&lt;&gt;""),IF(K255='Historical Score'!$C$8,1,0),0)</f>
        <v/>
      </c>
      <c r="AU255" s="3" t="n"/>
      <c r="AV255" s="3" t="n"/>
      <c r="AW255" s="3" t="n"/>
      <c r="AX255" s="3" t="n"/>
      <c r="AY255" s="3" t="n"/>
      <c r="AZ255" s="3" t="n"/>
      <c r="BA255" s="182">
        <f>IF(AD255=1,(AR255*'Historical Score'!$K$29+1-'Historical Score'!$K$29)*(AT255*'Historical Score'!$L$29+1-'Historical Score'!$L$29)*(AS255*'Historical Score'!$M$29+1-'Historical Score'!$M$29)*(AQ255*'Historical Score'!$N$29+1-'Historical Score'!$N$29),0)</f>
        <v/>
      </c>
      <c r="BB255" s="3" t="n"/>
      <c r="BC255" s="3" t="n"/>
    </row>
    <row r="256" ht="15.75" customHeight="1" s="174">
      <c r="A256" s="3" t="inlineStr">
        <is>
          <t>5674167118</t>
        </is>
      </c>
      <c r="B256" s="3" t="inlineStr">
        <is>
          <t>Red E Electric</t>
        </is>
      </c>
      <c r="C256" s="3" t="inlineStr">
        <is>
          <t>Red E Electric</t>
        </is>
      </c>
      <c r="D256" s="3" t="inlineStr">
        <is>
          <t>Closed</t>
        </is>
      </c>
      <c r="E256" s="23" t="n">
        <v>45922</v>
      </c>
      <c r="F256" s="23" t="n">
        <v>46113</v>
      </c>
      <c r="G256" s="3" t="n">
        <v>2</v>
      </c>
      <c r="H256" s="3" t="inlineStr">
        <is>
          <t>1731</t>
        </is>
      </c>
      <c r="I256" s="3" t="inlineStr">
        <is>
          <t>17</t>
        </is>
      </c>
      <c r="J256" s="3" t="inlineStr">
        <is>
          <t>TX</t>
        </is>
      </c>
      <c r="K256" s="3" t="inlineStr">
        <is>
          <t>EZ ADVANCE LLC</t>
        </is>
      </c>
      <c r="L256" s="3" t="inlineStr">
        <is>
          <t>New Deal</t>
        </is>
      </c>
      <c r="M256" s="3" t="n">
        <v>1.499</v>
      </c>
      <c r="N256" s="28" t="n">
        <v>15000</v>
      </c>
      <c r="O256" s="28" t="n">
        <v>2100</v>
      </c>
      <c r="P256" s="28" t="n">
        <v>22485</v>
      </c>
      <c r="Q256" s="28" t="n">
        <v>22485</v>
      </c>
      <c r="R256" s="28" t="n">
        <v>0</v>
      </c>
      <c r="S256" s="42" t="n">
        <v>1</v>
      </c>
      <c r="T256" s="3" t="n">
        <v>2.623</v>
      </c>
      <c r="U256" s="3" t="n">
        <v>0</v>
      </c>
      <c r="V256" s="3" t="n">
        <v>55575.64</v>
      </c>
      <c r="W256" s="42" t="n">
        <v>0.07820000000000001</v>
      </c>
      <c r="X256" s="23" t="n">
        <v>41518</v>
      </c>
      <c r="Y256" s="3">
        <f>IF(I256="","No SIC",IFERROR(VLOOKUP(I256,Ref!$A$2:$B$65,2,FALSE()),"Unclassified"))</f>
        <v/>
      </c>
      <c r="Z256" s="3">
        <f>IF(T256="","",IF(T256&lt;12,"Daily","Weekly"))</f>
        <v/>
      </c>
      <c r="AA256" s="3">
        <f>IF(T256="",0,IF(T256&lt;12,T256*Controls!$B$13,T256*5))</f>
        <v/>
      </c>
      <c r="AB256" s="3">
        <f>IF(E256="",0,NETWORKDAYS(E256,Controls!$B$20,Ref!$K$2:$K$42))</f>
        <v/>
      </c>
      <c r="AC256" s="3">
        <f>IF(OR(AF256=1,AND(AA256&gt;0,AB256&gt;=Controls!$B$23*AA256)),1,0)</f>
        <v/>
      </c>
      <c r="AD256" s="3">
        <f>IF(AND(E256&lt;&gt;"",E256&gt;=Controls!$B$21,E256&lt;=Controls!$B$22),1,0)</f>
        <v/>
      </c>
      <c r="AE256" s="3">
        <f>IF(IFERROR(VLOOKUP(D256,Controls!$A$36:$E$46,2,FALSE()),"No")="Yes",1,0)</f>
        <v/>
      </c>
      <c r="AF256" s="3">
        <f>IF(IFERROR(VLOOKUP(D256,Controls!$A$36:$E$46,3,FALSE()),"No")="Yes",1,0)</f>
        <v/>
      </c>
      <c r="AG256" s="3">
        <f>IF(IFERROR(VLOOKUP(D256,Controls!$A$36:$E$46,4,FALSE()),"No")="Yes",1,0)</f>
        <v/>
      </c>
      <c r="AH256" s="3">
        <f>IF(IFERROR(VLOOKUP(D256,Controls!$A$36:$E$46,5,FALSE()),"No")="Yes",1,0)</f>
        <v/>
      </c>
      <c r="AI256" s="3">
        <f>IF(ISNUMBER(MATCH(D256,Controls!$A$36:$A$46,0)),1,0)</f>
        <v/>
      </c>
      <c r="AJ256" s="28">
        <f>Q256-N256</f>
        <v/>
      </c>
      <c r="AK256" s="3">
        <f>IF(AE256=1,MAX(0,N256-Q256),0)</f>
        <v/>
      </c>
      <c r="AL256" s="3">
        <f>IF(OR(V256="",V256=0),0,N256/V256)</f>
        <v/>
      </c>
      <c r="AM256" s="3">
        <f>IF(OR(V256="",V256=0),0,1)</f>
        <v/>
      </c>
      <c r="AN256" s="3">
        <f>IF(OR(E256="",F256=""),0,NETWORKDAYS(E256,F256,Ref!$K$2:$K$42))</f>
        <v/>
      </c>
      <c r="AO256" s="3">
        <f>IF(L256="Renewal",1,0)</f>
        <v/>
      </c>
      <c r="AP256" s="3">
        <f>AC256*AD256</f>
        <v/>
      </c>
      <c r="AQ256" s="3">
        <f>IF(AND(G256&lt;&gt;"",'Historical Score'!$C$6&lt;&gt;""),IF(G256='Historical Score'!$C$6,1,0),0)</f>
        <v/>
      </c>
      <c r="AR256" s="3">
        <f>IF(AND(L256&lt;&gt;"",'Historical Score'!$C$5&lt;&gt;""),IF(L256='Historical Score'!$C$5,1,0),0)</f>
        <v/>
      </c>
      <c r="AS256" s="3">
        <f>IF(AND(Y256&lt;&gt;"",'Historical Score'!$C$7&lt;&gt;""),IF(Y256='Historical Score'!$C$7,1,0),0)</f>
        <v/>
      </c>
      <c r="AT256" s="3">
        <f>IF(AND(K256&lt;&gt;"",'Historical Score'!$C$8&lt;&gt;""),IF(K256='Historical Score'!$C$8,1,0),0)</f>
        <v/>
      </c>
      <c r="AU256" s="3" t="n"/>
      <c r="AV256" s="3" t="n"/>
      <c r="AW256" s="3" t="n"/>
      <c r="AX256" s="3" t="n"/>
      <c r="AY256" s="3" t="n"/>
      <c r="AZ256" s="3" t="n"/>
      <c r="BA256" s="182">
        <f>IF(AD256=1,(AR256*'Historical Score'!$K$29+1-'Historical Score'!$K$29)*(AT256*'Historical Score'!$L$29+1-'Historical Score'!$L$29)*(AS256*'Historical Score'!$M$29+1-'Historical Score'!$M$29)*(AQ256*'Historical Score'!$N$29+1-'Historical Score'!$N$29),0)</f>
        <v/>
      </c>
      <c r="BB256" s="3" t="n"/>
      <c r="BC256" s="3" t="n"/>
    </row>
    <row r="257" ht="15.75" customHeight="1" s="174">
      <c r="A257" s="3" t="inlineStr">
        <is>
          <t>5674167134</t>
        </is>
      </c>
      <c r="B257" s="3" t="inlineStr">
        <is>
          <t>K&amp;JTowing,Inc</t>
        </is>
      </c>
      <c r="C257" s="3" t="inlineStr">
        <is>
          <t>K&amp;JTowing,Inc</t>
        </is>
      </c>
      <c r="D257" s="3" t="inlineStr">
        <is>
          <t>Closed</t>
        </is>
      </c>
      <c r="E257" s="23" t="n">
        <v>45922</v>
      </c>
      <c r="F257" s="23" t="n">
        <v>46073</v>
      </c>
      <c r="G257" s="3" t="n">
        <v>1</v>
      </c>
      <c r="H257" s="3" t="inlineStr">
        <is>
          <t>7549</t>
        </is>
      </c>
      <c r="I257" s="3" t="inlineStr">
        <is>
          <t>75</t>
        </is>
      </c>
      <c r="J257" s="3" t="inlineStr">
        <is>
          <t>TX</t>
        </is>
      </c>
      <c r="K257" s="3" t="inlineStr">
        <is>
          <t>Fundwell</t>
        </is>
      </c>
      <c r="L257" s="3" t="inlineStr">
        <is>
          <t>New Deal</t>
        </is>
      </c>
      <c r="M257" s="3" t="n">
        <v>1.38</v>
      </c>
      <c r="N257" s="28" t="n">
        <v>15000</v>
      </c>
      <c r="O257" s="28" t="n">
        <v>1800</v>
      </c>
      <c r="P257" s="28" t="n">
        <v>20700</v>
      </c>
      <c r="Q257" s="28" t="n">
        <v>20700</v>
      </c>
      <c r="R257" s="28" t="n">
        <v>0</v>
      </c>
      <c r="S257" s="42" t="n">
        <v>1</v>
      </c>
      <c r="T257" s="3" t="n">
        <v>26</v>
      </c>
      <c r="U257" s="3" t="n">
        <v>0</v>
      </c>
      <c r="V257" s="3" t="n">
        <v>36871.29</v>
      </c>
      <c r="W257" s="42" t="n">
        <v>0.0864</v>
      </c>
      <c r="X257" s="23" t="n">
        <v>42644</v>
      </c>
      <c r="Y257" s="3">
        <f>IF(I257="","No SIC",IFERROR(VLOOKUP(I257,Ref!$A$2:$B$65,2,FALSE()),"Unclassified"))</f>
        <v/>
      </c>
      <c r="Z257" s="3">
        <f>IF(T257="","",IF(T257&lt;12,"Daily","Weekly"))</f>
        <v/>
      </c>
      <c r="AA257" s="3">
        <f>IF(T257="",0,IF(T257&lt;12,T257*Controls!$B$13,T257*5))</f>
        <v/>
      </c>
      <c r="AB257" s="3">
        <f>IF(E257="",0,NETWORKDAYS(E257,Controls!$B$20,Ref!$K$2:$K$42))</f>
        <v/>
      </c>
      <c r="AC257" s="3">
        <f>IF(OR(AF257=1,AND(AA257&gt;0,AB257&gt;=Controls!$B$23*AA257)),1,0)</f>
        <v/>
      </c>
      <c r="AD257" s="3">
        <f>IF(AND(E257&lt;&gt;"",E257&gt;=Controls!$B$21,E257&lt;=Controls!$B$22),1,0)</f>
        <v/>
      </c>
      <c r="AE257" s="3">
        <f>IF(IFERROR(VLOOKUP(D257,Controls!$A$36:$E$46,2,FALSE()),"No")="Yes",1,0)</f>
        <v/>
      </c>
      <c r="AF257" s="3">
        <f>IF(IFERROR(VLOOKUP(D257,Controls!$A$36:$E$46,3,FALSE()),"No")="Yes",1,0)</f>
        <v/>
      </c>
      <c r="AG257" s="3">
        <f>IF(IFERROR(VLOOKUP(D257,Controls!$A$36:$E$46,4,FALSE()),"No")="Yes",1,0)</f>
        <v/>
      </c>
      <c r="AH257" s="3">
        <f>IF(IFERROR(VLOOKUP(D257,Controls!$A$36:$E$46,5,FALSE()),"No")="Yes",1,0)</f>
        <v/>
      </c>
      <c r="AI257" s="3">
        <f>IF(ISNUMBER(MATCH(D257,Controls!$A$36:$A$46,0)),1,0)</f>
        <v/>
      </c>
      <c r="AJ257" s="28">
        <f>Q257-N257</f>
        <v/>
      </c>
      <c r="AK257" s="3">
        <f>IF(AE257=1,MAX(0,N257-Q257),0)</f>
        <v/>
      </c>
      <c r="AL257" s="3">
        <f>IF(OR(V257="",V257=0),0,N257/V257)</f>
        <v/>
      </c>
      <c r="AM257" s="3">
        <f>IF(OR(V257="",V257=0),0,1)</f>
        <v/>
      </c>
      <c r="AN257" s="3">
        <f>IF(OR(E257="",F257=""),0,NETWORKDAYS(E257,F257,Ref!$K$2:$K$42))</f>
        <v/>
      </c>
      <c r="AO257" s="3">
        <f>IF(L257="Renewal",1,0)</f>
        <v/>
      </c>
      <c r="AP257" s="3">
        <f>AC257*AD257</f>
        <v/>
      </c>
      <c r="AQ257" s="3">
        <f>IF(AND(G257&lt;&gt;"",'Historical Score'!$C$6&lt;&gt;""),IF(G257='Historical Score'!$C$6,1,0),0)</f>
        <v/>
      </c>
      <c r="AR257" s="3">
        <f>IF(AND(L257&lt;&gt;"",'Historical Score'!$C$5&lt;&gt;""),IF(L257='Historical Score'!$C$5,1,0),0)</f>
        <v/>
      </c>
      <c r="AS257" s="3">
        <f>IF(AND(Y257&lt;&gt;"",'Historical Score'!$C$7&lt;&gt;""),IF(Y257='Historical Score'!$C$7,1,0),0)</f>
        <v/>
      </c>
      <c r="AT257" s="3">
        <f>IF(AND(K257&lt;&gt;"",'Historical Score'!$C$8&lt;&gt;""),IF(K257='Historical Score'!$C$8,1,0),0)</f>
        <v/>
      </c>
      <c r="AU257" s="3" t="n"/>
      <c r="AV257" s="3" t="n"/>
      <c r="AW257" s="3" t="n"/>
      <c r="AX257" s="3" t="n"/>
      <c r="AY257" s="3" t="n"/>
      <c r="AZ257" s="3" t="n"/>
      <c r="BA257" s="182">
        <f>IF(AD257=1,(AR257*'Historical Score'!$K$29+1-'Historical Score'!$K$29)*(AT257*'Historical Score'!$L$29+1-'Historical Score'!$L$29)*(AS257*'Historical Score'!$M$29+1-'Historical Score'!$M$29)*(AQ257*'Historical Score'!$N$29+1-'Historical Score'!$N$29),0)</f>
        <v/>
      </c>
      <c r="BB257" s="3" t="n"/>
      <c r="BC257" s="3" t="n"/>
    </row>
    <row r="258" ht="15.75" customHeight="1" s="174">
      <c r="A258" s="3" t="inlineStr">
        <is>
          <t>5674167135</t>
        </is>
      </c>
      <c r="B258" s="3" t="inlineStr">
        <is>
          <t>La Lucha LLC</t>
        </is>
      </c>
      <c r="C258" s="3" t="inlineStr">
        <is>
          <t>La Lucha LLC</t>
        </is>
      </c>
      <c r="D258" s="3" t="inlineStr">
        <is>
          <t>Closed</t>
        </is>
      </c>
      <c r="E258" s="23" t="n">
        <v>45922</v>
      </c>
      <c r="F258" s="23" t="n">
        <v>46112</v>
      </c>
      <c r="G258" s="3" t="n">
        <v>1</v>
      </c>
      <c r="H258" s="3" t="inlineStr">
        <is>
          <t>5812</t>
        </is>
      </c>
      <c r="I258" s="3" t="inlineStr">
        <is>
          <t>58</t>
        </is>
      </c>
      <c r="J258" s="3" t="inlineStr">
        <is>
          <t>PA</t>
        </is>
      </c>
      <c r="K258" s="3" t="inlineStr">
        <is>
          <t>Fundible</t>
        </is>
      </c>
      <c r="L258" s="3" t="inlineStr">
        <is>
          <t>New Deal</t>
        </is>
      </c>
      <c r="M258" s="3" t="n">
        <v>1.49</v>
      </c>
      <c r="N258" s="28" t="n">
        <v>20000</v>
      </c>
      <c r="O258" s="28" t="n">
        <v>2800</v>
      </c>
      <c r="P258" s="28" t="n">
        <v>29800</v>
      </c>
      <c r="Q258" s="28" t="n">
        <v>29800</v>
      </c>
      <c r="R258" s="28" t="n">
        <v>0</v>
      </c>
      <c r="S258" s="42" t="n">
        <v>1</v>
      </c>
      <c r="T258" s="3" t="n">
        <v>3.607</v>
      </c>
      <c r="U258" s="3" t="n">
        <v>20</v>
      </c>
      <c r="V258" s="3" t="n">
        <v>33612.7</v>
      </c>
      <c r="W258" s="42" t="n">
        <v>0.1693</v>
      </c>
      <c r="X258" s="23" t="n">
        <v>45922</v>
      </c>
      <c r="Y258" s="3">
        <f>IF(I258="","No SIC",IFERROR(VLOOKUP(I258,Ref!$A$2:$B$65,2,FALSE()),"Unclassified"))</f>
        <v/>
      </c>
      <c r="Z258" s="3">
        <f>IF(T258="","",IF(T258&lt;12,"Daily","Weekly"))</f>
        <v/>
      </c>
      <c r="AA258" s="3">
        <f>IF(T258="",0,IF(T258&lt;12,T258*Controls!$B$13,T258*5))</f>
        <v/>
      </c>
      <c r="AB258" s="3">
        <f>IF(E258="",0,NETWORKDAYS(E258,Controls!$B$20,Ref!$K$2:$K$42))</f>
        <v/>
      </c>
      <c r="AC258" s="3">
        <f>IF(OR(AF258=1,AND(AA258&gt;0,AB258&gt;=Controls!$B$23*AA258)),1,0)</f>
        <v/>
      </c>
      <c r="AD258" s="3">
        <f>IF(AND(E258&lt;&gt;"",E258&gt;=Controls!$B$21,E258&lt;=Controls!$B$22),1,0)</f>
        <v/>
      </c>
      <c r="AE258" s="3">
        <f>IF(IFERROR(VLOOKUP(D258,Controls!$A$36:$E$46,2,FALSE()),"No")="Yes",1,0)</f>
        <v/>
      </c>
      <c r="AF258" s="3">
        <f>IF(IFERROR(VLOOKUP(D258,Controls!$A$36:$E$46,3,FALSE()),"No")="Yes",1,0)</f>
        <v/>
      </c>
      <c r="AG258" s="3">
        <f>IF(IFERROR(VLOOKUP(D258,Controls!$A$36:$E$46,4,FALSE()),"No")="Yes",1,0)</f>
        <v/>
      </c>
      <c r="AH258" s="3">
        <f>IF(IFERROR(VLOOKUP(D258,Controls!$A$36:$E$46,5,FALSE()),"No")="Yes",1,0)</f>
        <v/>
      </c>
      <c r="AI258" s="3">
        <f>IF(ISNUMBER(MATCH(D258,Controls!$A$36:$A$46,0)),1,0)</f>
        <v/>
      </c>
      <c r="AJ258" s="28">
        <f>Q258-N258</f>
        <v/>
      </c>
      <c r="AK258" s="3">
        <f>IF(AE258=1,MAX(0,N258-Q258),0)</f>
        <v/>
      </c>
      <c r="AL258" s="3">
        <f>IF(OR(V258="",V258=0),0,N258/V258)</f>
        <v/>
      </c>
      <c r="AM258" s="3">
        <f>IF(OR(V258="",V258=0),0,1)</f>
        <v/>
      </c>
      <c r="AN258" s="3">
        <f>IF(OR(E258="",F258=""),0,NETWORKDAYS(E258,F258,Ref!$K$2:$K$42))</f>
        <v/>
      </c>
      <c r="AO258" s="3">
        <f>IF(L258="Renewal",1,0)</f>
        <v/>
      </c>
      <c r="AP258" s="3">
        <f>AC258*AD258</f>
        <v/>
      </c>
      <c r="AQ258" s="3">
        <f>IF(AND(G258&lt;&gt;"",'Historical Score'!$C$6&lt;&gt;""),IF(G258='Historical Score'!$C$6,1,0),0)</f>
        <v/>
      </c>
      <c r="AR258" s="3">
        <f>IF(AND(L258&lt;&gt;"",'Historical Score'!$C$5&lt;&gt;""),IF(L258='Historical Score'!$C$5,1,0),0)</f>
        <v/>
      </c>
      <c r="AS258" s="3">
        <f>IF(AND(Y258&lt;&gt;"",'Historical Score'!$C$7&lt;&gt;""),IF(Y258='Historical Score'!$C$7,1,0),0)</f>
        <v/>
      </c>
      <c r="AT258" s="3">
        <f>IF(AND(K258&lt;&gt;"",'Historical Score'!$C$8&lt;&gt;""),IF(K258='Historical Score'!$C$8,1,0),0)</f>
        <v/>
      </c>
      <c r="AU258" s="3" t="n"/>
      <c r="AV258" s="3" t="n"/>
      <c r="AW258" s="3" t="n"/>
      <c r="AX258" s="3" t="n"/>
      <c r="AY258" s="3" t="n"/>
      <c r="AZ258" s="3" t="n"/>
      <c r="BA258" s="182">
        <f>IF(AD258=1,(AR258*'Historical Score'!$K$29+1-'Historical Score'!$K$29)*(AT258*'Historical Score'!$L$29+1-'Historical Score'!$L$29)*(AS258*'Historical Score'!$M$29+1-'Historical Score'!$M$29)*(AQ258*'Historical Score'!$N$29+1-'Historical Score'!$N$29),0)</f>
        <v/>
      </c>
      <c r="BB258" s="3" t="n"/>
      <c r="BC258" s="3" t="n"/>
    </row>
    <row r="259" ht="15.75" customHeight="1" s="174">
      <c r="A259" s="3" t="inlineStr">
        <is>
          <t>5674167208</t>
        </is>
      </c>
      <c r="B259" s="3" t="inlineStr">
        <is>
          <t>Off Leash K9 Training Houston</t>
        </is>
      </c>
      <c r="C259" s="3" t="inlineStr">
        <is>
          <t>JUSTIN AERICK BAILEY</t>
        </is>
      </c>
      <c r="D259" s="3" t="inlineStr">
        <is>
          <t>Open</t>
        </is>
      </c>
      <c r="E259" s="23" t="n">
        <v>45924</v>
      </c>
      <c r="F259" s="23" t="n">
        <v>46244</v>
      </c>
      <c r="G259" s="3" t="n">
        <v>2</v>
      </c>
      <c r="H259" s="3" t="inlineStr">
        <is>
          <t>0752</t>
        </is>
      </c>
      <c r="I259" s="3" t="inlineStr">
        <is>
          <t>07</t>
        </is>
      </c>
      <c r="J259" s="3" t="inlineStr">
        <is>
          <t>TX</t>
        </is>
      </c>
      <c r="K259" s="3" t="inlineStr">
        <is>
          <t>Platform Funding</t>
        </is>
      </c>
      <c r="L259" s="3" t="inlineStr">
        <is>
          <t>Renewal</t>
        </is>
      </c>
      <c r="M259" s="3" t="n">
        <v>1.49</v>
      </c>
      <c r="N259" s="28" t="n">
        <v>13000</v>
      </c>
      <c r="O259" s="28" t="n">
        <v>1820</v>
      </c>
      <c r="P259" s="28" t="n">
        <v>19370</v>
      </c>
      <c r="Q259" s="28" t="n">
        <v>3749.52</v>
      </c>
      <c r="R259" s="28" t="n">
        <v>15620.48</v>
      </c>
      <c r="S259" s="42" t="n">
        <v>0.193573567372225</v>
      </c>
      <c r="T259" s="3" t="n">
        <v>3.279</v>
      </c>
      <c r="U259" s="3" t="n">
        <v>31</v>
      </c>
      <c r="V259" s="3" t="n">
        <v>27746.78</v>
      </c>
      <c r="W259" s="42" t="n">
        <v>0.2043</v>
      </c>
      <c r="X259" s="23" t="n">
        <v>41925</v>
      </c>
      <c r="Y259" s="3">
        <f>IF(I259="","No SIC",IFERROR(VLOOKUP(I259,Ref!$A$2:$B$65,2,FALSE()),"Unclassified"))</f>
        <v/>
      </c>
      <c r="Z259" s="3">
        <f>IF(T259="","",IF(T259&lt;12,"Daily","Weekly"))</f>
        <v/>
      </c>
      <c r="AA259" s="3">
        <f>IF(T259="",0,IF(T259&lt;12,T259*Controls!$B$13,T259*5))</f>
        <v/>
      </c>
      <c r="AB259" s="3">
        <f>IF(E259="",0,NETWORKDAYS(E259,Controls!$B$20,Ref!$K$2:$K$42))</f>
        <v/>
      </c>
      <c r="AC259" s="3">
        <f>IF(OR(AF259=1,AND(AA259&gt;0,AB259&gt;=Controls!$B$23*AA259)),1,0)</f>
        <v/>
      </c>
      <c r="AD259" s="3">
        <f>IF(AND(E259&lt;&gt;"",E259&gt;=Controls!$B$21,E259&lt;=Controls!$B$22),1,0)</f>
        <v/>
      </c>
      <c r="AE259" s="3">
        <f>IF(IFERROR(VLOOKUP(D259,Controls!$A$36:$E$46,2,FALSE()),"No")="Yes",1,0)</f>
        <v/>
      </c>
      <c r="AF259" s="3">
        <f>IF(IFERROR(VLOOKUP(D259,Controls!$A$36:$E$46,3,FALSE()),"No")="Yes",1,0)</f>
        <v/>
      </c>
      <c r="AG259" s="3">
        <f>IF(IFERROR(VLOOKUP(D259,Controls!$A$36:$E$46,4,FALSE()),"No")="Yes",1,0)</f>
        <v/>
      </c>
      <c r="AH259" s="3">
        <f>IF(IFERROR(VLOOKUP(D259,Controls!$A$36:$E$46,5,FALSE()),"No")="Yes",1,0)</f>
        <v/>
      </c>
      <c r="AI259" s="3">
        <f>IF(ISNUMBER(MATCH(D259,Controls!$A$36:$A$46,0)),1,0)</f>
        <v/>
      </c>
      <c r="AJ259" s="28">
        <f>Q259-N259</f>
        <v/>
      </c>
      <c r="AK259" s="3">
        <f>IF(AE259=1,MAX(0,N259-Q259),0)</f>
        <v/>
      </c>
      <c r="AL259" s="3">
        <f>IF(OR(V259="",V259=0),0,N259/V259)</f>
        <v/>
      </c>
      <c r="AM259" s="3">
        <f>IF(OR(V259="",V259=0),0,1)</f>
        <v/>
      </c>
      <c r="AN259" s="3">
        <f>IF(OR(E259="",F259=""),0,NETWORKDAYS(E259,F259,Ref!$K$2:$K$42))</f>
        <v/>
      </c>
      <c r="AO259" s="3">
        <f>IF(L259="Renewal",1,0)</f>
        <v/>
      </c>
      <c r="AP259" s="3">
        <f>AC259*AD259</f>
        <v/>
      </c>
      <c r="AQ259" s="3">
        <f>IF(AND(G259&lt;&gt;"",'Historical Score'!$C$6&lt;&gt;""),IF(G259='Historical Score'!$C$6,1,0),0)</f>
        <v/>
      </c>
      <c r="AR259" s="3">
        <f>IF(AND(L259&lt;&gt;"",'Historical Score'!$C$5&lt;&gt;""),IF(L259='Historical Score'!$C$5,1,0),0)</f>
        <v/>
      </c>
      <c r="AS259" s="3">
        <f>IF(AND(Y259&lt;&gt;"",'Historical Score'!$C$7&lt;&gt;""),IF(Y259='Historical Score'!$C$7,1,0),0)</f>
        <v/>
      </c>
      <c r="AT259" s="3">
        <f>IF(AND(K259&lt;&gt;"",'Historical Score'!$C$8&lt;&gt;""),IF(K259='Historical Score'!$C$8,1,0),0)</f>
        <v/>
      </c>
      <c r="AU259" s="3" t="n"/>
      <c r="AV259" s="3" t="n"/>
      <c r="AW259" s="3" t="n"/>
      <c r="AX259" s="3" t="n"/>
      <c r="AY259" s="3" t="n"/>
      <c r="AZ259" s="3" t="n"/>
      <c r="BA259" s="182">
        <f>IF(AD259=1,(AR259*'Historical Score'!$K$29+1-'Historical Score'!$K$29)*(AT259*'Historical Score'!$L$29+1-'Historical Score'!$L$29)*(AS259*'Historical Score'!$M$29+1-'Historical Score'!$M$29)*(AQ259*'Historical Score'!$N$29+1-'Historical Score'!$N$29),0)</f>
        <v/>
      </c>
      <c r="BB259" s="3" t="n"/>
      <c r="BC259" s="3" t="n"/>
    </row>
    <row r="260" ht="15.75" customHeight="1" s="174">
      <c r="A260" s="3" t="inlineStr">
        <is>
          <t>5674167261</t>
        </is>
      </c>
      <c r="B260" s="3" t="inlineStr">
        <is>
          <t>VORTEX INNOVATIONS CORPORATION</t>
        </is>
      </c>
      <c r="C260" s="3" t="inlineStr">
        <is>
          <t>VORTEX INNOVATIONS CORPORATION</t>
        </is>
      </c>
      <c r="D260" s="3" t="inlineStr">
        <is>
          <t>Legal</t>
        </is>
      </c>
      <c r="E260" s="23" t="n">
        <v>45925</v>
      </c>
      <c r="F260" s="23" t="n">
        <v>45979</v>
      </c>
      <c r="G260" s="3" t="n">
        <v>3</v>
      </c>
      <c r="H260" s="3" t="inlineStr">
        <is>
          <t>5999</t>
        </is>
      </c>
      <c r="I260" s="3" t="inlineStr">
        <is>
          <t>59</t>
        </is>
      </c>
      <c r="J260" s="3" t="inlineStr">
        <is>
          <t>PA</t>
        </is>
      </c>
      <c r="K260" s="3" t="inlineStr">
        <is>
          <t>United Secured Capital 8</t>
        </is>
      </c>
      <c r="L260" s="3" t="inlineStr">
        <is>
          <t>New Deal</t>
        </is>
      </c>
      <c r="M260" s="3" t="n">
        <v>1.499</v>
      </c>
      <c r="N260" s="28" t="n">
        <v>10000</v>
      </c>
      <c r="O260" s="28" t="n">
        <v>1400</v>
      </c>
      <c r="P260" s="28" t="n">
        <v>14990</v>
      </c>
      <c r="Q260" s="28" t="n">
        <v>5553.9</v>
      </c>
      <c r="R260" s="28" t="n">
        <v>9436.1</v>
      </c>
      <c r="S260" s="42" t="n">
        <v>0.37050700466978</v>
      </c>
      <c r="T260" s="3" t="n">
        <v>2.623</v>
      </c>
      <c r="U260" s="3" t="n">
        <v>7</v>
      </c>
      <c r="V260" s="3" t="n">
        <v>38722.54</v>
      </c>
      <c r="W260" s="42" t="n">
        <v>0.1004</v>
      </c>
      <c r="X260" s="23" t="n"/>
      <c r="Y260" s="3">
        <f>IF(I260="","No SIC",IFERROR(VLOOKUP(I260,Ref!$A$2:$B$65,2,FALSE()),"Unclassified"))</f>
        <v/>
      </c>
      <c r="Z260" s="3">
        <f>IF(T260="","",IF(T260&lt;12,"Daily","Weekly"))</f>
        <v/>
      </c>
      <c r="AA260" s="3">
        <f>IF(T260="",0,IF(T260&lt;12,T260*Controls!$B$13,T260*5))</f>
        <v/>
      </c>
      <c r="AB260" s="3">
        <f>IF(E260="",0,NETWORKDAYS(E260,Controls!$B$20,Ref!$K$2:$K$42))</f>
        <v/>
      </c>
      <c r="AC260" s="3">
        <f>IF(OR(AF260=1,AND(AA260&gt;0,AB260&gt;=Controls!$B$23*AA260)),1,0)</f>
        <v/>
      </c>
      <c r="AD260" s="3">
        <f>IF(AND(E260&lt;&gt;"",E260&gt;=Controls!$B$21,E260&lt;=Controls!$B$22),1,0)</f>
        <v/>
      </c>
      <c r="AE260" s="3">
        <f>IF(IFERROR(VLOOKUP(D260,Controls!$A$36:$E$46,2,FALSE()),"No")="Yes",1,0)</f>
        <v/>
      </c>
      <c r="AF260" s="3">
        <f>IF(IFERROR(VLOOKUP(D260,Controls!$A$36:$E$46,3,FALSE()),"No")="Yes",1,0)</f>
        <v/>
      </c>
      <c r="AG260" s="3">
        <f>IF(IFERROR(VLOOKUP(D260,Controls!$A$36:$E$46,4,FALSE()),"No")="Yes",1,0)</f>
        <v/>
      </c>
      <c r="AH260" s="3">
        <f>IF(IFERROR(VLOOKUP(D260,Controls!$A$36:$E$46,5,FALSE()),"No")="Yes",1,0)</f>
        <v/>
      </c>
      <c r="AI260" s="3">
        <f>IF(ISNUMBER(MATCH(D260,Controls!$A$36:$A$46,0)),1,0)</f>
        <v/>
      </c>
      <c r="AJ260" s="28">
        <f>Q260-N260</f>
        <v/>
      </c>
      <c r="AK260" s="3">
        <f>IF(AE260=1,MAX(0,N260-Q260),0)</f>
        <v/>
      </c>
      <c r="AL260" s="3">
        <f>IF(OR(V260="",V260=0),0,N260/V260)</f>
        <v/>
      </c>
      <c r="AM260" s="3">
        <f>IF(OR(V260="",V260=0),0,1)</f>
        <v/>
      </c>
      <c r="AN260" s="3">
        <f>IF(OR(E260="",F260=""),0,NETWORKDAYS(E260,F260,Ref!$K$2:$K$42))</f>
        <v/>
      </c>
      <c r="AO260" s="3">
        <f>IF(L260="Renewal",1,0)</f>
        <v/>
      </c>
      <c r="AP260" s="3">
        <f>AC260*AD260</f>
        <v/>
      </c>
      <c r="AQ260" s="3">
        <f>IF(AND(G260&lt;&gt;"",'Historical Score'!$C$6&lt;&gt;""),IF(G260='Historical Score'!$C$6,1,0),0)</f>
        <v/>
      </c>
      <c r="AR260" s="3">
        <f>IF(AND(L260&lt;&gt;"",'Historical Score'!$C$5&lt;&gt;""),IF(L260='Historical Score'!$C$5,1,0),0)</f>
        <v/>
      </c>
      <c r="AS260" s="3">
        <f>IF(AND(Y260&lt;&gt;"",'Historical Score'!$C$7&lt;&gt;""),IF(Y260='Historical Score'!$C$7,1,0),0)</f>
        <v/>
      </c>
      <c r="AT260" s="3">
        <f>IF(AND(K260&lt;&gt;"",'Historical Score'!$C$8&lt;&gt;""),IF(K260='Historical Score'!$C$8,1,0),0)</f>
        <v/>
      </c>
      <c r="AU260" s="3" t="n"/>
      <c r="AV260" s="3" t="n"/>
      <c r="AW260" s="3" t="n"/>
      <c r="AX260" s="3" t="n"/>
      <c r="AY260" s="3" t="n"/>
      <c r="AZ260" s="3" t="n"/>
      <c r="BA260" s="182">
        <f>IF(AD260=1,(AR260*'Historical Score'!$K$29+1-'Historical Score'!$K$29)*(AT260*'Historical Score'!$L$29+1-'Historical Score'!$L$29)*(AS260*'Historical Score'!$M$29+1-'Historical Score'!$M$29)*(AQ260*'Historical Score'!$N$29+1-'Historical Score'!$N$29),0)</f>
        <v/>
      </c>
      <c r="BB260" s="3" t="n"/>
      <c r="BC260" s="3" t="n"/>
    </row>
    <row r="261" ht="15.75" customHeight="1" s="174">
      <c r="A261" s="3" t="inlineStr">
        <is>
          <t>5674167314</t>
        </is>
      </c>
      <c r="B261" s="3" t="inlineStr">
        <is>
          <t>Terry Mann Floors</t>
        </is>
      </c>
      <c r="C261" s="3" t="inlineStr">
        <is>
          <t>Terry Mann LLC</t>
        </is>
      </c>
      <c r="D261" s="3" t="inlineStr">
        <is>
          <t>Closed</t>
        </is>
      </c>
      <c r="E261" s="23" t="n">
        <v>45925</v>
      </c>
      <c r="F261" s="23" t="n">
        <v>46048</v>
      </c>
      <c r="G261" s="3" t="n">
        <v>4</v>
      </c>
      <c r="H261" s="3" t="inlineStr">
        <is>
          <t>2426</t>
        </is>
      </c>
      <c r="I261" s="3" t="inlineStr">
        <is>
          <t>24</t>
        </is>
      </c>
      <c r="J261" s="3" t="inlineStr">
        <is>
          <t>TX</t>
        </is>
      </c>
      <c r="K261" s="3" t="inlineStr">
        <is>
          <t>Merchant ReFi</t>
        </is>
      </c>
      <c r="L261" s="3" t="inlineStr">
        <is>
          <t>New Deal</t>
        </is>
      </c>
      <c r="M261" s="3" t="n">
        <v>1.499</v>
      </c>
      <c r="N261" s="28" t="n">
        <v>15000</v>
      </c>
      <c r="O261" s="28" t="n">
        <v>2100</v>
      </c>
      <c r="P261" s="28" t="n">
        <v>22485</v>
      </c>
      <c r="Q261" s="28" t="n">
        <v>22485</v>
      </c>
      <c r="R261" s="28" t="n">
        <v>0</v>
      </c>
      <c r="S261" s="42" t="n">
        <v>1</v>
      </c>
      <c r="T261" s="3" t="n">
        <v>18</v>
      </c>
      <c r="U261" s="3" t="n">
        <v>0</v>
      </c>
      <c r="V261" s="3" t="n"/>
      <c r="W261" s="42" t="n">
        <v>0.0501</v>
      </c>
      <c r="X261" s="23" t="n"/>
      <c r="Y261" s="3">
        <f>IF(I261="","No SIC",IFERROR(VLOOKUP(I261,Ref!$A$2:$B$65,2,FALSE()),"Unclassified"))</f>
        <v/>
      </c>
      <c r="Z261" s="3">
        <f>IF(T261="","",IF(T261&lt;12,"Daily","Weekly"))</f>
        <v/>
      </c>
      <c r="AA261" s="3">
        <f>IF(T261="",0,IF(T261&lt;12,T261*Controls!$B$13,T261*5))</f>
        <v/>
      </c>
      <c r="AB261" s="3">
        <f>IF(E261="",0,NETWORKDAYS(E261,Controls!$B$20,Ref!$K$2:$K$42))</f>
        <v/>
      </c>
      <c r="AC261" s="3">
        <f>IF(OR(AF261=1,AND(AA261&gt;0,AB261&gt;=Controls!$B$23*AA261)),1,0)</f>
        <v/>
      </c>
      <c r="AD261" s="3">
        <f>IF(AND(E261&lt;&gt;"",E261&gt;=Controls!$B$21,E261&lt;=Controls!$B$22),1,0)</f>
        <v/>
      </c>
      <c r="AE261" s="3">
        <f>IF(IFERROR(VLOOKUP(D261,Controls!$A$36:$E$46,2,FALSE()),"No")="Yes",1,0)</f>
        <v/>
      </c>
      <c r="AF261" s="3">
        <f>IF(IFERROR(VLOOKUP(D261,Controls!$A$36:$E$46,3,FALSE()),"No")="Yes",1,0)</f>
        <v/>
      </c>
      <c r="AG261" s="3">
        <f>IF(IFERROR(VLOOKUP(D261,Controls!$A$36:$E$46,4,FALSE()),"No")="Yes",1,0)</f>
        <v/>
      </c>
      <c r="AH261" s="3">
        <f>IF(IFERROR(VLOOKUP(D261,Controls!$A$36:$E$46,5,FALSE()),"No")="Yes",1,0)</f>
        <v/>
      </c>
      <c r="AI261" s="3">
        <f>IF(ISNUMBER(MATCH(D261,Controls!$A$36:$A$46,0)),1,0)</f>
        <v/>
      </c>
      <c r="AJ261" s="28">
        <f>Q261-N261</f>
        <v/>
      </c>
      <c r="AK261" s="3">
        <f>IF(AE261=1,MAX(0,N261-Q261),0)</f>
        <v/>
      </c>
      <c r="AL261" s="3">
        <f>IF(OR(V261="",V261=0),0,N261/V261)</f>
        <v/>
      </c>
      <c r="AM261" s="3">
        <f>IF(OR(V261="",V261=0),0,1)</f>
        <v/>
      </c>
      <c r="AN261" s="3">
        <f>IF(OR(E261="",F261=""),0,NETWORKDAYS(E261,F261,Ref!$K$2:$K$42))</f>
        <v/>
      </c>
      <c r="AO261" s="3">
        <f>IF(L261="Renewal",1,0)</f>
        <v/>
      </c>
      <c r="AP261" s="3">
        <f>AC261*AD261</f>
        <v/>
      </c>
      <c r="AQ261" s="3">
        <f>IF(AND(G261&lt;&gt;"",'Historical Score'!$C$6&lt;&gt;""),IF(G261='Historical Score'!$C$6,1,0),0)</f>
        <v/>
      </c>
      <c r="AR261" s="3">
        <f>IF(AND(L261&lt;&gt;"",'Historical Score'!$C$5&lt;&gt;""),IF(L261='Historical Score'!$C$5,1,0),0)</f>
        <v/>
      </c>
      <c r="AS261" s="3">
        <f>IF(AND(Y261&lt;&gt;"",'Historical Score'!$C$7&lt;&gt;""),IF(Y261='Historical Score'!$C$7,1,0),0)</f>
        <v/>
      </c>
      <c r="AT261" s="3">
        <f>IF(AND(K261&lt;&gt;"",'Historical Score'!$C$8&lt;&gt;""),IF(K261='Historical Score'!$C$8,1,0),0)</f>
        <v/>
      </c>
      <c r="AU261" s="3" t="n"/>
      <c r="AV261" s="3" t="n"/>
      <c r="AW261" s="3" t="n"/>
      <c r="AX261" s="3" t="n"/>
      <c r="AY261" s="3" t="n"/>
      <c r="AZ261" s="3" t="n"/>
      <c r="BA261" s="182">
        <f>IF(AD261=1,(AR261*'Historical Score'!$K$29+1-'Historical Score'!$K$29)*(AT261*'Historical Score'!$L$29+1-'Historical Score'!$L$29)*(AS261*'Historical Score'!$M$29+1-'Historical Score'!$M$29)*(AQ261*'Historical Score'!$N$29+1-'Historical Score'!$N$29),0)</f>
        <v/>
      </c>
      <c r="BB261" s="3" t="n"/>
      <c r="BC261" s="3" t="n"/>
    </row>
    <row r="262" ht="15.75" customHeight="1" s="174">
      <c r="A262" s="3" t="inlineStr">
        <is>
          <t>5674167324</t>
        </is>
      </c>
      <c r="B262" s="3" t="inlineStr">
        <is>
          <t>Gordos tacos 9015 e via linda</t>
        </is>
      </c>
      <c r="C262" s="3" t="inlineStr">
        <is>
          <t>Twins creative Mexican food llc</t>
        </is>
      </c>
      <c r="D262" s="3" t="inlineStr">
        <is>
          <t>Closed</t>
        </is>
      </c>
      <c r="E262" s="23" t="n">
        <v>45925</v>
      </c>
      <c r="F262" s="23" t="n">
        <v>46213</v>
      </c>
      <c r="G262" s="3" t="n">
        <v>3</v>
      </c>
      <c r="H262" s="3" t="inlineStr">
        <is>
          <t>5812</t>
        </is>
      </c>
      <c r="I262" s="3" t="inlineStr">
        <is>
          <t>58</t>
        </is>
      </c>
      <c r="J262" s="3" t="inlineStr">
        <is>
          <t>AZ</t>
        </is>
      </c>
      <c r="K262" s="3" t="inlineStr">
        <is>
          <t>PMF</t>
        </is>
      </c>
      <c r="L262" s="3" t="inlineStr">
        <is>
          <t>Renewal</t>
        </is>
      </c>
      <c r="M262" s="3" t="n">
        <v>1.49</v>
      </c>
      <c r="N262" s="28" t="n">
        <v>40000</v>
      </c>
      <c r="O262" s="28" t="n">
        <v>5600</v>
      </c>
      <c r="P262" s="28" t="n">
        <v>59600</v>
      </c>
      <c r="Q262" s="28" t="n">
        <v>59600</v>
      </c>
      <c r="R262" s="28" t="n">
        <v>0</v>
      </c>
      <c r="S262" s="42" t="n">
        <v>1</v>
      </c>
      <c r="T262" s="3" t="n">
        <v>3.279</v>
      </c>
      <c r="U262" s="3" t="n">
        <v>94</v>
      </c>
      <c r="V262" s="3" t="n">
        <v>92936.78999999999</v>
      </c>
      <c r="W262" s="42" t="n">
        <v>0.1347</v>
      </c>
      <c r="X262" s="23" t="n">
        <v>44567</v>
      </c>
      <c r="Y262" s="3">
        <f>IF(I262="","No SIC",IFERROR(VLOOKUP(I262,Ref!$A$2:$B$65,2,FALSE()),"Unclassified"))</f>
        <v/>
      </c>
      <c r="Z262" s="3">
        <f>IF(T262="","",IF(T262&lt;12,"Daily","Weekly"))</f>
        <v/>
      </c>
      <c r="AA262" s="3">
        <f>IF(T262="",0,IF(T262&lt;12,T262*Controls!$B$13,T262*5))</f>
        <v/>
      </c>
      <c r="AB262" s="3">
        <f>IF(E262="",0,NETWORKDAYS(E262,Controls!$B$20,Ref!$K$2:$K$42))</f>
        <v/>
      </c>
      <c r="AC262" s="3">
        <f>IF(OR(AF262=1,AND(AA262&gt;0,AB262&gt;=Controls!$B$23*AA262)),1,0)</f>
        <v/>
      </c>
      <c r="AD262" s="3">
        <f>IF(AND(E262&lt;&gt;"",E262&gt;=Controls!$B$21,E262&lt;=Controls!$B$22),1,0)</f>
        <v/>
      </c>
      <c r="AE262" s="3">
        <f>IF(IFERROR(VLOOKUP(D262,Controls!$A$36:$E$46,2,FALSE()),"No")="Yes",1,0)</f>
        <v/>
      </c>
      <c r="AF262" s="3">
        <f>IF(IFERROR(VLOOKUP(D262,Controls!$A$36:$E$46,3,FALSE()),"No")="Yes",1,0)</f>
        <v/>
      </c>
      <c r="AG262" s="3">
        <f>IF(IFERROR(VLOOKUP(D262,Controls!$A$36:$E$46,4,FALSE()),"No")="Yes",1,0)</f>
        <v/>
      </c>
      <c r="AH262" s="3">
        <f>IF(IFERROR(VLOOKUP(D262,Controls!$A$36:$E$46,5,FALSE()),"No")="Yes",1,0)</f>
        <v/>
      </c>
      <c r="AI262" s="3">
        <f>IF(ISNUMBER(MATCH(D262,Controls!$A$36:$A$46,0)),1,0)</f>
        <v/>
      </c>
      <c r="AJ262" s="28">
        <f>Q262-N262</f>
        <v/>
      </c>
      <c r="AK262" s="3">
        <f>IF(AE262=1,MAX(0,N262-Q262),0)</f>
        <v/>
      </c>
      <c r="AL262" s="3">
        <f>IF(OR(V262="",V262=0),0,N262/V262)</f>
        <v/>
      </c>
      <c r="AM262" s="3">
        <f>IF(OR(V262="",V262=0),0,1)</f>
        <v/>
      </c>
      <c r="AN262" s="3">
        <f>IF(OR(E262="",F262=""),0,NETWORKDAYS(E262,F262,Ref!$K$2:$K$42))</f>
        <v/>
      </c>
      <c r="AO262" s="3">
        <f>IF(L262="Renewal",1,0)</f>
        <v/>
      </c>
      <c r="AP262" s="3">
        <f>AC262*AD262</f>
        <v/>
      </c>
      <c r="AQ262" s="3">
        <f>IF(AND(G262&lt;&gt;"",'Historical Score'!$C$6&lt;&gt;""),IF(G262='Historical Score'!$C$6,1,0),0)</f>
        <v/>
      </c>
      <c r="AR262" s="3">
        <f>IF(AND(L262&lt;&gt;"",'Historical Score'!$C$5&lt;&gt;""),IF(L262='Historical Score'!$C$5,1,0),0)</f>
        <v/>
      </c>
      <c r="AS262" s="3">
        <f>IF(AND(Y262&lt;&gt;"",'Historical Score'!$C$7&lt;&gt;""),IF(Y262='Historical Score'!$C$7,1,0),0)</f>
        <v/>
      </c>
      <c r="AT262" s="3">
        <f>IF(AND(K262&lt;&gt;"",'Historical Score'!$C$8&lt;&gt;""),IF(K262='Historical Score'!$C$8,1,0),0)</f>
        <v/>
      </c>
      <c r="AU262" s="3" t="n"/>
      <c r="AV262" s="3" t="n"/>
      <c r="AW262" s="3" t="n"/>
      <c r="AX262" s="3" t="n"/>
      <c r="AY262" s="3" t="n"/>
      <c r="AZ262" s="3" t="n"/>
      <c r="BA262" s="182">
        <f>IF(AD262=1,(AR262*'Historical Score'!$K$29+1-'Historical Score'!$K$29)*(AT262*'Historical Score'!$L$29+1-'Historical Score'!$L$29)*(AS262*'Historical Score'!$M$29+1-'Historical Score'!$M$29)*(AQ262*'Historical Score'!$N$29+1-'Historical Score'!$N$29),0)</f>
        <v/>
      </c>
      <c r="BB262" s="3" t="n"/>
      <c r="BC262" s="3" t="n"/>
    </row>
    <row r="263" ht="15.75" customHeight="1" s="174">
      <c r="A263" s="3" t="inlineStr">
        <is>
          <t>5674167360</t>
        </is>
      </c>
      <c r="B263" s="3" t="inlineStr">
        <is>
          <t>Precisely Pandas LLC</t>
        </is>
      </c>
      <c r="C263" s="3" t="inlineStr">
        <is>
          <t>Precisely Pandas LLC</t>
        </is>
      </c>
      <c r="D263" s="3" t="inlineStr">
        <is>
          <t>Closed</t>
        </is>
      </c>
      <c r="E263" s="23" t="n">
        <v>45926</v>
      </c>
      <c r="F263" s="23" t="n">
        <v>46014</v>
      </c>
      <c r="G263" s="3" t="n">
        <v>1</v>
      </c>
      <c r="H263" s="3" t="inlineStr">
        <is>
          <t>8351</t>
        </is>
      </c>
      <c r="I263" s="3" t="inlineStr">
        <is>
          <t>83</t>
        </is>
      </c>
      <c r="J263" s="3" t="inlineStr">
        <is>
          <t>CT</t>
        </is>
      </c>
      <c r="K263" s="3" t="inlineStr">
        <is>
          <t>National Business Capital</t>
        </is>
      </c>
      <c r="L263" s="3" t="inlineStr">
        <is>
          <t>New Deal</t>
        </is>
      </c>
      <c r="M263" s="3" t="n">
        <v>1.39</v>
      </c>
      <c r="N263" s="28" t="n">
        <v>25000</v>
      </c>
      <c r="O263" s="28" t="n">
        <v>2250</v>
      </c>
      <c r="P263" s="28" t="n">
        <v>34750</v>
      </c>
      <c r="Q263" s="28" t="n">
        <v>34750</v>
      </c>
      <c r="R263" s="28" t="n">
        <v>0</v>
      </c>
      <c r="S263" s="42" t="n">
        <v>1</v>
      </c>
      <c r="T263" s="3" t="n">
        <v>22</v>
      </c>
      <c r="U263" s="3" t="n">
        <v>0</v>
      </c>
      <c r="V263" s="3" t="n">
        <v>89837.3</v>
      </c>
      <c r="W263" s="42" t="n">
        <v>0.0703</v>
      </c>
      <c r="X263" s="23" t="n"/>
      <c r="Y263" s="3">
        <f>IF(I263="","No SIC",IFERROR(VLOOKUP(I263,Ref!$A$2:$B$65,2,FALSE()),"Unclassified"))</f>
        <v/>
      </c>
      <c r="Z263" s="3">
        <f>IF(T263="","",IF(T263&lt;12,"Daily","Weekly"))</f>
        <v/>
      </c>
      <c r="AA263" s="3">
        <f>IF(T263="",0,IF(T263&lt;12,T263*Controls!$B$13,T263*5))</f>
        <v/>
      </c>
      <c r="AB263" s="3">
        <f>IF(E263="",0,NETWORKDAYS(E263,Controls!$B$20,Ref!$K$2:$K$42))</f>
        <v/>
      </c>
      <c r="AC263" s="3">
        <f>IF(OR(AF263=1,AND(AA263&gt;0,AB263&gt;=Controls!$B$23*AA263)),1,0)</f>
        <v/>
      </c>
      <c r="AD263" s="3">
        <f>IF(AND(E263&lt;&gt;"",E263&gt;=Controls!$B$21,E263&lt;=Controls!$B$22),1,0)</f>
        <v/>
      </c>
      <c r="AE263" s="3">
        <f>IF(IFERROR(VLOOKUP(D263,Controls!$A$36:$E$46,2,FALSE()),"No")="Yes",1,0)</f>
        <v/>
      </c>
      <c r="AF263" s="3">
        <f>IF(IFERROR(VLOOKUP(D263,Controls!$A$36:$E$46,3,FALSE()),"No")="Yes",1,0)</f>
        <v/>
      </c>
      <c r="AG263" s="3">
        <f>IF(IFERROR(VLOOKUP(D263,Controls!$A$36:$E$46,4,FALSE()),"No")="Yes",1,0)</f>
        <v/>
      </c>
      <c r="AH263" s="3">
        <f>IF(IFERROR(VLOOKUP(D263,Controls!$A$36:$E$46,5,FALSE()),"No")="Yes",1,0)</f>
        <v/>
      </c>
      <c r="AI263" s="3">
        <f>IF(ISNUMBER(MATCH(D263,Controls!$A$36:$A$46,0)),1,0)</f>
        <v/>
      </c>
      <c r="AJ263" s="28">
        <f>Q263-N263</f>
        <v/>
      </c>
      <c r="AK263" s="3">
        <f>IF(AE263=1,MAX(0,N263-Q263),0)</f>
        <v/>
      </c>
      <c r="AL263" s="3">
        <f>IF(OR(V263="",V263=0),0,N263/V263)</f>
        <v/>
      </c>
      <c r="AM263" s="3">
        <f>IF(OR(V263="",V263=0),0,1)</f>
        <v/>
      </c>
      <c r="AN263" s="3">
        <f>IF(OR(E263="",F263=""),0,NETWORKDAYS(E263,F263,Ref!$K$2:$K$42))</f>
        <v/>
      </c>
      <c r="AO263" s="3">
        <f>IF(L263="Renewal",1,0)</f>
        <v/>
      </c>
      <c r="AP263" s="3">
        <f>AC263*AD263</f>
        <v/>
      </c>
      <c r="AQ263" s="3">
        <f>IF(AND(G263&lt;&gt;"",'Historical Score'!$C$6&lt;&gt;""),IF(G263='Historical Score'!$C$6,1,0),0)</f>
        <v/>
      </c>
      <c r="AR263" s="3">
        <f>IF(AND(L263&lt;&gt;"",'Historical Score'!$C$5&lt;&gt;""),IF(L263='Historical Score'!$C$5,1,0),0)</f>
        <v/>
      </c>
      <c r="AS263" s="3">
        <f>IF(AND(Y263&lt;&gt;"",'Historical Score'!$C$7&lt;&gt;""),IF(Y263='Historical Score'!$C$7,1,0),0)</f>
        <v/>
      </c>
      <c r="AT263" s="3">
        <f>IF(AND(K263&lt;&gt;"",'Historical Score'!$C$8&lt;&gt;""),IF(K263='Historical Score'!$C$8,1,0),0)</f>
        <v/>
      </c>
      <c r="AU263" s="3" t="n"/>
      <c r="AV263" s="3" t="n"/>
      <c r="AW263" s="3" t="n"/>
      <c r="AX263" s="3" t="n"/>
      <c r="AY263" s="3" t="n"/>
      <c r="AZ263" s="3" t="n"/>
      <c r="BA263" s="182">
        <f>IF(AD263=1,(AR263*'Historical Score'!$K$29+1-'Historical Score'!$K$29)*(AT263*'Historical Score'!$L$29+1-'Historical Score'!$L$29)*(AS263*'Historical Score'!$M$29+1-'Historical Score'!$M$29)*(AQ263*'Historical Score'!$N$29+1-'Historical Score'!$N$29),0)</f>
        <v/>
      </c>
      <c r="BB263" s="3" t="n"/>
      <c r="BC263" s="3" t="n"/>
    </row>
    <row r="264" ht="15.75" customHeight="1" s="174">
      <c r="A264" s="3" t="inlineStr">
        <is>
          <t>5674167409</t>
        </is>
      </c>
      <c r="B264" s="3" t="inlineStr">
        <is>
          <t>Cincinnati Home Remodelation LLC</t>
        </is>
      </c>
      <c r="C264" s="3" t="inlineStr">
        <is>
          <t>Cincinnati Home Remodelation LLC</t>
        </is>
      </c>
      <c r="D264" s="3" t="inlineStr">
        <is>
          <t>Legal</t>
        </is>
      </c>
      <c r="E264" s="23" t="n">
        <v>45926</v>
      </c>
      <c r="F264" s="23" t="n">
        <v>46006</v>
      </c>
      <c r="G264" s="3" t="n">
        <v>2</v>
      </c>
      <c r="H264" s="3" t="inlineStr">
        <is>
          <t>1521</t>
        </is>
      </c>
      <c r="I264" s="3" t="inlineStr">
        <is>
          <t>15</t>
        </is>
      </c>
      <c r="J264" s="3" t="inlineStr">
        <is>
          <t>OH</t>
        </is>
      </c>
      <c r="K264" s="3" t="inlineStr">
        <is>
          <t>United Secured Capital 8</t>
        </is>
      </c>
      <c r="L264" s="3" t="inlineStr">
        <is>
          <t>New Deal</t>
        </is>
      </c>
      <c r="M264" s="3" t="n">
        <v>1.499</v>
      </c>
      <c r="N264" s="28" t="n">
        <v>7000</v>
      </c>
      <c r="O264" s="28" t="n">
        <v>980</v>
      </c>
      <c r="P264" s="28" t="n">
        <v>10493</v>
      </c>
      <c r="Q264" s="28" t="n">
        <v>3913.5</v>
      </c>
      <c r="R264" s="28" t="n">
        <v>6579.5</v>
      </c>
      <c r="S264" s="42" t="n">
        <v>0.372962927666063</v>
      </c>
      <c r="T264" s="3" t="n">
        <v>2.623</v>
      </c>
      <c r="U264" s="3" t="n">
        <v>14</v>
      </c>
      <c r="V264" s="3" t="n">
        <v>31854.13</v>
      </c>
      <c r="W264" s="42" t="n">
        <v>0.08599999999999999</v>
      </c>
      <c r="X264" s="23" t="n">
        <v>44197</v>
      </c>
      <c r="Y264" s="3">
        <f>IF(I264="","No SIC",IFERROR(VLOOKUP(I264,Ref!$A$2:$B$65,2,FALSE()),"Unclassified"))</f>
        <v/>
      </c>
      <c r="Z264" s="3">
        <f>IF(T264="","",IF(T264&lt;12,"Daily","Weekly"))</f>
        <v/>
      </c>
      <c r="AA264" s="3">
        <f>IF(T264="",0,IF(T264&lt;12,T264*Controls!$B$13,T264*5))</f>
        <v/>
      </c>
      <c r="AB264" s="3">
        <f>IF(E264="",0,NETWORKDAYS(E264,Controls!$B$20,Ref!$K$2:$K$42))</f>
        <v/>
      </c>
      <c r="AC264" s="3">
        <f>IF(OR(AF264=1,AND(AA264&gt;0,AB264&gt;=Controls!$B$23*AA264)),1,0)</f>
        <v/>
      </c>
      <c r="AD264" s="3">
        <f>IF(AND(E264&lt;&gt;"",E264&gt;=Controls!$B$21,E264&lt;=Controls!$B$22),1,0)</f>
        <v/>
      </c>
      <c r="AE264" s="3">
        <f>IF(IFERROR(VLOOKUP(D264,Controls!$A$36:$E$46,2,FALSE()),"No")="Yes",1,0)</f>
        <v/>
      </c>
      <c r="AF264" s="3">
        <f>IF(IFERROR(VLOOKUP(D264,Controls!$A$36:$E$46,3,FALSE()),"No")="Yes",1,0)</f>
        <v/>
      </c>
      <c r="AG264" s="3">
        <f>IF(IFERROR(VLOOKUP(D264,Controls!$A$36:$E$46,4,FALSE()),"No")="Yes",1,0)</f>
        <v/>
      </c>
      <c r="AH264" s="3">
        <f>IF(IFERROR(VLOOKUP(D264,Controls!$A$36:$E$46,5,FALSE()),"No")="Yes",1,0)</f>
        <v/>
      </c>
      <c r="AI264" s="3">
        <f>IF(ISNUMBER(MATCH(D264,Controls!$A$36:$A$46,0)),1,0)</f>
        <v/>
      </c>
      <c r="AJ264" s="28">
        <f>Q264-N264</f>
        <v/>
      </c>
      <c r="AK264" s="3">
        <f>IF(AE264=1,MAX(0,N264-Q264),0)</f>
        <v/>
      </c>
      <c r="AL264" s="3">
        <f>IF(OR(V264="",V264=0),0,N264/V264)</f>
        <v/>
      </c>
      <c r="AM264" s="3">
        <f>IF(OR(V264="",V264=0),0,1)</f>
        <v/>
      </c>
      <c r="AN264" s="3">
        <f>IF(OR(E264="",F264=""),0,NETWORKDAYS(E264,F264,Ref!$K$2:$K$42))</f>
        <v/>
      </c>
      <c r="AO264" s="3">
        <f>IF(L264="Renewal",1,0)</f>
        <v/>
      </c>
      <c r="AP264" s="3">
        <f>AC264*AD264</f>
        <v/>
      </c>
      <c r="AQ264" s="3">
        <f>IF(AND(G264&lt;&gt;"",'Historical Score'!$C$6&lt;&gt;""),IF(G264='Historical Score'!$C$6,1,0),0)</f>
        <v/>
      </c>
      <c r="AR264" s="3">
        <f>IF(AND(L264&lt;&gt;"",'Historical Score'!$C$5&lt;&gt;""),IF(L264='Historical Score'!$C$5,1,0),0)</f>
        <v/>
      </c>
      <c r="AS264" s="3">
        <f>IF(AND(Y264&lt;&gt;"",'Historical Score'!$C$7&lt;&gt;""),IF(Y264='Historical Score'!$C$7,1,0),0)</f>
        <v/>
      </c>
      <c r="AT264" s="3">
        <f>IF(AND(K264&lt;&gt;"",'Historical Score'!$C$8&lt;&gt;""),IF(K264='Historical Score'!$C$8,1,0),0)</f>
        <v/>
      </c>
      <c r="AU264" s="3" t="n"/>
      <c r="AV264" s="3" t="n"/>
      <c r="AW264" s="3" t="n"/>
      <c r="AX264" s="3" t="n"/>
      <c r="AY264" s="3" t="n"/>
      <c r="AZ264" s="3" t="n"/>
      <c r="BA264" s="182">
        <f>IF(AD264=1,(AR264*'Historical Score'!$K$29+1-'Historical Score'!$K$29)*(AT264*'Historical Score'!$L$29+1-'Historical Score'!$L$29)*(AS264*'Historical Score'!$M$29+1-'Historical Score'!$M$29)*(AQ264*'Historical Score'!$N$29+1-'Historical Score'!$N$29),0)</f>
        <v/>
      </c>
      <c r="BB264" s="3" t="n"/>
      <c r="BC264" s="3" t="n"/>
    </row>
    <row r="265" ht="15.75" customHeight="1" s="174">
      <c r="A265" s="3" t="inlineStr">
        <is>
          <t>5674167410</t>
        </is>
      </c>
      <c r="B265" s="3" t="inlineStr">
        <is>
          <t>Innovate Insurance Agency, Inc.</t>
        </is>
      </c>
      <c r="C265" s="3" t="inlineStr">
        <is>
          <t>Innovate Insurance Agency, Inc.</t>
        </is>
      </c>
      <c r="D265" s="3" t="inlineStr">
        <is>
          <t>Closed</t>
        </is>
      </c>
      <c r="E265" s="23" t="n">
        <v>45926</v>
      </c>
      <c r="F265" s="23" t="n">
        <v>45987</v>
      </c>
      <c r="G265" s="3" t="n">
        <v>2</v>
      </c>
      <c r="H265" s="3" t="inlineStr">
        <is>
          <t>6411</t>
        </is>
      </c>
      <c r="I265" s="3" t="inlineStr">
        <is>
          <t>64</t>
        </is>
      </c>
      <c r="J265" s="3" t="inlineStr">
        <is>
          <t>NJ</t>
        </is>
      </c>
      <c r="K265" s="3" t="inlineStr">
        <is>
          <t>Westwood</t>
        </is>
      </c>
      <c r="L265" s="3" t="inlineStr">
        <is>
          <t>New Deal</t>
        </is>
      </c>
      <c r="M265" s="3" t="n">
        <v>1.499</v>
      </c>
      <c r="N265" s="28" t="n">
        <v>15000</v>
      </c>
      <c r="O265" s="28" t="n">
        <v>2100</v>
      </c>
      <c r="P265" s="28" t="n">
        <v>22485</v>
      </c>
      <c r="Q265" s="28" t="n">
        <v>22485</v>
      </c>
      <c r="R265" s="28" t="n">
        <v>0</v>
      </c>
      <c r="S265" s="42" t="n">
        <v>1</v>
      </c>
      <c r="T265" s="3" t="n">
        <v>2.623</v>
      </c>
      <c r="U265" s="3" t="n">
        <v>5</v>
      </c>
      <c r="V265" s="3" t="n">
        <v>47795.52</v>
      </c>
      <c r="W265" s="42" t="n">
        <v>0.1221</v>
      </c>
      <c r="X265" s="23" t="n">
        <v>43574</v>
      </c>
      <c r="Y265" s="3">
        <f>IF(I265="","No SIC",IFERROR(VLOOKUP(I265,Ref!$A$2:$B$65,2,FALSE()),"Unclassified"))</f>
        <v/>
      </c>
      <c r="Z265" s="3">
        <f>IF(T265="","",IF(T265&lt;12,"Daily","Weekly"))</f>
        <v/>
      </c>
      <c r="AA265" s="3">
        <f>IF(T265="",0,IF(T265&lt;12,T265*Controls!$B$13,T265*5))</f>
        <v/>
      </c>
      <c r="AB265" s="3">
        <f>IF(E265="",0,NETWORKDAYS(E265,Controls!$B$20,Ref!$K$2:$K$42))</f>
        <v/>
      </c>
      <c r="AC265" s="3">
        <f>IF(OR(AF265=1,AND(AA265&gt;0,AB265&gt;=Controls!$B$23*AA265)),1,0)</f>
        <v/>
      </c>
      <c r="AD265" s="3">
        <f>IF(AND(E265&lt;&gt;"",E265&gt;=Controls!$B$21,E265&lt;=Controls!$B$22),1,0)</f>
        <v/>
      </c>
      <c r="AE265" s="3">
        <f>IF(IFERROR(VLOOKUP(D265,Controls!$A$36:$E$46,2,FALSE()),"No")="Yes",1,0)</f>
        <v/>
      </c>
      <c r="AF265" s="3">
        <f>IF(IFERROR(VLOOKUP(D265,Controls!$A$36:$E$46,3,FALSE()),"No")="Yes",1,0)</f>
        <v/>
      </c>
      <c r="AG265" s="3">
        <f>IF(IFERROR(VLOOKUP(D265,Controls!$A$36:$E$46,4,FALSE()),"No")="Yes",1,0)</f>
        <v/>
      </c>
      <c r="AH265" s="3">
        <f>IF(IFERROR(VLOOKUP(D265,Controls!$A$36:$E$46,5,FALSE()),"No")="Yes",1,0)</f>
        <v/>
      </c>
      <c r="AI265" s="3">
        <f>IF(ISNUMBER(MATCH(D265,Controls!$A$36:$A$46,0)),1,0)</f>
        <v/>
      </c>
      <c r="AJ265" s="28">
        <f>Q265-N265</f>
        <v/>
      </c>
      <c r="AK265" s="3">
        <f>IF(AE265=1,MAX(0,N265-Q265),0)</f>
        <v/>
      </c>
      <c r="AL265" s="3">
        <f>IF(OR(V265="",V265=0),0,N265/V265)</f>
        <v/>
      </c>
      <c r="AM265" s="3">
        <f>IF(OR(V265="",V265=0),0,1)</f>
        <v/>
      </c>
      <c r="AN265" s="3">
        <f>IF(OR(E265="",F265=""),0,NETWORKDAYS(E265,F265,Ref!$K$2:$K$42))</f>
        <v/>
      </c>
      <c r="AO265" s="3">
        <f>IF(L265="Renewal",1,0)</f>
        <v/>
      </c>
      <c r="AP265" s="3">
        <f>AC265*AD265</f>
        <v/>
      </c>
      <c r="AQ265" s="3">
        <f>IF(AND(G265&lt;&gt;"",'Historical Score'!$C$6&lt;&gt;""),IF(G265='Historical Score'!$C$6,1,0),0)</f>
        <v/>
      </c>
      <c r="AR265" s="3">
        <f>IF(AND(L265&lt;&gt;"",'Historical Score'!$C$5&lt;&gt;""),IF(L265='Historical Score'!$C$5,1,0),0)</f>
        <v/>
      </c>
      <c r="AS265" s="3">
        <f>IF(AND(Y265&lt;&gt;"",'Historical Score'!$C$7&lt;&gt;""),IF(Y265='Historical Score'!$C$7,1,0),0)</f>
        <v/>
      </c>
      <c r="AT265" s="3">
        <f>IF(AND(K265&lt;&gt;"",'Historical Score'!$C$8&lt;&gt;""),IF(K265='Historical Score'!$C$8,1,0),0)</f>
        <v/>
      </c>
      <c r="AU265" s="3" t="n"/>
      <c r="AV265" s="3" t="n"/>
      <c r="AW265" s="3" t="n"/>
      <c r="AX265" s="3" t="n"/>
      <c r="AY265" s="3" t="n"/>
      <c r="AZ265" s="3" t="n"/>
      <c r="BA265" s="182">
        <f>IF(AD265=1,(AR265*'Historical Score'!$K$29+1-'Historical Score'!$K$29)*(AT265*'Historical Score'!$L$29+1-'Historical Score'!$L$29)*(AS265*'Historical Score'!$M$29+1-'Historical Score'!$M$29)*(AQ265*'Historical Score'!$N$29+1-'Historical Score'!$N$29),0)</f>
        <v/>
      </c>
      <c r="BB265" s="3" t="n"/>
      <c r="BC265" s="3" t="n"/>
    </row>
    <row r="266" ht="15.75" customHeight="1" s="174">
      <c r="A266" s="3" t="inlineStr">
        <is>
          <t>5674167497</t>
        </is>
      </c>
      <c r="B266" s="3" t="inlineStr">
        <is>
          <t>IPDR HAIL &amp; DENT REPAIR</t>
        </is>
      </c>
      <c r="C266" s="3" t="inlineStr">
        <is>
          <t>IPDR HAIL &amp; DENT REPAIR LLC</t>
        </is>
      </c>
      <c r="D266" s="3" t="inlineStr">
        <is>
          <t>Closed</t>
        </is>
      </c>
      <c r="E266" s="23" t="n">
        <v>45929</v>
      </c>
      <c r="F266" s="23" t="n">
        <v>46118</v>
      </c>
      <c r="G266" s="3" t="n">
        <v>4</v>
      </c>
      <c r="H266" s="3" t="inlineStr">
        <is>
          <t>1711</t>
        </is>
      </c>
      <c r="I266" s="3" t="inlineStr">
        <is>
          <t>17</t>
        </is>
      </c>
      <c r="J266" s="3" t="inlineStr">
        <is>
          <t>TX</t>
        </is>
      </c>
      <c r="K266" s="3" t="inlineStr">
        <is>
          <t>Shore Funding USA</t>
        </is>
      </c>
      <c r="L266" s="3" t="inlineStr">
        <is>
          <t>New Deal</t>
        </is>
      </c>
      <c r="M266" s="3" t="n">
        <v>1.49</v>
      </c>
      <c r="N266" s="28" t="n">
        <v>15000</v>
      </c>
      <c r="O266" s="28" t="n">
        <v>2100</v>
      </c>
      <c r="P266" s="28" t="n">
        <v>22350</v>
      </c>
      <c r="Q266" s="28" t="n">
        <v>22350</v>
      </c>
      <c r="R266" s="28" t="n">
        <v>0</v>
      </c>
      <c r="S266" s="42" t="n">
        <v>1</v>
      </c>
      <c r="T266" s="3" t="n">
        <v>3.934</v>
      </c>
      <c r="U266" s="3" t="n">
        <v>10</v>
      </c>
      <c r="V266" s="3" t="n">
        <v>72200.84</v>
      </c>
      <c r="W266" s="42" t="n">
        <v>0.0542</v>
      </c>
      <c r="X266" s="23" t="n">
        <v>44562</v>
      </c>
      <c r="Y266" s="3">
        <f>IF(I266="","No SIC",IFERROR(VLOOKUP(I266,Ref!$A$2:$B$65,2,FALSE()),"Unclassified"))</f>
        <v/>
      </c>
      <c r="Z266" s="3">
        <f>IF(T266="","",IF(T266&lt;12,"Daily","Weekly"))</f>
        <v/>
      </c>
      <c r="AA266" s="3">
        <f>IF(T266="",0,IF(T266&lt;12,T266*Controls!$B$13,T266*5))</f>
        <v/>
      </c>
      <c r="AB266" s="3">
        <f>IF(E266="",0,NETWORKDAYS(E266,Controls!$B$20,Ref!$K$2:$K$42))</f>
        <v/>
      </c>
      <c r="AC266" s="3">
        <f>IF(OR(AF266=1,AND(AA266&gt;0,AB266&gt;=Controls!$B$23*AA266)),1,0)</f>
        <v/>
      </c>
      <c r="AD266" s="3">
        <f>IF(AND(E266&lt;&gt;"",E266&gt;=Controls!$B$21,E266&lt;=Controls!$B$22),1,0)</f>
        <v/>
      </c>
      <c r="AE266" s="3">
        <f>IF(IFERROR(VLOOKUP(D266,Controls!$A$36:$E$46,2,FALSE()),"No")="Yes",1,0)</f>
        <v/>
      </c>
      <c r="AF266" s="3">
        <f>IF(IFERROR(VLOOKUP(D266,Controls!$A$36:$E$46,3,FALSE()),"No")="Yes",1,0)</f>
        <v/>
      </c>
      <c r="AG266" s="3">
        <f>IF(IFERROR(VLOOKUP(D266,Controls!$A$36:$E$46,4,FALSE()),"No")="Yes",1,0)</f>
        <v/>
      </c>
      <c r="AH266" s="3">
        <f>IF(IFERROR(VLOOKUP(D266,Controls!$A$36:$E$46,5,FALSE()),"No")="Yes",1,0)</f>
        <v/>
      </c>
      <c r="AI266" s="3">
        <f>IF(ISNUMBER(MATCH(D266,Controls!$A$36:$A$46,0)),1,0)</f>
        <v/>
      </c>
      <c r="AJ266" s="28">
        <f>Q266-N266</f>
        <v/>
      </c>
      <c r="AK266" s="3">
        <f>IF(AE266=1,MAX(0,N266-Q266),0)</f>
        <v/>
      </c>
      <c r="AL266" s="3">
        <f>IF(OR(V266="",V266=0),0,N266/V266)</f>
        <v/>
      </c>
      <c r="AM266" s="3">
        <f>IF(OR(V266="",V266=0),0,1)</f>
        <v/>
      </c>
      <c r="AN266" s="3">
        <f>IF(OR(E266="",F266=""),0,NETWORKDAYS(E266,F266,Ref!$K$2:$K$42))</f>
        <v/>
      </c>
      <c r="AO266" s="3">
        <f>IF(L266="Renewal",1,0)</f>
        <v/>
      </c>
      <c r="AP266" s="3">
        <f>AC266*AD266</f>
        <v/>
      </c>
      <c r="AQ266" s="3">
        <f>IF(AND(G266&lt;&gt;"",'Historical Score'!$C$6&lt;&gt;""),IF(G266='Historical Score'!$C$6,1,0),0)</f>
        <v/>
      </c>
      <c r="AR266" s="3">
        <f>IF(AND(L266&lt;&gt;"",'Historical Score'!$C$5&lt;&gt;""),IF(L266='Historical Score'!$C$5,1,0),0)</f>
        <v/>
      </c>
      <c r="AS266" s="3">
        <f>IF(AND(Y266&lt;&gt;"",'Historical Score'!$C$7&lt;&gt;""),IF(Y266='Historical Score'!$C$7,1,0),0)</f>
        <v/>
      </c>
      <c r="AT266" s="3">
        <f>IF(AND(K266&lt;&gt;"",'Historical Score'!$C$8&lt;&gt;""),IF(K266='Historical Score'!$C$8,1,0),0)</f>
        <v/>
      </c>
      <c r="AU266" s="3" t="n"/>
      <c r="AV266" s="3" t="n"/>
      <c r="AW266" s="3" t="n"/>
      <c r="AX266" s="3" t="n"/>
      <c r="AY266" s="3" t="n"/>
      <c r="AZ266" s="3" t="n"/>
      <c r="BA266" s="182">
        <f>IF(AD266=1,(AR266*'Historical Score'!$K$29+1-'Historical Score'!$K$29)*(AT266*'Historical Score'!$L$29+1-'Historical Score'!$L$29)*(AS266*'Historical Score'!$M$29+1-'Historical Score'!$M$29)*(AQ266*'Historical Score'!$N$29+1-'Historical Score'!$N$29),0)</f>
        <v/>
      </c>
      <c r="BB266" s="3" t="n"/>
      <c r="BC266" s="3" t="n"/>
    </row>
    <row r="267" ht="15.75" customHeight="1" s="174">
      <c r="A267" s="3" t="inlineStr">
        <is>
          <t>5674167502</t>
        </is>
      </c>
      <c r="B267" s="3" t="inlineStr">
        <is>
          <t>Southern Panc Eat Good LLC DBA Southern Pancake House</t>
        </is>
      </c>
      <c r="C267" s="3" t="inlineStr">
        <is>
          <t>Let'em Eat Good LLC</t>
        </is>
      </c>
      <c r="D267" s="3" t="inlineStr">
        <is>
          <t>Closed</t>
        </is>
      </c>
      <c r="E267" s="23" t="n">
        <v>45929</v>
      </c>
      <c r="F267" s="23" t="n">
        <v>46036</v>
      </c>
      <c r="G267" s="3" t="n">
        <v>1</v>
      </c>
      <c r="H267" s="3" t="inlineStr">
        <is>
          <t>5812</t>
        </is>
      </c>
      <c r="I267" s="3" t="inlineStr">
        <is>
          <t>58</t>
        </is>
      </c>
      <c r="J267" s="3" t="inlineStr">
        <is>
          <t>VA</t>
        </is>
      </c>
      <c r="K267" s="3" t="inlineStr">
        <is>
          <t>Premium Capital (AMRK)</t>
        </is>
      </c>
      <c r="L267" s="3" t="inlineStr">
        <is>
          <t>Renewal</t>
        </is>
      </c>
      <c r="M267" s="3" t="n">
        <v>1.49</v>
      </c>
      <c r="N267" s="28" t="n">
        <v>40000</v>
      </c>
      <c r="O267" s="28" t="n">
        <v>5600</v>
      </c>
      <c r="P267" s="28" t="n">
        <v>59600</v>
      </c>
      <c r="Q267" s="28" t="n">
        <v>59600</v>
      </c>
      <c r="R267" s="28" t="n">
        <v>0</v>
      </c>
      <c r="S267" s="42" t="n">
        <v>1</v>
      </c>
      <c r="T267" s="3" t="n">
        <v>4.59</v>
      </c>
      <c r="U267" s="3" t="n">
        <v>2</v>
      </c>
      <c r="V267" s="3" t="n">
        <v>73218.44</v>
      </c>
      <c r="W267" s="42" t="n">
        <v>0.1221</v>
      </c>
      <c r="X267" s="23" t="n"/>
      <c r="Y267" s="3">
        <f>IF(I267="","No SIC",IFERROR(VLOOKUP(I267,Ref!$A$2:$B$65,2,FALSE()),"Unclassified"))</f>
        <v/>
      </c>
      <c r="Z267" s="3">
        <f>IF(T267="","",IF(T267&lt;12,"Daily","Weekly"))</f>
        <v/>
      </c>
      <c r="AA267" s="3">
        <f>IF(T267="",0,IF(T267&lt;12,T267*Controls!$B$13,T267*5))</f>
        <v/>
      </c>
      <c r="AB267" s="3">
        <f>IF(E267="",0,NETWORKDAYS(E267,Controls!$B$20,Ref!$K$2:$K$42))</f>
        <v/>
      </c>
      <c r="AC267" s="3">
        <f>IF(OR(AF267=1,AND(AA267&gt;0,AB267&gt;=Controls!$B$23*AA267)),1,0)</f>
        <v/>
      </c>
      <c r="AD267" s="3">
        <f>IF(AND(E267&lt;&gt;"",E267&gt;=Controls!$B$21,E267&lt;=Controls!$B$22),1,0)</f>
        <v/>
      </c>
      <c r="AE267" s="3">
        <f>IF(IFERROR(VLOOKUP(D267,Controls!$A$36:$E$46,2,FALSE()),"No")="Yes",1,0)</f>
        <v/>
      </c>
      <c r="AF267" s="3">
        <f>IF(IFERROR(VLOOKUP(D267,Controls!$A$36:$E$46,3,FALSE()),"No")="Yes",1,0)</f>
        <v/>
      </c>
      <c r="AG267" s="3">
        <f>IF(IFERROR(VLOOKUP(D267,Controls!$A$36:$E$46,4,FALSE()),"No")="Yes",1,0)</f>
        <v/>
      </c>
      <c r="AH267" s="3">
        <f>IF(IFERROR(VLOOKUP(D267,Controls!$A$36:$E$46,5,FALSE()),"No")="Yes",1,0)</f>
        <v/>
      </c>
      <c r="AI267" s="3">
        <f>IF(ISNUMBER(MATCH(D267,Controls!$A$36:$A$46,0)),1,0)</f>
        <v/>
      </c>
      <c r="AJ267" s="28">
        <f>Q267-N267</f>
        <v/>
      </c>
      <c r="AK267" s="3">
        <f>IF(AE267=1,MAX(0,N267-Q267),0)</f>
        <v/>
      </c>
      <c r="AL267" s="3">
        <f>IF(OR(V267="",V267=0),0,N267/V267)</f>
        <v/>
      </c>
      <c r="AM267" s="3">
        <f>IF(OR(V267="",V267=0),0,1)</f>
        <v/>
      </c>
      <c r="AN267" s="3">
        <f>IF(OR(E267="",F267=""),0,NETWORKDAYS(E267,F267,Ref!$K$2:$K$42))</f>
        <v/>
      </c>
      <c r="AO267" s="3">
        <f>IF(L267="Renewal",1,0)</f>
        <v/>
      </c>
      <c r="AP267" s="3">
        <f>AC267*AD267</f>
        <v/>
      </c>
      <c r="AQ267" s="3">
        <f>IF(AND(G267&lt;&gt;"",'Historical Score'!$C$6&lt;&gt;""),IF(G267='Historical Score'!$C$6,1,0),0)</f>
        <v/>
      </c>
      <c r="AR267" s="3">
        <f>IF(AND(L267&lt;&gt;"",'Historical Score'!$C$5&lt;&gt;""),IF(L267='Historical Score'!$C$5,1,0),0)</f>
        <v/>
      </c>
      <c r="AS267" s="3">
        <f>IF(AND(Y267&lt;&gt;"",'Historical Score'!$C$7&lt;&gt;""),IF(Y267='Historical Score'!$C$7,1,0),0)</f>
        <v/>
      </c>
      <c r="AT267" s="3">
        <f>IF(AND(K267&lt;&gt;"",'Historical Score'!$C$8&lt;&gt;""),IF(K267='Historical Score'!$C$8,1,0),0)</f>
        <v/>
      </c>
      <c r="AU267" s="3" t="n"/>
      <c r="AV267" s="3" t="n"/>
      <c r="AW267" s="3" t="n"/>
      <c r="AX267" s="3" t="n"/>
      <c r="AY267" s="3" t="n"/>
      <c r="AZ267" s="3" t="n"/>
      <c r="BA267" s="182">
        <f>IF(AD267=1,(AR267*'Historical Score'!$K$29+1-'Historical Score'!$K$29)*(AT267*'Historical Score'!$L$29+1-'Historical Score'!$L$29)*(AS267*'Historical Score'!$M$29+1-'Historical Score'!$M$29)*(AQ267*'Historical Score'!$N$29+1-'Historical Score'!$N$29),0)</f>
        <v/>
      </c>
      <c r="BB267" s="3" t="n"/>
      <c r="BC267" s="3" t="n"/>
    </row>
    <row r="268" ht="15.75" customHeight="1" s="174">
      <c r="A268" s="3" t="inlineStr">
        <is>
          <t>5674167574</t>
        </is>
      </c>
      <c r="B268" s="3" t="inlineStr">
        <is>
          <t>Rg cabinets</t>
        </is>
      </c>
      <c r="C268" s="3" t="inlineStr">
        <is>
          <t>RG Cabinets</t>
        </is>
      </c>
      <c r="D268" s="3" t="inlineStr">
        <is>
          <t>Closed</t>
        </is>
      </c>
      <c r="E268" s="23" t="n">
        <v>45930</v>
      </c>
      <c r="F268" s="23" t="n">
        <v>46143</v>
      </c>
      <c r="G268" s="3" t="n">
        <v>1</v>
      </c>
      <c r="H268" s="3" t="inlineStr">
        <is>
          <t>2434</t>
        </is>
      </c>
      <c r="I268" s="3" t="inlineStr">
        <is>
          <t>24</t>
        </is>
      </c>
      <c r="J268" s="3" t="inlineStr">
        <is>
          <t>PA</t>
        </is>
      </c>
      <c r="K268" s="3" t="inlineStr">
        <is>
          <t>Fundwell</t>
        </is>
      </c>
      <c r="L268" s="3" t="inlineStr">
        <is>
          <t>New Deal</t>
        </is>
      </c>
      <c r="M268" s="3" t="n">
        <v>1.38</v>
      </c>
      <c r="N268" s="28" t="n">
        <v>20000</v>
      </c>
      <c r="O268" s="28" t="n">
        <v>2400</v>
      </c>
      <c r="P268" s="28" t="n">
        <v>27600</v>
      </c>
      <c r="Q268" s="28" t="n">
        <v>27600</v>
      </c>
      <c r="R268" s="28" t="n">
        <v>-3.63797880709171e-12</v>
      </c>
      <c r="S268" s="42" t="n">
        <v>1</v>
      </c>
      <c r="T268" s="3" t="n">
        <v>28</v>
      </c>
      <c r="U268" s="3" t="n">
        <v>2</v>
      </c>
      <c r="V268" s="3" t="n">
        <v>115953.51</v>
      </c>
      <c r="W268" s="42" t="n">
        <v>0.034</v>
      </c>
      <c r="X268" s="23" t="n">
        <v>45713</v>
      </c>
      <c r="Y268" s="3">
        <f>IF(I268="","No SIC",IFERROR(VLOOKUP(I268,Ref!$A$2:$B$65,2,FALSE()),"Unclassified"))</f>
        <v/>
      </c>
      <c r="Z268" s="3">
        <f>IF(T268="","",IF(T268&lt;12,"Daily","Weekly"))</f>
        <v/>
      </c>
      <c r="AA268" s="3">
        <f>IF(T268="",0,IF(T268&lt;12,T268*Controls!$B$13,T268*5))</f>
        <v/>
      </c>
      <c r="AB268" s="3">
        <f>IF(E268="",0,NETWORKDAYS(E268,Controls!$B$20,Ref!$K$2:$K$42))</f>
        <v/>
      </c>
      <c r="AC268" s="3">
        <f>IF(OR(AF268=1,AND(AA268&gt;0,AB268&gt;=Controls!$B$23*AA268)),1,0)</f>
        <v/>
      </c>
      <c r="AD268" s="3">
        <f>IF(AND(E268&lt;&gt;"",E268&gt;=Controls!$B$21,E268&lt;=Controls!$B$22),1,0)</f>
        <v/>
      </c>
      <c r="AE268" s="3">
        <f>IF(IFERROR(VLOOKUP(D268,Controls!$A$36:$E$46,2,FALSE()),"No")="Yes",1,0)</f>
        <v/>
      </c>
      <c r="AF268" s="3">
        <f>IF(IFERROR(VLOOKUP(D268,Controls!$A$36:$E$46,3,FALSE()),"No")="Yes",1,0)</f>
        <v/>
      </c>
      <c r="AG268" s="3">
        <f>IF(IFERROR(VLOOKUP(D268,Controls!$A$36:$E$46,4,FALSE()),"No")="Yes",1,0)</f>
        <v/>
      </c>
      <c r="AH268" s="3">
        <f>IF(IFERROR(VLOOKUP(D268,Controls!$A$36:$E$46,5,FALSE()),"No")="Yes",1,0)</f>
        <v/>
      </c>
      <c r="AI268" s="3">
        <f>IF(ISNUMBER(MATCH(D268,Controls!$A$36:$A$46,0)),1,0)</f>
        <v/>
      </c>
      <c r="AJ268" s="28">
        <f>Q268-N268</f>
        <v/>
      </c>
      <c r="AK268" s="3">
        <f>IF(AE268=1,MAX(0,N268-Q268),0)</f>
        <v/>
      </c>
      <c r="AL268" s="3">
        <f>IF(OR(V268="",V268=0),0,N268/V268)</f>
        <v/>
      </c>
      <c r="AM268" s="3">
        <f>IF(OR(V268="",V268=0),0,1)</f>
        <v/>
      </c>
      <c r="AN268" s="3">
        <f>IF(OR(E268="",F268=""),0,NETWORKDAYS(E268,F268,Ref!$K$2:$K$42))</f>
        <v/>
      </c>
      <c r="AO268" s="3">
        <f>IF(L268="Renewal",1,0)</f>
        <v/>
      </c>
      <c r="AP268" s="3">
        <f>AC268*AD268</f>
        <v/>
      </c>
      <c r="AQ268" s="3">
        <f>IF(AND(G268&lt;&gt;"",'Historical Score'!$C$6&lt;&gt;""),IF(G268='Historical Score'!$C$6,1,0),0)</f>
        <v/>
      </c>
      <c r="AR268" s="3">
        <f>IF(AND(L268&lt;&gt;"",'Historical Score'!$C$5&lt;&gt;""),IF(L268='Historical Score'!$C$5,1,0),0)</f>
        <v/>
      </c>
      <c r="AS268" s="3">
        <f>IF(AND(Y268&lt;&gt;"",'Historical Score'!$C$7&lt;&gt;""),IF(Y268='Historical Score'!$C$7,1,0),0)</f>
        <v/>
      </c>
      <c r="AT268" s="3">
        <f>IF(AND(K268&lt;&gt;"",'Historical Score'!$C$8&lt;&gt;""),IF(K268='Historical Score'!$C$8,1,0),0)</f>
        <v/>
      </c>
      <c r="AU268" s="3" t="n"/>
      <c r="AV268" s="3" t="n"/>
      <c r="AW268" s="3" t="n"/>
      <c r="AX268" s="3" t="n"/>
      <c r="AY268" s="3" t="n"/>
      <c r="AZ268" s="3" t="n"/>
      <c r="BA268" s="182">
        <f>IF(AD268=1,(AR268*'Historical Score'!$K$29+1-'Historical Score'!$K$29)*(AT268*'Historical Score'!$L$29+1-'Historical Score'!$L$29)*(AS268*'Historical Score'!$M$29+1-'Historical Score'!$M$29)*(AQ268*'Historical Score'!$N$29+1-'Historical Score'!$N$29),0)</f>
        <v/>
      </c>
      <c r="BB268" s="3" t="n"/>
      <c r="BC268" s="3" t="n"/>
    </row>
    <row r="269" ht="15.75" customHeight="1" s="174">
      <c r="A269" s="3" t="inlineStr">
        <is>
          <t>5674167595</t>
        </is>
      </c>
      <c r="B269" s="3" t="inlineStr">
        <is>
          <t>JTD PICASSO</t>
        </is>
      </c>
      <c r="C269" s="3" t="inlineStr">
        <is>
          <t>Jtd Picasso llc</t>
        </is>
      </c>
      <c r="D269" s="3" t="inlineStr">
        <is>
          <t>Legal</t>
        </is>
      </c>
      <c r="E269" s="23" t="n">
        <v>45930</v>
      </c>
      <c r="F269" s="23" t="n">
        <v>46157</v>
      </c>
      <c r="G269" s="3" t="n">
        <v>3</v>
      </c>
      <c r="H269" s="3" t="inlineStr">
        <is>
          <t>5812</t>
        </is>
      </c>
      <c r="I269" s="3" t="inlineStr">
        <is>
          <t>58</t>
        </is>
      </c>
      <c r="J269" s="3" t="inlineStr">
        <is>
          <t>PA</t>
        </is>
      </c>
      <c r="K269" s="3" t="inlineStr">
        <is>
          <t>National Business Capital</t>
        </is>
      </c>
      <c r="L269" s="3" t="inlineStr">
        <is>
          <t>New Deal</t>
        </is>
      </c>
      <c r="M269" s="3" t="n">
        <v>1.499</v>
      </c>
      <c r="N269" s="28" t="n">
        <v>12500</v>
      </c>
      <c r="O269" s="28" t="n">
        <v>1750</v>
      </c>
      <c r="P269" s="28" t="n">
        <v>18737.5</v>
      </c>
      <c r="Q269" s="28" t="n">
        <v>2638.91</v>
      </c>
      <c r="R269" s="28" t="n">
        <v>16098.59</v>
      </c>
      <c r="S269" s="42" t="n">
        <v>0.140835757171448</v>
      </c>
      <c r="T269" s="3" t="n">
        <v>3.934</v>
      </c>
      <c r="U269" s="3" t="n">
        <v>20</v>
      </c>
      <c r="V269" s="3" t="n">
        <v>65723.95</v>
      </c>
      <c r="W269" s="42" t="n">
        <v>0.0496</v>
      </c>
      <c r="X269" s="23" t="n"/>
      <c r="Y269" s="3">
        <f>IF(I269="","No SIC",IFERROR(VLOOKUP(I269,Ref!$A$2:$B$65,2,FALSE()),"Unclassified"))</f>
        <v/>
      </c>
      <c r="Z269" s="3">
        <f>IF(T269="","",IF(T269&lt;12,"Daily","Weekly"))</f>
        <v/>
      </c>
      <c r="AA269" s="3">
        <f>IF(T269="",0,IF(T269&lt;12,T269*Controls!$B$13,T269*5))</f>
        <v/>
      </c>
      <c r="AB269" s="3">
        <f>IF(E269="",0,NETWORKDAYS(E269,Controls!$B$20,Ref!$K$2:$K$42))</f>
        <v/>
      </c>
      <c r="AC269" s="3">
        <f>IF(OR(AF269=1,AND(AA269&gt;0,AB269&gt;=Controls!$B$23*AA269)),1,0)</f>
        <v/>
      </c>
      <c r="AD269" s="3">
        <f>IF(AND(E269&lt;&gt;"",E269&gt;=Controls!$B$21,E269&lt;=Controls!$B$22),1,0)</f>
        <v/>
      </c>
      <c r="AE269" s="3">
        <f>IF(IFERROR(VLOOKUP(D269,Controls!$A$36:$E$46,2,FALSE()),"No")="Yes",1,0)</f>
        <v/>
      </c>
      <c r="AF269" s="3">
        <f>IF(IFERROR(VLOOKUP(D269,Controls!$A$36:$E$46,3,FALSE()),"No")="Yes",1,0)</f>
        <v/>
      </c>
      <c r="AG269" s="3">
        <f>IF(IFERROR(VLOOKUP(D269,Controls!$A$36:$E$46,4,FALSE()),"No")="Yes",1,0)</f>
        <v/>
      </c>
      <c r="AH269" s="3">
        <f>IF(IFERROR(VLOOKUP(D269,Controls!$A$36:$E$46,5,FALSE()),"No")="Yes",1,0)</f>
        <v/>
      </c>
      <c r="AI269" s="3">
        <f>IF(ISNUMBER(MATCH(D269,Controls!$A$36:$A$46,0)),1,0)</f>
        <v/>
      </c>
      <c r="AJ269" s="28">
        <f>Q269-N269</f>
        <v/>
      </c>
      <c r="AK269" s="3">
        <f>IF(AE269=1,MAX(0,N269-Q269),0)</f>
        <v/>
      </c>
      <c r="AL269" s="3">
        <f>IF(OR(V269="",V269=0),0,N269/V269)</f>
        <v/>
      </c>
      <c r="AM269" s="3">
        <f>IF(OR(V269="",V269=0),0,1)</f>
        <v/>
      </c>
      <c r="AN269" s="3">
        <f>IF(OR(E269="",F269=""),0,NETWORKDAYS(E269,F269,Ref!$K$2:$K$42))</f>
        <v/>
      </c>
      <c r="AO269" s="3">
        <f>IF(L269="Renewal",1,0)</f>
        <v/>
      </c>
      <c r="AP269" s="3">
        <f>AC269*AD269</f>
        <v/>
      </c>
      <c r="AQ269" s="3">
        <f>IF(AND(G269&lt;&gt;"",'Historical Score'!$C$6&lt;&gt;""),IF(G269='Historical Score'!$C$6,1,0),0)</f>
        <v/>
      </c>
      <c r="AR269" s="3">
        <f>IF(AND(L269&lt;&gt;"",'Historical Score'!$C$5&lt;&gt;""),IF(L269='Historical Score'!$C$5,1,0),0)</f>
        <v/>
      </c>
      <c r="AS269" s="3">
        <f>IF(AND(Y269&lt;&gt;"",'Historical Score'!$C$7&lt;&gt;""),IF(Y269='Historical Score'!$C$7,1,0),0)</f>
        <v/>
      </c>
      <c r="AT269" s="3">
        <f>IF(AND(K269&lt;&gt;"",'Historical Score'!$C$8&lt;&gt;""),IF(K269='Historical Score'!$C$8,1,0),0)</f>
        <v/>
      </c>
      <c r="AU269" s="3" t="n"/>
      <c r="AV269" s="3" t="n"/>
      <c r="AW269" s="3" t="n"/>
      <c r="AX269" s="3" t="n"/>
      <c r="AY269" s="3" t="n"/>
      <c r="AZ269" s="3" t="n"/>
      <c r="BA269" s="182">
        <f>IF(AD269=1,(AR269*'Historical Score'!$K$29+1-'Historical Score'!$K$29)*(AT269*'Historical Score'!$L$29+1-'Historical Score'!$L$29)*(AS269*'Historical Score'!$M$29+1-'Historical Score'!$M$29)*(AQ269*'Historical Score'!$N$29+1-'Historical Score'!$N$29),0)</f>
        <v/>
      </c>
      <c r="BB269" s="3" t="n"/>
      <c r="BC269" s="3" t="n"/>
    </row>
    <row r="270" ht="15.75" customHeight="1" s="174">
      <c r="A270" s="3" t="inlineStr">
        <is>
          <t>5674167660</t>
        </is>
      </c>
      <c r="B270" s="3" t="inlineStr">
        <is>
          <t>The Brass Tap</t>
        </is>
      </c>
      <c r="C270" s="3" t="inlineStr">
        <is>
          <t>Tall Boy LLC</t>
        </is>
      </c>
      <c r="D270" s="3" t="inlineStr">
        <is>
          <t>Legal</t>
        </is>
      </c>
      <c r="E270" s="23" t="n">
        <v>45930</v>
      </c>
      <c r="F270" s="23" t="n">
        <v>46133</v>
      </c>
      <c r="G270" s="3" t="n">
        <v>1</v>
      </c>
      <c r="H270" s="3" t="inlineStr">
        <is>
          <t>5812</t>
        </is>
      </c>
      <c r="I270" s="3" t="inlineStr">
        <is>
          <t>58</t>
        </is>
      </c>
      <c r="J270" s="3" t="inlineStr">
        <is>
          <t>TX</t>
        </is>
      </c>
      <c r="K270" s="3" t="inlineStr">
        <is>
          <t>Fundwell</t>
        </is>
      </c>
      <c r="L270" s="3" t="inlineStr">
        <is>
          <t>New Deal</t>
        </is>
      </c>
      <c r="M270" s="3" t="n">
        <v>1.35</v>
      </c>
      <c r="N270" s="28" t="n">
        <v>25000</v>
      </c>
      <c r="O270" s="28" t="n">
        <v>1750</v>
      </c>
      <c r="P270" s="28" t="n">
        <v>33750</v>
      </c>
      <c r="Q270" s="28" t="n">
        <v>20232.72</v>
      </c>
      <c r="R270" s="28" t="n">
        <v>13517.28</v>
      </c>
      <c r="S270" s="42" t="n">
        <v>0.599488</v>
      </c>
      <c r="T270" s="3" t="n">
        <v>5.902</v>
      </c>
      <c r="U270" s="3" t="n">
        <v>28</v>
      </c>
      <c r="V270" s="3" t="n">
        <v>108675.02</v>
      </c>
      <c r="W270" s="42" t="n">
        <v>0.0362</v>
      </c>
      <c r="X270" s="23" t="n">
        <v>45474</v>
      </c>
      <c r="Y270" s="3">
        <f>IF(I270="","No SIC",IFERROR(VLOOKUP(I270,Ref!$A$2:$B$65,2,FALSE()),"Unclassified"))</f>
        <v/>
      </c>
      <c r="Z270" s="3">
        <f>IF(T270="","",IF(T270&lt;12,"Daily","Weekly"))</f>
        <v/>
      </c>
      <c r="AA270" s="3">
        <f>IF(T270="",0,IF(T270&lt;12,T270*Controls!$B$13,T270*5))</f>
        <v/>
      </c>
      <c r="AB270" s="3">
        <f>IF(E270="",0,NETWORKDAYS(E270,Controls!$B$20,Ref!$K$2:$K$42))</f>
        <v/>
      </c>
      <c r="AC270" s="3">
        <f>IF(OR(AF270=1,AND(AA270&gt;0,AB270&gt;=Controls!$B$23*AA270)),1,0)</f>
        <v/>
      </c>
      <c r="AD270" s="3">
        <f>IF(AND(E270&lt;&gt;"",E270&gt;=Controls!$B$21,E270&lt;=Controls!$B$22),1,0)</f>
        <v/>
      </c>
      <c r="AE270" s="3">
        <f>IF(IFERROR(VLOOKUP(D270,Controls!$A$36:$E$46,2,FALSE()),"No")="Yes",1,0)</f>
        <v/>
      </c>
      <c r="AF270" s="3">
        <f>IF(IFERROR(VLOOKUP(D270,Controls!$A$36:$E$46,3,FALSE()),"No")="Yes",1,0)</f>
        <v/>
      </c>
      <c r="AG270" s="3">
        <f>IF(IFERROR(VLOOKUP(D270,Controls!$A$36:$E$46,4,FALSE()),"No")="Yes",1,0)</f>
        <v/>
      </c>
      <c r="AH270" s="3">
        <f>IF(IFERROR(VLOOKUP(D270,Controls!$A$36:$E$46,5,FALSE()),"No")="Yes",1,0)</f>
        <v/>
      </c>
      <c r="AI270" s="3">
        <f>IF(ISNUMBER(MATCH(D270,Controls!$A$36:$A$46,0)),1,0)</f>
        <v/>
      </c>
      <c r="AJ270" s="28">
        <f>Q270-N270</f>
        <v/>
      </c>
      <c r="AK270" s="3">
        <f>IF(AE270=1,MAX(0,N270-Q270),0)</f>
        <v/>
      </c>
      <c r="AL270" s="3">
        <f>IF(OR(V270="",V270=0),0,N270/V270)</f>
        <v/>
      </c>
      <c r="AM270" s="3">
        <f>IF(OR(V270="",V270=0),0,1)</f>
        <v/>
      </c>
      <c r="AN270" s="3">
        <f>IF(OR(E270="",F270=""),0,NETWORKDAYS(E270,F270,Ref!$K$2:$K$42))</f>
        <v/>
      </c>
      <c r="AO270" s="3">
        <f>IF(L270="Renewal",1,0)</f>
        <v/>
      </c>
      <c r="AP270" s="3">
        <f>AC270*AD270</f>
        <v/>
      </c>
      <c r="AQ270" s="3">
        <f>IF(AND(G270&lt;&gt;"",'Historical Score'!$C$6&lt;&gt;""),IF(G270='Historical Score'!$C$6,1,0),0)</f>
        <v/>
      </c>
      <c r="AR270" s="3">
        <f>IF(AND(L270&lt;&gt;"",'Historical Score'!$C$5&lt;&gt;""),IF(L270='Historical Score'!$C$5,1,0),0)</f>
        <v/>
      </c>
      <c r="AS270" s="3">
        <f>IF(AND(Y270&lt;&gt;"",'Historical Score'!$C$7&lt;&gt;""),IF(Y270='Historical Score'!$C$7,1,0),0)</f>
        <v/>
      </c>
      <c r="AT270" s="3">
        <f>IF(AND(K270&lt;&gt;"",'Historical Score'!$C$8&lt;&gt;""),IF(K270='Historical Score'!$C$8,1,0),0)</f>
        <v/>
      </c>
      <c r="AU270" s="3" t="n"/>
      <c r="AV270" s="3" t="n"/>
      <c r="AW270" s="3" t="n"/>
      <c r="AX270" s="3" t="n"/>
      <c r="AY270" s="3" t="n"/>
      <c r="AZ270" s="3" t="n"/>
      <c r="BA270" s="182">
        <f>IF(AD270=1,(AR270*'Historical Score'!$K$29+1-'Historical Score'!$K$29)*(AT270*'Historical Score'!$L$29+1-'Historical Score'!$L$29)*(AS270*'Historical Score'!$M$29+1-'Historical Score'!$M$29)*(AQ270*'Historical Score'!$N$29+1-'Historical Score'!$N$29),0)</f>
        <v/>
      </c>
      <c r="BB270" s="3" t="n"/>
      <c r="BC270" s="3" t="n"/>
    </row>
    <row r="271" ht="15.75" customHeight="1" s="174">
      <c r="A271" s="3" t="inlineStr">
        <is>
          <t>5674167684</t>
        </is>
      </c>
      <c r="B271" s="3" t="inlineStr">
        <is>
          <t>Chasing More Vacations</t>
        </is>
      </c>
      <c r="C271" s="3" t="inlineStr">
        <is>
          <t>LORETTA DARNELL</t>
        </is>
      </c>
      <c r="D271" s="3" t="inlineStr">
        <is>
          <t>Closed</t>
        </is>
      </c>
      <c r="E271" s="23" t="n">
        <v>45931</v>
      </c>
      <c r="F271" s="23" t="n">
        <v>46022</v>
      </c>
      <c r="G271" s="3" t="n">
        <v>3</v>
      </c>
      <c r="H271" s="3" t="inlineStr">
        <is>
          <t>4724</t>
        </is>
      </c>
      <c r="I271" s="3" t="inlineStr">
        <is>
          <t>47</t>
        </is>
      </c>
      <c r="J271" s="3" t="inlineStr">
        <is>
          <t>TX</t>
        </is>
      </c>
      <c r="K271" s="3" t="inlineStr">
        <is>
          <t>Fundwell</t>
        </is>
      </c>
      <c r="L271" s="3" t="inlineStr">
        <is>
          <t>Renewal</t>
        </is>
      </c>
      <c r="M271" s="3" t="n">
        <v>1.42</v>
      </c>
      <c r="N271" s="28" t="n">
        <v>8500</v>
      </c>
      <c r="O271" s="28" t="n">
        <v>1190</v>
      </c>
      <c r="P271" s="28" t="n">
        <v>12070</v>
      </c>
      <c r="Q271" s="28" t="n">
        <v>12070</v>
      </c>
      <c r="R271" s="28" t="n">
        <v>0</v>
      </c>
      <c r="S271" s="42" t="n">
        <v>1</v>
      </c>
      <c r="T271" s="3" t="n">
        <v>3.934</v>
      </c>
      <c r="U271" s="3" t="n">
        <v>0</v>
      </c>
      <c r="V271" s="3" t="n">
        <v>7307.91</v>
      </c>
      <c r="W271" s="42" t="n">
        <v>0.2083</v>
      </c>
      <c r="X271" s="23" t="n">
        <v>43299</v>
      </c>
      <c r="Y271" s="3">
        <f>IF(I271="","No SIC",IFERROR(VLOOKUP(I271,Ref!$A$2:$B$65,2,FALSE()),"Unclassified"))</f>
        <v/>
      </c>
      <c r="Z271" s="3">
        <f>IF(T271="","",IF(T271&lt;12,"Daily","Weekly"))</f>
        <v/>
      </c>
      <c r="AA271" s="3">
        <f>IF(T271="",0,IF(T271&lt;12,T271*Controls!$B$13,T271*5))</f>
        <v/>
      </c>
      <c r="AB271" s="3">
        <f>IF(E271="",0,NETWORKDAYS(E271,Controls!$B$20,Ref!$K$2:$K$42))</f>
        <v/>
      </c>
      <c r="AC271" s="3">
        <f>IF(OR(AF271=1,AND(AA271&gt;0,AB271&gt;=Controls!$B$23*AA271)),1,0)</f>
        <v/>
      </c>
      <c r="AD271" s="3">
        <f>IF(AND(E271&lt;&gt;"",E271&gt;=Controls!$B$21,E271&lt;=Controls!$B$22),1,0)</f>
        <v/>
      </c>
      <c r="AE271" s="3">
        <f>IF(IFERROR(VLOOKUP(D271,Controls!$A$36:$E$46,2,FALSE()),"No")="Yes",1,0)</f>
        <v/>
      </c>
      <c r="AF271" s="3">
        <f>IF(IFERROR(VLOOKUP(D271,Controls!$A$36:$E$46,3,FALSE()),"No")="Yes",1,0)</f>
        <v/>
      </c>
      <c r="AG271" s="3">
        <f>IF(IFERROR(VLOOKUP(D271,Controls!$A$36:$E$46,4,FALSE()),"No")="Yes",1,0)</f>
        <v/>
      </c>
      <c r="AH271" s="3">
        <f>IF(IFERROR(VLOOKUP(D271,Controls!$A$36:$E$46,5,FALSE()),"No")="Yes",1,0)</f>
        <v/>
      </c>
      <c r="AI271" s="3">
        <f>IF(ISNUMBER(MATCH(D271,Controls!$A$36:$A$46,0)),1,0)</f>
        <v/>
      </c>
      <c r="AJ271" s="28">
        <f>Q271-N271</f>
        <v/>
      </c>
      <c r="AK271" s="3">
        <f>IF(AE271=1,MAX(0,N271-Q271),0)</f>
        <v/>
      </c>
      <c r="AL271" s="3">
        <f>IF(OR(V271="",V271=0),0,N271/V271)</f>
        <v/>
      </c>
      <c r="AM271" s="3">
        <f>IF(OR(V271="",V271=0),0,1)</f>
        <v/>
      </c>
      <c r="AN271" s="3">
        <f>IF(OR(E271="",F271=""),0,NETWORKDAYS(E271,F271,Ref!$K$2:$K$42))</f>
        <v/>
      </c>
      <c r="AO271" s="3">
        <f>IF(L271="Renewal",1,0)</f>
        <v/>
      </c>
      <c r="AP271" s="3">
        <f>AC271*AD271</f>
        <v/>
      </c>
      <c r="AQ271" s="3">
        <f>IF(AND(G271&lt;&gt;"",'Historical Score'!$C$6&lt;&gt;""),IF(G271='Historical Score'!$C$6,1,0),0)</f>
        <v/>
      </c>
      <c r="AR271" s="3">
        <f>IF(AND(L271&lt;&gt;"",'Historical Score'!$C$5&lt;&gt;""),IF(L271='Historical Score'!$C$5,1,0),0)</f>
        <v/>
      </c>
      <c r="AS271" s="3">
        <f>IF(AND(Y271&lt;&gt;"",'Historical Score'!$C$7&lt;&gt;""),IF(Y271='Historical Score'!$C$7,1,0),0)</f>
        <v/>
      </c>
      <c r="AT271" s="3">
        <f>IF(AND(K271&lt;&gt;"",'Historical Score'!$C$8&lt;&gt;""),IF(K271='Historical Score'!$C$8,1,0),0)</f>
        <v/>
      </c>
      <c r="AU271" s="3" t="n"/>
      <c r="AV271" s="3" t="n"/>
      <c r="AW271" s="3" t="n"/>
      <c r="AX271" s="3" t="n"/>
      <c r="AY271" s="3" t="n"/>
      <c r="AZ271" s="3" t="n"/>
      <c r="BA271" s="182">
        <f>IF(AD271=1,(AR271*'Historical Score'!$K$29+1-'Historical Score'!$K$29)*(AT271*'Historical Score'!$L$29+1-'Historical Score'!$L$29)*(AS271*'Historical Score'!$M$29+1-'Historical Score'!$M$29)*(AQ271*'Historical Score'!$N$29+1-'Historical Score'!$N$29),0)</f>
        <v/>
      </c>
      <c r="BB271" s="3" t="n"/>
      <c r="BC271" s="3" t="n"/>
    </row>
    <row r="272" ht="15.75" customHeight="1" s="174">
      <c r="A272" s="3" t="inlineStr">
        <is>
          <t>5674167693</t>
        </is>
      </c>
      <c r="B272" s="3" t="inlineStr">
        <is>
          <t>GOOD SAMARITAN INVESTMENT LLC</t>
        </is>
      </c>
      <c r="C272" s="3" t="inlineStr">
        <is>
          <t>GOOD SAMARITAN INVESTMENT LLC</t>
        </is>
      </c>
      <c r="D272" s="3" t="inlineStr">
        <is>
          <t>Legal</t>
        </is>
      </c>
      <c r="E272" s="23" t="n">
        <v>45931</v>
      </c>
      <c r="F272" s="23" t="n">
        <v>46133</v>
      </c>
      <c r="G272" s="3" t="n">
        <v>3</v>
      </c>
      <c r="H272" s="3" t="inlineStr">
        <is>
          <t>1521</t>
        </is>
      </c>
      <c r="I272" s="3" t="inlineStr">
        <is>
          <t>15</t>
        </is>
      </c>
      <c r="J272" s="3" t="inlineStr">
        <is>
          <t>TN</t>
        </is>
      </c>
      <c r="K272" s="3" t="inlineStr">
        <is>
          <t>United Secured Capital 8</t>
        </is>
      </c>
      <c r="L272" s="3" t="inlineStr">
        <is>
          <t>New Deal</t>
        </is>
      </c>
      <c r="M272" s="3" t="n">
        <v>1.49</v>
      </c>
      <c r="N272" s="28" t="n">
        <v>20000</v>
      </c>
      <c r="O272" s="28" t="n">
        <v>2800</v>
      </c>
      <c r="P272" s="28" t="n">
        <v>29800</v>
      </c>
      <c r="Q272" s="28" t="n">
        <v>21955.28</v>
      </c>
      <c r="R272" s="28" t="n">
        <v>7844.72</v>
      </c>
      <c r="S272" s="42" t="n">
        <v>0.736754362416107</v>
      </c>
      <c r="T272" s="3" t="n">
        <v>3.279</v>
      </c>
      <c r="U272" s="3" t="n">
        <v>56</v>
      </c>
      <c r="V272" s="3" t="n">
        <v>83997.5</v>
      </c>
      <c r="W272" s="42" t="n">
        <v>0.0745</v>
      </c>
      <c r="X272" s="23" t="n"/>
      <c r="Y272" s="3">
        <f>IF(I272="","No SIC",IFERROR(VLOOKUP(I272,Ref!$A$2:$B$65,2,FALSE()),"Unclassified"))</f>
        <v/>
      </c>
      <c r="Z272" s="3">
        <f>IF(T272="","",IF(T272&lt;12,"Daily","Weekly"))</f>
        <v/>
      </c>
      <c r="AA272" s="3">
        <f>IF(T272="",0,IF(T272&lt;12,T272*Controls!$B$13,T272*5))</f>
        <v/>
      </c>
      <c r="AB272" s="3">
        <f>IF(E272="",0,NETWORKDAYS(E272,Controls!$B$20,Ref!$K$2:$K$42))</f>
        <v/>
      </c>
      <c r="AC272" s="3">
        <f>IF(OR(AF272=1,AND(AA272&gt;0,AB272&gt;=Controls!$B$23*AA272)),1,0)</f>
        <v/>
      </c>
      <c r="AD272" s="3">
        <f>IF(AND(E272&lt;&gt;"",E272&gt;=Controls!$B$21,E272&lt;=Controls!$B$22),1,0)</f>
        <v/>
      </c>
      <c r="AE272" s="3">
        <f>IF(IFERROR(VLOOKUP(D272,Controls!$A$36:$E$46,2,FALSE()),"No")="Yes",1,0)</f>
        <v/>
      </c>
      <c r="AF272" s="3">
        <f>IF(IFERROR(VLOOKUP(D272,Controls!$A$36:$E$46,3,FALSE()),"No")="Yes",1,0)</f>
        <v/>
      </c>
      <c r="AG272" s="3">
        <f>IF(IFERROR(VLOOKUP(D272,Controls!$A$36:$E$46,4,FALSE()),"No")="Yes",1,0)</f>
        <v/>
      </c>
      <c r="AH272" s="3">
        <f>IF(IFERROR(VLOOKUP(D272,Controls!$A$36:$E$46,5,FALSE()),"No")="Yes",1,0)</f>
        <v/>
      </c>
      <c r="AI272" s="3">
        <f>IF(ISNUMBER(MATCH(D272,Controls!$A$36:$A$46,0)),1,0)</f>
        <v/>
      </c>
      <c r="AJ272" s="28">
        <f>Q272-N272</f>
        <v/>
      </c>
      <c r="AK272" s="3">
        <f>IF(AE272=1,MAX(0,N272-Q272),0)</f>
        <v/>
      </c>
      <c r="AL272" s="3">
        <f>IF(OR(V272="",V272=0),0,N272/V272)</f>
        <v/>
      </c>
      <c r="AM272" s="3">
        <f>IF(OR(V272="",V272=0),0,1)</f>
        <v/>
      </c>
      <c r="AN272" s="3">
        <f>IF(OR(E272="",F272=""),0,NETWORKDAYS(E272,F272,Ref!$K$2:$K$42))</f>
        <v/>
      </c>
      <c r="AO272" s="3">
        <f>IF(L272="Renewal",1,0)</f>
        <v/>
      </c>
      <c r="AP272" s="3">
        <f>AC272*AD272</f>
        <v/>
      </c>
      <c r="AQ272" s="3">
        <f>IF(AND(G272&lt;&gt;"",'Historical Score'!$C$6&lt;&gt;""),IF(G272='Historical Score'!$C$6,1,0),0)</f>
        <v/>
      </c>
      <c r="AR272" s="3">
        <f>IF(AND(L272&lt;&gt;"",'Historical Score'!$C$5&lt;&gt;""),IF(L272='Historical Score'!$C$5,1,0),0)</f>
        <v/>
      </c>
      <c r="AS272" s="3">
        <f>IF(AND(Y272&lt;&gt;"",'Historical Score'!$C$7&lt;&gt;""),IF(Y272='Historical Score'!$C$7,1,0),0)</f>
        <v/>
      </c>
      <c r="AT272" s="3">
        <f>IF(AND(K272&lt;&gt;"",'Historical Score'!$C$8&lt;&gt;""),IF(K272='Historical Score'!$C$8,1,0),0)</f>
        <v/>
      </c>
      <c r="AU272" s="3" t="n"/>
      <c r="AV272" s="3" t="n"/>
      <c r="AW272" s="3" t="n"/>
      <c r="AX272" s="3" t="n"/>
      <c r="AY272" s="3" t="n"/>
      <c r="AZ272" s="3" t="n"/>
      <c r="BA272" s="182">
        <f>IF(AD272=1,(AR272*'Historical Score'!$K$29+1-'Historical Score'!$K$29)*(AT272*'Historical Score'!$L$29+1-'Historical Score'!$L$29)*(AS272*'Historical Score'!$M$29+1-'Historical Score'!$M$29)*(AQ272*'Historical Score'!$N$29+1-'Historical Score'!$N$29),0)</f>
        <v/>
      </c>
      <c r="BB272" s="3" t="n"/>
      <c r="BC272" s="3" t="n"/>
    </row>
    <row r="273" ht="15.75" customHeight="1" s="174">
      <c r="A273" s="3" t="inlineStr">
        <is>
          <t>5674167720</t>
        </is>
      </c>
      <c r="B273" s="3" t="inlineStr">
        <is>
          <t>Arrow Rental</t>
        </is>
      </c>
      <c r="C273" s="3" t="inlineStr">
        <is>
          <t>The Rental Guys L.L.C.</t>
        </is>
      </c>
      <c r="D273" s="3" t="inlineStr">
        <is>
          <t>Closed</t>
        </is>
      </c>
      <c r="E273" s="23" t="n">
        <v>45931</v>
      </c>
      <c r="F273" s="23" t="n">
        <v>45996</v>
      </c>
      <c r="G273" s="3" t="n">
        <v>1</v>
      </c>
      <c r="H273" s="3" t="inlineStr">
        <is>
          <t>4789</t>
        </is>
      </c>
      <c r="I273" s="3" t="inlineStr">
        <is>
          <t>47</t>
        </is>
      </c>
      <c r="J273" s="3" t="inlineStr">
        <is>
          <t>TX</t>
        </is>
      </c>
      <c r="K273" s="3" t="inlineStr">
        <is>
          <t>Fundwell</t>
        </is>
      </c>
      <c r="L273" s="3" t="inlineStr">
        <is>
          <t>New Deal</t>
        </is>
      </c>
      <c r="M273" s="3" t="n">
        <v>1.4</v>
      </c>
      <c r="N273" s="28" t="n">
        <v>15000</v>
      </c>
      <c r="O273" s="28" t="n">
        <v>1950</v>
      </c>
      <c r="P273" s="28" t="n">
        <v>21000</v>
      </c>
      <c r="Q273" s="28" t="n">
        <v>21000</v>
      </c>
      <c r="R273" s="28" t="n">
        <v>0</v>
      </c>
      <c r="S273" s="42" t="n">
        <v>1</v>
      </c>
      <c r="T273" s="3" t="n">
        <v>28</v>
      </c>
      <c r="U273" s="3" t="n">
        <v>0</v>
      </c>
      <c r="V273" s="3" t="n"/>
      <c r="W273" s="42" t="n">
        <v>0.0347</v>
      </c>
      <c r="X273" s="23" t="n">
        <v>45931</v>
      </c>
      <c r="Y273" s="3">
        <f>IF(I273="","No SIC",IFERROR(VLOOKUP(I273,Ref!$A$2:$B$65,2,FALSE()),"Unclassified"))</f>
        <v/>
      </c>
      <c r="Z273" s="3">
        <f>IF(T273="","",IF(T273&lt;12,"Daily","Weekly"))</f>
        <v/>
      </c>
      <c r="AA273" s="3">
        <f>IF(T273="",0,IF(T273&lt;12,T273*Controls!$B$13,T273*5))</f>
        <v/>
      </c>
      <c r="AB273" s="3">
        <f>IF(E273="",0,NETWORKDAYS(E273,Controls!$B$20,Ref!$K$2:$K$42))</f>
        <v/>
      </c>
      <c r="AC273" s="3">
        <f>IF(OR(AF273=1,AND(AA273&gt;0,AB273&gt;=Controls!$B$23*AA273)),1,0)</f>
        <v/>
      </c>
      <c r="AD273" s="3">
        <f>IF(AND(E273&lt;&gt;"",E273&gt;=Controls!$B$21,E273&lt;=Controls!$B$22),1,0)</f>
        <v/>
      </c>
      <c r="AE273" s="3">
        <f>IF(IFERROR(VLOOKUP(D273,Controls!$A$36:$E$46,2,FALSE()),"No")="Yes",1,0)</f>
        <v/>
      </c>
      <c r="AF273" s="3">
        <f>IF(IFERROR(VLOOKUP(D273,Controls!$A$36:$E$46,3,FALSE()),"No")="Yes",1,0)</f>
        <v/>
      </c>
      <c r="AG273" s="3">
        <f>IF(IFERROR(VLOOKUP(D273,Controls!$A$36:$E$46,4,FALSE()),"No")="Yes",1,0)</f>
        <v/>
      </c>
      <c r="AH273" s="3">
        <f>IF(IFERROR(VLOOKUP(D273,Controls!$A$36:$E$46,5,FALSE()),"No")="Yes",1,0)</f>
        <v/>
      </c>
      <c r="AI273" s="3">
        <f>IF(ISNUMBER(MATCH(D273,Controls!$A$36:$A$46,0)),1,0)</f>
        <v/>
      </c>
      <c r="AJ273" s="28">
        <f>Q273-N273</f>
        <v/>
      </c>
      <c r="AK273" s="3">
        <f>IF(AE273=1,MAX(0,N273-Q273),0)</f>
        <v/>
      </c>
      <c r="AL273" s="3">
        <f>IF(OR(V273="",V273=0),0,N273/V273)</f>
        <v/>
      </c>
      <c r="AM273" s="3">
        <f>IF(OR(V273="",V273=0),0,1)</f>
        <v/>
      </c>
      <c r="AN273" s="3">
        <f>IF(OR(E273="",F273=""),0,NETWORKDAYS(E273,F273,Ref!$K$2:$K$42))</f>
        <v/>
      </c>
      <c r="AO273" s="3">
        <f>IF(L273="Renewal",1,0)</f>
        <v/>
      </c>
      <c r="AP273" s="3">
        <f>AC273*AD273</f>
        <v/>
      </c>
      <c r="AQ273" s="3">
        <f>IF(AND(G273&lt;&gt;"",'Historical Score'!$C$6&lt;&gt;""),IF(G273='Historical Score'!$C$6,1,0),0)</f>
        <v/>
      </c>
      <c r="AR273" s="3">
        <f>IF(AND(L273&lt;&gt;"",'Historical Score'!$C$5&lt;&gt;""),IF(L273='Historical Score'!$C$5,1,0),0)</f>
        <v/>
      </c>
      <c r="AS273" s="3">
        <f>IF(AND(Y273&lt;&gt;"",'Historical Score'!$C$7&lt;&gt;""),IF(Y273='Historical Score'!$C$7,1,0),0)</f>
        <v/>
      </c>
      <c r="AT273" s="3">
        <f>IF(AND(K273&lt;&gt;"",'Historical Score'!$C$8&lt;&gt;""),IF(K273='Historical Score'!$C$8,1,0),0)</f>
        <v/>
      </c>
      <c r="AU273" s="3" t="n"/>
      <c r="AV273" s="3" t="n"/>
      <c r="AW273" s="3" t="n"/>
      <c r="AX273" s="3" t="n"/>
      <c r="AY273" s="3" t="n"/>
      <c r="AZ273" s="3" t="n"/>
      <c r="BA273" s="182">
        <f>IF(AD273=1,(AR273*'Historical Score'!$K$29+1-'Historical Score'!$K$29)*(AT273*'Historical Score'!$L$29+1-'Historical Score'!$L$29)*(AS273*'Historical Score'!$M$29+1-'Historical Score'!$M$29)*(AQ273*'Historical Score'!$N$29+1-'Historical Score'!$N$29),0)</f>
        <v/>
      </c>
      <c r="BB273" s="3" t="n"/>
      <c r="BC273" s="3" t="n"/>
    </row>
    <row r="274" ht="15.75" customHeight="1" s="174">
      <c r="A274" s="3" t="inlineStr">
        <is>
          <t>5674167736</t>
        </is>
      </c>
      <c r="B274" s="3" t="inlineStr">
        <is>
          <t>Little Magic Bar</t>
        </is>
      </c>
      <c r="C274" s="3" t="inlineStr">
        <is>
          <t>VOODOO MAGIC LLC</t>
        </is>
      </c>
      <c r="D274" s="3" t="inlineStr">
        <is>
          <t>Closed</t>
        </is>
      </c>
      <c r="E274" s="23" t="n">
        <v>45931</v>
      </c>
      <c r="F274" s="23" t="n">
        <v>46051</v>
      </c>
      <c r="G274" s="3" t="n">
        <v>2</v>
      </c>
      <c r="H274" s="3" t="inlineStr">
        <is>
          <t>5812</t>
        </is>
      </c>
      <c r="I274" s="3" t="inlineStr">
        <is>
          <t>58</t>
        </is>
      </c>
      <c r="J274" s="3" t="inlineStr">
        <is>
          <t>TN</t>
        </is>
      </c>
      <c r="K274" s="3" t="inlineStr">
        <is>
          <t>Fundible</t>
        </is>
      </c>
      <c r="L274" s="3" t="inlineStr">
        <is>
          <t>New Deal</t>
        </is>
      </c>
      <c r="M274" s="3" t="n">
        <v>1.49</v>
      </c>
      <c r="N274" s="28" t="n">
        <v>35000</v>
      </c>
      <c r="O274" s="28" t="n">
        <v>4900</v>
      </c>
      <c r="P274" s="28" t="n">
        <v>52150</v>
      </c>
      <c r="Q274" s="28" t="n">
        <v>52150</v>
      </c>
      <c r="R274" s="28" t="n">
        <v>0</v>
      </c>
      <c r="S274" s="42" t="n">
        <v>1</v>
      </c>
      <c r="T274" s="3" t="n">
        <v>26</v>
      </c>
      <c r="U274" s="3" t="n">
        <v>0</v>
      </c>
      <c r="V274" s="3" t="n">
        <v>131755.44</v>
      </c>
      <c r="W274" s="42" t="n">
        <v>0.0609</v>
      </c>
      <c r="X274" s="23" t="n">
        <v>45320</v>
      </c>
      <c r="Y274" s="3">
        <f>IF(I274="","No SIC",IFERROR(VLOOKUP(I274,Ref!$A$2:$B$65,2,FALSE()),"Unclassified"))</f>
        <v/>
      </c>
      <c r="Z274" s="3">
        <f>IF(T274="","",IF(T274&lt;12,"Daily","Weekly"))</f>
        <v/>
      </c>
      <c r="AA274" s="3">
        <f>IF(T274="",0,IF(T274&lt;12,T274*Controls!$B$13,T274*5))</f>
        <v/>
      </c>
      <c r="AB274" s="3">
        <f>IF(E274="",0,NETWORKDAYS(E274,Controls!$B$20,Ref!$K$2:$K$42))</f>
        <v/>
      </c>
      <c r="AC274" s="3">
        <f>IF(OR(AF274=1,AND(AA274&gt;0,AB274&gt;=Controls!$B$23*AA274)),1,0)</f>
        <v/>
      </c>
      <c r="AD274" s="3">
        <f>IF(AND(E274&lt;&gt;"",E274&gt;=Controls!$B$21,E274&lt;=Controls!$B$22),1,0)</f>
        <v/>
      </c>
      <c r="AE274" s="3">
        <f>IF(IFERROR(VLOOKUP(D274,Controls!$A$36:$E$46,2,FALSE()),"No")="Yes",1,0)</f>
        <v/>
      </c>
      <c r="AF274" s="3">
        <f>IF(IFERROR(VLOOKUP(D274,Controls!$A$36:$E$46,3,FALSE()),"No")="Yes",1,0)</f>
        <v/>
      </c>
      <c r="AG274" s="3">
        <f>IF(IFERROR(VLOOKUP(D274,Controls!$A$36:$E$46,4,FALSE()),"No")="Yes",1,0)</f>
        <v/>
      </c>
      <c r="AH274" s="3">
        <f>IF(IFERROR(VLOOKUP(D274,Controls!$A$36:$E$46,5,FALSE()),"No")="Yes",1,0)</f>
        <v/>
      </c>
      <c r="AI274" s="3">
        <f>IF(ISNUMBER(MATCH(D274,Controls!$A$36:$A$46,0)),1,0)</f>
        <v/>
      </c>
      <c r="AJ274" s="28">
        <f>Q274-N274</f>
        <v/>
      </c>
      <c r="AK274" s="3">
        <f>IF(AE274=1,MAX(0,N274-Q274),0)</f>
        <v/>
      </c>
      <c r="AL274" s="3">
        <f>IF(OR(V274="",V274=0),0,N274/V274)</f>
        <v/>
      </c>
      <c r="AM274" s="3">
        <f>IF(OR(V274="",V274=0),0,1)</f>
        <v/>
      </c>
      <c r="AN274" s="3">
        <f>IF(OR(E274="",F274=""),0,NETWORKDAYS(E274,F274,Ref!$K$2:$K$42))</f>
        <v/>
      </c>
      <c r="AO274" s="3">
        <f>IF(L274="Renewal",1,0)</f>
        <v/>
      </c>
      <c r="AP274" s="3">
        <f>AC274*AD274</f>
        <v/>
      </c>
      <c r="AQ274" s="3">
        <f>IF(AND(G274&lt;&gt;"",'Historical Score'!$C$6&lt;&gt;""),IF(G274='Historical Score'!$C$6,1,0),0)</f>
        <v/>
      </c>
      <c r="AR274" s="3">
        <f>IF(AND(L274&lt;&gt;"",'Historical Score'!$C$5&lt;&gt;""),IF(L274='Historical Score'!$C$5,1,0),0)</f>
        <v/>
      </c>
      <c r="AS274" s="3">
        <f>IF(AND(Y274&lt;&gt;"",'Historical Score'!$C$7&lt;&gt;""),IF(Y274='Historical Score'!$C$7,1,0),0)</f>
        <v/>
      </c>
      <c r="AT274" s="3">
        <f>IF(AND(K274&lt;&gt;"",'Historical Score'!$C$8&lt;&gt;""),IF(K274='Historical Score'!$C$8,1,0),0)</f>
        <v/>
      </c>
      <c r="AU274" s="3" t="n"/>
      <c r="AV274" s="3" t="n"/>
      <c r="AW274" s="3" t="n"/>
      <c r="AX274" s="3" t="n"/>
      <c r="AY274" s="3" t="n"/>
      <c r="AZ274" s="3" t="n"/>
      <c r="BA274" s="182">
        <f>IF(AD274=1,(AR274*'Historical Score'!$K$29+1-'Historical Score'!$K$29)*(AT274*'Historical Score'!$L$29+1-'Historical Score'!$L$29)*(AS274*'Historical Score'!$M$29+1-'Historical Score'!$M$29)*(AQ274*'Historical Score'!$N$29+1-'Historical Score'!$N$29),0)</f>
        <v/>
      </c>
      <c r="BB274" s="3" t="n"/>
      <c r="BC274" s="3" t="n"/>
    </row>
    <row r="275" ht="15.75" customHeight="1" s="174">
      <c r="A275" s="3" t="inlineStr">
        <is>
          <t>5674167778</t>
        </is>
      </c>
      <c r="B275" s="3" t="inlineStr">
        <is>
          <t>AIR LAND &amp; SEA PHYSICALS &amp; CONSULTATION</t>
        </is>
      </c>
      <c r="C275" s="3" t="inlineStr">
        <is>
          <t>AIR LAND &amp; SEA PHYSICALS &amp; CONSULTATION, LLC</t>
        </is>
      </c>
      <c r="D275" s="3" t="inlineStr">
        <is>
          <t>Closed</t>
        </is>
      </c>
      <c r="E275" s="23" t="n">
        <v>45932</v>
      </c>
      <c r="F275" s="23" t="n">
        <v>46073</v>
      </c>
      <c r="G275" s="3" t="n">
        <v>1</v>
      </c>
      <c r="H275" s="3" t="inlineStr">
        <is>
          <t>8748</t>
        </is>
      </c>
      <c r="I275" s="3" t="inlineStr">
        <is>
          <t>87</t>
        </is>
      </c>
      <c r="J275" s="3" t="inlineStr">
        <is>
          <t>FL</t>
        </is>
      </c>
      <c r="K275" s="3" t="inlineStr">
        <is>
          <t>Fundwell</t>
        </is>
      </c>
      <c r="L275" s="3" t="inlineStr">
        <is>
          <t>New Deal</t>
        </is>
      </c>
      <c r="M275" s="3" t="n">
        <v>1.44</v>
      </c>
      <c r="N275" s="28" t="n">
        <v>30000</v>
      </c>
      <c r="O275" s="28" t="n">
        <v>4350</v>
      </c>
      <c r="P275" s="28" t="n">
        <v>43200</v>
      </c>
      <c r="Q275" s="28" t="n">
        <v>43200</v>
      </c>
      <c r="R275" s="28" t="n">
        <v>0</v>
      </c>
      <c r="S275" s="42" t="n">
        <v>1</v>
      </c>
      <c r="T275" s="3" t="n">
        <v>30</v>
      </c>
      <c r="U275" s="3" t="n">
        <v>0</v>
      </c>
      <c r="V275" s="3" t="n">
        <v>43565.36</v>
      </c>
      <c r="W275" s="42" t="n">
        <v>0.1322</v>
      </c>
      <c r="X275" s="23" t="n">
        <v>38596</v>
      </c>
      <c r="Y275" s="3">
        <f>IF(I275="","No SIC",IFERROR(VLOOKUP(I275,Ref!$A$2:$B$65,2,FALSE()),"Unclassified"))</f>
        <v/>
      </c>
      <c r="Z275" s="3">
        <f>IF(T275="","",IF(T275&lt;12,"Daily","Weekly"))</f>
        <v/>
      </c>
      <c r="AA275" s="3">
        <f>IF(T275="",0,IF(T275&lt;12,T275*Controls!$B$13,T275*5))</f>
        <v/>
      </c>
      <c r="AB275" s="3">
        <f>IF(E275="",0,NETWORKDAYS(E275,Controls!$B$20,Ref!$K$2:$K$42))</f>
        <v/>
      </c>
      <c r="AC275" s="3">
        <f>IF(OR(AF275=1,AND(AA275&gt;0,AB275&gt;=Controls!$B$23*AA275)),1,0)</f>
        <v/>
      </c>
      <c r="AD275" s="3">
        <f>IF(AND(E275&lt;&gt;"",E275&gt;=Controls!$B$21,E275&lt;=Controls!$B$22),1,0)</f>
        <v/>
      </c>
      <c r="AE275" s="3">
        <f>IF(IFERROR(VLOOKUP(D275,Controls!$A$36:$E$46,2,FALSE()),"No")="Yes",1,0)</f>
        <v/>
      </c>
      <c r="AF275" s="3">
        <f>IF(IFERROR(VLOOKUP(D275,Controls!$A$36:$E$46,3,FALSE()),"No")="Yes",1,0)</f>
        <v/>
      </c>
      <c r="AG275" s="3">
        <f>IF(IFERROR(VLOOKUP(D275,Controls!$A$36:$E$46,4,FALSE()),"No")="Yes",1,0)</f>
        <v/>
      </c>
      <c r="AH275" s="3">
        <f>IF(IFERROR(VLOOKUP(D275,Controls!$A$36:$E$46,5,FALSE()),"No")="Yes",1,0)</f>
        <v/>
      </c>
      <c r="AI275" s="3">
        <f>IF(ISNUMBER(MATCH(D275,Controls!$A$36:$A$46,0)),1,0)</f>
        <v/>
      </c>
      <c r="AJ275" s="28">
        <f>Q275-N275</f>
        <v/>
      </c>
      <c r="AK275" s="3">
        <f>IF(AE275=1,MAX(0,N275-Q275),0)</f>
        <v/>
      </c>
      <c r="AL275" s="3">
        <f>IF(OR(V275="",V275=0),0,N275/V275)</f>
        <v/>
      </c>
      <c r="AM275" s="3">
        <f>IF(OR(V275="",V275=0),0,1)</f>
        <v/>
      </c>
      <c r="AN275" s="3">
        <f>IF(OR(E275="",F275=""),0,NETWORKDAYS(E275,F275,Ref!$K$2:$K$42))</f>
        <v/>
      </c>
      <c r="AO275" s="3">
        <f>IF(L275="Renewal",1,0)</f>
        <v/>
      </c>
      <c r="AP275" s="3">
        <f>AC275*AD275</f>
        <v/>
      </c>
      <c r="AQ275" s="3">
        <f>IF(AND(G275&lt;&gt;"",'Historical Score'!$C$6&lt;&gt;""),IF(G275='Historical Score'!$C$6,1,0),0)</f>
        <v/>
      </c>
      <c r="AR275" s="3">
        <f>IF(AND(L275&lt;&gt;"",'Historical Score'!$C$5&lt;&gt;""),IF(L275='Historical Score'!$C$5,1,0),0)</f>
        <v/>
      </c>
      <c r="AS275" s="3">
        <f>IF(AND(Y275&lt;&gt;"",'Historical Score'!$C$7&lt;&gt;""),IF(Y275='Historical Score'!$C$7,1,0),0)</f>
        <v/>
      </c>
      <c r="AT275" s="3">
        <f>IF(AND(K275&lt;&gt;"",'Historical Score'!$C$8&lt;&gt;""),IF(K275='Historical Score'!$C$8,1,0),0)</f>
        <v/>
      </c>
      <c r="AU275" s="3" t="n"/>
      <c r="AV275" s="3" t="n"/>
      <c r="AW275" s="3" t="n"/>
      <c r="AX275" s="3" t="n"/>
      <c r="AY275" s="3" t="n"/>
      <c r="AZ275" s="3" t="n"/>
      <c r="BA275" s="182">
        <f>IF(AD275=1,(AR275*'Historical Score'!$K$29+1-'Historical Score'!$K$29)*(AT275*'Historical Score'!$L$29+1-'Historical Score'!$L$29)*(AS275*'Historical Score'!$M$29+1-'Historical Score'!$M$29)*(AQ275*'Historical Score'!$N$29+1-'Historical Score'!$N$29),0)</f>
        <v/>
      </c>
      <c r="BB275" s="3" t="n"/>
      <c r="BC275" s="3" t="n"/>
    </row>
    <row r="276" ht="15.75" customHeight="1" s="174">
      <c r="A276" s="3" t="inlineStr">
        <is>
          <t>5674167807</t>
        </is>
      </c>
      <c r="B276" s="3" t="inlineStr">
        <is>
          <t>RON KING LLC</t>
        </is>
      </c>
      <c r="C276" s="3" t="inlineStr">
        <is>
          <t>RON KING LLC</t>
        </is>
      </c>
      <c r="D276" s="3" t="inlineStr">
        <is>
          <t>Closed</t>
        </is>
      </c>
      <c r="E276" s="23" t="n">
        <v>45933</v>
      </c>
      <c r="F276" s="23" t="n">
        <v>46000</v>
      </c>
      <c r="G276" s="3" t="n">
        <v>5</v>
      </c>
      <c r="H276" s="3" t="inlineStr">
        <is>
          <t>7231</t>
        </is>
      </c>
      <c r="I276" s="3" t="inlineStr">
        <is>
          <t>72</t>
        </is>
      </c>
      <c r="J276" s="3" t="inlineStr">
        <is>
          <t>TX</t>
        </is>
      </c>
      <c r="K276" s="3" t="inlineStr">
        <is>
          <t>Westwood</t>
        </is>
      </c>
      <c r="L276" s="3" t="inlineStr">
        <is>
          <t>New Deal</t>
        </is>
      </c>
      <c r="M276" s="3" t="n">
        <v>1.499</v>
      </c>
      <c r="N276" s="28" t="n">
        <v>20000</v>
      </c>
      <c r="O276" s="28" t="n">
        <v>2800</v>
      </c>
      <c r="P276" s="28" t="n">
        <v>29980</v>
      </c>
      <c r="Q276" s="28" t="n">
        <v>29980</v>
      </c>
      <c r="R276" s="28" t="n">
        <v>3.63797880709171e-12</v>
      </c>
      <c r="S276" s="42" t="n">
        <v>1</v>
      </c>
      <c r="T276" s="3" t="n">
        <v>2.623</v>
      </c>
      <c r="U276" s="3" t="n">
        <v>0</v>
      </c>
      <c r="V276" s="3" t="n">
        <v>54257.4</v>
      </c>
      <c r="W276" s="42" t="n">
        <v>0.1432</v>
      </c>
      <c r="X276" s="23" t="n">
        <v>43910</v>
      </c>
      <c r="Y276" s="3">
        <f>IF(I276="","No SIC",IFERROR(VLOOKUP(I276,Ref!$A$2:$B$65,2,FALSE()),"Unclassified"))</f>
        <v/>
      </c>
      <c r="Z276" s="3">
        <f>IF(T276="","",IF(T276&lt;12,"Daily","Weekly"))</f>
        <v/>
      </c>
      <c r="AA276" s="3">
        <f>IF(T276="",0,IF(T276&lt;12,T276*Controls!$B$13,T276*5))</f>
        <v/>
      </c>
      <c r="AB276" s="3">
        <f>IF(E276="",0,NETWORKDAYS(E276,Controls!$B$20,Ref!$K$2:$K$42))</f>
        <v/>
      </c>
      <c r="AC276" s="3">
        <f>IF(OR(AF276=1,AND(AA276&gt;0,AB276&gt;=Controls!$B$23*AA276)),1,0)</f>
        <v/>
      </c>
      <c r="AD276" s="3">
        <f>IF(AND(E276&lt;&gt;"",E276&gt;=Controls!$B$21,E276&lt;=Controls!$B$22),1,0)</f>
        <v/>
      </c>
      <c r="AE276" s="3">
        <f>IF(IFERROR(VLOOKUP(D276,Controls!$A$36:$E$46,2,FALSE()),"No")="Yes",1,0)</f>
        <v/>
      </c>
      <c r="AF276" s="3">
        <f>IF(IFERROR(VLOOKUP(D276,Controls!$A$36:$E$46,3,FALSE()),"No")="Yes",1,0)</f>
        <v/>
      </c>
      <c r="AG276" s="3">
        <f>IF(IFERROR(VLOOKUP(D276,Controls!$A$36:$E$46,4,FALSE()),"No")="Yes",1,0)</f>
        <v/>
      </c>
      <c r="AH276" s="3">
        <f>IF(IFERROR(VLOOKUP(D276,Controls!$A$36:$E$46,5,FALSE()),"No")="Yes",1,0)</f>
        <v/>
      </c>
      <c r="AI276" s="3">
        <f>IF(ISNUMBER(MATCH(D276,Controls!$A$36:$A$46,0)),1,0)</f>
        <v/>
      </c>
      <c r="AJ276" s="28">
        <f>Q276-N276</f>
        <v/>
      </c>
      <c r="AK276" s="3">
        <f>IF(AE276=1,MAX(0,N276-Q276),0)</f>
        <v/>
      </c>
      <c r="AL276" s="3">
        <f>IF(OR(V276="",V276=0),0,N276/V276)</f>
        <v/>
      </c>
      <c r="AM276" s="3">
        <f>IF(OR(V276="",V276=0),0,1)</f>
        <v/>
      </c>
      <c r="AN276" s="3">
        <f>IF(OR(E276="",F276=""),0,NETWORKDAYS(E276,F276,Ref!$K$2:$K$42))</f>
        <v/>
      </c>
      <c r="AO276" s="3">
        <f>IF(L276="Renewal",1,0)</f>
        <v/>
      </c>
      <c r="AP276" s="3">
        <f>AC276*AD276</f>
        <v/>
      </c>
      <c r="AQ276" s="3">
        <f>IF(AND(G276&lt;&gt;"",'Historical Score'!$C$6&lt;&gt;""),IF(G276='Historical Score'!$C$6,1,0),0)</f>
        <v/>
      </c>
      <c r="AR276" s="3">
        <f>IF(AND(L276&lt;&gt;"",'Historical Score'!$C$5&lt;&gt;""),IF(L276='Historical Score'!$C$5,1,0),0)</f>
        <v/>
      </c>
      <c r="AS276" s="3">
        <f>IF(AND(Y276&lt;&gt;"",'Historical Score'!$C$7&lt;&gt;""),IF(Y276='Historical Score'!$C$7,1,0),0)</f>
        <v/>
      </c>
      <c r="AT276" s="3">
        <f>IF(AND(K276&lt;&gt;"",'Historical Score'!$C$8&lt;&gt;""),IF(K276='Historical Score'!$C$8,1,0),0)</f>
        <v/>
      </c>
      <c r="AU276" s="3" t="n"/>
      <c r="AV276" s="3" t="n"/>
      <c r="AW276" s="3" t="n"/>
      <c r="AX276" s="3" t="n"/>
      <c r="AY276" s="3" t="n"/>
      <c r="AZ276" s="3" t="n"/>
      <c r="BA276" s="182">
        <f>IF(AD276=1,(AR276*'Historical Score'!$K$29+1-'Historical Score'!$K$29)*(AT276*'Historical Score'!$L$29+1-'Historical Score'!$L$29)*(AS276*'Historical Score'!$M$29+1-'Historical Score'!$M$29)*(AQ276*'Historical Score'!$N$29+1-'Historical Score'!$N$29),0)</f>
        <v/>
      </c>
      <c r="BB276" s="3" t="n"/>
      <c r="BC276" s="3" t="n"/>
    </row>
    <row r="277" ht="15.75" customHeight="1" s="174">
      <c r="A277" s="3" t="inlineStr">
        <is>
          <t>5674167817</t>
        </is>
      </c>
      <c r="B277" s="3" t="inlineStr">
        <is>
          <t>AFC Urgent Care Coppell</t>
        </is>
      </c>
      <c r="C277" s="3" t="inlineStr">
        <is>
          <t>FTA Holdings LLC</t>
        </is>
      </c>
      <c r="D277" s="3" t="inlineStr">
        <is>
          <t>Legal</t>
        </is>
      </c>
      <c r="E277" s="23" t="n">
        <v>45933</v>
      </c>
      <c r="F277" s="23" t="n">
        <v>45968</v>
      </c>
      <c r="G277" s="3" t="n">
        <v>1</v>
      </c>
      <c r="H277" s="3" t="inlineStr">
        <is>
          <t>8071</t>
        </is>
      </c>
      <c r="I277" s="3" t="inlineStr">
        <is>
          <t>80</t>
        </is>
      </c>
      <c r="J277" s="3" t="inlineStr">
        <is>
          <t>TX</t>
        </is>
      </c>
      <c r="K277" s="3" t="inlineStr">
        <is>
          <t>Shore Funding USA</t>
        </is>
      </c>
      <c r="L277" s="3" t="inlineStr">
        <is>
          <t>New Deal</t>
        </is>
      </c>
      <c r="M277" s="3" t="n">
        <v>1.34</v>
      </c>
      <c r="N277" s="28" t="n">
        <v>25000</v>
      </c>
      <c r="O277" s="28" t="n">
        <v>1500</v>
      </c>
      <c r="P277" s="28" t="n">
        <v>33500</v>
      </c>
      <c r="Q277" s="28" t="n">
        <v>2393.62</v>
      </c>
      <c r="R277" s="28" t="n">
        <v>31106.38</v>
      </c>
      <c r="S277" s="42" t="n">
        <v>0.0714513432835821</v>
      </c>
      <c r="T277" s="3" t="n">
        <v>28</v>
      </c>
      <c r="U277" s="3" t="n">
        <v>3</v>
      </c>
      <c r="V277" s="3" t="n">
        <v>35619.4</v>
      </c>
      <c r="W277" s="42" t="n">
        <v>0.1344</v>
      </c>
      <c r="X277" s="23" t="n">
        <v>44393</v>
      </c>
      <c r="Y277" s="3">
        <f>IF(I277="","No SIC",IFERROR(VLOOKUP(I277,Ref!$A$2:$B$65,2,FALSE()),"Unclassified"))</f>
        <v/>
      </c>
      <c r="Z277" s="3">
        <f>IF(T277="","",IF(T277&lt;12,"Daily","Weekly"))</f>
        <v/>
      </c>
      <c r="AA277" s="3">
        <f>IF(T277="",0,IF(T277&lt;12,T277*Controls!$B$13,T277*5))</f>
        <v/>
      </c>
      <c r="AB277" s="3">
        <f>IF(E277="",0,NETWORKDAYS(E277,Controls!$B$20,Ref!$K$2:$K$42))</f>
        <v/>
      </c>
      <c r="AC277" s="3">
        <f>IF(OR(AF277=1,AND(AA277&gt;0,AB277&gt;=Controls!$B$23*AA277)),1,0)</f>
        <v/>
      </c>
      <c r="AD277" s="3">
        <f>IF(AND(E277&lt;&gt;"",E277&gt;=Controls!$B$21,E277&lt;=Controls!$B$22),1,0)</f>
        <v/>
      </c>
      <c r="AE277" s="3">
        <f>IF(IFERROR(VLOOKUP(D277,Controls!$A$36:$E$46,2,FALSE()),"No")="Yes",1,0)</f>
        <v/>
      </c>
      <c r="AF277" s="3">
        <f>IF(IFERROR(VLOOKUP(D277,Controls!$A$36:$E$46,3,FALSE()),"No")="Yes",1,0)</f>
        <v/>
      </c>
      <c r="AG277" s="3">
        <f>IF(IFERROR(VLOOKUP(D277,Controls!$A$36:$E$46,4,FALSE()),"No")="Yes",1,0)</f>
        <v/>
      </c>
      <c r="AH277" s="3">
        <f>IF(IFERROR(VLOOKUP(D277,Controls!$A$36:$E$46,5,FALSE()),"No")="Yes",1,0)</f>
        <v/>
      </c>
      <c r="AI277" s="3">
        <f>IF(ISNUMBER(MATCH(D277,Controls!$A$36:$A$46,0)),1,0)</f>
        <v/>
      </c>
      <c r="AJ277" s="28">
        <f>Q277-N277</f>
        <v/>
      </c>
      <c r="AK277" s="3">
        <f>IF(AE277=1,MAX(0,N277-Q277),0)</f>
        <v/>
      </c>
      <c r="AL277" s="3">
        <f>IF(OR(V277="",V277=0),0,N277/V277)</f>
        <v/>
      </c>
      <c r="AM277" s="3">
        <f>IF(OR(V277="",V277=0),0,1)</f>
        <v/>
      </c>
      <c r="AN277" s="3">
        <f>IF(OR(E277="",F277=""),0,NETWORKDAYS(E277,F277,Ref!$K$2:$K$42))</f>
        <v/>
      </c>
      <c r="AO277" s="3">
        <f>IF(L277="Renewal",1,0)</f>
        <v/>
      </c>
      <c r="AP277" s="3">
        <f>AC277*AD277</f>
        <v/>
      </c>
      <c r="AQ277" s="3">
        <f>IF(AND(G277&lt;&gt;"",'Historical Score'!$C$6&lt;&gt;""),IF(G277='Historical Score'!$C$6,1,0),0)</f>
        <v/>
      </c>
      <c r="AR277" s="3">
        <f>IF(AND(L277&lt;&gt;"",'Historical Score'!$C$5&lt;&gt;""),IF(L277='Historical Score'!$C$5,1,0),0)</f>
        <v/>
      </c>
      <c r="AS277" s="3">
        <f>IF(AND(Y277&lt;&gt;"",'Historical Score'!$C$7&lt;&gt;""),IF(Y277='Historical Score'!$C$7,1,0),0)</f>
        <v/>
      </c>
      <c r="AT277" s="3">
        <f>IF(AND(K277&lt;&gt;"",'Historical Score'!$C$8&lt;&gt;""),IF(K277='Historical Score'!$C$8,1,0),0)</f>
        <v/>
      </c>
      <c r="AU277" s="3" t="n"/>
      <c r="AV277" s="3" t="n"/>
      <c r="AW277" s="3" t="n"/>
      <c r="AX277" s="3" t="n"/>
      <c r="AY277" s="3" t="n"/>
      <c r="AZ277" s="3" t="n"/>
      <c r="BA277" s="182">
        <f>IF(AD277=1,(AR277*'Historical Score'!$K$29+1-'Historical Score'!$K$29)*(AT277*'Historical Score'!$L$29+1-'Historical Score'!$L$29)*(AS277*'Historical Score'!$M$29+1-'Historical Score'!$M$29)*(AQ277*'Historical Score'!$N$29+1-'Historical Score'!$N$29),0)</f>
        <v/>
      </c>
      <c r="BB277" s="3" t="n"/>
      <c r="BC277" s="3" t="n"/>
    </row>
    <row r="278" ht="15.75" customHeight="1" s="174">
      <c r="A278" s="3" t="inlineStr">
        <is>
          <t>5674167862</t>
        </is>
      </c>
      <c r="B278" s="3" t="inlineStr">
        <is>
          <t>Lulabelle's CLT LLC</t>
        </is>
      </c>
      <c r="C278" s="3" t="inlineStr">
        <is>
          <t>Lulabelle's CLT LLC</t>
        </is>
      </c>
      <c r="D278" s="3" t="inlineStr">
        <is>
          <t>Closed</t>
        </is>
      </c>
      <c r="E278" s="23" t="n">
        <v>45933</v>
      </c>
      <c r="F278" s="23" t="n">
        <v>46139</v>
      </c>
      <c r="G278" s="3" t="n">
        <v>4</v>
      </c>
      <c r="H278" s="3" t="inlineStr">
        <is>
          <t>5812</t>
        </is>
      </c>
      <c r="I278" s="3" t="inlineStr">
        <is>
          <t>58</t>
        </is>
      </c>
      <c r="J278" s="3" t="inlineStr">
        <is>
          <t>NC</t>
        </is>
      </c>
      <c r="K278" s="3" t="inlineStr">
        <is>
          <t>Upright Advance Corp</t>
        </is>
      </c>
      <c r="L278" s="3" t="inlineStr">
        <is>
          <t>New Deal</t>
        </is>
      </c>
      <c r="M278" s="3" t="n">
        <v>1.49</v>
      </c>
      <c r="N278" s="28" t="n">
        <v>15000</v>
      </c>
      <c r="O278" s="28" t="n">
        <v>2100</v>
      </c>
      <c r="P278" s="28" t="n">
        <v>22350</v>
      </c>
      <c r="Q278" s="28" t="n">
        <v>22350</v>
      </c>
      <c r="R278" s="28" t="n">
        <v>0</v>
      </c>
      <c r="S278" s="42" t="n">
        <v>1</v>
      </c>
      <c r="T278" s="3" t="n">
        <v>2.787</v>
      </c>
      <c r="U278" s="3" t="n">
        <v>54</v>
      </c>
      <c r="V278" s="3" t="n">
        <v>207972</v>
      </c>
      <c r="W278" s="42" t="n"/>
      <c r="X278" s="23" t="n">
        <v>44597</v>
      </c>
      <c r="Y278" s="3">
        <f>IF(I278="","No SIC",IFERROR(VLOOKUP(I278,Ref!$A$2:$B$65,2,FALSE()),"Unclassified"))</f>
        <v/>
      </c>
      <c r="Z278" s="3">
        <f>IF(T278="","",IF(T278&lt;12,"Daily","Weekly"))</f>
        <v/>
      </c>
      <c r="AA278" s="3">
        <f>IF(T278="",0,IF(T278&lt;12,T278*Controls!$B$13,T278*5))</f>
        <v/>
      </c>
      <c r="AB278" s="3">
        <f>IF(E278="",0,NETWORKDAYS(E278,Controls!$B$20,Ref!$K$2:$K$42))</f>
        <v/>
      </c>
      <c r="AC278" s="3">
        <f>IF(OR(AF278=1,AND(AA278&gt;0,AB278&gt;=Controls!$B$23*AA278)),1,0)</f>
        <v/>
      </c>
      <c r="AD278" s="3">
        <f>IF(AND(E278&lt;&gt;"",E278&gt;=Controls!$B$21,E278&lt;=Controls!$B$22),1,0)</f>
        <v/>
      </c>
      <c r="AE278" s="3">
        <f>IF(IFERROR(VLOOKUP(D278,Controls!$A$36:$E$46,2,FALSE()),"No")="Yes",1,0)</f>
        <v/>
      </c>
      <c r="AF278" s="3">
        <f>IF(IFERROR(VLOOKUP(D278,Controls!$A$36:$E$46,3,FALSE()),"No")="Yes",1,0)</f>
        <v/>
      </c>
      <c r="AG278" s="3">
        <f>IF(IFERROR(VLOOKUP(D278,Controls!$A$36:$E$46,4,FALSE()),"No")="Yes",1,0)</f>
        <v/>
      </c>
      <c r="AH278" s="3">
        <f>IF(IFERROR(VLOOKUP(D278,Controls!$A$36:$E$46,5,FALSE()),"No")="Yes",1,0)</f>
        <v/>
      </c>
      <c r="AI278" s="3">
        <f>IF(ISNUMBER(MATCH(D278,Controls!$A$36:$A$46,0)),1,0)</f>
        <v/>
      </c>
      <c r="AJ278" s="28">
        <f>Q278-N278</f>
        <v/>
      </c>
      <c r="AK278" s="3">
        <f>IF(AE278=1,MAX(0,N278-Q278),0)</f>
        <v/>
      </c>
      <c r="AL278" s="3">
        <f>IF(OR(V278="",V278=0),0,N278/V278)</f>
        <v/>
      </c>
      <c r="AM278" s="3">
        <f>IF(OR(V278="",V278=0),0,1)</f>
        <v/>
      </c>
      <c r="AN278" s="3">
        <f>IF(OR(E278="",F278=""),0,NETWORKDAYS(E278,F278,Ref!$K$2:$K$42))</f>
        <v/>
      </c>
      <c r="AO278" s="3">
        <f>IF(L278="Renewal",1,0)</f>
        <v/>
      </c>
      <c r="AP278" s="3">
        <f>AC278*AD278</f>
        <v/>
      </c>
      <c r="AQ278" s="3">
        <f>IF(AND(G278&lt;&gt;"",'Historical Score'!$C$6&lt;&gt;""),IF(G278='Historical Score'!$C$6,1,0),0)</f>
        <v/>
      </c>
      <c r="AR278" s="3">
        <f>IF(AND(L278&lt;&gt;"",'Historical Score'!$C$5&lt;&gt;""),IF(L278='Historical Score'!$C$5,1,0),0)</f>
        <v/>
      </c>
      <c r="AS278" s="3">
        <f>IF(AND(Y278&lt;&gt;"",'Historical Score'!$C$7&lt;&gt;""),IF(Y278='Historical Score'!$C$7,1,0),0)</f>
        <v/>
      </c>
      <c r="AT278" s="3">
        <f>IF(AND(K278&lt;&gt;"",'Historical Score'!$C$8&lt;&gt;""),IF(K278='Historical Score'!$C$8,1,0),0)</f>
        <v/>
      </c>
      <c r="AU278" s="3" t="n"/>
      <c r="AV278" s="3" t="n"/>
      <c r="AW278" s="3" t="n"/>
      <c r="AX278" s="3" t="n"/>
      <c r="AY278" s="3" t="n"/>
      <c r="AZ278" s="3" t="n"/>
      <c r="BA278" s="182">
        <f>IF(AD278=1,(AR278*'Historical Score'!$K$29+1-'Historical Score'!$K$29)*(AT278*'Historical Score'!$L$29+1-'Historical Score'!$L$29)*(AS278*'Historical Score'!$M$29+1-'Historical Score'!$M$29)*(AQ278*'Historical Score'!$N$29+1-'Historical Score'!$N$29),0)</f>
        <v/>
      </c>
      <c r="BB278" s="3" t="n"/>
      <c r="BC278" s="3" t="n"/>
    </row>
    <row r="279" ht="15.75" customHeight="1" s="174">
      <c r="A279" s="3" t="inlineStr">
        <is>
          <t>5674167932</t>
        </is>
      </c>
      <c r="B279" s="3" t="inlineStr">
        <is>
          <t>Perfect Minds LLC</t>
        </is>
      </c>
      <c r="C279" s="3" t="inlineStr">
        <is>
          <t>Perfect Minds LLC</t>
        </is>
      </c>
      <c r="D279" s="3" t="inlineStr">
        <is>
          <t>Legal</t>
        </is>
      </c>
      <c r="E279" s="23" t="n">
        <v>45936</v>
      </c>
      <c r="F279" s="23" t="n">
        <v>46127</v>
      </c>
      <c r="G279" s="3" t="n">
        <v>3</v>
      </c>
      <c r="H279" s="3" t="inlineStr">
        <is>
          <t>7363</t>
        </is>
      </c>
      <c r="I279" s="3" t="inlineStr">
        <is>
          <t>73</t>
        </is>
      </c>
      <c r="J279" s="3" t="inlineStr">
        <is>
          <t>CA</t>
        </is>
      </c>
      <c r="K279" s="3" t="inlineStr">
        <is>
          <t>Shore Funding USA</t>
        </is>
      </c>
      <c r="L279" s="3" t="inlineStr">
        <is>
          <t>New Deal</t>
        </is>
      </c>
      <c r="M279" s="3" t="n">
        <v>1.44</v>
      </c>
      <c r="N279" s="28" t="n">
        <v>6000</v>
      </c>
      <c r="O279" s="28" t="n">
        <v>690</v>
      </c>
      <c r="P279" s="28" t="n">
        <v>8640</v>
      </c>
      <c r="Q279" s="28" t="n">
        <v>4226.63</v>
      </c>
      <c r="R279" s="28" t="n">
        <v>4413.37</v>
      </c>
      <c r="S279" s="42" t="n">
        <v>0.489193287037037</v>
      </c>
      <c r="T279" s="3" t="n">
        <v>2.951</v>
      </c>
      <c r="U279" s="3" t="n">
        <v>21</v>
      </c>
      <c r="V279" s="3" t="n">
        <v>28231.97</v>
      </c>
      <c r="W279" s="42" t="n">
        <v>0.07140000000000001</v>
      </c>
      <c r="X279" s="23" t="n">
        <v>44193</v>
      </c>
      <c r="Y279" s="3">
        <f>IF(I279="","No SIC",IFERROR(VLOOKUP(I279,Ref!$A$2:$B$65,2,FALSE()),"Unclassified"))</f>
        <v/>
      </c>
      <c r="Z279" s="3">
        <f>IF(T279="","",IF(T279&lt;12,"Daily","Weekly"))</f>
        <v/>
      </c>
      <c r="AA279" s="3">
        <f>IF(T279="",0,IF(T279&lt;12,T279*Controls!$B$13,T279*5))</f>
        <v/>
      </c>
      <c r="AB279" s="3">
        <f>IF(E279="",0,NETWORKDAYS(E279,Controls!$B$20,Ref!$K$2:$K$42))</f>
        <v/>
      </c>
      <c r="AC279" s="3">
        <f>IF(OR(AF279=1,AND(AA279&gt;0,AB279&gt;=Controls!$B$23*AA279)),1,0)</f>
        <v/>
      </c>
      <c r="AD279" s="3">
        <f>IF(AND(E279&lt;&gt;"",E279&gt;=Controls!$B$21,E279&lt;=Controls!$B$22),1,0)</f>
        <v/>
      </c>
      <c r="AE279" s="3">
        <f>IF(IFERROR(VLOOKUP(D279,Controls!$A$36:$E$46,2,FALSE()),"No")="Yes",1,0)</f>
        <v/>
      </c>
      <c r="AF279" s="3">
        <f>IF(IFERROR(VLOOKUP(D279,Controls!$A$36:$E$46,3,FALSE()),"No")="Yes",1,0)</f>
        <v/>
      </c>
      <c r="AG279" s="3">
        <f>IF(IFERROR(VLOOKUP(D279,Controls!$A$36:$E$46,4,FALSE()),"No")="Yes",1,0)</f>
        <v/>
      </c>
      <c r="AH279" s="3">
        <f>IF(IFERROR(VLOOKUP(D279,Controls!$A$36:$E$46,5,FALSE()),"No")="Yes",1,0)</f>
        <v/>
      </c>
      <c r="AI279" s="3">
        <f>IF(ISNUMBER(MATCH(D279,Controls!$A$36:$A$46,0)),1,0)</f>
        <v/>
      </c>
      <c r="AJ279" s="28">
        <f>Q279-N279</f>
        <v/>
      </c>
      <c r="AK279" s="3">
        <f>IF(AE279=1,MAX(0,N279-Q279),0)</f>
        <v/>
      </c>
      <c r="AL279" s="3">
        <f>IF(OR(V279="",V279=0),0,N279/V279)</f>
        <v/>
      </c>
      <c r="AM279" s="3">
        <f>IF(OR(V279="",V279=0),0,1)</f>
        <v/>
      </c>
      <c r="AN279" s="3">
        <f>IF(OR(E279="",F279=""),0,NETWORKDAYS(E279,F279,Ref!$K$2:$K$42))</f>
        <v/>
      </c>
      <c r="AO279" s="3">
        <f>IF(L279="Renewal",1,0)</f>
        <v/>
      </c>
      <c r="AP279" s="3">
        <f>AC279*AD279</f>
        <v/>
      </c>
      <c r="AQ279" s="3">
        <f>IF(AND(G279&lt;&gt;"",'Historical Score'!$C$6&lt;&gt;""),IF(G279='Historical Score'!$C$6,1,0),0)</f>
        <v/>
      </c>
      <c r="AR279" s="3">
        <f>IF(AND(L279&lt;&gt;"",'Historical Score'!$C$5&lt;&gt;""),IF(L279='Historical Score'!$C$5,1,0),0)</f>
        <v/>
      </c>
      <c r="AS279" s="3">
        <f>IF(AND(Y279&lt;&gt;"",'Historical Score'!$C$7&lt;&gt;""),IF(Y279='Historical Score'!$C$7,1,0),0)</f>
        <v/>
      </c>
      <c r="AT279" s="3">
        <f>IF(AND(K279&lt;&gt;"",'Historical Score'!$C$8&lt;&gt;""),IF(K279='Historical Score'!$C$8,1,0),0)</f>
        <v/>
      </c>
      <c r="AU279" s="3" t="n"/>
      <c r="AV279" s="3" t="n"/>
      <c r="AW279" s="3" t="n"/>
      <c r="AX279" s="3" t="n"/>
      <c r="AY279" s="3" t="n"/>
      <c r="AZ279" s="3" t="n"/>
      <c r="BA279" s="182">
        <f>IF(AD279=1,(AR279*'Historical Score'!$K$29+1-'Historical Score'!$K$29)*(AT279*'Historical Score'!$L$29+1-'Historical Score'!$L$29)*(AS279*'Historical Score'!$M$29+1-'Historical Score'!$M$29)*(AQ279*'Historical Score'!$N$29+1-'Historical Score'!$N$29),0)</f>
        <v/>
      </c>
      <c r="BB279" s="3" t="n"/>
      <c r="BC279" s="3" t="n"/>
    </row>
    <row r="280" ht="15.75" customHeight="1" s="174">
      <c r="A280" s="3" t="inlineStr">
        <is>
          <t>5674167952</t>
        </is>
      </c>
      <c r="B280" s="3" t="inlineStr">
        <is>
          <t>Born Again Cleaning Services LLC</t>
        </is>
      </c>
      <c r="C280" s="3" t="inlineStr">
        <is>
          <t>Born Again Cleaning Services LLC</t>
        </is>
      </c>
      <c r="D280" s="3" t="inlineStr">
        <is>
          <t>Closed</t>
        </is>
      </c>
      <c r="E280" s="23" t="n">
        <v>45936</v>
      </c>
      <c r="F280" s="23" t="n">
        <v>46080</v>
      </c>
      <c r="G280" s="3" t="n">
        <v>1</v>
      </c>
      <c r="H280" s="3" t="inlineStr">
        <is>
          <t>7349</t>
        </is>
      </c>
      <c r="I280" s="3" t="inlineStr">
        <is>
          <t>73</t>
        </is>
      </c>
      <c r="J280" s="3" t="inlineStr">
        <is>
          <t>KY</t>
        </is>
      </c>
      <c r="K280" s="3" t="inlineStr">
        <is>
          <t>Fundwell</t>
        </is>
      </c>
      <c r="L280" s="3" t="inlineStr">
        <is>
          <t>New Deal</t>
        </is>
      </c>
      <c r="M280" s="3" t="n">
        <v>1.46</v>
      </c>
      <c r="N280" s="28" t="n">
        <v>5500</v>
      </c>
      <c r="O280" s="28" t="n">
        <v>825</v>
      </c>
      <c r="P280" s="28" t="n">
        <v>8030</v>
      </c>
      <c r="Q280" s="28" t="n">
        <v>8030</v>
      </c>
      <c r="R280" s="28" t="n">
        <v>0</v>
      </c>
      <c r="S280" s="42" t="n">
        <v>1</v>
      </c>
      <c r="T280" s="3" t="n">
        <v>20</v>
      </c>
      <c r="U280" s="3" t="n">
        <v>0</v>
      </c>
      <c r="V280" s="3" t="n">
        <v>17862.12</v>
      </c>
      <c r="W280" s="42" t="n">
        <v>0.08989999999999999</v>
      </c>
      <c r="X280" s="23" t="n">
        <v>35674</v>
      </c>
      <c r="Y280" s="3">
        <f>IF(I280="","No SIC",IFERROR(VLOOKUP(I280,Ref!$A$2:$B$65,2,FALSE()),"Unclassified"))</f>
        <v/>
      </c>
      <c r="Z280" s="3">
        <f>IF(T280="","",IF(T280&lt;12,"Daily","Weekly"))</f>
        <v/>
      </c>
      <c r="AA280" s="3">
        <f>IF(T280="",0,IF(T280&lt;12,T280*Controls!$B$13,T280*5))</f>
        <v/>
      </c>
      <c r="AB280" s="3">
        <f>IF(E280="",0,NETWORKDAYS(E280,Controls!$B$20,Ref!$K$2:$K$42))</f>
        <v/>
      </c>
      <c r="AC280" s="3">
        <f>IF(OR(AF280=1,AND(AA280&gt;0,AB280&gt;=Controls!$B$23*AA280)),1,0)</f>
        <v/>
      </c>
      <c r="AD280" s="3">
        <f>IF(AND(E280&lt;&gt;"",E280&gt;=Controls!$B$21,E280&lt;=Controls!$B$22),1,0)</f>
        <v/>
      </c>
      <c r="AE280" s="3">
        <f>IF(IFERROR(VLOOKUP(D280,Controls!$A$36:$E$46,2,FALSE()),"No")="Yes",1,0)</f>
        <v/>
      </c>
      <c r="AF280" s="3">
        <f>IF(IFERROR(VLOOKUP(D280,Controls!$A$36:$E$46,3,FALSE()),"No")="Yes",1,0)</f>
        <v/>
      </c>
      <c r="AG280" s="3">
        <f>IF(IFERROR(VLOOKUP(D280,Controls!$A$36:$E$46,4,FALSE()),"No")="Yes",1,0)</f>
        <v/>
      </c>
      <c r="AH280" s="3">
        <f>IF(IFERROR(VLOOKUP(D280,Controls!$A$36:$E$46,5,FALSE()),"No")="Yes",1,0)</f>
        <v/>
      </c>
      <c r="AI280" s="3">
        <f>IF(ISNUMBER(MATCH(D280,Controls!$A$36:$A$46,0)),1,0)</f>
        <v/>
      </c>
      <c r="AJ280" s="28">
        <f>Q280-N280</f>
        <v/>
      </c>
      <c r="AK280" s="3">
        <f>IF(AE280=1,MAX(0,N280-Q280),0)</f>
        <v/>
      </c>
      <c r="AL280" s="3">
        <f>IF(OR(V280="",V280=0),0,N280/V280)</f>
        <v/>
      </c>
      <c r="AM280" s="3">
        <f>IF(OR(V280="",V280=0),0,1)</f>
        <v/>
      </c>
      <c r="AN280" s="3">
        <f>IF(OR(E280="",F280=""),0,NETWORKDAYS(E280,F280,Ref!$K$2:$K$42))</f>
        <v/>
      </c>
      <c r="AO280" s="3">
        <f>IF(L280="Renewal",1,0)</f>
        <v/>
      </c>
      <c r="AP280" s="3">
        <f>AC280*AD280</f>
        <v/>
      </c>
      <c r="AQ280" s="3">
        <f>IF(AND(G280&lt;&gt;"",'Historical Score'!$C$6&lt;&gt;""),IF(G280='Historical Score'!$C$6,1,0),0)</f>
        <v/>
      </c>
      <c r="AR280" s="3">
        <f>IF(AND(L280&lt;&gt;"",'Historical Score'!$C$5&lt;&gt;""),IF(L280='Historical Score'!$C$5,1,0),0)</f>
        <v/>
      </c>
      <c r="AS280" s="3">
        <f>IF(AND(Y280&lt;&gt;"",'Historical Score'!$C$7&lt;&gt;""),IF(Y280='Historical Score'!$C$7,1,0),0)</f>
        <v/>
      </c>
      <c r="AT280" s="3">
        <f>IF(AND(K280&lt;&gt;"",'Historical Score'!$C$8&lt;&gt;""),IF(K280='Historical Score'!$C$8,1,0),0)</f>
        <v/>
      </c>
      <c r="AU280" s="3" t="n"/>
      <c r="AV280" s="3" t="n"/>
      <c r="AW280" s="3" t="n"/>
      <c r="AX280" s="3" t="n"/>
      <c r="AY280" s="3" t="n"/>
      <c r="AZ280" s="3" t="n"/>
      <c r="BA280" s="182">
        <f>IF(AD280=1,(AR280*'Historical Score'!$K$29+1-'Historical Score'!$K$29)*(AT280*'Historical Score'!$L$29+1-'Historical Score'!$L$29)*(AS280*'Historical Score'!$M$29+1-'Historical Score'!$M$29)*(AQ280*'Historical Score'!$N$29+1-'Historical Score'!$N$29),0)</f>
        <v/>
      </c>
      <c r="BB280" s="3" t="n"/>
      <c r="BC280" s="3" t="n"/>
    </row>
    <row r="281" ht="15.75" customHeight="1" s="174">
      <c r="A281" s="3" t="inlineStr">
        <is>
          <t>5674167960</t>
        </is>
      </c>
      <c r="B281" s="3" t="inlineStr">
        <is>
          <t>ALL IN LAND &amp; PROPERTY DEVELOPMENT INC</t>
        </is>
      </c>
      <c r="C281" s="3" t="inlineStr">
        <is>
          <t>ALL IN LAND &amp; PROPERTY DEVELOPMENT INC</t>
        </is>
      </c>
      <c r="D281" s="3" t="inlineStr">
        <is>
          <t>Legal</t>
        </is>
      </c>
      <c r="E281" s="23" t="n">
        <v>45937</v>
      </c>
      <c r="F281" s="23" t="n">
        <v>45939</v>
      </c>
      <c r="G281" s="3" t="n">
        <v>1</v>
      </c>
      <c r="H281" s="3" t="inlineStr">
        <is>
          <t>1521</t>
        </is>
      </c>
      <c r="I281" s="3" t="inlineStr">
        <is>
          <t>15</t>
        </is>
      </c>
      <c r="J281" s="3" t="inlineStr">
        <is>
          <t>KS</t>
        </is>
      </c>
      <c r="K281" s="3" t="inlineStr">
        <is>
          <t>Fundward</t>
        </is>
      </c>
      <c r="L281" s="3" t="inlineStr">
        <is>
          <t>New Deal</t>
        </is>
      </c>
      <c r="M281" s="3" t="n">
        <v>1.49</v>
      </c>
      <c r="N281" s="28" t="n">
        <v>20000</v>
      </c>
      <c r="O281" s="28" t="n">
        <v>0</v>
      </c>
      <c r="P281" s="28" t="n">
        <v>29800</v>
      </c>
      <c r="Q281" s="28" t="n">
        <v>0</v>
      </c>
      <c r="R281" s="28" t="n">
        <v>29800</v>
      </c>
      <c r="S281" s="42" t="n">
        <v>0</v>
      </c>
      <c r="T281" s="3" t="n">
        <v>0.984</v>
      </c>
      <c r="U281" s="3" t="n">
        <v>2</v>
      </c>
      <c r="V281" s="3" t="n">
        <v>186933.2</v>
      </c>
      <c r="W281" s="42" t="n">
        <v>0.1116</v>
      </c>
      <c r="X281" s="23" t="n">
        <v>45518</v>
      </c>
      <c r="Y281" s="3">
        <f>IF(I281="","No SIC",IFERROR(VLOOKUP(I281,Ref!$A$2:$B$65,2,FALSE()),"Unclassified"))</f>
        <v/>
      </c>
      <c r="Z281" s="3">
        <f>IF(T281="","",IF(T281&lt;12,"Daily","Weekly"))</f>
        <v/>
      </c>
      <c r="AA281" s="3">
        <f>IF(T281="",0,IF(T281&lt;12,T281*Controls!$B$13,T281*5))</f>
        <v/>
      </c>
      <c r="AB281" s="3">
        <f>IF(E281="",0,NETWORKDAYS(E281,Controls!$B$20,Ref!$K$2:$K$42))</f>
        <v/>
      </c>
      <c r="AC281" s="3">
        <f>IF(OR(AF281=1,AND(AA281&gt;0,AB281&gt;=Controls!$B$23*AA281)),1,0)</f>
        <v/>
      </c>
      <c r="AD281" s="3">
        <f>IF(AND(E281&lt;&gt;"",E281&gt;=Controls!$B$21,E281&lt;=Controls!$B$22),1,0)</f>
        <v/>
      </c>
      <c r="AE281" s="3">
        <f>IF(IFERROR(VLOOKUP(D281,Controls!$A$36:$E$46,2,FALSE()),"No")="Yes",1,0)</f>
        <v/>
      </c>
      <c r="AF281" s="3">
        <f>IF(IFERROR(VLOOKUP(D281,Controls!$A$36:$E$46,3,FALSE()),"No")="Yes",1,0)</f>
        <v/>
      </c>
      <c r="AG281" s="3">
        <f>IF(IFERROR(VLOOKUP(D281,Controls!$A$36:$E$46,4,FALSE()),"No")="Yes",1,0)</f>
        <v/>
      </c>
      <c r="AH281" s="3">
        <f>IF(IFERROR(VLOOKUP(D281,Controls!$A$36:$E$46,5,FALSE()),"No")="Yes",1,0)</f>
        <v/>
      </c>
      <c r="AI281" s="3">
        <f>IF(ISNUMBER(MATCH(D281,Controls!$A$36:$A$46,0)),1,0)</f>
        <v/>
      </c>
      <c r="AJ281" s="28">
        <f>Q281-N281</f>
        <v/>
      </c>
      <c r="AK281" s="3">
        <f>IF(AE281=1,MAX(0,N281-Q281),0)</f>
        <v/>
      </c>
      <c r="AL281" s="3">
        <f>IF(OR(V281="",V281=0),0,N281/V281)</f>
        <v/>
      </c>
      <c r="AM281" s="3">
        <f>IF(OR(V281="",V281=0),0,1)</f>
        <v/>
      </c>
      <c r="AN281" s="3">
        <f>IF(OR(E281="",F281=""),0,NETWORKDAYS(E281,F281,Ref!$K$2:$K$42))</f>
        <v/>
      </c>
      <c r="AO281" s="3">
        <f>IF(L281="Renewal",1,0)</f>
        <v/>
      </c>
      <c r="AP281" s="3">
        <f>AC281*AD281</f>
        <v/>
      </c>
      <c r="AQ281" s="3">
        <f>IF(AND(G281&lt;&gt;"",'Historical Score'!$C$6&lt;&gt;""),IF(G281='Historical Score'!$C$6,1,0),0)</f>
        <v/>
      </c>
      <c r="AR281" s="3">
        <f>IF(AND(L281&lt;&gt;"",'Historical Score'!$C$5&lt;&gt;""),IF(L281='Historical Score'!$C$5,1,0),0)</f>
        <v/>
      </c>
      <c r="AS281" s="3">
        <f>IF(AND(Y281&lt;&gt;"",'Historical Score'!$C$7&lt;&gt;""),IF(Y281='Historical Score'!$C$7,1,0),0)</f>
        <v/>
      </c>
      <c r="AT281" s="3">
        <f>IF(AND(K281&lt;&gt;"",'Historical Score'!$C$8&lt;&gt;""),IF(K281='Historical Score'!$C$8,1,0),0)</f>
        <v/>
      </c>
      <c r="AU281" s="3" t="n"/>
      <c r="AV281" s="3" t="n"/>
      <c r="AW281" s="3" t="n"/>
      <c r="AX281" s="3" t="n"/>
      <c r="AY281" s="3" t="n"/>
      <c r="AZ281" s="3" t="n"/>
      <c r="BA281" s="182">
        <f>IF(AD281=1,(AR281*'Historical Score'!$K$29+1-'Historical Score'!$K$29)*(AT281*'Historical Score'!$L$29+1-'Historical Score'!$L$29)*(AS281*'Historical Score'!$M$29+1-'Historical Score'!$M$29)*(AQ281*'Historical Score'!$N$29+1-'Historical Score'!$N$29),0)</f>
        <v/>
      </c>
      <c r="BB281" s="3" t="n"/>
      <c r="BC281" s="3" t="n"/>
    </row>
    <row r="282" ht="15.75" customHeight="1" s="174">
      <c r="A282" s="3" t="inlineStr">
        <is>
          <t>5674167974</t>
        </is>
      </c>
      <c r="B282" s="3" t="inlineStr">
        <is>
          <t>6BLU</t>
        </is>
      </c>
      <c r="C282" s="3" t="inlineStr">
        <is>
          <t>6Blu Inc</t>
        </is>
      </c>
      <c r="D282" s="3" t="inlineStr">
        <is>
          <t>Legal</t>
        </is>
      </c>
      <c r="E282" s="23" t="n">
        <v>45937</v>
      </c>
      <c r="F282" s="23" t="n">
        <v>46253</v>
      </c>
      <c r="G282" s="3" t="n">
        <v>3</v>
      </c>
      <c r="H282" s="3" t="inlineStr">
        <is>
          <t>5999</t>
        </is>
      </c>
      <c r="I282" s="3" t="inlineStr">
        <is>
          <t>59</t>
        </is>
      </c>
      <c r="J282" s="3" t="inlineStr">
        <is>
          <t>CA</t>
        </is>
      </c>
      <c r="K282" s="3" t="inlineStr">
        <is>
          <t>Fundwell</t>
        </is>
      </c>
      <c r="L282" s="3" t="inlineStr">
        <is>
          <t>New Deal</t>
        </is>
      </c>
      <c r="M282" s="3" t="n">
        <v>1.39</v>
      </c>
      <c r="N282" s="28" t="n">
        <v>30000</v>
      </c>
      <c r="O282" s="28" t="n">
        <v>3600</v>
      </c>
      <c r="P282" s="28" t="n">
        <v>41700</v>
      </c>
      <c r="Q282" s="28" t="n">
        <v>23174.5</v>
      </c>
      <c r="R282" s="28" t="n">
        <v>18525.5</v>
      </c>
      <c r="S282" s="42" t="n">
        <v>0.555743405275779</v>
      </c>
      <c r="T282" s="3" t="n">
        <v>26</v>
      </c>
      <c r="U282" s="3" t="n">
        <v>20</v>
      </c>
      <c r="V282" s="3" t="n">
        <v>222750.05</v>
      </c>
      <c r="W282" s="42" t="n">
        <v>0.0288</v>
      </c>
      <c r="X282" s="23" t="n">
        <v>42128</v>
      </c>
      <c r="Y282" s="3">
        <f>IF(I282="","No SIC",IFERROR(VLOOKUP(I282,Ref!$A$2:$B$65,2,FALSE()),"Unclassified"))</f>
        <v/>
      </c>
      <c r="Z282" s="3">
        <f>IF(T282="","",IF(T282&lt;12,"Daily","Weekly"))</f>
        <v/>
      </c>
      <c r="AA282" s="3">
        <f>IF(T282="",0,IF(T282&lt;12,T282*Controls!$B$13,T282*5))</f>
        <v/>
      </c>
      <c r="AB282" s="3">
        <f>IF(E282="",0,NETWORKDAYS(E282,Controls!$B$20,Ref!$K$2:$K$42))</f>
        <v/>
      </c>
      <c r="AC282" s="3">
        <f>IF(OR(AF282=1,AND(AA282&gt;0,AB282&gt;=Controls!$B$23*AA282)),1,0)</f>
        <v/>
      </c>
      <c r="AD282" s="3">
        <f>IF(AND(E282&lt;&gt;"",E282&gt;=Controls!$B$21,E282&lt;=Controls!$B$22),1,0)</f>
        <v/>
      </c>
      <c r="AE282" s="3">
        <f>IF(IFERROR(VLOOKUP(D282,Controls!$A$36:$E$46,2,FALSE()),"No")="Yes",1,0)</f>
        <v/>
      </c>
      <c r="AF282" s="3">
        <f>IF(IFERROR(VLOOKUP(D282,Controls!$A$36:$E$46,3,FALSE()),"No")="Yes",1,0)</f>
        <v/>
      </c>
      <c r="AG282" s="3">
        <f>IF(IFERROR(VLOOKUP(D282,Controls!$A$36:$E$46,4,FALSE()),"No")="Yes",1,0)</f>
        <v/>
      </c>
      <c r="AH282" s="3">
        <f>IF(IFERROR(VLOOKUP(D282,Controls!$A$36:$E$46,5,FALSE()),"No")="Yes",1,0)</f>
        <v/>
      </c>
      <c r="AI282" s="3">
        <f>IF(ISNUMBER(MATCH(D282,Controls!$A$36:$A$46,0)),1,0)</f>
        <v/>
      </c>
      <c r="AJ282" s="28">
        <f>Q282-N282</f>
        <v/>
      </c>
      <c r="AK282" s="3">
        <f>IF(AE282=1,MAX(0,N282-Q282),0)</f>
        <v/>
      </c>
      <c r="AL282" s="3">
        <f>IF(OR(V282="",V282=0),0,N282/V282)</f>
        <v/>
      </c>
      <c r="AM282" s="3">
        <f>IF(OR(V282="",V282=0),0,1)</f>
        <v/>
      </c>
      <c r="AN282" s="3">
        <f>IF(OR(E282="",F282=""),0,NETWORKDAYS(E282,F282,Ref!$K$2:$K$42))</f>
        <v/>
      </c>
      <c r="AO282" s="3">
        <f>IF(L282="Renewal",1,0)</f>
        <v/>
      </c>
      <c r="AP282" s="3">
        <f>AC282*AD282</f>
        <v/>
      </c>
      <c r="AQ282" s="3">
        <f>IF(AND(G282&lt;&gt;"",'Historical Score'!$C$6&lt;&gt;""),IF(G282='Historical Score'!$C$6,1,0),0)</f>
        <v/>
      </c>
      <c r="AR282" s="3">
        <f>IF(AND(L282&lt;&gt;"",'Historical Score'!$C$5&lt;&gt;""),IF(L282='Historical Score'!$C$5,1,0),0)</f>
        <v/>
      </c>
      <c r="AS282" s="3">
        <f>IF(AND(Y282&lt;&gt;"",'Historical Score'!$C$7&lt;&gt;""),IF(Y282='Historical Score'!$C$7,1,0),0)</f>
        <v/>
      </c>
      <c r="AT282" s="3">
        <f>IF(AND(K282&lt;&gt;"",'Historical Score'!$C$8&lt;&gt;""),IF(K282='Historical Score'!$C$8,1,0),0)</f>
        <v/>
      </c>
      <c r="AU282" s="3" t="n"/>
      <c r="AV282" s="3" t="n"/>
      <c r="AW282" s="3" t="n"/>
      <c r="AX282" s="3" t="n"/>
      <c r="AY282" s="3" t="n"/>
      <c r="AZ282" s="3" t="n"/>
      <c r="BA282" s="182">
        <f>IF(AD282=1,(AR282*'Historical Score'!$K$29+1-'Historical Score'!$K$29)*(AT282*'Historical Score'!$L$29+1-'Historical Score'!$L$29)*(AS282*'Historical Score'!$M$29+1-'Historical Score'!$M$29)*(AQ282*'Historical Score'!$N$29+1-'Historical Score'!$N$29),0)</f>
        <v/>
      </c>
      <c r="BB282" s="3" t="n"/>
      <c r="BC282" s="3" t="n"/>
    </row>
    <row r="283" ht="15.75" customHeight="1" s="174">
      <c r="A283" s="3" t="inlineStr">
        <is>
          <t>5674167996</t>
        </is>
      </c>
      <c r="B283" s="3" t="inlineStr">
        <is>
          <t>CNG CLEANING SOLUTIONS</t>
        </is>
      </c>
      <c r="C283" s="3" t="inlineStr">
        <is>
          <t>CNG CLEANING SOLUTIONS LLC</t>
        </is>
      </c>
      <c r="D283" s="3" t="inlineStr">
        <is>
          <t>Lowered Payments</t>
        </is>
      </c>
      <c r="E283" s="23" t="n">
        <v>45937</v>
      </c>
      <c r="F283" s="23" t="n">
        <v>46248</v>
      </c>
      <c r="G283" s="3" t="n">
        <v>3</v>
      </c>
      <c r="H283" s="3" t="inlineStr">
        <is>
          <t>7349</t>
        </is>
      </c>
      <c r="I283" s="3" t="inlineStr">
        <is>
          <t>73</t>
        </is>
      </c>
      <c r="J283" s="3" t="inlineStr">
        <is>
          <t>FL</t>
        </is>
      </c>
      <c r="K283" s="3" t="inlineStr">
        <is>
          <t>Fundwell</t>
        </is>
      </c>
      <c r="L283" s="3" t="inlineStr">
        <is>
          <t>New Deal</t>
        </is>
      </c>
      <c r="M283" s="3" t="n">
        <v>1.36</v>
      </c>
      <c r="N283" s="28" t="n">
        <v>60000</v>
      </c>
      <c r="O283" s="28" t="n">
        <v>5400</v>
      </c>
      <c r="P283" s="28" t="n">
        <v>81600</v>
      </c>
      <c r="Q283" s="28" t="n">
        <v>47977.95</v>
      </c>
      <c r="R283" s="28" t="n">
        <v>33622.05</v>
      </c>
      <c r="S283" s="42" t="n">
        <v>0.587965073529412</v>
      </c>
      <c r="T283" s="3" t="n">
        <v>40</v>
      </c>
      <c r="U283" s="3" t="n">
        <v>29</v>
      </c>
      <c r="V283" s="3" t="n">
        <v>145091.44</v>
      </c>
      <c r="W283" s="42" t="n">
        <v>0.0562</v>
      </c>
      <c r="X283" s="23" t="n">
        <v>43242</v>
      </c>
      <c r="Y283" s="3">
        <f>IF(I283="","No SIC",IFERROR(VLOOKUP(I283,Ref!$A$2:$B$65,2,FALSE()),"Unclassified"))</f>
        <v/>
      </c>
      <c r="Z283" s="3">
        <f>IF(T283="","",IF(T283&lt;12,"Daily","Weekly"))</f>
        <v/>
      </c>
      <c r="AA283" s="3">
        <f>IF(T283="",0,IF(T283&lt;12,T283*Controls!$B$13,T283*5))</f>
        <v/>
      </c>
      <c r="AB283" s="3">
        <f>IF(E283="",0,NETWORKDAYS(E283,Controls!$B$20,Ref!$K$2:$K$42))</f>
        <v/>
      </c>
      <c r="AC283" s="3">
        <f>IF(OR(AF283=1,AND(AA283&gt;0,AB283&gt;=Controls!$B$23*AA283)),1,0)</f>
        <v/>
      </c>
      <c r="AD283" s="3">
        <f>IF(AND(E283&lt;&gt;"",E283&gt;=Controls!$B$21,E283&lt;=Controls!$B$22),1,0)</f>
        <v/>
      </c>
      <c r="AE283" s="3">
        <f>IF(IFERROR(VLOOKUP(D283,Controls!$A$36:$E$46,2,FALSE()),"No")="Yes",1,0)</f>
        <v/>
      </c>
      <c r="AF283" s="3">
        <f>IF(IFERROR(VLOOKUP(D283,Controls!$A$36:$E$46,3,FALSE()),"No")="Yes",1,0)</f>
        <v/>
      </c>
      <c r="AG283" s="3">
        <f>IF(IFERROR(VLOOKUP(D283,Controls!$A$36:$E$46,4,FALSE()),"No")="Yes",1,0)</f>
        <v/>
      </c>
      <c r="AH283" s="3">
        <f>IF(IFERROR(VLOOKUP(D283,Controls!$A$36:$E$46,5,FALSE()),"No")="Yes",1,0)</f>
        <v/>
      </c>
      <c r="AI283" s="3">
        <f>IF(ISNUMBER(MATCH(D283,Controls!$A$36:$A$46,0)),1,0)</f>
        <v/>
      </c>
      <c r="AJ283" s="28">
        <f>Q283-N283</f>
        <v/>
      </c>
      <c r="AK283" s="3">
        <f>IF(AE283=1,MAX(0,N283-Q283),0)</f>
        <v/>
      </c>
      <c r="AL283" s="3">
        <f>IF(OR(V283="",V283=0),0,N283/V283)</f>
        <v/>
      </c>
      <c r="AM283" s="3">
        <f>IF(OR(V283="",V283=0),0,1)</f>
        <v/>
      </c>
      <c r="AN283" s="3">
        <f>IF(OR(E283="",F283=""),0,NETWORKDAYS(E283,F283,Ref!$K$2:$K$42))</f>
        <v/>
      </c>
      <c r="AO283" s="3">
        <f>IF(L283="Renewal",1,0)</f>
        <v/>
      </c>
      <c r="AP283" s="3">
        <f>AC283*AD283</f>
        <v/>
      </c>
      <c r="AQ283" s="3">
        <f>IF(AND(G283&lt;&gt;"",'Historical Score'!$C$6&lt;&gt;""),IF(G283='Historical Score'!$C$6,1,0),0)</f>
        <v/>
      </c>
      <c r="AR283" s="3">
        <f>IF(AND(L283&lt;&gt;"",'Historical Score'!$C$5&lt;&gt;""),IF(L283='Historical Score'!$C$5,1,0),0)</f>
        <v/>
      </c>
      <c r="AS283" s="3">
        <f>IF(AND(Y283&lt;&gt;"",'Historical Score'!$C$7&lt;&gt;""),IF(Y283='Historical Score'!$C$7,1,0),0)</f>
        <v/>
      </c>
      <c r="AT283" s="3">
        <f>IF(AND(K283&lt;&gt;"",'Historical Score'!$C$8&lt;&gt;""),IF(K283='Historical Score'!$C$8,1,0),0)</f>
        <v/>
      </c>
      <c r="AU283" s="3" t="n"/>
      <c r="AV283" s="3" t="n"/>
      <c r="AW283" s="3" t="n"/>
      <c r="AX283" s="3" t="n"/>
      <c r="AY283" s="3" t="n"/>
      <c r="AZ283" s="3" t="n"/>
      <c r="BA283" s="182">
        <f>IF(AD283=1,(AR283*'Historical Score'!$K$29+1-'Historical Score'!$K$29)*(AT283*'Historical Score'!$L$29+1-'Historical Score'!$L$29)*(AS283*'Historical Score'!$M$29+1-'Historical Score'!$M$29)*(AQ283*'Historical Score'!$N$29+1-'Historical Score'!$N$29),0)</f>
        <v/>
      </c>
      <c r="BB283" s="3" t="n"/>
      <c r="BC283" s="3" t="n"/>
    </row>
    <row r="284" ht="15.75" customHeight="1" s="174">
      <c r="A284" s="3" t="inlineStr">
        <is>
          <t>5674168062</t>
        </is>
      </c>
      <c r="B284" s="3" t="inlineStr">
        <is>
          <t>REDLINE FORESTRY MULCHING LLC</t>
        </is>
      </c>
      <c r="C284" s="3" t="inlineStr">
        <is>
          <t>REDLINE FORESTRY MULCHING LLC</t>
        </is>
      </c>
      <c r="D284" s="3" t="inlineStr">
        <is>
          <t>Open</t>
        </is>
      </c>
      <c r="E284" s="23" t="n">
        <v>45939</v>
      </c>
      <c r="F284" s="23" t="n">
        <v>46251</v>
      </c>
      <c r="G284" s="3" t="n">
        <v>3</v>
      </c>
      <c r="H284" s="3" t="inlineStr">
        <is>
          <t>0781</t>
        </is>
      </c>
      <c r="I284" s="3" t="inlineStr">
        <is>
          <t>07</t>
        </is>
      </c>
      <c r="J284" s="3" t="inlineStr">
        <is>
          <t>NC</t>
        </is>
      </c>
      <c r="K284" s="3" t="inlineStr">
        <is>
          <t>United Secured Capital 8</t>
        </is>
      </c>
      <c r="L284" s="3" t="inlineStr">
        <is>
          <t>Renewal</t>
        </is>
      </c>
      <c r="M284" s="3" t="n">
        <v>1.49</v>
      </c>
      <c r="N284" s="28" t="n">
        <v>20000</v>
      </c>
      <c r="O284" s="28" t="n">
        <v>2800</v>
      </c>
      <c r="P284" s="28" t="n">
        <v>29800</v>
      </c>
      <c r="Q284" s="28" t="n">
        <v>10262.55</v>
      </c>
      <c r="R284" s="28" t="n">
        <v>19537.45</v>
      </c>
      <c r="S284" s="42" t="n">
        <v>0.344380872483222</v>
      </c>
      <c r="T284" s="3" t="n">
        <v>2.951</v>
      </c>
      <c r="U284" s="3" t="n">
        <v>16</v>
      </c>
      <c r="V284" s="3" t="n">
        <v>27587.37</v>
      </c>
      <c r="W284" s="42" t="n">
        <v>0.252</v>
      </c>
      <c r="X284" s="23" t="n"/>
      <c r="Y284" s="3">
        <f>IF(I284="","No SIC",IFERROR(VLOOKUP(I284,Ref!$A$2:$B$65,2,FALSE()),"Unclassified"))</f>
        <v/>
      </c>
      <c r="Z284" s="3">
        <f>IF(T284="","",IF(T284&lt;12,"Daily","Weekly"))</f>
        <v/>
      </c>
      <c r="AA284" s="3">
        <f>IF(T284="",0,IF(T284&lt;12,T284*Controls!$B$13,T284*5))</f>
        <v/>
      </c>
      <c r="AB284" s="3">
        <f>IF(E284="",0,NETWORKDAYS(E284,Controls!$B$20,Ref!$K$2:$K$42))</f>
        <v/>
      </c>
      <c r="AC284" s="3">
        <f>IF(OR(AF284=1,AND(AA284&gt;0,AB284&gt;=Controls!$B$23*AA284)),1,0)</f>
        <v/>
      </c>
      <c r="AD284" s="3">
        <f>IF(AND(E284&lt;&gt;"",E284&gt;=Controls!$B$21,E284&lt;=Controls!$B$22),1,0)</f>
        <v/>
      </c>
      <c r="AE284" s="3">
        <f>IF(IFERROR(VLOOKUP(D284,Controls!$A$36:$E$46,2,FALSE()),"No")="Yes",1,0)</f>
        <v/>
      </c>
      <c r="AF284" s="3">
        <f>IF(IFERROR(VLOOKUP(D284,Controls!$A$36:$E$46,3,FALSE()),"No")="Yes",1,0)</f>
        <v/>
      </c>
      <c r="AG284" s="3">
        <f>IF(IFERROR(VLOOKUP(D284,Controls!$A$36:$E$46,4,FALSE()),"No")="Yes",1,0)</f>
        <v/>
      </c>
      <c r="AH284" s="3">
        <f>IF(IFERROR(VLOOKUP(D284,Controls!$A$36:$E$46,5,FALSE()),"No")="Yes",1,0)</f>
        <v/>
      </c>
      <c r="AI284" s="3">
        <f>IF(ISNUMBER(MATCH(D284,Controls!$A$36:$A$46,0)),1,0)</f>
        <v/>
      </c>
      <c r="AJ284" s="28">
        <f>Q284-N284</f>
        <v/>
      </c>
      <c r="AK284" s="3">
        <f>IF(AE284=1,MAX(0,N284-Q284),0)</f>
        <v/>
      </c>
      <c r="AL284" s="3">
        <f>IF(OR(V284="",V284=0),0,N284/V284)</f>
        <v/>
      </c>
      <c r="AM284" s="3">
        <f>IF(OR(V284="",V284=0),0,1)</f>
        <v/>
      </c>
      <c r="AN284" s="3">
        <f>IF(OR(E284="",F284=""),0,NETWORKDAYS(E284,F284,Ref!$K$2:$K$42))</f>
        <v/>
      </c>
      <c r="AO284" s="3">
        <f>IF(L284="Renewal",1,0)</f>
        <v/>
      </c>
      <c r="AP284" s="3">
        <f>AC284*AD284</f>
        <v/>
      </c>
      <c r="AQ284" s="3">
        <f>IF(AND(G284&lt;&gt;"",'Historical Score'!$C$6&lt;&gt;""),IF(G284='Historical Score'!$C$6,1,0),0)</f>
        <v/>
      </c>
      <c r="AR284" s="3">
        <f>IF(AND(L284&lt;&gt;"",'Historical Score'!$C$5&lt;&gt;""),IF(L284='Historical Score'!$C$5,1,0),0)</f>
        <v/>
      </c>
      <c r="AS284" s="3">
        <f>IF(AND(Y284&lt;&gt;"",'Historical Score'!$C$7&lt;&gt;""),IF(Y284='Historical Score'!$C$7,1,0),0)</f>
        <v/>
      </c>
      <c r="AT284" s="3">
        <f>IF(AND(K284&lt;&gt;"",'Historical Score'!$C$8&lt;&gt;""),IF(K284='Historical Score'!$C$8,1,0),0)</f>
        <v/>
      </c>
      <c r="AU284" s="3" t="n"/>
      <c r="AV284" s="3" t="n"/>
      <c r="AW284" s="3" t="n"/>
      <c r="AX284" s="3" t="n"/>
      <c r="AY284" s="3" t="n"/>
      <c r="AZ284" s="3" t="n"/>
      <c r="BA284" s="182">
        <f>IF(AD284=1,(AR284*'Historical Score'!$K$29+1-'Historical Score'!$K$29)*(AT284*'Historical Score'!$L$29+1-'Historical Score'!$L$29)*(AS284*'Historical Score'!$M$29+1-'Historical Score'!$M$29)*(AQ284*'Historical Score'!$N$29+1-'Historical Score'!$N$29),0)</f>
        <v/>
      </c>
      <c r="BB284" s="3" t="n"/>
      <c r="BC284" s="3" t="n"/>
    </row>
    <row r="285" ht="15.75" customHeight="1" s="174">
      <c r="A285" s="3" t="inlineStr">
        <is>
          <t>5674168076</t>
        </is>
      </c>
      <c r="B285" s="3" t="inlineStr">
        <is>
          <t>Luminous Dental Studio</t>
        </is>
      </c>
      <c r="C285" s="3" t="inlineStr">
        <is>
          <t>Luminous Dental Associates PLLC</t>
        </is>
      </c>
      <c r="D285" s="3" t="inlineStr">
        <is>
          <t>Closed</t>
        </is>
      </c>
      <c r="E285" s="23" t="n">
        <v>45939</v>
      </c>
      <c r="F285" s="23" t="n">
        <v>46157</v>
      </c>
      <c r="G285" s="3" t="n">
        <v>3</v>
      </c>
      <c r="H285" s="3" t="inlineStr">
        <is>
          <t>8072</t>
        </is>
      </c>
      <c r="I285" s="3" t="inlineStr">
        <is>
          <t>80</t>
        </is>
      </c>
      <c r="J285" s="3" t="inlineStr">
        <is>
          <t>TX</t>
        </is>
      </c>
      <c r="K285" s="3" t="inlineStr">
        <is>
          <t>Fundwell</t>
        </is>
      </c>
      <c r="L285" s="3" t="inlineStr">
        <is>
          <t>New Deal</t>
        </is>
      </c>
      <c r="M285" s="3" t="n">
        <v>1.38</v>
      </c>
      <c r="N285" s="28" t="n">
        <v>15000</v>
      </c>
      <c r="O285" s="28" t="n">
        <v>1800</v>
      </c>
      <c r="P285" s="28" t="n">
        <v>20700</v>
      </c>
      <c r="Q285" s="28" t="n">
        <v>20700</v>
      </c>
      <c r="R285" s="28" t="n">
        <v>0</v>
      </c>
      <c r="S285" s="42" t="n">
        <v>1</v>
      </c>
      <c r="T285" s="3" t="n">
        <v>32</v>
      </c>
      <c r="U285" s="3" t="n">
        <v>0</v>
      </c>
      <c r="V285" s="3" t="n">
        <v>46940.92</v>
      </c>
      <c r="W285" s="42" t="n">
        <v>0.0551</v>
      </c>
      <c r="X285" s="23" t="n">
        <v>42227</v>
      </c>
      <c r="Y285" s="3">
        <f>IF(I285="","No SIC",IFERROR(VLOOKUP(I285,Ref!$A$2:$B$65,2,FALSE()),"Unclassified"))</f>
        <v/>
      </c>
      <c r="Z285" s="3">
        <f>IF(T285="","",IF(T285&lt;12,"Daily","Weekly"))</f>
        <v/>
      </c>
      <c r="AA285" s="3">
        <f>IF(T285="",0,IF(T285&lt;12,T285*Controls!$B$13,T285*5))</f>
        <v/>
      </c>
      <c r="AB285" s="3">
        <f>IF(E285="",0,NETWORKDAYS(E285,Controls!$B$20,Ref!$K$2:$K$42))</f>
        <v/>
      </c>
      <c r="AC285" s="3">
        <f>IF(OR(AF285=1,AND(AA285&gt;0,AB285&gt;=Controls!$B$23*AA285)),1,0)</f>
        <v/>
      </c>
      <c r="AD285" s="3">
        <f>IF(AND(E285&lt;&gt;"",E285&gt;=Controls!$B$21,E285&lt;=Controls!$B$22),1,0)</f>
        <v/>
      </c>
      <c r="AE285" s="3">
        <f>IF(IFERROR(VLOOKUP(D285,Controls!$A$36:$E$46,2,FALSE()),"No")="Yes",1,0)</f>
        <v/>
      </c>
      <c r="AF285" s="3">
        <f>IF(IFERROR(VLOOKUP(D285,Controls!$A$36:$E$46,3,FALSE()),"No")="Yes",1,0)</f>
        <v/>
      </c>
      <c r="AG285" s="3">
        <f>IF(IFERROR(VLOOKUP(D285,Controls!$A$36:$E$46,4,FALSE()),"No")="Yes",1,0)</f>
        <v/>
      </c>
      <c r="AH285" s="3">
        <f>IF(IFERROR(VLOOKUP(D285,Controls!$A$36:$E$46,5,FALSE()),"No")="Yes",1,0)</f>
        <v/>
      </c>
      <c r="AI285" s="3">
        <f>IF(ISNUMBER(MATCH(D285,Controls!$A$36:$A$46,0)),1,0)</f>
        <v/>
      </c>
      <c r="AJ285" s="28">
        <f>Q285-N285</f>
        <v/>
      </c>
      <c r="AK285" s="3">
        <f>IF(AE285=1,MAX(0,N285-Q285),0)</f>
        <v/>
      </c>
      <c r="AL285" s="3">
        <f>IF(OR(V285="",V285=0),0,N285/V285)</f>
        <v/>
      </c>
      <c r="AM285" s="3">
        <f>IF(OR(V285="",V285=0),0,1)</f>
        <v/>
      </c>
      <c r="AN285" s="3">
        <f>IF(OR(E285="",F285=""),0,NETWORKDAYS(E285,F285,Ref!$K$2:$K$42))</f>
        <v/>
      </c>
      <c r="AO285" s="3">
        <f>IF(L285="Renewal",1,0)</f>
        <v/>
      </c>
      <c r="AP285" s="3">
        <f>AC285*AD285</f>
        <v/>
      </c>
      <c r="AQ285" s="3">
        <f>IF(AND(G285&lt;&gt;"",'Historical Score'!$C$6&lt;&gt;""),IF(G285='Historical Score'!$C$6,1,0),0)</f>
        <v/>
      </c>
      <c r="AR285" s="3">
        <f>IF(AND(L285&lt;&gt;"",'Historical Score'!$C$5&lt;&gt;""),IF(L285='Historical Score'!$C$5,1,0),0)</f>
        <v/>
      </c>
      <c r="AS285" s="3">
        <f>IF(AND(Y285&lt;&gt;"",'Historical Score'!$C$7&lt;&gt;""),IF(Y285='Historical Score'!$C$7,1,0),0)</f>
        <v/>
      </c>
      <c r="AT285" s="3">
        <f>IF(AND(K285&lt;&gt;"",'Historical Score'!$C$8&lt;&gt;""),IF(K285='Historical Score'!$C$8,1,0),0)</f>
        <v/>
      </c>
      <c r="AU285" s="3" t="n"/>
      <c r="AV285" s="3" t="n"/>
      <c r="AW285" s="3" t="n"/>
      <c r="AX285" s="3" t="n"/>
      <c r="AY285" s="3" t="n"/>
      <c r="AZ285" s="3" t="n"/>
      <c r="BA285" s="182">
        <f>IF(AD285=1,(AR285*'Historical Score'!$K$29+1-'Historical Score'!$K$29)*(AT285*'Historical Score'!$L$29+1-'Historical Score'!$L$29)*(AS285*'Historical Score'!$M$29+1-'Historical Score'!$M$29)*(AQ285*'Historical Score'!$N$29+1-'Historical Score'!$N$29),0)</f>
        <v/>
      </c>
      <c r="BB285" s="3" t="n"/>
      <c r="BC285" s="3" t="n"/>
    </row>
    <row r="286" ht="15.75" customHeight="1" s="174">
      <c r="A286" s="3" t="inlineStr">
        <is>
          <t>5674168109</t>
        </is>
      </c>
      <c r="B286" s="3" t="inlineStr">
        <is>
          <t>Hive HomeGoods</t>
        </is>
      </c>
      <c r="C286" s="3" t="inlineStr">
        <is>
          <t>HIVE HOMEGOODS LLC</t>
        </is>
      </c>
      <c r="D286" s="3" t="inlineStr">
        <is>
          <t>Closed/NSF Unpaid</t>
        </is>
      </c>
      <c r="E286" s="23" t="n">
        <v>45939</v>
      </c>
      <c r="F286" s="23" t="n">
        <v>46093</v>
      </c>
      <c r="G286" s="3" t="n">
        <v>1</v>
      </c>
      <c r="H286" s="3" t="inlineStr">
        <is>
          <t>5023</t>
        </is>
      </c>
      <c r="I286" s="3" t="inlineStr">
        <is>
          <t>50</t>
        </is>
      </c>
      <c r="J286" s="3" t="inlineStr">
        <is>
          <t>WA</t>
        </is>
      </c>
      <c r="K286" s="3" t="inlineStr">
        <is>
          <t>Shore Funding USA</t>
        </is>
      </c>
      <c r="L286" s="3" t="inlineStr">
        <is>
          <t>New Deal</t>
        </is>
      </c>
      <c r="M286" s="3" t="n">
        <v>1.49</v>
      </c>
      <c r="N286" s="28" t="n">
        <v>5000</v>
      </c>
      <c r="O286" s="28" t="n">
        <v>700</v>
      </c>
      <c r="P286" s="28" t="n">
        <v>7450</v>
      </c>
      <c r="Q286" s="28" t="n">
        <v>7450</v>
      </c>
      <c r="R286" s="28" t="n">
        <v>0</v>
      </c>
      <c r="S286" s="42" t="n">
        <v>1</v>
      </c>
      <c r="T286" s="3" t="n">
        <v>2.951</v>
      </c>
      <c r="U286" s="3" t="n">
        <v>12</v>
      </c>
      <c r="V286" s="3" t="n">
        <v>12111.32</v>
      </c>
      <c r="W286" s="42" t="n">
        <v>0.1435</v>
      </c>
      <c r="X286" s="23" t="n">
        <v>45488</v>
      </c>
      <c r="Y286" s="3">
        <f>IF(I286="","No SIC",IFERROR(VLOOKUP(I286,Ref!$A$2:$B$65,2,FALSE()),"Unclassified"))</f>
        <v/>
      </c>
      <c r="Z286" s="3">
        <f>IF(T286="","",IF(T286&lt;12,"Daily","Weekly"))</f>
        <v/>
      </c>
      <c r="AA286" s="3">
        <f>IF(T286="",0,IF(T286&lt;12,T286*Controls!$B$13,T286*5))</f>
        <v/>
      </c>
      <c r="AB286" s="3">
        <f>IF(E286="",0,NETWORKDAYS(E286,Controls!$B$20,Ref!$K$2:$K$42))</f>
        <v/>
      </c>
      <c r="AC286" s="3">
        <f>IF(OR(AF286=1,AND(AA286&gt;0,AB286&gt;=Controls!$B$23*AA286)),1,0)</f>
        <v/>
      </c>
      <c r="AD286" s="3">
        <f>IF(AND(E286&lt;&gt;"",E286&gt;=Controls!$B$21,E286&lt;=Controls!$B$22),1,0)</f>
        <v/>
      </c>
      <c r="AE286" s="3">
        <f>IF(IFERROR(VLOOKUP(D286,Controls!$A$36:$E$46,2,FALSE()),"No")="Yes",1,0)</f>
        <v/>
      </c>
      <c r="AF286" s="3">
        <f>IF(IFERROR(VLOOKUP(D286,Controls!$A$36:$E$46,3,FALSE()),"No")="Yes",1,0)</f>
        <v/>
      </c>
      <c r="AG286" s="3">
        <f>IF(IFERROR(VLOOKUP(D286,Controls!$A$36:$E$46,4,FALSE()),"No")="Yes",1,0)</f>
        <v/>
      </c>
      <c r="AH286" s="3">
        <f>IF(IFERROR(VLOOKUP(D286,Controls!$A$36:$E$46,5,FALSE()),"No")="Yes",1,0)</f>
        <v/>
      </c>
      <c r="AI286" s="3">
        <f>IF(ISNUMBER(MATCH(D286,Controls!$A$36:$A$46,0)),1,0)</f>
        <v/>
      </c>
      <c r="AJ286" s="28">
        <f>Q286-N286</f>
        <v/>
      </c>
      <c r="AK286" s="3">
        <f>IF(AE286=1,MAX(0,N286-Q286),0)</f>
        <v/>
      </c>
      <c r="AL286" s="3">
        <f>IF(OR(V286="",V286=0),0,N286/V286)</f>
        <v/>
      </c>
      <c r="AM286" s="3">
        <f>IF(OR(V286="",V286=0),0,1)</f>
        <v/>
      </c>
      <c r="AN286" s="3">
        <f>IF(OR(E286="",F286=""),0,NETWORKDAYS(E286,F286,Ref!$K$2:$K$42))</f>
        <v/>
      </c>
      <c r="AO286" s="3">
        <f>IF(L286="Renewal",1,0)</f>
        <v/>
      </c>
      <c r="AP286" s="3">
        <f>AC286*AD286</f>
        <v/>
      </c>
      <c r="AQ286" s="3">
        <f>IF(AND(G286&lt;&gt;"",'Historical Score'!$C$6&lt;&gt;""),IF(G286='Historical Score'!$C$6,1,0),0)</f>
        <v/>
      </c>
      <c r="AR286" s="3">
        <f>IF(AND(L286&lt;&gt;"",'Historical Score'!$C$5&lt;&gt;""),IF(L286='Historical Score'!$C$5,1,0),0)</f>
        <v/>
      </c>
      <c r="AS286" s="3">
        <f>IF(AND(Y286&lt;&gt;"",'Historical Score'!$C$7&lt;&gt;""),IF(Y286='Historical Score'!$C$7,1,0),0)</f>
        <v/>
      </c>
      <c r="AT286" s="3">
        <f>IF(AND(K286&lt;&gt;"",'Historical Score'!$C$8&lt;&gt;""),IF(K286='Historical Score'!$C$8,1,0),0)</f>
        <v/>
      </c>
      <c r="AU286" s="3" t="n"/>
      <c r="AV286" s="3" t="n"/>
      <c r="AW286" s="3" t="n"/>
      <c r="AX286" s="3" t="n"/>
      <c r="AY286" s="3" t="n"/>
      <c r="AZ286" s="3" t="n"/>
      <c r="BA286" s="182">
        <f>IF(AD286=1,(AR286*'Historical Score'!$K$29+1-'Historical Score'!$K$29)*(AT286*'Historical Score'!$L$29+1-'Historical Score'!$L$29)*(AS286*'Historical Score'!$M$29+1-'Historical Score'!$M$29)*(AQ286*'Historical Score'!$N$29+1-'Historical Score'!$N$29),0)</f>
        <v/>
      </c>
      <c r="BB286" s="3" t="n"/>
      <c r="BC286" s="3" t="n"/>
    </row>
    <row r="287" ht="15.75" customHeight="1" s="174">
      <c r="A287" s="3" t="inlineStr">
        <is>
          <t>5674168176</t>
        </is>
      </c>
      <c r="B287" s="3" t="inlineStr">
        <is>
          <t>WHICH WICH #95</t>
        </is>
      </c>
      <c r="C287" s="3" t="inlineStr">
        <is>
          <t>H&amp;M Mendez Enterprises LLC</t>
        </is>
      </c>
      <c r="D287" s="3" t="inlineStr">
        <is>
          <t>Bankruptcy</t>
        </is>
      </c>
      <c r="E287" s="23" t="n">
        <v>45940</v>
      </c>
      <c r="F287" s="23" t="n">
        <v>46139</v>
      </c>
      <c r="G287" s="3" t="n">
        <v>3</v>
      </c>
      <c r="H287" s="3" t="inlineStr">
        <is>
          <t>5812</t>
        </is>
      </c>
      <c r="I287" s="3" t="inlineStr">
        <is>
          <t>58</t>
        </is>
      </c>
      <c r="J287" s="3" t="inlineStr">
        <is>
          <t>TX</t>
        </is>
      </c>
      <c r="K287" s="3" t="inlineStr">
        <is>
          <t>Fundwell</t>
        </is>
      </c>
      <c r="L287" s="3" t="inlineStr">
        <is>
          <t>New Deal</t>
        </is>
      </c>
      <c r="M287" s="3" t="n">
        <v>1.39</v>
      </c>
      <c r="N287" s="28" t="n">
        <v>28500</v>
      </c>
      <c r="O287" s="28" t="n">
        <v>3277.5</v>
      </c>
      <c r="P287" s="28" t="n">
        <v>39615</v>
      </c>
      <c r="Q287" s="28" t="n">
        <v>14814.63</v>
      </c>
      <c r="R287" s="28" t="n">
        <v>24800.37</v>
      </c>
      <c r="S287" s="42" t="n">
        <v>0.373965164710337</v>
      </c>
      <c r="T287" s="3" t="n">
        <v>32</v>
      </c>
      <c r="U287" s="3" t="n">
        <v>9</v>
      </c>
      <c r="V287" s="3" t="n">
        <v>70423.34</v>
      </c>
      <c r="W287" s="42" t="n">
        <v>0.0703</v>
      </c>
      <c r="X287" s="23" t="n">
        <v>44334</v>
      </c>
      <c r="Y287" s="3">
        <f>IF(I287="","No SIC",IFERROR(VLOOKUP(I287,Ref!$A$2:$B$65,2,FALSE()),"Unclassified"))</f>
        <v/>
      </c>
      <c r="Z287" s="3">
        <f>IF(T287="","",IF(T287&lt;12,"Daily","Weekly"))</f>
        <v/>
      </c>
      <c r="AA287" s="3">
        <f>IF(T287="",0,IF(T287&lt;12,T287*Controls!$B$13,T287*5))</f>
        <v/>
      </c>
      <c r="AB287" s="3">
        <f>IF(E287="",0,NETWORKDAYS(E287,Controls!$B$20,Ref!$K$2:$K$42))</f>
        <v/>
      </c>
      <c r="AC287" s="3">
        <f>IF(OR(AF287=1,AND(AA287&gt;0,AB287&gt;=Controls!$B$23*AA287)),1,0)</f>
        <v/>
      </c>
      <c r="AD287" s="3">
        <f>IF(AND(E287&lt;&gt;"",E287&gt;=Controls!$B$21,E287&lt;=Controls!$B$22),1,0)</f>
        <v/>
      </c>
      <c r="AE287" s="3">
        <f>IF(IFERROR(VLOOKUP(D287,Controls!$A$36:$E$46,2,FALSE()),"No")="Yes",1,0)</f>
        <v/>
      </c>
      <c r="AF287" s="3">
        <f>IF(IFERROR(VLOOKUP(D287,Controls!$A$36:$E$46,3,FALSE()),"No")="Yes",1,0)</f>
        <v/>
      </c>
      <c r="AG287" s="3">
        <f>IF(IFERROR(VLOOKUP(D287,Controls!$A$36:$E$46,4,FALSE()),"No")="Yes",1,0)</f>
        <v/>
      </c>
      <c r="AH287" s="3">
        <f>IF(IFERROR(VLOOKUP(D287,Controls!$A$36:$E$46,5,FALSE()),"No")="Yes",1,0)</f>
        <v/>
      </c>
      <c r="AI287" s="3">
        <f>IF(ISNUMBER(MATCH(D287,Controls!$A$36:$A$46,0)),1,0)</f>
        <v/>
      </c>
      <c r="AJ287" s="28">
        <f>Q287-N287</f>
        <v/>
      </c>
      <c r="AK287" s="3">
        <f>IF(AE287=1,MAX(0,N287-Q287),0)</f>
        <v/>
      </c>
      <c r="AL287" s="3">
        <f>IF(OR(V287="",V287=0),0,N287/V287)</f>
        <v/>
      </c>
      <c r="AM287" s="3">
        <f>IF(OR(V287="",V287=0),0,1)</f>
        <v/>
      </c>
      <c r="AN287" s="3">
        <f>IF(OR(E287="",F287=""),0,NETWORKDAYS(E287,F287,Ref!$K$2:$K$42))</f>
        <v/>
      </c>
      <c r="AO287" s="3">
        <f>IF(L287="Renewal",1,0)</f>
        <v/>
      </c>
      <c r="AP287" s="3">
        <f>AC287*AD287</f>
        <v/>
      </c>
      <c r="AQ287" s="3">
        <f>IF(AND(G287&lt;&gt;"",'Historical Score'!$C$6&lt;&gt;""),IF(G287='Historical Score'!$C$6,1,0),0)</f>
        <v/>
      </c>
      <c r="AR287" s="3">
        <f>IF(AND(L287&lt;&gt;"",'Historical Score'!$C$5&lt;&gt;""),IF(L287='Historical Score'!$C$5,1,0),0)</f>
        <v/>
      </c>
      <c r="AS287" s="3">
        <f>IF(AND(Y287&lt;&gt;"",'Historical Score'!$C$7&lt;&gt;""),IF(Y287='Historical Score'!$C$7,1,0),0)</f>
        <v/>
      </c>
      <c r="AT287" s="3">
        <f>IF(AND(K287&lt;&gt;"",'Historical Score'!$C$8&lt;&gt;""),IF(K287='Historical Score'!$C$8,1,0),0)</f>
        <v/>
      </c>
      <c r="AU287" s="3" t="n"/>
      <c r="AV287" s="3" t="n"/>
      <c r="AW287" s="3" t="n"/>
      <c r="AX287" s="3" t="n"/>
      <c r="AY287" s="3" t="n"/>
      <c r="AZ287" s="3" t="n"/>
      <c r="BA287" s="182">
        <f>IF(AD287=1,(AR287*'Historical Score'!$K$29+1-'Historical Score'!$K$29)*(AT287*'Historical Score'!$L$29+1-'Historical Score'!$L$29)*(AS287*'Historical Score'!$M$29+1-'Historical Score'!$M$29)*(AQ287*'Historical Score'!$N$29+1-'Historical Score'!$N$29),0)</f>
        <v/>
      </c>
      <c r="BB287" s="3" t="n"/>
      <c r="BC287" s="3" t="n"/>
    </row>
    <row r="288" ht="15.75" customHeight="1" s="174">
      <c r="A288" s="3" t="inlineStr">
        <is>
          <t>5674168235</t>
        </is>
      </c>
      <c r="B288" s="3" t="inlineStr">
        <is>
          <t>MDS Pack2Ship LLC</t>
        </is>
      </c>
      <c r="C288" s="3" t="inlineStr">
        <is>
          <t>MDS Pack2Ship LLC</t>
        </is>
      </c>
      <c r="D288" s="3" t="inlineStr">
        <is>
          <t>Legal</t>
        </is>
      </c>
      <c r="E288" s="23" t="n">
        <v>45944</v>
      </c>
      <c r="F288" s="23" t="n">
        <v>45994</v>
      </c>
      <c r="G288" s="3" t="n">
        <v>1</v>
      </c>
      <c r="H288" s="3" t="inlineStr">
        <is>
          <t>4783</t>
        </is>
      </c>
      <c r="I288" s="3" t="inlineStr">
        <is>
          <t>47</t>
        </is>
      </c>
      <c r="J288" s="3" t="inlineStr">
        <is>
          <t>IN</t>
        </is>
      </c>
      <c r="K288" s="3" t="inlineStr">
        <is>
          <t>Go Ai Ez LLC Dba:Gova Funding</t>
        </is>
      </c>
      <c r="L288" s="3" t="inlineStr">
        <is>
          <t>New Deal</t>
        </is>
      </c>
      <c r="M288" s="3" t="n">
        <v>1.45</v>
      </c>
      <c r="N288" s="28" t="n">
        <v>7000</v>
      </c>
      <c r="O288" s="28" t="n">
        <v>840</v>
      </c>
      <c r="P288" s="28" t="n">
        <v>10150</v>
      </c>
      <c r="Q288" s="28" t="n">
        <v>4373.32</v>
      </c>
      <c r="R288" s="28" t="n">
        <v>5776.68</v>
      </c>
      <c r="S288" s="42" t="n">
        <v>0.430868965517241</v>
      </c>
      <c r="T288" s="3" t="n">
        <v>2.131</v>
      </c>
      <c r="U288" s="3" t="n">
        <v>5</v>
      </c>
      <c r="V288" s="3" t="n"/>
      <c r="W288" s="42" t="n">
        <v>0.082</v>
      </c>
      <c r="X288" s="23" t="n">
        <v>36708</v>
      </c>
      <c r="Y288" s="3">
        <f>IF(I288="","No SIC",IFERROR(VLOOKUP(I288,Ref!$A$2:$B$65,2,FALSE()),"Unclassified"))</f>
        <v/>
      </c>
      <c r="Z288" s="3">
        <f>IF(T288="","",IF(T288&lt;12,"Daily","Weekly"))</f>
        <v/>
      </c>
      <c r="AA288" s="3">
        <f>IF(T288="",0,IF(T288&lt;12,T288*Controls!$B$13,T288*5))</f>
        <v/>
      </c>
      <c r="AB288" s="3">
        <f>IF(E288="",0,NETWORKDAYS(E288,Controls!$B$20,Ref!$K$2:$K$42))</f>
        <v/>
      </c>
      <c r="AC288" s="3">
        <f>IF(OR(AF288=1,AND(AA288&gt;0,AB288&gt;=Controls!$B$23*AA288)),1,0)</f>
        <v/>
      </c>
      <c r="AD288" s="3">
        <f>IF(AND(E288&lt;&gt;"",E288&gt;=Controls!$B$21,E288&lt;=Controls!$B$22),1,0)</f>
        <v/>
      </c>
      <c r="AE288" s="3">
        <f>IF(IFERROR(VLOOKUP(D288,Controls!$A$36:$E$46,2,FALSE()),"No")="Yes",1,0)</f>
        <v/>
      </c>
      <c r="AF288" s="3">
        <f>IF(IFERROR(VLOOKUP(D288,Controls!$A$36:$E$46,3,FALSE()),"No")="Yes",1,0)</f>
        <v/>
      </c>
      <c r="AG288" s="3">
        <f>IF(IFERROR(VLOOKUP(D288,Controls!$A$36:$E$46,4,FALSE()),"No")="Yes",1,0)</f>
        <v/>
      </c>
      <c r="AH288" s="3">
        <f>IF(IFERROR(VLOOKUP(D288,Controls!$A$36:$E$46,5,FALSE()),"No")="Yes",1,0)</f>
        <v/>
      </c>
      <c r="AI288" s="3">
        <f>IF(ISNUMBER(MATCH(D288,Controls!$A$36:$A$46,0)),1,0)</f>
        <v/>
      </c>
      <c r="AJ288" s="28">
        <f>Q288-N288</f>
        <v/>
      </c>
      <c r="AK288" s="3">
        <f>IF(AE288=1,MAX(0,N288-Q288),0)</f>
        <v/>
      </c>
      <c r="AL288" s="3">
        <f>IF(OR(V288="",V288=0),0,N288/V288)</f>
        <v/>
      </c>
      <c r="AM288" s="3">
        <f>IF(OR(V288="",V288=0),0,1)</f>
        <v/>
      </c>
      <c r="AN288" s="3">
        <f>IF(OR(E288="",F288=""),0,NETWORKDAYS(E288,F288,Ref!$K$2:$K$42))</f>
        <v/>
      </c>
      <c r="AO288" s="3">
        <f>IF(L288="Renewal",1,0)</f>
        <v/>
      </c>
      <c r="AP288" s="3">
        <f>AC288*AD288</f>
        <v/>
      </c>
      <c r="AQ288" s="3">
        <f>IF(AND(G288&lt;&gt;"",'Historical Score'!$C$6&lt;&gt;""),IF(G288='Historical Score'!$C$6,1,0),0)</f>
        <v/>
      </c>
      <c r="AR288" s="3">
        <f>IF(AND(L288&lt;&gt;"",'Historical Score'!$C$5&lt;&gt;""),IF(L288='Historical Score'!$C$5,1,0),0)</f>
        <v/>
      </c>
      <c r="AS288" s="3">
        <f>IF(AND(Y288&lt;&gt;"",'Historical Score'!$C$7&lt;&gt;""),IF(Y288='Historical Score'!$C$7,1,0),0)</f>
        <v/>
      </c>
      <c r="AT288" s="3">
        <f>IF(AND(K288&lt;&gt;"",'Historical Score'!$C$8&lt;&gt;""),IF(K288='Historical Score'!$C$8,1,0),0)</f>
        <v/>
      </c>
      <c r="AU288" s="3" t="n"/>
      <c r="AV288" s="3" t="n"/>
      <c r="AW288" s="3" t="n"/>
      <c r="AX288" s="3" t="n"/>
      <c r="AY288" s="3" t="n"/>
      <c r="AZ288" s="3" t="n"/>
      <c r="BA288" s="182">
        <f>IF(AD288=1,(AR288*'Historical Score'!$K$29+1-'Historical Score'!$K$29)*(AT288*'Historical Score'!$L$29+1-'Historical Score'!$L$29)*(AS288*'Historical Score'!$M$29+1-'Historical Score'!$M$29)*(AQ288*'Historical Score'!$N$29+1-'Historical Score'!$N$29),0)</f>
        <v/>
      </c>
      <c r="BB288" s="3" t="n"/>
      <c r="BC288" s="3" t="n"/>
    </row>
    <row r="289" ht="15.75" customHeight="1" s="174">
      <c r="A289" s="3" t="inlineStr">
        <is>
          <t>5674168241</t>
        </is>
      </c>
      <c r="B289" s="3" t="inlineStr">
        <is>
          <t>Anderson Electric LLC</t>
        </is>
      </c>
      <c r="C289" s="3" t="inlineStr">
        <is>
          <t>Anderson Electric LLC</t>
        </is>
      </c>
      <c r="D289" s="3" t="inlineStr">
        <is>
          <t>Legal</t>
        </is>
      </c>
      <c r="E289" s="23" t="n">
        <v>45944</v>
      </c>
      <c r="F289" s="23" t="n">
        <v>46041</v>
      </c>
      <c r="G289" s="3" t="n">
        <v>1</v>
      </c>
      <c r="H289" s="3" t="inlineStr">
        <is>
          <t>1731</t>
        </is>
      </c>
      <c r="I289" s="3" t="inlineStr">
        <is>
          <t>17</t>
        </is>
      </c>
      <c r="J289" s="3" t="inlineStr">
        <is>
          <t>GA</t>
        </is>
      </c>
      <c r="K289" s="3" t="inlineStr">
        <is>
          <t>Fundwell</t>
        </is>
      </c>
      <c r="L289" s="3" t="inlineStr">
        <is>
          <t>New Deal</t>
        </is>
      </c>
      <c r="M289" s="3" t="n">
        <v>1.42</v>
      </c>
      <c r="N289" s="28" t="n">
        <v>20000</v>
      </c>
      <c r="O289" s="28" t="n">
        <v>2800</v>
      </c>
      <c r="P289" s="28" t="n">
        <v>28400</v>
      </c>
      <c r="Q289" s="28" t="n">
        <v>7098.56</v>
      </c>
      <c r="R289" s="28" t="n">
        <v>21301.44</v>
      </c>
      <c r="S289" s="42" t="n">
        <v>0.249949295774648</v>
      </c>
      <c r="T289" s="3" t="n">
        <v>32</v>
      </c>
      <c r="U289" s="3" t="n">
        <v>5</v>
      </c>
      <c r="V289" s="3" t="n">
        <v>48487.6</v>
      </c>
      <c r="W289" s="42" t="n">
        <v>0.0732</v>
      </c>
      <c r="X289" s="23" t="n">
        <v>44533</v>
      </c>
      <c r="Y289" s="3">
        <f>IF(I289="","No SIC",IFERROR(VLOOKUP(I289,Ref!$A$2:$B$65,2,FALSE()),"Unclassified"))</f>
        <v/>
      </c>
      <c r="Z289" s="3">
        <f>IF(T289="","",IF(T289&lt;12,"Daily","Weekly"))</f>
        <v/>
      </c>
      <c r="AA289" s="3">
        <f>IF(T289="",0,IF(T289&lt;12,T289*Controls!$B$13,T289*5))</f>
        <v/>
      </c>
      <c r="AB289" s="3">
        <f>IF(E289="",0,NETWORKDAYS(E289,Controls!$B$20,Ref!$K$2:$K$42))</f>
        <v/>
      </c>
      <c r="AC289" s="3">
        <f>IF(OR(AF289=1,AND(AA289&gt;0,AB289&gt;=Controls!$B$23*AA289)),1,0)</f>
        <v/>
      </c>
      <c r="AD289" s="3">
        <f>IF(AND(E289&lt;&gt;"",E289&gt;=Controls!$B$21,E289&lt;=Controls!$B$22),1,0)</f>
        <v/>
      </c>
      <c r="AE289" s="3">
        <f>IF(IFERROR(VLOOKUP(D289,Controls!$A$36:$E$46,2,FALSE()),"No")="Yes",1,0)</f>
        <v/>
      </c>
      <c r="AF289" s="3">
        <f>IF(IFERROR(VLOOKUP(D289,Controls!$A$36:$E$46,3,FALSE()),"No")="Yes",1,0)</f>
        <v/>
      </c>
      <c r="AG289" s="3">
        <f>IF(IFERROR(VLOOKUP(D289,Controls!$A$36:$E$46,4,FALSE()),"No")="Yes",1,0)</f>
        <v/>
      </c>
      <c r="AH289" s="3">
        <f>IF(IFERROR(VLOOKUP(D289,Controls!$A$36:$E$46,5,FALSE()),"No")="Yes",1,0)</f>
        <v/>
      </c>
      <c r="AI289" s="3">
        <f>IF(ISNUMBER(MATCH(D289,Controls!$A$36:$A$46,0)),1,0)</f>
        <v/>
      </c>
      <c r="AJ289" s="28">
        <f>Q289-N289</f>
        <v/>
      </c>
      <c r="AK289" s="3">
        <f>IF(AE289=1,MAX(0,N289-Q289),0)</f>
        <v/>
      </c>
      <c r="AL289" s="3">
        <f>IF(OR(V289="",V289=0),0,N289/V289)</f>
        <v/>
      </c>
      <c r="AM289" s="3">
        <f>IF(OR(V289="",V289=0),0,1)</f>
        <v/>
      </c>
      <c r="AN289" s="3">
        <f>IF(OR(E289="",F289=""),0,NETWORKDAYS(E289,F289,Ref!$K$2:$K$42))</f>
        <v/>
      </c>
      <c r="AO289" s="3">
        <f>IF(L289="Renewal",1,0)</f>
        <v/>
      </c>
      <c r="AP289" s="3">
        <f>AC289*AD289</f>
        <v/>
      </c>
      <c r="AQ289" s="3">
        <f>IF(AND(G289&lt;&gt;"",'Historical Score'!$C$6&lt;&gt;""),IF(G289='Historical Score'!$C$6,1,0),0)</f>
        <v/>
      </c>
      <c r="AR289" s="3">
        <f>IF(AND(L289&lt;&gt;"",'Historical Score'!$C$5&lt;&gt;""),IF(L289='Historical Score'!$C$5,1,0),0)</f>
        <v/>
      </c>
      <c r="AS289" s="3">
        <f>IF(AND(Y289&lt;&gt;"",'Historical Score'!$C$7&lt;&gt;""),IF(Y289='Historical Score'!$C$7,1,0),0)</f>
        <v/>
      </c>
      <c r="AT289" s="3">
        <f>IF(AND(K289&lt;&gt;"",'Historical Score'!$C$8&lt;&gt;""),IF(K289='Historical Score'!$C$8,1,0),0)</f>
        <v/>
      </c>
      <c r="AU289" s="3" t="n"/>
      <c r="AV289" s="3" t="n"/>
      <c r="AW289" s="3" t="n"/>
      <c r="AX289" s="3" t="n"/>
      <c r="AY289" s="3" t="n"/>
      <c r="AZ289" s="3" t="n"/>
      <c r="BA289" s="182">
        <f>IF(AD289=1,(AR289*'Historical Score'!$K$29+1-'Historical Score'!$K$29)*(AT289*'Historical Score'!$L$29+1-'Historical Score'!$L$29)*(AS289*'Historical Score'!$M$29+1-'Historical Score'!$M$29)*(AQ289*'Historical Score'!$N$29+1-'Historical Score'!$N$29),0)</f>
        <v/>
      </c>
      <c r="BB289" s="3" t="n"/>
      <c r="BC289" s="3" t="n"/>
    </row>
    <row r="290" ht="15.75" customHeight="1" s="174">
      <c r="A290" s="3" t="inlineStr">
        <is>
          <t>5674168247</t>
        </is>
      </c>
      <c r="B290" s="3" t="inlineStr">
        <is>
          <t>Shoperies NE LLC</t>
        </is>
      </c>
      <c r="C290" s="3" t="inlineStr">
        <is>
          <t>Shoperies NE LLC</t>
        </is>
      </c>
      <c r="D290" s="3" t="inlineStr">
        <is>
          <t>Lowered Payments</t>
        </is>
      </c>
      <c r="E290" s="23" t="n">
        <v>45944</v>
      </c>
      <c r="F290" s="23" t="n">
        <v>46253</v>
      </c>
      <c r="G290" s="3" t="n">
        <v>3</v>
      </c>
      <c r="H290" s="3" t="inlineStr">
        <is>
          <t>5999</t>
        </is>
      </c>
      <c r="I290" s="3" t="inlineStr">
        <is>
          <t>59</t>
        </is>
      </c>
      <c r="J290" s="3" t="inlineStr">
        <is>
          <t>MA</t>
        </is>
      </c>
      <c r="K290" s="3" t="inlineStr">
        <is>
          <t>Westwood</t>
        </is>
      </c>
      <c r="L290" s="3" t="inlineStr">
        <is>
          <t>Renewal</t>
        </is>
      </c>
      <c r="M290" s="3" t="n">
        <v>1.499</v>
      </c>
      <c r="N290" s="28" t="n">
        <v>35000</v>
      </c>
      <c r="O290" s="28" t="n">
        <v>4900</v>
      </c>
      <c r="P290" s="28" t="n">
        <v>52465</v>
      </c>
      <c r="Q290" s="28" t="n">
        <v>31716.51</v>
      </c>
      <c r="R290" s="28" t="n">
        <v>20748.49</v>
      </c>
      <c r="S290" s="42" t="n">
        <v>0.604527018012008</v>
      </c>
      <c r="T290" s="3" t="n">
        <v>2.951</v>
      </c>
      <c r="U290" s="3" t="n">
        <v>22</v>
      </c>
      <c r="V290" s="3" t="n">
        <v>109868.79</v>
      </c>
      <c r="W290" s="42" t="n">
        <v>0.1107</v>
      </c>
      <c r="X290" s="23" t="n">
        <v>43891</v>
      </c>
      <c r="Y290" s="3">
        <f>IF(I290="","No SIC",IFERROR(VLOOKUP(I290,Ref!$A$2:$B$65,2,FALSE()),"Unclassified"))</f>
        <v/>
      </c>
      <c r="Z290" s="3">
        <f>IF(T290="","",IF(T290&lt;12,"Daily","Weekly"))</f>
        <v/>
      </c>
      <c r="AA290" s="3">
        <f>IF(T290="",0,IF(T290&lt;12,T290*Controls!$B$13,T290*5))</f>
        <v/>
      </c>
      <c r="AB290" s="3">
        <f>IF(E290="",0,NETWORKDAYS(E290,Controls!$B$20,Ref!$K$2:$K$42))</f>
        <v/>
      </c>
      <c r="AC290" s="3">
        <f>IF(OR(AF290=1,AND(AA290&gt;0,AB290&gt;=Controls!$B$23*AA290)),1,0)</f>
        <v/>
      </c>
      <c r="AD290" s="3">
        <f>IF(AND(E290&lt;&gt;"",E290&gt;=Controls!$B$21,E290&lt;=Controls!$B$22),1,0)</f>
        <v/>
      </c>
      <c r="AE290" s="3">
        <f>IF(IFERROR(VLOOKUP(D290,Controls!$A$36:$E$46,2,FALSE()),"No")="Yes",1,0)</f>
        <v/>
      </c>
      <c r="AF290" s="3">
        <f>IF(IFERROR(VLOOKUP(D290,Controls!$A$36:$E$46,3,FALSE()),"No")="Yes",1,0)</f>
        <v/>
      </c>
      <c r="AG290" s="3">
        <f>IF(IFERROR(VLOOKUP(D290,Controls!$A$36:$E$46,4,FALSE()),"No")="Yes",1,0)</f>
        <v/>
      </c>
      <c r="AH290" s="3">
        <f>IF(IFERROR(VLOOKUP(D290,Controls!$A$36:$E$46,5,FALSE()),"No")="Yes",1,0)</f>
        <v/>
      </c>
      <c r="AI290" s="3">
        <f>IF(ISNUMBER(MATCH(D290,Controls!$A$36:$A$46,0)),1,0)</f>
        <v/>
      </c>
      <c r="AJ290" s="28">
        <f>Q290-N290</f>
        <v/>
      </c>
      <c r="AK290" s="3">
        <f>IF(AE290=1,MAX(0,N290-Q290),0)</f>
        <v/>
      </c>
      <c r="AL290" s="3">
        <f>IF(OR(V290="",V290=0),0,N290/V290)</f>
        <v/>
      </c>
      <c r="AM290" s="3">
        <f>IF(OR(V290="",V290=0),0,1)</f>
        <v/>
      </c>
      <c r="AN290" s="3">
        <f>IF(OR(E290="",F290=""),0,NETWORKDAYS(E290,F290,Ref!$K$2:$K$42))</f>
        <v/>
      </c>
      <c r="AO290" s="3">
        <f>IF(L290="Renewal",1,0)</f>
        <v/>
      </c>
      <c r="AP290" s="3">
        <f>AC290*AD290</f>
        <v/>
      </c>
      <c r="AQ290" s="3">
        <f>IF(AND(G290&lt;&gt;"",'Historical Score'!$C$6&lt;&gt;""),IF(G290='Historical Score'!$C$6,1,0),0)</f>
        <v/>
      </c>
      <c r="AR290" s="3">
        <f>IF(AND(L290&lt;&gt;"",'Historical Score'!$C$5&lt;&gt;""),IF(L290='Historical Score'!$C$5,1,0),0)</f>
        <v/>
      </c>
      <c r="AS290" s="3">
        <f>IF(AND(Y290&lt;&gt;"",'Historical Score'!$C$7&lt;&gt;""),IF(Y290='Historical Score'!$C$7,1,0),0)</f>
        <v/>
      </c>
      <c r="AT290" s="3">
        <f>IF(AND(K290&lt;&gt;"",'Historical Score'!$C$8&lt;&gt;""),IF(K290='Historical Score'!$C$8,1,0),0)</f>
        <v/>
      </c>
      <c r="AU290" s="3" t="n"/>
      <c r="AV290" s="3" t="n"/>
      <c r="AW290" s="3" t="n"/>
      <c r="AX290" s="3" t="n"/>
      <c r="AY290" s="3" t="n"/>
      <c r="AZ290" s="3" t="n"/>
      <c r="BA290" s="182">
        <f>IF(AD290=1,(AR290*'Historical Score'!$K$29+1-'Historical Score'!$K$29)*(AT290*'Historical Score'!$L$29+1-'Historical Score'!$L$29)*(AS290*'Historical Score'!$M$29+1-'Historical Score'!$M$29)*(AQ290*'Historical Score'!$N$29+1-'Historical Score'!$N$29),0)</f>
        <v/>
      </c>
      <c r="BB290" s="3" t="n"/>
      <c r="BC290" s="3" t="n"/>
    </row>
    <row r="291" ht="15.75" customHeight="1" s="174">
      <c r="A291" s="3" t="inlineStr">
        <is>
          <t>5674168395</t>
        </is>
      </c>
      <c r="B291" s="3" t="inlineStr">
        <is>
          <t>Binxy Boy Consulting INC.</t>
        </is>
      </c>
      <c r="C291" s="3" t="inlineStr">
        <is>
          <t>Binxy Boy Consulting INC.</t>
        </is>
      </c>
      <c r="D291" s="3" t="inlineStr">
        <is>
          <t>Closed</t>
        </is>
      </c>
      <c r="E291" s="23" t="n">
        <v>45946</v>
      </c>
      <c r="F291" s="23" t="n">
        <v>46121</v>
      </c>
      <c r="G291" s="3" t="n">
        <v>1</v>
      </c>
      <c r="H291" s="3" t="inlineStr">
        <is>
          <t>1711</t>
        </is>
      </c>
      <c r="I291" s="3" t="inlineStr">
        <is>
          <t>17</t>
        </is>
      </c>
      <c r="J291" s="3" t="inlineStr">
        <is>
          <t>No state</t>
        </is>
      </c>
      <c r="K291" s="3" t="inlineStr">
        <is>
          <t>Aspire Funding</t>
        </is>
      </c>
      <c r="L291" s="3" t="inlineStr">
        <is>
          <t>New Deal</t>
        </is>
      </c>
      <c r="M291" s="3" t="n">
        <v>1.31</v>
      </c>
      <c r="N291" s="28" t="n">
        <v>8000</v>
      </c>
      <c r="O291" s="28" t="n">
        <v>80</v>
      </c>
      <c r="P291" s="28" t="n">
        <v>10480</v>
      </c>
      <c r="Q291" s="28" t="n">
        <v>10480</v>
      </c>
      <c r="R291" s="28" t="n">
        <v>0</v>
      </c>
      <c r="S291" s="42" t="n">
        <v>1</v>
      </c>
      <c r="T291" s="3" t="n">
        <v>24</v>
      </c>
      <c r="U291" s="3" t="n">
        <v>0</v>
      </c>
      <c r="V291" s="3" t="n">
        <v>21170</v>
      </c>
      <c r="W291" s="42" t="n">
        <v>0.0825</v>
      </c>
      <c r="X291" s="23" t="n">
        <v>45946</v>
      </c>
      <c r="Y291" s="3">
        <f>IF(I291="","No SIC",IFERROR(VLOOKUP(I291,Ref!$A$2:$B$65,2,FALSE()),"Unclassified"))</f>
        <v/>
      </c>
      <c r="Z291" s="3">
        <f>IF(T291="","",IF(T291&lt;12,"Daily","Weekly"))</f>
        <v/>
      </c>
      <c r="AA291" s="3">
        <f>IF(T291="",0,IF(T291&lt;12,T291*Controls!$B$13,T291*5))</f>
        <v/>
      </c>
      <c r="AB291" s="3">
        <f>IF(E291="",0,NETWORKDAYS(E291,Controls!$B$20,Ref!$K$2:$K$42))</f>
        <v/>
      </c>
      <c r="AC291" s="3">
        <f>IF(OR(AF291=1,AND(AA291&gt;0,AB291&gt;=Controls!$B$23*AA291)),1,0)</f>
        <v/>
      </c>
      <c r="AD291" s="3">
        <f>IF(AND(E291&lt;&gt;"",E291&gt;=Controls!$B$21,E291&lt;=Controls!$B$22),1,0)</f>
        <v/>
      </c>
      <c r="AE291" s="3">
        <f>IF(IFERROR(VLOOKUP(D291,Controls!$A$36:$E$46,2,FALSE()),"No")="Yes",1,0)</f>
        <v/>
      </c>
      <c r="AF291" s="3">
        <f>IF(IFERROR(VLOOKUP(D291,Controls!$A$36:$E$46,3,FALSE()),"No")="Yes",1,0)</f>
        <v/>
      </c>
      <c r="AG291" s="3">
        <f>IF(IFERROR(VLOOKUP(D291,Controls!$A$36:$E$46,4,FALSE()),"No")="Yes",1,0)</f>
        <v/>
      </c>
      <c r="AH291" s="3">
        <f>IF(IFERROR(VLOOKUP(D291,Controls!$A$36:$E$46,5,FALSE()),"No")="Yes",1,0)</f>
        <v/>
      </c>
      <c r="AI291" s="3">
        <f>IF(ISNUMBER(MATCH(D291,Controls!$A$36:$A$46,0)),1,0)</f>
        <v/>
      </c>
      <c r="AJ291" s="28">
        <f>Q291-N291</f>
        <v/>
      </c>
      <c r="AK291" s="3">
        <f>IF(AE291=1,MAX(0,N291-Q291),0)</f>
        <v/>
      </c>
      <c r="AL291" s="3">
        <f>IF(OR(V291="",V291=0),0,N291/V291)</f>
        <v/>
      </c>
      <c r="AM291" s="3">
        <f>IF(OR(V291="",V291=0),0,1)</f>
        <v/>
      </c>
      <c r="AN291" s="3">
        <f>IF(OR(E291="",F291=""),0,NETWORKDAYS(E291,F291,Ref!$K$2:$K$42))</f>
        <v/>
      </c>
      <c r="AO291" s="3">
        <f>IF(L291="Renewal",1,0)</f>
        <v/>
      </c>
      <c r="AP291" s="3">
        <f>AC291*AD291</f>
        <v/>
      </c>
      <c r="AQ291" s="3">
        <f>IF(AND(G291&lt;&gt;"",'Historical Score'!$C$6&lt;&gt;""),IF(G291='Historical Score'!$C$6,1,0),0)</f>
        <v/>
      </c>
      <c r="AR291" s="3">
        <f>IF(AND(L291&lt;&gt;"",'Historical Score'!$C$5&lt;&gt;""),IF(L291='Historical Score'!$C$5,1,0),0)</f>
        <v/>
      </c>
      <c r="AS291" s="3">
        <f>IF(AND(Y291&lt;&gt;"",'Historical Score'!$C$7&lt;&gt;""),IF(Y291='Historical Score'!$C$7,1,0),0)</f>
        <v/>
      </c>
      <c r="AT291" s="3">
        <f>IF(AND(K291&lt;&gt;"",'Historical Score'!$C$8&lt;&gt;""),IF(K291='Historical Score'!$C$8,1,0),0)</f>
        <v/>
      </c>
      <c r="AU291" s="3" t="n"/>
      <c r="AV291" s="3" t="n"/>
      <c r="AW291" s="3" t="n"/>
      <c r="AX291" s="3" t="n"/>
      <c r="AY291" s="3" t="n"/>
      <c r="AZ291" s="3" t="n"/>
      <c r="BA291" s="182">
        <f>IF(AD291=1,(AR291*'Historical Score'!$K$29+1-'Historical Score'!$K$29)*(AT291*'Historical Score'!$L$29+1-'Historical Score'!$L$29)*(AS291*'Historical Score'!$M$29+1-'Historical Score'!$M$29)*(AQ291*'Historical Score'!$N$29+1-'Historical Score'!$N$29),0)</f>
        <v/>
      </c>
      <c r="BB291" s="3" t="n"/>
      <c r="BC291" s="3" t="n"/>
    </row>
    <row r="292" ht="15.75" customHeight="1" s="174">
      <c r="A292" s="3" t="inlineStr">
        <is>
          <t>5674168410</t>
        </is>
      </c>
      <c r="B292" s="3" t="inlineStr">
        <is>
          <t>BARBERIA CALLE LOIZA VILLA CAROLINA</t>
        </is>
      </c>
      <c r="C292" s="3" t="inlineStr">
        <is>
          <t>ROBERTO ROLON DELGADO</t>
        </is>
      </c>
      <c r="D292" s="3" t="inlineStr">
        <is>
          <t>Closed</t>
        </is>
      </c>
      <c r="E292" s="23" t="n">
        <v>45946</v>
      </c>
      <c r="F292" s="23" t="n">
        <v>46070</v>
      </c>
      <c r="G292" s="3" t="n">
        <v>2</v>
      </c>
      <c r="H292" s="3" t="inlineStr">
        <is>
          <t>7241</t>
        </is>
      </c>
      <c r="I292" s="3" t="inlineStr">
        <is>
          <t>72</t>
        </is>
      </c>
      <c r="J292" s="3" t="inlineStr">
        <is>
          <t>PR</t>
        </is>
      </c>
      <c r="K292" s="3" t="inlineStr">
        <is>
          <t>Siriux internacional corp</t>
        </is>
      </c>
      <c r="L292" s="3" t="inlineStr">
        <is>
          <t>New Deal</t>
        </is>
      </c>
      <c r="M292" s="3" t="n">
        <v>1.499</v>
      </c>
      <c r="N292" s="28" t="n">
        <v>15000</v>
      </c>
      <c r="O292" s="28" t="n">
        <v>2100</v>
      </c>
      <c r="P292" s="28" t="n">
        <v>22485</v>
      </c>
      <c r="Q292" s="28" t="n">
        <v>22485</v>
      </c>
      <c r="R292" s="28" t="n">
        <v>0</v>
      </c>
      <c r="S292" s="42" t="n">
        <v>1</v>
      </c>
      <c r="T292" s="3" t="n">
        <v>2.951</v>
      </c>
      <c r="U292" s="3" t="n">
        <v>0</v>
      </c>
      <c r="V292" s="3" t="n">
        <v>14958.77</v>
      </c>
      <c r="W292" s="42" t="n">
        <v>0.3507</v>
      </c>
      <c r="X292" s="23" t="n">
        <v>42309</v>
      </c>
      <c r="Y292" s="3">
        <f>IF(I292="","No SIC",IFERROR(VLOOKUP(I292,Ref!$A$2:$B$65,2,FALSE()),"Unclassified"))</f>
        <v/>
      </c>
      <c r="Z292" s="3">
        <f>IF(T292="","",IF(T292&lt;12,"Daily","Weekly"))</f>
        <v/>
      </c>
      <c r="AA292" s="3">
        <f>IF(T292="",0,IF(T292&lt;12,T292*Controls!$B$13,T292*5))</f>
        <v/>
      </c>
      <c r="AB292" s="3">
        <f>IF(E292="",0,NETWORKDAYS(E292,Controls!$B$20,Ref!$K$2:$K$42))</f>
        <v/>
      </c>
      <c r="AC292" s="3">
        <f>IF(OR(AF292=1,AND(AA292&gt;0,AB292&gt;=Controls!$B$23*AA292)),1,0)</f>
        <v/>
      </c>
      <c r="AD292" s="3">
        <f>IF(AND(E292&lt;&gt;"",E292&gt;=Controls!$B$21,E292&lt;=Controls!$B$22),1,0)</f>
        <v/>
      </c>
      <c r="AE292" s="3">
        <f>IF(IFERROR(VLOOKUP(D292,Controls!$A$36:$E$46,2,FALSE()),"No")="Yes",1,0)</f>
        <v/>
      </c>
      <c r="AF292" s="3">
        <f>IF(IFERROR(VLOOKUP(D292,Controls!$A$36:$E$46,3,FALSE()),"No")="Yes",1,0)</f>
        <v/>
      </c>
      <c r="AG292" s="3">
        <f>IF(IFERROR(VLOOKUP(D292,Controls!$A$36:$E$46,4,FALSE()),"No")="Yes",1,0)</f>
        <v/>
      </c>
      <c r="AH292" s="3">
        <f>IF(IFERROR(VLOOKUP(D292,Controls!$A$36:$E$46,5,FALSE()),"No")="Yes",1,0)</f>
        <v/>
      </c>
      <c r="AI292" s="3">
        <f>IF(ISNUMBER(MATCH(D292,Controls!$A$36:$A$46,0)),1,0)</f>
        <v/>
      </c>
      <c r="AJ292" s="28">
        <f>Q292-N292</f>
        <v/>
      </c>
      <c r="AK292" s="3">
        <f>IF(AE292=1,MAX(0,N292-Q292),0)</f>
        <v/>
      </c>
      <c r="AL292" s="3">
        <f>IF(OR(V292="",V292=0),0,N292/V292)</f>
        <v/>
      </c>
      <c r="AM292" s="3">
        <f>IF(OR(V292="",V292=0),0,1)</f>
        <v/>
      </c>
      <c r="AN292" s="3">
        <f>IF(OR(E292="",F292=""),0,NETWORKDAYS(E292,F292,Ref!$K$2:$K$42))</f>
        <v/>
      </c>
      <c r="AO292" s="3">
        <f>IF(L292="Renewal",1,0)</f>
        <v/>
      </c>
      <c r="AP292" s="3">
        <f>AC292*AD292</f>
        <v/>
      </c>
      <c r="AQ292" s="3">
        <f>IF(AND(G292&lt;&gt;"",'Historical Score'!$C$6&lt;&gt;""),IF(G292='Historical Score'!$C$6,1,0),0)</f>
        <v/>
      </c>
      <c r="AR292" s="3">
        <f>IF(AND(L292&lt;&gt;"",'Historical Score'!$C$5&lt;&gt;""),IF(L292='Historical Score'!$C$5,1,0),0)</f>
        <v/>
      </c>
      <c r="AS292" s="3">
        <f>IF(AND(Y292&lt;&gt;"",'Historical Score'!$C$7&lt;&gt;""),IF(Y292='Historical Score'!$C$7,1,0),0)</f>
        <v/>
      </c>
      <c r="AT292" s="3">
        <f>IF(AND(K292&lt;&gt;"",'Historical Score'!$C$8&lt;&gt;""),IF(K292='Historical Score'!$C$8,1,0),0)</f>
        <v/>
      </c>
      <c r="AU292" s="3" t="n"/>
      <c r="AV292" s="3" t="n"/>
      <c r="AW292" s="3" t="n"/>
      <c r="AX292" s="3" t="n"/>
      <c r="AY292" s="3" t="n"/>
      <c r="AZ292" s="3" t="n"/>
      <c r="BA292" s="182">
        <f>IF(AD292=1,(AR292*'Historical Score'!$K$29+1-'Historical Score'!$K$29)*(AT292*'Historical Score'!$L$29+1-'Historical Score'!$L$29)*(AS292*'Historical Score'!$M$29+1-'Historical Score'!$M$29)*(AQ292*'Historical Score'!$N$29+1-'Historical Score'!$N$29),0)</f>
        <v/>
      </c>
      <c r="BB292" s="3" t="n"/>
      <c r="BC292" s="3" t="n"/>
    </row>
    <row r="293" ht="15.75" customHeight="1" s="174">
      <c r="A293" s="3" t="inlineStr">
        <is>
          <t>5674168427</t>
        </is>
      </c>
      <c r="B293" s="3" t="inlineStr">
        <is>
          <t>DBA EL TACO LOCO AL VAPOR</t>
        </is>
      </c>
      <c r="C293" s="3" t="inlineStr">
        <is>
          <t>DBA EL TACO LOCO AL VAPOR</t>
        </is>
      </c>
      <c r="D293" s="3" t="inlineStr">
        <is>
          <t>Closed</t>
        </is>
      </c>
      <c r="E293" s="23" t="n">
        <v>45946</v>
      </c>
      <c r="F293" s="23" t="n">
        <v>46007</v>
      </c>
      <c r="G293" s="3" t="n">
        <v>1</v>
      </c>
      <c r="H293" s="3" t="inlineStr">
        <is>
          <t>5812</t>
        </is>
      </c>
      <c r="I293" s="3" t="inlineStr">
        <is>
          <t>58</t>
        </is>
      </c>
      <c r="J293" s="3" t="inlineStr">
        <is>
          <t>TX</t>
        </is>
      </c>
      <c r="K293" s="3" t="inlineStr">
        <is>
          <t>Westwood</t>
        </is>
      </c>
      <c r="L293" s="3" t="inlineStr">
        <is>
          <t>New Deal</t>
        </is>
      </c>
      <c r="M293" s="3" t="n">
        <v>1.499</v>
      </c>
      <c r="N293" s="28" t="n">
        <v>10000</v>
      </c>
      <c r="O293" s="28" t="n">
        <v>1400</v>
      </c>
      <c r="P293" s="28" t="n">
        <v>14990</v>
      </c>
      <c r="Q293" s="28" t="n">
        <v>14990</v>
      </c>
      <c r="R293" s="28" t="n">
        <v>1.81898940354586e-12</v>
      </c>
      <c r="S293" s="42" t="n">
        <v>1</v>
      </c>
      <c r="T293" s="3" t="n">
        <v>3.279</v>
      </c>
      <c r="U293" s="3" t="n">
        <v>0</v>
      </c>
      <c r="V293" s="3" t="n">
        <v>50000</v>
      </c>
      <c r="W293" s="42" t="n">
        <v>0.0626</v>
      </c>
      <c r="X293" s="23" t="n">
        <v>44977</v>
      </c>
      <c r="Y293" s="3">
        <f>IF(I293="","No SIC",IFERROR(VLOOKUP(I293,Ref!$A$2:$B$65,2,FALSE()),"Unclassified"))</f>
        <v/>
      </c>
      <c r="Z293" s="3">
        <f>IF(T293="","",IF(T293&lt;12,"Daily","Weekly"))</f>
        <v/>
      </c>
      <c r="AA293" s="3">
        <f>IF(T293="",0,IF(T293&lt;12,T293*Controls!$B$13,T293*5))</f>
        <v/>
      </c>
      <c r="AB293" s="3">
        <f>IF(E293="",0,NETWORKDAYS(E293,Controls!$B$20,Ref!$K$2:$K$42))</f>
        <v/>
      </c>
      <c r="AC293" s="3">
        <f>IF(OR(AF293=1,AND(AA293&gt;0,AB293&gt;=Controls!$B$23*AA293)),1,0)</f>
        <v/>
      </c>
      <c r="AD293" s="3">
        <f>IF(AND(E293&lt;&gt;"",E293&gt;=Controls!$B$21,E293&lt;=Controls!$B$22),1,0)</f>
        <v/>
      </c>
      <c r="AE293" s="3">
        <f>IF(IFERROR(VLOOKUP(D293,Controls!$A$36:$E$46,2,FALSE()),"No")="Yes",1,0)</f>
        <v/>
      </c>
      <c r="AF293" s="3">
        <f>IF(IFERROR(VLOOKUP(D293,Controls!$A$36:$E$46,3,FALSE()),"No")="Yes",1,0)</f>
        <v/>
      </c>
      <c r="AG293" s="3">
        <f>IF(IFERROR(VLOOKUP(D293,Controls!$A$36:$E$46,4,FALSE()),"No")="Yes",1,0)</f>
        <v/>
      </c>
      <c r="AH293" s="3">
        <f>IF(IFERROR(VLOOKUP(D293,Controls!$A$36:$E$46,5,FALSE()),"No")="Yes",1,0)</f>
        <v/>
      </c>
      <c r="AI293" s="3">
        <f>IF(ISNUMBER(MATCH(D293,Controls!$A$36:$A$46,0)),1,0)</f>
        <v/>
      </c>
      <c r="AJ293" s="28">
        <f>Q293-N293</f>
        <v/>
      </c>
      <c r="AK293" s="3">
        <f>IF(AE293=1,MAX(0,N293-Q293),0)</f>
        <v/>
      </c>
      <c r="AL293" s="3">
        <f>IF(OR(V293="",V293=0),0,N293/V293)</f>
        <v/>
      </c>
      <c r="AM293" s="3">
        <f>IF(OR(V293="",V293=0),0,1)</f>
        <v/>
      </c>
      <c r="AN293" s="3">
        <f>IF(OR(E293="",F293=""),0,NETWORKDAYS(E293,F293,Ref!$K$2:$K$42))</f>
        <v/>
      </c>
      <c r="AO293" s="3">
        <f>IF(L293="Renewal",1,0)</f>
        <v/>
      </c>
      <c r="AP293" s="3">
        <f>AC293*AD293</f>
        <v/>
      </c>
      <c r="AQ293" s="3">
        <f>IF(AND(G293&lt;&gt;"",'Historical Score'!$C$6&lt;&gt;""),IF(G293='Historical Score'!$C$6,1,0),0)</f>
        <v/>
      </c>
      <c r="AR293" s="3">
        <f>IF(AND(L293&lt;&gt;"",'Historical Score'!$C$5&lt;&gt;""),IF(L293='Historical Score'!$C$5,1,0),0)</f>
        <v/>
      </c>
      <c r="AS293" s="3">
        <f>IF(AND(Y293&lt;&gt;"",'Historical Score'!$C$7&lt;&gt;""),IF(Y293='Historical Score'!$C$7,1,0),0)</f>
        <v/>
      </c>
      <c r="AT293" s="3">
        <f>IF(AND(K293&lt;&gt;"",'Historical Score'!$C$8&lt;&gt;""),IF(K293='Historical Score'!$C$8,1,0),0)</f>
        <v/>
      </c>
      <c r="AU293" s="3" t="n"/>
      <c r="AV293" s="3" t="n"/>
      <c r="AW293" s="3" t="n"/>
      <c r="AX293" s="3" t="n"/>
      <c r="AY293" s="3" t="n"/>
      <c r="AZ293" s="3" t="n"/>
      <c r="BA293" s="182">
        <f>IF(AD293=1,(AR293*'Historical Score'!$K$29+1-'Historical Score'!$K$29)*(AT293*'Historical Score'!$L$29+1-'Historical Score'!$L$29)*(AS293*'Historical Score'!$M$29+1-'Historical Score'!$M$29)*(AQ293*'Historical Score'!$N$29+1-'Historical Score'!$N$29),0)</f>
        <v/>
      </c>
      <c r="BB293" s="3" t="n"/>
      <c r="BC293" s="3" t="n"/>
    </row>
    <row r="294" ht="15.75" customHeight="1" s="174">
      <c r="A294" s="3" t="inlineStr">
        <is>
          <t>5674168717</t>
        </is>
      </c>
      <c r="B294" s="3" t="inlineStr">
        <is>
          <t>S. Shuart Contracting, LLC</t>
        </is>
      </c>
      <c r="C294" s="3" t="inlineStr">
        <is>
          <t>S. Shuart Contracting, LLC</t>
        </is>
      </c>
      <c r="D294" s="3" t="inlineStr">
        <is>
          <t>Closed</t>
        </is>
      </c>
      <c r="E294" s="23" t="n">
        <v>45947</v>
      </c>
      <c r="F294" s="23" t="n">
        <v>46178</v>
      </c>
      <c r="G294" s="3" t="n">
        <v>2</v>
      </c>
      <c r="H294" s="3" t="inlineStr">
        <is>
          <t>1771</t>
        </is>
      </c>
      <c r="I294" s="3" t="inlineStr">
        <is>
          <t>17</t>
        </is>
      </c>
      <c r="J294" s="3" t="inlineStr">
        <is>
          <t>NJ</t>
        </is>
      </c>
      <c r="K294" s="3" t="inlineStr">
        <is>
          <t>Shore Funding USA</t>
        </is>
      </c>
      <c r="L294" s="3" t="inlineStr">
        <is>
          <t>New Deal</t>
        </is>
      </c>
      <c r="M294" s="3" t="n">
        <v>1.36</v>
      </c>
      <c r="N294" s="28" t="n">
        <v>50000</v>
      </c>
      <c r="O294" s="28" t="n">
        <v>5500</v>
      </c>
      <c r="P294" s="28" t="n">
        <v>68000</v>
      </c>
      <c r="Q294" s="28" t="n">
        <v>68000</v>
      </c>
      <c r="R294" s="28" t="n">
        <v>0</v>
      </c>
      <c r="S294" s="42" t="n">
        <v>1</v>
      </c>
      <c r="T294" s="3" t="n">
        <v>52</v>
      </c>
      <c r="U294" s="3" t="n">
        <v>0</v>
      </c>
      <c r="V294" s="3" t="n">
        <v>46372.53</v>
      </c>
      <c r="W294" s="42" t="n">
        <v>0.1128</v>
      </c>
      <c r="X294" s="23" t="n">
        <v>42979</v>
      </c>
      <c r="Y294" s="3">
        <f>IF(I294="","No SIC",IFERROR(VLOOKUP(I294,Ref!$A$2:$B$65,2,FALSE()),"Unclassified"))</f>
        <v/>
      </c>
      <c r="Z294" s="3">
        <f>IF(T294="","",IF(T294&lt;12,"Daily","Weekly"))</f>
        <v/>
      </c>
      <c r="AA294" s="3">
        <f>IF(T294="",0,IF(T294&lt;12,T294*Controls!$B$13,T294*5))</f>
        <v/>
      </c>
      <c r="AB294" s="3">
        <f>IF(E294="",0,NETWORKDAYS(E294,Controls!$B$20,Ref!$K$2:$K$42))</f>
        <v/>
      </c>
      <c r="AC294" s="3">
        <f>IF(OR(AF294=1,AND(AA294&gt;0,AB294&gt;=Controls!$B$23*AA294)),1,0)</f>
        <v/>
      </c>
      <c r="AD294" s="3">
        <f>IF(AND(E294&lt;&gt;"",E294&gt;=Controls!$B$21,E294&lt;=Controls!$B$22),1,0)</f>
        <v/>
      </c>
      <c r="AE294" s="3">
        <f>IF(IFERROR(VLOOKUP(D294,Controls!$A$36:$E$46,2,FALSE()),"No")="Yes",1,0)</f>
        <v/>
      </c>
      <c r="AF294" s="3">
        <f>IF(IFERROR(VLOOKUP(D294,Controls!$A$36:$E$46,3,FALSE()),"No")="Yes",1,0)</f>
        <v/>
      </c>
      <c r="AG294" s="3">
        <f>IF(IFERROR(VLOOKUP(D294,Controls!$A$36:$E$46,4,FALSE()),"No")="Yes",1,0)</f>
        <v/>
      </c>
      <c r="AH294" s="3">
        <f>IF(IFERROR(VLOOKUP(D294,Controls!$A$36:$E$46,5,FALSE()),"No")="Yes",1,0)</f>
        <v/>
      </c>
      <c r="AI294" s="3">
        <f>IF(ISNUMBER(MATCH(D294,Controls!$A$36:$A$46,0)),1,0)</f>
        <v/>
      </c>
      <c r="AJ294" s="28">
        <f>Q294-N294</f>
        <v/>
      </c>
      <c r="AK294" s="3">
        <f>IF(AE294=1,MAX(0,N294-Q294),0)</f>
        <v/>
      </c>
      <c r="AL294" s="3">
        <f>IF(OR(V294="",V294=0),0,N294/V294)</f>
        <v/>
      </c>
      <c r="AM294" s="3">
        <f>IF(OR(V294="",V294=0),0,1)</f>
        <v/>
      </c>
      <c r="AN294" s="3">
        <f>IF(OR(E294="",F294=""),0,NETWORKDAYS(E294,F294,Ref!$K$2:$K$42))</f>
        <v/>
      </c>
      <c r="AO294" s="3">
        <f>IF(L294="Renewal",1,0)</f>
        <v/>
      </c>
      <c r="AP294" s="3">
        <f>AC294*AD294</f>
        <v/>
      </c>
      <c r="AQ294" s="3">
        <f>IF(AND(G294&lt;&gt;"",'Historical Score'!$C$6&lt;&gt;""),IF(G294='Historical Score'!$C$6,1,0),0)</f>
        <v/>
      </c>
      <c r="AR294" s="3">
        <f>IF(AND(L294&lt;&gt;"",'Historical Score'!$C$5&lt;&gt;""),IF(L294='Historical Score'!$C$5,1,0),0)</f>
        <v/>
      </c>
      <c r="AS294" s="3">
        <f>IF(AND(Y294&lt;&gt;"",'Historical Score'!$C$7&lt;&gt;""),IF(Y294='Historical Score'!$C$7,1,0),0)</f>
        <v/>
      </c>
      <c r="AT294" s="3">
        <f>IF(AND(K294&lt;&gt;"",'Historical Score'!$C$8&lt;&gt;""),IF(K294='Historical Score'!$C$8,1,0),0)</f>
        <v/>
      </c>
      <c r="AU294" s="3" t="n"/>
      <c r="AV294" s="3" t="n"/>
      <c r="AW294" s="3" t="n"/>
      <c r="AX294" s="3" t="n"/>
      <c r="AY294" s="3" t="n"/>
      <c r="AZ294" s="3" t="n"/>
      <c r="BA294" s="182">
        <f>IF(AD294=1,(AR294*'Historical Score'!$K$29+1-'Historical Score'!$K$29)*(AT294*'Historical Score'!$L$29+1-'Historical Score'!$L$29)*(AS294*'Historical Score'!$M$29+1-'Historical Score'!$M$29)*(AQ294*'Historical Score'!$N$29+1-'Historical Score'!$N$29),0)</f>
        <v/>
      </c>
      <c r="BB294" s="3" t="n"/>
      <c r="BC294" s="3" t="n"/>
    </row>
    <row r="295" ht="15.75" customHeight="1" s="174">
      <c r="A295" s="3" t="inlineStr">
        <is>
          <t>5674168782</t>
        </is>
      </c>
      <c r="B295" s="3" t="inlineStr">
        <is>
          <t>DALLAS DETAIL &amp; CONSTRUCTION</t>
        </is>
      </c>
      <c r="C295" s="3" t="inlineStr">
        <is>
          <t>DALLAS DETAIL &amp; CONSTRUCTION</t>
        </is>
      </c>
      <c r="D295" s="3" t="inlineStr">
        <is>
          <t>Legal</t>
        </is>
      </c>
      <c r="E295" s="23" t="n">
        <v>45947</v>
      </c>
      <c r="F295" s="23" t="n">
        <v>46177</v>
      </c>
      <c r="G295" s="3" t="n">
        <v>7</v>
      </c>
      <c r="H295" s="3" t="inlineStr">
        <is>
          <t>1521</t>
        </is>
      </c>
      <c r="I295" s="3" t="inlineStr">
        <is>
          <t>15</t>
        </is>
      </c>
      <c r="J295" s="3" t="inlineStr">
        <is>
          <t>TX</t>
        </is>
      </c>
      <c r="K295" s="3" t="inlineStr">
        <is>
          <t>The Funding Channel</t>
        </is>
      </c>
      <c r="L295" s="3" t="inlineStr">
        <is>
          <t>Renewal</t>
        </is>
      </c>
      <c r="M295" s="3" t="n">
        <v>1.399</v>
      </c>
      <c r="N295" s="28" t="n">
        <v>7000</v>
      </c>
      <c r="O295" s="28" t="n">
        <v>630</v>
      </c>
      <c r="P295" s="28" t="n">
        <v>9793</v>
      </c>
      <c r="Q295" s="28" t="n">
        <v>4082.62</v>
      </c>
      <c r="R295" s="28" t="n">
        <v>5710.38</v>
      </c>
      <c r="S295" s="42" t="n">
        <v>0.416891657306239</v>
      </c>
      <c r="T295" s="3" t="n">
        <v>2.951</v>
      </c>
      <c r="U295" s="3" t="n">
        <v>22</v>
      </c>
      <c r="V295" s="3" t="n">
        <v>77765.69</v>
      </c>
      <c r="W295" s="42" t="n">
        <v>0.0294</v>
      </c>
      <c r="X295" s="23" t="n">
        <v>40917</v>
      </c>
      <c r="Y295" s="3">
        <f>IF(I295="","No SIC",IFERROR(VLOOKUP(I295,Ref!$A$2:$B$65,2,FALSE()),"Unclassified"))</f>
        <v/>
      </c>
      <c r="Z295" s="3">
        <f>IF(T295="","",IF(T295&lt;12,"Daily","Weekly"))</f>
        <v/>
      </c>
      <c r="AA295" s="3">
        <f>IF(T295="",0,IF(T295&lt;12,T295*Controls!$B$13,T295*5))</f>
        <v/>
      </c>
      <c r="AB295" s="3">
        <f>IF(E295="",0,NETWORKDAYS(E295,Controls!$B$20,Ref!$K$2:$K$42))</f>
        <v/>
      </c>
      <c r="AC295" s="3">
        <f>IF(OR(AF295=1,AND(AA295&gt;0,AB295&gt;=Controls!$B$23*AA295)),1,0)</f>
        <v/>
      </c>
      <c r="AD295" s="3">
        <f>IF(AND(E295&lt;&gt;"",E295&gt;=Controls!$B$21,E295&lt;=Controls!$B$22),1,0)</f>
        <v/>
      </c>
      <c r="AE295" s="3">
        <f>IF(IFERROR(VLOOKUP(D295,Controls!$A$36:$E$46,2,FALSE()),"No")="Yes",1,0)</f>
        <v/>
      </c>
      <c r="AF295" s="3">
        <f>IF(IFERROR(VLOOKUP(D295,Controls!$A$36:$E$46,3,FALSE()),"No")="Yes",1,0)</f>
        <v/>
      </c>
      <c r="AG295" s="3">
        <f>IF(IFERROR(VLOOKUP(D295,Controls!$A$36:$E$46,4,FALSE()),"No")="Yes",1,0)</f>
        <v/>
      </c>
      <c r="AH295" s="3">
        <f>IF(IFERROR(VLOOKUP(D295,Controls!$A$36:$E$46,5,FALSE()),"No")="Yes",1,0)</f>
        <v/>
      </c>
      <c r="AI295" s="3">
        <f>IF(ISNUMBER(MATCH(D295,Controls!$A$36:$A$46,0)),1,0)</f>
        <v/>
      </c>
      <c r="AJ295" s="28">
        <f>Q295-N295</f>
        <v/>
      </c>
      <c r="AK295" s="3">
        <f>IF(AE295=1,MAX(0,N295-Q295),0)</f>
        <v/>
      </c>
      <c r="AL295" s="3">
        <f>IF(OR(V295="",V295=0),0,N295/V295)</f>
        <v/>
      </c>
      <c r="AM295" s="3">
        <f>IF(OR(V295="",V295=0),0,1)</f>
        <v/>
      </c>
      <c r="AN295" s="3">
        <f>IF(OR(E295="",F295=""),0,NETWORKDAYS(E295,F295,Ref!$K$2:$K$42))</f>
        <v/>
      </c>
      <c r="AO295" s="3">
        <f>IF(L295="Renewal",1,0)</f>
        <v/>
      </c>
      <c r="AP295" s="3">
        <f>AC295*AD295</f>
        <v/>
      </c>
      <c r="AQ295" s="3">
        <f>IF(AND(G295&lt;&gt;"",'Historical Score'!$C$6&lt;&gt;""),IF(G295='Historical Score'!$C$6,1,0),0)</f>
        <v/>
      </c>
      <c r="AR295" s="3">
        <f>IF(AND(L295&lt;&gt;"",'Historical Score'!$C$5&lt;&gt;""),IF(L295='Historical Score'!$C$5,1,0),0)</f>
        <v/>
      </c>
      <c r="AS295" s="3">
        <f>IF(AND(Y295&lt;&gt;"",'Historical Score'!$C$7&lt;&gt;""),IF(Y295='Historical Score'!$C$7,1,0),0)</f>
        <v/>
      </c>
      <c r="AT295" s="3">
        <f>IF(AND(K295&lt;&gt;"",'Historical Score'!$C$8&lt;&gt;""),IF(K295='Historical Score'!$C$8,1,0),0)</f>
        <v/>
      </c>
      <c r="AU295" s="3" t="n"/>
      <c r="AV295" s="3" t="n"/>
      <c r="AW295" s="3" t="n"/>
      <c r="AX295" s="3" t="n"/>
      <c r="AY295" s="3" t="n"/>
      <c r="AZ295" s="3" t="n"/>
      <c r="BA295" s="182">
        <f>IF(AD295=1,(AR295*'Historical Score'!$K$29+1-'Historical Score'!$K$29)*(AT295*'Historical Score'!$L$29+1-'Historical Score'!$L$29)*(AS295*'Historical Score'!$M$29+1-'Historical Score'!$M$29)*(AQ295*'Historical Score'!$N$29+1-'Historical Score'!$N$29),0)</f>
        <v/>
      </c>
      <c r="BB295" s="3" t="n"/>
      <c r="BC295" s="3" t="n"/>
    </row>
    <row r="296" ht="15.75" customHeight="1" s="174">
      <c r="A296" s="3" t="inlineStr">
        <is>
          <t>5674168787</t>
        </is>
      </c>
      <c r="B296" s="3" t="inlineStr">
        <is>
          <t>CCC TREE SERVICE INC</t>
        </is>
      </c>
      <c r="C296" s="3" t="inlineStr">
        <is>
          <t>CCC TREE SERVICE INC</t>
        </is>
      </c>
      <c r="D296" s="3" t="inlineStr">
        <is>
          <t>Legal</t>
        </is>
      </c>
      <c r="E296" s="23" t="n">
        <v>45947</v>
      </c>
      <c r="F296" s="23" t="n">
        <v>46154</v>
      </c>
      <c r="G296" s="3" t="n">
        <v>2</v>
      </c>
      <c r="H296" s="3" t="inlineStr">
        <is>
          <t>0851</t>
        </is>
      </c>
      <c r="I296" s="3" t="inlineStr">
        <is>
          <t>08</t>
        </is>
      </c>
      <c r="J296" s="3" t="inlineStr">
        <is>
          <t>NC</t>
        </is>
      </c>
      <c r="K296" s="3" t="inlineStr">
        <is>
          <t>United Secured Capital 8</t>
        </is>
      </c>
      <c r="L296" s="3" t="inlineStr">
        <is>
          <t>New Deal</t>
        </is>
      </c>
      <c r="M296" s="3" t="n">
        <v>1.49</v>
      </c>
      <c r="N296" s="28" t="n">
        <v>5000</v>
      </c>
      <c r="O296" s="28" t="n">
        <v>700</v>
      </c>
      <c r="P296" s="28" t="n">
        <v>7450</v>
      </c>
      <c r="Q296" s="28" t="n">
        <v>1024.32</v>
      </c>
      <c r="R296" s="28" t="n">
        <v>6425.68</v>
      </c>
      <c r="S296" s="42" t="n">
        <v>0.137492617449664</v>
      </c>
      <c r="T296" s="3" t="n">
        <v>2.623</v>
      </c>
      <c r="U296" s="3" t="n">
        <v>17</v>
      </c>
      <c r="V296" s="3" t="n">
        <v>8757.459999999999</v>
      </c>
      <c r="W296" s="42" t="n">
        <v>0.2233</v>
      </c>
      <c r="X296" s="23" t="n"/>
      <c r="Y296" s="3">
        <f>IF(I296="","No SIC",IFERROR(VLOOKUP(I296,Ref!$A$2:$B$65,2,FALSE()),"Unclassified"))</f>
        <v/>
      </c>
      <c r="Z296" s="3">
        <f>IF(T296="","",IF(T296&lt;12,"Daily","Weekly"))</f>
        <v/>
      </c>
      <c r="AA296" s="3">
        <f>IF(T296="",0,IF(T296&lt;12,T296*Controls!$B$13,T296*5))</f>
        <v/>
      </c>
      <c r="AB296" s="3">
        <f>IF(E296="",0,NETWORKDAYS(E296,Controls!$B$20,Ref!$K$2:$K$42))</f>
        <v/>
      </c>
      <c r="AC296" s="3">
        <f>IF(OR(AF296=1,AND(AA296&gt;0,AB296&gt;=Controls!$B$23*AA296)),1,0)</f>
        <v/>
      </c>
      <c r="AD296" s="3">
        <f>IF(AND(E296&lt;&gt;"",E296&gt;=Controls!$B$21,E296&lt;=Controls!$B$22),1,0)</f>
        <v/>
      </c>
      <c r="AE296" s="3">
        <f>IF(IFERROR(VLOOKUP(D296,Controls!$A$36:$E$46,2,FALSE()),"No")="Yes",1,0)</f>
        <v/>
      </c>
      <c r="AF296" s="3">
        <f>IF(IFERROR(VLOOKUP(D296,Controls!$A$36:$E$46,3,FALSE()),"No")="Yes",1,0)</f>
        <v/>
      </c>
      <c r="AG296" s="3">
        <f>IF(IFERROR(VLOOKUP(D296,Controls!$A$36:$E$46,4,FALSE()),"No")="Yes",1,0)</f>
        <v/>
      </c>
      <c r="AH296" s="3">
        <f>IF(IFERROR(VLOOKUP(D296,Controls!$A$36:$E$46,5,FALSE()),"No")="Yes",1,0)</f>
        <v/>
      </c>
      <c r="AI296" s="3">
        <f>IF(ISNUMBER(MATCH(D296,Controls!$A$36:$A$46,0)),1,0)</f>
        <v/>
      </c>
      <c r="AJ296" s="28">
        <f>Q296-N296</f>
        <v/>
      </c>
      <c r="AK296" s="3">
        <f>IF(AE296=1,MAX(0,N296-Q296),0)</f>
        <v/>
      </c>
      <c r="AL296" s="3">
        <f>IF(OR(V296="",V296=0),0,N296/V296)</f>
        <v/>
      </c>
      <c r="AM296" s="3">
        <f>IF(OR(V296="",V296=0),0,1)</f>
        <v/>
      </c>
      <c r="AN296" s="3">
        <f>IF(OR(E296="",F296=""),0,NETWORKDAYS(E296,F296,Ref!$K$2:$K$42))</f>
        <v/>
      </c>
      <c r="AO296" s="3">
        <f>IF(L296="Renewal",1,0)</f>
        <v/>
      </c>
      <c r="AP296" s="3">
        <f>AC296*AD296</f>
        <v/>
      </c>
      <c r="AQ296" s="3">
        <f>IF(AND(G296&lt;&gt;"",'Historical Score'!$C$6&lt;&gt;""),IF(G296='Historical Score'!$C$6,1,0),0)</f>
        <v/>
      </c>
      <c r="AR296" s="3">
        <f>IF(AND(L296&lt;&gt;"",'Historical Score'!$C$5&lt;&gt;""),IF(L296='Historical Score'!$C$5,1,0),0)</f>
        <v/>
      </c>
      <c r="AS296" s="3">
        <f>IF(AND(Y296&lt;&gt;"",'Historical Score'!$C$7&lt;&gt;""),IF(Y296='Historical Score'!$C$7,1,0),0)</f>
        <v/>
      </c>
      <c r="AT296" s="3">
        <f>IF(AND(K296&lt;&gt;"",'Historical Score'!$C$8&lt;&gt;""),IF(K296='Historical Score'!$C$8,1,0),0)</f>
        <v/>
      </c>
      <c r="AU296" s="3" t="n"/>
      <c r="AV296" s="3" t="n"/>
      <c r="AW296" s="3" t="n"/>
      <c r="AX296" s="3" t="n"/>
      <c r="AY296" s="3" t="n"/>
      <c r="AZ296" s="3" t="n"/>
      <c r="BA296" s="182">
        <f>IF(AD296=1,(AR296*'Historical Score'!$K$29+1-'Historical Score'!$K$29)*(AT296*'Historical Score'!$L$29+1-'Historical Score'!$L$29)*(AS296*'Historical Score'!$M$29+1-'Historical Score'!$M$29)*(AQ296*'Historical Score'!$N$29+1-'Historical Score'!$N$29),0)</f>
        <v/>
      </c>
      <c r="BB296" s="3" t="n"/>
      <c r="BC296" s="3" t="n"/>
    </row>
    <row r="297" ht="15.75" customHeight="1" s="174">
      <c r="A297" s="3" t="inlineStr">
        <is>
          <t>5674168835</t>
        </is>
      </c>
      <c r="B297" s="3" t="inlineStr">
        <is>
          <t>503 BUILDERS LLC</t>
        </is>
      </c>
      <c r="C297" s="3" t="inlineStr">
        <is>
          <t>503 Builders LLC</t>
        </is>
      </c>
      <c r="D297" s="3" t="inlineStr">
        <is>
          <t>Closed</t>
        </is>
      </c>
      <c r="E297" s="23" t="n">
        <v>45950</v>
      </c>
      <c r="F297" s="23" t="n">
        <v>46020</v>
      </c>
      <c r="G297" s="3" t="n">
        <v>5</v>
      </c>
      <c r="H297" s="3" t="inlineStr">
        <is>
          <t>1521</t>
        </is>
      </c>
      <c r="I297" s="3" t="inlineStr">
        <is>
          <t>15</t>
        </is>
      </c>
      <c r="J297" s="3" t="inlineStr">
        <is>
          <t>OR</t>
        </is>
      </c>
      <c r="K297" s="3" t="inlineStr">
        <is>
          <t>Biz fuel</t>
        </is>
      </c>
      <c r="L297" s="3" t="inlineStr">
        <is>
          <t>Renewal</t>
        </is>
      </c>
      <c r="M297" s="3" t="n">
        <v>1.499</v>
      </c>
      <c r="N297" s="28" t="n">
        <v>30000</v>
      </c>
      <c r="O297" s="28" t="n">
        <v>4200</v>
      </c>
      <c r="P297" s="28" t="n">
        <v>44970</v>
      </c>
      <c r="Q297" s="28" t="n">
        <v>44970</v>
      </c>
      <c r="R297" s="28" t="n">
        <v>0</v>
      </c>
      <c r="S297" s="42" t="n">
        <v>1</v>
      </c>
      <c r="T297" s="3" t="n">
        <v>2.951</v>
      </c>
      <c r="U297" s="3" t="n">
        <v>0</v>
      </c>
      <c r="V297" s="3" t="n">
        <v>64267.19</v>
      </c>
      <c r="W297" s="42" t="n">
        <v>0.1479</v>
      </c>
      <c r="X297" s="23" t="n">
        <v>44367</v>
      </c>
      <c r="Y297" s="3">
        <f>IF(I297="","No SIC",IFERROR(VLOOKUP(I297,Ref!$A$2:$B$65,2,FALSE()),"Unclassified"))</f>
        <v/>
      </c>
      <c r="Z297" s="3">
        <f>IF(T297="","",IF(T297&lt;12,"Daily","Weekly"))</f>
        <v/>
      </c>
      <c r="AA297" s="3">
        <f>IF(T297="",0,IF(T297&lt;12,T297*Controls!$B$13,T297*5))</f>
        <v/>
      </c>
      <c r="AB297" s="3">
        <f>IF(E297="",0,NETWORKDAYS(E297,Controls!$B$20,Ref!$K$2:$K$42))</f>
        <v/>
      </c>
      <c r="AC297" s="3">
        <f>IF(OR(AF297=1,AND(AA297&gt;0,AB297&gt;=Controls!$B$23*AA297)),1,0)</f>
        <v/>
      </c>
      <c r="AD297" s="3">
        <f>IF(AND(E297&lt;&gt;"",E297&gt;=Controls!$B$21,E297&lt;=Controls!$B$22),1,0)</f>
        <v/>
      </c>
      <c r="AE297" s="3">
        <f>IF(IFERROR(VLOOKUP(D297,Controls!$A$36:$E$46,2,FALSE()),"No")="Yes",1,0)</f>
        <v/>
      </c>
      <c r="AF297" s="3">
        <f>IF(IFERROR(VLOOKUP(D297,Controls!$A$36:$E$46,3,FALSE()),"No")="Yes",1,0)</f>
        <v/>
      </c>
      <c r="AG297" s="3">
        <f>IF(IFERROR(VLOOKUP(D297,Controls!$A$36:$E$46,4,FALSE()),"No")="Yes",1,0)</f>
        <v/>
      </c>
      <c r="AH297" s="3">
        <f>IF(IFERROR(VLOOKUP(D297,Controls!$A$36:$E$46,5,FALSE()),"No")="Yes",1,0)</f>
        <v/>
      </c>
      <c r="AI297" s="3">
        <f>IF(ISNUMBER(MATCH(D297,Controls!$A$36:$A$46,0)),1,0)</f>
        <v/>
      </c>
      <c r="AJ297" s="28">
        <f>Q297-N297</f>
        <v/>
      </c>
      <c r="AK297" s="3">
        <f>IF(AE297=1,MAX(0,N297-Q297),0)</f>
        <v/>
      </c>
      <c r="AL297" s="3">
        <f>IF(OR(V297="",V297=0),0,N297/V297)</f>
        <v/>
      </c>
      <c r="AM297" s="3">
        <f>IF(OR(V297="",V297=0),0,1)</f>
        <v/>
      </c>
      <c r="AN297" s="3">
        <f>IF(OR(E297="",F297=""),0,NETWORKDAYS(E297,F297,Ref!$K$2:$K$42))</f>
        <v/>
      </c>
      <c r="AO297" s="3">
        <f>IF(L297="Renewal",1,0)</f>
        <v/>
      </c>
      <c r="AP297" s="3">
        <f>AC297*AD297</f>
        <v/>
      </c>
      <c r="AQ297" s="3">
        <f>IF(AND(G297&lt;&gt;"",'Historical Score'!$C$6&lt;&gt;""),IF(G297='Historical Score'!$C$6,1,0),0)</f>
        <v/>
      </c>
      <c r="AR297" s="3">
        <f>IF(AND(L297&lt;&gt;"",'Historical Score'!$C$5&lt;&gt;""),IF(L297='Historical Score'!$C$5,1,0),0)</f>
        <v/>
      </c>
      <c r="AS297" s="3">
        <f>IF(AND(Y297&lt;&gt;"",'Historical Score'!$C$7&lt;&gt;""),IF(Y297='Historical Score'!$C$7,1,0),0)</f>
        <v/>
      </c>
      <c r="AT297" s="3">
        <f>IF(AND(K297&lt;&gt;"",'Historical Score'!$C$8&lt;&gt;""),IF(K297='Historical Score'!$C$8,1,0),0)</f>
        <v/>
      </c>
      <c r="AU297" s="3" t="n"/>
      <c r="AV297" s="3" t="n"/>
      <c r="AW297" s="3" t="n"/>
      <c r="AX297" s="3" t="n"/>
      <c r="AY297" s="3" t="n"/>
      <c r="AZ297" s="3" t="n"/>
      <c r="BA297" s="182">
        <f>IF(AD297=1,(AR297*'Historical Score'!$K$29+1-'Historical Score'!$K$29)*(AT297*'Historical Score'!$L$29+1-'Historical Score'!$L$29)*(AS297*'Historical Score'!$M$29+1-'Historical Score'!$M$29)*(AQ297*'Historical Score'!$N$29+1-'Historical Score'!$N$29),0)</f>
        <v/>
      </c>
      <c r="BB297" s="3" t="n"/>
      <c r="BC297" s="3" t="n"/>
    </row>
    <row r="298" ht="15.75" customHeight="1" s="174">
      <c r="A298" s="3" t="inlineStr">
        <is>
          <t>5674168872</t>
        </is>
      </c>
      <c r="B298" s="3" t="inlineStr">
        <is>
          <t>Blue Mountain Heating &amp; Air</t>
        </is>
      </c>
      <c r="C298" s="3" t="inlineStr">
        <is>
          <t>Blue Mountain Heating &amp; Air</t>
        </is>
      </c>
      <c r="D298" s="3" t="inlineStr">
        <is>
          <t>In House Collection</t>
        </is>
      </c>
      <c r="E298" s="23" t="n">
        <v>45950</v>
      </c>
      <c r="F298" s="23" t="n">
        <v>46171</v>
      </c>
      <c r="G298" s="3" t="n">
        <v>2</v>
      </c>
      <c r="H298" s="3" t="inlineStr">
        <is>
          <t>1711</t>
        </is>
      </c>
      <c r="I298" s="3" t="inlineStr">
        <is>
          <t>17</t>
        </is>
      </c>
      <c r="J298" s="3" t="inlineStr">
        <is>
          <t>GA</t>
        </is>
      </c>
      <c r="K298" s="3" t="inlineStr">
        <is>
          <t>United Secured Capital 8</t>
        </is>
      </c>
      <c r="L298" s="3" t="inlineStr">
        <is>
          <t>New Deal</t>
        </is>
      </c>
      <c r="M298" s="3" t="n">
        <v>1.499</v>
      </c>
      <c r="N298" s="28" t="n">
        <v>10000</v>
      </c>
      <c r="O298" s="28" t="n">
        <v>1400</v>
      </c>
      <c r="P298" s="28" t="n">
        <v>14990</v>
      </c>
      <c r="Q298" s="28" t="n">
        <v>3576.96</v>
      </c>
      <c r="R298" s="28" t="n">
        <v>11413.04</v>
      </c>
      <c r="S298" s="42" t="n">
        <v>0.238623082054703</v>
      </c>
      <c r="T298" s="3" t="n">
        <v>2.459</v>
      </c>
      <c r="U298" s="3" t="n">
        <v>7</v>
      </c>
      <c r="V298" s="3" t="n">
        <v>33817.98</v>
      </c>
      <c r="W298" s="42" t="n">
        <v>0.1234</v>
      </c>
      <c r="X298" s="23" t="n">
        <v>36892</v>
      </c>
      <c r="Y298" s="3">
        <f>IF(I298="","No SIC",IFERROR(VLOOKUP(I298,Ref!$A$2:$B$65,2,FALSE()),"Unclassified"))</f>
        <v/>
      </c>
      <c r="Z298" s="3">
        <f>IF(T298="","",IF(T298&lt;12,"Daily","Weekly"))</f>
        <v/>
      </c>
      <c r="AA298" s="3">
        <f>IF(T298="",0,IF(T298&lt;12,T298*Controls!$B$13,T298*5))</f>
        <v/>
      </c>
      <c r="AB298" s="3">
        <f>IF(E298="",0,NETWORKDAYS(E298,Controls!$B$20,Ref!$K$2:$K$42))</f>
        <v/>
      </c>
      <c r="AC298" s="3">
        <f>IF(OR(AF298=1,AND(AA298&gt;0,AB298&gt;=Controls!$B$23*AA298)),1,0)</f>
        <v/>
      </c>
      <c r="AD298" s="3">
        <f>IF(AND(E298&lt;&gt;"",E298&gt;=Controls!$B$21,E298&lt;=Controls!$B$22),1,0)</f>
        <v/>
      </c>
      <c r="AE298" s="3">
        <f>IF(IFERROR(VLOOKUP(D298,Controls!$A$36:$E$46,2,FALSE()),"No")="Yes",1,0)</f>
        <v/>
      </c>
      <c r="AF298" s="3">
        <f>IF(IFERROR(VLOOKUP(D298,Controls!$A$36:$E$46,3,FALSE()),"No")="Yes",1,0)</f>
        <v/>
      </c>
      <c r="AG298" s="3">
        <f>IF(IFERROR(VLOOKUP(D298,Controls!$A$36:$E$46,4,FALSE()),"No")="Yes",1,0)</f>
        <v/>
      </c>
      <c r="AH298" s="3">
        <f>IF(IFERROR(VLOOKUP(D298,Controls!$A$36:$E$46,5,FALSE()),"No")="Yes",1,0)</f>
        <v/>
      </c>
      <c r="AI298" s="3">
        <f>IF(ISNUMBER(MATCH(D298,Controls!$A$36:$A$46,0)),1,0)</f>
        <v/>
      </c>
      <c r="AJ298" s="28">
        <f>Q298-N298</f>
        <v/>
      </c>
      <c r="AK298" s="3">
        <f>IF(AE298=1,MAX(0,N298-Q298),0)</f>
        <v/>
      </c>
      <c r="AL298" s="3">
        <f>IF(OR(V298="",V298=0),0,N298/V298)</f>
        <v/>
      </c>
      <c r="AM298" s="3">
        <f>IF(OR(V298="",V298=0),0,1)</f>
        <v/>
      </c>
      <c r="AN298" s="3">
        <f>IF(OR(E298="",F298=""),0,NETWORKDAYS(E298,F298,Ref!$K$2:$K$42))</f>
        <v/>
      </c>
      <c r="AO298" s="3">
        <f>IF(L298="Renewal",1,0)</f>
        <v/>
      </c>
      <c r="AP298" s="3">
        <f>AC298*AD298</f>
        <v/>
      </c>
      <c r="AQ298" s="3">
        <f>IF(AND(G298&lt;&gt;"",'Historical Score'!$C$6&lt;&gt;""),IF(G298='Historical Score'!$C$6,1,0),0)</f>
        <v/>
      </c>
      <c r="AR298" s="3">
        <f>IF(AND(L298&lt;&gt;"",'Historical Score'!$C$5&lt;&gt;""),IF(L298='Historical Score'!$C$5,1,0),0)</f>
        <v/>
      </c>
      <c r="AS298" s="3">
        <f>IF(AND(Y298&lt;&gt;"",'Historical Score'!$C$7&lt;&gt;""),IF(Y298='Historical Score'!$C$7,1,0),0)</f>
        <v/>
      </c>
      <c r="AT298" s="3">
        <f>IF(AND(K298&lt;&gt;"",'Historical Score'!$C$8&lt;&gt;""),IF(K298='Historical Score'!$C$8,1,0),0)</f>
        <v/>
      </c>
      <c r="AU298" s="3" t="n"/>
      <c r="AV298" s="3" t="n"/>
      <c r="AW298" s="3" t="n"/>
      <c r="AX298" s="3" t="n"/>
      <c r="AY298" s="3" t="n"/>
      <c r="AZ298" s="3" t="n"/>
      <c r="BA298" s="182">
        <f>IF(AD298=1,(AR298*'Historical Score'!$K$29+1-'Historical Score'!$K$29)*(AT298*'Historical Score'!$L$29+1-'Historical Score'!$L$29)*(AS298*'Historical Score'!$M$29+1-'Historical Score'!$M$29)*(AQ298*'Historical Score'!$N$29+1-'Historical Score'!$N$29),0)</f>
        <v/>
      </c>
      <c r="BB298" s="3" t="n"/>
      <c r="BC298" s="3" t="n"/>
    </row>
    <row r="299" ht="15.75" customHeight="1" s="174">
      <c r="A299" s="3" t="inlineStr">
        <is>
          <t>5674168907</t>
        </is>
      </c>
      <c r="B299" s="3" t="inlineStr">
        <is>
          <t>Awnings R Us</t>
        </is>
      </c>
      <c r="C299" s="3" t="inlineStr">
        <is>
          <t>Awnings R Us</t>
        </is>
      </c>
      <c r="D299" s="3" t="inlineStr">
        <is>
          <t>Legal</t>
        </is>
      </c>
      <c r="E299" s="23" t="n">
        <v>45951</v>
      </c>
      <c r="F299" s="23" t="n">
        <v>45981</v>
      </c>
      <c r="G299" s="3" t="n">
        <v>2</v>
      </c>
      <c r="H299" s="3" t="inlineStr">
        <is>
          <t>3524</t>
        </is>
      </c>
      <c r="I299" s="3" t="inlineStr">
        <is>
          <t>35</t>
        </is>
      </c>
      <c r="J299" s="3" t="inlineStr">
        <is>
          <t>MD</t>
        </is>
      </c>
      <c r="K299" s="3" t="inlineStr">
        <is>
          <t>Redline Capital</t>
        </is>
      </c>
      <c r="L299" s="3" t="inlineStr">
        <is>
          <t>New Deal</t>
        </is>
      </c>
      <c r="M299" s="3" t="n">
        <v>1.499</v>
      </c>
      <c r="N299" s="28" t="n">
        <v>22000</v>
      </c>
      <c r="O299" s="28" t="n">
        <v>0</v>
      </c>
      <c r="P299" s="28" t="n">
        <v>32978</v>
      </c>
      <c r="Q299" s="28" t="n">
        <v>1966.14</v>
      </c>
      <c r="R299" s="28" t="n">
        <v>31011.86</v>
      </c>
      <c r="S299" s="42" t="n">
        <v>0.0596197464976651</v>
      </c>
      <c r="T299" s="3" t="n">
        <v>3.279</v>
      </c>
      <c r="U299" s="3" t="n">
        <v>14</v>
      </c>
      <c r="V299" s="3" t="n">
        <v>52690.8</v>
      </c>
      <c r="W299" s="42" t="n">
        <v>0.1306</v>
      </c>
      <c r="X299" s="23" t="n">
        <v>44782</v>
      </c>
      <c r="Y299" s="3">
        <f>IF(I299="","No SIC",IFERROR(VLOOKUP(I299,Ref!$A$2:$B$65,2,FALSE()),"Unclassified"))</f>
        <v/>
      </c>
      <c r="Z299" s="3">
        <f>IF(T299="","",IF(T299&lt;12,"Daily","Weekly"))</f>
        <v/>
      </c>
      <c r="AA299" s="3">
        <f>IF(T299="",0,IF(T299&lt;12,T299*Controls!$B$13,T299*5))</f>
        <v/>
      </c>
      <c r="AB299" s="3">
        <f>IF(E299="",0,NETWORKDAYS(E299,Controls!$B$20,Ref!$K$2:$K$42))</f>
        <v/>
      </c>
      <c r="AC299" s="3">
        <f>IF(OR(AF299=1,AND(AA299&gt;0,AB299&gt;=Controls!$B$23*AA299)),1,0)</f>
        <v/>
      </c>
      <c r="AD299" s="3">
        <f>IF(AND(E299&lt;&gt;"",E299&gt;=Controls!$B$21,E299&lt;=Controls!$B$22),1,0)</f>
        <v/>
      </c>
      <c r="AE299" s="3">
        <f>IF(IFERROR(VLOOKUP(D299,Controls!$A$36:$E$46,2,FALSE()),"No")="Yes",1,0)</f>
        <v/>
      </c>
      <c r="AF299" s="3">
        <f>IF(IFERROR(VLOOKUP(D299,Controls!$A$36:$E$46,3,FALSE()),"No")="Yes",1,0)</f>
        <v/>
      </c>
      <c r="AG299" s="3">
        <f>IF(IFERROR(VLOOKUP(D299,Controls!$A$36:$E$46,4,FALSE()),"No")="Yes",1,0)</f>
        <v/>
      </c>
      <c r="AH299" s="3">
        <f>IF(IFERROR(VLOOKUP(D299,Controls!$A$36:$E$46,5,FALSE()),"No")="Yes",1,0)</f>
        <v/>
      </c>
      <c r="AI299" s="3">
        <f>IF(ISNUMBER(MATCH(D299,Controls!$A$36:$A$46,0)),1,0)</f>
        <v/>
      </c>
      <c r="AJ299" s="28">
        <f>Q299-N299</f>
        <v/>
      </c>
      <c r="AK299" s="3">
        <f>IF(AE299=1,MAX(0,N299-Q299),0)</f>
        <v/>
      </c>
      <c r="AL299" s="3">
        <f>IF(OR(V299="",V299=0),0,N299/V299)</f>
        <v/>
      </c>
      <c r="AM299" s="3">
        <f>IF(OR(V299="",V299=0),0,1)</f>
        <v/>
      </c>
      <c r="AN299" s="3">
        <f>IF(OR(E299="",F299=""),0,NETWORKDAYS(E299,F299,Ref!$K$2:$K$42))</f>
        <v/>
      </c>
      <c r="AO299" s="3">
        <f>IF(L299="Renewal",1,0)</f>
        <v/>
      </c>
      <c r="AP299" s="3">
        <f>AC299*AD299</f>
        <v/>
      </c>
      <c r="AQ299" s="3">
        <f>IF(AND(G299&lt;&gt;"",'Historical Score'!$C$6&lt;&gt;""),IF(G299='Historical Score'!$C$6,1,0),0)</f>
        <v/>
      </c>
      <c r="AR299" s="3">
        <f>IF(AND(L299&lt;&gt;"",'Historical Score'!$C$5&lt;&gt;""),IF(L299='Historical Score'!$C$5,1,0),0)</f>
        <v/>
      </c>
      <c r="AS299" s="3">
        <f>IF(AND(Y299&lt;&gt;"",'Historical Score'!$C$7&lt;&gt;""),IF(Y299='Historical Score'!$C$7,1,0),0)</f>
        <v/>
      </c>
      <c r="AT299" s="3">
        <f>IF(AND(K299&lt;&gt;"",'Historical Score'!$C$8&lt;&gt;""),IF(K299='Historical Score'!$C$8,1,0),0)</f>
        <v/>
      </c>
      <c r="AU299" s="3" t="n"/>
      <c r="AV299" s="3" t="n"/>
      <c r="AW299" s="3" t="n"/>
      <c r="AX299" s="3" t="n"/>
      <c r="AY299" s="3" t="n"/>
      <c r="AZ299" s="3" t="n"/>
      <c r="BA299" s="182">
        <f>IF(AD299=1,(AR299*'Historical Score'!$K$29+1-'Historical Score'!$K$29)*(AT299*'Historical Score'!$L$29+1-'Historical Score'!$L$29)*(AS299*'Historical Score'!$M$29+1-'Historical Score'!$M$29)*(AQ299*'Historical Score'!$N$29+1-'Historical Score'!$N$29),0)</f>
        <v/>
      </c>
      <c r="BB299" s="3" t="n"/>
      <c r="BC299" s="3" t="n"/>
    </row>
    <row r="300" ht="15.75" customHeight="1" s="174">
      <c r="A300" s="3" t="inlineStr">
        <is>
          <t>5674168912</t>
        </is>
      </c>
      <c r="B300" s="3" t="inlineStr">
        <is>
          <t>KHEPRA'S RAW FOOD JUICE BAR</t>
        </is>
      </c>
      <c r="C300" s="3" t="inlineStr">
        <is>
          <t>KHEPRA ANU SOLE PROP</t>
        </is>
      </c>
      <c r="D300" s="3" t="inlineStr">
        <is>
          <t>Legal</t>
        </is>
      </c>
      <c r="E300" s="23" t="n">
        <v>45951</v>
      </c>
      <c r="F300" s="23" t="n">
        <v>45980</v>
      </c>
      <c r="G300" s="3" t="n">
        <v>2</v>
      </c>
      <c r="H300" s="3" t="inlineStr">
        <is>
          <t>5812</t>
        </is>
      </c>
      <c r="I300" s="3" t="inlineStr">
        <is>
          <t>58</t>
        </is>
      </c>
      <c r="J300" s="3" t="inlineStr">
        <is>
          <t>DC</t>
        </is>
      </c>
      <c r="K300" s="3" t="inlineStr">
        <is>
          <t>United Secured Capital 8</t>
        </is>
      </c>
      <c r="L300" s="3" t="inlineStr">
        <is>
          <t>New Deal</t>
        </is>
      </c>
      <c r="M300" s="3" t="n">
        <v>1.5</v>
      </c>
      <c r="N300" s="28" t="n">
        <v>12500</v>
      </c>
      <c r="O300" s="28" t="n">
        <v>1750</v>
      </c>
      <c r="P300" s="28" t="n">
        <v>18750</v>
      </c>
      <c r="Q300" s="28" t="n">
        <v>3518.49</v>
      </c>
      <c r="R300" s="28" t="n">
        <v>15231.51</v>
      </c>
      <c r="S300" s="42" t="n">
        <v>0.1876528</v>
      </c>
      <c r="T300" s="3" t="n">
        <v>2.951</v>
      </c>
      <c r="U300" s="3" t="n">
        <v>3</v>
      </c>
      <c r="V300" s="3" t="n">
        <v>20290.8</v>
      </c>
      <c r="W300" s="42" t="n">
        <v>0.2142</v>
      </c>
      <c r="X300" s="23" t="n"/>
      <c r="Y300" s="3">
        <f>IF(I300="","No SIC",IFERROR(VLOOKUP(I300,Ref!$A$2:$B$65,2,FALSE()),"Unclassified"))</f>
        <v/>
      </c>
      <c r="Z300" s="3">
        <f>IF(T300="","",IF(T300&lt;12,"Daily","Weekly"))</f>
        <v/>
      </c>
      <c r="AA300" s="3">
        <f>IF(T300="",0,IF(T300&lt;12,T300*Controls!$B$13,T300*5))</f>
        <v/>
      </c>
      <c r="AB300" s="3">
        <f>IF(E300="",0,NETWORKDAYS(E300,Controls!$B$20,Ref!$K$2:$K$42))</f>
        <v/>
      </c>
      <c r="AC300" s="3">
        <f>IF(OR(AF300=1,AND(AA300&gt;0,AB300&gt;=Controls!$B$23*AA300)),1,0)</f>
        <v/>
      </c>
      <c r="AD300" s="3">
        <f>IF(AND(E300&lt;&gt;"",E300&gt;=Controls!$B$21,E300&lt;=Controls!$B$22),1,0)</f>
        <v/>
      </c>
      <c r="AE300" s="3">
        <f>IF(IFERROR(VLOOKUP(D300,Controls!$A$36:$E$46,2,FALSE()),"No")="Yes",1,0)</f>
        <v/>
      </c>
      <c r="AF300" s="3">
        <f>IF(IFERROR(VLOOKUP(D300,Controls!$A$36:$E$46,3,FALSE()),"No")="Yes",1,0)</f>
        <v/>
      </c>
      <c r="AG300" s="3">
        <f>IF(IFERROR(VLOOKUP(D300,Controls!$A$36:$E$46,4,FALSE()),"No")="Yes",1,0)</f>
        <v/>
      </c>
      <c r="AH300" s="3">
        <f>IF(IFERROR(VLOOKUP(D300,Controls!$A$36:$E$46,5,FALSE()),"No")="Yes",1,0)</f>
        <v/>
      </c>
      <c r="AI300" s="3">
        <f>IF(ISNUMBER(MATCH(D300,Controls!$A$36:$A$46,0)),1,0)</f>
        <v/>
      </c>
      <c r="AJ300" s="28">
        <f>Q300-N300</f>
        <v/>
      </c>
      <c r="AK300" s="3">
        <f>IF(AE300=1,MAX(0,N300-Q300),0)</f>
        <v/>
      </c>
      <c r="AL300" s="3">
        <f>IF(OR(V300="",V300=0),0,N300/V300)</f>
        <v/>
      </c>
      <c r="AM300" s="3">
        <f>IF(OR(V300="",V300=0),0,1)</f>
        <v/>
      </c>
      <c r="AN300" s="3">
        <f>IF(OR(E300="",F300=""),0,NETWORKDAYS(E300,F300,Ref!$K$2:$K$42))</f>
        <v/>
      </c>
      <c r="AO300" s="3">
        <f>IF(L300="Renewal",1,0)</f>
        <v/>
      </c>
      <c r="AP300" s="3">
        <f>AC300*AD300</f>
        <v/>
      </c>
      <c r="AQ300" s="3">
        <f>IF(AND(G300&lt;&gt;"",'Historical Score'!$C$6&lt;&gt;""),IF(G300='Historical Score'!$C$6,1,0),0)</f>
        <v/>
      </c>
      <c r="AR300" s="3">
        <f>IF(AND(L300&lt;&gt;"",'Historical Score'!$C$5&lt;&gt;""),IF(L300='Historical Score'!$C$5,1,0),0)</f>
        <v/>
      </c>
      <c r="AS300" s="3">
        <f>IF(AND(Y300&lt;&gt;"",'Historical Score'!$C$7&lt;&gt;""),IF(Y300='Historical Score'!$C$7,1,0),0)</f>
        <v/>
      </c>
      <c r="AT300" s="3">
        <f>IF(AND(K300&lt;&gt;"",'Historical Score'!$C$8&lt;&gt;""),IF(K300='Historical Score'!$C$8,1,0),0)</f>
        <v/>
      </c>
      <c r="AU300" s="3" t="n"/>
      <c r="AV300" s="3" t="n"/>
      <c r="AW300" s="3" t="n"/>
      <c r="AX300" s="3" t="n"/>
      <c r="AY300" s="3" t="n"/>
      <c r="AZ300" s="3" t="n"/>
      <c r="BA300" s="182">
        <f>IF(AD300=1,(AR300*'Historical Score'!$K$29+1-'Historical Score'!$K$29)*(AT300*'Historical Score'!$L$29+1-'Historical Score'!$L$29)*(AS300*'Historical Score'!$M$29+1-'Historical Score'!$M$29)*(AQ300*'Historical Score'!$N$29+1-'Historical Score'!$N$29),0)</f>
        <v/>
      </c>
      <c r="BB300" s="3" t="n"/>
      <c r="BC300" s="3" t="n"/>
    </row>
    <row r="301" ht="15.75" customHeight="1" s="174">
      <c r="A301" s="3" t="inlineStr">
        <is>
          <t>5674169031</t>
        </is>
      </c>
      <c r="B301" s="3" t="inlineStr">
        <is>
          <t>ST CAJETAN OIL COMPANY LLC</t>
        </is>
      </c>
      <c r="C301" s="3" t="inlineStr">
        <is>
          <t>ST CAJETAN OIL COMPANY LLC</t>
        </is>
      </c>
      <c r="D301" s="3" t="inlineStr">
        <is>
          <t>Closed</t>
        </is>
      </c>
      <c r="E301" s="23" t="n">
        <v>45952</v>
      </c>
      <c r="F301" s="23" t="n">
        <v>46090</v>
      </c>
      <c r="G301" s="3" t="n">
        <v>2</v>
      </c>
      <c r="H301" s="3" t="inlineStr">
        <is>
          <t>1382</t>
        </is>
      </c>
      <c r="I301" s="3" t="inlineStr">
        <is>
          <t>13</t>
        </is>
      </c>
      <c r="J301" s="3" t="inlineStr">
        <is>
          <t>TX</t>
        </is>
      </c>
      <c r="K301" s="3" t="inlineStr">
        <is>
          <t>United Secured Capital 8</t>
        </is>
      </c>
      <c r="L301" s="3" t="inlineStr">
        <is>
          <t>New Deal</t>
        </is>
      </c>
      <c r="M301" s="3" t="n">
        <v>1.499</v>
      </c>
      <c r="N301" s="28" t="n">
        <v>12500</v>
      </c>
      <c r="O301" s="28" t="n">
        <v>1750</v>
      </c>
      <c r="P301" s="28" t="n">
        <v>18737.5</v>
      </c>
      <c r="Q301" s="28" t="n">
        <v>18737.5</v>
      </c>
      <c r="R301" s="28" t="n">
        <v>0</v>
      </c>
      <c r="S301" s="42" t="n">
        <v>1</v>
      </c>
      <c r="T301" s="3" t="n">
        <v>2.951</v>
      </c>
      <c r="U301" s="3" t="n">
        <v>0</v>
      </c>
      <c r="V301" s="3" t="n">
        <v>37694.01</v>
      </c>
      <c r="W301" s="42" t="n">
        <v>0.1146</v>
      </c>
      <c r="X301" s="23" t="n">
        <v>44338</v>
      </c>
      <c r="Y301" s="3">
        <f>IF(I301="","No SIC",IFERROR(VLOOKUP(I301,Ref!$A$2:$B$65,2,FALSE()),"Unclassified"))</f>
        <v/>
      </c>
      <c r="Z301" s="3">
        <f>IF(T301="","",IF(T301&lt;12,"Daily","Weekly"))</f>
        <v/>
      </c>
      <c r="AA301" s="3">
        <f>IF(T301="",0,IF(T301&lt;12,T301*Controls!$B$13,T301*5))</f>
        <v/>
      </c>
      <c r="AB301" s="3">
        <f>IF(E301="",0,NETWORKDAYS(E301,Controls!$B$20,Ref!$K$2:$K$42))</f>
        <v/>
      </c>
      <c r="AC301" s="3">
        <f>IF(OR(AF301=1,AND(AA301&gt;0,AB301&gt;=Controls!$B$23*AA301)),1,0)</f>
        <v/>
      </c>
      <c r="AD301" s="3">
        <f>IF(AND(E301&lt;&gt;"",E301&gt;=Controls!$B$21,E301&lt;=Controls!$B$22),1,0)</f>
        <v/>
      </c>
      <c r="AE301" s="3">
        <f>IF(IFERROR(VLOOKUP(D301,Controls!$A$36:$E$46,2,FALSE()),"No")="Yes",1,0)</f>
        <v/>
      </c>
      <c r="AF301" s="3">
        <f>IF(IFERROR(VLOOKUP(D301,Controls!$A$36:$E$46,3,FALSE()),"No")="Yes",1,0)</f>
        <v/>
      </c>
      <c r="AG301" s="3">
        <f>IF(IFERROR(VLOOKUP(D301,Controls!$A$36:$E$46,4,FALSE()),"No")="Yes",1,0)</f>
        <v/>
      </c>
      <c r="AH301" s="3">
        <f>IF(IFERROR(VLOOKUP(D301,Controls!$A$36:$E$46,5,FALSE()),"No")="Yes",1,0)</f>
        <v/>
      </c>
      <c r="AI301" s="3">
        <f>IF(ISNUMBER(MATCH(D301,Controls!$A$36:$A$46,0)),1,0)</f>
        <v/>
      </c>
      <c r="AJ301" s="28">
        <f>Q301-N301</f>
        <v/>
      </c>
      <c r="AK301" s="3">
        <f>IF(AE301=1,MAX(0,N301-Q301),0)</f>
        <v/>
      </c>
      <c r="AL301" s="3">
        <f>IF(OR(V301="",V301=0),0,N301/V301)</f>
        <v/>
      </c>
      <c r="AM301" s="3">
        <f>IF(OR(V301="",V301=0),0,1)</f>
        <v/>
      </c>
      <c r="AN301" s="3">
        <f>IF(OR(E301="",F301=""),0,NETWORKDAYS(E301,F301,Ref!$K$2:$K$42))</f>
        <v/>
      </c>
      <c r="AO301" s="3">
        <f>IF(L301="Renewal",1,0)</f>
        <v/>
      </c>
      <c r="AP301" s="3">
        <f>AC301*AD301</f>
        <v/>
      </c>
      <c r="AQ301" s="3">
        <f>IF(AND(G301&lt;&gt;"",'Historical Score'!$C$6&lt;&gt;""),IF(G301='Historical Score'!$C$6,1,0),0)</f>
        <v/>
      </c>
      <c r="AR301" s="3">
        <f>IF(AND(L301&lt;&gt;"",'Historical Score'!$C$5&lt;&gt;""),IF(L301='Historical Score'!$C$5,1,0),0)</f>
        <v/>
      </c>
      <c r="AS301" s="3">
        <f>IF(AND(Y301&lt;&gt;"",'Historical Score'!$C$7&lt;&gt;""),IF(Y301='Historical Score'!$C$7,1,0),0)</f>
        <v/>
      </c>
      <c r="AT301" s="3">
        <f>IF(AND(K301&lt;&gt;"",'Historical Score'!$C$8&lt;&gt;""),IF(K301='Historical Score'!$C$8,1,0),0)</f>
        <v/>
      </c>
      <c r="AU301" s="3" t="n"/>
      <c r="AV301" s="3" t="n"/>
      <c r="AW301" s="3" t="n"/>
      <c r="AX301" s="3" t="n"/>
      <c r="AY301" s="3" t="n"/>
      <c r="AZ301" s="3" t="n"/>
      <c r="BA301" s="182">
        <f>IF(AD301=1,(AR301*'Historical Score'!$K$29+1-'Historical Score'!$K$29)*(AT301*'Historical Score'!$L$29+1-'Historical Score'!$L$29)*(AS301*'Historical Score'!$M$29+1-'Historical Score'!$M$29)*(AQ301*'Historical Score'!$N$29+1-'Historical Score'!$N$29),0)</f>
        <v/>
      </c>
      <c r="BB301" s="3" t="n"/>
      <c r="BC301" s="3" t="n"/>
    </row>
    <row r="302" ht="15.75" customHeight="1" s="174">
      <c r="A302" s="3" t="inlineStr">
        <is>
          <t>5674169050</t>
        </is>
      </c>
      <c r="B302" s="3" t="inlineStr">
        <is>
          <t>Alodia Brands Inc.</t>
        </is>
      </c>
      <c r="C302" s="3" t="inlineStr">
        <is>
          <t>Alodia Brands Inc.</t>
        </is>
      </c>
      <c r="D302" s="3" t="inlineStr">
        <is>
          <t>Open</t>
        </is>
      </c>
      <c r="E302" s="23" t="n">
        <v>45952</v>
      </c>
      <c r="F302" s="23" t="n">
        <v>46247</v>
      </c>
      <c r="G302" s="3" t="n">
        <v>3</v>
      </c>
      <c r="H302" s="3" t="inlineStr">
        <is>
          <t>5999</t>
        </is>
      </c>
      <c r="I302" s="3" t="inlineStr">
        <is>
          <t>59</t>
        </is>
      </c>
      <c r="J302" s="3" t="inlineStr">
        <is>
          <t>MD</t>
        </is>
      </c>
      <c r="K302" s="3" t="inlineStr">
        <is>
          <t>Fundible</t>
        </is>
      </c>
      <c r="L302" s="3" t="inlineStr">
        <is>
          <t>New Deal</t>
        </is>
      </c>
      <c r="M302" s="3" t="n">
        <v>1.499</v>
      </c>
      <c r="N302" s="28" t="n">
        <v>8500</v>
      </c>
      <c r="O302" s="28" t="n">
        <v>1190</v>
      </c>
      <c r="P302" s="28" t="n">
        <v>12741.5</v>
      </c>
      <c r="Q302" s="28" t="n">
        <v>9449.65</v>
      </c>
      <c r="R302" s="28" t="n">
        <v>3291.85</v>
      </c>
      <c r="S302" s="42" t="n">
        <v>0.741643448573559</v>
      </c>
      <c r="T302" s="3" t="n">
        <v>2.951</v>
      </c>
      <c r="U302" s="3" t="n">
        <v>5</v>
      </c>
      <c r="V302" s="3" t="n">
        <v>78783.37</v>
      </c>
      <c r="W302" s="42" t="n">
        <v>0.0373</v>
      </c>
      <c r="X302" s="23" t="n">
        <v>42795</v>
      </c>
      <c r="Y302" s="3">
        <f>IF(I302="","No SIC",IFERROR(VLOOKUP(I302,Ref!$A$2:$B$65,2,FALSE()),"Unclassified"))</f>
        <v/>
      </c>
      <c r="Z302" s="3">
        <f>IF(T302="","",IF(T302&lt;12,"Daily","Weekly"))</f>
        <v/>
      </c>
      <c r="AA302" s="3">
        <f>IF(T302="",0,IF(T302&lt;12,T302*Controls!$B$13,T302*5))</f>
        <v/>
      </c>
      <c r="AB302" s="3">
        <f>IF(E302="",0,NETWORKDAYS(E302,Controls!$B$20,Ref!$K$2:$K$42))</f>
        <v/>
      </c>
      <c r="AC302" s="3">
        <f>IF(OR(AF302=1,AND(AA302&gt;0,AB302&gt;=Controls!$B$23*AA302)),1,0)</f>
        <v/>
      </c>
      <c r="AD302" s="3">
        <f>IF(AND(E302&lt;&gt;"",E302&gt;=Controls!$B$21,E302&lt;=Controls!$B$22),1,0)</f>
        <v/>
      </c>
      <c r="AE302" s="3">
        <f>IF(IFERROR(VLOOKUP(D302,Controls!$A$36:$E$46,2,FALSE()),"No")="Yes",1,0)</f>
        <v/>
      </c>
      <c r="AF302" s="3">
        <f>IF(IFERROR(VLOOKUP(D302,Controls!$A$36:$E$46,3,FALSE()),"No")="Yes",1,0)</f>
        <v/>
      </c>
      <c r="AG302" s="3">
        <f>IF(IFERROR(VLOOKUP(D302,Controls!$A$36:$E$46,4,FALSE()),"No")="Yes",1,0)</f>
        <v/>
      </c>
      <c r="AH302" s="3">
        <f>IF(IFERROR(VLOOKUP(D302,Controls!$A$36:$E$46,5,FALSE()),"No")="Yes",1,0)</f>
        <v/>
      </c>
      <c r="AI302" s="3">
        <f>IF(ISNUMBER(MATCH(D302,Controls!$A$36:$A$46,0)),1,0)</f>
        <v/>
      </c>
      <c r="AJ302" s="28">
        <f>Q302-N302</f>
        <v/>
      </c>
      <c r="AK302" s="3">
        <f>IF(AE302=1,MAX(0,N302-Q302),0)</f>
        <v/>
      </c>
      <c r="AL302" s="3">
        <f>IF(OR(V302="",V302=0),0,N302/V302)</f>
        <v/>
      </c>
      <c r="AM302" s="3">
        <f>IF(OR(V302="",V302=0),0,1)</f>
        <v/>
      </c>
      <c r="AN302" s="3">
        <f>IF(OR(E302="",F302=""),0,NETWORKDAYS(E302,F302,Ref!$K$2:$K$42))</f>
        <v/>
      </c>
      <c r="AO302" s="3">
        <f>IF(L302="Renewal",1,0)</f>
        <v/>
      </c>
      <c r="AP302" s="3">
        <f>AC302*AD302</f>
        <v/>
      </c>
      <c r="AQ302" s="3">
        <f>IF(AND(G302&lt;&gt;"",'Historical Score'!$C$6&lt;&gt;""),IF(G302='Historical Score'!$C$6,1,0),0)</f>
        <v/>
      </c>
      <c r="AR302" s="3">
        <f>IF(AND(L302&lt;&gt;"",'Historical Score'!$C$5&lt;&gt;""),IF(L302='Historical Score'!$C$5,1,0),0)</f>
        <v/>
      </c>
      <c r="AS302" s="3">
        <f>IF(AND(Y302&lt;&gt;"",'Historical Score'!$C$7&lt;&gt;""),IF(Y302='Historical Score'!$C$7,1,0),0)</f>
        <v/>
      </c>
      <c r="AT302" s="3">
        <f>IF(AND(K302&lt;&gt;"",'Historical Score'!$C$8&lt;&gt;""),IF(K302='Historical Score'!$C$8,1,0),0)</f>
        <v/>
      </c>
      <c r="AU302" s="3" t="n"/>
      <c r="AV302" s="3" t="n"/>
      <c r="AW302" s="3" t="n"/>
      <c r="AX302" s="3" t="n"/>
      <c r="AY302" s="3" t="n"/>
      <c r="AZ302" s="3" t="n"/>
      <c r="BA302" s="182">
        <f>IF(AD302=1,(AR302*'Historical Score'!$K$29+1-'Historical Score'!$K$29)*(AT302*'Historical Score'!$L$29+1-'Historical Score'!$L$29)*(AS302*'Historical Score'!$M$29+1-'Historical Score'!$M$29)*(AQ302*'Historical Score'!$N$29+1-'Historical Score'!$N$29),0)</f>
        <v/>
      </c>
      <c r="BB302" s="3" t="n"/>
      <c r="BC302" s="3" t="n"/>
    </row>
    <row r="303" ht="15.75" customHeight="1" s="174">
      <c r="A303" s="3" t="inlineStr">
        <is>
          <t>5674169104</t>
        </is>
      </c>
      <c r="B303" s="3" t="inlineStr">
        <is>
          <t>TGIF LLC</t>
        </is>
      </c>
      <c r="C303" s="3" t="inlineStr">
        <is>
          <t>TGIF LLC</t>
        </is>
      </c>
      <c r="D303" s="3" t="inlineStr">
        <is>
          <t>Legal</t>
        </is>
      </c>
      <c r="E303" s="23" t="n">
        <v>45953</v>
      </c>
      <c r="F303" s="23" t="n">
        <v>46009</v>
      </c>
      <c r="G303" s="3" t="n">
        <v>2</v>
      </c>
      <c r="H303" s="3" t="inlineStr">
        <is>
          <t>5159</t>
        </is>
      </c>
      <c r="I303" s="3" t="inlineStr">
        <is>
          <t>51</t>
        </is>
      </c>
      <c r="J303" s="3" t="inlineStr">
        <is>
          <t>OR</t>
        </is>
      </c>
      <c r="K303" s="3" t="inlineStr">
        <is>
          <t>United Secured Capital 8</t>
        </is>
      </c>
      <c r="L303" s="3" t="inlineStr">
        <is>
          <t>New Deal</t>
        </is>
      </c>
      <c r="M303" s="3" t="n">
        <v>1.49</v>
      </c>
      <c r="N303" s="28" t="n">
        <v>18500</v>
      </c>
      <c r="O303" s="28" t="n">
        <v>0</v>
      </c>
      <c r="P303" s="28" t="n">
        <v>27565</v>
      </c>
      <c r="Q303" s="28" t="n">
        <v>4134.45</v>
      </c>
      <c r="R303" s="28" t="n">
        <v>23430.55</v>
      </c>
      <c r="S303" s="42" t="n">
        <v>0.149989116633412</v>
      </c>
      <c r="T303" s="3" t="n">
        <v>3.279</v>
      </c>
      <c r="U303" s="3" t="n">
        <v>13</v>
      </c>
      <c r="V303" s="3" t="n">
        <v>33189.82</v>
      </c>
      <c r="W303" s="42" t="n">
        <v>0.1744</v>
      </c>
      <c r="X303" s="23" t="n">
        <v>42914</v>
      </c>
      <c r="Y303" s="3">
        <f>IF(I303="","No SIC",IFERROR(VLOOKUP(I303,Ref!$A$2:$B$65,2,FALSE()),"Unclassified"))</f>
        <v/>
      </c>
      <c r="Z303" s="3">
        <f>IF(T303="","",IF(T303&lt;12,"Daily","Weekly"))</f>
        <v/>
      </c>
      <c r="AA303" s="3">
        <f>IF(T303="",0,IF(T303&lt;12,T303*Controls!$B$13,T303*5))</f>
        <v/>
      </c>
      <c r="AB303" s="3">
        <f>IF(E303="",0,NETWORKDAYS(E303,Controls!$B$20,Ref!$K$2:$K$42))</f>
        <v/>
      </c>
      <c r="AC303" s="3">
        <f>IF(OR(AF303=1,AND(AA303&gt;0,AB303&gt;=Controls!$B$23*AA303)),1,0)</f>
        <v/>
      </c>
      <c r="AD303" s="3">
        <f>IF(AND(E303&lt;&gt;"",E303&gt;=Controls!$B$21,E303&lt;=Controls!$B$22),1,0)</f>
        <v/>
      </c>
      <c r="AE303" s="3">
        <f>IF(IFERROR(VLOOKUP(D303,Controls!$A$36:$E$46,2,FALSE()),"No")="Yes",1,0)</f>
        <v/>
      </c>
      <c r="AF303" s="3">
        <f>IF(IFERROR(VLOOKUP(D303,Controls!$A$36:$E$46,3,FALSE()),"No")="Yes",1,0)</f>
        <v/>
      </c>
      <c r="AG303" s="3">
        <f>IF(IFERROR(VLOOKUP(D303,Controls!$A$36:$E$46,4,FALSE()),"No")="Yes",1,0)</f>
        <v/>
      </c>
      <c r="AH303" s="3">
        <f>IF(IFERROR(VLOOKUP(D303,Controls!$A$36:$E$46,5,FALSE()),"No")="Yes",1,0)</f>
        <v/>
      </c>
      <c r="AI303" s="3">
        <f>IF(ISNUMBER(MATCH(D303,Controls!$A$36:$A$46,0)),1,0)</f>
        <v/>
      </c>
      <c r="AJ303" s="28">
        <f>Q303-N303</f>
        <v/>
      </c>
      <c r="AK303" s="3">
        <f>IF(AE303=1,MAX(0,N303-Q303),0)</f>
        <v/>
      </c>
      <c r="AL303" s="3">
        <f>IF(OR(V303="",V303=0),0,N303/V303)</f>
        <v/>
      </c>
      <c r="AM303" s="3">
        <f>IF(OR(V303="",V303=0),0,1)</f>
        <v/>
      </c>
      <c r="AN303" s="3">
        <f>IF(OR(E303="",F303=""),0,NETWORKDAYS(E303,F303,Ref!$K$2:$K$42))</f>
        <v/>
      </c>
      <c r="AO303" s="3">
        <f>IF(L303="Renewal",1,0)</f>
        <v/>
      </c>
      <c r="AP303" s="3">
        <f>AC303*AD303</f>
        <v/>
      </c>
      <c r="AQ303" s="3">
        <f>IF(AND(G303&lt;&gt;"",'Historical Score'!$C$6&lt;&gt;""),IF(G303='Historical Score'!$C$6,1,0),0)</f>
        <v/>
      </c>
      <c r="AR303" s="3">
        <f>IF(AND(L303&lt;&gt;"",'Historical Score'!$C$5&lt;&gt;""),IF(L303='Historical Score'!$C$5,1,0),0)</f>
        <v/>
      </c>
      <c r="AS303" s="3">
        <f>IF(AND(Y303&lt;&gt;"",'Historical Score'!$C$7&lt;&gt;""),IF(Y303='Historical Score'!$C$7,1,0),0)</f>
        <v/>
      </c>
      <c r="AT303" s="3">
        <f>IF(AND(K303&lt;&gt;"",'Historical Score'!$C$8&lt;&gt;""),IF(K303='Historical Score'!$C$8,1,0),0)</f>
        <v/>
      </c>
      <c r="AU303" s="3" t="n"/>
      <c r="AV303" s="3" t="n"/>
      <c r="AW303" s="3" t="n"/>
      <c r="AX303" s="3" t="n"/>
      <c r="AY303" s="3" t="n"/>
      <c r="AZ303" s="3" t="n"/>
      <c r="BA303" s="182">
        <f>IF(AD303=1,(AR303*'Historical Score'!$K$29+1-'Historical Score'!$K$29)*(AT303*'Historical Score'!$L$29+1-'Historical Score'!$L$29)*(AS303*'Historical Score'!$M$29+1-'Historical Score'!$M$29)*(AQ303*'Historical Score'!$N$29+1-'Historical Score'!$N$29),0)</f>
        <v/>
      </c>
      <c r="BB303" s="3" t="n"/>
      <c r="BC303" s="3" t="n"/>
    </row>
    <row r="304" ht="15.75" customHeight="1" s="174">
      <c r="A304" s="3" t="inlineStr">
        <is>
          <t>5674169127</t>
        </is>
      </c>
      <c r="B304" s="3" t="inlineStr">
        <is>
          <t>Dsg performance</t>
        </is>
      </c>
      <c r="C304" s="3" t="inlineStr">
        <is>
          <t>DSG PERFORMANCE LLC</t>
        </is>
      </c>
      <c r="D304" s="3" t="inlineStr">
        <is>
          <t>Closed</t>
        </is>
      </c>
      <c r="E304" s="23" t="n">
        <v>45953</v>
      </c>
      <c r="F304" s="23" t="n">
        <v>46191</v>
      </c>
      <c r="G304" s="3" t="n">
        <v>3</v>
      </c>
      <c r="H304" s="3" t="inlineStr">
        <is>
          <t>2396</t>
        </is>
      </c>
      <c r="I304" s="3" t="inlineStr">
        <is>
          <t>23</t>
        </is>
      </c>
      <c r="J304" s="3" t="inlineStr">
        <is>
          <t>TX</t>
        </is>
      </c>
      <c r="K304" s="3" t="inlineStr">
        <is>
          <t>National Business Capital</t>
        </is>
      </c>
      <c r="L304" s="3" t="inlineStr">
        <is>
          <t>New Deal</t>
        </is>
      </c>
      <c r="M304" s="3" t="n">
        <v>1.49</v>
      </c>
      <c r="N304" s="28" t="n">
        <v>40000</v>
      </c>
      <c r="O304" s="28" t="n">
        <v>5600</v>
      </c>
      <c r="P304" s="28" t="n">
        <v>59600</v>
      </c>
      <c r="Q304" s="28" t="n">
        <v>59600</v>
      </c>
      <c r="R304" s="28" t="n">
        <v>0</v>
      </c>
      <c r="S304" s="42" t="n">
        <v>1</v>
      </c>
      <c r="T304" s="3" t="n">
        <v>32</v>
      </c>
      <c r="U304" s="3" t="n">
        <v>1</v>
      </c>
      <c r="V304" s="3" t="n">
        <v>108255.14</v>
      </c>
      <c r="W304" s="42" t="n">
        <v>0.0688</v>
      </c>
      <c r="X304" s="23" t="n"/>
      <c r="Y304" s="3">
        <f>IF(I304="","No SIC",IFERROR(VLOOKUP(I304,Ref!$A$2:$B$65,2,FALSE()),"Unclassified"))</f>
        <v/>
      </c>
      <c r="Z304" s="3">
        <f>IF(T304="","",IF(T304&lt;12,"Daily","Weekly"))</f>
        <v/>
      </c>
      <c r="AA304" s="3">
        <f>IF(T304="",0,IF(T304&lt;12,T304*Controls!$B$13,T304*5))</f>
        <v/>
      </c>
      <c r="AB304" s="3">
        <f>IF(E304="",0,NETWORKDAYS(E304,Controls!$B$20,Ref!$K$2:$K$42))</f>
        <v/>
      </c>
      <c r="AC304" s="3">
        <f>IF(OR(AF304=1,AND(AA304&gt;0,AB304&gt;=Controls!$B$23*AA304)),1,0)</f>
        <v/>
      </c>
      <c r="AD304" s="3">
        <f>IF(AND(E304&lt;&gt;"",E304&gt;=Controls!$B$21,E304&lt;=Controls!$B$22),1,0)</f>
        <v/>
      </c>
      <c r="AE304" s="3">
        <f>IF(IFERROR(VLOOKUP(D304,Controls!$A$36:$E$46,2,FALSE()),"No")="Yes",1,0)</f>
        <v/>
      </c>
      <c r="AF304" s="3">
        <f>IF(IFERROR(VLOOKUP(D304,Controls!$A$36:$E$46,3,FALSE()),"No")="Yes",1,0)</f>
        <v/>
      </c>
      <c r="AG304" s="3">
        <f>IF(IFERROR(VLOOKUP(D304,Controls!$A$36:$E$46,4,FALSE()),"No")="Yes",1,0)</f>
        <v/>
      </c>
      <c r="AH304" s="3">
        <f>IF(IFERROR(VLOOKUP(D304,Controls!$A$36:$E$46,5,FALSE()),"No")="Yes",1,0)</f>
        <v/>
      </c>
      <c r="AI304" s="3">
        <f>IF(ISNUMBER(MATCH(D304,Controls!$A$36:$A$46,0)),1,0)</f>
        <v/>
      </c>
      <c r="AJ304" s="28">
        <f>Q304-N304</f>
        <v/>
      </c>
      <c r="AK304" s="3">
        <f>IF(AE304=1,MAX(0,N304-Q304),0)</f>
        <v/>
      </c>
      <c r="AL304" s="3">
        <f>IF(OR(V304="",V304=0),0,N304/V304)</f>
        <v/>
      </c>
      <c r="AM304" s="3">
        <f>IF(OR(V304="",V304=0),0,1)</f>
        <v/>
      </c>
      <c r="AN304" s="3">
        <f>IF(OR(E304="",F304=""),0,NETWORKDAYS(E304,F304,Ref!$K$2:$K$42))</f>
        <v/>
      </c>
      <c r="AO304" s="3">
        <f>IF(L304="Renewal",1,0)</f>
        <v/>
      </c>
      <c r="AP304" s="3">
        <f>AC304*AD304</f>
        <v/>
      </c>
      <c r="AQ304" s="3">
        <f>IF(AND(G304&lt;&gt;"",'Historical Score'!$C$6&lt;&gt;""),IF(G304='Historical Score'!$C$6,1,0),0)</f>
        <v/>
      </c>
      <c r="AR304" s="3">
        <f>IF(AND(L304&lt;&gt;"",'Historical Score'!$C$5&lt;&gt;""),IF(L304='Historical Score'!$C$5,1,0),0)</f>
        <v/>
      </c>
      <c r="AS304" s="3">
        <f>IF(AND(Y304&lt;&gt;"",'Historical Score'!$C$7&lt;&gt;""),IF(Y304='Historical Score'!$C$7,1,0),0)</f>
        <v/>
      </c>
      <c r="AT304" s="3">
        <f>IF(AND(K304&lt;&gt;"",'Historical Score'!$C$8&lt;&gt;""),IF(K304='Historical Score'!$C$8,1,0),0)</f>
        <v/>
      </c>
      <c r="AU304" s="3" t="n"/>
      <c r="AV304" s="3" t="n"/>
      <c r="AW304" s="3" t="n"/>
      <c r="AX304" s="3" t="n"/>
      <c r="AY304" s="3" t="n"/>
      <c r="AZ304" s="3" t="n"/>
      <c r="BA304" s="182">
        <f>IF(AD304=1,(AR304*'Historical Score'!$K$29+1-'Historical Score'!$K$29)*(AT304*'Historical Score'!$L$29+1-'Historical Score'!$L$29)*(AS304*'Historical Score'!$M$29+1-'Historical Score'!$M$29)*(AQ304*'Historical Score'!$N$29+1-'Historical Score'!$N$29),0)</f>
        <v/>
      </c>
      <c r="BB304" s="3" t="n"/>
      <c r="BC304" s="3" t="n"/>
    </row>
    <row r="305" ht="15.75" customHeight="1" s="174">
      <c r="A305" s="3" t="inlineStr">
        <is>
          <t>5674169134</t>
        </is>
      </c>
      <c r="B305" s="3" t="inlineStr">
        <is>
          <t>Cafe Gripon's</t>
        </is>
      </c>
      <c r="C305" s="3" t="inlineStr">
        <is>
          <t>Gripon Group LLC</t>
        </is>
      </c>
      <c r="D305" s="3" t="inlineStr">
        <is>
          <t>Open</t>
        </is>
      </c>
      <c r="E305" s="23" t="n">
        <v>45953</v>
      </c>
      <c r="F305" s="23" t="n">
        <v>46253</v>
      </c>
      <c r="G305" s="3" t="n">
        <v>3</v>
      </c>
      <c r="H305" s="3" t="inlineStr">
        <is>
          <t>5812</t>
        </is>
      </c>
      <c r="I305" s="3" t="inlineStr">
        <is>
          <t>58</t>
        </is>
      </c>
      <c r="J305" s="3" t="inlineStr">
        <is>
          <t>TX</t>
        </is>
      </c>
      <c r="K305" s="3" t="inlineStr">
        <is>
          <t>Samson Funding</t>
        </is>
      </c>
      <c r="L305" s="3" t="inlineStr">
        <is>
          <t>Renewal</t>
        </is>
      </c>
      <c r="M305" s="3" t="n">
        <v>1.49</v>
      </c>
      <c r="N305" s="28" t="n">
        <v>35000</v>
      </c>
      <c r="O305" s="28" t="n">
        <v>4900</v>
      </c>
      <c r="P305" s="28" t="n">
        <v>52150</v>
      </c>
      <c r="Q305" s="28" t="n">
        <v>39610.36</v>
      </c>
      <c r="R305" s="28" t="n">
        <v>12539.64</v>
      </c>
      <c r="S305" s="42" t="n">
        <v>0.759546692233941</v>
      </c>
      <c r="T305" s="3" t="n">
        <v>4.262</v>
      </c>
      <c r="U305" s="3" t="n">
        <v>45</v>
      </c>
      <c r="V305" s="3" t="n">
        <v>81334.42999999999</v>
      </c>
      <c r="W305" s="42" t="n">
        <v>0.0936</v>
      </c>
      <c r="X305" s="23" t="n">
        <v>44946</v>
      </c>
      <c r="Y305" s="3">
        <f>IF(I305="","No SIC",IFERROR(VLOOKUP(I305,Ref!$A$2:$B$65,2,FALSE()),"Unclassified"))</f>
        <v/>
      </c>
      <c r="Z305" s="3">
        <f>IF(T305="","",IF(T305&lt;12,"Daily","Weekly"))</f>
        <v/>
      </c>
      <c r="AA305" s="3">
        <f>IF(T305="",0,IF(T305&lt;12,T305*Controls!$B$13,T305*5))</f>
        <v/>
      </c>
      <c r="AB305" s="3">
        <f>IF(E305="",0,NETWORKDAYS(E305,Controls!$B$20,Ref!$K$2:$K$42))</f>
        <v/>
      </c>
      <c r="AC305" s="3">
        <f>IF(OR(AF305=1,AND(AA305&gt;0,AB305&gt;=Controls!$B$23*AA305)),1,0)</f>
        <v/>
      </c>
      <c r="AD305" s="3">
        <f>IF(AND(E305&lt;&gt;"",E305&gt;=Controls!$B$21,E305&lt;=Controls!$B$22),1,0)</f>
        <v/>
      </c>
      <c r="AE305" s="3">
        <f>IF(IFERROR(VLOOKUP(D305,Controls!$A$36:$E$46,2,FALSE()),"No")="Yes",1,0)</f>
        <v/>
      </c>
      <c r="AF305" s="3">
        <f>IF(IFERROR(VLOOKUP(D305,Controls!$A$36:$E$46,3,FALSE()),"No")="Yes",1,0)</f>
        <v/>
      </c>
      <c r="AG305" s="3">
        <f>IF(IFERROR(VLOOKUP(D305,Controls!$A$36:$E$46,4,FALSE()),"No")="Yes",1,0)</f>
        <v/>
      </c>
      <c r="AH305" s="3">
        <f>IF(IFERROR(VLOOKUP(D305,Controls!$A$36:$E$46,5,FALSE()),"No")="Yes",1,0)</f>
        <v/>
      </c>
      <c r="AI305" s="3">
        <f>IF(ISNUMBER(MATCH(D305,Controls!$A$36:$A$46,0)),1,0)</f>
        <v/>
      </c>
      <c r="AJ305" s="28">
        <f>Q305-N305</f>
        <v/>
      </c>
      <c r="AK305" s="3">
        <f>IF(AE305=1,MAX(0,N305-Q305),0)</f>
        <v/>
      </c>
      <c r="AL305" s="3">
        <f>IF(OR(V305="",V305=0),0,N305/V305)</f>
        <v/>
      </c>
      <c r="AM305" s="3">
        <f>IF(OR(V305="",V305=0),0,1)</f>
        <v/>
      </c>
      <c r="AN305" s="3">
        <f>IF(OR(E305="",F305=""),0,NETWORKDAYS(E305,F305,Ref!$K$2:$K$42))</f>
        <v/>
      </c>
      <c r="AO305" s="3">
        <f>IF(L305="Renewal",1,0)</f>
        <v/>
      </c>
      <c r="AP305" s="3">
        <f>AC305*AD305</f>
        <v/>
      </c>
      <c r="AQ305" s="3">
        <f>IF(AND(G305&lt;&gt;"",'Historical Score'!$C$6&lt;&gt;""),IF(G305='Historical Score'!$C$6,1,0),0)</f>
        <v/>
      </c>
      <c r="AR305" s="3">
        <f>IF(AND(L305&lt;&gt;"",'Historical Score'!$C$5&lt;&gt;""),IF(L305='Historical Score'!$C$5,1,0),0)</f>
        <v/>
      </c>
      <c r="AS305" s="3">
        <f>IF(AND(Y305&lt;&gt;"",'Historical Score'!$C$7&lt;&gt;""),IF(Y305='Historical Score'!$C$7,1,0),0)</f>
        <v/>
      </c>
      <c r="AT305" s="3">
        <f>IF(AND(K305&lt;&gt;"",'Historical Score'!$C$8&lt;&gt;""),IF(K305='Historical Score'!$C$8,1,0),0)</f>
        <v/>
      </c>
      <c r="AU305" s="3" t="n"/>
      <c r="AV305" s="3" t="n"/>
      <c r="AW305" s="3" t="n"/>
      <c r="AX305" s="3" t="n"/>
      <c r="AY305" s="3" t="n"/>
      <c r="AZ305" s="3" t="n"/>
      <c r="BA305" s="182">
        <f>IF(AD305=1,(AR305*'Historical Score'!$K$29+1-'Historical Score'!$K$29)*(AT305*'Historical Score'!$L$29+1-'Historical Score'!$L$29)*(AS305*'Historical Score'!$M$29+1-'Historical Score'!$M$29)*(AQ305*'Historical Score'!$N$29+1-'Historical Score'!$N$29),0)</f>
        <v/>
      </c>
      <c r="BB305" s="3" t="n"/>
      <c r="BC305" s="3" t="n"/>
    </row>
    <row r="306" ht="15.75" customHeight="1" s="174">
      <c r="A306" s="3" t="inlineStr">
        <is>
          <t>5674169159</t>
        </is>
      </c>
      <c r="B306" s="3" t="inlineStr">
        <is>
          <t>CLOVE AND HOOF RESTAURANT</t>
        </is>
      </c>
      <c r="C306" s="3" t="inlineStr">
        <is>
          <t>CLOVE AND HOOF RESTAURANT</t>
        </is>
      </c>
      <c r="D306" s="3" t="inlineStr">
        <is>
          <t>Legal</t>
        </is>
      </c>
      <c r="E306" s="23" t="n">
        <v>45953</v>
      </c>
      <c r="F306" s="23" t="n">
        <v>46045</v>
      </c>
      <c r="G306" s="3" t="n">
        <v>6</v>
      </c>
      <c r="H306" s="3" t="inlineStr">
        <is>
          <t>5812</t>
        </is>
      </c>
      <c r="I306" s="3" t="inlineStr">
        <is>
          <t>58</t>
        </is>
      </c>
      <c r="J306" s="3" t="inlineStr">
        <is>
          <t>CA</t>
        </is>
      </c>
      <c r="K306" s="3" t="inlineStr">
        <is>
          <t>United Secured Capital 8</t>
        </is>
      </c>
      <c r="L306" s="3" t="inlineStr">
        <is>
          <t>New Deal</t>
        </is>
      </c>
      <c r="M306" s="3" t="n">
        <v>1.49</v>
      </c>
      <c r="N306" s="28" t="n">
        <v>15000</v>
      </c>
      <c r="O306" s="28" t="n">
        <v>0</v>
      </c>
      <c r="P306" s="28" t="n">
        <v>22350</v>
      </c>
      <c r="Q306" s="28" t="n">
        <v>4190.4</v>
      </c>
      <c r="R306" s="28" t="n">
        <v>18159.6</v>
      </c>
      <c r="S306" s="42" t="n">
        <v>0.187489932885906</v>
      </c>
      <c r="T306" s="3" t="n">
        <v>16</v>
      </c>
      <c r="U306" s="3" t="n">
        <v>10</v>
      </c>
      <c r="V306" s="3" t="n">
        <v>49885.63</v>
      </c>
      <c r="W306" s="42" t="n">
        <v>0.112</v>
      </c>
      <c r="X306" s="23" t="n"/>
      <c r="Y306" s="3">
        <f>IF(I306="","No SIC",IFERROR(VLOOKUP(I306,Ref!$A$2:$B$65,2,FALSE()),"Unclassified"))</f>
        <v/>
      </c>
      <c r="Z306" s="3">
        <f>IF(T306="","",IF(T306&lt;12,"Daily","Weekly"))</f>
        <v/>
      </c>
      <c r="AA306" s="3">
        <f>IF(T306="",0,IF(T306&lt;12,T306*Controls!$B$13,T306*5))</f>
        <v/>
      </c>
      <c r="AB306" s="3">
        <f>IF(E306="",0,NETWORKDAYS(E306,Controls!$B$20,Ref!$K$2:$K$42))</f>
        <v/>
      </c>
      <c r="AC306" s="3">
        <f>IF(OR(AF306=1,AND(AA306&gt;0,AB306&gt;=Controls!$B$23*AA306)),1,0)</f>
        <v/>
      </c>
      <c r="AD306" s="3">
        <f>IF(AND(E306&lt;&gt;"",E306&gt;=Controls!$B$21,E306&lt;=Controls!$B$22),1,0)</f>
        <v/>
      </c>
      <c r="AE306" s="3">
        <f>IF(IFERROR(VLOOKUP(D306,Controls!$A$36:$E$46,2,FALSE()),"No")="Yes",1,0)</f>
        <v/>
      </c>
      <c r="AF306" s="3">
        <f>IF(IFERROR(VLOOKUP(D306,Controls!$A$36:$E$46,3,FALSE()),"No")="Yes",1,0)</f>
        <v/>
      </c>
      <c r="AG306" s="3">
        <f>IF(IFERROR(VLOOKUP(D306,Controls!$A$36:$E$46,4,FALSE()),"No")="Yes",1,0)</f>
        <v/>
      </c>
      <c r="AH306" s="3">
        <f>IF(IFERROR(VLOOKUP(D306,Controls!$A$36:$E$46,5,FALSE()),"No")="Yes",1,0)</f>
        <v/>
      </c>
      <c r="AI306" s="3">
        <f>IF(ISNUMBER(MATCH(D306,Controls!$A$36:$A$46,0)),1,0)</f>
        <v/>
      </c>
      <c r="AJ306" s="28">
        <f>Q306-N306</f>
        <v/>
      </c>
      <c r="AK306" s="3">
        <f>IF(AE306=1,MAX(0,N306-Q306),0)</f>
        <v/>
      </c>
      <c r="AL306" s="3">
        <f>IF(OR(V306="",V306=0),0,N306/V306)</f>
        <v/>
      </c>
      <c r="AM306" s="3">
        <f>IF(OR(V306="",V306=0),0,1)</f>
        <v/>
      </c>
      <c r="AN306" s="3">
        <f>IF(OR(E306="",F306=""),0,NETWORKDAYS(E306,F306,Ref!$K$2:$K$42))</f>
        <v/>
      </c>
      <c r="AO306" s="3">
        <f>IF(L306="Renewal",1,0)</f>
        <v/>
      </c>
      <c r="AP306" s="3">
        <f>AC306*AD306</f>
        <v/>
      </c>
      <c r="AQ306" s="3">
        <f>IF(AND(G306&lt;&gt;"",'Historical Score'!$C$6&lt;&gt;""),IF(G306='Historical Score'!$C$6,1,0),0)</f>
        <v/>
      </c>
      <c r="AR306" s="3">
        <f>IF(AND(L306&lt;&gt;"",'Historical Score'!$C$5&lt;&gt;""),IF(L306='Historical Score'!$C$5,1,0),0)</f>
        <v/>
      </c>
      <c r="AS306" s="3">
        <f>IF(AND(Y306&lt;&gt;"",'Historical Score'!$C$7&lt;&gt;""),IF(Y306='Historical Score'!$C$7,1,0),0)</f>
        <v/>
      </c>
      <c r="AT306" s="3">
        <f>IF(AND(K306&lt;&gt;"",'Historical Score'!$C$8&lt;&gt;""),IF(K306='Historical Score'!$C$8,1,0),0)</f>
        <v/>
      </c>
      <c r="AU306" s="3" t="n"/>
      <c r="AV306" s="3" t="n"/>
      <c r="AW306" s="3" t="n"/>
      <c r="AX306" s="3" t="n"/>
      <c r="AY306" s="3" t="n"/>
      <c r="AZ306" s="3" t="n"/>
      <c r="BA306" s="182">
        <f>IF(AD306=1,(AR306*'Historical Score'!$K$29+1-'Historical Score'!$K$29)*(AT306*'Historical Score'!$L$29+1-'Historical Score'!$L$29)*(AS306*'Historical Score'!$M$29+1-'Historical Score'!$M$29)*(AQ306*'Historical Score'!$N$29+1-'Historical Score'!$N$29),0)</f>
        <v/>
      </c>
      <c r="BB306" s="3" t="n"/>
      <c r="BC306" s="3" t="n"/>
    </row>
    <row r="307" ht="15.75" customHeight="1" s="174">
      <c r="A307" s="3" t="inlineStr">
        <is>
          <t>5674169163</t>
        </is>
      </c>
      <c r="B307" s="3" t="inlineStr">
        <is>
          <t>So Baltimore, LLC</t>
        </is>
      </c>
      <c r="C307" s="3" t="inlineStr">
        <is>
          <t>So Baltimore, LLC</t>
        </is>
      </c>
      <c r="D307" s="3" t="inlineStr">
        <is>
          <t>Closed</t>
        </is>
      </c>
      <c r="E307" s="23" t="n">
        <v>45953</v>
      </c>
      <c r="F307" s="23" t="n">
        <v>46101</v>
      </c>
      <c r="G307" s="3" t="n">
        <v>5</v>
      </c>
      <c r="H307" s="3" t="inlineStr">
        <is>
          <t>5812</t>
        </is>
      </c>
      <c r="I307" s="3" t="inlineStr">
        <is>
          <t>58</t>
        </is>
      </c>
      <c r="J307" s="3" t="inlineStr">
        <is>
          <t>MD</t>
        </is>
      </c>
      <c r="K307" s="3" t="inlineStr">
        <is>
          <t>Llama Loan</t>
        </is>
      </c>
      <c r="L307" s="3" t="inlineStr">
        <is>
          <t>Renewal</t>
        </is>
      </c>
      <c r="M307" s="3" t="n">
        <v>1.45</v>
      </c>
      <c r="N307" s="28" t="n">
        <v>22000</v>
      </c>
      <c r="O307" s="28" t="n">
        <v>2640</v>
      </c>
      <c r="P307" s="28" t="n">
        <v>31900</v>
      </c>
      <c r="Q307" s="28" t="n">
        <v>31900</v>
      </c>
      <c r="R307" s="28" t="n">
        <v>0</v>
      </c>
      <c r="S307" s="42" t="n">
        <v>1</v>
      </c>
      <c r="T307" s="3" t="n">
        <v>3.77</v>
      </c>
      <c r="U307" s="3" t="n">
        <v>1</v>
      </c>
      <c r="V307" s="3" t="n">
        <v>82755.78</v>
      </c>
      <c r="W307" s="42" t="n">
        <v>0.1026</v>
      </c>
      <c r="X307" s="23" t="n">
        <v>44378</v>
      </c>
      <c r="Y307" s="3">
        <f>IF(I307="","No SIC",IFERROR(VLOOKUP(I307,Ref!$A$2:$B$65,2,FALSE()),"Unclassified"))</f>
        <v/>
      </c>
      <c r="Z307" s="3">
        <f>IF(T307="","",IF(T307&lt;12,"Daily","Weekly"))</f>
        <v/>
      </c>
      <c r="AA307" s="3">
        <f>IF(T307="",0,IF(T307&lt;12,T307*Controls!$B$13,T307*5))</f>
        <v/>
      </c>
      <c r="AB307" s="3">
        <f>IF(E307="",0,NETWORKDAYS(E307,Controls!$B$20,Ref!$K$2:$K$42))</f>
        <v/>
      </c>
      <c r="AC307" s="3">
        <f>IF(OR(AF307=1,AND(AA307&gt;0,AB307&gt;=Controls!$B$23*AA307)),1,0)</f>
        <v/>
      </c>
      <c r="AD307" s="3">
        <f>IF(AND(E307&lt;&gt;"",E307&gt;=Controls!$B$21,E307&lt;=Controls!$B$22),1,0)</f>
        <v/>
      </c>
      <c r="AE307" s="3">
        <f>IF(IFERROR(VLOOKUP(D307,Controls!$A$36:$E$46,2,FALSE()),"No")="Yes",1,0)</f>
        <v/>
      </c>
      <c r="AF307" s="3">
        <f>IF(IFERROR(VLOOKUP(D307,Controls!$A$36:$E$46,3,FALSE()),"No")="Yes",1,0)</f>
        <v/>
      </c>
      <c r="AG307" s="3">
        <f>IF(IFERROR(VLOOKUP(D307,Controls!$A$36:$E$46,4,FALSE()),"No")="Yes",1,0)</f>
        <v/>
      </c>
      <c r="AH307" s="3">
        <f>IF(IFERROR(VLOOKUP(D307,Controls!$A$36:$E$46,5,FALSE()),"No")="Yes",1,0)</f>
        <v/>
      </c>
      <c r="AI307" s="3">
        <f>IF(ISNUMBER(MATCH(D307,Controls!$A$36:$A$46,0)),1,0)</f>
        <v/>
      </c>
      <c r="AJ307" s="28">
        <f>Q307-N307</f>
        <v/>
      </c>
      <c r="AK307" s="3">
        <f>IF(AE307=1,MAX(0,N307-Q307),0)</f>
        <v/>
      </c>
      <c r="AL307" s="3">
        <f>IF(OR(V307="",V307=0),0,N307/V307)</f>
        <v/>
      </c>
      <c r="AM307" s="3">
        <f>IF(OR(V307="",V307=0),0,1)</f>
        <v/>
      </c>
      <c r="AN307" s="3">
        <f>IF(OR(E307="",F307=""),0,NETWORKDAYS(E307,F307,Ref!$K$2:$K$42))</f>
        <v/>
      </c>
      <c r="AO307" s="3">
        <f>IF(L307="Renewal",1,0)</f>
        <v/>
      </c>
      <c r="AP307" s="3">
        <f>AC307*AD307</f>
        <v/>
      </c>
      <c r="AQ307" s="3">
        <f>IF(AND(G307&lt;&gt;"",'Historical Score'!$C$6&lt;&gt;""),IF(G307='Historical Score'!$C$6,1,0),0)</f>
        <v/>
      </c>
      <c r="AR307" s="3">
        <f>IF(AND(L307&lt;&gt;"",'Historical Score'!$C$5&lt;&gt;""),IF(L307='Historical Score'!$C$5,1,0),0)</f>
        <v/>
      </c>
      <c r="AS307" s="3">
        <f>IF(AND(Y307&lt;&gt;"",'Historical Score'!$C$7&lt;&gt;""),IF(Y307='Historical Score'!$C$7,1,0),0)</f>
        <v/>
      </c>
      <c r="AT307" s="3">
        <f>IF(AND(K307&lt;&gt;"",'Historical Score'!$C$8&lt;&gt;""),IF(K307='Historical Score'!$C$8,1,0),0)</f>
        <v/>
      </c>
      <c r="AU307" s="3" t="n"/>
      <c r="AV307" s="3" t="n"/>
      <c r="AW307" s="3" t="n"/>
      <c r="AX307" s="3" t="n"/>
      <c r="AY307" s="3" t="n"/>
      <c r="AZ307" s="3" t="n"/>
      <c r="BA307" s="182">
        <f>IF(AD307=1,(AR307*'Historical Score'!$K$29+1-'Historical Score'!$K$29)*(AT307*'Historical Score'!$L$29+1-'Historical Score'!$L$29)*(AS307*'Historical Score'!$M$29+1-'Historical Score'!$M$29)*(AQ307*'Historical Score'!$N$29+1-'Historical Score'!$N$29),0)</f>
        <v/>
      </c>
      <c r="BB307" s="3" t="n"/>
      <c r="BC307" s="3" t="n"/>
    </row>
    <row r="308" ht="15.75" customHeight="1" s="174">
      <c r="A308" s="3" t="inlineStr">
        <is>
          <t>5674169206</t>
        </is>
      </c>
      <c r="B308" s="3" t="inlineStr">
        <is>
          <t>Novulis Corporation</t>
        </is>
      </c>
      <c r="C308" s="3" t="inlineStr">
        <is>
          <t>Novulis Corporation</t>
        </is>
      </c>
      <c r="D308" s="3" t="inlineStr">
        <is>
          <t>Closed</t>
        </is>
      </c>
      <c r="E308" s="23" t="n">
        <v>45954</v>
      </c>
      <c r="F308" s="23" t="n">
        <v>46168</v>
      </c>
      <c r="G308" s="3" t="n">
        <v>3</v>
      </c>
      <c r="H308" s="3" t="inlineStr">
        <is>
          <t>9661</t>
        </is>
      </c>
      <c r="I308" s="3" t="inlineStr">
        <is>
          <t>96</t>
        </is>
      </c>
      <c r="J308" s="3" t="inlineStr">
        <is>
          <t>VA</t>
        </is>
      </c>
      <c r="K308" s="3" t="inlineStr">
        <is>
          <t>Ballicci</t>
        </is>
      </c>
      <c r="L308" s="3" t="inlineStr">
        <is>
          <t>New Deal</t>
        </is>
      </c>
      <c r="M308" s="3" t="n">
        <v>1.459</v>
      </c>
      <c r="N308" s="28" t="n">
        <v>150000</v>
      </c>
      <c r="O308" s="28" t="n">
        <v>18000</v>
      </c>
      <c r="P308" s="28" t="n">
        <v>218850</v>
      </c>
      <c r="Q308" s="28" t="n">
        <v>218850</v>
      </c>
      <c r="R308" s="28" t="n">
        <v>0</v>
      </c>
      <c r="S308" s="42" t="n">
        <v>1</v>
      </c>
      <c r="T308" s="3" t="n">
        <v>27</v>
      </c>
      <c r="U308" s="3" t="n">
        <v>7</v>
      </c>
      <c r="V308" s="3" t="n">
        <v>1194272.49</v>
      </c>
      <c r="W308" s="42" t="n">
        <v>0.0271</v>
      </c>
      <c r="X308" s="23" t="n">
        <v>44958</v>
      </c>
      <c r="Y308" s="3">
        <f>IF(I308="","No SIC",IFERROR(VLOOKUP(I308,Ref!$A$2:$B$65,2,FALSE()),"Unclassified"))</f>
        <v/>
      </c>
      <c r="Z308" s="3">
        <f>IF(T308="","",IF(T308&lt;12,"Daily","Weekly"))</f>
        <v/>
      </c>
      <c r="AA308" s="3">
        <f>IF(T308="",0,IF(T308&lt;12,T308*Controls!$B$13,T308*5))</f>
        <v/>
      </c>
      <c r="AB308" s="3">
        <f>IF(E308="",0,NETWORKDAYS(E308,Controls!$B$20,Ref!$K$2:$K$42))</f>
        <v/>
      </c>
      <c r="AC308" s="3">
        <f>IF(OR(AF308=1,AND(AA308&gt;0,AB308&gt;=Controls!$B$23*AA308)),1,0)</f>
        <v/>
      </c>
      <c r="AD308" s="3">
        <f>IF(AND(E308&lt;&gt;"",E308&gt;=Controls!$B$21,E308&lt;=Controls!$B$22),1,0)</f>
        <v/>
      </c>
      <c r="AE308" s="3">
        <f>IF(IFERROR(VLOOKUP(D308,Controls!$A$36:$E$46,2,FALSE()),"No")="Yes",1,0)</f>
        <v/>
      </c>
      <c r="AF308" s="3">
        <f>IF(IFERROR(VLOOKUP(D308,Controls!$A$36:$E$46,3,FALSE()),"No")="Yes",1,0)</f>
        <v/>
      </c>
      <c r="AG308" s="3">
        <f>IF(IFERROR(VLOOKUP(D308,Controls!$A$36:$E$46,4,FALSE()),"No")="Yes",1,0)</f>
        <v/>
      </c>
      <c r="AH308" s="3">
        <f>IF(IFERROR(VLOOKUP(D308,Controls!$A$36:$E$46,5,FALSE()),"No")="Yes",1,0)</f>
        <v/>
      </c>
      <c r="AI308" s="3">
        <f>IF(ISNUMBER(MATCH(D308,Controls!$A$36:$A$46,0)),1,0)</f>
        <v/>
      </c>
      <c r="AJ308" s="28">
        <f>Q308-N308</f>
        <v/>
      </c>
      <c r="AK308" s="3">
        <f>IF(AE308=1,MAX(0,N308-Q308),0)</f>
        <v/>
      </c>
      <c r="AL308" s="3">
        <f>IF(OR(V308="",V308=0),0,N308/V308)</f>
        <v/>
      </c>
      <c r="AM308" s="3">
        <f>IF(OR(V308="",V308=0),0,1)</f>
        <v/>
      </c>
      <c r="AN308" s="3">
        <f>IF(OR(E308="",F308=""),0,NETWORKDAYS(E308,F308,Ref!$K$2:$K$42))</f>
        <v/>
      </c>
      <c r="AO308" s="3">
        <f>IF(L308="Renewal",1,0)</f>
        <v/>
      </c>
      <c r="AP308" s="3">
        <f>AC308*AD308</f>
        <v/>
      </c>
      <c r="AQ308" s="3">
        <f>IF(AND(G308&lt;&gt;"",'Historical Score'!$C$6&lt;&gt;""),IF(G308='Historical Score'!$C$6,1,0),0)</f>
        <v/>
      </c>
      <c r="AR308" s="3">
        <f>IF(AND(L308&lt;&gt;"",'Historical Score'!$C$5&lt;&gt;""),IF(L308='Historical Score'!$C$5,1,0),0)</f>
        <v/>
      </c>
      <c r="AS308" s="3">
        <f>IF(AND(Y308&lt;&gt;"",'Historical Score'!$C$7&lt;&gt;""),IF(Y308='Historical Score'!$C$7,1,0),0)</f>
        <v/>
      </c>
      <c r="AT308" s="3">
        <f>IF(AND(K308&lt;&gt;"",'Historical Score'!$C$8&lt;&gt;""),IF(K308='Historical Score'!$C$8,1,0),0)</f>
        <v/>
      </c>
      <c r="AU308" s="3" t="n"/>
      <c r="AV308" s="3" t="n"/>
      <c r="AW308" s="3" t="n"/>
      <c r="AX308" s="3" t="n"/>
      <c r="AY308" s="3" t="n"/>
      <c r="AZ308" s="3" t="n"/>
      <c r="BA308" s="182">
        <f>IF(AD308=1,(AR308*'Historical Score'!$K$29+1-'Historical Score'!$K$29)*(AT308*'Historical Score'!$L$29+1-'Historical Score'!$L$29)*(AS308*'Historical Score'!$M$29+1-'Historical Score'!$M$29)*(AQ308*'Historical Score'!$N$29+1-'Historical Score'!$N$29),0)</f>
        <v/>
      </c>
      <c r="BB308" s="3" t="n"/>
      <c r="BC308" s="3" t="n"/>
    </row>
    <row r="309" ht="15.75" customHeight="1" s="174">
      <c r="A309" s="3" t="inlineStr">
        <is>
          <t>5674169212</t>
        </is>
      </c>
      <c r="B309" s="3" t="inlineStr">
        <is>
          <t>REALTAKAI</t>
        </is>
      </c>
      <c r="C309" s="3" t="inlineStr">
        <is>
          <t>JAY LLC</t>
        </is>
      </c>
      <c r="D309" s="3" t="inlineStr">
        <is>
          <t>Legal</t>
        </is>
      </c>
      <c r="E309" s="23" t="n">
        <v>45954</v>
      </c>
      <c r="F309" s="23" t="n">
        <v>46038</v>
      </c>
      <c r="G309" s="3" t="n">
        <v>3</v>
      </c>
      <c r="H309" s="3" t="inlineStr">
        <is>
          <t>5261</t>
        </is>
      </c>
      <c r="I309" s="3" t="inlineStr">
        <is>
          <t>52</t>
        </is>
      </c>
      <c r="J309" s="3" t="inlineStr">
        <is>
          <t>WA</t>
        </is>
      </c>
      <c r="K309" s="3" t="inlineStr">
        <is>
          <t>Fundwell</t>
        </is>
      </c>
      <c r="L309" s="3" t="inlineStr">
        <is>
          <t>New Deal</t>
        </is>
      </c>
      <c r="M309" s="3" t="n">
        <v>1.4</v>
      </c>
      <c r="N309" s="28" t="n">
        <v>150000</v>
      </c>
      <c r="O309" s="28" t="n">
        <v>19500</v>
      </c>
      <c r="P309" s="28" t="n">
        <v>210000</v>
      </c>
      <c r="Q309" s="28" t="n">
        <v>42962.67</v>
      </c>
      <c r="R309" s="28" t="n">
        <v>167037.33</v>
      </c>
      <c r="S309" s="42" t="n">
        <v>0.204584142857143</v>
      </c>
      <c r="T309" s="3" t="n">
        <v>44</v>
      </c>
      <c r="U309" s="3" t="n">
        <v>2</v>
      </c>
      <c r="V309" s="3" t="n">
        <v>349077.34</v>
      </c>
      <c r="W309" s="42" t="n">
        <v>0.0547</v>
      </c>
      <c r="X309" s="23" t="n">
        <v>43466</v>
      </c>
      <c r="Y309" s="3">
        <f>IF(I309="","No SIC",IFERROR(VLOOKUP(I309,Ref!$A$2:$B$65,2,FALSE()),"Unclassified"))</f>
        <v/>
      </c>
      <c r="Z309" s="3">
        <f>IF(T309="","",IF(T309&lt;12,"Daily","Weekly"))</f>
        <v/>
      </c>
      <c r="AA309" s="3">
        <f>IF(T309="",0,IF(T309&lt;12,T309*Controls!$B$13,T309*5))</f>
        <v/>
      </c>
      <c r="AB309" s="3">
        <f>IF(E309="",0,NETWORKDAYS(E309,Controls!$B$20,Ref!$K$2:$K$42))</f>
        <v/>
      </c>
      <c r="AC309" s="3">
        <f>IF(OR(AF309=1,AND(AA309&gt;0,AB309&gt;=Controls!$B$23*AA309)),1,0)</f>
        <v/>
      </c>
      <c r="AD309" s="3">
        <f>IF(AND(E309&lt;&gt;"",E309&gt;=Controls!$B$21,E309&lt;=Controls!$B$22),1,0)</f>
        <v/>
      </c>
      <c r="AE309" s="3">
        <f>IF(IFERROR(VLOOKUP(D309,Controls!$A$36:$E$46,2,FALSE()),"No")="Yes",1,0)</f>
        <v/>
      </c>
      <c r="AF309" s="3">
        <f>IF(IFERROR(VLOOKUP(D309,Controls!$A$36:$E$46,3,FALSE()),"No")="Yes",1,0)</f>
        <v/>
      </c>
      <c r="AG309" s="3">
        <f>IF(IFERROR(VLOOKUP(D309,Controls!$A$36:$E$46,4,FALSE()),"No")="Yes",1,0)</f>
        <v/>
      </c>
      <c r="AH309" s="3">
        <f>IF(IFERROR(VLOOKUP(D309,Controls!$A$36:$E$46,5,FALSE()),"No")="Yes",1,0)</f>
        <v/>
      </c>
      <c r="AI309" s="3">
        <f>IF(ISNUMBER(MATCH(D309,Controls!$A$36:$A$46,0)),1,0)</f>
        <v/>
      </c>
      <c r="AJ309" s="28">
        <f>Q309-N309</f>
        <v/>
      </c>
      <c r="AK309" s="3">
        <f>IF(AE309=1,MAX(0,N309-Q309),0)</f>
        <v/>
      </c>
      <c r="AL309" s="3">
        <f>IF(OR(V309="",V309=0),0,N309/V309)</f>
        <v/>
      </c>
      <c r="AM309" s="3">
        <f>IF(OR(V309="",V309=0),0,1)</f>
        <v/>
      </c>
      <c r="AN309" s="3">
        <f>IF(OR(E309="",F309=""),0,NETWORKDAYS(E309,F309,Ref!$K$2:$K$42))</f>
        <v/>
      </c>
      <c r="AO309" s="3">
        <f>IF(L309="Renewal",1,0)</f>
        <v/>
      </c>
      <c r="AP309" s="3">
        <f>AC309*AD309</f>
        <v/>
      </c>
      <c r="AQ309" s="3">
        <f>IF(AND(G309&lt;&gt;"",'Historical Score'!$C$6&lt;&gt;""),IF(G309='Historical Score'!$C$6,1,0),0)</f>
        <v/>
      </c>
      <c r="AR309" s="3">
        <f>IF(AND(L309&lt;&gt;"",'Historical Score'!$C$5&lt;&gt;""),IF(L309='Historical Score'!$C$5,1,0),0)</f>
        <v/>
      </c>
      <c r="AS309" s="3">
        <f>IF(AND(Y309&lt;&gt;"",'Historical Score'!$C$7&lt;&gt;""),IF(Y309='Historical Score'!$C$7,1,0),0)</f>
        <v/>
      </c>
      <c r="AT309" s="3">
        <f>IF(AND(K309&lt;&gt;"",'Historical Score'!$C$8&lt;&gt;""),IF(K309='Historical Score'!$C$8,1,0),0)</f>
        <v/>
      </c>
      <c r="AU309" s="3" t="n"/>
      <c r="AV309" s="3" t="n"/>
      <c r="AW309" s="3" t="n"/>
      <c r="AX309" s="3" t="n"/>
      <c r="AY309" s="3" t="n"/>
      <c r="AZ309" s="3" t="n"/>
      <c r="BA309" s="182">
        <f>IF(AD309=1,(AR309*'Historical Score'!$K$29+1-'Historical Score'!$K$29)*(AT309*'Historical Score'!$L$29+1-'Historical Score'!$L$29)*(AS309*'Historical Score'!$M$29+1-'Historical Score'!$M$29)*(AQ309*'Historical Score'!$N$29+1-'Historical Score'!$N$29),0)</f>
        <v/>
      </c>
      <c r="BB309" s="3" t="n"/>
      <c r="BC309" s="3" t="n"/>
    </row>
    <row r="310" ht="15.75" customHeight="1" s="174">
      <c r="A310" s="3" t="inlineStr">
        <is>
          <t>5674169288</t>
        </is>
      </c>
      <c r="B310" s="3" t="inlineStr">
        <is>
          <t>Luxe MediGlow</t>
        </is>
      </c>
      <c r="C310" s="3" t="inlineStr">
        <is>
          <t>Judy M Perkins LLC</t>
        </is>
      </c>
      <c r="D310" s="3" t="inlineStr">
        <is>
          <t>Closed</t>
        </is>
      </c>
      <c r="E310" s="23" t="n">
        <v>45957</v>
      </c>
      <c r="F310" s="23" t="n">
        <v>46076</v>
      </c>
      <c r="G310" s="3" t="n">
        <v>2</v>
      </c>
      <c r="H310" s="3" t="inlineStr">
        <is>
          <t>5999</t>
        </is>
      </c>
      <c r="I310" s="3" t="inlineStr">
        <is>
          <t>59</t>
        </is>
      </c>
      <c r="J310" s="3" t="inlineStr">
        <is>
          <t>FL</t>
        </is>
      </c>
      <c r="K310" s="3" t="inlineStr">
        <is>
          <t>Fundible</t>
        </is>
      </c>
      <c r="L310" s="3" t="inlineStr">
        <is>
          <t>New Deal</t>
        </is>
      </c>
      <c r="M310" s="3" t="n">
        <v>1.49</v>
      </c>
      <c r="N310" s="28" t="n">
        <v>7500</v>
      </c>
      <c r="O310" s="28" t="n">
        <v>1050</v>
      </c>
      <c r="P310" s="28" t="n">
        <v>11175</v>
      </c>
      <c r="Q310" s="28" t="n">
        <v>11175</v>
      </c>
      <c r="R310" s="28" t="n">
        <v>0</v>
      </c>
      <c r="S310" s="42" t="n">
        <v>1</v>
      </c>
      <c r="T310" s="3" t="n">
        <v>2.623</v>
      </c>
      <c r="U310" s="3" t="n">
        <v>0</v>
      </c>
      <c r="V310" s="3" t="n">
        <v>17544.28</v>
      </c>
      <c r="W310" s="42" t="n">
        <v>0.1672</v>
      </c>
      <c r="X310" s="23" t="n">
        <v>43757</v>
      </c>
      <c r="Y310" s="3">
        <f>IF(I310="","No SIC",IFERROR(VLOOKUP(I310,Ref!$A$2:$B$65,2,FALSE()),"Unclassified"))</f>
        <v/>
      </c>
      <c r="Z310" s="3">
        <f>IF(T310="","",IF(T310&lt;12,"Daily","Weekly"))</f>
        <v/>
      </c>
      <c r="AA310" s="3">
        <f>IF(T310="",0,IF(T310&lt;12,T310*Controls!$B$13,T310*5))</f>
        <v/>
      </c>
      <c r="AB310" s="3">
        <f>IF(E310="",0,NETWORKDAYS(E310,Controls!$B$20,Ref!$K$2:$K$42))</f>
        <v/>
      </c>
      <c r="AC310" s="3">
        <f>IF(OR(AF310=1,AND(AA310&gt;0,AB310&gt;=Controls!$B$23*AA310)),1,0)</f>
        <v/>
      </c>
      <c r="AD310" s="3">
        <f>IF(AND(E310&lt;&gt;"",E310&gt;=Controls!$B$21,E310&lt;=Controls!$B$22),1,0)</f>
        <v/>
      </c>
      <c r="AE310" s="3">
        <f>IF(IFERROR(VLOOKUP(D310,Controls!$A$36:$E$46,2,FALSE()),"No")="Yes",1,0)</f>
        <v/>
      </c>
      <c r="AF310" s="3">
        <f>IF(IFERROR(VLOOKUP(D310,Controls!$A$36:$E$46,3,FALSE()),"No")="Yes",1,0)</f>
        <v/>
      </c>
      <c r="AG310" s="3">
        <f>IF(IFERROR(VLOOKUP(D310,Controls!$A$36:$E$46,4,FALSE()),"No")="Yes",1,0)</f>
        <v/>
      </c>
      <c r="AH310" s="3">
        <f>IF(IFERROR(VLOOKUP(D310,Controls!$A$36:$E$46,5,FALSE()),"No")="Yes",1,0)</f>
        <v/>
      </c>
      <c r="AI310" s="3">
        <f>IF(ISNUMBER(MATCH(D310,Controls!$A$36:$A$46,0)),1,0)</f>
        <v/>
      </c>
      <c r="AJ310" s="28">
        <f>Q310-N310</f>
        <v/>
      </c>
      <c r="AK310" s="3">
        <f>IF(AE310=1,MAX(0,N310-Q310),0)</f>
        <v/>
      </c>
      <c r="AL310" s="3">
        <f>IF(OR(V310="",V310=0),0,N310/V310)</f>
        <v/>
      </c>
      <c r="AM310" s="3">
        <f>IF(OR(V310="",V310=0),0,1)</f>
        <v/>
      </c>
      <c r="AN310" s="3">
        <f>IF(OR(E310="",F310=""),0,NETWORKDAYS(E310,F310,Ref!$K$2:$K$42))</f>
        <v/>
      </c>
      <c r="AO310" s="3">
        <f>IF(L310="Renewal",1,0)</f>
        <v/>
      </c>
      <c r="AP310" s="3">
        <f>AC310*AD310</f>
        <v/>
      </c>
      <c r="AQ310" s="3">
        <f>IF(AND(G310&lt;&gt;"",'Historical Score'!$C$6&lt;&gt;""),IF(G310='Historical Score'!$C$6,1,0),0)</f>
        <v/>
      </c>
      <c r="AR310" s="3">
        <f>IF(AND(L310&lt;&gt;"",'Historical Score'!$C$5&lt;&gt;""),IF(L310='Historical Score'!$C$5,1,0),0)</f>
        <v/>
      </c>
      <c r="AS310" s="3">
        <f>IF(AND(Y310&lt;&gt;"",'Historical Score'!$C$7&lt;&gt;""),IF(Y310='Historical Score'!$C$7,1,0),0)</f>
        <v/>
      </c>
      <c r="AT310" s="3">
        <f>IF(AND(K310&lt;&gt;"",'Historical Score'!$C$8&lt;&gt;""),IF(K310='Historical Score'!$C$8,1,0),0)</f>
        <v/>
      </c>
      <c r="AU310" s="3" t="n"/>
      <c r="AV310" s="3" t="n"/>
      <c r="AW310" s="3" t="n"/>
      <c r="AX310" s="3" t="n"/>
      <c r="AY310" s="3" t="n"/>
      <c r="AZ310" s="3" t="n"/>
      <c r="BA310" s="182">
        <f>IF(AD310=1,(AR310*'Historical Score'!$K$29+1-'Historical Score'!$K$29)*(AT310*'Historical Score'!$L$29+1-'Historical Score'!$L$29)*(AS310*'Historical Score'!$M$29+1-'Historical Score'!$M$29)*(AQ310*'Historical Score'!$N$29+1-'Historical Score'!$N$29),0)</f>
        <v/>
      </c>
      <c r="BB310" s="3" t="n"/>
      <c r="BC310" s="3" t="n"/>
    </row>
    <row r="311" ht="15.75" customHeight="1" s="174">
      <c r="A311" s="3" t="inlineStr">
        <is>
          <t>5674169299</t>
        </is>
      </c>
      <c r="B311" s="3" t="inlineStr">
        <is>
          <t>Essential Washer LLC</t>
        </is>
      </c>
      <c r="C311" s="3" t="inlineStr">
        <is>
          <t>Essential Washer LLC</t>
        </is>
      </c>
      <c r="D311" s="3" t="inlineStr">
        <is>
          <t>Closed</t>
        </is>
      </c>
      <c r="E311" s="23" t="n">
        <v>45957</v>
      </c>
      <c r="F311" s="23" t="n">
        <v>46071</v>
      </c>
      <c r="G311" s="3" t="n">
        <v>7</v>
      </c>
      <c r="H311" s="3" t="inlineStr">
        <is>
          <t>5999</t>
        </is>
      </c>
      <c r="I311" s="3" t="inlineStr">
        <is>
          <t>59</t>
        </is>
      </c>
      <c r="J311" s="3" t="inlineStr">
        <is>
          <t>TX</t>
        </is>
      </c>
      <c r="K311" s="3" t="inlineStr">
        <is>
          <t>Merchant ReFi</t>
        </is>
      </c>
      <c r="L311" s="3" t="inlineStr">
        <is>
          <t>New Deal</t>
        </is>
      </c>
      <c r="M311" s="3" t="n">
        <v>1.499</v>
      </c>
      <c r="N311" s="28" t="n">
        <v>15000</v>
      </c>
      <c r="O311" s="28" t="n">
        <v>2100</v>
      </c>
      <c r="P311" s="28" t="n">
        <v>22485</v>
      </c>
      <c r="Q311" s="28" t="n">
        <v>22485</v>
      </c>
      <c r="R311" s="28" t="n">
        <v>0</v>
      </c>
      <c r="S311" s="42" t="n">
        <v>1</v>
      </c>
      <c r="T311" s="3" t="n">
        <v>2.951</v>
      </c>
      <c r="U311" s="3" t="n">
        <v>0</v>
      </c>
      <c r="V311" s="3" t="n">
        <v>25610.61</v>
      </c>
      <c r="W311" s="42" t="n">
        <v>0.2025</v>
      </c>
      <c r="X311" s="23" t="n"/>
      <c r="Y311" s="3">
        <f>IF(I311="","No SIC",IFERROR(VLOOKUP(I311,Ref!$A$2:$B$65,2,FALSE()),"Unclassified"))</f>
        <v/>
      </c>
      <c r="Z311" s="3">
        <f>IF(T311="","",IF(T311&lt;12,"Daily","Weekly"))</f>
        <v/>
      </c>
      <c r="AA311" s="3">
        <f>IF(T311="",0,IF(T311&lt;12,T311*Controls!$B$13,T311*5))</f>
        <v/>
      </c>
      <c r="AB311" s="3">
        <f>IF(E311="",0,NETWORKDAYS(E311,Controls!$B$20,Ref!$K$2:$K$42))</f>
        <v/>
      </c>
      <c r="AC311" s="3">
        <f>IF(OR(AF311=1,AND(AA311&gt;0,AB311&gt;=Controls!$B$23*AA311)),1,0)</f>
        <v/>
      </c>
      <c r="AD311" s="3">
        <f>IF(AND(E311&lt;&gt;"",E311&gt;=Controls!$B$21,E311&lt;=Controls!$B$22),1,0)</f>
        <v/>
      </c>
      <c r="AE311" s="3">
        <f>IF(IFERROR(VLOOKUP(D311,Controls!$A$36:$E$46,2,FALSE()),"No")="Yes",1,0)</f>
        <v/>
      </c>
      <c r="AF311" s="3">
        <f>IF(IFERROR(VLOOKUP(D311,Controls!$A$36:$E$46,3,FALSE()),"No")="Yes",1,0)</f>
        <v/>
      </c>
      <c r="AG311" s="3">
        <f>IF(IFERROR(VLOOKUP(D311,Controls!$A$36:$E$46,4,FALSE()),"No")="Yes",1,0)</f>
        <v/>
      </c>
      <c r="AH311" s="3">
        <f>IF(IFERROR(VLOOKUP(D311,Controls!$A$36:$E$46,5,FALSE()),"No")="Yes",1,0)</f>
        <v/>
      </c>
      <c r="AI311" s="3">
        <f>IF(ISNUMBER(MATCH(D311,Controls!$A$36:$A$46,0)),1,0)</f>
        <v/>
      </c>
      <c r="AJ311" s="28">
        <f>Q311-N311</f>
        <v/>
      </c>
      <c r="AK311" s="3">
        <f>IF(AE311=1,MAX(0,N311-Q311),0)</f>
        <v/>
      </c>
      <c r="AL311" s="3">
        <f>IF(OR(V311="",V311=0),0,N311/V311)</f>
        <v/>
      </c>
      <c r="AM311" s="3">
        <f>IF(OR(V311="",V311=0),0,1)</f>
        <v/>
      </c>
      <c r="AN311" s="3">
        <f>IF(OR(E311="",F311=""),0,NETWORKDAYS(E311,F311,Ref!$K$2:$K$42))</f>
        <v/>
      </c>
      <c r="AO311" s="3">
        <f>IF(L311="Renewal",1,0)</f>
        <v/>
      </c>
      <c r="AP311" s="3">
        <f>AC311*AD311</f>
        <v/>
      </c>
      <c r="AQ311" s="3">
        <f>IF(AND(G311&lt;&gt;"",'Historical Score'!$C$6&lt;&gt;""),IF(G311='Historical Score'!$C$6,1,0),0)</f>
        <v/>
      </c>
      <c r="AR311" s="3">
        <f>IF(AND(L311&lt;&gt;"",'Historical Score'!$C$5&lt;&gt;""),IF(L311='Historical Score'!$C$5,1,0),0)</f>
        <v/>
      </c>
      <c r="AS311" s="3">
        <f>IF(AND(Y311&lt;&gt;"",'Historical Score'!$C$7&lt;&gt;""),IF(Y311='Historical Score'!$C$7,1,0),0)</f>
        <v/>
      </c>
      <c r="AT311" s="3">
        <f>IF(AND(K311&lt;&gt;"",'Historical Score'!$C$8&lt;&gt;""),IF(K311='Historical Score'!$C$8,1,0),0)</f>
        <v/>
      </c>
      <c r="AU311" s="3" t="n"/>
      <c r="AV311" s="3" t="n"/>
      <c r="AW311" s="3" t="n"/>
      <c r="AX311" s="3" t="n"/>
      <c r="AY311" s="3" t="n"/>
      <c r="AZ311" s="3" t="n"/>
      <c r="BA311" s="182">
        <f>IF(AD311=1,(AR311*'Historical Score'!$K$29+1-'Historical Score'!$K$29)*(AT311*'Historical Score'!$L$29+1-'Historical Score'!$L$29)*(AS311*'Historical Score'!$M$29+1-'Historical Score'!$M$29)*(AQ311*'Historical Score'!$N$29+1-'Historical Score'!$N$29),0)</f>
        <v/>
      </c>
      <c r="BB311" s="3" t="n"/>
      <c r="BC311" s="3" t="n"/>
    </row>
    <row r="312" ht="15.75" customHeight="1" s="174">
      <c r="A312" s="3" t="inlineStr">
        <is>
          <t>5674169327</t>
        </is>
      </c>
      <c r="B312" s="3" t="inlineStr">
        <is>
          <t>WOWS KITCHEN</t>
        </is>
      </c>
      <c r="C312" s="3" t="inlineStr">
        <is>
          <t>WOWS KITCHEN</t>
        </is>
      </c>
      <c r="D312" s="3" t="inlineStr">
        <is>
          <t>Legal</t>
        </is>
      </c>
      <c r="E312" s="23" t="n">
        <v>45958</v>
      </c>
      <c r="F312" s="23" t="n">
        <v>46051</v>
      </c>
      <c r="G312" s="3" t="n">
        <v>1</v>
      </c>
      <c r="H312" s="3" t="inlineStr">
        <is>
          <t>5499</t>
        </is>
      </c>
      <c r="I312" s="3" t="inlineStr">
        <is>
          <t>54</t>
        </is>
      </c>
      <c r="J312" s="3" t="inlineStr">
        <is>
          <t>CA</t>
        </is>
      </c>
      <c r="K312" s="3" t="inlineStr">
        <is>
          <t>Fundwell</t>
        </is>
      </c>
      <c r="L312" s="3" t="inlineStr">
        <is>
          <t>New Deal</t>
        </is>
      </c>
      <c r="M312" s="3" t="n">
        <v>1.46</v>
      </c>
      <c r="N312" s="28" t="n">
        <v>8000</v>
      </c>
      <c r="O312" s="28" t="n">
        <v>1200</v>
      </c>
      <c r="P312" s="28" t="n">
        <v>11680</v>
      </c>
      <c r="Q312" s="28" t="n">
        <v>4904.34</v>
      </c>
      <c r="R312" s="28" t="n">
        <v>6775.66</v>
      </c>
      <c r="S312" s="42" t="n">
        <v>0.419892123287671</v>
      </c>
      <c r="T312" s="3" t="n">
        <v>3.279</v>
      </c>
      <c r="U312" s="3" t="n">
        <v>21</v>
      </c>
      <c r="V312" s="3" t="n">
        <v>31357.62</v>
      </c>
      <c r="W312" s="42" t="n">
        <v>0.07820000000000001</v>
      </c>
      <c r="X312" s="23" t="n">
        <v>45600</v>
      </c>
      <c r="Y312" s="3">
        <f>IF(I312="","No SIC",IFERROR(VLOOKUP(I312,Ref!$A$2:$B$65,2,FALSE()),"Unclassified"))</f>
        <v/>
      </c>
      <c r="Z312" s="3">
        <f>IF(T312="","",IF(T312&lt;12,"Daily","Weekly"))</f>
        <v/>
      </c>
      <c r="AA312" s="3">
        <f>IF(T312="",0,IF(T312&lt;12,T312*Controls!$B$13,T312*5))</f>
        <v/>
      </c>
      <c r="AB312" s="3">
        <f>IF(E312="",0,NETWORKDAYS(E312,Controls!$B$20,Ref!$K$2:$K$42))</f>
        <v/>
      </c>
      <c r="AC312" s="3">
        <f>IF(OR(AF312=1,AND(AA312&gt;0,AB312&gt;=Controls!$B$23*AA312)),1,0)</f>
        <v/>
      </c>
      <c r="AD312" s="3">
        <f>IF(AND(E312&lt;&gt;"",E312&gt;=Controls!$B$21,E312&lt;=Controls!$B$22),1,0)</f>
        <v/>
      </c>
      <c r="AE312" s="3">
        <f>IF(IFERROR(VLOOKUP(D312,Controls!$A$36:$E$46,2,FALSE()),"No")="Yes",1,0)</f>
        <v/>
      </c>
      <c r="AF312" s="3">
        <f>IF(IFERROR(VLOOKUP(D312,Controls!$A$36:$E$46,3,FALSE()),"No")="Yes",1,0)</f>
        <v/>
      </c>
      <c r="AG312" s="3">
        <f>IF(IFERROR(VLOOKUP(D312,Controls!$A$36:$E$46,4,FALSE()),"No")="Yes",1,0)</f>
        <v/>
      </c>
      <c r="AH312" s="3">
        <f>IF(IFERROR(VLOOKUP(D312,Controls!$A$36:$E$46,5,FALSE()),"No")="Yes",1,0)</f>
        <v/>
      </c>
      <c r="AI312" s="3">
        <f>IF(ISNUMBER(MATCH(D312,Controls!$A$36:$A$46,0)),1,0)</f>
        <v/>
      </c>
      <c r="AJ312" s="28">
        <f>Q312-N312</f>
        <v/>
      </c>
      <c r="AK312" s="3">
        <f>IF(AE312=1,MAX(0,N312-Q312),0)</f>
        <v/>
      </c>
      <c r="AL312" s="3">
        <f>IF(OR(V312="",V312=0),0,N312/V312)</f>
        <v/>
      </c>
      <c r="AM312" s="3">
        <f>IF(OR(V312="",V312=0),0,1)</f>
        <v/>
      </c>
      <c r="AN312" s="3">
        <f>IF(OR(E312="",F312=""),0,NETWORKDAYS(E312,F312,Ref!$K$2:$K$42))</f>
        <v/>
      </c>
      <c r="AO312" s="3">
        <f>IF(L312="Renewal",1,0)</f>
        <v/>
      </c>
      <c r="AP312" s="3">
        <f>AC312*AD312</f>
        <v/>
      </c>
      <c r="AQ312" s="3">
        <f>IF(AND(G312&lt;&gt;"",'Historical Score'!$C$6&lt;&gt;""),IF(G312='Historical Score'!$C$6,1,0),0)</f>
        <v/>
      </c>
      <c r="AR312" s="3">
        <f>IF(AND(L312&lt;&gt;"",'Historical Score'!$C$5&lt;&gt;""),IF(L312='Historical Score'!$C$5,1,0),0)</f>
        <v/>
      </c>
      <c r="AS312" s="3">
        <f>IF(AND(Y312&lt;&gt;"",'Historical Score'!$C$7&lt;&gt;""),IF(Y312='Historical Score'!$C$7,1,0),0)</f>
        <v/>
      </c>
      <c r="AT312" s="3">
        <f>IF(AND(K312&lt;&gt;"",'Historical Score'!$C$8&lt;&gt;""),IF(K312='Historical Score'!$C$8,1,0),0)</f>
        <v/>
      </c>
      <c r="AU312" s="3" t="n"/>
      <c r="AV312" s="3" t="n"/>
      <c r="AW312" s="3" t="n"/>
      <c r="AX312" s="3" t="n"/>
      <c r="AY312" s="3" t="n"/>
      <c r="AZ312" s="3" t="n"/>
      <c r="BA312" s="182">
        <f>IF(AD312=1,(AR312*'Historical Score'!$K$29+1-'Historical Score'!$K$29)*(AT312*'Historical Score'!$L$29+1-'Historical Score'!$L$29)*(AS312*'Historical Score'!$M$29+1-'Historical Score'!$M$29)*(AQ312*'Historical Score'!$N$29+1-'Historical Score'!$N$29),0)</f>
        <v/>
      </c>
      <c r="BB312" s="3" t="n"/>
      <c r="BC312" s="3" t="n"/>
    </row>
    <row r="313" ht="15.75" customHeight="1" s="174">
      <c r="A313" s="3" t="inlineStr">
        <is>
          <t>5674169346</t>
        </is>
      </c>
      <c r="B313" s="3" t="inlineStr">
        <is>
          <t>Robs Flooring LLC</t>
        </is>
      </c>
      <c r="C313" s="3" t="inlineStr">
        <is>
          <t>Robs Flooring LLC</t>
        </is>
      </c>
      <c r="D313" s="3" t="inlineStr">
        <is>
          <t>In House Collection</t>
        </is>
      </c>
      <c r="E313" s="23" t="n">
        <v>45958</v>
      </c>
      <c r="F313" s="23" t="n">
        <v>46248</v>
      </c>
      <c r="G313" s="3" t="n">
        <v>2</v>
      </c>
      <c r="H313" s="3" t="inlineStr">
        <is>
          <t>1521</t>
        </is>
      </c>
      <c r="I313" s="3" t="inlineStr">
        <is>
          <t>15</t>
        </is>
      </c>
      <c r="J313" s="3" t="inlineStr">
        <is>
          <t>MI</t>
        </is>
      </c>
      <c r="K313" s="3" t="inlineStr">
        <is>
          <t>Llama Loan</t>
        </is>
      </c>
      <c r="L313" s="3" t="inlineStr">
        <is>
          <t>New Deal</t>
        </is>
      </c>
      <c r="M313" s="3" t="n">
        <v>1.45</v>
      </c>
      <c r="N313" s="28" t="n">
        <v>3500</v>
      </c>
      <c r="O313" s="28" t="n">
        <v>420</v>
      </c>
      <c r="P313" s="28" t="n">
        <v>5075</v>
      </c>
      <c r="Q313" s="28" t="n">
        <v>2067.06</v>
      </c>
      <c r="R313" s="28" t="n">
        <v>3007.94</v>
      </c>
      <c r="S313" s="42" t="n">
        <v>0.407302463054187</v>
      </c>
      <c r="T313" s="3" t="n">
        <v>16</v>
      </c>
      <c r="U313" s="3" t="n">
        <v>12</v>
      </c>
      <c r="V313" s="3" t="n">
        <v>16360.2</v>
      </c>
      <c r="W313" s="42" t="n">
        <v>0.0776</v>
      </c>
      <c r="X313" s="23" t="n">
        <v>44247</v>
      </c>
      <c r="Y313" s="3">
        <f>IF(I313="","No SIC",IFERROR(VLOOKUP(I313,Ref!$A$2:$B$65,2,FALSE()),"Unclassified"))</f>
        <v/>
      </c>
      <c r="Z313" s="3">
        <f>IF(T313="","",IF(T313&lt;12,"Daily","Weekly"))</f>
        <v/>
      </c>
      <c r="AA313" s="3">
        <f>IF(T313="",0,IF(T313&lt;12,T313*Controls!$B$13,T313*5))</f>
        <v/>
      </c>
      <c r="AB313" s="3">
        <f>IF(E313="",0,NETWORKDAYS(E313,Controls!$B$20,Ref!$K$2:$K$42))</f>
        <v/>
      </c>
      <c r="AC313" s="3">
        <f>IF(OR(AF313=1,AND(AA313&gt;0,AB313&gt;=Controls!$B$23*AA313)),1,0)</f>
        <v/>
      </c>
      <c r="AD313" s="3">
        <f>IF(AND(E313&lt;&gt;"",E313&gt;=Controls!$B$21,E313&lt;=Controls!$B$22),1,0)</f>
        <v/>
      </c>
      <c r="AE313" s="3">
        <f>IF(IFERROR(VLOOKUP(D313,Controls!$A$36:$E$46,2,FALSE()),"No")="Yes",1,0)</f>
        <v/>
      </c>
      <c r="AF313" s="3">
        <f>IF(IFERROR(VLOOKUP(D313,Controls!$A$36:$E$46,3,FALSE()),"No")="Yes",1,0)</f>
        <v/>
      </c>
      <c r="AG313" s="3">
        <f>IF(IFERROR(VLOOKUP(D313,Controls!$A$36:$E$46,4,FALSE()),"No")="Yes",1,0)</f>
        <v/>
      </c>
      <c r="AH313" s="3">
        <f>IF(IFERROR(VLOOKUP(D313,Controls!$A$36:$E$46,5,FALSE()),"No")="Yes",1,0)</f>
        <v/>
      </c>
      <c r="AI313" s="3">
        <f>IF(ISNUMBER(MATCH(D313,Controls!$A$36:$A$46,0)),1,0)</f>
        <v/>
      </c>
      <c r="AJ313" s="28">
        <f>Q313-N313</f>
        <v/>
      </c>
      <c r="AK313" s="3">
        <f>IF(AE313=1,MAX(0,N313-Q313),0)</f>
        <v/>
      </c>
      <c r="AL313" s="3">
        <f>IF(OR(V313="",V313=0),0,N313/V313)</f>
        <v/>
      </c>
      <c r="AM313" s="3">
        <f>IF(OR(V313="",V313=0),0,1)</f>
        <v/>
      </c>
      <c r="AN313" s="3">
        <f>IF(OR(E313="",F313=""),0,NETWORKDAYS(E313,F313,Ref!$K$2:$K$42))</f>
        <v/>
      </c>
      <c r="AO313" s="3">
        <f>IF(L313="Renewal",1,0)</f>
        <v/>
      </c>
      <c r="AP313" s="3">
        <f>AC313*AD313</f>
        <v/>
      </c>
      <c r="AQ313" s="3">
        <f>IF(AND(G313&lt;&gt;"",'Historical Score'!$C$6&lt;&gt;""),IF(G313='Historical Score'!$C$6,1,0),0)</f>
        <v/>
      </c>
      <c r="AR313" s="3">
        <f>IF(AND(L313&lt;&gt;"",'Historical Score'!$C$5&lt;&gt;""),IF(L313='Historical Score'!$C$5,1,0),0)</f>
        <v/>
      </c>
      <c r="AS313" s="3">
        <f>IF(AND(Y313&lt;&gt;"",'Historical Score'!$C$7&lt;&gt;""),IF(Y313='Historical Score'!$C$7,1,0),0)</f>
        <v/>
      </c>
      <c r="AT313" s="3">
        <f>IF(AND(K313&lt;&gt;"",'Historical Score'!$C$8&lt;&gt;""),IF(K313='Historical Score'!$C$8,1,0),0)</f>
        <v/>
      </c>
      <c r="AU313" s="3" t="n"/>
      <c r="AV313" s="3" t="n"/>
      <c r="AW313" s="3" t="n"/>
      <c r="AX313" s="3" t="n"/>
      <c r="AY313" s="3" t="n"/>
      <c r="AZ313" s="3" t="n"/>
      <c r="BA313" s="182">
        <f>IF(AD313=1,(AR313*'Historical Score'!$K$29+1-'Historical Score'!$K$29)*(AT313*'Historical Score'!$L$29+1-'Historical Score'!$L$29)*(AS313*'Historical Score'!$M$29+1-'Historical Score'!$M$29)*(AQ313*'Historical Score'!$N$29+1-'Historical Score'!$N$29),0)</f>
        <v/>
      </c>
      <c r="BB313" s="3" t="n"/>
      <c r="BC313" s="3" t="n"/>
    </row>
    <row r="314" ht="15.75" customHeight="1" s="174">
      <c r="A314" s="3" t="inlineStr">
        <is>
          <t>5674169361</t>
        </is>
      </c>
      <c r="B314" s="3" t="inlineStr">
        <is>
          <t>Bayani Commercial, Inc.</t>
        </is>
      </c>
      <c r="C314" s="3" t="inlineStr">
        <is>
          <t>Bayani Commercial, Inc.</t>
        </is>
      </c>
      <c r="D314" s="3" t="inlineStr">
        <is>
          <t>Open</t>
        </is>
      </c>
      <c r="E314" s="23" t="n">
        <v>45958</v>
      </c>
      <c r="F314" s="23" t="n">
        <v>46252</v>
      </c>
      <c r="G314" s="3" t="n">
        <v>5</v>
      </c>
      <c r="H314" s="3" t="inlineStr">
        <is>
          <t>3731</t>
        </is>
      </c>
      <c r="I314" s="3" t="inlineStr">
        <is>
          <t>37</t>
        </is>
      </c>
      <c r="J314" s="3" t="inlineStr">
        <is>
          <t>WA</t>
        </is>
      </c>
      <c r="K314" s="3" t="inlineStr">
        <is>
          <t>Fundwell</t>
        </is>
      </c>
      <c r="L314" s="3" t="inlineStr">
        <is>
          <t>New Deal</t>
        </is>
      </c>
      <c r="M314" s="3" t="n">
        <v>1.42</v>
      </c>
      <c r="N314" s="28" t="n">
        <v>15000</v>
      </c>
      <c r="O314" s="28" t="n">
        <v>2100</v>
      </c>
      <c r="P314" s="28" t="n">
        <v>21300</v>
      </c>
      <c r="Q314" s="28" t="n">
        <v>12771.84</v>
      </c>
      <c r="R314" s="28" t="n">
        <v>8528.16</v>
      </c>
      <c r="S314" s="42" t="n">
        <v>0.599616901408451</v>
      </c>
      <c r="T314" s="3" t="n">
        <v>20</v>
      </c>
      <c r="U314" s="3" t="n">
        <v>30</v>
      </c>
      <c r="V314" s="3" t="n">
        <v>74168.49000000001</v>
      </c>
      <c r="W314" s="42" t="n">
        <v>0.0574</v>
      </c>
      <c r="X314" s="23" t="n">
        <v>34121</v>
      </c>
      <c r="Y314" s="3">
        <f>IF(I314="","No SIC",IFERROR(VLOOKUP(I314,Ref!$A$2:$B$65,2,FALSE()),"Unclassified"))</f>
        <v/>
      </c>
      <c r="Z314" s="3">
        <f>IF(T314="","",IF(T314&lt;12,"Daily","Weekly"))</f>
        <v/>
      </c>
      <c r="AA314" s="3">
        <f>IF(T314="",0,IF(T314&lt;12,T314*Controls!$B$13,T314*5))</f>
        <v/>
      </c>
      <c r="AB314" s="3">
        <f>IF(E314="",0,NETWORKDAYS(E314,Controls!$B$20,Ref!$K$2:$K$42))</f>
        <v/>
      </c>
      <c r="AC314" s="3">
        <f>IF(OR(AF314=1,AND(AA314&gt;0,AB314&gt;=Controls!$B$23*AA314)),1,0)</f>
        <v/>
      </c>
      <c r="AD314" s="3">
        <f>IF(AND(E314&lt;&gt;"",E314&gt;=Controls!$B$21,E314&lt;=Controls!$B$22),1,0)</f>
        <v/>
      </c>
      <c r="AE314" s="3">
        <f>IF(IFERROR(VLOOKUP(D314,Controls!$A$36:$E$46,2,FALSE()),"No")="Yes",1,0)</f>
        <v/>
      </c>
      <c r="AF314" s="3">
        <f>IF(IFERROR(VLOOKUP(D314,Controls!$A$36:$E$46,3,FALSE()),"No")="Yes",1,0)</f>
        <v/>
      </c>
      <c r="AG314" s="3">
        <f>IF(IFERROR(VLOOKUP(D314,Controls!$A$36:$E$46,4,FALSE()),"No")="Yes",1,0)</f>
        <v/>
      </c>
      <c r="AH314" s="3">
        <f>IF(IFERROR(VLOOKUP(D314,Controls!$A$36:$E$46,5,FALSE()),"No")="Yes",1,0)</f>
        <v/>
      </c>
      <c r="AI314" s="3">
        <f>IF(ISNUMBER(MATCH(D314,Controls!$A$36:$A$46,0)),1,0)</f>
        <v/>
      </c>
      <c r="AJ314" s="28">
        <f>Q314-N314</f>
        <v/>
      </c>
      <c r="AK314" s="3">
        <f>IF(AE314=1,MAX(0,N314-Q314),0)</f>
        <v/>
      </c>
      <c r="AL314" s="3">
        <f>IF(OR(V314="",V314=0),0,N314/V314)</f>
        <v/>
      </c>
      <c r="AM314" s="3">
        <f>IF(OR(V314="",V314=0),0,1)</f>
        <v/>
      </c>
      <c r="AN314" s="3">
        <f>IF(OR(E314="",F314=""),0,NETWORKDAYS(E314,F314,Ref!$K$2:$K$42))</f>
        <v/>
      </c>
      <c r="AO314" s="3">
        <f>IF(L314="Renewal",1,0)</f>
        <v/>
      </c>
      <c r="AP314" s="3">
        <f>AC314*AD314</f>
        <v/>
      </c>
      <c r="AQ314" s="3">
        <f>IF(AND(G314&lt;&gt;"",'Historical Score'!$C$6&lt;&gt;""),IF(G314='Historical Score'!$C$6,1,0),0)</f>
        <v/>
      </c>
      <c r="AR314" s="3">
        <f>IF(AND(L314&lt;&gt;"",'Historical Score'!$C$5&lt;&gt;""),IF(L314='Historical Score'!$C$5,1,0),0)</f>
        <v/>
      </c>
      <c r="AS314" s="3">
        <f>IF(AND(Y314&lt;&gt;"",'Historical Score'!$C$7&lt;&gt;""),IF(Y314='Historical Score'!$C$7,1,0),0)</f>
        <v/>
      </c>
      <c r="AT314" s="3">
        <f>IF(AND(K314&lt;&gt;"",'Historical Score'!$C$8&lt;&gt;""),IF(K314='Historical Score'!$C$8,1,0),0)</f>
        <v/>
      </c>
      <c r="AU314" s="3" t="n"/>
      <c r="AV314" s="3" t="n"/>
      <c r="AW314" s="3" t="n"/>
      <c r="AX314" s="3" t="n"/>
      <c r="AY314" s="3" t="n"/>
      <c r="AZ314" s="3" t="n"/>
      <c r="BA314" s="182">
        <f>IF(AD314=1,(AR314*'Historical Score'!$K$29+1-'Historical Score'!$K$29)*(AT314*'Historical Score'!$L$29+1-'Historical Score'!$L$29)*(AS314*'Historical Score'!$M$29+1-'Historical Score'!$M$29)*(AQ314*'Historical Score'!$N$29+1-'Historical Score'!$N$29),0)</f>
        <v/>
      </c>
      <c r="BB314" s="3" t="n"/>
      <c r="BC314" s="3" t="n"/>
    </row>
    <row r="315" ht="15.75" customHeight="1" s="174">
      <c r="A315" s="3" t="inlineStr">
        <is>
          <t>5674169460</t>
        </is>
      </c>
      <c r="B315" s="3" t="inlineStr">
        <is>
          <t>Jerry's venture</t>
        </is>
      </c>
      <c r="C315" s="3" t="inlineStr">
        <is>
          <t>Jerry's venture</t>
        </is>
      </c>
      <c r="D315" s="3" t="inlineStr">
        <is>
          <t>Legal</t>
        </is>
      </c>
      <c r="E315" s="23" t="n">
        <v>45959</v>
      </c>
      <c r="F315" s="23" t="n">
        <v>45987</v>
      </c>
      <c r="G315" s="3" t="n">
        <v>4</v>
      </c>
      <c r="H315" s="3" t="inlineStr">
        <is>
          <t>7221</t>
        </is>
      </c>
      <c r="I315" s="3" t="inlineStr">
        <is>
          <t>72</t>
        </is>
      </c>
      <c r="J315" s="3" t="inlineStr">
        <is>
          <t>TX</t>
        </is>
      </c>
      <c r="K315" s="3" t="inlineStr">
        <is>
          <t>PMF</t>
        </is>
      </c>
      <c r="L315" s="3" t="inlineStr">
        <is>
          <t>New Deal</t>
        </is>
      </c>
      <c r="M315" s="3" t="n">
        <v>1.49</v>
      </c>
      <c r="N315" s="28" t="n">
        <v>15000</v>
      </c>
      <c r="O315" s="28" t="n">
        <v>2100</v>
      </c>
      <c r="P315" s="28" t="n">
        <v>22350</v>
      </c>
      <c r="Q315" s="28" t="n">
        <v>2459</v>
      </c>
      <c r="R315" s="28" t="n">
        <v>19891</v>
      </c>
      <c r="S315" s="42" t="n">
        <v>0.110022371364653</v>
      </c>
      <c r="T315" s="3" t="n">
        <v>3.279</v>
      </c>
      <c r="U315" s="3" t="n">
        <v>7</v>
      </c>
      <c r="V315" s="3" t="n">
        <v>43557.72</v>
      </c>
      <c r="W315" s="42" t="n">
        <v>0.1078</v>
      </c>
      <c r="X315" s="23" t="n">
        <v>44217</v>
      </c>
      <c r="Y315" s="3">
        <f>IF(I315="","No SIC",IFERROR(VLOOKUP(I315,Ref!$A$2:$B$65,2,FALSE()),"Unclassified"))</f>
        <v/>
      </c>
      <c r="Z315" s="3">
        <f>IF(T315="","",IF(T315&lt;12,"Daily","Weekly"))</f>
        <v/>
      </c>
      <c r="AA315" s="3">
        <f>IF(T315="",0,IF(T315&lt;12,T315*Controls!$B$13,T315*5))</f>
        <v/>
      </c>
      <c r="AB315" s="3">
        <f>IF(E315="",0,NETWORKDAYS(E315,Controls!$B$20,Ref!$K$2:$K$42))</f>
        <v/>
      </c>
      <c r="AC315" s="3">
        <f>IF(OR(AF315=1,AND(AA315&gt;0,AB315&gt;=Controls!$B$23*AA315)),1,0)</f>
        <v/>
      </c>
      <c r="AD315" s="3">
        <f>IF(AND(E315&lt;&gt;"",E315&gt;=Controls!$B$21,E315&lt;=Controls!$B$22),1,0)</f>
        <v/>
      </c>
      <c r="AE315" s="3">
        <f>IF(IFERROR(VLOOKUP(D315,Controls!$A$36:$E$46,2,FALSE()),"No")="Yes",1,0)</f>
        <v/>
      </c>
      <c r="AF315" s="3">
        <f>IF(IFERROR(VLOOKUP(D315,Controls!$A$36:$E$46,3,FALSE()),"No")="Yes",1,0)</f>
        <v/>
      </c>
      <c r="AG315" s="3">
        <f>IF(IFERROR(VLOOKUP(D315,Controls!$A$36:$E$46,4,FALSE()),"No")="Yes",1,0)</f>
        <v/>
      </c>
      <c r="AH315" s="3">
        <f>IF(IFERROR(VLOOKUP(D315,Controls!$A$36:$E$46,5,FALSE()),"No")="Yes",1,0)</f>
        <v/>
      </c>
      <c r="AI315" s="3">
        <f>IF(ISNUMBER(MATCH(D315,Controls!$A$36:$A$46,0)),1,0)</f>
        <v/>
      </c>
      <c r="AJ315" s="28">
        <f>Q315-N315</f>
        <v/>
      </c>
      <c r="AK315" s="3">
        <f>IF(AE315=1,MAX(0,N315-Q315),0)</f>
        <v/>
      </c>
      <c r="AL315" s="3">
        <f>IF(OR(V315="",V315=0),0,N315/V315)</f>
        <v/>
      </c>
      <c r="AM315" s="3">
        <f>IF(OR(V315="",V315=0),0,1)</f>
        <v/>
      </c>
      <c r="AN315" s="3">
        <f>IF(OR(E315="",F315=""),0,NETWORKDAYS(E315,F315,Ref!$K$2:$K$42))</f>
        <v/>
      </c>
      <c r="AO315" s="3">
        <f>IF(L315="Renewal",1,0)</f>
        <v/>
      </c>
      <c r="AP315" s="3">
        <f>AC315*AD315</f>
        <v/>
      </c>
      <c r="AQ315" s="3">
        <f>IF(AND(G315&lt;&gt;"",'Historical Score'!$C$6&lt;&gt;""),IF(G315='Historical Score'!$C$6,1,0),0)</f>
        <v/>
      </c>
      <c r="AR315" s="3">
        <f>IF(AND(L315&lt;&gt;"",'Historical Score'!$C$5&lt;&gt;""),IF(L315='Historical Score'!$C$5,1,0),0)</f>
        <v/>
      </c>
      <c r="AS315" s="3">
        <f>IF(AND(Y315&lt;&gt;"",'Historical Score'!$C$7&lt;&gt;""),IF(Y315='Historical Score'!$C$7,1,0),0)</f>
        <v/>
      </c>
      <c r="AT315" s="3">
        <f>IF(AND(K315&lt;&gt;"",'Historical Score'!$C$8&lt;&gt;""),IF(K315='Historical Score'!$C$8,1,0),0)</f>
        <v/>
      </c>
      <c r="AU315" s="3" t="n"/>
      <c r="AV315" s="3" t="n"/>
      <c r="AW315" s="3" t="n"/>
      <c r="AX315" s="3" t="n"/>
      <c r="AY315" s="3" t="n"/>
      <c r="AZ315" s="3" t="n"/>
      <c r="BA315" s="182">
        <f>IF(AD315=1,(AR315*'Historical Score'!$K$29+1-'Historical Score'!$K$29)*(AT315*'Historical Score'!$L$29+1-'Historical Score'!$L$29)*(AS315*'Historical Score'!$M$29+1-'Historical Score'!$M$29)*(AQ315*'Historical Score'!$N$29+1-'Historical Score'!$N$29),0)</f>
        <v/>
      </c>
      <c r="BB315" s="3" t="n"/>
      <c r="BC315" s="3" t="n"/>
    </row>
    <row r="316" ht="15.75" customHeight="1" s="174">
      <c r="A316" s="3" t="inlineStr">
        <is>
          <t>5674169466</t>
        </is>
      </c>
      <c r="B316" s="3" t="inlineStr">
        <is>
          <t>Foutch Properties</t>
        </is>
      </c>
      <c r="C316" s="3" t="inlineStr">
        <is>
          <t>JMAE LLC</t>
        </is>
      </c>
      <c r="D316" s="3" t="inlineStr">
        <is>
          <t>Closed/NSF</t>
        </is>
      </c>
      <c r="E316" s="23" t="n">
        <v>45959</v>
      </c>
      <c r="F316" s="23" t="n">
        <v>46239</v>
      </c>
      <c r="G316" s="3" t="n">
        <v>1</v>
      </c>
      <c r="H316" s="3" t="inlineStr">
        <is>
          <t>6531</t>
        </is>
      </c>
      <c r="I316" s="3" t="inlineStr">
        <is>
          <t>65</t>
        </is>
      </c>
      <c r="J316" s="3" t="inlineStr">
        <is>
          <t>IA</t>
        </is>
      </c>
      <c r="K316" s="3" t="inlineStr">
        <is>
          <t>Fundwell</t>
        </is>
      </c>
      <c r="L316" s="3" t="inlineStr">
        <is>
          <t>New Deal</t>
        </is>
      </c>
      <c r="M316" s="3" t="n">
        <v>1.38</v>
      </c>
      <c r="N316" s="28" t="n">
        <v>60000</v>
      </c>
      <c r="O316" s="28" t="n">
        <v>6600</v>
      </c>
      <c r="P316" s="28" t="n">
        <v>82800</v>
      </c>
      <c r="Q316" s="28" t="n">
        <v>82800</v>
      </c>
      <c r="R316" s="28" t="n">
        <v>0</v>
      </c>
      <c r="S316" s="42" t="n">
        <v>1</v>
      </c>
      <c r="T316" s="3" t="n">
        <v>36</v>
      </c>
      <c r="U316" s="3" t="n">
        <v>4</v>
      </c>
      <c r="V316" s="3" t="n">
        <v>159036.62</v>
      </c>
      <c r="W316" s="42" t="n">
        <v>0.0578</v>
      </c>
      <c r="X316" s="23" t="n">
        <v>41334</v>
      </c>
      <c r="Y316" s="3">
        <f>IF(I316="","No SIC",IFERROR(VLOOKUP(I316,Ref!$A$2:$B$65,2,FALSE()),"Unclassified"))</f>
        <v/>
      </c>
      <c r="Z316" s="3">
        <f>IF(T316="","",IF(T316&lt;12,"Daily","Weekly"))</f>
        <v/>
      </c>
      <c r="AA316" s="3">
        <f>IF(T316="",0,IF(T316&lt;12,T316*Controls!$B$13,T316*5))</f>
        <v/>
      </c>
      <c r="AB316" s="3">
        <f>IF(E316="",0,NETWORKDAYS(E316,Controls!$B$20,Ref!$K$2:$K$42))</f>
        <v/>
      </c>
      <c r="AC316" s="3">
        <f>IF(OR(AF316=1,AND(AA316&gt;0,AB316&gt;=Controls!$B$23*AA316)),1,0)</f>
        <v/>
      </c>
      <c r="AD316" s="3">
        <f>IF(AND(E316&lt;&gt;"",E316&gt;=Controls!$B$21,E316&lt;=Controls!$B$22),1,0)</f>
        <v/>
      </c>
      <c r="AE316" s="3">
        <f>IF(IFERROR(VLOOKUP(D316,Controls!$A$36:$E$46,2,FALSE()),"No")="Yes",1,0)</f>
        <v/>
      </c>
      <c r="AF316" s="3">
        <f>IF(IFERROR(VLOOKUP(D316,Controls!$A$36:$E$46,3,FALSE()),"No")="Yes",1,0)</f>
        <v/>
      </c>
      <c r="AG316" s="3">
        <f>IF(IFERROR(VLOOKUP(D316,Controls!$A$36:$E$46,4,FALSE()),"No")="Yes",1,0)</f>
        <v/>
      </c>
      <c r="AH316" s="3">
        <f>IF(IFERROR(VLOOKUP(D316,Controls!$A$36:$E$46,5,FALSE()),"No")="Yes",1,0)</f>
        <v/>
      </c>
      <c r="AI316" s="3">
        <f>IF(ISNUMBER(MATCH(D316,Controls!$A$36:$A$46,0)),1,0)</f>
        <v/>
      </c>
      <c r="AJ316" s="28">
        <f>Q316-N316</f>
        <v/>
      </c>
      <c r="AK316" s="3">
        <f>IF(AE316=1,MAX(0,N316-Q316),0)</f>
        <v/>
      </c>
      <c r="AL316" s="3">
        <f>IF(OR(V316="",V316=0),0,N316/V316)</f>
        <v/>
      </c>
      <c r="AM316" s="3">
        <f>IF(OR(V316="",V316=0),0,1)</f>
        <v/>
      </c>
      <c r="AN316" s="3">
        <f>IF(OR(E316="",F316=""),0,NETWORKDAYS(E316,F316,Ref!$K$2:$K$42))</f>
        <v/>
      </c>
      <c r="AO316" s="3">
        <f>IF(L316="Renewal",1,0)</f>
        <v/>
      </c>
      <c r="AP316" s="3">
        <f>AC316*AD316</f>
        <v/>
      </c>
      <c r="AQ316" s="3">
        <f>IF(AND(G316&lt;&gt;"",'Historical Score'!$C$6&lt;&gt;""),IF(G316='Historical Score'!$C$6,1,0),0)</f>
        <v/>
      </c>
      <c r="AR316" s="3">
        <f>IF(AND(L316&lt;&gt;"",'Historical Score'!$C$5&lt;&gt;""),IF(L316='Historical Score'!$C$5,1,0),0)</f>
        <v/>
      </c>
      <c r="AS316" s="3">
        <f>IF(AND(Y316&lt;&gt;"",'Historical Score'!$C$7&lt;&gt;""),IF(Y316='Historical Score'!$C$7,1,0),0)</f>
        <v/>
      </c>
      <c r="AT316" s="3">
        <f>IF(AND(K316&lt;&gt;"",'Historical Score'!$C$8&lt;&gt;""),IF(K316='Historical Score'!$C$8,1,0),0)</f>
        <v/>
      </c>
      <c r="AU316" s="3" t="n"/>
      <c r="AV316" s="3" t="n"/>
      <c r="AW316" s="3" t="n"/>
      <c r="AX316" s="3" t="n"/>
      <c r="AY316" s="3" t="n"/>
      <c r="AZ316" s="3" t="n"/>
      <c r="BA316" s="182">
        <f>IF(AD316=1,(AR316*'Historical Score'!$K$29+1-'Historical Score'!$K$29)*(AT316*'Historical Score'!$L$29+1-'Historical Score'!$L$29)*(AS316*'Historical Score'!$M$29+1-'Historical Score'!$M$29)*(AQ316*'Historical Score'!$N$29+1-'Historical Score'!$N$29),0)</f>
        <v/>
      </c>
      <c r="BB316" s="3" t="n"/>
      <c r="BC316" s="3" t="n"/>
    </row>
    <row r="317" ht="15.75" customHeight="1" s="174">
      <c r="A317" s="3" t="inlineStr">
        <is>
          <t>5674169518</t>
        </is>
      </c>
      <c r="B317" s="3" t="inlineStr">
        <is>
          <t>FRESH LAND IMPORTS LLC</t>
        </is>
      </c>
      <c r="C317" s="3" t="inlineStr">
        <is>
          <t>FRESH LAND IMPORTS LLC</t>
        </is>
      </c>
      <c r="D317" s="3" t="inlineStr">
        <is>
          <t>Closed</t>
        </is>
      </c>
      <c r="E317" s="23" t="n">
        <v>45959</v>
      </c>
      <c r="F317" s="23" t="n">
        <v>46090</v>
      </c>
      <c r="G317" s="3" t="n">
        <v>1</v>
      </c>
      <c r="H317" s="3" t="inlineStr">
        <is>
          <t>3495</t>
        </is>
      </c>
      <c r="I317" s="3" t="inlineStr">
        <is>
          <t>34</t>
        </is>
      </c>
      <c r="J317" s="3" t="inlineStr">
        <is>
          <t>IL</t>
        </is>
      </c>
      <c r="K317" s="3" t="inlineStr">
        <is>
          <t>Fundwell</t>
        </is>
      </c>
      <c r="L317" s="3" t="inlineStr">
        <is>
          <t>New Deal</t>
        </is>
      </c>
      <c r="M317" s="3" t="n">
        <v>1.46</v>
      </c>
      <c r="N317" s="28" t="n">
        <v>100000</v>
      </c>
      <c r="O317" s="28" t="n">
        <v>15000</v>
      </c>
      <c r="P317" s="28" t="n">
        <v>146000</v>
      </c>
      <c r="Q317" s="28" t="n">
        <v>146000</v>
      </c>
      <c r="R317" s="28" t="n">
        <v>0</v>
      </c>
      <c r="S317" s="42" t="n">
        <v>1</v>
      </c>
      <c r="T317" s="3" t="n">
        <v>32</v>
      </c>
      <c r="U317" s="3" t="n">
        <v>0</v>
      </c>
      <c r="V317" s="3" t="n">
        <v>356120.58</v>
      </c>
      <c r="W317" s="42" t="n">
        <v>0.0512</v>
      </c>
      <c r="X317" s="23" t="n">
        <v>43945</v>
      </c>
      <c r="Y317" s="3">
        <f>IF(I317="","No SIC",IFERROR(VLOOKUP(I317,Ref!$A$2:$B$65,2,FALSE()),"Unclassified"))</f>
        <v/>
      </c>
      <c r="Z317" s="3">
        <f>IF(T317="","",IF(T317&lt;12,"Daily","Weekly"))</f>
        <v/>
      </c>
      <c r="AA317" s="3">
        <f>IF(T317="",0,IF(T317&lt;12,T317*Controls!$B$13,T317*5))</f>
        <v/>
      </c>
      <c r="AB317" s="3">
        <f>IF(E317="",0,NETWORKDAYS(E317,Controls!$B$20,Ref!$K$2:$K$42))</f>
        <v/>
      </c>
      <c r="AC317" s="3">
        <f>IF(OR(AF317=1,AND(AA317&gt;0,AB317&gt;=Controls!$B$23*AA317)),1,0)</f>
        <v/>
      </c>
      <c r="AD317" s="3">
        <f>IF(AND(E317&lt;&gt;"",E317&gt;=Controls!$B$21,E317&lt;=Controls!$B$22),1,0)</f>
        <v/>
      </c>
      <c r="AE317" s="3">
        <f>IF(IFERROR(VLOOKUP(D317,Controls!$A$36:$E$46,2,FALSE()),"No")="Yes",1,0)</f>
        <v/>
      </c>
      <c r="AF317" s="3">
        <f>IF(IFERROR(VLOOKUP(D317,Controls!$A$36:$E$46,3,FALSE()),"No")="Yes",1,0)</f>
        <v/>
      </c>
      <c r="AG317" s="3">
        <f>IF(IFERROR(VLOOKUP(D317,Controls!$A$36:$E$46,4,FALSE()),"No")="Yes",1,0)</f>
        <v/>
      </c>
      <c r="AH317" s="3">
        <f>IF(IFERROR(VLOOKUP(D317,Controls!$A$36:$E$46,5,FALSE()),"No")="Yes",1,0)</f>
        <v/>
      </c>
      <c r="AI317" s="3">
        <f>IF(ISNUMBER(MATCH(D317,Controls!$A$36:$A$46,0)),1,0)</f>
        <v/>
      </c>
      <c r="AJ317" s="28">
        <f>Q317-N317</f>
        <v/>
      </c>
      <c r="AK317" s="3">
        <f>IF(AE317=1,MAX(0,N317-Q317),0)</f>
        <v/>
      </c>
      <c r="AL317" s="3">
        <f>IF(OR(V317="",V317=0),0,N317/V317)</f>
        <v/>
      </c>
      <c r="AM317" s="3">
        <f>IF(OR(V317="",V317=0),0,1)</f>
        <v/>
      </c>
      <c r="AN317" s="3">
        <f>IF(OR(E317="",F317=""),0,NETWORKDAYS(E317,F317,Ref!$K$2:$K$42))</f>
        <v/>
      </c>
      <c r="AO317" s="3">
        <f>IF(L317="Renewal",1,0)</f>
        <v/>
      </c>
      <c r="AP317" s="3">
        <f>AC317*AD317</f>
        <v/>
      </c>
      <c r="AQ317" s="3">
        <f>IF(AND(G317&lt;&gt;"",'Historical Score'!$C$6&lt;&gt;""),IF(G317='Historical Score'!$C$6,1,0),0)</f>
        <v/>
      </c>
      <c r="AR317" s="3">
        <f>IF(AND(L317&lt;&gt;"",'Historical Score'!$C$5&lt;&gt;""),IF(L317='Historical Score'!$C$5,1,0),0)</f>
        <v/>
      </c>
      <c r="AS317" s="3">
        <f>IF(AND(Y317&lt;&gt;"",'Historical Score'!$C$7&lt;&gt;""),IF(Y317='Historical Score'!$C$7,1,0),0)</f>
        <v/>
      </c>
      <c r="AT317" s="3">
        <f>IF(AND(K317&lt;&gt;"",'Historical Score'!$C$8&lt;&gt;""),IF(K317='Historical Score'!$C$8,1,0),0)</f>
        <v/>
      </c>
      <c r="AU317" s="3" t="n"/>
      <c r="AV317" s="3" t="n"/>
      <c r="AW317" s="3" t="n"/>
      <c r="AX317" s="3" t="n"/>
      <c r="AY317" s="3" t="n"/>
      <c r="AZ317" s="3" t="n"/>
      <c r="BA317" s="182">
        <f>IF(AD317=1,(AR317*'Historical Score'!$K$29+1-'Historical Score'!$K$29)*(AT317*'Historical Score'!$L$29+1-'Historical Score'!$L$29)*(AS317*'Historical Score'!$M$29+1-'Historical Score'!$M$29)*(AQ317*'Historical Score'!$N$29+1-'Historical Score'!$N$29),0)</f>
        <v/>
      </c>
      <c r="BB317" s="3" t="n"/>
      <c r="BC317" s="3" t="n"/>
    </row>
    <row r="318" ht="15.75" customHeight="1" s="174">
      <c r="A318" s="3" t="inlineStr">
        <is>
          <t>5674169540</t>
        </is>
      </c>
      <c r="B318" s="3" t="inlineStr">
        <is>
          <t>Charles Hannum Inc</t>
        </is>
      </c>
      <c r="C318" s="3" t="inlineStr">
        <is>
          <t>Charles Hannum Inc</t>
        </is>
      </c>
      <c r="D318" s="3" t="inlineStr">
        <is>
          <t>Open</t>
        </is>
      </c>
      <c r="E318" s="23" t="n">
        <v>45960</v>
      </c>
      <c r="F318" s="23" t="n">
        <v>46248</v>
      </c>
      <c r="G318" s="3" t="n">
        <v>3</v>
      </c>
      <c r="H318" s="3" t="inlineStr">
        <is>
          <t>5999</t>
        </is>
      </c>
      <c r="I318" s="3" t="inlineStr">
        <is>
          <t>59</t>
        </is>
      </c>
      <c r="J318" s="3" t="inlineStr">
        <is>
          <t>PA</t>
        </is>
      </c>
      <c r="K318" s="3" t="inlineStr">
        <is>
          <t>Triumph Cap Fund</t>
        </is>
      </c>
      <c r="L318" s="3" t="inlineStr">
        <is>
          <t>Renewal</t>
        </is>
      </c>
      <c r="M318" s="3" t="n">
        <v>1.43</v>
      </c>
      <c r="N318" s="28" t="n">
        <v>20000</v>
      </c>
      <c r="O318" s="28" t="n">
        <v>2200</v>
      </c>
      <c r="P318" s="28" t="n">
        <v>28600</v>
      </c>
      <c r="Q318" s="28" t="n">
        <v>17468.76</v>
      </c>
      <c r="R318" s="28" t="n">
        <v>11131.24</v>
      </c>
      <c r="S318" s="42" t="n">
        <v>0.610795804195804</v>
      </c>
      <c r="T318" s="3" t="n">
        <v>3.279</v>
      </c>
      <c r="U318" s="3" t="n">
        <v>0</v>
      </c>
      <c r="V318" s="3" t="n">
        <v>33782.45</v>
      </c>
      <c r="W318" s="42" t="n">
        <v>0.1778</v>
      </c>
      <c r="X318" s="23" t="n"/>
      <c r="Y318" s="3">
        <f>IF(I318="","No SIC",IFERROR(VLOOKUP(I318,Ref!$A$2:$B$65,2,FALSE()),"Unclassified"))</f>
        <v/>
      </c>
      <c r="Z318" s="3">
        <f>IF(T318="","",IF(T318&lt;12,"Daily","Weekly"))</f>
        <v/>
      </c>
      <c r="AA318" s="3">
        <f>IF(T318="",0,IF(T318&lt;12,T318*Controls!$B$13,T318*5))</f>
        <v/>
      </c>
      <c r="AB318" s="3">
        <f>IF(E318="",0,NETWORKDAYS(E318,Controls!$B$20,Ref!$K$2:$K$42))</f>
        <v/>
      </c>
      <c r="AC318" s="3">
        <f>IF(OR(AF318=1,AND(AA318&gt;0,AB318&gt;=Controls!$B$23*AA318)),1,0)</f>
        <v/>
      </c>
      <c r="AD318" s="3">
        <f>IF(AND(E318&lt;&gt;"",E318&gt;=Controls!$B$21,E318&lt;=Controls!$B$22),1,0)</f>
        <v/>
      </c>
      <c r="AE318" s="3">
        <f>IF(IFERROR(VLOOKUP(D318,Controls!$A$36:$E$46,2,FALSE()),"No")="Yes",1,0)</f>
        <v/>
      </c>
      <c r="AF318" s="3">
        <f>IF(IFERROR(VLOOKUP(D318,Controls!$A$36:$E$46,3,FALSE()),"No")="Yes",1,0)</f>
        <v/>
      </c>
      <c r="AG318" s="3">
        <f>IF(IFERROR(VLOOKUP(D318,Controls!$A$36:$E$46,4,FALSE()),"No")="Yes",1,0)</f>
        <v/>
      </c>
      <c r="AH318" s="3">
        <f>IF(IFERROR(VLOOKUP(D318,Controls!$A$36:$E$46,5,FALSE()),"No")="Yes",1,0)</f>
        <v/>
      </c>
      <c r="AI318" s="3">
        <f>IF(ISNUMBER(MATCH(D318,Controls!$A$36:$A$46,0)),1,0)</f>
        <v/>
      </c>
      <c r="AJ318" s="28">
        <f>Q318-N318</f>
        <v/>
      </c>
      <c r="AK318" s="3">
        <f>IF(AE318=1,MAX(0,N318-Q318),0)</f>
        <v/>
      </c>
      <c r="AL318" s="3">
        <f>IF(OR(V318="",V318=0),0,N318/V318)</f>
        <v/>
      </c>
      <c r="AM318" s="3">
        <f>IF(OR(V318="",V318=0),0,1)</f>
        <v/>
      </c>
      <c r="AN318" s="3">
        <f>IF(OR(E318="",F318=""),0,NETWORKDAYS(E318,F318,Ref!$K$2:$K$42))</f>
        <v/>
      </c>
      <c r="AO318" s="3">
        <f>IF(L318="Renewal",1,0)</f>
        <v/>
      </c>
      <c r="AP318" s="3">
        <f>AC318*AD318</f>
        <v/>
      </c>
      <c r="AQ318" s="3">
        <f>IF(AND(G318&lt;&gt;"",'Historical Score'!$C$6&lt;&gt;""),IF(G318='Historical Score'!$C$6,1,0),0)</f>
        <v/>
      </c>
      <c r="AR318" s="3">
        <f>IF(AND(L318&lt;&gt;"",'Historical Score'!$C$5&lt;&gt;""),IF(L318='Historical Score'!$C$5,1,0),0)</f>
        <v/>
      </c>
      <c r="AS318" s="3">
        <f>IF(AND(Y318&lt;&gt;"",'Historical Score'!$C$7&lt;&gt;""),IF(Y318='Historical Score'!$C$7,1,0),0)</f>
        <v/>
      </c>
      <c r="AT318" s="3">
        <f>IF(AND(K318&lt;&gt;"",'Historical Score'!$C$8&lt;&gt;""),IF(K318='Historical Score'!$C$8,1,0),0)</f>
        <v/>
      </c>
      <c r="AU318" s="3" t="n"/>
      <c r="AV318" s="3" t="n"/>
      <c r="AW318" s="3" t="n"/>
      <c r="AX318" s="3" t="n"/>
      <c r="AY318" s="3" t="n"/>
      <c r="AZ318" s="3" t="n"/>
      <c r="BA318" s="182">
        <f>IF(AD318=1,(AR318*'Historical Score'!$K$29+1-'Historical Score'!$K$29)*(AT318*'Historical Score'!$L$29+1-'Historical Score'!$L$29)*(AS318*'Historical Score'!$M$29+1-'Historical Score'!$M$29)*(AQ318*'Historical Score'!$N$29+1-'Historical Score'!$N$29),0)</f>
        <v/>
      </c>
      <c r="BB318" s="3" t="n"/>
      <c r="BC318" s="3" t="n"/>
    </row>
    <row r="319" ht="15.75" customHeight="1" s="174">
      <c r="A319" s="3" t="inlineStr">
        <is>
          <t>5674169558</t>
        </is>
      </c>
      <c r="B319" s="3" t="inlineStr">
        <is>
          <t>Life Heart Medical Center LLC</t>
        </is>
      </c>
      <c r="C319" s="3" t="inlineStr">
        <is>
          <t>Life Heart Medical Center LLC</t>
        </is>
      </c>
      <c r="D319" s="3" t="inlineStr">
        <is>
          <t>Legal</t>
        </is>
      </c>
      <c r="E319" s="23" t="n">
        <v>45960</v>
      </c>
      <c r="F319" s="23" t="n">
        <v>46056</v>
      </c>
      <c r="G319" s="3" t="n">
        <v>4</v>
      </c>
      <c r="H319" s="3" t="inlineStr">
        <is>
          <t>6371</t>
        </is>
      </c>
      <c r="I319" s="3" t="inlineStr">
        <is>
          <t>63</t>
        </is>
      </c>
      <c r="J319" s="3" t="inlineStr">
        <is>
          <t>FL</t>
        </is>
      </c>
      <c r="K319" s="3" t="inlineStr">
        <is>
          <t>Pharoah Fund</t>
        </is>
      </c>
      <c r="L319" s="3" t="inlineStr">
        <is>
          <t>New Deal</t>
        </is>
      </c>
      <c r="M319" s="3" t="n">
        <v>1.499</v>
      </c>
      <c r="N319" s="28" t="n">
        <v>10000</v>
      </c>
      <c r="O319" s="28" t="n">
        <v>1400</v>
      </c>
      <c r="P319" s="28" t="n">
        <v>14990</v>
      </c>
      <c r="Q319" s="28" t="n">
        <v>5512.16</v>
      </c>
      <c r="R319" s="28" t="n">
        <v>9477.84</v>
      </c>
      <c r="S319" s="42" t="n">
        <v>0.367722481654436</v>
      </c>
      <c r="T319" s="3" t="n">
        <v>2.787</v>
      </c>
      <c r="U319" s="3" t="n">
        <v>25</v>
      </c>
      <c r="V319" s="3" t="n">
        <v>82025.95</v>
      </c>
      <c r="W319" s="42" t="n">
        <v>0.0448</v>
      </c>
      <c r="X319" s="23" t="n">
        <v>44317</v>
      </c>
      <c r="Y319" s="3">
        <f>IF(I319="","No SIC",IFERROR(VLOOKUP(I319,Ref!$A$2:$B$65,2,FALSE()),"Unclassified"))</f>
        <v/>
      </c>
      <c r="Z319" s="3">
        <f>IF(T319="","",IF(T319&lt;12,"Daily","Weekly"))</f>
        <v/>
      </c>
      <c r="AA319" s="3">
        <f>IF(T319="",0,IF(T319&lt;12,T319*Controls!$B$13,T319*5))</f>
        <v/>
      </c>
      <c r="AB319" s="3">
        <f>IF(E319="",0,NETWORKDAYS(E319,Controls!$B$20,Ref!$K$2:$K$42))</f>
        <v/>
      </c>
      <c r="AC319" s="3">
        <f>IF(OR(AF319=1,AND(AA319&gt;0,AB319&gt;=Controls!$B$23*AA319)),1,0)</f>
        <v/>
      </c>
      <c r="AD319" s="3">
        <f>IF(AND(E319&lt;&gt;"",E319&gt;=Controls!$B$21,E319&lt;=Controls!$B$22),1,0)</f>
        <v/>
      </c>
      <c r="AE319" s="3">
        <f>IF(IFERROR(VLOOKUP(D319,Controls!$A$36:$E$46,2,FALSE()),"No")="Yes",1,0)</f>
        <v/>
      </c>
      <c r="AF319" s="3">
        <f>IF(IFERROR(VLOOKUP(D319,Controls!$A$36:$E$46,3,FALSE()),"No")="Yes",1,0)</f>
        <v/>
      </c>
      <c r="AG319" s="3">
        <f>IF(IFERROR(VLOOKUP(D319,Controls!$A$36:$E$46,4,FALSE()),"No")="Yes",1,0)</f>
        <v/>
      </c>
      <c r="AH319" s="3">
        <f>IF(IFERROR(VLOOKUP(D319,Controls!$A$36:$E$46,5,FALSE()),"No")="Yes",1,0)</f>
        <v/>
      </c>
      <c r="AI319" s="3">
        <f>IF(ISNUMBER(MATCH(D319,Controls!$A$36:$A$46,0)),1,0)</f>
        <v/>
      </c>
      <c r="AJ319" s="28">
        <f>Q319-N319</f>
        <v/>
      </c>
      <c r="AK319" s="3">
        <f>IF(AE319=1,MAX(0,N319-Q319),0)</f>
        <v/>
      </c>
      <c r="AL319" s="3">
        <f>IF(OR(V319="",V319=0),0,N319/V319)</f>
        <v/>
      </c>
      <c r="AM319" s="3">
        <f>IF(OR(V319="",V319=0),0,1)</f>
        <v/>
      </c>
      <c r="AN319" s="3">
        <f>IF(OR(E319="",F319=""),0,NETWORKDAYS(E319,F319,Ref!$K$2:$K$42))</f>
        <v/>
      </c>
      <c r="AO319" s="3">
        <f>IF(L319="Renewal",1,0)</f>
        <v/>
      </c>
      <c r="AP319" s="3">
        <f>AC319*AD319</f>
        <v/>
      </c>
      <c r="AQ319" s="3">
        <f>IF(AND(G319&lt;&gt;"",'Historical Score'!$C$6&lt;&gt;""),IF(G319='Historical Score'!$C$6,1,0),0)</f>
        <v/>
      </c>
      <c r="AR319" s="3">
        <f>IF(AND(L319&lt;&gt;"",'Historical Score'!$C$5&lt;&gt;""),IF(L319='Historical Score'!$C$5,1,0),0)</f>
        <v/>
      </c>
      <c r="AS319" s="3">
        <f>IF(AND(Y319&lt;&gt;"",'Historical Score'!$C$7&lt;&gt;""),IF(Y319='Historical Score'!$C$7,1,0),0)</f>
        <v/>
      </c>
      <c r="AT319" s="3">
        <f>IF(AND(K319&lt;&gt;"",'Historical Score'!$C$8&lt;&gt;""),IF(K319='Historical Score'!$C$8,1,0),0)</f>
        <v/>
      </c>
      <c r="AU319" s="3" t="n"/>
      <c r="AV319" s="3" t="n"/>
      <c r="AW319" s="3" t="n"/>
      <c r="AX319" s="3" t="n"/>
      <c r="AY319" s="3" t="n"/>
      <c r="AZ319" s="3" t="n"/>
      <c r="BA319" s="182">
        <f>IF(AD319=1,(AR319*'Historical Score'!$K$29+1-'Historical Score'!$K$29)*(AT319*'Historical Score'!$L$29+1-'Historical Score'!$L$29)*(AS319*'Historical Score'!$M$29+1-'Historical Score'!$M$29)*(AQ319*'Historical Score'!$N$29+1-'Historical Score'!$N$29),0)</f>
        <v/>
      </c>
      <c r="BB319" s="3" t="n"/>
      <c r="BC319" s="3" t="n"/>
    </row>
    <row r="320" ht="15.75" customHeight="1" s="174">
      <c r="A320" s="3" t="inlineStr">
        <is>
          <t>5674169614</t>
        </is>
      </c>
      <c r="B320" s="3" t="inlineStr">
        <is>
          <t>Cask wine bar &amp; restaurant</t>
        </is>
      </c>
      <c r="C320" s="3" t="inlineStr">
        <is>
          <t>Kurtrestaurant LLC</t>
        </is>
      </c>
      <c r="D320" s="3" t="inlineStr">
        <is>
          <t>Legal</t>
        </is>
      </c>
      <c r="E320" s="23" t="n">
        <v>45960</v>
      </c>
      <c r="F320" s="23" t="n">
        <v>45980</v>
      </c>
      <c r="G320" s="3" t="n">
        <v>2</v>
      </c>
      <c r="H320" s="3" t="inlineStr">
        <is>
          <t>5812</t>
        </is>
      </c>
      <c r="I320" s="3" t="inlineStr">
        <is>
          <t>58</t>
        </is>
      </c>
      <c r="J320" s="3" t="inlineStr">
        <is>
          <t>CA</t>
        </is>
      </c>
      <c r="K320" s="3" t="inlineStr">
        <is>
          <t>Biz fuel</t>
        </is>
      </c>
      <c r="L320" s="3" t="inlineStr">
        <is>
          <t>New Deal</t>
        </is>
      </c>
      <c r="M320" s="3" t="n">
        <v>1.499</v>
      </c>
      <c r="N320" s="28" t="n">
        <v>35000</v>
      </c>
      <c r="O320" s="28" t="n">
        <v>0</v>
      </c>
      <c r="P320" s="28" t="n">
        <v>52465</v>
      </c>
      <c r="Q320" s="28" t="n">
        <v>579.35</v>
      </c>
      <c r="R320" s="28" t="n">
        <v>51885.65</v>
      </c>
      <c r="S320" s="42" t="n">
        <v>0.0110425998284571</v>
      </c>
      <c r="T320" s="3" t="n">
        <v>2.951</v>
      </c>
      <c r="U320" s="3" t="n">
        <v>12</v>
      </c>
      <c r="V320" s="3" t="n">
        <v>111823.08</v>
      </c>
      <c r="W320" s="42" t="n">
        <v>0.1088</v>
      </c>
      <c r="X320" s="23" t="n">
        <v>39741</v>
      </c>
      <c r="Y320" s="3">
        <f>IF(I320="","No SIC",IFERROR(VLOOKUP(I320,Ref!$A$2:$B$65,2,FALSE()),"Unclassified"))</f>
        <v/>
      </c>
      <c r="Z320" s="3">
        <f>IF(T320="","",IF(T320&lt;12,"Daily","Weekly"))</f>
        <v/>
      </c>
      <c r="AA320" s="3">
        <f>IF(T320="",0,IF(T320&lt;12,T320*Controls!$B$13,T320*5))</f>
        <v/>
      </c>
      <c r="AB320" s="3">
        <f>IF(E320="",0,NETWORKDAYS(E320,Controls!$B$20,Ref!$K$2:$K$42))</f>
        <v/>
      </c>
      <c r="AC320" s="3">
        <f>IF(OR(AF320=1,AND(AA320&gt;0,AB320&gt;=Controls!$B$23*AA320)),1,0)</f>
        <v/>
      </c>
      <c r="AD320" s="3">
        <f>IF(AND(E320&lt;&gt;"",E320&gt;=Controls!$B$21,E320&lt;=Controls!$B$22),1,0)</f>
        <v/>
      </c>
      <c r="AE320" s="3">
        <f>IF(IFERROR(VLOOKUP(D320,Controls!$A$36:$E$46,2,FALSE()),"No")="Yes",1,0)</f>
        <v/>
      </c>
      <c r="AF320" s="3">
        <f>IF(IFERROR(VLOOKUP(D320,Controls!$A$36:$E$46,3,FALSE()),"No")="Yes",1,0)</f>
        <v/>
      </c>
      <c r="AG320" s="3">
        <f>IF(IFERROR(VLOOKUP(D320,Controls!$A$36:$E$46,4,FALSE()),"No")="Yes",1,0)</f>
        <v/>
      </c>
      <c r="AH320" s="3">
        <f>IF(IFERROR(VLOOKUP(D320,Controls!$A$36:$E$46,5,FALSE()),"No")="Yes",1,0)</f>
        <v/>
      </c>
      <c r="AI320" s="3">
        <f>IF(ISNUMBER(MATCH(D320,Controls!$A$36:$A$46,0)),1,0)</f>
        <v/>
      </c>
      <c r="AJ320" s="28">
        <f>Q320-N320</f>
        <v/>
      </c>
      <c r="AK320" s="3">
        <f>IF(AE320=1,MAX(0,N320-Q320),0)</f>
        <v/>
      </c>
      <c r="AL320" s="3">
        <f>IF(OR(V320="",V320=0),0,N320/V320)</f>
        <v/>
      </c>
      <c r="AM320" s="3">
        <f>IF(OR(V320="",V320=0),0,1)</f>
        <v/>
      </c>
      <c r="AN320" s="3">
        <f>IF(OR(E320="",F320=""),0,NETWORKDAYS(E320,F320,Ref!$K$2:$K$42))</f>
        <v/>
      </c>
      <c r="AO320" s="3">
        <f>IF(L320="Renewal",1,0)</f>
        <v/>
      </c>
      <c r="AP320" s="3">
        <f>AC320*AD320</f>
        <v/>
      </c>
      <c r="AQ320" s="3">
        <f>IF(AND(G320&lt;&gt;"",'Historical Score'!$C$6&lt;&gt;""),IF(G320='Historical Score'!$C$6,1,0),0)</f>
        <v/>
      </c>
      <c r="AR320" s="3">
        <f>IF(AND(L320&lt;&gt;"",'Historical Score'!$C$5&lt;&gt;""),IF(L320='Historical Score'!$C$5,1,0),0)</f>
        <v/>
      </c>
      <c r="AS320" s="3">
        <f>IF(AND(Y320&lt;&gt;"",'Historical Score'!$C$7&lt;&gt;""),IF(Y320='Historical Score'!$C$7,1,0),0)</f>
        <v/>
      </c>
      <c r="AT320" s="3">
        <f>IF(AND(K320&lt;&gt;"",'Historical Score'!$C$8&lt;&gt;""),IF(K320='Historical Score'!$C$8,1,0),0)</f>
        <v/>
      </c>
      <c r="AU320" s="3" t="n"/>
      <c r="AV320" s="3" t="n"/>
      <c r="AW320" s="3" t="n"/>
      <c r="AX320" s="3" t="n"/>
      <c r="AY320" s="3" t="n"/>
      <c r="AZ320" s="3" t="n"/>
      <c r="BA320" s="182">
        <f>IF(AD320=1,(AR320*'Historical Score'!$K$29+1-'Historical Score'!$K$29)*(AT320*'Historical Score'!$L$29+1-'Historical Score'!$L$29)*(AS320*'Historical Score'!$M$29+1-'Historical Score'!$M$29)*(AQ320*'Historical Score'!$N$29+1-'Historical Score'!$N$29),0)</f>
        <v/>
      </c>
      <c r="BB320" s="3" t="n"/>
      <c r="BC320" s="3" t="n"/>
    </row>
    <row r="321" ht="15.75" customHeight="1" s="174">
      <c r="A321" s="3" t="inlineStr">
        <is>
          <t>5674169644</t>
        </is>
      </c>
      <c r="B321" s="3" t="inlineStr">
        <is>
          <t>FINELINES DESIGN STUDIO LLC</t>
        </is>
      </c>
      <c r="C321" s="3" t="inlineStr">
        <is>
          <t>FINELINES DESIGN STUDIO LLC</t>
        </is>
      </c>
      <c r="D321" s="3" t="inlineStr">
        <is>
          <t>Legal</t>
        </is>
      </c>
      <c r="E321" s="23" t="n">
        <v>45961</v>
      </c>
      <c r="F321" s="23" t="n">
        <v>46111</v>
      </c>
      <c r="G321" s="3" t="n">
        <v>1</v>
      </c>
      <c r="H321" s="3" t="inlineStr">
        <is>
          <t>1442</t>
        </is>
      </c>
      <c r="I321" s="3" t="inlineStr">
        <is>
          <t>14</t>
        </is>
      </c>
      <c r="J321" s="3" t="inlineStr">
        <is>
          <t>TX</t>
        </is>
      </c>
      <c r="K321" s="3" t="inlineStr">
        <is>
          <t>Fundwell</t>
        </is>
      </c>
      <c r="L321" s="3" t="inlineStr">
        <is>
          <t>New Deal</t>
        </is>
      </c>
      <c r="M321" s="3" t="n">
        <v>1.34</v>
      </c>
      <c r="N321" s="28" t="n">
        <v>45000</v>
      </c>
      <c r="O321" s="28" t="n">
        <v>3600</v>
      </c>
      <c r="P321" s="28" t="n">
        <v>60300</v>
      </c>
      <c r="Q321" s="28" t="n">
        <v>14393</v>
      </c>
      <c r="R321" s="28" t="n">
        <v>45907</v>
      </c>
      <c r="S321" s="42" t="n">
        <v>0.238689883913765</v>
      </c>
      <c r="T321" s="3" t="n">
        <v>36</v>
      </c>
      <c r="U321" s="3" t="n">
        <v>7</v>
      </c>
      <c r="V321" s="3" t="n">
        <v>128687</v>
      </c>
      <c r="W321" s="42" t="n">
        <v>0.0558</v>
      </c>
      <c r="X321" s="23" t="n">
        <v>40661</v>
      </c>
      <c r="Y321" s="3">
        <f>IF(I321="","No SIC",IFERROR(VLOOKUP(I321,Ref!$A$2:$B$65,2,FALSE()),"Unclassified"))</f>
        <v/>
      </c>
      <c r="Z321" s="3">
        <f>IF(T321="","",IF(T321&lt;12,"Daily","Weekly"))</f>
        <v/>
      </c>
      <c r="AA321" s="3">
        <f>IF(T321="",0,IF(T321&lt;12,T321*Controls!$B$13,T321*5))</f>
        <v/>
      </c>
      <c r="AB321" s="3">
        <f>IF(E321="",0,NETWORKDAYS(E321,Controls!$B$20,Ref!$K$2:$K$42))</f>
        <v/>
      </c>
      <c r="AC321" s="3">
        <f>IF(OR(AF321=1,AND(AA321&gt;0,AB321&gt;=Controls!$B$23*AA321)),1,0)</f>
        <v/>
      </c>
      <c r="AD321" s="3">
        <f>IF(AND(E321&lt;&gt;"",E321&gt;=Controls!$B$21,E321&lt;=Controls!$B$22),1,0)</f>
        <v/>
      </c>
      <c r="AE321" s="3">
        <f>IF(IFERROR(VLOOKUP(D321,Controls!$A$36:$E$46,2,FALSE()),"No")="Yes",1,0)</f>
        <v/>
      </c>
      <c r="AF321" s="3">
        <f>IF(IFERROR(VLOOKUP(D321,Controls!$A$36:$E$46,3,FALSE()),"No")="Yes",1,0)</f>
        <v/>
      </c>
      <c r="AG321" s="3">
        <f>IF(IFERROR(VLOOKUP(D321,Controls!$A$36:$E$46,4,FALSE()),"No")="Yes",1,0)</f>
        <v/>
      </c>
      <c r="AH321" s="3">
        <f>IF(IFERROR(VLOOKUP(D321,Controls!$A$36:$E$46,5,FALSE()),"No")="Yes",1,0)</f>
        <v/>
      </c>
      <c r="AI321" s="3">
        <f>IF(ISNUMBER(MATCH(D321,Controls!$A$36:$A$46,0)),1,0)</f>
        <v/>
      </c>
      <c r="AJ321" s="28">
        <f>Q321-N321</f>
        <v/>
      </c>
      <c r="AK321" s="3">
        <f>IF(AE321=1,MAX(0,N321-Q321),0)</f>
        <v/>
      </c>
      <c r="AL321" s="3">
        <f>IF(OR(V321="",V321=0),0,N321/V321)</f>
        <v/>
      </c>
      <c r="AM321" s="3">
        <f>IF(OR(V321="",V321=0),0,1)</f>
        <v/>
      </c>
      <c r="AN321" s="3">
        <f>IF(OR(E321="",F321=""),0,NETWORKDAYS(E321,F321,Ref!$K$2:$K$42))</f>
        <v/>
      </c>
      <c r="AO321" s="3">
        <f>IF(L321="Renewal",1,0)</f>
        <v/>
      </c>
      <c r="AP321" s="3">
        <f>AC321*AD321</f>
        <v/>
      </c>
      <c r="AQ321" s="3">
        <f>IF(AND(G321&lt;&gt;"",'Historical Score'!$C$6&lt;&gt;""),IF(G321='Historical Score'!$C$6,1,0),0)</f>
        <v/>
      </c>
      <c r="AR321" s="3">
        <f>IF(AND(L321&lt;&gt;"",'Historical Score'!$C$5&lt;&gt;""),IF(L321='Historical Score'!$C$5,1,0),0)</f>
        <v/>
      </c>
      <c r="AS321" s="3">
        <f>IF(AND(Y321&lt;&gt;"",'Historical Score'!$C$7&lt;&gt;""),IF(Y321='Historical Score'!$C$7,1,0),0)</f>
        <v/>
      </c>
      <c r="AT321" s="3">
        <f>IF(AND(K321&lt;&gt;"",'Historical Score'!$C$8&lt;&gt;""),IF(K321='Historical Score'!$C$8,1,0),0)</f>
        <v/>
      </c>
      <c r="AU321" s="3" t="n"/>
      <c r="AV321" s="3" t="n"/>
      <c r="AW321" s="3" t="n"/>
      <c r="AX321" s="3" t="n"/>
      <c r="AY321" s="3" t="n"/>
      <c r="AZ321" s="3" t="n"/>
      <c r="BA321" s="182">
        <f>IF(AD321=1,(AR321*'Historical Score'!$K$29+1-'Historical Score'!$K$29)*(AT321*'Historical Score'!$L$29+1-'Historical Score'!$L$29)*(AS321*'Historical Score'!$M$29+1-'Historical Score'!$M$29)*(AQ321*'Historical Score'!$N$29+1-'Historical Score'!$N$29),0)</f>
        <v/>
      </c>
      <c r="BB321" s="3" t="n"/>
      <c r="BC321" s="3" t="n"/>
    </row>
    <row r="322" ht="15.75" customHeight="1" s="174">
      <c r="A322" s="3" t="inlineStr">
        <is>
          <t>5674169662</t>
        </is>
      </c>
      <c r="B322" s="3" t="inlineStr">
        <is>
          <t>ACE FENCE COMPANY</t>
        </is>
      </c>
      <c r="C322" s="3" t="inlineStr">
        <is>
          <t>Z &amp; G Investment Group, LLC</t>
        </is>
      </c>
      <c r="D322" s="3" t="inlineStr">
        <is>
          <t>Closed</t>
        </is>
      </c>
      <c r="E322" s="23" t="n">
        <v>45961</v>
      </c>
      <c r="F322" s="23" t="n">
        <v>46125</v>
      </c>
      <c r="G322" s="3" t="n">
        <v>2</v>
      </c>
      <c r="H322" s="3" t="inlineStr">
        <is>
          <t>0781</t>
        </is>
      </c>
      <c r="I322" s="3" t="inlineStr">
        <is>
          <t>07</t>
        </is>
      </c>
      <c r="J322" s="3" t="inlineStr">
        <is>
          <t>FL</t>
        </is>
      </c>
      <c r="K322" s="3" t="inlineStr">
        <is>
          <t>Fundwell</t>
        </is>
      </c>
      <c r="L322" s="3" t="inlineStr">
        <is>
          <t>New Deal</t>
        </is>
      </c>
      <c r="M322" s="3" t="n">
        <v>1.4</v>
      </c>
      <c r="N322" s="28" t="n">
        <v>11000</v>
      </c>
      <c r="O322" s="28" t="n">
        <v>1430</v>
      </c>
      <c r="P322" s="28" t="n">
        <v>15400</v>
      </c>
      <c r="Q322" s="28" t="n">
        <v>15400</v>
      </c>
      <c r="R322" s="28" t="n">
        <v>-1.81898940354586e-12</v>
      </c>
      <c r="S322" s="42" t="n">
        <v>1</v>
      </c>
      <c r="T322" s="3" t="n">
        <v>2.951</v>
      </c>
      <c r="U322" s="3" t="n">
        <v>7</v>
      </c>
      <c r="V322" s="3" t="n">
        <v>37442.06</v>
      </c>
      <c r="W322" s="42" t="n">
        <v>0.096</v>
      </c>
      <c r="X322" s="23" t="n">
        <v>45260</v>
      </c>
      <c r="Y322" s="3">
        <f>IF(I322="","No SIC",IFERROR(VLOOKUP(I322,Ref!$A$2:$B$65,2,FALSE()),"Unclassified"))</f>
        <v/>
      </c>
      <c r="Z322" s="3">
        <f>IF(T322="","",IF(T322&lt;12,"Daily","Weekly"))</f>
        <v/>
      </c>
      <c r="AA322" s="3">
        <f>IF(T322="",0,IF(T322&lt;12,T322*Controls!$B$13,T322*5))</f>
        <v/>
      </c>
      <c r="AB322" s="3">
        <f>IF(E322="",0,NETWORKDAYS(E322,Controls!$B$20,Ref!$K$2:$K$42))</f>
        <v/>
      </c>
      <c r="AC322" s="3">
        <f>IF(OR(AF322=1,AND(AA322&gt;0,AB322&gt;=Controls!$B$23*AA322)),1,0)</f>
        <v/>
      </c>
      <c r="AD322" s="3">
        <f>IF(AND(E322&lt;&gt;"",E322&gt;=Controls!$B$21,E322&lt;=Controls!$B$22),1,0)</f>
        <v/>
      </c>
      <c r="AE322" s="3">
        <f>IF(IFERROR(VLOOKUP(D322,Controls!$A$36:$E$46,2,FALSE()),"No")="Yes",1,0)</f>
        <v/>
      </c>
      <c r="AF322" s="3">
        <f>IF(IFERROR(VLOOKUP(D322,Controls!$A$36:$E$46,3,FALSE()),"No")="Yes",1,0)</f>
        <v/>
      </c>
      <c r="AG322" s="3">
        <f>IF(IFERROR(VLOOKUP(D322,Controls!$A$36:$E$46,4,FALSE()),"No")="Yes",1,0)</f>
        <v/>
      </c>
      <c r="AH322" s="3">
        <f>IF(IFERROR(VLOOKUP(D322,Controls!$A$36:$E$46,5,FALSE()),"No")="Yes",1,0)</f>
        <v/>
      </c>
      <c r="AI322" s="3">
        <f>IF(ISNUMBER(MATCH(D322,Controls!$A$36:$A$46,0)),1,0)</f>
        <v/>
      </c>
      <c r="AJ322" s="28">
        <f>Q322-N322</f>
        <v/>
      </c>
      <c r="AK322" s="3">
        <f>IF(AE322=1,MAX(0,N322-Q322),0)</f>
        <v/>
      </c>
      <c r="AL322" s="3">
        <f>IF(OR(V322="",V322=0),0,N322/V322)</f>
        <v/>
      </c>
      <c r="AM322" s="3">
        <f>IF(OR(V322="",V322=0),0,1)</f>
        <v/>
      </c>
      <c r="AN322" s="3">
        <f>IF(OR(E322="",F322=""),0,NETWORKDAYS(E322,F322,Ref!$K$2:$K$42))</f>
        <v/>
      </c>
      <c r="AO322" s="3">
        <f>IF(L322="Renewal",1,0)</f>
        <v/>
      </c>
      <c r="AP322" s="3">
        <f>AC322*AD322</f>
        <v/>
      </c>
      <c r="AQ322" s="3">
        <f>IF(AND(G322&lt;&gt;"",'Historical Score'!$C$6&lt;&gt;""),IF(G322='Historical Score'!$C$6,1,0),0)</f>
        <v/>
      </c>
      <c r="AR322" s="3">
        <f>IF(AND(L322&lt;&gt;"",'Historical Score'!$C$5&lt;&gt;""),IF(L322='Historical Score'!$C$5,1,0),0)</f>
        <v/>
      </c>
      <c r="AS322" s="3">
        <f>IF(AND(Y322&lt;&gt;"",'Historical Score'!$C$7&lt;&gt;""),IF(Y322='Historical Score'!$C$7,1,0),0)</f>
        <v/>
      </c>
      <c r="AT322" s="3">
        <f>IF(AND(K322&lt;&gt;"",'Historical Score'!$C$8&lt;&gt;""),IF(K322='Historical Score'!$C$8,1,0),0)</f>
        <v/>
      </c>
      <c r="AU322" s="3" t="n"/>
      <c r="AV322" s="3" t="n"/>
      <c r="AW322" s="3" t="n"/>
      <c r="AX322" s="3" t="n"/>
      <c r="AY322" s="3" t="n"/>
      <c r="AZ322" s="3" t="n"/>
      <c r="BA322" s="182">
        <f>IF(AD322=1,(AR322*'Historical Score'!$K$29+1-'Historical Score'!$K$29)*(AT322*'Historical Score'!$L$29+1-'Historical Score'!$L$29)*(AS322*'Historical Score'!$M$29+1-'Historical Score'!$M$29)*(AQ322*'Historical Score'!$N$29+1-'Historical Score'!$N$29),0)</f>
        <v/>
      </c>
      <c r="BB322" s="3" t="n"/>
      <c r="BC322" s="3" t="n"/>
    </row>
    <row r="323" ht="15.75" customHeight="1" s="174">
      <c r="A323" s="3" t="inlineStr">
        <is>
          <t>5674169689</t>
        </is>
      </c>
      <c r="B323" s="3" t="inlineStr">
        <is>
          <t>A2Z FAMILY DENTAL, P.C.</t>
        </is>
      </c>
      <c r="C323" s="3" t="inlineStr">
        <is>
          <t>A2Z FAMILY DENTAL, P.C.</t>
        </is>
      </c>
      <c r="D323" s="3" t="inlineStr">
        <is>
          <t>Closed</t>
        </is>
      </c>
      <c r="E323" s="23" t="n">
        <v>45961</v>
      </c>
      <c r="F323" s="23" t="n">
        <v>46029</v>
      </c>
      <c r="G323" s="3" t="n">
        <v>5</v>
      </c>
      <c r="H323" s="3" t="inlineStr">
        <is>
          <t>8021</t>
        </is>
      </c>
      <c r="I323" s="3" t="inlineStr">
        <is>
          <t>80</t>
        </is>
      </c>
      <c r="J323" s="3" t="inlineStr">
        <is>
          <t>IL</t>
        </is>
      </c>
      <c r="K323" s="3" t="inlineStr">
        <is>
          <t>EZ ADVANCE LLC</t>
        </is>
      </c>
      <c r="L323" s="3" t="inlineStr">
        <is>
          <t>New Deal</t>
        </is>
      </c>
      <c r="M323" s="3" t="n">
        <v>1.499</v>
      </c>
      <c r="N323" s="28" t="n">
        <v>15000</v>
      </c>
      <c r="O323" s="28" t="n">
        <v>2100</v>
      </c>
      <c r="P323" s="28" t="n">
        <v>22485</v>
      </c>
      <c r="Q323" s="28" t="n">
        <v>22485</v>
      </c>
      <c r="R323" s="28" t="n">
        <v>0</v>
      </c>
      <c r="S323" s="42" t="n">
        <v>1</v>
      </c>
      <c r="T323" s="3" t="n">
        <v>2.951</v>
      </c>
      <c r="U323" s="3" t="n">
        <v>0</v>
      </c>
      <c r="V323" s="3" t="n">
        <v>37783.29</v>
      </c>
      <c r="W323" s="42" t="n">
        <v>0.1381</v>
      </c>
      <c r="X323" s="23" t="n">
        <v>42515</v>
      </c>
      <c r="Y323" s="3">
        <f>IF(I323="","No SIC",IFERROR(VLOOKUP(I323,Ref!$A$2:$B$65,2,FALSE()),"Unclassified"))</f>
        <v/>
      </c>
      <c r="Z323" s="3">
        <f>IF(T323="","",IF(T323&lt;12,"Daily","Weekly"))</f>
        <v/>
      </c>
      <c r="AA323" s="3">
        <f>IF(T323="",0,IF(T323&lt;12,T323*Controls!$B$13,T323*5))</f>
        <v/>
      </c>
      <c r="AB323" s="3">
        <f>IF(E323="",0,NETWORKDAYS(E323,Controls!$B$20,Ref!$K$2:$K$42))</f>
        <v/>
      </c>
      <c r="AC323" s="3">
        <f>IF(OR(AF323=1,AND(AA323&gt;0,AB323&gt;=Controls!$B$23*AA323)),1,0)</f>
        <v/>
      </c>
      <c r="AD323" s="3">
        <f>IF(AND(E323&lt;&gt;"",E323&gt;=Controls!$B$21,E323&lt;=Controls!$B$22),1,0)</f>
        <v/>
      </c>
      <c r="AE323" s="3">
        <f>IF(IFERROR(VLOOKUP(D323,Controls!$A$36:$E$46,2,FALSE()),"No")="Yes",1,0)</f>
        <v/>
      </c>
      <c r="AF323" s="3">
        <f>IF(IFERROR(VLOOKUP(D323,Controls!$A$36:$E$46,3,FALSE()),"No")="Yes",1,0)</f>
        <v/>
      </c>
      <c r="AG323" s="3">
        <f>IF(IFERROR(VLOOKUP(D323,Controls!$A$36:$E$46,4,FALSE()),"No")="Yes",1,0)</f>
        <v/>
      </c>
      <c r="AH323" s="3">
        <f>IF(IFERROR(VLOOKUP(D323,Controls!$A$36:$E$46,5,FALSE()),"No")="Yes",1,0)</f>
        <v/>
      </c>
      <c r="AI323" s="3">
        <f>IF(ISNUMBER(MATCH(D323,Controls!$A$36:$A$46,0)),1,0)</f>
        <v/>
      </c>
      <c r="AJ323" s="28">
        <f>Q323-N323</f>
        <v/>
      </c>
      <c r="AK323" s="3">
        <f>IF(AE323=1,MAX(0,N323-Q323),0)</f>
        <v/>
      </c>
      <c r="AL323" s="3">
        <f>IF(OR(V323="",V323=0),0,N323/V323)</f>
        <v/>
      </c>
      <c r="AM323" s="3">
        <f>IF(OR(V323="",V323=0),0,1)</f>
        <v/>
      </c>
      <c r="AN323" s="3">
        <f>IF(OR(E323="",F323=""),0,NETWORKDAYS(E323,F323,Ref!$K$2:$K$42))</f>
        <v/>
      </c>
      <c r="AO323" s="3">
        <f>IF(L323="Renewal",1,0)</f>
        <v/>
      </c>
      <c r="AP323" s="3">
        <f>AC323*AD323</f>
        <v/>
      </c>
      <c r="AQ323" s="3">
        <f>IF(AND(G323&lt;&gt;"",'Historical Score'!$C$6&lt;&gt;""),IF(G323='Historical Score'!$C$6,1,0),0)</f>
        <v/>
      </c>
      <c r="AR323" s="3">
        <f>IF(AND(L323&lt;&gt;"",'Historical Score'!$C$5&lt;&gt;""),IF(L323='Historical Score'!$C$5,1,0),0)</f>
        <v/>
      </c>
      <c r="AS323" s="3">
        <f>IF(AND(Y323&lt;&gt;"",'Historical Score'!$C$7&lt;&gt;""),IF(Y323='Historical Score'!$C$7,1,0),0)</f>
        <v/>
      </c>
      <c r="AT323" s="3">
        <f>IF(AND(K323&lt;&gt;"",'Historical Score'!$C$8&lt;&gt;""),IF(K323='Historical Score'!$C$8,1,0),0)</f>
        <v/>
      </c>
      <c r="AU323" s="3" t="n"/>
      <c r="AV323" s="3" t="n"/>
      <c r="AW323" s="3" t="n"/>
      <c r="AX323" s="3" t="n"/>
      <c r="AY323" s="3" t="n"/>
      <c r="AZ323" s="3" t="n"/>
      <c r="BA323" s="182">
        <f>IF(AD323=1,(AR323*'Historical Score'!$K$29+1-'Historical Score'!$K$29)*(AT323*'Historical Score'!$L$29+1-'Historical Score'!$L$29)*(AS323*'Historical Score'!$M$29+1-'Historical Score'!$M$29)*(AQ323*'Historical Score'!$N$29+1-'Historical Score'!$N$29),0)</f>
        <v/>
      </c>
      <c r="BB323" s="3" t="n"/>
      <c r="BC323" s="3" t="n"/>
    </row>
    <row r="324" ht="15.75" customHeight="1" s="174">
      <c r="A324" s="3" t="inlineStr">
        <is>
          <t>5674169716</t>
        </is>
      </c>
      <c r="B324" s="3" t="inlineStr">
        <is>
          <t>VALOR TOURS LTD</t>
        </is>
      </c>
      <c r="C324" s="3" t="inlineStr">
        <is>
          <t>VALOR TOURS LTD</t>
        </is>
      </c>
      <c r="D324" s="3" t="inlineStr">
        <is>
          <t>Closed</t>
        </is>
      </c>
      <c r="E324" s="23" t="n">
        <v>45961</v>
      </c>
      <c r="F324" s="23" t="n">
        <v>46051</v>
      </c>
      <c r="G324" s="3" t="n">
        <v>2</v>
      </c>
      <c r="H324" s="3" t="inlineStr">
        <is>
          <t>4725</t>
        </is>
      </c>
      <c r="I324" s="3" t="inlineStr">
        <is>
          <t>47</t>
        </is>
      </c>
      <c r="J324" s="3" t="inlineStr">
        <is>
          <t>CA</t>
        </is>
      </c>
      <c r="K324" s="3" t="inlineStr">
        <is>
          <t>Westwood</t>
        </is>
      </c>
      <c r="L324" s="3" t="inlineStr">
        <is>
          <t>New Deal</t>
        </is>
      </c>
      <c r="M324" s="3" t="n">
        <v>1.499</v>
      </c>
      <c r="N324" s="28" t="n">
        <v>22500</v>
      </c>
      <c r="O324" s="28" t="n">
        <v>3150</v>
      </c>
      <c r="P324" s="28" t="n">
        <v>33727.5</v>
      </c>
      <c r="Q324" s="28" t="n">
        <v>33727.5</v>
      </c>
      <c r="R324" s="28" t="n">
        <v>0</v>
      </c>
      <c r="S324" s="42" t="n">
        <v>1</v>
      </c>
      <c r="T324" s="3" t="n">
        <v>2.951</v>
      </c>
      <c r="U324" s="3" t="n">
        <v>8</v>
      </c>
      <c r="V324" s="3" t="n">
        <v>48699.19</v>
      </c>
      <c r="W324" s="42" t="n">
        <v>0.1606</v>
      </c>
      <c r="X324" s="23" t="n">
        <v>42917</v>
      </c>
      <c r="Y324" s="3">
        <f>IF(I324="","No SIC",IFERROR(VLOOKUP(I324,Ref!$A$2:$B$65,2,FALSE()),"Unclassified"))</f>
        <v/>
      </c>
      <c r="Z324" s="3">
        <f>IF(T324="","",IF(T324&lt;12,"Daily","Weekly"))</f>
        <v/>
      </c>
      <c r="AA324" s="3">
        <f>IF(T324="",0,IF(T324&lt;12,T324*Controls!$B$13,T324*5))</f>
        <v/>
      </c>
      <c r="AB324" s="3">
        <f>IF(E324="",0,NETWORKDAYS(E324,Controls!$B$20,Ref!$K$2:$K$42))</f>
        <v/>
      </c>
      <c r="AC324" s="3">
        <f>IF(OR(AF324=1,AND(AA324&gt;0,AB324&gt;=Controls!$B$23*AA324)),1,0)</f>
        <v/>
      </c>
      <c r="AD324" s="3">
        <f>IF(AND(E324&lt;&gt;"",E324&gt;=Controls!$B$21,E324&lt;=Controls!$B$22),1,0)</f>
        <v/>
      </c>
      <c r="AE324" s="3">
        <f>IF(IFERROR(VLOOKUP(D324,Controls!$A$36:$E$46,2,FALSE()),"No")="Yes",1,0)</f>
        <v/>
      </c>
      <c r="AF324" s="3">
        <f>IF(IFERROR(VLOOKUP(D324,Controls!$A$36:$E$46,3,FALSE()),"No")="Yes",1,0)</f>
        <v/>
      </c>
      <c r="AG324" s="3">
        <f>IF(IFERROR(VLOOKUP(D324,Controls!$A$36:$E$46,4,FALSE()),"No")="Yes",1,0)</f>
        <v/>
      </c>
      <c r="AH324" s="3">
        <f>IF(IFERROR(VLOOKUP(D324,Controls!$A$36:$E$46,5,FALSE()),"No")="Yes",1,0)</f>
        <v/>
      </c>
      <c r="AI324" s="3">
        <f>IF(ISNUMBER(MATCH(D324,Controls!$A$36:$A$46,0)),1,0)</f>
        <v/>
      </c>
      <c r="AJ324" s="28">
        <f>Q324-N324</f>
        <v/>
      </c>
      <c r="AK324" s="3">
        <f>IF(AE324=1,MAX(0,N324-Q324),0)</f>
        <v/>
      </c>
      <c r="AL324" s="3">
        <f>IF(OR(V324="",V324=0),0,N324/V324)</f>
        <v/>
      </c>
      <c r="AM324" s="3">
        <f>IF(OR(V324="",V324=0),0,1)</f>
        <v/>
      </c>
      <c r="AN324" s="3">
        <f>IF(OR(E324="",F324=""),0,NETWORKDAYS(E324,F324,Ref!$K$2:$K$42))</f>
        <v/>
      </c>
      <c r="AO324" s="3">
        <f>IF(L324="Renewal",1,0)</f>
        <v/>
      </c>
      <c r="AP324" s="3">
        <f>AC324*AD324</f>
        <v/>
      </c>
      <c r="AQ324" s="3">
        <f>IF(AND(G324&lt;&gt;"",'Historical Score'!$C$6&lt;&gt;""),IF(G324='Historical Score'!$C$6,1,0),0)</f>
        <v/>
      </c>
      <c r="AR324" s="3">
        <f>IF(AND(L324&lt;&gt;"",'Historical Score'!$C$5&lt;&gt;""),IF(L324='Historical Score'!$C$5,1,0),0)</f>
        <v/>
      </c>
      <c r="AS324" s="3">
        <f>IF(AND(Y324&lt;&gt;"",'Historical Score'!$C$7&lt;&gt;""),IF(Y324='Historical Score'!$C$7,1,0),0)</f>
        <v/>
      </c>
      <c r="AT324" s="3">
        <f>IF(AND(K324&lt;&gt;"",'Historical Score'!$C$8&lt;&gt;""),IF(K324='Historical Score'!$C$8,1,0),0)</f>
        <v/>
      </c>
      <c r="AU324" s="3" t="n"/>
      <c r="AV324" s="3" t="n"/>
      <c r="AW324" s="3" t="n"/>
      <c r="AX324" s="3" t="n"/>
      <c r="AY324" s="3" t="n"/>
      <c r="AZ324" s="3" t="n"/>
      <c r="BA324" s="182">
        <f>IF(AD324=1,(AR324*'Historical Score'!$K$29+1-'Historical Score'!$K$29)*(AT324*'Historical Score'!$L$29+1-'Historical Score'!$L$29)*(AS324*'Historical Score'!$M$29+1-'Historical Score'!$M$29)*(AQ324*'Historical Score'!$N$29+1-'Historical Score'!$N$29),0)</f>
        <v/>
      </c>
      <c r="BB324" s="3" t="n"/>
      <c r="BC324" s="3" t="n"/>
    </row>
    <row r="325" ht="15.75" customHeight="1" s="174">
      <c r="A325" s="3" t="inlineStr">
        <is>
          <t>5674169733</t>
        </is>
      </c>
      <c r="B325" s="3" t="inlineStr">
        <is>
          <t>FEDL Monique Bakery</t>
        </is>
      </c>
      <c r="C325" s="3" t="inlineStr">
        <is>
          <t>FEDL MONIQUE BAKERIES INC</t>
        </is>
      </c>
      <c r="D325" s="3" t="inlineStr">
        <is>
          <t>Closed</t>
        </is>
      </c>
      <c r="E325" s="23" t="n">
        <v>45964</v>
      </c>
      <c r="F325" s="23" t="n">
        <v>46112</v>
      </c>
      <c r="G325" s="3" t="n">
        <v>2</v>
      </c>
      <c r="H325" s="3" t="inlineStr">
        <is>
          <t>2051</t>
        </is>
      </c>
      <c r="I325" s="3" t="inlineStr">
        <is>
          <t>20</t>
        </is>
      </c>
      <c r="J325" s="3" t="inlineStr">
        <is>
          <t>TX</t>
        </is>
      </c>
      <c r="K325" s="3" t="inlineStr">
        <is>
          <t>Fidelity Funding</t>
        </is>
      </c>
      <c r="L325" s="3" t="inlineStr">
        <is>
          <t>New Deal</t>
        </is>
      </c>
      <c r="M325" s="3" t="n">
        <v>1.39</v>
      </c>
      <c r="N325" s="28" t="n">
        <v>40000</v>
      </c>
      <c r="O325" s="28" t="n">
        <v>3600</v>
      </c>
      <c r="P325" s="28" t="n">
        <v>55600</v>
      </c>
      <c r="Q325" s="28" t="n">
        <v>55600</v>
      </c>
      <c r="R325" s="28" t="n">
        <v>-7.275957614183431e-12</v>
      </c>
      <c r="S325" s="42" t="n">
        <v>1</v>
      </c>
      <c r="T325" s="3" t="n">
        <v>28</v>
      </c>
      <c r="U325" s="3" t="n">
        <v>0</v>
      </c>
      <c r="V325" s="3" t="n">
        <v>94974</v>
      </c>
      <c r="W325" s="42" t="n">
        <v>0.08359999999999999</v>
      </c>
      <c r="X325" s="23" t="n"/>
      <c r="Y325" s="3">
        <f>IF(I325="","No SIC",IFERROR(VLOOKUP(I325,Ref!$A$2:$B$65,2,FALSE()),"Unclassified"))</f>
        <v/>
      </c>
      <c r="Z325" s="3">
        <f>IF(T325="","",IF(T325&lt;12,"Daily","Weekly"))</f>
        <v/>
      </c>
      <c r="AA325" s="3">
        <f>IF(T325="",0,IF(T325&lt;12,T325*Controls!$B$13,T325*5))</f>
        <v/>
      </c>
      <c r="AB325" s="3">
        <f>IF(E325="",0,NETWORKDAYS(E325,Controls!$B$20,Ref!$K$2:$K$42))</f>
        <v/>
      </c>
      <c r="AC325" s="3">
        <f>IF(OR(AF325=1,AND(AA325&gt;0,AB325&gt;=Controls!$B$23*AA325)),1,0)</f>
        <v/>
      </c>
      <c r="AD325" s="3">
        <f>IF(AND(E325&lt;&gt;"",E325&gt;=Controls!$B$21,E325&lt;=Controls!$B$22),1,0)</f>
        <v/>
      </c>
      <c r="AE325" s="3">
        <f>IF(IFERROR(VLOOKUP(D325,Controls!$A$36:$E$46,2,FALSE()),"No")="Yes",1,0)</f>
        <v/>
      </c>
      <c r="AF325" s="3">
        <f>IF(IFERROR(VLOOKUP(D325,Controls!$A$36:$E$46,3,FALSE()),"No")="Yes",1,0)</f>
        <v/>
      </c>
      <c r="AG325" s="3">
        <f>IF(IFERROR(VLOOKUP(D325,Controls!$A$36:$E$46,4,FALSE()),"No")="Yes",1,0)</f>
        <v/>
      </c>
      <c r="AH325" s="3">
        <f>IF(IFERROR(VLOOKUP(D325,Controls!$A$36:$E$46,5,FALSE()),"No")="Yes",1,0)</f>
        <v/>
      </c>
      <c r="AI325" s="3">
        <f>IF(ISNUMBER(MATCH(D325,Controls!$A$36:$A$46,0)),1,0)</f>
        <v/>
      </c>
      <c r="AJ325" s="28">
        <f>Q325-N325</f>
        <v/>
      </c>
      <c r="AK325" s="3">
        <f>IF(AE325=1,MAX(0,N325-Q325),0)</f>
        <v/>
      </c>
      <c r="AL325" s="3">
        <f>IF(OR(V325="",V325=0),0,N325/V325)</f>
        <v/>
      </c>
      <c r="AM325" s="3">
        <f>IF(OR(V325="",V325=0),0,1)</f>
        <v/>
      </c>
      <c r="AN325" s="3">
        <f>IF(OR(E325="",F325=""),0,NETWORKDAYS(E325,F325,Ref!$K$2:$K$42))</f>
        <v/>
      </c>
      <c r="AO325" s="3">
        <f>IF(L325="Renewal",1,0)</f>
        <v/>
      </c>
      <c r="AP325" s="3">
        <f>AC325*AD325</f>
        <v/>
      </c>
      <c r="AQ325" s="3">
        <f>IF(AND(G325&lt;&gt;"",'Historical Score'!$C$6&lt;&gt;""),IF(G325='Historical Score'!$C$6,1,0),0)</f>
        <v/>
      </c>
      <c r="AR325" s="3">
        <f>IF(AND(L325&lt;&gt;"",'Historical Score'!$C$5&lt;&gt;""),IF(L325='Historical Score'!$C$5,1,0),0)</f>
        <v/>
      </c>
      <c r="AS325" s="3">
        <f>IF(AND(Y325&lt;&gt;"",'Historical Score'!$C$7&lt;&gt;""),IF(Y325='Historical Score'!$C$7,1,0),0)</f>
        <v/>
      </c>
      <c r="AT325" s="3">
        <f>IF(AND(K325&lt;&gt;"",'Historical Score'!$C$8&lt;&gt;""),IF(K325='Historical Score'!$C$8,1,0),0)</f>
        <v/>
      </c>
      <c r="AU325" s="3" t="n"/>
      <c r="AV325" s="3" t="n"/>
      <c r="AW325" s="3" t="n"/>
      <c r="AX325" s="3" t="n"/>
      <c r="AY325" s="3" t="n"/>
      <c r="AZ325" s="3" t="n"/>
      <c r="BA325" s="182">
        <f>IF(AD325=1,(AR325*'Historical Score'!$K$29+1-'Historical Score'!$K$29)*(AT325*'Historical Score'!$L$29+1-'Historical Score'!$L$29)*(AS325*'Historical Score'!$M$29+1-'Historical Score'!$M$29)*(AQ325*'Historical Score'!$N$29+1-'Historical Score'!$N$29),0)</f>
        <v/>
      </c>
      <c r="BB325" s="3" t="n"/>
      <c r="BC325" s="3" t="n"/>
    </row>
    <row r="326" ht="15.75" customHeight="1" s="174">
      <c r="A326" s="3" t="inlineStr">
        <is>
          <t>5674169755</t>
        </is>
      </c>
      <c r="B326" s="3" t="inlineStr">
        <is>
          <t>Fadak international food market</t>
        </is>
      </c>
      <c r="C326" s="3" t="inlineStr">
        <is>
          <t>Fadak international food market</t>
        </is>
      </c>
      <c r="D326" s="3" t="inlineStr">
        <is>
          <t>Legal</t>
        </is>
      </c>
      <c r="E326" s="23" t="n">
        <v>45964</v>
      </c>
      <c r="F326" s="23" t="n">
        <v>46175</v>
      </c>
      <c r="G326" s="3" t="n">
        <v>3</v>
      </c>
      <c r="H326" s="3" t="inlineStr">
        <is>
          <t>5999</t>
        </is>
      </c>
      <c r="I326" s="3" t="inlineStr">
        <is>
          <t>59</t>
        </is>
      </c>
      <c r="J326" s="3" t="inlineStr">
        <is>
          <t>PA</t>
        </is>
      </c>
      <c r="K326" s="3" t="inlineStr">
        <is>
          <t>Blue Oak Advance</t>
        </is>
      </c>
      <c r="L326" s="3" t="inlineStr">
        <is>
          <t>New Deal</t>
        </is>
      </c>
      <c r="M326" s="3" t="n">
        <v>1.499</v>
      </c>
      <c r="N326" s="28" t="n">
        <v>15000</v>
      </c>
      <c r="O326" s="28" t="n">
        <v>2100</v>
      </c>
      <c r="P326" s="28" t="n">
        <v>22485</v>
      </c>
      <c r="Q326" s="28" t="n">
        <v>2603.23</v>
      </c>
      <c r="R326" s="28" t="n">
        <v>19881.77</v>
      </c>
      <c r="S326" s="42" t="n">
        <v>0.115776295307983</v>
      </c>
      <c r="T326" s="3" t="n">
        <v>1.967</v>
      </c>
      <c r="U326" s="3" t="n">
        <v>11</v>
      </c>
      <c r="V326" s="3" t="n">
        <v>182896.32</v>
      </c>
      <c r="W326" s="42" t="n">
        <v>0.0427</v>
      </c>
      <c r="X326" s="23" t="n">
        <v>44002</v>
      </c>
      <c r="Y326" s="3">
        <f>IF(I326="","No SIC",IFERROR(VLOOKUP(I326,Ref!$A$2:$B$65,2,FALSE()),"Unclassified"))</f>
        <v/>
      </c>
      <c r="Z326" s="3">
        <f>IF(T326="","",IF(T326&lt;12,"Daily","Weekly"))</f>
        <v/>
      </c>
      <c r="AA326" s="3">
        <f>IF(T326="",0,IF(T326&lt;12,T326*Controls!$B$13,T326*5))</f>
        <v/>
      </c>
      <c r="AB326" s="3">
        <f>IF(E326="",0,NETWORKDAYS(E326,Controls!$B$20,Ref!$K$2:$K$42))</f>
        <v/>
      </c>
      <c r="AC326" s="3">
        <f>IF(OR(AF326=1,AND(AA326&gt;0,AB326&gt;=Controls!$B$23*AA326)),1,0)</f>
        <v/>
      </c>
      <c r="AD326" s="3">
        <f>IF(AND(E326&lt;&gt;"",E326&gt;=Controls!$B$21,E326&lt;=Controls!$B$22),1,0)</f>
        <v/>
      </c>
      <c r="AE326" s="3">
        <f>IF(IFERROR(VLOOKUP(D326,Controls!$A$36:$E$46,2,FALSE()),"No")="Yes",1,0)</f>
        <v/>
      </c>
      <c r="AF326" s="3">
        <f>IF(IFERROR(VLOOKUP(D326,Controls!$A$36:$E$46,3,FALSE()),"No")="Yes",1,0)</f>
        <v/>
      </c>
      <c r="AG326" s="3">
        <f>IF(IFERROR(VLOOKUP(D326,Controls!$A$36:$E$46,4,FALSE()),"No")="Yes",1,0)</f>
        <v/>
      </c>
      <c r="AH326" s="3">
        <f>IF(IFERROR(VLOOKUP(D326,Controls!$A$36:$E$46,5,FALSE()),"No")="Yes",1,0)</f>
        <v/>
      </c>
      <c r="AI326" s="3">
        <f>IF(ISNUMBER(MATCH(D326,Controls!$A$36:$A$46,0)),1,0)</f>
        <v/>
      </c>
      <c r="AJ326" s="28">
        <f>Q326-N326</f>
        <v/>
      </c>
      <c r="AK326" s="3">
        <f>IF(AE326=1,MAX(0,N326-Q326),0)</f>
        <v/>
      </c>
      <c r="AL326" s="3">
        <f>IF(OR(V326="",V326=0),0,N326/V326)</f>
        <v/>
      </c>
      <c r="AM326" s="3">
        <f>IF(OR(V326="",V326=0),0,1)</f>
        <v/>
      </c>
      <c r="AN326" s="3">
        <f>IF(OR(E326="",F326=""),0,NETWORKDAYS(E326,F326,Ref!$K$2:$K$42))</f>
        <v/>
      </c>
      <c r="AO326" s="3">
        <f>IF(L326="Renewal",1,0)</f>
        <v/>
      </c>
      <c r="AP326" s="3">
        <f>AC326*AD326</f>
        <v/>
      </c>
      <c r="AQ326" s="3">
        <f>IF(AND(G326&lt;&gt;"",'Historical Score'!$C$6&lt;&gt;""),IF(G326='Historical Score'!$C$6,1,0),0)</f>
        <v/>
      </c>
      <c r="AR326" s="3">
        <f>IF(AND(L326&lt;&gt;"",'Historical Score'!$C$5&lt;&gt;""),IF(L326='Historical Score'!$C$5,1,0),0)</f>
        <v/>
      </c>
      <c r="AS326" s="3">
        <f>IF(AND(Y326&lt;&gt;"",'Historical Score'!$C$7&lt;&gt;""),IF(Y326='Historical Score'!$C$7,1,0),0)</f>
        <v/>
      </c>
      <c r="AT326" s="3">
        <f>IF(AND(K326&lt;&gt;"",'Historical Score'!$C$8&lt;&gt;""),IF(K326='Historical Score'!$C$8,1,0),0)</f>
        <v/>
      </c>
      <c r="AU326" s="3" t="n"/>
      <c r="AV326" s="3" t="n"/>
      <c r="AW326" s="3" t="n"/>
      <c r="AX326" s="3" t="n"/>
      <c r="AY326" s="3" t="n"/>
      <c r="AZ326" s="3" t="n"/>
      <c r="BA326" s="182">
        <f>IF(AD326=1,(AR326*'Historical Score'!$K$29+1-'Historical Score'!$K$29)*(AT326*'Historical Score'!$L$29+1-'Historical Score'!$L$29)*(AS326*'Historical Score'!$M$29+1-'Historical Score'!$M$29)*(AQ326*'Historical Score'!$N$29+1-'Historical Score'!$N$29),0)</f>
        <v/>
      </c>
      <c r="BB326" s="3" t="n"/>
      <c r="BC326" s="3" t="n"/>
    </row>
    <row r="327" ht="15.75" customHeight="1" s="174">
      <c r="A327" s="3" t="inlineStr">
        <is>
          <t>5674169769</t>
        </is>
      </c>
      <c r="B327" s="3" t="inlineStr">
        <is>
          <t>plush nails &amp; spa</t>
        </is>
      </c>
      <c r="C327" s="3" t="inlineStr">
        <is>
          <t>huyen and vu bui inc</t>
        </is>
      </c>
      <c r="D327" s="3" t="inlineStr">
        <is>
          <t>In House Collection</t>
        </is>
      </c>
      <c r="E327" s="23" t="n">
        <v>45964</v>
      </c>
      <c r="F327" s="23" t="n">
        <v>46248</v>
      </c>
      <c r="G327" s="3" t="n">
        <v>5</v>
      </c>
      <c r="H327" s="3" t="inlineStr">
        <is>
          <t>7231</t>
        </is>
      </c>
      <c r="I327" s="3" t="inlineStr">
        <is>
          <t>72</t>
        </is>
      </c>
      <c r="J327" s="3" t="inlineStr">
        <is>
          <t>OK</t>
        </is>
      </c>
      <c r="K327" s="3" t="inlineStr">
        <is>
          <t>ontime cap</t>
        </is>
      </c>
      <c r="L327" s="3" t="inlineStr">
        <is>
          <t>New Deal</t>
        </is>
      </c>
      <c r="M327" s="3" t="n">
        <v>1.499</v>
      </c>
      <c r="N327" s="28" t="n">
        <v>25000</v>
      </c>
      <c r="O327" s="28" t="n">
        <v>3500</v>
      </c>
      <c r="P327" s="28" t="n">
        <v>37475</v>
      </c>
      <c r="Q327" s="28" t="n">
        <v>35806.96</v>
      </c>
      <c r="R327" s="28" t="n">
        <v>1668.04</v>
      </c>
      <c r="S327" s="42" t="n">
        <v>0.955489259506338</v>
      </c>
      <c r="T327" s="3" t="n">
        <v>2.951</v>
      </c>
      <c r="U327" s="3" t="n">
        <v>61</v>
      </c>
      <c r="V327" s="3" t="n">
        <v>102024.64</v>
      </c>
      <c r="W327" s="42" t="n">
        <v>0.0857</v>
      </c>
      <c r="X327" s="23" t="n">
        <v>43166</v>
      </c>
      <c r="Y327" s="3">
        <f>IF(I327="","No SIC",IFERROR(VLOOKUP(I327,Ref!$A$2:$B$65,2,FALSE()),"Unclassified"))</f>
        <v/>
      </c>
      <c r="Z327" s="3">
        <f>IF(T327="","",IF(T327&lt;12,"Daily","Weekly"))</f>
        <v/>
      </c>
      <c r="AA327" s="3">
        <f>IF(T327="",0,IF(T327&lt;12,T327*Controls!$B$13,T327*5))</f>
        <v/>
      </c>
      <c r="AB327" s="3">
        <f>IF(E327="",0,NETWORKDAYS(E327,Controls!$B$20,Ref!$K$2:$K$42))</f>
        <v/>
      </c>
      <c r="AC327" s="3">
        <f>IF(OR(AF327=1,AND(AA327&gt;0,AB327&gt;=Controls!$B$23*AA327)),1,0)</f>
        <v/>
      </c>
      <c r="AD327" s="3">
        <f>IF(AND(E327&lt;&gt;"",E327&gt;=Controls!$B$21,E327&lt;=Controls!$B$22),1,0)</f>
        <v/>
      </c>
      <c r="AE327" s="3">
        <f>IF(IFERROR(VLOOKUP(D327,Controls!$A$36:$E$46,2,FALSE()),"No")="Yes",1,0)</f>
        <v/>
      </c>
      <c r="AF327" s="3">
        <f>IF(IFERROR(VLOOKUP(D327,Controls!$A$36:$E$46,3,FALSE()),"No")="Yes",1,0)</f>
        <v/>
      </c>
      <c r="AG327" s="3">
        <f>IF(IFERROR(VLOOKUP(D327,Controls!$A$36:$E$46,4,FALSE()),"No")="Yes",1,0)</f>
        <v/>
      </c>
      <c r="AH327" s="3">
        <f>IF(IFERROR(VLOOKUP(D327,Controls!$A$36:$E$46,5,FALSE()),"No")="Yes",1,0)</f>
        <v/>
      </c>
      <c r="AI327" s="3">
        <f>IF(ISNUMBER(MATCH(D327,Controls!$A$36:$A$46,0)),1,0)</f>
        <v/>
      </c>
      <c r="AJ327" s="28">
        <f>Q327-N327</f>
        <v/>
      </c>
      <c r="AK327" s="3">
        <f>IF(AE327=1,MAX(0,N327-Q327),0)</f>
        <v/>
      </c>
      <c r="AL327" s="3">
        <f>IF(OR(V327="",V327=0),0,N327/V327)</f>
        <v/>
      </c>
      <c r="AM327" s="3">
        <f>IF(OR(V327="",V327=0),0,1)</f>
        <v/>
      </c>
      <c r="AN327" s="3">
        <f>IF(OR(E327="",F327=""),0,NETWORKDAYS(E327,F327,Ref!$K$2:$K$42))</f>
        <v/>
      </c>
      <c r="AO327" s="3">
        <f>IF(L327="Renewal",1,0)</f>
        <v/>
      </c>
      <c r="AP327" s="3">
        <f>AC327*AD327</f>
        <v/>
      </c>
      <c r="AQ327" s="3">
        <f>IF(AND(G327&lt;&gt;"",'Historical Score'!$C$6&lt;&gt;""),IF(G327='Historical Score'!$C$6,1,0),0)</f>
        <v/>
      </c>
      <c r="AR327" s="3">
        <f>IF(AND(L327&lt;&gt;"",'Historical Score'!$C$5&lt;&gt;""),IF(L327='Historical Score'!$C$5,1,0),0)</f>
        <v/>
      </c>
      <c r="AS327" s="3">
        <f>IF(AND(Y327&lt;&gt;"",'Historical Score'!$C$7&lt;&gt;""),IF(Y327='Historical Score'!$C$7,1,0),0)</f>
        <v/>
      </c>
      <c r="AT327" s="3">
        <f>IF(AND(K327&lt;&gt;"",'Historical Score'!$C$8&lt;&gt;""),IF(K327='Historical Score'!$C$8,1,0),0)</f>
        <v/>
      </c>
      <c r="AU327" s="3" t="n"/>
      <c r="AV327" s="3" t="n"/>
      <c r="AW327" s="3" t="n"/>
      <c r="AX327" s="3" t="n"/>
      <c r="AY327" s="3" t="n"/>
      <c r="AZ327" s="3" t="n"/>
      <c r="BA327" s="182">
        <f>IF(AD327=1,(AR327*'Historical Score'!$K$29+1-'Historical Score'!$K$29)*(AT327*'Historical Score'!$L$29+1-'Historical Score'!$L$29)*(AS327*'Historical Score'!$M$29+1-'Historical Score'!$M$29)*(AQ327*'Historical Score'!$N$29+1-'Historical Score'!$N$29),0)</f>
        <v/>
      </c>
      <c r="BB327" s="3" t="n"/>
      <c r="BC327" s="3" t="n"/>
    </row>
    <row r="328" ht="15.75" customHeight="1" s="174">
      <c r="A328" s="3" t="inlineStr">
        <is>
          <t>5674169782</t>
        </is>
      </c>
      <c r="B328" s="3" t="inlineStr">
        <is>
          <t>Gamboa Fence Corp</t>
        </is>
      </c>
      <c r="C328" s="3" t="inlineStr">
        <is>
          <t>Gamboa Fence Corp</t>
        </is>
      </c>
      <c r="D328" s="3" t="inlineStr">
        <is>
          <t>Legal</t>
        </is>
      </c>
      <c r="E328" s="23" t="n">
        <v>45964</v>
      </c>
      <c r="F328" s="23" t="n">
        <v>45967</v>
      </c>
      <c r="G328" s="3" t="n">
        <v>3</v>
      </c>
      <c r="H328" s="3" t="inlineStr">
        <is>
          <t>1521</t>
        </is>
      </c>
      <c r="I328" s="3" t="inlineStr">
        <is>
          <t>15</t>
        </is>
      </c>
      <c r="J328" s="3" t="inlineStr">
        <is>
          <t>FL</t>
        </is>
      </c>
      <c r="K328" s="3" t="inlineStr">
        <is>
          <t>United Secured Capital 8</t>
        </is>
      </c>
      <c r="L328" s="3" t="inlineStr">
        <is>
          <t>New Deal</t>
        </is>
      </c>
      <c r="M328" s="3" t="n">
        <v>1.499</v>
      </c>
      <c r="N328" s="28" t="n">
        <v>7000</v>
      </c>
      <c r="O328" s="28" t="n">
        <v>0</v>
      </c>
      <c r="P328" s="28" t="n">
        <v>10493</v>
      </c>
      <c r="Q328" s="28" t="n">
        <v>0</v>
      </c>
      <c r="R328" s="28" t="n">
        <v>10493</v>
      </c>
      <c r="S328" s="42" t="n">
        <v>0</v>
      </c>
      <c r="T328" s="3" t="n">
        <v>2.787</v>
      </c>
      <c r="U328" s="3" t="n">
        <v>3</v>
      </c>
      <c r="V328" s="3" t="n">
        <v>34054.45</v>
      </c>
      <c r="W328" s="42" t="n">
        <v>0.0756</v>
      </c>
      <c r="X328" s="23" t="n">
        <v>42917</v>
      </c>
      <c r="Y328" s="3">
        <f>IF(I328="","No SIC",IFERROR(VLOOKUP(I328,Ref!$A$2:$B$65,2,FALSE()),"Unclassified"))</f>
        <v/>
      </c>
      <c r="Z328" s="3">
        <f>IF(T328="","",IF(T328&lt;12,"Daily","Weekly"))</f>
        <v/>
      </c>
      <c r="AA328" s="3">
        <f>IF(T328="",0,IF(T328&lt;12,T328*Controls!$B$13,T328*5))</f>
        <v/>
      </c>
      <c r="AB328" s="3">
        <f>IF(E328="",0,NETWORKDAYS(E328,Controls!$B$20,Ref!$K$2:$K$42))</f>
        <v/>
      </c>
      <c r="AC328" s="3">
        <f>IF(OR(AF328=1,AND(AA328&gt;0,AB328&gt;=Controls!$B$23*AA328)),1,0)</f>
        <v/>
      </c>
      <c r="AD328" s="3">
        <f>IF(AND(E328&lt;&gt;"",E328&gt;=Controls!$B$21,E328&lt;=Controls!$B$22),1,0)</f>
        <v/>
      </c>
      <c r="AE328" s="3">
        <f>IF(IFERROR(VLOOKUP(D328,Controls!$A$36:$E$46,2,FALSE()),"No")="Yes",1,0)</f>
        <v/>
      </c>
      <c r="AF328" s="3">
        <f>IF(IFERROR(VLOOKUP(D328,Controls!$A$36:$E$46,3,FALSE()),"No")="Yes",1,0)</f>
        <v/>
      </c>
      <c r="AG328" s="3">
        <f>IF(IFERROR(VLOOKUP(D328,Controls!$A$36:$E$46,4,FALSE()),"No")="Yes",1,0)</f>
        <v/>
      </c>
      <c r="AH328" s="3">
        <f>IF(IFERROR(VLOOKUP(D328,Controls!$A$36:$E$46,5,FALSE()),"No")="Yes",1,0)</f>
        <v/>
      </c>
      <c r="AI328" s="3">
        <f>IF(ISNUMBER(MATCH(D328,Controls!$A$36:$A$46,0)),1,0)</f>
        <v/>
      </c>
      <c r="AJ328" s="28">
        <f>Q328-N328</f>
        <v/>
      </c>
      <c r="AK328" s="3">
        <f>IF(AE328=1,MAX(0,N328-Q328),0)</f>
        <v/>
      </c>
      <c r="AL328" s="3">
        <f>IF(OR(V328="",V328=0),0,N328/V328)</f>
        <v/>
      </c>
      <c r="AM328" s="3">
        <f>IF(OR(V328="",V328=0),0,1)</f>
        <v/>
      </c>
      <c r="AN328" s="3">
        <f>IF(OR(E328="",F328=""),0,NETWORKDAYS(E328,F328,Ref!$K$2:$K$42))</f>
        <v/>
      </c>
      <c r="AO328" s="3">
        <f>IF(L328="Renewal",1,0)</f>
        <v/>
      </c>
      <c r="AP328" s="3">
        <f>AC328*AD328</f>
        <v/>
      </c>
      <c r="AQ328" s="3">
        <f>IF(AND(G328&lt;&gt;"",'Historical Score'!$C$6&lt;&gt;""),IF(G328='Historical Score'!$C$6,1,0),0)</f>
        <v/>
      </c>
      <c r="AR328" s="3">
        <f>IF(AND(L328&lt;&gt;"",'Historical Score'!$C$5&lt;&gt;""),IF(L328='Historical Score'!$C$5,1,0),0)</f>
        <v/>
      </c>
      <c r="AS328" s="3">
        <f>IF(AND(Y328&lt;&gt;"",'Historical Score'!$C$7&lt;&gt;""),IF(Y328='Historical Score'!$C$7,1,0),0)</f>
        <v/>
      </c>
      <c r="AT328" s="3">
        <f>IF(AND(K328&lt;&gt;"",'Historical Score'!$C$8&lt;&gt;""),IF(K328='Historical Score'!$C$8,1,0),0)</f>
        <v/>
      </c>
      <c r="AU328" s="3" t="n"/>
      <c r="AV328" s="3" t="n"/>
      <c r="AW328" s="3" t="n"/>
      <c r="AX328" s="3" t="n"/>
      <c r="AY328" s="3" t="n"/>
      <c r="AZ328" s="3" t="n"/>
      <c r="BA328" s="182">
        <f>IF(AD328=1,(AR328*'Historical Score'!$K$29+1-'Historical Score'!$K$29)*(AT328*'Historical Score'!$L$29+1-'Historical Score'!$L$29)*(AS328*'Historical Score'!$M$29+1-'Historical Score'!$M$29)*(AQ328*'Historical Score'!$N$29+1-'Historical Score'!$N$29),0)</f>
        <v/>
      </c>
      <c r="BB328" s="3" t="n"/>
      <c r="BC328" s="3" t="n"/>
    </row>
    <row r="329" ht="15.75" customHeight="1" s="174">
      <c r="A329" s="3" t="inlineStr">
        <is>
          <t>5674169783</t>
        </is>
      </c>
      <c r="B329" s="3" t="inlineStr">
        <is>
          <t>JUST YOU AN EXCL STYLING N COLOR SALON</t>
        </is>
      </c>
      <c r="C329" s="3" t="inlineStr">
        <is>
          <t>JUST YOU AN EXCL STYLING N COLOR SALON</t>
        </is>
      </c>
      <c r="D329" s="3" t="inlineStr">
        <is>
          <t>In House Collection</t>
        </is>
      </c>
      <c r="E329" s="23" t="n">
        <v>45964</v>
      </c>
      <c r="F329" s="23" t="n">
        <v>46247</v>
      </c>
      <c r="G329" s="3" t="n">
        <v>2</v>
      </c>
      <c r="H329" s="3" t="inlineStr">
        <is>
          <t>7231</t>
        </is>
      </c>
      <c r="I329" s="3" t="inlineStr">
        <is>
          <t>72</t>
        </is>
      </c>
      <c r="J329" s="3" t="inlineStr">
        <is>
          <t>PA</t>
        </is>
      </c>
      <c r="K329" s="3" t="inlineStr">
        <is>
          <t>United Secured Capital 8</t>
        </is>
      </c>
      <c r="L329" s="3" t="inlineStr">
        <is>
          <t>New Deal</t>
        </is>
      </c>
      <c r="M329" s="3" t="n">
        <v>1.49</v>
      </c>
      <c r="N329" s="28" t="n">
        <v>15000</v>
      </c>
      <c r="O329" s="28" t="n">
        <v>2100</v>
      </c>
      <c r="P329" s="28" t="n">
        <v>22350</v>
      </c>
      <c r="Q329" s="28" t="n">
        <v>7011.92</v>
      </c>
      <c r="R329" s="28" t="n">
        <v>15338.08</v>
      </c>
      <c r="S329" s="42" t="n">
        <v>0.313732438478747</v>
      </c>
      <c r="T329" s="3" t="n">
        <v>3.934</v>
      </c>
      <c r="U329" s="3" t="n">
        <v>2</v>
      </c>
      <c r="V329" s="3" t="n">
        <v>29212.74</v>
      </c>
      <c r="W329" s="42" t="n">
        <v>0.1303</v>
      </c>
      <c r="X329" s="23" t="n">
        <v>45220</v>
      </c>
      <c r="Y329" s="3">
        <f>IF(I329="","No SIC",IFERROR(VLOOKUP(I329,Ref!$A$2:$B$65,2,FALSE()),"Unclassified"))</f>
        <v/>
      </c>
      <c r="Z329" s="3">
        <f>IF(T329="","",IF(T329&lt;12,"Daily","Weekly"))</f>
        <v/>
      </c>
      <c r="AA329" s="3">
        <f>IF(T329="",0,IF(T329&lt;12,T329*Controls!$B$13,T329*5))</f>
        <v/>
      </c>
      <c r="AB329" s="3">
        <f>IF(E329="",0,NETWORKDAYS(E329,Controls!$B$20,Ref!$K$2:$K$42))</f>
        <v/>
      </c>
      <c r="AC329" s="3">
        <f>IF(OR(AF329=1,AND(AA329&gt;0,AB329&gt;=Controls!$B$23*AA329)),1,0)</f>
        <v/>
      </c>
      <c r="AD329" s="3">
        <f>IF(AND(E329&lt;&gt;"",E329&gt;=Controls!$B$21,E329&lt;=Controls!$B$22),1,0)</f>
        <v/>
      </c>
      <c r="AE329" s="3">
        <f>IF(IFERROR(VLOOKUP(D329,Controls!$A$36:$E$46,2,FALSE()),"No")="Yes",1,0)</f>
        <v/>
      </c>
      <c r="AF329" s="3">
        <f>IF(IFERROR(VLOOKUP(D329,Controls!$A$36:$E$46,3,FALSE()),"No")="Yes",1,0)</f>
        <v/>
      </c>
      <c r="AG329" s="3">
        <f>IF(IFERROR(VLOOKUP(D329,Controls!$A$36:$E$46,4,FALSE()),"No")="Yes",1,0)</f>
        <v/>
      </c>
      <c r="AH329" s="3">
        <f>IF(IFERROR(VLOOKUP(D329,Controls!$A$36:$E$46,5,FALSE()),"No")="Yes",1,0)</f>
        <v/>
      </c>
      <c r="AI329" s="3">
        <f>IF(ISNUMBER(MATCH(D329,Controls!$A$36:$A$46,0)),1,0)</f>
        <v/>
      </c>
      <c r="AJ329" s="28">
        <f>Q329-N329</f>
        <v/>
      </c>
      <c r="AK329" s="3">
        <f>IF(AE329=1,MAX(0,N329-Q329),0)</f>
        <v/>
      </c>
      <c r="AL329" s="3">
        <f>IF(OR(V329="",V329=0),0,N329/V329)</f>
        <v/>
      </c>
      <c r="AM329" s="3">
        <f>IF(OR(V329="",V329=0),0,1)</f>
        <v/>
      </c>
      <c r="AN329" s="3">
        <f>IF(OR(E329="",F329=""),0,NETWORKDAYS(E329,F329,Ref!$K$2:$K$42))</f>
        <v/>
      </c>
      <c r="AO329" s="3">
        <f>IF(L329="Renewal",1,0)</f>
        <v/>
      </c>
      <c r="AP329" s="3">
        <f>AC329*AD329</f>
        <v/>
      </c>
      <c r="AQ329" s="3">
        <f>IF(AND(G329&lt;&gt;"",'Historical Score'!$C$6&lt;&gt;""),IF(G329='Historical Score'!$C$6,1,0),0)</f>
        <v/>
      </c>
      <c r="AR329" s="3">
        <f>IF(AND(L329&lt;&gt;"",'Historical Score'!$C$5&lt;&gt;""),IF(L329='Historical Score'!$C$5,1,0),0)</f>
        <v/>
      </c>
      <c r="AS329" s="3">
        <f>IF(AND(Y329&lt;&gt;"",'Historical Score'!$C$7&lt;&gt;""),IF(Y329='Historical Score'!$C$7,1,0),0)</f>
        <v/>
      </c>
      <c r="AT329" s="3">
        <f>IF(AND(K329&lt;&gt;"",'Historical Score'!$C$8&lt;&gt;""),IF(K329='Historical Score'!$C$8,1,0),0)</f>
        <v/>
      </c>
      <c r="AU329" s="3" t="n"/>
      <c r="AV329" s="3" t="n"/>
      <c r="AW329" s="3" t="n"/>
      <c r="AX329" s="3" t="n"/>
      <c r="AY329" s="3" t="n"/>
      <c r="AZ329" s="3" t="n"/>
      <c r="BA329" s="182">
        <f>IF(AD329=1,(AR329*'Historical Score'!$K$29+1-'Historical Score'!$K$29)*(AT329*'Historical Score'!$L$29+1-'Historical Score'!$L$29)*(AS329*'Historical Score'!$M$29+1-'Historical Score'!$M$29)*(AQ329*'Historical Score'!$N$29+1-'Historical Score'!$N$29),0)</f>
        <v/>
      </c>
      <c r="BB329" s="3" t="n"/>
      <c r="BC329" s="3" t="n"/>
    </row>
    <row r="330" ht="15.75" customHeight="1" s="174">
      <c r="A330" s="3" t="inlineStr">
        <is>
          <t>5674170631</t>
        </is>
      </c>
      <c r="B330" s="3" t="inlineStr">
        <is>
          <t>DISMAR LOGISTICS GROUP</t>
        </is>
      </c>
      <c r="C330" s="3" t="inlineStr">
        <is>
          <t>DISMAR LOGISTICS GROUP</t>
        </is>
      </c>
      <c r="D330" s="3" t="inlineStr">
        <is>
          <t>Legal</t>
        </is>
      </c>
      <c r="E330" s="23" t="n">
        <v>45965</v>
      </c>
      <c r="F330" s="23" t="n">
        <v>46031</v>
      </c>
      <c r="G330" s="3" t="n">
        <v>3</v>
      </c>
      <c r="H330" s="3" t="inlineStr">
        <is>
          <t>4212</t>
        </is>
      </c>
      <c r="I330" s="3" t="inlineStr">
        <is>
          <t>42</t>
        </is>
      </c>
      <c r="J330" s="3" t="inlineStr">
        <is>
          <t>No state</t>
        </is>
      </c>
      <c r="K330" s="3" t="inlineStr">
        <is>
          <t>FundFlex</t>
        </is>
      </c>
      <c r="L330" s="3" t="inlineStr">
        <is>
          <t>New Deal</t>
        </is>
      </c>
      <c r="M330" s="3" t="n">
        <v>1.499</v>
      </c>
      <c r="N330" s="28" t="n">
        <v>5000</v>
      </c>
      <c r="O330" s="28" t="n">
        <v>700</v>
      </c>
      <c r="P330" s="28" t="n">
        <v>7495</v>
      </c>
      <c r="Q330" s="28" t="n">
        <v>319.17</v>
      </c>
      <c r="R330" s="28" t="n">
        <v>7175.83</v>
      </c>
      <c r="S330" s="42" t="n">
        <v>0.042584389593062</v>
      </c>
      <c r="T330" s="3" t="n">
        <v>2.295</v>
      </c>
      <c r="U330" s="3" t="n">
        <v>15</v>
      </c>
      <c r="V330" s="3" t="n">
        <v>110057.44</v>
      </c>
      <c r="W330" s="42" t="n">
        <v>0.0203</v>
      </c>
      <c r="X330" s="23" t="n">
        <v>45323</v>
      </c>
      <c r="Y330" s="3">
        <f>IF(I330="","No SIC",IFERROR(VLOOKUP(I330,Ref!$A$2:$B$65,2,FALSE()),"Unclassified"))</f>
        <v/>
      </c>
      <c r="Z330" s="3">
        <f>IF(T330="","",IF(T330&lt;12,"Daily","Weekly"))</f>
        <v/>
      </c>
      <c r="AA330" s="3">
        <f>IF(T330="",0,IF(T330&lt;12,T330*Controls!$B$13,T330*5))</f>
        <v/>
      </c>
      <c r="AB330" s="3">
        <f>IF(E330="",0,NETWORKDAYS(E330,Controls!$B$20,Ref!$K$2:$K$42))</f>
        <v/>
      </c>
      <c r="AC330" s="3">
        <f>IF(OR(AF330=1,AND(AA330&gt;0,AB330&gt;=Controls!$B$23*AA330)),1,0)</f>
        <v/>
      </c>
      <c r="AD330" s="3">
        <f>IF(AND(E330&lt;&gt;"",E330&gt;=Controls!$B$21,E330&lt;=Controls!$B$22),1,0)</f>
        <v/>
      </c>
      <c r="AE330" s="3">
        <f>IF(IFERROR(VLOOKUP(D330,Controls!$A$36:$E$46,2,FALSE()),"No")="Yes",1,0)</f>
        <v/>
      </c>
      <c r="AF330" s="3">
        <f>IF(IFERROR(VLOOKUP(D330,Controls!$A$36:$E$46,3,FALSE()),"No")="Yes",1,0)</f>
        <v/>
      </c>
      <c r="AG330" s="3">
        <f>IF(IFERROR(VLOOKUP(D330,Controls!$A$36:$E$46,4,FALSE()),"No")="Yes",1,0)</f>
        <v/>
      </c>
      <c r="AH330" s="3">
        <f>IF(IFERROR(VLOOKUP(D330,Controls!$A$36:$E$46,5,FALSE()),"No")="Yes",1,0)</f>
        <v/>
      </c>
      <c r="AI330" s="3">
        <f>IF(ISNUMBER(MATCH(D330,Controls!$A$36:$A$46,0)),1,0)</f>
        <v/>
      </c>
      <c r="AJ330" s="28">
        <f>Q330-N330</f>
        <v/>
      </c>
      <c r="AK330" s="3">
        <f>IF(AE330=1,MAX(0,N330-Q330),0)</f>
        <v/>
      </c>
      <c r="AL330" s="3">
        <f>IF(OR(V330="",V330=0),0,N330/V330)</f>
        <v/>
      </c>
      <c r="AM330" s="3">
        <f>IF(OR(V330="",V330=0),0,1)</f>
        <v/>
      </c>
      <c r="AN330" s="3">
        <f>IF(OR(E330="",F330=""),0,NETWORKDAYS(E330,F330,Ref!$K$2:$K$42))</f>
        <v/>
      </c>
      <c r="AO330" s="3">
        <f>IF(L330="Renewal",1,0)</f>
        <v/>
      </c>
      <c r="AP330" s="3">
        <f>AC330*AD330</f>
        <v/>
      </c>
      <c r="AQ330" s="3">
        <f>IF(AND(G330&lt;&gt;"",'Historical Score'!$C$6&lt;&gt;""),IF(G330='Historical Score'!$C$6,1,0),0)</f>
        <v/>
      </c>
      <c r="AR330" s="3">
        <f>IF(AND(L330&lt;&gt;"",'Historical Score'!$C$5&lt;&gt;""),IF(L330='Historical Score'!$C$5,1,0),0)</f>
        <v/>
      </c>
      <c r="AS330" s="3">
        <f>IF(AND(Y330&lt;&gt;"",'Historical Score'!$C$7&lt;&gt;""),IF(Y330='Historical Score'!$C$7,1,0),0)</f>
        <v/>
      </c>
      <c r="AT330" s="3">
        <f>IF(AND(K330&lt;&gt;"",'Historical Score'!$C$8&lt;&gt;""),IF(K330='Historical Score'!$C$8,1,0),0)</f>
        <v/>
      </c>
      <c r="AU330" s="3" t="n"/>
      <c r="AV330" s="3" t="n"/>
      <c r="AW330" s="3" t="n"/>
      <c r="AX330" s="3" t="n"/>
      <c r="AY330" s="3" t="n"/>
      <c r="AZ330" s="3" t="n"/>
      <c r="BA330" s="182">
        <f>IF(AD330=1,(AR330*'Historical Score'!$K$29+1-'Historical Score'!$K$29)*(AT330*'Historical Score'!$L$29+1-'Historical Score'!$L$29)*(AS330*'Historical Score'!$M$29+1-'Historical Score'!$M$29)*(AQ330*'Historical Score'!$N$29+1-'Historical Score'!$N$29),0)</f>
        <v/>
      </c>
      <c r="BB330" s="3" t="n"/>
      <c r="BC330" s="3" t="n"/>
    </row>
    <row r="331" ht="15.75" customHeight="1" s="174">
      <c r="A331" s="3" t="inlineStr">
        <is>
          <t>5674170648</t>
        </is>
      </c>
      <c r="B331" s="3" t="inlineStr">
        <is>
          <t>MICHELLE BABIN TRANCHINA DBA ST. MICHELLE DAY SPA</t>
        </is>
      </c>
      <c r="C331" s="3" t="inlineStr">
        <is>
          <t>St. Michel Day Spa</t>
        </is>
      </c>
      <c r="D331" s="3" t="inlineStr">
        <is>
          <t>Closed</t>
        </is>
      </c>
      <c r="E331" s="23" t="n">
        <v>45965</v>
      </c>
      <c r="F331" s="23" t="n">
        <v>46051</v>
      </c>
      <c r="G331" s="3" t="n">
        <v>4</v>
      </c>
      <c r="H331" s="3" t="inlineStr">
        <is>
          <t>7231</t>
        </is>
      </c>
      <c r="I331" s="3" t="inlineStr">
        <is>
          <t>72</t>
        </is>
      </c>
      <c r="J331" s="3" t="inlineStr">
        <is>
          <t>No state</t>
        </is>
      </c>
      <c r="K331" s="3" t="inlineStr">
        <is>
          <t>Streamline Funding LLC</t>
        </is>
      </c>
      <c r="L331" s="3" t="inlineStr">
        <is>
          <t>New Deal</t>
        </is>
      </c>
      <c r="M331" s="3" t="n">
        <v>1.499</v>
      </c>
      <c r="N331" s="28" t="n">
        <v>5000</v>
      </c>
      <c r="O331" s="28" t="n">
        <v>700</v>
      </c>
      <c r="P331" s="28" t="n">
        <v>7495</v>
      </c>
      <c r="Q331" s="28" t="n">
        <v>7495</v>
      </c>
      <c r="R331" s="28" t="n">
        <v>9.09494701772928e-13</v>
      </c>
      <c r="S331" s="42" t="n">
        <v>1</v>
      </c>
      <c r="T331" s="3" t="n">
        <v>1.639</v>
      </c>
      <c r="U331" s="3" t="n">
        <v>7</v>
      </c>
      <c r="V331" s="3" t="n"/>
      <c r="W331" s="42" t="n">
        <v>0.065</v>
      </c>
      <c r="X331" s="23" t="n">
        <v>36557</v>
      </c>
      <c r="Y331" s="3">
        <f>IF(I331="","No SIC",IFERROR(VLOOKUP(I331,Ref!$A$2:$B$65,2,FALSE()),"Unclassified"))</f>
        <v/>
      </c>
      <c r="Z331" s="3">
        <f>IF(T331="","",IF(T331&lt;12,"Daily","Weekly"))</f>
        <v/>
      </c>
      <c r="AA331" s="3">
        <f>IF(T331="",0,IF(T331&lt;12,T331*Controls!$B$13,T331*5))</f>
        <v/>
      </c>
      <c r="AB331" s="3">
        <f>IF(E331="",0,NETWORKDAYS(E331,Controls!$B$20,Ref!$K$2:$K$42))</f>
        <v/>
      </c>
      <c r="AC331" s="3">
        <f>IF(OR(AF331=1,AND(AA331&gt;0,AB331&gt;=Controls!$B$23*AA331)),1,0)</f>
        <v/>
      </c>
      <c r="AD331" s="3">
        <f>IF(AND(E331&lt;&gt;"",E331&gt;=Controls!$B$21,E331&lt;=Controls!$B$22),1,0)</f>
        <v/>
      </c>
      <c r="AE331" s="3">
        <f>IF(IFERROR(VLOOKUP(D331,Controls!$A$36:$E$46,2,FALSE()),"No")="Yes",1,0)</f>
        <v/>
      </c>
      <c r="AF331" s="3">
        <f>IF(IFERROR(VLOOKUP(D331,Controls!$A$36:$E$46,3,FALSE()),"No")="Yes",1,0)</f>
        <v/>
      </c>
      <c r="AG331" s="3">
        <f>IF(IFERROR(VLOOKUP(D331,Controls!$A$36:$E$46,4,FALSE()),"No")="Yes",1,0)</f>
        <v/>
      </c>
      <c r="AH331" s="3">
        <f>IF(IFERROR(VLOOKUP(D331,Controls!$A$36:$E$46,5,FALSE()),"No")="Yes",1,0)</f>
        <v/>
      </c>
      <c r="AI331" s="3">
        <f>IF(ISNUMBER(MATCH(D331,Controls!$A$36:$A$46,0)),1,0)</f>
        <v/>
      </c>
      <c r="AJ331" s="28">
        <f>Q331-N331</f>
        <v/>
      </c>
      <c r="AK331" s="3">
        <f>IF(AE331=1,MAX(0,N331-Q331),0)</f>
        <v/>
      </c>
      <c r="AL331" s="3">
        <f>IF(OR(V331="",V331=0),0,N331/V331)</f>
        <v/>
      </c>
      <c r="AM331" s="3">
        <f>IF(OR(V331="",V331=0),0,1)</f>
        <v/>
      </c>
      <c r="AN331" s="3">
        <f>IF(OR(E331="",F331=""),0,NETWORKDAYS(E331,F331,Ref!$K$2:$K$42))</f>
        <v/>
      </c>
      <c r="AO331" s="3">
        <f>IF(L331="Renewal",1,0)</f>
        <v/>
      </c>
      <c r="AP331" s="3">
        <f>AC331*AD331</f>
        <v/>
      </c>
      <c r="AQ331" s="3">
        <f>IF(AND(G331&lt;&gt;"",'Historical Score'!$C$6&lt;&gt;""),IF(G331='Historical Score'!$C$6,1,0),0)</f>
        <v/>
      </c>
      <c r="AR331" s="3">
        <f>IF(AND(L331&lt;&gt;"",'Historical Score'!$C$5&lt;&gt;""),IF(L331='Historical Score'!$C$5,1,0),0)</f>
        <v/>
      </c>
      <c r="AS331" s="3">
        <f>IF(AND(Y331&lt;&gt;"",'Historical Score'!$C$7&lt;&gt;""),IF(Y331='Historical Score'!$C$7,1,0),0)</f>
        <v/>
      </c>
      <c r="AT331" s="3">
        <f>IF(AND(K331&lt;&gt;"",'Historical Score'!$C$8&lt;&gt;""),IF(K331='Historical Score'!$C$8,1,0),0)</f>
        <v/>
      </c>
      <c r="AU331" s="3" t="n"/>
      <c r="AV331" s="3" t="n"/>
      <c r="AW331" s="3" t="n"/>
      <c r="AX331" s="3" t="n"/>
      <c r="AY331" s="3" t="n"/>
      <c r="AZ331" s="3" t="n"/>
      <c r="BA331" s="182">
        <f>IF(AD331=1,(AR331*'Historical Score'!$K$29+1-'Historical Score'!$K$29)*(AT331*'Historical Score'!$L$29+1-'Historical Score'!$L$29)*(AS331*'Historical Score'!$M$29+1-'Historical Score'!$M$29)*(AQ331*'Historical Score'!$N$29+1-'Historical Score'!$N$29),0)</f>
        <v/>
      </c>
      <c r="BB331" s="3" t="n"/>
      <c r="BC331" s="3" t="n"/>
    </row>
    <row r="332" ht="15.75" customHeight="1" s="174">
      <c r="A332" s="3" t="inlineStr">
        <is>
          <t>5674170697</t>
        </is>
      </c>
      <c r="B332" s="3" t="inlineStr">
        <is>
          <t>The Blueprint</t>
        </is>
      </c>
      <c r="C332" s="3" t="inlineStr">
        <is>
          <t>ARCS Enterprises LLC</t>
        </is>
      </c>
      <c r="D332" s="3" t="inlineStr">
        <is>
          <t>Written-Off</t>
        </is>
      </c>
      <c r="E332" s="23" t="n">
        <v>45966</v>
      </c>
      <c r="F332" s="23" t="n">
        <v>46071</v>
      </c>
      <c r="G332" s="3" t="n">
        <v>1</v>
      </c>
      <c r="H332" s="3" t="inlineStr">
        <is>
          <t>5961</t>
        </is>
      </c>
      <c r="I332" s="3" t="inlineStr">
        <is>
          <t>59</t>
        </is>
      </c>
      <c r="J332" s="3" t="inlineStr">
        <is>
          <t>CA</t>
        </is>
      </c>
      <c r="K332" s="3" t="inlineStr">
        <is>
          <t>Fundwell</t>
        </is>
      </c>
      <c r="L332" s="3" t="inlineStr">
        <is>
          <t>New Deal</t>
        </is>
      </c>
      <c r="M332" s="3" t="n">
        <v>1.38</v>
      </c>
      <c r="N332" s="28" t="n">
        <v>5000</v>
      </c>
      <c r="O332" s="28" t="n">
        <v>600</v>
      </c>
      <c r="P332" s="28" t="n">
        <v>6900</v>
      </c>
      <c r="Q332" s="28" t="n">
        <v>6585.61</v>
      </c>
      <c r="R332" s="28" t="n">
        <v>314.389999999999</v>
      </c>
      <c r="S332" s="42" t="n">
        <v>0.954436231884058</v>
      </c>
      <c r="T332" s="3" t="n">
        <v>24</v>
      </c>
      <c r="U332" s="3" t="n">
        <v>1</v>
      </c>
      <c r="V332" s="3" t="n">
        <v>17464.36</v>
      </c>
      <c r="W332" s="42" t="n">
        <v>0.0658</v>
      </c>
      <c r="X332" s="23" t="n">
        <v>44777</v>
      </c>
      <c r="Y332" s="3">
        <f>IF(I332="","No SIC",IFERROR(VLOOKUP(I332,Ref!$A$2:$B$65,2,FALSE()),"Unclassified"))</f>
        <v/>
      </c>
      <c r="Z332" s="3">
        <f>IF(T332="","",IF(T332&lt;12,"Daily","Weekly"))</f>
        <v/>
      </c>
      <c r="AA332" s="3">
        <f>IF(T332="",0,IF(T332&lt;12,T332*Controls!$B$13,T332*5))</f>
        <v/>
      </c>
      <c r="AB332" s="3">
        <f>IF(E332="",0,NETWORKDAYS(E332,Controls!$B$20,Ref!$K$2:$K$42))</f>
        <v/>
      </c>
      <c r="AC332" s="3">
        <f>IF(OR(AF332=1,AND(AA332&gt;0,AB332&gt;=Controls!$B$23*AA332)),1,0)</f>
        <v/>
      </c>
      <c r="AD332" s="3">
        <f>IF(AND(E332&lt;&gt;"",E332&gt;=Controls!$B$21,E332&lt;=Controls!$B$22),1,0)</f>
        <v/>
      </c>
      <c r="AE332" s="3">
        <f>IF(IFERROR(VLOOKUP(D332,Controls!$A$36:$E$46,2,FALSE()),"No")="Yes",1,0)</f>
        <v/>
      </c>
      <c r="AF332" s="3">
        <f>IF(IFERROR(VLOOKUP(D332,Controls!$A$36:$E$46,3,FALSE()),"No")="Yes",1,0)</f>
        <v/>
      </c>
      <c r="AG332" s="3">
        <f>IF(IFERROR(VLOOKUP(D332,Controls!$A$36:$E$46,4,FALSE()),"No")="Yes",1,0)</f>
        <v/>
      </c>
      <c r="AH332" s="3">
        <f>IF(IFERROR(VLOOKUP(D332,Controls!$A$36:$E$46,5,FALSE()),"No")="Yes",1,0)</f>
        <v/>
      </c>
      <c r="AI332" s="3">
        <f>IF(ISNUMBER(MATCH(D332,Controls!$A$36:$A$46,0)),1,0)</f>
        <v/>
      </c>
      <c r="AJ332" s="28">
        <f>Q332-N332</f>
        <v/>
      </c>
      <c r="AK332" s="3">
        <f>IF(AE332=1,MAX(0,N332-Q332),0)</f>
        <v/>
      </c>
      <c r="AL332" s="3">
        <f>IF(OR(V332="",V332=0),0,N332/V332)</f>
        <v/>
      </c>
      <c r="AM332" s="3">
        <f>IF(OR(V332="",V332=0),0,1)</f>
        <v/>
      </c>
      <c r="AN332" s="3">
        <f>IF(OR(E332="",F332=""),0,NETWORKDAYS(E332,F332,Ref!$K$2:$K$42))</f>
        <v/>
      </c>
      <c r="AO332" s="3">
        <f>IF(L332="Renewal",1,0)</f>
        <v/>
      </c>
      <c r="AP332" s="3">
        <f>AC332*AD332</f>
        <v/>
      </c>
      <c r="AQ332" s="3">
        <f>IF(AND(G332&lt;&gt;"",'Historical Score'!$C$6&lt;&gt;""),IF(G332='Historical Score'!$C$6,1,0),0)</f>
        <v/>
      </c>
      <c r="AR332" s="3">
        <f>IF(AND(L332&lt;&gt;"",'Historical Score'!$C$5&lt;&gt;""),IF(L332='Historical Score'!$C$5,1,0),0)</f>
        <v/>
      </c>
      <c r="AS332" s="3">
        <f>IF(AND(Y332&lt;&gt;"",'Historical Score'!$C$7&lt;&gt;""),IF(Y332='Historical Score'!$C$7,1,0),0)</f>
        <v/>
      </c>
      <c r="AT332" s="3">
        <f>IF(AND(K332&lt;&gt;"",'Historical Score'!$C$8&lt;&gt;""),IF(K332='Historical Score'!$C$8,1,0),0)</f>
        <v/>
      </c>
      <c r="AU332" s="3" t="n"/>
      <c r="AV332" s="3" t="n"/>
      <c r="AW332" s="3" t="n"/>
      <c r="AX332" s="3" t="n"/>
      <c r="AY332" s="3" t="n"/>
      <c r="AZ332" s="3" t="n"/>
      <c r="BA332" s="182">
        <f>IF(AD332=1,(AR332*'Historical Score'!$K$29+1-'Historical Score'!$K$29)*(AT332*'Historical Score'!$L$29+1-'Historical Score'!$L$29)*(AS332*'Historical Score'!$M$29+1-'Historical Score'!$M$29)*(AQ332*'Historical Score'!$N$29+1-'Historical Score'!$N$29),0)</f>
        <v/>
      </c>
      <c r="BB332" s="3" t="n"/>
      <c r="BC332" s="3" t="n"/>
    </row>
    <row r="333" ht="15.75" customHeight="1" s="174">
      <c r="A333" s="3" t="inlineStr">
        <is>
          <t>5674170744</t>
        </is>
      </c>
      <c r="B333" s="3" t="inlineStr">
        <is>
          <t>MMA Trading Consultancy LLC</t>
        </is>
      </c>
      <c r="C333" s="3" t="inlineStr">
        <is>
          <t>MMA Trading Consultancy LLC</t>
        </is>
      </c>
      <c r="D333" s="3" t="inlineStr">
        <is>
          <t>Closed</t>
        </is>
      </c>
      <c r="E333" s="23" t="n">
        <v>45966</v>
      </c>
      <c r="F333" s="23" t="n">
        <v>46225</v>
      </c>
      <c r="G333" s="3" t="n">
        <v>3</v>
      </c>
      <c r="H333" s="3" t="inlineStr">
        <is>
          <t>8748</t>
        </is>
      </c>
      <c r="I333" s="3" t="inlineStr">
        <is>
          <t>87</t>
        </is>
      </c>
      <c r="J333" s="3" t="inlineStr">
        <is>
          <t>IL</t>
        </is>
      </c>
      <c r="K333" s="3" t="inlineStr">
        <is>
          <t>Fundwell</t>
        </is>
      </c>
      <c r="L333" s="3" t="inlineStr">
        <is>
          <t>New Deal</t>
        </is>
      </c>
      <c r="M333" s="3" t="n">
        <v>1.36</v>
      </c>
      <c r="N333" s="28" t="n">
        <v>65000</v>
      </c>
      <c r="O333" s="28" t="n">
        <v>5850</v>
      </c>
      <c r="P333" s="28" t="n">
        <v>88400</v>
      </c>
      <c r="Q333" s="28" t="n">
        <v>88400</v>
      </c>
      <c r="R333" s="28" t="n">
        <v>0</v>
      </c>
      <c r="S333" s="42" t="n">
        <v>1</v>
      </c>
      <c r="T333" s="3" t="n">
        <v>36</v>
      </c>
      <c r="U333" s="3" t="n">
        <v>0</v>
      </c>
      <c r="V333" s="3" t="n">
        <v>145421.7</v>
      </c>
      <c r="W333" s="42" t="n">
        <v>0.0675</v>
      </c>
      <c r="X333" s="23" t="n">
        <v>42526</v>
      </c>
      <c r="Y333" s="3">
        <f>IF(I333="","No SIC",IFERROR(VLOOKUP(I333,Ref!$A$2:$B$65,2,FALSE()),"Unclassified"))</f>
        <v/>
      </c>
      <c r="Z333" s="3">
        <f>IF(T333="","",IF(T333&lt;12,"Daily","Weekly"))</f>
        <v/>
      </c>
      <c r="AA333" s="3">
        <f>IF(T333="",0,IF(T333&lt;12,T333*Controls!$B$13,T333*5))</f>
        <v/>
      </c>
      <c r="AB333" s="3">
        <f>IF(E333="",0,NETWORKDAYS(E333,Controls!$B$20,Ref!$K$2:$K$42))</f>
        <v/>
      </c>
      <c r="AC333" s="3">
        <f>IF(OR(AF333=1,AND(AA333&gt;0,AB333&gt;=Controls!$B$23*AA333)),1,0)</f>
        <v/>
      </c>
      <c r="AD333" s="3">
        <f>IF(AND(E333&lt;&gt;"",E333&gt;=Controls!$B$21,E333&lt;=Controls!$B$22),1,0)</f>
        <v/>
      </c>
      <c r="AE333" s="3">
        <f>IF(IFERROR(VLOOKUP(D333,Controls!$A$36:$E$46,2,FALSE()),"No")="Yes",1,0)</f>
        <v/>
      </c>
      <c r="AF333" s="3">
        <f>IF(IFERROR(VLOOKUP(D333,Controls!$A$36:$E$46,3,FALSE()),"No")="Yes",1,0)</f>
        <v/>
      </c>
      <c r="AG333" s="3">
        <f>IF(IFERROR(VLOOKUP(D333,Controls!$A$36:$E$46,4,FALSE()),"No")="Yes",1,0)</f>
        <v/>
      </c>
      <c r="AH333" s="3">
        <f>IF(IFERROR(VLOOKUP(D333,Controls!$A$36:$E$46,5,FALSE()),"No")="Yes",1,0)</f>
        <v/>
      </c>
      <c r="AI333" s="3">
        <f>IF(ISNUMBER(MATCH(D333,Controls!$A$36:$A$46,0)),1,0)</f>
        <v/>
      </c>
      <c r="AJ333" s="28">
        <f>Q333-N333</f>
        <v/>
      </c>
      <c r="AK333" s="3">
        <f>IF(AE333=1,MAX(0,N333-Q333),0)</f>
        <v/>
      </c>
      <c r="AL333" s="3">
        <f>IF(OR(V333="",V333=0),0,N333/V333)</f>
        <v/>
      </c>
      <c r="AM333" s="3">
        <f>IF(OR(V333="",V333=0),0,1)</f>
        <v/>
      </c>
      <c r="AN333" s="3">
        <f>IF(OR(E333="",F333=""),0,NETWORKDAYS(E333,F333,Ref!$K$2:$K$42))</f>
        <v/>
      </c>
      <c r="AO333" s="3">
        <f>IF(L333="Renewal",1,0)</f>
        <v/>
      </c>
      <c r="AP333" s="3">
        <f>AC333*AD333</f>
        <v/>
      </c>
      <c r="AQ333" s="3">
        <f>IF(AND(G333&lt;&gt;"",'Historical Score'!$C$6&lt;&gt;""),IF(G333='Historical Score'!$C$6,1,0),0)</f>
        <v/>
      </c>
      <c r="AR333" s="3">
        <f>IF(AND(L333&lt;&gt;"",'Historical Score'!$C$5&lt;&gt;""),IF(L333='Historical Score'!$C$5,1,0),0)</f>
        <v/>
      </c>
      <c r="AS333" s="3">
        <f>IF(AND(Y333&lt;&gt;"",'Historical Score'!$C$7&lt;&gt;""),IF(Y333='Historical Score'!$C$7,1,0),0)</f>
        <v/>
      </c>
      <c r="AT333" s="3">
        <f>IF(AND(K333&lt;&gt;"",'Historical Score'!$C$8&lt;&gt;""),IF(K333='Historical Score'!$C$8,1,0),0)</f>
        <v/>
      </c>
      <c r="AU333" s="3" t="n"/>
      <c r="AV333" s="3" t="n"/>
      <c r="AW333" s="3" t="n"/>
      <c r="AX333" s="3" t="n"/>
      <c r="AY333" s="3" t="n"/>
      <c r="AZ333" s="3" t="n"/>
      <c r="BA333" s="182">
        <f>IF(AD333=1,(AR333*'Historical Score'!$K$29+1-'Historical Score'!$K$29)*(AT333*'Historical Score'!$L$29+1-'Historical Score'!$L$29)*(AS333*'Historical Score'!$M$29+1-'Historical Score'!$M$29)*(AQ333*'Historical Score'!$N$29+1-'Historical Score'!$N$29),0)</f>
        <v/>
      </c>
      <c r="BB333" s="3" t="n"/>
      <c r="BC333" s="3" t="n"/>
    </row>
    <row r="334" ht="15.75" customHeight="1" s="174">
      <c r="A334" s="3" t="inlineStr">
        <is>
          <t>5674170753</t>
        </is>
      </c>
      <c r="B334" s="3" t="inlineStr">
        <is>
          <t>STARLIGHT</t>
        </is>
      </c>
      <c r="C334" s="3" t="inlineStr">
        <is>
          <t>MIGUEL A BERDIEL TORRES</t>
        </is>
      </c>
      <c r="D334" s="3" t="inlineStr">
        <is>
          <t>Closed</t>
        </is>
      </c>
      <c r="E334" s="23" t="n">
        <v>45966</v>
      </c>
      <c r="F334" s="23" t="n">
        <v>46139</v>
      </c>
      <c r="G334" s="3" t="n">
        <v>1</v>
      </c>
      <c r="H334" s="3" t="inlineStr">
        <is>
          <t>5812</t>
        </is>
      </c>
      <c r="I334" s="3" t="inlineStr">
        <is>
          <t>58</t>
        </is>
      </c>
      <c r="J334" s="3" t="inlineStr">
        <is>
          <t>PR</t>
        </is>
      </c>
      <c r="K334" s="3" t="inlineStr">
        <is>
          <t>United Secured Capital 8</t>
        </is>
      </c>
      <c r="L334" s="3" t="inlineStr">
        <is>
          <t>New Deal</t>
        </is>
      </c>
      <c r="M334" s="3" t="n">
        <v>1.499</v>
      </c>
      <c r="N334" s="28" t="n">
        <v>10000</v>
      </c>
      <c r="O334" s="28" t="n">
        <v>1400</v>
      </c>
      <c r="P334" s="28" t="n">
        <v>14990</v>
      </c>
      <c r="Q334" s="28" t="n">
        <v>14990</v>
      </c>
      <c r="R334" s="28" t="n">
        <v>1.81898940354586e-12</v>
      </c>
      <c r="S334" s="42" t="n">
        <v>1</v>
      </c>
      <c r="T334" s="3" t="n">
        <v>2.623</v>
      </c>
      <c r="U334" s="3" t="n">
        <v>36</v>
      </c>
      <c r="V334" s="3" t="n">
        <v>40000</v>
      </c>
      <c r="W334" s="42" t="n">
        <v>0.08690000000000001</v>
      </c>
      <c r="X334" s="23" t="n"/>
      <c r="Y334" s="3">
        <f>IF(I334="","No SIC",IFERROR(VLOOKUP(I334,Ref!$A$2:$B$65,2,FALSE()),"Unclassified"))</f>
        <v/>
      </c>
      <c r="Z334" s="3">
        <f>IF(T334="","",IF(T334&lt;12,"Daily","Weekly"))</f>
        <v/>
      </c>
      <c r="AA334" s="3">
        <f>IF(T334="",0,IF(T334&lt;12,T334*Controls!$B$13,T334*5))</f>
        <v/>
      </c>
      <c r="AB334" s="3">
        <f>IF(E334="",0,NETWORKDAYS(E334,Controls!$B$20,Ref!$K$2:$K$42))</f>
        <v/>
      </c>
      <c r="AC334" s="3">
        <f>IF(OR(AF334=1,AND(AA334&gt;0,AB334&gt;=Controls!$B$23*AA334)),1,0)</f>
        <v/>
      </c>
      <c r="AD334" s="3">
        <f>IF(AND(E334&lt;&gt;"",E334&gt;=Controls!$B$21,E334&lt;=Controls!$B$22),1,0)</f>
        <v/>
      </c>
      <c r="AE334" s="3">
        <f>IF(IFERROR(VLOOKUP(D334,Controls!$A$36:$E$46,2,FALSE()),"No")="Yes",1,0)</f>
        <v/>
      </c>
      <c r="AF334" s="3">
        <f>IF(IFERROR(VLOOKUP(D334,Controls!$A$36:$E$46,3,FALSE()),"No")="Yes",1,0)</f>
        <v/>
      </c>
      <c r="AG334" s="3">
        <f>IF(IFERROR(VLOOKUP(D334,Controls!$A$36:$E$46,4,FALSE()),"No")="Yes",1,0)</f>
        <v/>
      </c>
      <c r="AH334" s="3">
        <f>IF(IFERROR(VLOOKUP(D334,Controls!$A$36:$E$46,5,FALSE()),"No")="Yes",1,0)</f>
        <v/>
      </c>
      <c r="AI334" s="3">
        <f>IF(ISNUMBER(MATCH(D334,Controls!$A$36:$A$46,0)),1,0)</f>
        <v/>
      </c>
      <c r="AJ334" s="28">
        <f>Q334-N334</f>
        <v/>
      </c>
      <c r="AK334" s="3">
        <f>IF(AE334=1,MAX(0,N334-Q334),0)</f>
        <v/>
      </c>
      <c r="AL334" s="3">
        <f>IF(OR(V334="",V334=0),0,N334/V334)</f>
        <v/>
      </c>
      <c r="AM334" s="3">
        <f>IF(OR(V334="",V334=0),0,1)</f>
        <v/>
      </c>
      <c r="AN334" s="3">
        <f>IF(OR(E334="",F334=""),0,NETWORKDAYS(E334,F334,Ref!$K$2:$K$42))</f>
        <v/>
      </c>
      <c r="AO334" s="3">
        <f>IF(L334="Renewal",1,0)</f>
        <v/>
      </c>
      <c r="AP334" s="3">
        <f>AC334*AD334</f>
        <v/>
      </c>
      <c r="AQ334" s="3">
        <f>IF(AND(G334&lt;&gt;"",'Historical Score'!$C$6&lt;&gt;""),IF(G334='Historical Score'!$C$6,1,0),0)</f>
        <v/>
      </c>
      <c r="AR334" s="3">
        <f>IF(AND(L334&lt;&gt;"",'Historical Score'!$C$5&lt;&gt;""),IF(L334='Historical Score'!$C$5,1,0),0)</f>
        <v/>
      </c>
      <c r="AS334" s="3">
        <f>IF(AND(Y334&lt;&gt;"",'Historical Score'!$C$7&lt;&gt;""),IF(Y334='Historical Score'!$C$7,1,0),0)</f>
        <v/>
      </c>
      <c r="AT334" s="3">
        <f>IF(AND(K334&lt;&gt;"",'Historical Score'!$C$8&lt;&gt;""),IF(K334='Historical Score'!$C$8,1,0),0)</f>
        <v/>
      </c>
      <c r="AU334" s="3" t="n"/>
      <c r="AV334" s="3" t="n"/>
      <c r="AW334" s="3" t="n"/>
      <c r="AX334" s="3" t="n"/>
      <c r="AY334" s="3" t="n"/>
      <c r="AZ334" s="3" t="n"/>
      <c r="BA334" s="182">
        <f>IF(AD334=1,(AR334*'Historical Score'!$K$29+1-'Historical Score'!$K$29)*(AT334*'Historical Score'!$L$29+1-'Historical Score'!$L$29)*(AS334*'Historical Score'!$M$29+1-'Historical Score'!$M$29)*(AQ334*'Historical Score'!$N$29+1-'Historical Score'!$N$29),0)</f>
        <v/>
      </c>
      <c r="BB334" s="3" t="n"/>
      <c r="BC334" s="3" t="n"/>
    </row>
    <row r="335" ht="15.75" customHeight="1" s="174">
      <c r="A335" s="3" t="inlineStr">
        <is>
          <t>5674170785</t>
        </is>
      </c>
      <c r="B335" s="3" t="inlineStr">
        <is>
          <t>ALG LUXURY CHARTER SERVICES INC</t>
        </is>
      </c>
      <c r="C335" s="3" t="inlineStr">
        <is>
          <t>ALG LUXURY CHARTER SERVICES INC</t>
        </is>
      </c>
      <c r="D335" s="3" t="inlineStr">
        <is>
          <t>Lowered Payments</t>
        </is>
      </c>
      <c r="E335" s="23" t="n">
        <v>45966</v>
      </c>
      <c r="F335" s="23" t="n">
        <v>46248</v>
      </c>
      <c r="G335" s="3" t="n">
        <v>2</v>
      </c>
      <c r="H335" s="3" t="inlineStr">
        <is>
          <t>4119</t>
        </is>
      </c>
      <c r="I335" s="3" t="inlineStr">
        <is>
          <t>41</t>
        </is>
      </c>
      <c r="J335" s="3" t="inlineStr">
        <is>
          <t>LA</t>
        </is>
      </c>
      <c r="K335" s="3" t="inlineStr">
        <is>
          <t>United Secured Capital 8</t>
        </is>
      </c>
      <c r="L335" s="3" t="inlineStr">
        <is>
          <t>New Deal</t>
        </is>
      </c>
      <c r="M335" s="3" t="n">
        <v>1.49</v>
      </c>
      <c r="N335" s="28" t="n">
        <v>12500</v>
      </c>
      <c r="O335" s="28" t="n">
        <v>1750</v>
      </c>
      <c r="P335" s="28" t="n">
        <v>18625</v>
      </c>
      <c r="Q335" s="28" t="n">
        <v>17104.94</v>
      </c>
      <c r="R335" s="28" t="n">
        <v>1520.06</v>
      </c>
      <c r="S335" s="42" t="n">
        <v>0.918386040268456</v>
      </c>
      <c r="T335" s="3" t="n">
        <v>18</v>
      </c>
      <c r="U335" s="3" t="n">
        <v>9</v>
      </c>
      <c r="V335" s="3" t="n">
        <v>25151.5</v>
      </c>
      <c r="W335" s="42" t="n">
        <v>0.1646</v>
      </c>
      <c r="X335" s="23" t="n"/>
      <c r="Y335" s="3">
        <f>IF(I335="","No SIC",IFERROR(VLOOKUP(I335,Ref!$A$2:$B$65,2,FALSE()),"Unclassified"))</f>
        <v/>
      </c>
      <c r="Z335" s="3">
        <f>IF(T335="","",IF(T335&lt;12,"Daily","Weekly"))</f>
        <v/>
      </c>
      <c r="AA335" s="3">
        <f>IF(T335="",0,IF(T335&lt;12,T335*Controls!$B$13,T335*5))</f>
        <v/>
      </c>
      <c r="AB335" s="3">
        <f>IF(E335="",0,NETWORKDAYS(E335,Controls!$B$20,Ref!$K$2:$K$42))</f>
        <v/>
      </c>
      <c r="AC335" s="3">
        <f>IF(OR(AF335=1,AND(AA335&gt;0,AB335&gt;=Controls!$B$23*AA335)),1,0)</f>
        <v/>
      </c>
      <c r="AD335" s="3">
        <f>IF(AND(E335&lt;&gt;"",E335&gt;=Controls!$B$21,E335&lt;=Controls!$B$22),1,0)</f>
        <v/>
      </c>
      <c r="AE335" s="3">
        <f>IF(IFERROR(VLOOKUP(D335,Controls!$A$36:$E$46,2,FALSE()),"No")="Yes",1,0)</f>
        <v/>
      </c>
      <c r="AF335" s="3">
        <f>IF(IFERROR(VLOOKUP(D335,Controls!$A$36:$E$46,3,FALSE()),"No")="Yes",1,0)</f>
        <v/>
      </c>
      <c r="AG335" s="3">
        <f>IF(IFERROR(VLOOKUP(D335,Controls!$A$36:$E$46,4,FALSE()),"No")="Yes",1,0)</f>
        <v/>
      </c>
      <c r="AH335" s="3">
        <f>IF(IFERROR(VLOOKUP(D335,Controls!$A$36:$E$46,5,FALSE()),"No")="Yes",1,0)</f>
        <v/>
      </c>
      <c r="AI335" s="3">
        <f>IF(ISNUMBER(MATCH(D335,Controls!$A$36:$A$46,0)),1,0)</f>
        <v/>
      </c>
      <c r="AJ335" s="28">
        <f>Q335-N335</f>
        <v/>
      </c>
      <c r="AK335" s="3">
        <f>IF(AE335=1,MAX(0,N335-Q335),0)</f>
        <v/>
      </c>
      <c r="AL335" s="3">
        <f>IF(OR(V335="",V335=0),0,N335/V335)</f>
        <v/>
      </c>
      <c r="AM335" s="3">
        <f>IF(OR(V335="",V335=0),0,1)</f>
        <v/>
      </c>
      <c r="AN335" s="3">
        <f>IF(OR(E335="",F335=""),0,NETWORKDAYS(E335,F335,Ref!$K$2:$K$42))</f>
        <v/>
      </c>
      <c r="AO335" s="3">
        <f>IF(L335="Renewal",1,0)</f>
        <v/>
      </c>
      <c r="AP335" s="3">
        <f>AC335*AD335</f>
        <v/>
      </c>
      <c r="AQ335" s="3">
        <f>IF(AND(G335&lt;&gt;"",'Historical Score'!$C$6&lt;&gt;""),IF(G335='Historical Score'!$C$6,1,0),0)</f>
        <v/>
      </c>
      <c r="AR335" s="3">
        <f>IF(AND(L335&lt;&gt;"",'Historical Score'!$C$5&lt;&gt;""),IF(L335='Historical Score'!$C$5,1,0),0)</f>
        <v/>
      </c>
      <c r="AS335" s="3">
        <f>IF(AND(Y335&lt;&gt;"",'Historical Score'!$C$7&lt;&gt;""),IF(Y335='Historical Score'!$C$7,1,0),0)</f>
        <v/>
      </c>
      <c r="AT335" s="3">
        <f>IF(AND(K335&lt;&gt;"",'Historical Score'!$C$8&lt;&gt;""),IF(K335='Historical Score'!$C$8,1,0),0)</f>
        <v/>
      </c>
      <c r="AU335" s="3" t="n"/>
      <c r="AV335" s="3" t="n"/>
      <c r="AW335" s="3" t="n"/>
      <c r="AX335" s="3" t="n"/>
      <c r="AY335" s="3" t="n"/>
      <c r="AZ335" s="3" t="n"/>
      <c r="BA335" s="182">
        <f>IF(AD335=1,(AR335*'Historical Score'!$K$29+1-'Historical Score'!$K$29)*(AT335*'Historical Score'!$L$29+1-'Historical Score'!$L$29)*(AS335*'Historical Score'!$M$29+1-'Historical Score'!$M$29)*(AQ335*'Historical Score'!$N$29+1-'Historical Score'!$N$29),0)</f>
        <v/>
      </c>
      <c r="BB335" s="3" t="n"/>
      <c r="BC335" s="3" t="n"/>
    </row>
    <row r="336" ht="15.75" customHeight="1" s="174">
      <c r="A336" s="3" t="inlineStr">
        <is>
          <t>5674170833</t>
        </is>
      </c>
      <c r="B336" s="3" t="inlineStr">
        <is>
          <t>TWILIGHT ANESTHETICS, PLLC</t>
        </is>
      </c>
      <c r="C336" s="3" t="inlineStr">
        <is>
          <t>TWILIGHT ANESTHETICS, PLLC</t>
        </is>
      </c>
      <c r="D336" s="3" t="inlineStr">
        <is>
          <t>Closed</t>
        </is>
      </c>
      <c r="E336" s="23" t="n">
        <v>45967</v>
      </c>
      <c r="F336" s="23" t="n">
        <v>46013</v>
      </c>
      <c r="G336" s="3" t="n">
        <v>3</v>
      </c>
      <c r="H336" s="3" t="inlineStr">
        <is>
          <t>8059</t>
        </is>
      </c>
      <c r="I336" s="3" t="inlineStr">
        <is>
          <t>80</t>
        </is>
      </c>
      <c r="J336" s="3" t="inlineStr">
        <is>
          <t>TX</t>
        </is>
      </c>
      <c r="K336" s="3" t="inlineStr">
        <is>
          <t>Fundwell</t>
        </is>
      </c>
      <c r="L336" s="3" t="inlineStr">
        <is>
          <t>New Deal</t>
        </is>
      </c>
      <c r="M336" s="3" t="n">
        <v>1.38</v>
      </c>
      <c r="N336" s="28" t="n">
        <v>20000</v>
      </c>
      <c r="O336" s="28" t="n">
        <v>2400</v>
      </c>
      <c r="P336" s="28" t="n">
        <v>27600</v>
      </c>
      <c r="Q336" s="28" t="n">
        <v>27600</v>
      </c>
      <c r="R336" s="28" t="n">
        <v>-3.63797880709171e-12</v>
      </c>
      <c r="S336" s="42" t="n">
        <v>1</v>
      </c>
      <c r="T336" s="3" t="n">
        <v>28</v>
      </c>
      <c r="U336" s="3" t="n">
        <v>1</v>
      </c>
      <c r="V336" s="3" t="n">
        <v>38940.09</v>
      </c>
      <c r="W336" s="42" t="n">
        <v>0.1013</v>
      </c>
      <c r="X336" s="23" t="n">
        <v>44574</v>
      </c>
      <c r="Y336" s="3">
        <f>IF(I336="","No SIC",IFERROR(VLOOKUP(I336,Ref!$A$2:$B$65,2,FALSE()),"Unclassified"))</f>
        <v/>
      </c>
      <c r="Z336" s="3">
        <f>IF(T336="","",IF(T336&lt;12,"Daily","Weekly"))</f>
        <v/>
      </c>
      <c r="AA336" s="3">
        <f>IF(T336="",0,IF(T336&lt;12,T336*Controls!$B$13,T336*5))</f>
        <v/>
      </c>
      <c r="AB336" s="3">
        <f>IF(E336="",0,NETWORKDAYS(E336,Controls!$B$20,Ref!$K$2:$K$42))</f>
        <v/>
      </c>
      <c r="AC336" s="3">
        <f>IF(OR(AF336=1,AND(AA336&gt;0,AB336&gt;=Controls!$B$23*AA336)),1,0)</f>
        <v/>
      </c>
      <c r="AD336" s="3">
        <f>IF(AND(E336&lt;&gt;"",E336&gt;=Controls!$B$21,E336&lt;=Controls!$B$22),1,0)</f>
        <v/>
      </c>
      <c r="AE336" s="3">
        <f>IF(IFERROR(VLOOKUP(D336,Controls!$A$36:$E$46,2,FALSE()),"No")="Yes",1,0)</f>
        <v/>
      </c>
      <c r="AF336" s="3">
        <f>IF(IFERROR(VLOOKUP(D336,Controls!$A$36:$E$46,3,FALSE()),"No")="Yes",1,0)</f>
        <v/>
      </c>
      <c r="AG336" s="3">
        <f>IF(IFERROR(VLOOKUP(D336,Controls!$A$36:$E$46,4,FALSE()),"No")="Yes",1,0)</f>
        <v/>
      </c>
      <c r="AH336" s="3">
        <f>IF(IFERROR(VLOOKUP(D336,Controls!$A$36:$E$46,5,FALSE()),"No")="Yes",1,0)</f>
        <v/>
      </c>
      <c r="AI336" s="3">
        <f>IF(ISNUMBER(MATCH(D336,Controls!$A$36:$A$46,0)),1,0)</f>
        <v/>
      </c>
      <c r="AJ336" s="28">
        <f>Q336-N336</f>
        <v/>
      </c>
      <c r="AK336" s="3">
        <f>IF(AE336=1,MAX(0,N336-Q336),0)</f>
        <v/>
      </c>
      <c r="AL336" s="3">
        <f>IF(OR(V336="",V336=0),0,N336/V336)</f>
        <v/>
      </c>
      <c r="AM336" s="3">
        <f>IF(OR(V336="",V336=0),0,1)</f>
        <v/>
      </c>
      <c r="AN336" s="3">
        <f>IF(OR(E336="",F336=""),0,NETWORKDAYS(E336,F336,Ref!$K$2:$K$42))</f>
        <v/>
      </c>
      <c r="AO336" s="3">
        <f>IF(L336="Renewal",1,0)</f>
        <v/>
      </c>
      <c r="AP336" s="3">
        <f>AC336*AD336</f>
        <v/>
      </c>
      <c r="AQ336" s="3">
        <f>IF(AND(G336&lt;&gt;"",'Historical Score'!$C$6&lt;&gt;""),IF(G336='Historical Score'!$C$6,1,0),0)</f>
        <v/>
      </c>
      <c r="AR336" s="3">
        <f>IF(AND(L336&lt;&gt;"",'Historical Score'!$C$5&lt;&gt;""),IF(L336='Historical Score'!$C$5,1,0),0)</f>
        <v/>
      </c>
      <c r="AS336" s="3">
        <f>IF(AND(Y336&lt;&gt;"",'Historical Score'!$C$7&lt;&gt;""),IF(Y336='Historical Score'!$C$7,1,0),0)</f>
        <v/>
      </c>
      <c r="AT336" s="3">
        <f>IF(AND(K336&lt;&gt;"",'Historical Score'!$C$8&lt;&gt;""),IF(K336='Historical Score'!$C$8,1,0),0)</f>
        <v/>
      </c>
      <c r="AU336" s="3" t="n"/>
      <c r="AV336" s="3" t="n"/>
      <c r="AW336" s="3" t="n"/>
      <c r="AX336" s="3" t="n"/>
      <c r="AY336" s="3" t="n"/>
      <c r="AZ336" s="3" t="n"/>
      <c r="BA336" s="182">
        <f>IF(AD336=1,(AR336*'Historical Score'!$K$29+1-'Historical Score'!$K$29)*(AT336*'Historical Score'!$L$29+1-'Historical Score'!$L$29)*(AS336*'Historical Score'!$M$29+1-'Historical Score'!$M$29)*(AQ336*'Historical Score'!$N$29+1-'Historical Score'!$N$29),0)</f>
        <v/>
      </c>
      <c r="BB336" s="3" t="n"/>
      <c r="BC336" s="3" t="n"/>
    </row>
    <row r="337" ht="15.75" customHeight="1" s="174">
      <c r="A337" s="3" t="inlineStr">
        <is>
          <t>5674170835</t>
        </is>
      </c>
      <c r="B337" s="3" t="inlineStr">
        <is>
          <t>Medina And Associates PC</t>
        </is>
      </c>
      <c r="C337" s="3" t="inlineStr">
        <is>
          <t>Medina And Associates PC</t>
        </is>
      </c>
      <c r="D337" s="3" t="inlineStr">
        <is>
          <t>Closed</t>
        </is>
      </c>
      <c r="E337" s="23" t="n">
        <v>45967</v>
      </c>
      <c r="F337" s="23" t="n">
        <v>46035</v>
      </c>
      <c r="G337" s="3" t="n">
        <v>6</v>
      </c>
      <c r="H337" s="3" t="inlineStr">
        <is>
          <t>8021</t>
        </is>
      </c>
      <c r="I337" s="3" t="inlineStr">
        <is>
          <t>80</t>
        </is>
      </c>
      <c r="J337" s="3" t="inlineStr">
        <is>
          <t>MD</t>
        </is>
      </c>
      <c r="K337" s="3" t="inlineStr">
        <is>
          <t>Premium Capital (AMRK)</t>
        </is>
      </c>
      <c r="L337" s="3" t="inlineStr">
        <is>
          <t>Renewal</t>
        </is>
      </c>
      <c r="M337" s="3" t="n">
        <v>1.5</v>
      </c>
      <c r="N337" s="28" t="n">
        <v>40000</v>
      </c>
      <c r="O337" s="28" t="n">
        <v>5600</v>
      </c>
      <c r="P337" s="28" t="n">
        <v>60000</v>
      </c>
      <c r="Q337" s="28" t="n">
        <v>60000</v>
      </c>
      <c r="R337" s="28" t="n">
        <v>0</v>
      </c>
      <c r="S337" s="42" t="n">
        <v>1</v>
      </c>
      <c r="T337" s="3" t="n">
        <v>20</v>
      </c>
      <c r="U337" s="3" t="n">
        <v>1</v>
      </c>
      <c r="V337" s="3" t="n">
        <v>122458.04</v>
      </c>
      <c r="W337" s="42" t="n">
        <v>0.1025</v>
      </c>
      <c r="X337" s="23" t="n"/>
      <c r="Y337" s="3">
        <f>IF(I337="","No SIC",IFERROR(VLOOKUP(I337,Ref!$A$2:$B$65,2,FALSE()),"Unclassified"))</f>
        <v/>
      </c>
      <c r="Z337" s="3">
        <f>IF(T337="","",IF(T337&lt;12,"Daily","Weekly"))</f>
        <v/>
      </c>
      <c r="AA337" s="3">
        <f>IF(T337="",0,IF(T337&lt;12,T337*Controls!$B$13,T337*5))</f>
        <v/>
      </c>
      <c r="AB337" s="3">
        <f>IF(E337="",0,NETWORKDAYS(E337,Controls!$B$20,Ref!$K$2:$K$42))</f>
        <v/>
      </c>
      <c r="AC337" s="3">
        <f>IF(OR(AF337=1,AND(AA337&gt;0,AB337&gt;=Controls!$B$23*AA337)),1,0)</f>
        <v/>
      </c>
      <c r="AD337" s="3">
        <f>IF(AND(E337&lt;&gt;"",E337&gt;=Controls!$B$21,E337&lt;=Controls!$B$22),1,0)</f>
        <v/>
      </c>
      <c r="AE337" s="3">
        <f>IF(IFERROR(VLOOKUP(D337,Controls!$A$36:$E$46,2,FALSE()),"No")="Yes",1,0)</f>
        <v/>
      </c>
      <c r="AF337" s="3">
        <f>IF(IFERROR(VLOOKUP(D337,Controls!$A$36:$E$46,3,FALSE()),"No")="Yes",1,0)</f>
        <v/>
      </c>
      <c r="AG337" s="3">
        <f>IF(IFERROR(VLOOKUP(D337,Controls!$A$36:$E$46,4,FALSE()),"No")="Yes",1,0)</f>
        <v/>
      </c>
      <c r="AH337" s="3">
        <f>IF(IFERROR(VLOOKUP(D337,Controls!$A$36:$E$46,5,FALSE()),"No")="Yes",1,0)</f>
        <v/>
      </c>
      <c r="AI337" s="3">
        <f>IF(ISNUMBER(MATCH(D337,Controls!$A$36:$A$46,0)),1,0)</f>
        <v/>
      </c>
      <c r="AJ337" s="28">
        <f>Q337-N337</f>
        <v/>
      </c>
      <c r="AK337" s="3">
        <f>IF(AE337=1,MAX(0,N337-Q337),0)</f>
        <v/>
      </c>
      <c r="AL337" s="3">
        <f>IF(OR(V337="",V337=0),0,N337/V337)</f>
        <v/>
      </c>
      <c r="AM337" s="3">
        <f>IF(OR(V337="",V337=0),0,1)</f>
        <v/>
      </c>
      <c r="AN337" s="3">
        <f>IF(OR(E337="",F337=""),0,NETWORKDAYS(E337,F337,Ref!$K$2:$K$42))</f>
        <v/>
      </c>
      <c r="AO337" s="3">
        <f>IF(L337="Renewal",1,0)</f>
        <v/>
      </c>
      <c r="AP337" s="3">
        <f>AC337*AD337</f>
        <v/>
      </c>
      <c r="AQ337" s="3">
        <f>IF(AND(G337&lt;&gt;"",'Historical Score'!$C$6&lt;&gt;""),IF(G337='Historical Score'!$C$6,1,0),0)</f>
        <v/>
      </c>
      <c r="AR337" s="3">
        <f>IF(AND(L337&lt;&gt;"",'Historical Score'!$C$5&lt;&gt;""),IF(L337='Historical Score'!$C$5,1,0),0)</f>
        <v/>
      </c>
      <c r="AS337" s="3">
        <f>IF(AND(Y337&lt;&gt;"",'Historical Score'!$C$7&lt;&gt;""),IF(Y337='Historical Score'!$C$7,1,0),0)</f>
        <v/>
      </c>
      <c r="AT337" s="3">
        <f>IF(AND(K337&lt;&gt;"",'Historical Score'!$C$8&lt;&gt;""),IF(K337='Historical Score'!$C$8,1,0),0)</f>
        <v/>
      </c>
      <c r="AU337" s="3" t="n"/>
      <c r="AV337" s="3" t="n"/>
      <c r="AW337" s="3" t="n"/>
      <c r="AX337" s="3" t="n"/>
      <c r="AY337" s="3" t="n"/>
      <c r="AZ337" s="3" t="n"/>
      <c r="BA337" s="182">
        <f>IF(AD337=1,(AR337*'Historical Score'!$K$29+1-'Historical Score'!$K$29)*(AT337*'Historical Score'!$L$29+1-'Historical Score'!$L$29)*(AS337*'Historical Score'!$M$29+1-'Historical Score'!$M$29)*(AQ337*'Historical Score'!$N$29+1-'Historical Score'!$N$29),0)</f>
        <v/>
      </c>
      <c r="BB337" s="3" t="n"/>
      <c r="BC337" s="3" t="n"/>
    </row>
    <row r="338" ht="15.75" customHeight="1" s="174">
      <c r="A338" s="3" t="inlineStr">
        <is>
          <t>5674170855</t>
        </is>
      </c>
      <c r="B338" s="3" t="inlineStr">
        <is>
          <t>SR UNBOUNDED</t>
        </is>
      </c>
      <c r="C338" s="3" t="inlineStr">
        <is>
          <t>SR UNBOUNDED</t>
        </is>
      </c>
      <c r="D338" s="3" t="inlineStr">
        <is>
          <t>Closed</t>
        </is>
      </c>
      <c r="E338" s="23" t="n">
        <v>45967</v>
      </c>
      <c r="F338" s="23" t="n">
        <v>46030</v>
      </c>
      <c r="G338" s="3" t="n">
        <v>6</v>
      </c>
      <c r="H338" s="3" t="inlineStr">
        <is>
          <t>7922</t>
        </is>
      </c>
      <c r="I338" s="3" t="inlineStr">
        <is>
          <t>79</t>
        </is>
      </c>
      <c r="J338" s="3" t="inlineStr">
        <is>
          <t>CA</t>
        </is>
      </c>
      <c r="K338" s="3" t="inlineStr">
        <is>
          <t>Shore Funding USA</t>
        </is>
      </c>
      <c r="L338" s="3" t="inlineStr">
        <is>
          <t>Renewal</t>
        </is>
      </c>
      <c r="M338" s="3" t="n">
        <v>1.49</v>
      </c>
      <c r="N338" s="28" t="n">
        <v>7500</v>
      </c>
      <c r="O338" s="28" t="n">
        <v>1050</v>
      </c>
      <c r="P338" s="28" t="n">
        <v>11175</v>
      </c>
      <c r="Q338" s="28" t="n">
        <v>11175</v>
      </c>
      <c r="R338" s="28" t="n">
        <v>0</v>
      </c>
      <c r="S338" s="42" t="n">
        <v>1</v>
      </c>
      <c r="T338" s="3" t="n">
        <v>2.295</v>
      </c>
      <c r="U338" s="3" t="n">
        <v>4</v>
      </c>
      <c r="V338" s="3" t="n">
        <v>15635.79</v>
      </c>
      <c r="W338" s="42" t="n">
        <v>0.2144</v>
      </c>
      <c r="X338" s="23" t="n">
        <v>43863</v>
      </c>
      <c r="Y338" s="3">
        <f>IF(I338="","No SIC",IFERROR(VLOOKUP(I338,Ref!$A$2:$B$65,2,FALSE()),"Unclassified"))</f>
        <v/>
      </c>
      <c r="Z338" s="3">
        <f>IF(T338="","",IF(T338&lt;12,"Daily","Weekly"))</f>
        <v/>
      </c>
      <c r="AA338" s="3">
        <f>IF(T338="",0,IF(T338&lt;12,T338*Controls!$B$13,T338*5))</f>
        <v/>
      </c>
      <c r="AB338" s="3">
        <f>IF(E338="",0,NETWORKDAYS(E338,Controls!$B$20,Ref!$K$2:$K$42))</f>
        <v/>
      </c>
      <c r="AC338" s="3">
        <f>IF(OR(AF338=1,AND(AA338&gt;0,AB338&gt;=Controls!$B$23*AA338)),1,0)</f>
        <v/>
      </c>
      <c r="AD338" s="3">
        <f>IF(AND(E338&lt;&gt;"",E338&gt;=Controls!$B$21,E338&lt;=Controls!$B$22),1,0)</f>
        <v/>
      </c>
      <c r="AE338" s="3">
        <f>IF(IFERROR(VLOOKUP(D338,Controls!$A$36:$E$46,2,FALSE()),"No")="Yes",1,0)</f>
        <v/>
      </c>
      <c r="AF338" s="3">
        <f>IF(IFERROR(VLOOKUP(D338,Controls!$A$36:$E$46,3,FALSE()),"No")="Yes",1,0)</f>
        <v/>
      </c>
      <c r="AG338" s="3">
        <f>IF(IFERROR(VLOOKUP(D338,Controls!$A$36:$E$46,4,FALSE()),"No")="Yes",1,0)</f>
        <v/>
      </c>
      <c r="AH338" s="3">
        <f>IF(IFERROR(VLOOKUP(D338,Controls!$A$36:$E$46,5,FALSE()),"No")="Yes",1,0)</f>
        <v/>
      </c>
      <c r="AI338" s="3">
        <f>IF(ISNUMBER(MATCH(D338,Controls!$A$36:$A$46,0)),1,0)</f>
        <v/>
      </c>
      <c r="AJ338" s="28">
        <f>Q338-N338</f>
        <v/>
      </c>
      <c r="AK338" s="3">
        <f>IF(AE338=1,MAX(0,N338-Q338),0)</f>
        <v/>
      </c>
      <c r="AL338" s="3">
        <f>IF(OR(V338="",V338=0),0,N338/V338)</f>
        <v/>
      </c>
      <c r="AM338" s="3">
        <f>IF(OR(V338="",V338=0),0,1)</f>
        <v/>
      </c>
      <c r="AN338" s="3">
        <f>IF(OR(E338="",F338=""),0,NETWORKDAYS(E338,F338,Ref!$K$2:$K$42))</f>
        <v/>
      </c>
      <c r="AO338" s="3">
        <f>IF(L338="Renewal",1,0)</f>
        <v/>
      </c>
      <c r="AP338" s="3">
        <f>AC338*AD338</f>
        <v/>
      </c>
      <c r="AQ338" s="3">
        <f>IF(AND(G338&lt;&gt;"",'Historical Score'!$C$6&lt;&gt;""),IF(G338='Historical Score'!$C$6,1,0),0)</f>
        <v/>
      </c>
      <c r="AR338" s="3">
        <f>IF(AND(L338&lt;&gt;"",'Historical Score'!$C$5&lt;&gt;""),IF(L338='Historical Score'!$C$5,1,0),0)</f>
        <v/>
      </c>
      <c r="AS338" s="3">
        <f>IF(AND(Y338&lt;&gt;"",'Historical Score'!$C$7&lt;&gt;""),IF(Y338='Historical Score'!$C$7,1,0),0)</f>
        <v/>
      </c>
      <c r="AT338" s="3">
        <f>IF(AND(K338&lt;&gt;"",'Historical Score'!$C$8&lt;&gt;""),IF(K338='Historical Score'!$C$8,1,0),0)</f>
        <v/>
      </c>
      <c r="AU338" s="3" t="n"/>
      <c r="AV338" s="3" t="n"/>
      <c r="AW338" s="3" t="n"/>
      <c r="AX338" s="3" t="n"/>
      <c r="AY338" s="3" t="n"/>
      <c r="AZ338" s="3" t="n"/>
      <c r="BA338" s="182">
        <f>IF(AD338=1,(AR338*'Historical Score'!$K$29+1-'Historical Score'!$K$29)*(AT338*'Historical Score'!$L$29+1-'Historical Score'!$L$29)*(AS338*'Historical Score'!$M$29+1-'Historical Score'!$M$29)*(AQ338*'Historical Score'!$N$29+1-'Historical Score'!$N$29),0)</f>
        <v/>
      </c>
      <c r="BB338" s="3" t="n"/>
      <c r="BC338" s="3" t="n"/>
    </row>
    <row r="339" ht="15.75" customHeight="1" s="174">
      <c r="A339" s="3" t="inlineStr">
        <is>
          <t>5674170899</t>
        </is>
      </c>
      <c r="B339" s="3" t="inlineStr">
        <is>
          <t>INSPIRED BY SPIRITS DISTILLING COMPANY</t>
        </is>
      </c>
      <c r="C339" s="3" t="inlineStr">
        <is>
          <t>INSPIRED BY SPIRITS DISTILLING COMPANY LLC</t>
        </is>
      </c>
      <c r="D339" s="3" t="inlineStr">
        <is>
          <t>Closed</t>
        </is>
      </c>
      <c r="E339" s="23" t="n">
        <v>45967</v>
      </c>
      <c r="F339" s="23" t="n">
        <v>46133</v>
      </c>
      <c r="G339" s="3" t="n">
        <v>2</v>
      </c>
      <c r="H339" s="3" t="inlineStr">
        <is>
          <t>2084</t>
        </is>
      </c>
      <c r="I339" s="3" t="inlineStr">
        <is>
          <t>20</t>
        </is>
      </c>
      <c r="J339" s="3" t="inlineStr">
        <is>
          <t>PA</t>
        </is>
      </c>
      <c r="K339" s="3" t="inlineStr">
        <is>
          <t>Fundwell</t>
        </is>
      </c>
      <c r="L339" s="3" t="inlineStr">
        <is>
          <t>New Deal</t>
        </is>
      </c>
      <c r="M339" s="3" t="n">
        <v>1.4</v>
      </c>
      <c r="N339" s="28" t="n">
        <v>20000</v>
      </c>
      <c r="O339" s="28" t="n">
        <v>2600</v>
      </c>
      <c r="P339" s="28" t="n">
        <v>28000</v>
      </c>
      <c r="Q339" s="28" t="n">
        <v>28000</v>
      </c>
      <c r="R339" s="28" t="n">
        <v>0</v>
      </c>
      <c r="S339" s="42" t="n">
        <v>1</v>
      </c>
      <c r="T339" s="3" t="n">
        <v>32</v>
      </c>
      <c r="U339" s="3" t="n">
        <v>0</v>
      </c>
      <c r="V339" s="3" t="n">
        <v>33287.84</v>
      </c>
      <c r="W339" s="42" t="n">
        <v>0.1051</v>
      </c>
      <c r="X339" s="23" t="n">
        <v>43518</v>
      </c>
      <c r="Y339" s="3">
        <f>IF(I339="","No SIC",IFERROR(VLOOKUP(I339,Ref!$A$2:$B$65,2,FALSE()),"Unclassified"))</f>
        <v/>
      </c>
      <c r="Z339" s="3">
        <f>IF(T339="","",IF(T339&lt;12,"Daily","Weekly"))</f>
        <v/>
      </c>
      <c r="AA339" s="3">
        <f>IF(T339="",0,IF(T339&lt;12,T339*Controls!$B$13,T339*5))</f>
        <v/>
      </c>
      <c r="AB339" s="3">
        <f>IF(E339="",0,NETWORKDAYS(E339,Controls!$B$20,Ref!$K$2:$K$42))</f>
        <v/>
      </c>
      <c r="AC339" s="3">
        <f>IF(OR(AF339=1,AND(AA339&gt;0,AB339&gt;=Controls!$B$23*AA339)),1,0)</f>
        <v/>
      </c>
      <c r="AD339" s="3">
        <f>IF(AND(E339&lt;&gt;"",E339&gt;=Controls!$B$21,E339&lt;=Controls!$B$22),1,0)</f>
        <v/>
      </c>
      <c r="AE339" s="3">
        <f>IF(IFERROR(VLOOKUP(D339,Controls!$A$36:$E$46,2,FALSE()),"No")="Yes",1,0)</f>
        <v/>
      </c>
      <c r="AF339" s="3">
        <f>IF(IFERROR(VLOOKUP(D339,Controls!$A$36:$E$46,3,FALSE()),"No")="Yes",1,0)</f>
        <v/>
      </c>
      <c r="AG339" s="3">
        <f>IF(IFERROR(VLOOKUP(D339,Controls!$A$36:$E$46,4,FALSE()),"No")="Yes",1,0)</f>
        <v/>
      </c>
      <c r="AH339" s="3">
        <f>IF(IFERROR(VLOOKUP(D339,Controls!$A$36:$E$46,5,FALSE()),"No")="Yes",1,0)</f>
        <v/>
      </c>
      <c r="AI339" s="3">
        <f>IF(ISNUMBER(MATCH(D339,Controls!$A$36:$A$46,0)),1,0)</f>
        <v/>
      </c>
      <c r="AJ339" s="28">
        <f>Q339-N339</f>
        <v/>
      </c>
      <c r="AK339" s="3">
        <f>IF(AE339=1,MAX(0,N339-Q339),0)</f>
        <v/>
      </c>
      <c r="AL339" s="3">
        <f>IF(OR(V339="",V339=0),0,N339/V339)</f>
        <v/>
      </c>
      <c r="AM339" s="3">
        <f>IF(OR(V339="",V339=0),0,1)</f>
        <v/>
      </c>
      <c r="AN339" s="3">
        <f>IF(OR(E339="",F339=""),0,NETWORKDAYS(E339,F339,Ref!$K$2:$K$42))</f>
        <v/>
      </c>
      <c r="AO339" s="3">
        <f>IF(L339="Renewal",1,0)</f>
        <v/>
      </c>
      <c r="AP339" s="3">
        <f>AC339*AD339</f>
        <v/>
      </c>
      <c r="AQ339" s="3">
        <f>IF(AND(G339&lt;&gt;"",'Historical Score'!$C$6&lt;&gt;""),IF(G339='Historical Score'!$C$6,1,0),0)</f>
        <v/>
      </c>
      <c r="AR339" s="3">
        <f>IF(AND(L339&lt;&gt;"",'Historical Score'!$C$5&lt;&gt;""),IF(L339='Historical Score'!$C$5,1,0),0)</f>
        <v/>
      </c>
      <c r="AS339" s="3">
        <f>IF(AND(Y339&lt;&gt;"",'Historical Score'!$C$7&lt;&gt;""),IF(Y339='Historical Score'!$C$7,1,0),0)</f>
        <v/>
      </c>
      <c r="AT339" s="3">
        <f>IF(AND(K339&lt;&gt;"",'Historical Score'!$C$8&lt;&gt;""),IF(K339='Historical Score'!$C$8,1,0),0)</f>
        <v/>
      </c>
      <c r="AU339" s="3" t="n"/>
      <c r="AV339" s="3" t="n"/>
      <c r="AW339" s="3" t="n"/>
      <c r="AX339" s="3" t="n"/>
      <c r="AY339" s="3" t="n"/>
      <c r="AZ339" s="3" t="n"/>
      <c r="BA339" s="182">
        <f>IF(AD339=1,(AR339*'Historical Score'!$K$29+1-'Historical Score'!$K$29)*(AT339*'Historical Score'!$L$29+1-'Historical Score'!$L$29)*(AS339*'Historical Score'!$M$29+1-'Historical Score'!$M$29)*(AQ339*'Historical Score'!$N$29+1-'Historical Score'!$N$29),0)</f>
        <v/>
      </c>
      <c r="BB339" s="3" t="n"/>
      <c r="BC339" s="3" t="n"/>
    </row>
    <row r="340" ht="15.75" customHeight="1" s="174">
      <c r="A340" s="3" t="inlineStr">
        <is>
          <t>5674170968</t>
        </is>
      </c>
      <c r="B340" s="3" t="inlineStr">
        <is>
          <t>Preferred Nation Inc.</t>
        </is>
      </c>
      <c r="C340" s="3" t="inlineStr">
        <is>
          <t>Preferred Nation Inc.</t>
        </is>
      </c>
      <c r="D340" s="3" t="inlineStr">
        <is>
          <t>Bankruptcy</t>
        </is>
      </c>
      <c r="E340" s="23" t="n">
        <v>45968</v>
      </c>
      <c r="F340" s="23" t="n">
        <v>46162</v>
      </c>
      <c r="G340" s="3" t="n">
        <v>5</v>
      </c>
      <c r="H340" s="3" t="inlineStr">
        <is>
          <t>3999</t>
        </is>
      </c>
      <c r="I340" s="3" t="inlineStr">
        <is>
          <t>39</t>
        </is>
      </c>
      <c r="J340" s="3" t="inlineStr">
        <is>
          <t>CA</t>
        </is>
      </c>
      <c r="K340" s="3" t="inlineStr">
        <is>
          <t>Fundwell</t>
        </is>
      </c>
      <c r="L340" s="3" t="inlineStr">
        <is>
          <t>New Deal</t>
        </is>
      </c>
      <c r="M340" s="3" t="n">
        <v>1.34</v>
      </c>
      <c r="N340" s="28" t="n">
        <v>40000</v>
      </c>
      <c r="O340" s="28" t="n">
        <v>3200</v>
      </c>
      <c r="P340" s="28" t="n">
        <v>53600</v>
      </c>
      <c r="Q340" s="28" t="n">
        <v>37374.46</v>
      </c>
      <c r="R340" s="28" t="n">
        <v>16225.54</v>
      </c>
      <c r="S340" s="42" t="n">
        <v>0.697284701492537</v>
      </c>
      <c r="T340" s="3" t="n">
        <v>26</v>
      </c>
      <c r="U340" s="3" t="n">
        <v>2</v>
      </c>
      <c r="V340" s="3" t="n">
        <v>180238.59</v>
      </c>
      <c r="W340" s="42" t="n">
        <v>0.0641</v>
      </c>
      <c r="X340" s="23" t="n">
        <v>40299</v>
      </c>
      <c r="Y340" s="3">
        <f>IF(I340="","No SIC",IFERROR(VLOOKUP(I340,Ref!$A$2:$B$65,2,FALSE()),"Unclassified"))</f>
        <v/>
      </c>
      <c r="Z340" s="3">
        <f>IF(T340="","",IF(T340&lt;12,"Daily","Weekly"))</f>
        <v/>
      </c>
      <c r="AA340" s="3">
        <f>IF(T340="",0,IF(T340&lt;12,T340*Controls!$B$13,T340*5))</f>
        <v/>
      </c>
      <c r="AB340" s="3">
        <f>IF(E340="",0,NETWORKDAYS(E340,Controls!$B$20,Ref!$K$2:$K$42))</f>
        <v/>
      </c>
      <c r="AC340" s="3">
        <f>IF(OR(AF340=1,AND(AA340&gt;0,AB340&gt;=Controls!$B$23*AA340)),1,0)</f>
        <v/>
      </c>
      <c r="AD340" s="3">
        <f>IF(AND(E340&lt;&gt;"",E340&gt;=Controls!$B$21,E340&lt;=Controls!$B$22),1,0)</f>
        <v/>
      </c>
      <c r="AE340" s="3">
        <f>IF(IFERROR(VLOOKUP(D340,Controls!$A$36:$E$46,2,FALSE()),"No")="Yes",1,0)</f>
        <v/>
      </c>
      <c r="AF340" s="3">
        <f>IF(IFERROR(VLOOKUP(D340,Controls!$A$36:$E$46,3,FALSE()),"No")="Yes",1,0)</f>
        <v/>
      </c>
      <c r="AG340" s="3">
        <f>IF(IFERROR(VLOOKUP(D340,Controls!$A$36:$E$46,4,FALSE()),"No")="Yes",1,0)</f>
        <v/>
      </c>
      <c r="AH340" s="3">
        <f>IF(IFERROR(VLOOKUP(D340,Controls!$A$36:$E$46,5,FALSE()),"No")="Yes",1,0)</f>
        <v/>
      </c>
      <c r="AI340" s="3">
        <f>IF(ISNUMBER(MATCH(D340,Controls!$A$36:$A$46,0)),1,0)</f>
        <v/>
      </c>
      <c r="AJ340" s="28">
        <f>Q340-N340</f>
        <v/>
      </c>
      <c r="AK340" s="3">
        <f>IF(AE340=1,MAX(0,N340-Q340),0)</f>
        <v/>
      </c>
      <c r="AL340" s="3">
        <f>IF(OR(V340="",V340=0),0,N340/V340)</f>
        <v/>
      </c>
      <c r="AM340" s="3">
        <f>IF(OR(V340="",V340=0),0,1)</f>
        <v/>
      </c>
      <c r="AN340" s="3">
        <f>IF(OR(E340="",F340=""),0,NETWORKDAYS(E340,F340,Ref!$K$2:$K$42))</f>
        <v/>
      </c>
      <c r="AO340" s="3">
        <f>IF(L340="Renewal",1,0)</f>
        <v/>
      </c>
      <c r="AP340" s="3">
        <f>AC340*AD340</f>
        <v/>
      </c>
      <c r="AQ340" s="3">
        <f>IF(AND(G340&lt;&gt;"",'Historical Score'!$C$6&lt;&gt;""),IF(G340='Historical Score'!$C$6,1,0),0)</f>
        <v/>
      </c>
      <c r="AR340" s="3">
        <f>IF(AND(L340&lt;&gt;"",'Historical Score'!$C$5&lt;&gt;""),IF(L340='Historical Score'!$C$5,1,0),0)</f>
        <v/>
      </c>
      <c r="AS340" s="3">
        <f>IF(AND(Y340&lt;&gt;"",'Historical Score'!$C$7&lt;&gt;""),IF(Y340='Historical Score'!$C$7,1,0),0)</f>
        <v/>
      </c>
      <c r="AT340" s="3">
        <f>IF(AND(K340&lt;&gt;"",'Historical Score'!$C$8&lt;&gt;""),IF(K340='Historical Score'!$C$8,1,0),0)</f>
        <v/>
      </c>
      <c r="AU340" s="3" t="n"/>
      <c r="AV340" s="3" t="n"/>
      <c r="AW340" s="3" t="n"/>
      <c r="AX340" s="3" t="n"/>
      <c r="AY340" s="3" t="n"/>
      <c r="AZ340" s="3" t="n"/>
      <c r="BA340" s="182">
        <f>IF(AD340=1,(AR340*'Historical Score'!$K$29+1-'Historical Score'!$K$29)*(AT340*'Historical Score'!$L$29+1-'Historical Score'!$L$29)*(AS340*'Historical Score'!$M$29+1-'Historical Score'!$M$29)*(AQ340*'Historical Score'!$N$29+1-'Historical Score'!$N$29),0)</f>
        <v/>
      </c>
      <c r="BB340" s="3" t="n"/>
      <c r="BC340" s="3" t="n"/>
    </row>
    <row r="341" ht="15.75" customHeight="1" s="174">
      <c r="A341" s="3" t="inlineStr">
        <is>
          <t>5674170970</t>
        </is>
      </c>
      <c r="B341" s="3" t="inlineStr">
        <is>
          <t>New Litttle Thai Chef, LLC</t>
        </is>
      </c>
      <c r="C341" s="3" t="inlineStr">
        <is>
          <t>New Litttle Thai Chef, LLC</t>
        </is>
      </c>
      <c r="D341" s="3" t="inlineStr">
        <is>
          <t>Closed</t>
        </is>
      </c>
      <c r="E341" s="23" t="n">
        <v>45968</v>
      </c>
      <c r="F341" s="23" t="n">
        <v>46083</v>
      </c>
      <c r="G341" s="3" t="n">
        <v>6</v>
      </c>
      <c r="H341" s="3" t="inlineStr">
        <is>
          <t>5812</t>
        </is>
      </c>
      <c r="I341" s="3" t="inlineStr">
        <is>
          <t>58</t>
        </is>
      </c>
      <c r="J341" s="3" t="inlineStr">
        <is>
          <t>TX</t>
        </is>
      </c>
      <c r="K341" s="3" t="inlineStr">
        <is>
          <t>Westwood</t>
        </is>
      </c>
      <c r="L341" s="3" t="inlineStr">
        <is>
          <t>New Deal</t>
        </is>
      </c>
      <c r="M341" s="3" t="n">
        <v>1.49</v>
      </c>
      <c r="N341" s="28" t="n">
        <v>5000</v>
      </c>
      <c r="O341" s="28" t="n">
        <v>700</v>
      </c>
      <c r="P341" s="28" t="n">
        <v>7450</v>
      </c>
      <c r="Q341" s="28" t="n">
        <v>7450</v>
      </c>
      <c r="R341" s="28" t="n">
        <v>0</v>
      </c>
      <c r="S341" s="42" t="n">
        <v>1</v>
      </c>
      <c r="T341" s="3" t="n">
        <v>2.459</v>
      </c>
      <c r="U341" s="3" t="n">
        <v>0</v>
      </c>
      <c r="V341" s="3" t="n">
        <v>16177.88</v>
      </c>
      <c r="W341" s="42" t="n">
        <v>0.1289</v>
      </c>
      <c r="X341" s="23" t="n">
        <v>44593</v>
      </c>
      <c r="Y341" s="3">
        <f>IF(I341="","No SIC",IFERROR(VLOOKUP(I341,Ref!$A$2:$B$65,2,FALSE()),"Unclassified"))</f>
        <v/>
      </c>
      <c r="Z341" s="3">
        <f>IF(T341="","",IF(T341&lt;12,"Daily","Weekly"))</f>
        <v/>
      </c>
      <c r="AA341" s="3">
        <f>IF(T341="",0,IF(T341&lt;12,T341*Controls!$B$13,T341*5))</f>
        <v/>
      </c>
      <c r="AB341" s="3">
        <f>IF(E341="",0,NETWORKDAYS(E341,Controls!$B$20,Ref!$K$2:$K$42))</f>
        <v/>
      </c>
      <c r="AC341" s="3">
        <f>IF(OR(AF341=1,AND(AA341&gt;0,AB341&gt;=Controls!$B$23*AA341)),1,0)</f>
        <v/>
      </c>
      <c r="AD341" s="3">
        <f>IF(AND(E341&lt;&gt;"",E341&gt;=Controls!$B$21,E341&lt;=Controls!$B$22),1,0)</f>
        <v/>
      </c>
      <c r="AE341" s="3">
        <f>IF(IFERROR(VLOOKUP(D341,Controls!$A$36:$E$46,2,FALSE()),"No")="Yes",1,0)</f>
        <v/>
      </c>
      <c r="AF341" s="3">
        <f>IF(IFERROR(VLOOKUP(D341,Controls!$A$36:$E$46,3,FALSE()),"No")="Yes",1,0)</f>
        <v/>
      </c>
      <c r="AG341" s="3">
        <f>IF(IFERROR(VLOOKUP(D341,Controls!$A$36:$E$46,4,FALSE()),"No")="Yes",1,0)</f>
        <v/>
      </c>
      <c r="AH341" s="3">
        <f>IF(IFERROR(VLOOKUP(D341,Controls!$A$36:$E$46,5,FALSE()),"No")="Yes",1,0)</f>
        <v/>
      </c>
      <c r="AI341" s="3">
        <f>IF(ISNUMBER(MATCH(D341,Controls!$A$36:$A$46,0)),1,0)</f>
        <v/>
      </c>
      <c r="AJ341" s="28">
        <f>Q341-N341</f>
        <v/>
      </c>
      <c r="AK341" s="3">
        <f>IF(AE341=1,MAX(0,N341-Q341),0)</f>
        <v/>
      </c>
      <c r="AL341" s="3">
        <f>IF(OR(V341="",V341=0),0,N341/V341)</f>
        <v/>
      </c>
      <c r="AM341" s="3">
        <f>IF(OR(V341="",V341=0),0,1)</f>
        <v/>
      </c>
      <c r="AN341" s="3">
        <f>IF(OR(E341="",F341=""),0,NETWORKDAYS(E341,F341,Ref!$K$2:$K$42))</f>
        <v/>
      </c>
      <c r="AO341" s="3">
        <f>IF(L341="Renewal",1,0)</f>
        <v/>
      </c>
      <c r="AP341" s="3">
        <f>AC341*AD341</f>
        <v/>
      </c>
      <c r="AQ341" s="3">
        <f>IF(AND(G341&lt;&gt;"",'Historical Score'!$C$6&lt;&gt;""),IF(G341='Historical Score'!$C$6,1,0),0)</f>
        <v/>
      </c>
      <c r="AR341" s="3">
        <f>IF(AND(L341&lt;&gt;"",'Historical Score'!$C$5&lt;&gt;""),IF(L341='Historical Score'!$C$5,1,0),0)</f>
        <v/>
      </c>
      <c r="AS341" s="3">
        <f>IF(AND(Y341&lt;&gt;"",'Historical Score'!$C$7&lt;&gt;""),IF(Y341='Historical Score'!$C$7,1,0),0)</f>
        <v/>
      </c>
      <c r="AT341" s="3">
        <f>IF(AND(K341&lt;&gt;"",'Historical Score'!$C$8&lt;&gt;""),IF(K341='Historical Score'!$C$8,1,0),0)</f>
        <v/>
      </c>
      <c r="AU341" s="3" t="n"/>
      <c r="AV341" s="3" t="n"/>
      <c r="AW341" s="3" t="n"/>
      <c r="AX341" s="3" t="n"/>
      <c r="AY341" s="3" t="n"/>
      <c r="AZ341" s="3" t="n"/>
      <c r="BA341" s="182">
        <f>IF(AD341=1,(AR341*'Historical Score'!$K$29+1-'Historical Score'!$K$29)*(AT341*'Historical Score'!$L$29+1-'Historical Score'!$L$29)*(AS341*'Historical Score'!$M$29+1-'Historical Score'!$M$29)*(AQ341*'Historical Score'!$N$29+1-'Historical Score'!$N$29),0)</f>
        <v/>
      </c>
      <c r="BB341" s="3" t="n"/>
      <c r="BC341" s="3" t="n"/>
    </row>
    <row r="342" ht="15.75" customHeight="1" s="174">
      <c r="A342" s="3" t="inlineStr">
        <is>
          <t>5674170978</t>
        </is>
      </c>
      <c r="B342" s="3" t="inlineStr">
        <is>
          <t>Banks Chiropractic and Medical</t>
        </is>
      </c>
      <c r="C342" s="3" t="inlineStr">
        <is>
          <t>Banks Chiropractic and Medical</t>
        </is>
      </c>
      <c r="D342" s="3" t="inlineStr">
        <is>
          <t>Legal</t>
        </is>
      </c>
      <c r="E342" s="23" t="n">
        <v>45968</v>
      </c>
      <c r="F342" s="23" t="n">
        <v>46176</v>
      </c>
      <c r="G342" s="3" t="n">
        <v>4</v>
      </c>
      <c r="H342" s="3" t="inlineStr">
        <is>
          <t>8041</t>
        </is>
      </c>
      <c r="I342" s="3" t="inlineStr">
        <is>
          <t>80</t>
        </is>
      </c>
      <c r="J342" s="3" t="inlineStr">
        <is>
          <t>HI</t>
        </is>
      </c>
      <c r="K342" s="3" t="inlineStr">
        <is>
          <t>Platform Funding</t>
        </is>
      </c>
      <c r="L342" s="3" t="inlineStr">
        <is>
          <t>New Deal</t>
        </is>
      </c>
      <c r="M342" s="3" t="n">
        <v>1.49</v>
      </c>
      <c r="N342" s="28" t="n">
        <v>20000</v>
      </c>
      <c r="O342" s="28" t="n">
        <v>2800</v>
      </c>
      <c r="P342" s="28" t="n">
        <v>29800</v>
      </c>
      <c r="Q342" s="28" t="n">
        <v>6228.63</v>
      </c>
      <c r="R342" s="28" t="n">
        <v>23571.37</v>
      </c>
      <c r="S342" s="42" t="n">
        <v>0.209014429530201</v>
      </c>
      <c r="T342" s="3" t="n">
        <v>3.607</v>
      </c>
      <c r="U342" s="3" t="n">
        <v>20</v>
      </c>
      <c r="V342" s="3" t="n">
        <v>57041.39</v>
      </c>
      <c r="W342" s="42" t="n">
        <v>0.0997</v>
      </c>
      <c r="X342" s="23" t="n">
        <v>43800</v>
      </c>
      <c r="Y342" s="3">
        <f>IF(I342="","No SIC",IFERROR(VLOOKUP(I342,Ref!$A$2:$B$65,2,FALSE()),"Unclassified"))</f>
        <v/>
      </c>
      <c r="Z342" s="3">
        <f>IF(T342="","",IF(T342&lt;12,"Daily","Weekly"))</f>
        <v/>
      </c>
      <c r="AA342" s="3">
        <f>IF(T342="",0,IF(T342&lt;12,T342*Controls!$B$13,T342*5))</f>
        <v/>
      </c>
      <c r="AB342" s="3">
        <f>IF(E342="",0,NETWORKDAYS(E342,Controls!$B$20,Ref!$K$2:$K$42))</f>
        <v/>
      </c>
      <c r="AC342" s="3">
        <f>IF(OR(AF342=1,AND(AA342&gt;0,AB342&gt;=Controls!$B$23*AA342)),1,0)</f>
        <v/>
      </c>
      <c r="AD342" s="3">
        <f>IF(AND(E342&lt;&gt;"",E342&gt;=Controls!$B$21,E342&lt;=Controls!$B$22),1,0)</f>
        <v/>
      </c>
      <c r="AE342" s="3">
        <f>IF(IFERROR(VLOOKUP(D342,Controls!$A$36:$E$46,2,FALSE()),"No")="Yes",1,0)</f>
        <v/>
      </c>
      <c r="AF342" s="3">
        <f>IF(IFERROR(VLOOKUP(D342,Controls!$A$36:$E$46,3,FALSE()),"No")="Yes",1,0)</f>
        <v/>
      </c>
      <c r="AG342" s="3">
        <f>IF(IFERROR(VLOOKUP(D342,Controls!$A$36:$E$46,4,FALSE()),"No")="Yes",1,0)</f>
        <v/>
      </c>
      <c r="AH342" s="3">
        <f>IF(IFERROR(VLOOKUP(D342,Controls!$A$36:$E$46,5,FALSE()),"No")="Yes",1,0)</f>
        <v/>
      </c>
      <c r="AI342" s="3">
        <f>IF(ISNUMBER(MATCH(D342,Controls!$A$36:$A$46,0)),1,0)</f>
        <v/>
      </c>
      <c r="AJ342" s="28">
        <f>Q342-N342</f>
        <v/>
      </c>
      <c r="AK342" s="3">
        <f>IF(AE342=1,MAX(0,N342-Q342),0)</f>
        <v/>
      </c>
      <c r="AL342" s="3">
        <f>IF(OR(V342="",V342=0),0,N342/V342)</f>
        <v/>
      </c>
      <c r="AM342" s="3">
        <f>IF(OR(V342="",V342=0),0,1)</f>
        <v/>
      </c>
      <c r="AN342" s="3">
        <f>IF(OR(E342="",F342=""),0,NETWORKDAYS(E342,F342,Ref!$K$2:$K$42))</f>
        <v/>
      </c>
      <c r="AO342" s="3">
        <f>IF(L342="Renewal",1,0)</f>
        <v/>
      </c>
      <c r="AP342" s="3">
        <f>AC342*AD342</f>
        <v/>
      </c>
      <c r="AQ342" s="3">
        <f>IF(AND(G342&lt;&gt;"",'Historical Score'!$C$6&lt;&gt;""),IF(G342='Historical Score'!$C$6,1,0),0)</f>
        <v/>
      </c>
      <c r="AR342" s="3">
        <f>IF(AND(L342&lt;&gt;"",'Historical Score'!$C$5&lt;&gt;""),IF(L342='Historical Score'!$C$5,1,0),0)</f>
        <v/>
      </c>
      <c r="AS342" s="3">
        <f>IF(AND(Y342&lt;&gt;"",'Historical Score'!$C$7&lt;&gt;""),IF(Y342='Historical Score'!$C$7,1,0),0)</f>
        <v/>
      </c>
      <c r="AT342" s="3">
        <f>IF(AND(K342&lt;&gt;"",'Historical Score'!$C$8&lt;&gt;""),IF(K342='Historical Score'!$C$8,1,0),0)</f>
        <v/>
      </c>
      <c r="AU342" s="3" t="n"/>
      <c r="AV342" s="3" t="n"/>
      <c r="AW342" s="3" t="n"/>
      <c r="AX342" s="3" t="n"/>
      <c r="AY342" s="3" t="n"/>
      <c r="AZ342" s="3" t="n"/>
      <c r="BA342" s="182">
        <f>IF(AD342=1,(AR342*'Historical Score'!$K$29+1-'Historical Score'!$K$29)*(AT342*'Historical Score'!$L$29+1-'Historical Score'!$L$29)*(AS342*'Historical Score'!$M$29+1-'Historical Score'!$M$29)*(AQ342*'Historical Score'!$N$29+1-'Historical Score'!$N$29),0)</f>
        <v/>
      </c>
      <c r="BB342" s="3" t="n"/>
      <c r="BC342" s="3" t="n"/>
    </row>
    <row r="343" ht="15.75" customHeight="1" s="174">
      <c r="A343" s="3" t="inlineStr">
        <is>
          <t>5674171028</t>
        </is>
      </c>
      <c r="B343" s="3" t="inlineStr">
        <is>
          <t>ValuCompass</t>
        </is>
      </c>
      <c r="C343" s="3" t="inlineStr">
        <is>
          <t>ValuCompass, LLC</t>
        </is>
      </c>
      <c r="D343" s="3" t="inlineStr">
        <is>
          <t>In House Collection</t>
        </is>
      </c>
      <c r="E343" s="23" t="n">
        <v>45971</v>
      </c>
      <c r="F343" s="23" t="n">
        <v>46253</v>
      </c>
      <c r="G343" s="3" t="n">
        <v>6</v>
      </c>
      <c r="H343" s="3" t="inlineStr">
        <is>
          <t>7372</t>
        </is>
      </c>
      <c r="I343" s="3" t="inlineStr">
        <is>
          <t>73</t>
        </is>
      </c>
      <c r="J343" s="3" t="inlineStr">
        <is>
          <t>VT</t>
        </is>
      </c>
      <c r="K343" s="3" t="inlineStr">
        <is>
          <t>National Business Capital</t>
        </is>
      </c>
      <c r="L343" s="3" t="inlineStr">
        <is>
          <t>New Deal</t>
        </is>
      </c>
      <c r="M343" s="3" t="n">
        <v>1.499</v>
      </c>
      <c r="N343" s="28" t="n">
        <v>20000</v>
      </c>
      <c r="O343" s="28" t="n">
        <v>2800</v>
      </c>
      <c r="P343" s="28" t="n">
        <v>29980</v>
      </c>
      <c r="Q343" s="28" t="n">
        <v>8202.1</v>
      </c>
      <c r="R343" s="28" t="n">
        <v>21777.9</v>
      </c>
      <c r="S343" s="42" t="n">
        <v>0.273585723815877</v>
      </c>
      <c r="T343" s="3" t="n">
        <v>16</v>
      </c>
      <c r="U343" s="3" t="n">
        <v>29</v>
      </c>
      <c r="V343" s="3" t="n">
        <v>197275.44</v>
      </c>
      <c r="W343" s="42" t="n">
        <v>0.0378</v>
      </c>
      <c r="X343" s="23" t="n"/>
      <c r="Y343" s="3">
        <f>IF(I343="","No SIC",IFERROR(VLOOKUP(I343,Ref!$A$2:$B$65,2,FALSE()),"Unclassified"))</f>
        <v/>
      </c>
      <c r="Z343" s="3">
        <f>IF(T343="","",IF(T343&lt;12,"Daily","Weekly"))</f>
        <v/>
      </c>
      <c r="AA343" s="3">
        <f>IF(T343="",0,IF(T343&lt;12,T343*Controls!$B$13,T343*5))</f>
        <v/>
      </c>
      <c r="AB343" s="3">
        <f>IF(E343="",0,NETWORKDAYS(E343,Controls!$B$20,Ref!$K$2:$K$42))</f>
        <v/>
      </c>
      <c r="AC343" s="3">
        <f>IF(OR(AF343=1,AND(AA343&gt;0,AB343&gt;=Controls!$B$23*AA343)),1,0)</f>
        <v/>
      </c>
      <c r="AD343" s="3">
        <f>IF(AND(E343&lt;&gt;"",E343&gt;=Controls!$B$21,E343&lt;=Controls!$B$22),1,0)</f>
        <v/>
      </c>
      <c r="AE343" s="3">
        <f>IF(IFERROR(VLOOKUP(D343,Controls!$A$36:$E$46,2,FALSE()),"No")="Yes",1,0)</f>
        <v/>
      </c>
      <c r="AF343" s="3">
        <f>IF(IFERROR(VLOOKUP(D343,Controls!$A$36:$E$46,3,FALSE()),"No")="Yes",1,0)</f>
        <v/>
      </c>
      <c r="AG343" s="3">
        <f>IF(IFERROR(VLOOKUP(D343,Controls!$A$36:$E$46,4,FALSE()),"No")="Yes",1,0)</f>
        <v/>
      </c>
      <c r="AH343" s="3">
        <f>IF(IFERROR(VLOOKUP(D343,Controls!$A$36:$E$46,5,FALSE()),"No")="Yes",1,0)</f>
        <v/>
      </c>
      <c r="AI343" s="3">
        <f>IF(ISNUMBER(MATCH(D343,Controls!$A$36:$A$46,0)),1,0)</f>
        <v/>
      </c>
      <c r="AJ343" s="28">
        <f>Q343-N343</f>
        <v/>
      </c>
      <c r="AK343" s="3">
        <f>IF(AE343=1,MAX(0,N343-Q343),0)</f>
        <v/>
      </c>
      <c r="AL343" s="3">
        <f>IF(OR(V343="",V343=0),0,N343/V343)</f>
        <v/>
      </c>
      <c r="AM343" s="3">
        <f>IF(OR(V343="",V343=0),0,1)</f>
        <v/>
      </c>
      <c r="AN343" s="3">
        <f>IF(OR(E343="",F343=""),0,NETWORKDAYS(E343,F343,Ref!$K$2:$K$42))</f>
        <v/>
      </c>
      <c r="AO343" s="3">
        <f>IF(L343="Renewal",1,0)</f>
        <v/>
      </c>
      <c r="AP343" s="3">
        <f>AC343*AD343</f>
        <v/>
      </c>
      <c r="AQ343" s="3">
        <f>IF(AND(G343&lt;&gt;"",'Historical Score'!$C$6&lt;&gt;""),IF(G343='Historical Score'!$C$6,1,0),0)</f>
        <v/>
      </c>
      <c r="AR343" s="3">
        <f>IF(AND(L343&lt;&gt;"",'Historical Score'!$C$5&lt;&gt;""),IF(L343='Historical Score'!$C$5,1,0),0)</f>
        <v/>
      </c>
      <c r="AS343" s="3">
        <f>IF(AND(Y343&lt;&gt;"",'Historical Score'!$C$7&lt;&gt;""),IF(Y343='Historical Score'!$C$7,1,0),0)</f>
        <v/>
      </c>
      <c r="AT343" s="3">
        <f>IF(AND(K343&lt;&gt;"",'Historical Score'!$C$8&lt;&gt;""),IF(K343='Historical Score'!$C$8,1,0),0)</f>
        <v/>
      </c>
      <c r="AU343" s="3" t="n"/>
      <c r="AV343" s="3" t="n"/>
      <c r="AW343" s="3" t="n"/>
      <c r="AX343" s="3" t="n"/>
      <c r="AY343" s="3" t="n"/>
      <c r="AZ343" s="3" t="n"/>
      <c r="BA343" s="182">
        <f>IF(AD343=1,(AR343*'Historical Score'!$K$29+1-'Historical Score'!$K$29)*(AT343*'Historical Score'!$L$29+1-'Historical Score'!$L$29)*(AS343*'Historical Score'!$M$29+1-'Historical Score'!$M$29)*(AQ343*'Historical Score'!$N$29+1-'Historical Score'!$N$29),0)</f>
        <v/>
      </c>
      <c r="BB343" s="3" t="n"/>
      <c r="BC343" s="3" t="n"/>
    </row>
    <row r="344" ht="15.75" customHeight="1" s="174">
      <c r="A344" s="3" t="inlineStr">
        <is>
          <t>5674171103</t>
        </is>
      </c>
      <c r="B344" s="3" t="inlineStr">
        <is>
          <t>SM &amp; SONS INC</t>
        </is>
      </c>
      <c r="C344" s="3" t="inlineStr">
        <is>
          <t>SM &amp; SONS INC</t>
        </is>
      </c>
      <c r="D344" s="3" t="inlineStr">
        <is>
          <t>Legal</t>
        </is>
      </c>
      <c r="E344" s="23" t="n">
        <v>45971</v>
      </c>
      <c r="F344" s="23" t="n">
        <v>46210</v>
      </c>
      <c r="G344" s="3" t="n">
        <v>5</v>
      </c>
      <c r="H344" s="3" t="inlineStr">
        <is>
          <t>1521</t>
        </is>
      </c>
      <c r="I344" s="3" t="inlineStr">
        <is>
          <t>15</t>
        </is>
      </c>
      <c r="J344" s="3" t="inlineStr">
        <is>
          <t>IA</t>
        </is>
      </c>
      <c r="K344" s="3" t="inlineStr">
        <is>
          <t>United Secured Capital 8</t>
        </is>
      </c>
      <c r="L344" s="3" t="inlineStr">
        <is>
          <t>New Deal</t>
        </is>
      </c>
      <c r="M344" s="3" t="n">
        <v>1.49</v>
      </c>
      <c r="N344" s="28" t="n">
        <v>10000</v>
      </c>
      <c r="O344" s="28" t="n">
        <v>1400</v>
      </c>
      <c r="P344" s="28" t="n">
        <v>14900</v>
      </c>
      <c r="Q344" s="28" t="n">
        <v>366.17</v>
      </c>
      <c r="R344" s="28" t="n">
        <v>14533.83</v>
      </c>
      <c r="S344" s="42" t="n">
        <v>0.0245751677852349</v>
      </c>
      <c r="T344" s="3" t="n">
        <v>2.623</v>
      </c>
      <c r="U344" s="3" t="n">
        <v>8</v>
      </c>
      <c r="V344" s="3" t="n">
        <v>61143.08</v>
      </c>
      <c r="W344" s="42" t="n">
        <v>0.064</v>
      </c>
      <c r="X344" s="23" t="n"/>
      <c r="Y344" s="3">
        <f>IF(I344="","No SIC",IFERROR(VLOOKUP(I344,Ref!$A$2:$B$65,2,FALSE()),"Unclassified"))</f>
        <v/>
      </c>
      <c r="Z344" s="3">
        <f>IF(T344="","",IF(T344&lt;12,"Daily","Weekly"))</f>
        <v/>
      </c>
      <c r="AA344" s="3">
        <f>IF(T344="",0,IF(T344&lt;12,T344*Controls!$B$13,T344*5))</f>
        <v/>
      </c>
      <c r="AB344" s="3">
        <f>IF(E344="",0,NETWORKDAYS(E344,Controls!$B$20,Ref!$K$2:$K$42))</f>
        <v/>
      </c>
      <c r="AC344" s="3">
        <f>IF(OR(AF344=1,AND(AA344&gt;0,AB344&gt;=Controls!$B$23*AA344)),1,0)</f>
        <v/>
      </c>
      <c r="AD344" s="3">
        <f>IF(AND(E344&lt;&gt;"",E344&gt;=Controls!$B$21,E344&lt;=Controls!$B$22),1,0)</f>
        <v/>
      </c>
      <c r="AE344" s="3">
        <f>IF(IFERROR(VLOOKUP(D344,Controls!$A$36:$E$46,2,FALSE()),"No")="Yes",1,0)</f>
        <v/>
      </c>
      <c r="AF344" s="3">
        <f>IF(IFERROR(VLOOKUP(D344,Controls!$A$36:$E$46,3,FALSE()),"No")="Yes",1,0)</f>
        <v/>
      </c>
      <c r="AG344" s="3">
        <f>IF(IFERROR(VLOOKUP(D344,Controls!$A$36:$E$46,4,FALSE()),"No")="Yes",1,0)</f>
        <v/>
      </c>
      <c r="AH344" s="3">
        <f>IF(IFERROR(VLOOKUP(D344,Controls!$A$36:$E$46,5,FALSE()),"No")="Yes",1,0)</f>
        <v/>
      </c>
      <c r="AI344" s="3">
        <f>IF(ISNUMBER(MATCH(D344,Controls!$A$36:$A$46,0)),1,0)</f>
        <v/>
      </c>
      <c r="AJ344" s="28">
        <f>Q344-N344</f>
        <v/>
      </c>
      <c r="AK344" s="3">
        <f>IF(AE344=1,MAX(0,N344-Q344),0)</f>
        <v/>
      </c>
      <c r="AL344" s="3">
        <f>IF(OR(V344="",V344=0),0,N344/V344)</f>
        <v/>
      </c>
      <c r="AM344" s="3">
        <f>IF(OR(V344="",V344=0),0,1)</f>
        <v/>
      </c>
      <c r="AN344" s="3">
        <f>IF(OR(E344="",F344=""),0,NETWORKDAYS(E344,F344,Ref!$K$2:$K$42))</f>
        <v/>
      </c>
      <c r="AO344" s="3">
        <f>IF(L344="Renewal",1,0)</f>
        <v/>
      </c>
      <c r="AP344" s="3">
        <f>AC344*AD344</f>
        <v/>
      </c>
      <c r="AQ344" s="3">
        <f>IF(AND(G344&lt;&gt;"",'Historical Score'!$C$6&lt;&gt;""),IF(G344='Historical Score'!$C$6,1,0),0)</f>
        <v/>
      </c>
      <c r="AR344" s="3">
        <f>IF(AND(L344&lt;&gt;"",'Historical Score'!$C$5&lt;&gt;""),IF(L344='Historical Score'!$C$5,1,0),0)</f>
        <v/>
      </c>
      <c r="AS344" s="3">
        <f>IF(AND(Y344&lt;&gt;"",'Historical Score'!$C$7&lt;&gt;""),IF(Y344='Historical Score'!$C$7,1,0),0)</f>
        <v/>
      </c>
      <c r="AT344" s="3">
        <f>IF(AND(K344&lt;&gt;"",'Historical Score'!$C$8&lt;&gt;""),IF(K344='Historical Score'!$C$8,1,0),0)</f>
        <v/>
      </c>
      <c r="AU344" s="3" t="n"/>
      <c r="AV344" s="3" t="n"/>
      <c r="AW344" s="3" t="n"/>
      <c r="AX344" s="3" t="n"/>
      <c r="AY344" s="3" t="n"/>
      <c r="AZ344" s="3" t="n"/>
      <c r="BA344" s="182">
        <f>IF(AD344=1,(AR344*'Historical Score'!$K$29+1-'Historical Score'!$K$29)*(AT344*'Historical Score'!$L$29+1-'Historical Score'!$L$29)*(AS344*'Historical Score'!$M$29+1-'Historical Score'!$M$29)*(AQ344*'Historical Score'!$N$29+1-'Historical Score'!$N$29),0)</f>
        <v/>
      </c>
      <c r="BB344" s="3" t="n"/>
      <c r="BC344" s="3" t="n"/>
    </row>
    <row r="345" ht="15.75" customHeight="1" s="174">
      <c r="A345" s="3" t="inlineStr">
        <is>
          <t>5674171153</t>
        </is>
      </c>
      <c r="B345" s="3" t="inlineStr">
        <is>
          <t>THE HOUSE OF JIREH MINISTRIES</t>
        </is>
      </c>
      <c r="C345" s="3" t="inlineStr">
        <is>
          <t>THE HOUSE OF JIREH MINISTRIES, INC.</t>
        </is>
      </c>
      <c r="D345" s="3" t="inlineStr">
        <is>
          <t>Closed</t>
        </is>
      </c>
      <c r="E345" s="23" t="n">
        <v>45973</v>
      </c>
      <c r="F345" s="23" t="n">
        <v>46051</v>
      </c>
      <c r="G345" s="3" t="n">
        <v>2</v>
      </c>
      <c r="H345" s="3" t="inlineStr">
        <is>
          <t>8661</t>
        </is>
      </c>
      <c r="I345" s="3" t="inlineStr">
        <is>
          <t>86</t>
        </is>
      </c>
      <c r="J345" s="3" t="inlineStr">
        <is>
          <t>TX</t>
        </is>
      </c>
      <c r="K345" s="3" t="inlineStr">
        <is>
          <t>United Secured Capital 8</t>
        </is>
      </c>
      <c r="L345" s="3" t="inlineStr">
        <is>
          <t>New Deal</t>
        </is>
      </c>
      <c r="M345" s="3" t="n">
        <v>1.49</v>
      </c>
      <c r="N345" s="28" t="n">
        <v>15000</v>
      </c>
      <c r="O345" s="28" t="n">
        <v>2100</v>
      </c>
      <c r="P345" s="28" t="n">
        <v>22350</v>
      </c>
      <c r="Q345" s="28" t="n">
        <v>22350</v>
      </c>
      <c r="R345" s="28" t="n">
        <v>0</v>
      </c>
      <c r="S345" s="42" t="n">
        <v>1</v>
      </c>
      <c r="T345" s="3" t="n">
        <v>3.607</v>
      </c>
      <c r="U345" s="3" t="n">
        <v>0</v>
      </c>
      <c r="V345" s="3" t="n">
        <v>57074.76</v>
      </c>
      <c r="W345" s="42" t="n">
        <v>0.07480000000000001</v>
      </c>
      <c r="X345" s="23" t="n"/>
      <c r="Y345" s="3">
        <f>IF(I345="","No SIC",IFERROR(VLOOKUP(I345,Ref!$A$2:$B$65,2,FALSE()),"Unclassified"))</f>
        <v/>
      </c>
      <c r="Z345" s="3">
        <f>IF(T345="","",IF(T345&lt;12,"Daily","Weekly"))</f>
        <v/>
      </c>
      <c r="AA345" s="3">
        <f>IF(T345="",0,IF(T345&lt;12,T345*Controls!$B$13,T345*5))</f>
        <v/>
      </c>
      <c r="AB345" s="3">
        <f>IF(E345="",0,NETWORKDAYS(E345,Controls!$B$20,Ref!$K$2:$K$42))</f>
        <v/>
      </c>
      <c r="AC345" s="3">
        <f>IF(OR(AF345=1,AND(AA345&gt;0,AB345&gt;=Controls!$B$23*AA345)),1,0)</f>
        <v/>
      </c>
      <c r="AD345" s="3">
        <f>IF(AND(E345&lt;&gt;"",E345&gt;=Controls!$B$21,E345&lt;=Controls!$B$22),1,0)</f>
        <v/>
      </c>
      <c r="AE345" s="3">
        <f>IF(IFERROR(VLOOKUP(D345,Controls!$A$36:$E$46,2,FALSE()),"No")="Yes",1,0)</f>
        <v/>
      </c>
      <c r="AF345" s="3">
        <f>IF(IFERROR(VLOOKUP(D345,Controls!$A$36:$E$46,3,FALSE()),"No")="Yes",1,0)</f>
        <v/>
      </c>
      <c r="AG345" s="3">
        <f>IF(IFERROR(VLOOKUP(D345,Controls!$A$36:$E$46,4,FALSE()),"No")="Yes",1,0)</f>
        <v/>
      </c>
      <c r="AH345" s="3">
        <f>IF(IFERROR(VLOOKUP(D345,Controls!$A$36:$E$46,5,FALSE()),"No")="Yes",1,0)</f>
        <v/>
      </c>
      <c r="AI345" s="3">
        <f>IF(ISNUMBER(MATCH(D345,Controls!$A$36:$A$46,0)),1,0)</f>
        <v/>
      </c>
      <c r="AJ345" s="28">
        <f>Q345-N345</f>
        <v/>
      </c>
      <c r="AK345" s="3">
        <f>IF(AE345=1,MAX(0,N345-Q345),0)</f>
        <v/>
      </c>
      <c r="AL345" s="3">
        <f>IF(OR(V345="",V345=0),0,N345/V345)</f>
        <v/>
      </c>
      <c r="AM345" s="3">
        <f>IF(OR(V345="",V345=0),0,1)</f>
        <v/>
      </c>
      <c r="AN345" s="3">
        <f>IF(OR(E345="",F345=""),0,NETWORKDAYS(E345,F345,Ref!$K$2:$K$42))</f>
        <v/>
      </c>
      <c r="AO345" s="3">
        <f>IF(L345="Renewal",1,0)</f>
        <v/>
      </c>
      <c r="AP345" s="3">
        <f>AC345*AD345</f>
        <v/>
      </c>
      <c r="AQ345" s="3">
        <f>IF(AND(G345&lt;&gt;"",'Historical Score'!$C$6&lt;&gt;""),IF(G345='Historical Score'!$C$6,1,0),0)</f>
        <v/>
      </c>
      <c r="AR345" s="3">
        <f>IF(AND(L345&lt;&gt;"",'Historical Score'!$C$5&lt;&gt;""),IF(L345='Historical Score'!$C$5,1,0),0)</f>
        <v/>
      </c>
      <c r="AS345" s="3">
        <f>IF(AND(Y345&lt;&gt;"",'Historical Score'!$C$7&lt;&gt;""),IF(Y345='Historical Score'!$C$7,1,0),0)</f>
        <v/>
      </c>
      <c r="AT345" s="3">
        <f>IF(AND(K345&lt;&gt;"",'Historical Score'!$C$8&lt;&gt;""),IF(K345='Historical Score'!$C$8,1,0),0)</f>
        <v/>
      </c>
      <c r="AU345" s="3" t="n"/>
      <c r="AV345" s="3" t="n"/>
      <c r="AW345" s="3" t="n"/>
      <c r="AX345" s="3" t="n"/>
      <c r="AY345" s="3" t="n"/>
      <c r="AZ345" s="3" t="n"/>
      <c r="BA345" s="182">
        <f>IF(AD345=1,(AR345*'Historical Score'!$K$29+1-'Historical Score'!$K$29)*(AT345*'Historical Score'!$L$29+1-'Historical Score'!$L$29)*(AS345*'Historical Score'!$M$29+1-'Historical Score'!$M$29)*(AQ345*'Historical Score'!$N$29+1-'Historical Score'!$N$29),0)</f>
        <v/>
      </c>
      <c r="BB345" s="3" t="n"/>
      <c r="BC345" s="3" t="n"/>
    </row>
    <row r="346" ht="15.75" customHeight="1" s="174">
      <c r="A346" s="3" t="inlineStr">
        <is>
          <t>5674171177</t>
        </is>
      </c>
      <c r="B346" s="3" t="inlineStr">
        <is>
          <t>Quality NE</t>
        </is>
      </c>
      <c r="C346" s="3" t="inlineStr">
        <is>
          <t>Quality New England Construction Inc</t>
        </is>
      </c>
      <c r="D346" s="3" t="inlineStr">
        <is>
          <t>Legal</t>
        </is>
      </c>
      <c r="E346" s="23" t="n">
        <v>45973</v>
      </c>
      <c r="F346" s="23" t="n">
        <v>46048</v>
      </c>
      <c r="G346" s="3" t="n">
        <v>2</v>
      </c>
      <c r="H346" s="3" t="inlineStr">
        <is>
          <t>1521</t>
        </is>
      </c>
      <c r="I346" s="3" t="inlineStr">
        <is>
          <t>15</t>
        </is>
      </c>
      <c r="J346" s="3" t="inlineStr">
        <is>
          <t>RI</t>
        </is>
      </c>
      <c r="K346" s="3" t="inlineStr">
        <is>
          <t>Shore Funding USA</t>
        </is>
      </c>
      <c r="L346" s="3" t="inlineStr">
        <is>
          <t>New Deal</t>
        </is>
      </c>
      <c r="M346" s="3" t="n">
        <v>1.49</v>
      </c>
      <c r="N346" s="28" t="n">
        <v>20000</v>
      </c>
      <c r="O346" s="28" t="n">
        <v>0</v>
      </c>
      <c r="P346" s="28" t="n">
        <v>29800</v>
      </c>
      <c r="Q346" s="28" t="n">
        <v>0</v>
      </c>
      <c r="R346" s="28" t="n">
        <v>29800</v>
      </c>
      <c r="S346" s="42" t="n">
        <v>0</v>
      </c>
      <c r="T346" s="3" t="n">
        <v>20</v>
      </c>
      <c r="U346" s="3" t="n">
        <v>11</v>
      </c>
      <c r="V346" s="3" t="n">
        <v>71311.88</v>
      </c>
      <c r="W346" s="42" t="n">
        <v>0.08359999999999999</v>
      </c>
      <c r="X346" s="23" t="n">
        <v>44774</v>
      </c>
      <c r="Y346" s="3">
        <f>IF(I346="","No SIC",IFERROR(VLOOKUP(I346,Ref!$A$2:$B$65,2,FALSE()),"Unclassified"))</f>
        <v/>
      </c>
      <c r="Z346" s="3">
        <f>IF(T346="","",IF(T346&lt;12,"Daily","Weekly"))</f>
        <v/>
      </c>
      <c r="AA346" s="3">
        <f>IF(T346="",0,IF(T346&lt;12,T346*Controls!$B$13,T346*5))</f>
        <v/>
      </c>
      <c r="AB346" s="3">
        <f>IF(E346="",0,NETWORKDAYS(E346,Controls!$B$20,Ref!$K$2:$K$42))</f>
        <v/>
      </c>
      <c r="AC346" s="3">
        <f>IF(OR(AF346=1,AND(AA346&gt;0,AB346&gt;=Controls!$B$23*AA346)),1,0)</f>
        <v/>
      </c>
      <c r="AD346" s="3">
        <f>IF(AND(E346&lt;&gt;"",E346&gt;=Controls!$B$21,E346&lt;=Controls!$B$22),1,0)</f>
        <v/>
      </c>
      <c r="AE346" s="3">
        <f>IF(IFERROR(VLOOKUP(D346,Controls!$A$36:$E$46,2,FALSE()),"No")="Yes",1,0)</f>
        <v/>
      </c>
      <c r="AF346" s="3">
        <f>IF(IFERROR(VLOOKUP(D346,Controls!$A$36:$E$46,3,FALSE()),"No")="Yes",1,0)</f>
        <v/>
      </c>
      <c r="AG346" s="3">
        <f>IF(IFERROR(VLOOKUP(D346,Controls!$A$36:$E$46,4,FALSE()),"No")="Yes",1,0)</f>
        <v/>
      </c>
      <c r="AH346" s="3">
        <f>IF(IFERROR(VLOOKUP(D346,Controls!$A$36:$E$46,5,FALSE()),"No")="Yes",1,0)</f>
        <v/>
      </c>
      <c r="AI346" s="3">
        <f>IF(ISNUMBER(MATCH(D346,Controls!$A$36:$A$46,0)),1,0)</f>
        <v/>
      </c>
      <c r="AJ346" s="28">
        <f>Q346-N346</f>
        <v/>
      </c>
      <c r="AK346" s="3">
        <f>IF(AE346=1,MAX(0,N346-Q346),0)</f>
        <v/>
      </c>
      <c r="AL346" s="3">
        <f>IF(OR(V346="",V346=0),0,N346/V346)</f>
        <v/>
      </c>
      <c r="AM346" s="3">
        <f>IF(OR(V346="",V346=0),0,1)</f>
        <v/>
      </c>
      <c r="AN346" s="3">
        <f>IF(OR(E346="",F346=""),0,NETWORKDAYS(E346,F346,Ref!$K$2:$K$42))</f>
        <v/>
      </c>
      <c r="AO346" s="3">
        <f>IF(L346="Renewal",1,0)</f>
        <v/>
      </c>
      <c r="AP346" s="3">
        <f>AC346*AD346</f>
        <v/>
      </c>
      <c r="AQ346" s="3">
        <f>IF(AND(G346&lt;&gt;"",'Historical Score'!$C$6&lt;&gt;""),IF(G346='Historical Score'!$C$6,1,0),0)</f>
        <v/>
      </c>
      <c r="AR346" s="3">
        <f>IF(AND(L346&lt;&gt;"",'Historical Score'!$C$5&lt;&gt;""),IF(L346='Historical Score'!$C$5,1,0),0)</f>
        <v/>
      </c>
      <c r="AS346" s="3">
        <f>IF(AND(Y346&lt;&gt;"",'Historical Score'!$C$7&lt;&gt;""),IF(Y346='Historical Score'!$C$7,1,0),0)</f>
        <v/>
      </c>
      <c r="AT346" s="3">
        <f>IF(AND(K346&lt;&gt;"",'Historical Score'!$C$8&lt;&gt;""),IF(K346='Historical Score'!$C$8,1,0),0)</f>
        <v/>
      </c>
      <c r="AU346" s="3" t="n"/>
      <c r="AV346" s="3" t="n"/>
      <c r="AW346" s="3" t="n"/>
      <c r="AX346" s="3" t="n"/>
      <c r="AY346" s="3" t="n"/>
      <c r="AZ346" s="3" t="n"/>
      <c r="BA346" s="182">
        <f>IF(AD346=1,(AR346*'Historical Score'!$K$29+1-'Historical Score'!$K$29)*(AT346*'Historical Score'!$L$29+1-'Historical Score'!$L$29)*(AS346*'Historical Score'!$M$29+1-'Historical Score'!$M$29)*(AQ346*'Historical Score'!$N$29+1-'Historical Score'!$N$29),0)</f>
        <v/>
      </c>
      <c r="BB346" s="3" t="n"/>
      <c r="BC346" s="3" t="n"/>
    </row>
    <row r="347" ht="15.75" customHeight="1" s="174">
      <c r="A347" s="3" t="inlineStr">
        <is>
          <t>5674171180</t>
        </is>
      </c>
      <c r="B347" s="3" t="inlineStr">
        <is>
          <t>MOOR HERBS MARKETPLACE</t>
        </is>
      </c>
      <c r="C347" s="3" t="inlineStr">
        <is>
          <t>THE MOORISH SCIENCE - TEMPLE THE DIVINE AND NATIONAL MOVEMENT OF NORTH AMERICA INC</t>
        </is>
      </c>
      <c r="D347" s="3" t="inlineStr">
        <is>
          <t>Closed</t>
        </is>
      </c>
      <c r="E347" s="23" t="n">
        <v>45973</v>
      </c>
      <c r="F347" s="23" t="n">
        <v>46059</v>
      </c>
      <c r="G347" s="3" t="n">
        <v>4</v>
      </c>
      <c r="H347" s="3" t="inlineStr">
        <is>
          <t>5999</t>
        </is>
      </c>
      <c r="I347" s="3" t="inlineStr">
        <is>
          <t>59</t>
        </is>
      </c>
      <c r="J347" s="3" t="inlineStr">
        <is>
          <t>MI</t>
        </is>
      </c>
      <c r="K347" s="3" t="inlineStr">
        <is>
          <t>United Secured Capital 8</t>
        </is>
      </c>
      <c r="L347" s="3" t="inlineStr">
        <is>
          <t>Renewal</t>
        </is>
      </c>
      <c r="M347" s="3" t="n">
        <v>1.49</v>
      </c>
      <c r="N347" s="28" t="n">
        <v>35000</v>
      </c>
      <c r="O347" s="28" t="n">
        <v>4900</v>
      </c>
      <c r="P347" s="28" t="n">
        <v>52150</v>
      </c>
      <c r="Q347" s="28" t="n">
        <v>52150</v>
      </c>
      <c r="R347" s="28" t="n">
        <v>0</v>
      </c>
      <c r="S347" s="42" t="n">
        <v>1</v>
      </c>
      <c r="T347" s="3" t="n">
        <v>3.279</v>
      </c>
      <c r="U347" s="3" t="n">
        <v>0</v>
      </c>
      <c r="V347" s="3" t="n">
        <v>104379.99</v>
      </c>
      <c r="W347" s="42" t="n">
        <v>0.155</v>
      </c>
      <c r="X347" s="23" t="n">
        <v>43221</v>
      </c>
      <c r="Y347" s="3">
        <f>IF(I347="","No SIC",IFERROR(VLOOKUP(I347,Ref!$A$2:$B$65,2,FALSE()),"Unclassified"))</f>
        <v/>
      </c>
      <c r="Z347" s="3">
        <f>IF(T347="","",IF(T347&lt;12,"Daily","Weekly"))</f>
        <v/>
      </c>
      <c r="AA347" s="3">
        <f>IF(T347="",0,IF(T347&lt;12,T347*Controls!$B$13,T347*5))</f>
        <v/>
      </c>
      <c r="AB347" s="3">
        <f>IF(E347="",0,NETWORKDAYS(E347,Controls!$B$20,Ref!$K$2:$K$42))</f>
        <v/>
      </c>
      <c r="AC347" s="3">
        <f>IF(OR(AF347=1,AND(AA347&gt;0,AB347&gt;=Controls!$B$23*AA347)),1,0)</f>
        <v/>
      </c>
      <c r="AD347" s="3">
        <f>IF(AND(E347&lt;&gt;"",E347&gt;=Controls!$B$21,E347&lt;=Controls!$B$22),1,0)</f>
        <v/>
      </c>
      <c r="AE347" s="3">
        <f>IF(IFERROR(VLOOKUP(D347,Controls!$A$36:$E$46,2,FALSE()),"No")="Yes",1,0)</f>
        <v/>
      </c>
      <c r="AF347" s="3">
        <f>IF(IFERROR(VLOOKUP(D347,Controls!$A$36:$E$46,3,FALSE()),"No")="Yes",1,0)</f>
        <v/>
      </c>
      <c r="AG347" s="3">
        <f>IF(IFERROR(VLOOKUP(D347,Controls!$A$36:$E$46,4,FALSE()),"No")="Yes",1,0)</f>
        <v/>
      </c>
      <c r="AH347" s="3">
        <f>IF(IFERROR(VLOOKUP(D347,Controls!$A$36:$E$46,5,FALSE()),"No")="Yes",1,0)</f>
        <v/>
      </c>
      <c r="AI347" s="3">
        <f>IF(ISNUMBER(MATCH(D347,Controls!$A$36:$A$46,0)),1,0)</f>
        <v/>
      </c>
      <c r="AJ347" s="28">
        <f>Q347-N347</f>
        <v/>
      </c>
      <c r="AK347" s="3">
        <f>IF(AE347=1,MAX(0,N347-Q347),0)</f>
        <v/>
      </c>
      <c r="AL347" s="3">
        <f>IF(OR(V347="",V347=0),0,N347/V347)</f>
        <v/>
      </c>
      <c r="AM347" s="3">
        <f>IF(OR(V347="",V347=0),0,1)</f>
        <v/>
      </c>
      <c r="AN347" s="3">
        <f>IF(OR(E347="",F347=""),0,NETWORKDAYS(E347,F347,Ref!$K$2:$K$42))</f>
        <v/>
      </c>
      <c r="AO347" s="3">
        <f>IF(L347="Renewal",1,0)</f>
        <v/>
      </c>
      <c r="AP347" s="3">
        <f>AC347*AD347</f>
        <v/>
      </c>
      <c r="AQ347" s="3">
        <f>IF(AND(G347&lt;&gt;"",'Historical Score'!$C$6&lt;&gt;""),IF(G347='Historical Score'!$C$6,1,0),0)</f>
        <v/>
      </c>
      <c r="AR347" s="3">
        <f>IF(AND(L347&lt;&gt;"",'Historical Score'!$C$5&lt;&gt;""),IF(L347='Historical Score'!$C$5,1,0),0)</f>
        <v/>
      </c>
      <c r="AS347" s="3">
        <f>IF(AND(Y347&lt;&gt;"",'Historical Score'!$C$7&lt;&gt;""),IF(Y347='Historical Score'!$C$7,1,0),0)</f>
        <v/>
      </c>
      <c r="AT347" s="3">
        <f>IF(AND(K347&lt;&gt;"",'Historical Score'!$C$8&lt;&gt;""),IF(K347='Historical Score'!$C$8,1,0),0)</f>
        <v/>
      </c>
      <c r="AU347" s="3" t="n"/>
      <c r="AV347" s="3" t="n"/>
      <c r="AW347" s="3" t="n"/>
      <c r="AX347" s="3" t="n"/>
      <c r="AY347" s="3" t="n"/>
      <c r="AZ347" s="3" t="n"/>
      <c r="BA347" s="182">
        <f>IF(AD347=1,(AR347*'Historical Score'!$K$29+1-'Historical Score'!$K$29)*(AT347*'Historical Score'!$L$29+1-'Historical Score'!$L$29)*(AS347*'Historical Score'!$M$29+1-'Historical Score'!$M$29)*(AQ347*'Historical Score'!$N$29+1-'Historical Score'!$N$29),0)</f>
        <v/>
      </c>
      <c r="BB347" s="3" t="n"/>
      <c r="BC347" s="3" t="n"/>
    </row>
    <row r="348" ht="15.75" customHeight="1" s="174">
      <c r="A348" s="3" t="inlineStr">
        <is>
          <t>5674171206</t>
        </is>
      </c>
      <c r="B348" s="3" t="inlineStr">
        <is>
          <t>FiberCom Engineering</t>
        </is>
      </c>
      <c r="C348" s="3" t="inlineStr">
        <is>
          <t>FiberCom Engineering LLC</t>
        </is>
      </c>
      <c r="D348" s="3" t="inlineStr">
        <is>
          <t>Lowered Payments</t>
        </is>
      </c>
      <c r="E348" s="23" t="n">
        <v>45973</v>
      </c>
      <c r="F348" s="23" t="n">
        <v>46252</v>
      </c>
      <c r="G348" s="3" t="n">
        <v>3</v>
      </c>
      <c r="H348" s="3" t="inlineStr">
        <is>
          <t>1731</t>
        </is>
      </c>
      <c r="I348" s="3" t="inlineStr">
        <is>
          <t>17</t>
        </is>
      </c>
      <c r="J348" s="3" t="inlineStr">
        <is>
          <t>GA</t>
        </is>
      </c>
      <c r="K348" s="3" t="inlineStr">
        <is>
          <t>Fundwell</t>
        </is>
      </c>
      <c r="L348" s="3" t="inlineStr">
        <is>
          <t>New Deal</t>
        </is>
      </c>
      <c r="M348" s="3" t="n">
        <v>1.42</v>
      </c>
      <c r="N348" s="28" t="n">
        <v>70000</v>
      </c>
      <c r="O348" s="28" t="n">
        <v>9800</v>
      </c>
      <c r="P348" s="28" t="n">
        <v>99400</v>
      </c>
      <c r="Q348" s="28" t="n">
        <v>81587.49000000001</v>
      </c>
      <c r="R348" s="28" t="n">
        <v>17812.51</v>
      </c>
      <c r="S348" s="42" t="n">
        <v>0.820799698189135</v>
      </c>
      <c r="T348" s="3" t="n">
        <v>33</v>
      </c>
      <c r="U348" s="3" t="n">
        <v>0</v>
      </c>
      <c r="V348" s="3" t="n">
        <v>163465.58</v>
      </c>
      <c r="W348" s="42" t="n">
        <v>0.0737</v>
      </c>
      <c r="X348" s="23" t="n">
        <v>45478</v>
      </c>
      <c r="Y348" s="3">
        <f>IF(I348="","No SIC",IFERROR(VLOOKUP(I348,Ref!$A$2:$B$65,2,FALSE()),"Unclassified"))</f>
        <v/>
      </c>
      <c r="Z348" s="3">
        <f>IF(T348="","",IF(T348&lt;12,"Daily","Weekly"))</f>
        <v/>
      </c>
      <c r="AA348" s="3">
        <f>IF(T348="",0,IF(T348&lt;12,T348*Controls!$B$13,T348*5))</f>
        <v/>
      </c>
      <c r="AB348" s="3">
        <f>IF(E348="",0,NETWORKDAYS(E348,Controls!$B$20,Ref!$K$2:$K$42))</f>
        <v/>
      </c>
      <c r="AC348" s="3">
        <f>IF(OR(AF348=1,AND(AA348&gt;0,AB348&gt;=Controls!$B$23*AA348)),1,0)</f>
        <v/>
      </c>
      <c r="AD348" s="3">
        <f>IF(AND(E348&lt;&gt;"",E348&gt;=Controls!$B$21,E348&lt;=Controls!$B$22),1,0)</f>
        <v/>
      </c>
      <c r="AE348" s="3">
        <f>IF(IFERROR(VLOOKUP(D348,Controls!$A$36:$E$46,2,FALSE()),"No")="Yes",1,0)</f>
        <v/>
      </c>
      <c r="AF348" s="3">
        <f>IF(IFERROR(VLOOKUP(D348,Controls!$A$36:$E$46,3,FALSE()),"No")="Yes",1,0)</f>
        <v/>
      </c>
      <c r="AG348" s="3">
        <f>IF(IFERROR(VLOOKUP(D348,Controls!$A$36:$E$46,4,FALSE()),"No")="Yes",1,0)</f>
        <v/>
      </c>
      <c r="AH348" s="3">
        <f>IF(IFERROR(VLOOKUP(D348,Controls!$A$36:$E$46,5,FALSE()),"No")="Yes",1,0)</f>
        <v/>
      </c>
      <c r="AI348" s="3">
        <f>IF(ISNUMBER(MATCH(D348,Controls!$A$36:$A$46,0)),1,0)</f>
        <v/>
      </c>
      <c r="AJ348" s="28">
        <f>Q348-N348</f>
        <v/>
      </c>
      <c r="AK348" s="3">
        <f>IF(AE348=1,MAX(0,N348-Q348),0)</f>
        <v/>
      </c>
      <c r="AL348" s="3">
        <f>IF(OR(V348="",V348=0),0,N348/V348)</f>
        <v/>
      </c>
      <c r="AM348" s="3">
        <f>IF(OR(V348="",V348=0),0,1)</f>
        <v/>
      </c>
      <c r="AN348" s="3">
        <f>IF(OR(E348="",F348=""),0,NETWORKDAYS(E348,F348,Ref!$K$2:$K$42))</f>
        <v/>
      </c>
      <c r="AO348" s="3">
        <f>IF(L348="Renewal",1,0)</f>
        <v/>
      </c>
      <c r="AP348" s="3">
        <f>AC348*AD348</f>
        <v/>
      </c>
      <c r="AQ348" s="3">
        <f>IF(AND(G348&lt;&gt;"",'Historical Score'!$C$6&lt;&gt;""),IF(G348='Historical Score'!$C$6,1,0),0)</f>
        <v/>
      </c>
      <c r="AR348" s="3">
        <f>IF(AND(L348&lt;&gt;"",'Historical Score'!$C$5&lt;&gt;""),IF(L348='Historical Score'!$C$5,1,0),0)</f>
        <v/>
      </c>
      <c r="AS348" s="3">
        <f>IF(AND(Y348&lt;&gt;"",'Historical Score'!$C$7&lt;&gt;""),IF(Y348='Historical Score'!$C$7,1,0),0)</f>
        <v/>
      </c>
      <c r="AT348" s="3">
        <f>IF(AND(K348&lt;&gt;"",'Historical Score'!$C$8&lt;&gt;""),IF(K348='Historical Score'!$C$8,1,0),0)</f>
        <v/>
      </c>
      <c r="AU348" s="3" t="n"/>
      <c r="AV348" s="3" t="n"/>
      <c r="AW348" s="3" t="n"/>
      <c r="AX348" s="3" t="n"/>
      <c r="AY348" s="3" t="n"/>
      <c r="AZ348" s="3" t="n"/>
      <c r="BA348" s="182">
        <f>IF(AD348=1,(AR348*'Historical Score'!$K$29+1-'Historical Score'!$K$29)*(AT348*'Historical Score'!$L$29+1-'Historical Score'!$L$29)*(AS348*'Historical Score'!$M$29+1-'Historical Score'!$M$29)*(AQ348*'Historical Score'!$N$29+1-'Historical Score'!$N$29),0)</f>
        <v/>
      </c>
      <c r="BB348" s="3" t="n"/>
      <c r="BC348" s="3" t="n"/>
    </row>
    <row r="349" ht="15.75" customHeight="1" s="174">
      <c r="A349" s="3" t="inlineStr">
        <is>
          <t>5674171233</t>
        </is>
      </c>
      <c r="B349" s="3" t="inlineStr">
        <is>
          <t>ICE COLD AIR</t>
        </is>
      </c>
      <c r="C349" s="3" t="inlineStr">
        <is>
          <t>CAMPBELL AUTOMOTIVE 730 LLC</t>
        </is>
      </c>
      <c r="D349" s="3" t="inlineStr">
        <is>
          <t>Open</t>
        </is>
      </c>
      <c r="E349" s="23" t="n">
        <v>45973</v>
      </c>
      <c r="F349" s="23" t="n">
        <v>46253</v>
      </c>
      <c r="G349" s="3" t="n">
        <v>3</v>
      </c>
      <c r="H349" s="3" t="inlineStr">
        <is>
          <t>2396</t>
        </is>
      </c>
      <c r="I349" s="3" t="inlineStr">
        <is>
          <t>23</t>
        </is>
      </c>
      <c r="J349" s="3" t="inlineStr">
        <is>
          <t>FL</t>
        </is>
      </c>
      <c r="K349" s="3" t="inlineStr">
        <is>
          <t>Fundwell</t>
        </is>
      </c>
      <c r="L349" s="3" t="inlineStr">
        <is>
          <t>New Deal</t>
        </is>
      </c>
      <c r="M349" s="3" t="n">
        <v>1.36</v>
      </c>
      <c r="N349" s="28" t="n">
        <v>75000</v>
      </c>
      <c r="O349" s="28" t="n">
        <v>7500</v>
      </c>
      <c r="P349" s="28" t="n">
        <v>102000</v>
      </c>
      <c r="Q349" s="28" t="n">
        <v>85018.39999999999</v>
      </c>
      <c r="R349" s="28" t="n">
        <v>16981.6</v>
      </c>
      <c r="S349" s="42" t="n">
        <v>0.833513725490196</v>
      </c>
      <c r="T349" s="3" t="n">
        <v>48</v>
      </c>
      <c r="U349" s="3" t="n">
        <v>0</v>
      </c>
      <c r="V349" s="3" t="n">
        <v>92411.35000000001</v>
      </c>
      <c r="W349" s="42" t="n">
        <v>0.092</v>
      </c>
      <c r="X349" s="23" t="n">
        <v>43221</v>
      </c>
      <c r="Y349" s="3">
        <f>IF(I349="","No SIC",IFERROR(VLOOKUP(I349,Ref!$A$2:$B$65,2,FALSE()),"Unclassified"))</f>
        <v/>
      </c>
      <c r="Z349" s="3">
        <f>IF(T349="","",IF(T349&lt;12,"Daily","Weekly"))</f>
        <v/>
      </c>
      <c r="AA349" s="3">
        <f>IF(T349="",0,IF(T349&lt;12,T349*Controls!$B$13,T349*5))</f>
        <v/>
      </c>
      <c r="AB349" s="3">
        <f>IF(E349="",0,NETWORKDAYS(E349,Controls!$B$20,Ref!$K$2:$K$42))</f>
        <v/>
      </c>
      <c r="AC349" s="3">
        <f>IF(OR(AF349=1,AND(AA349&gt;0,AB349&gt;=Controls!$B$23*AA349)),1,0)</f>
        <v/>
      </c>
      <c r="AD349" s="3">
        <f>IF(AND(E349&lt;&gt;"",E349&gt;=Controls!$B$21,E349&lt;=Controls!$B$22),1,0)</f>
        <v/>
      </c>
      <c r="AE349" s="3">
        <f>IF(IFERROR(VLOOKUP(D349,Controls!$A$36:$E$46,2,FALSE()),"No")="Yes",1,0)</f>
        <v/>
      </c>
      <c r="AF349" s="3">
        <f>IF(IFERROR(VLOOKUP(D349,Controls!$A$36:$E$46,3,FALSE()),"No")="Yes",1,0)</f>
        <v/>
      </c>
      <c r="AG349" s="3">
        <f>IF(IFERROR(VLOOKUP(D349,Controls!$A$36:$E$46,4,FALSE()),"No")="Yes",1,0)</f>
        <v/>
      </c>
      <c r="AH349" s="3">
        <f>IF(IFERROR(VLOOKUP(D349,Controls!$A$36:$E$46,5,FALSE()),"No")="Yes",1,0)</f>
        <v/>
      </c>
      <c r="AI349" s="3">
        <f>IF(ISNUMBER(MATCH(D349,Controls!$A$36:$A$46,0)),1,0)</f>
        <v/>
      </c>
      <c r="AJ349" s="28">
        <f>Q349-N349</f>
        <v/>
      </c>
      <c r="AK349" s="3">
        <f>IF(AE349=1,MAX(0,N349-Q349),0)</f>
        <v/>
      </c>
      <c r="AL349" s="3">
        <f>IF(OR(V349="",V349=0),0,N349/V349)</f>
        <v/>
      </c>
      <c r="AM349" s="3">
        <f>IF(OR(V349="",V349=0),0,1)</f>
        <v/>
      </c>
      <c r="AN349" s="3">
        <f>IF(OR(E349="",F349=""),0,NETWORKDAYS(E349,F349,Ref!$K$2:$K$42))</f>
        <v/>
      </c>
      <c r="AO349" s="3">
        <f>IF(L349="Renewal",1,0)</f>
        <v/>
      </c>
      <c r="AP349" s="3">
        <f>AC349*AD349</f>
        <v/>
      </c>
      <c r="AQ349" s="3">
        <f>IF(AND(G349&lt;&gt;"",'Historical Score'!$C$6&lt;&gt;""),IF(G349='Historical Score'!$C$6,1,0),0)</f>
        <v/>
      </c>
      <c r="AR349" s="3">
        <f>IF(AND(L349&lt;&gt;"",'Historical Score'!$C$5&lt;&gt;""),IF(L349='Historical Score'!$C$5,1,0),0)</f>
        <v/>
      </c>
      <c r="AS349" s="3">
        <f>IF(AND(Y349&lt;&gt;"",'Historical Score'!$C$7&lt;&gt;""),IF(Y349='Historical Score'!$C$7,1,0),0)</f>
        <v/>
      </c>
      <c r="AT349" s="3">
        <f>IF(AND(K349&lt;&gt;"",'Historical Score'!$C$8&lt;&gt;""),IF(K349='Historical Score'!$C$8,1,0),0)</f>
        <v/>
      </c>
      <c r="AU349" s="3" t="n"/>
      <c r="AV349" s="3" t="n"/>
      <c r="AW349" s="3" t="n"/>
      <c r="AX349" s="3" t="n"/>
      <c r="AY349" s="3" t="n"/>
      <c r="AZ349" s="3" t="n"/>
      <c r="BA349" s="182">
        <f>IF(AD349=1,(AR349*'Historical Score'!$K$29+1-'Historical Score'!$K$29)*(AT349*'Historical Score'!$L$29+1-'Historical Score'!$L$29)*(AS349*'Historical Score'!$M$29+1-'Historical Score'!$M$29)*(AQ349*'Historical Score'!$N$29+1-'Historical Score'!$N$29),0)</f>
        <v/>
      </c>
      <c r="BB349" s="3" t="n"/>
      <c r="BC349" s="3" t="n"/>
    </row>
    <row r="350" ht="15.75" customHeight="1" s="174">
      <c r="A350" s="3" t="inlineStr">
        <is>
          <t>5674171266</t>
        </is>
      </c>
      <c r="B350" s="3" t="inlineStr">
        <is>
          <t>EMPIRE DENTAL SUPPLIES &amp; SERVICE</t>
        </is>
      </c>
      <c r="C350" s="3" t="inlineStr">
        <is>
          <t>EMPIRE DENTAL SUPPLIES &amp; SERVICE</t>
        </is>
      </c>
      <c r="D350" s="3" t="inlineStr">
        <is>
          <t>Closed</t>
        </is>
      </c>
      <c r="E350" s="23" t="n">
        <v>45974</v>
      </c>
      <c r="F350" s="23" t="n">
        <v>46043</v>
      </c>
      <c r="G350" s="3" t="n">
        <v>3</v>
      </c>
      <c r="H350" s="3" t="inlineStr">
        <is>
          <t>3845</t>
        </is>
      </c>
      <c r="I350" s="3" t="inlineStr">
        <is>
          <t>38</t>
        </is>
      </c>
      <c r="J350" s="3" t="inlineStr">
        <is>
          <t>CA</t>
        </is>
      </c>
      <c r="K350" s="3" t="inlineStr">
        <is>
          <t>Fundwell</t>
        </is>
      </c>
      <c r="L350" s="3" t="inlineStr">
        <is>
          <t>New Deal</t>
        </is>
      </c>
      <c r="M350" s="3" t="n">
        <v>1.4</v>
      </c>
      <c r="N350" s="28" t="n">
        <v>20000</v>
      </c>
      <c r="O350" s="28" t="n">
        <v>2600</v>
      </c>
      <c r="P350" s="28" t="n">
        <v>28000</v>
      </c>
      <c r="Q350" s="28" t="n">
        <v>28000</v>
      </c>
      <c r="R350" s="28" t="n">
        <v>0</v>
      </c>
      <c r="S350" s="42" t="n">
        <v>1</v>
      </c>
      <c r="T350" s="3" t="n">
        <v>2.623</v>
      </c>
      <c r="U350" s="3" t="n">
        <v>1</v>
      </c>
      <c r="V350" s="3" t="n">
        <v>136915.86</v>
      </c>
      <c r="W350" s="42" t="n">
        <v>0.0537</v>
      </c>
      <c r="X350" s="23" t="n"/>
      <c r="Y350" s="3">
        <f>IF(I350="","No SIC",IFERROR(VLOOKUP(I350,Ref!$A$2:$B$65,2,FALSE()),"Unclassified"))</f>
        <v/>
      </c>
      <c r="Z350" s="3">
        <f>IF(T350="","",IF(T350&lt;12,"Daily","Weekly"))</f>
        <v/>
      </c>
      <c r="AA350" s="3">
        <f>IF(T350="",0,IF(T350&lt;12,T350*Controls!$B$13,T350*5))</f>
        <v/>
      </c>
      <c r="AB350" s="3">
        <f>IF(E350="",0,NETWORKDAYS(E350,Controls!$B$20,Ref!$K$2:$K$42))</f>
        <v/>
      </c>
      <c r="AC350" s="3">
        <f>IF(OR(AF350=1,AND(AA350&gt;0,AB350&gt;=Controls!$B$23*AA350)),1,0)</f>
        <v/>
      </c>
      <c r="AD350" s="3">
        <f>IF(AND(E350&lt;&gt;"",E350&gt;=Controls!$B$21,E350&lt;=Controls!$B$22),1,0)</f>
        <v/>
      </c>
      <c r="AE350" s="3">
        <f>IF(IFERROR(VLOOKUP(D350,Controls!$A$36:$E$46,2,FALSE()),"No")="Yes",1,0)</f>
        <v/>
      </c>
      <c r="AF350" s="3">
        <f>IF(IFERROR(VLOOKUP(D350,Controls!$A$36:$E$46,3,FALSE()),"No")="Yes",1,0)</f>
        <v/>
      </c>
      <c r="AG350" s="3">
        <f>IF(IFERROR(VLOOKUP(D350,Controls!$A$36:$E$46,4,FALSE()),"No")="Yes",1,0)</f>
        <v/>
      </c>
      <c r="AH350" s="3">
        <f>IF(IFERROR(VLOOKUP(D350,Controls!$A$36:$E$46,5,FALSE()),"No")="Yes",1,0)</f>
        <v/>
      </c>
      <c r="AI350" s="3">
        <f>IF(ISNUMBER(MATCH(D350,Controls!$A$36:$A$46,0)),1,0)</f>
        <v/>
      </c>
      <c r="AJ350" s="28">
        <f>Q350-N350</f>
        <v/>
      </c>
      <c r="AK350" s="3">
        <f>IF(AE350=1,MAX(0,N350-Q350),0)</f>
        <v/>
      </c>
      <c r="AL350" s="3">
        <f>IF(OR(V350="",V350=0),0,N350/V350)</f>
        <v/>
      </c>
      <c r="AM350" s="3">
        <f>IF(OR(V350="",V350=0),0,1)</f>
        <v/>
      </c>
      <c r="AN350" s="3">
        <f>IF(OR(E350="",F350=""),0,NETWORKDAYS(E350,F350,Ref!$K$2:$K$42))</f>
        <v/>
      </c>
      <c r="AO350" s="3">
        <f>IF(L350="Renewal",1,0)</f>
        <v/>
      </c>
      <c r="AP350" s="3">
        <f>AC350*AD350</f>
        <v/>
      </c>
      <c r="AQ350" s="3">
        <f>IF(AND(G350&lt;&gt;"",'Historical Score'!$C$6&lt;&gt;""),IF(G350='Historical Score'!$C$6,1,0),0)</f>
        <v/>
      </c>
      <c r="AR350" s="3">
        <f>IF(AND(L350&lt;&gt;"",'Historical Score'!$C$5&lt;&gt;""),IF(L350='Historical Score'!$C$5,1,0),0)</f>
        <v/>
      </c>
      <c r="AS350" s="3">
        <f>IF(AND(Y350&lt;&gt;"",'Historical Score'!$C$7&lt;&gt;""),IF(Y350='Historical Score'!$C$7,1,0),0)</f>
        <v/>
      </c>
      <c r="AT350" s="3">
        <f>IF(AND(K350&lt;&gt;"",'Historical Score'!$C$8&lt;&gt;""),IF(K350='Historical Score'!$C$8,1,0),0)</f>
        <v/>
      </c>
      <c r="AU350" s="3" t="n"/>
      <c r="AV350" s="3" t="n"/>
      <c r="AW350" s="3" t="n"/>
      <c r="AX350" s="3" t="n"/>
      <c r="AY350" s="3" t="n"/>
      <c r="AZ350" s="3" t="n"/>
      <c r="BA350" s="182">
        <f>IF(AD350=1,(AR350*'Historical Score'!$K$29+1-'Historical Score'!$K$29)*(AT350*'Historical Score'!$L$29+1-'Historical Score'!$L$29)*(AS350*'Historical Score'!$M$29+1-'Historical Score'!$M$29)*(AQ350*'Historical Score'!$N$29+1-'Historical Score'!$N$29),0)</f>
        <v/>
      </c>
      <c r="BB350" s="3" t="n"/>
      <c r="BC350" s="3" t="n"/>
    </row>
    <row r="351" ht="15.75" customHeight="1" s="174">
      <c r="A351" s="3" t="inlineStr">
        <is>
          <t>5674171326</t>
        </is>
      </c>
      <c r="B351" s="3" t="inlineStr">
        <is>
          <t>V&amp;P Express LLC</t>
        </is>
      </c>
      <c r="C351" s="3" t="inlineStr">
        <is>
          <t>V&amp;P Express LLC</t>
        </is>
      </c>
      <c r="D351" s="3" t="inlineStr">
        <is>
          <t>Legal</t>
        </is>
      </c>
      <c r="E351" s="23" t="n">
        <v>45974</v>
      </c>
      <c r="F351" s="23" t="n">
        <v>46048</v>
      </c>
      <c r="G351" s="3" t="n">
        <v>3</v>
      </c>
      <c r="H351" s="3" t="inlineStr">
        <is>
          <t>4212</t>
        </is>
      </c>
      <c r="I351" s="3" t="inlineStr">
        <is>
          <t>42</t>
        </is>
      </c>
      <c r="J351" s="3" t="inlineStr">
        <is>
          <t>GA</t>
        </is>
      </c>
      <c r="K351" s="3" t="inlineStr">
        <is>
          <t>ROK</t>
        </is>
      </c>
      <c r="L351" s="3" t="inlineStr">
        <is>
          <t>New Deal</t>
        </is>
      </c>
      <c r="M351" s="3" t="n">
        <v>1.5</v>
      </c>
      <c r="N351" s="28" t="n">
        <v>5000</v>
      </c>
      <c r="O351" s="28" t="n">
        <v>700</v>
      </c>
      <c r="P351" s="28" t="n">
        <v>7500</v>
      </c>
      <c r="Q351" s="28" t="n">
        <v>3095.74</v>
      </c>
      <c r="R351" s="28" t="n">
        <v>4404.26</v>
      </c>
      <c r="S351" s="42" t="n">
        <v>0.412765333333333</v>
      </c>
      <c r="T351" s="3" t="n">
        <v>1.967</v>
      </c>
      <c r="U351" s="3" t="n">
        <v>23</v>
      </c>
      <c r="V351" s="3" t="n">
        <v>20583.2</v>
      </c>
      <c r="W351" s="42" t="n">
        <v>0.1266</v>
      </c>
      <c r="X351" s="23" t="n">
        <v>44911</v>
      </c>
      <c r="Y351" s="3">
        <f>IF(I351="","No SIC",IFERROR(VLOOKUP(I351,Ref!$A$2:$B$65,2,FALSE()),"Unclassified"))</f>
        <v/>
      </c>
      <c r="Z351" s="3">
        <f>IF(T351="","",IF(T351&lt;12,"Daily","Weekly"))</f>
        <v/>
      </c>
      <c r="AA351" s="3">
        <f>IF(T351="",0,IF(T351&lt;12,T351*Controls!$B$13,T351*5))</f>
        <v/>
      </c>
      <c r="AB351" s="3">
        <f>IF(E351="",0,NETWORKDAYS(E351,Controls!$B$20,Ref!$K$2:$K$42))</f>
        <v/>
      </c>
      <c r="AC351" s="3">
        <f>IF(OR(AF351=1,AND(AA351&gt;0,AB351&gt;=Controls!$B$23*AA351)),1,0)</f>
        <v/>
      </c>
      <c r="AD351" s="3">
        <f>IF(AND(E351&lt;&gt;"",E351&gt;=Controls!$B$21,E351&lt;=Controls!$B$22),1,0)</f>
        <v/>
      </c>
      <c r="AE351" s="3">
        <f>IF(IFERROR(VLOOKUP(D351,Controls!$A$36:$E$46,2,FALSE()),"No")="Yes",1,0)</f>
        <v/>
      </c>
      <c r="AF351" s="3">
        <f>IF(IFERROR(VLOOKUP(D351,Controls!$A$36:$E$46,3,FALSE()),"No")="Yes",1,0)</f>
        <v/>
      </c>
      <c r="AG351" s="3">
        <f>IF(IFERROR(VLOOKUP(D351,Controls!$A$36:$E$46,4,FALSE()),"No")="Yes",1,0)</f>
        <v/>
      </c>
      <c r="AH351" s="3">
        <f>IF(IFERROR(VLOOKUP(D351,Controls!$A$36:$E$46,5,FALSE()),"No")="Yes",1,0)</f>
        <v/>
      </c>
      <c r="AI351" s="3">
        <f>IF(ISNUMBER(MATCH(D351,Controls!$A$36:$A$46,0)),1,0)</f>
        <v/>
      </c>
      <c r="AJ351" s="28">
        <f>Q351-N351</f>
        <v/>
      </c>
      <c r="AK351" s="3">
        <f>IF(AE351=1,MAX(0,N351-Q351),0)</f>
        <v/>
      </c>
      <c r="AL351" s="3">
        <f>IF(OR(V351="",V351=0),0,N351/V351)</f>
        <v/>
      </c>
      <c r="AM351" s="3">
        <f>IF(OR(V351="",V351=0),0,1)</f>
        <v/>
      </c>
      <c r="AN351" s="3">
        <f>IF(OR(E351="",F351=""),0,NETWORKDAYS(E351,F351,Ref!$K$2:$K$42))</f>
        <v/>
      </c>
      <c r="AO351" s="3">
        <f>IF(L351="Renewal",1,0)</f>
        <v/>
      </c>
      <c r="AP351" s="3">
        <f>AC351*AD351</f>
        <v/>
      </c>
      <c r="AQ351" s="3">
        <f>IF(AND(G351&lt;&gt;"",'Historical Score'!$C$6&lt;&gt;""),IF(G351='Historical Score'!$C$6,1,0),0)</f>
        <v/>
      </c>
      <c r="AR351" s="3">
        <f>IF(AND(L351&lt;&gt;"",'Historical Score'!$C$5&lt;&gt;""),IF(L351='Historical Score'!$C$5,1,0),0)</f>
        <v/>
      </c>
      <c r="AS351" s="3">
        <f>IF(AND(Y351&lt;&gt;"",'Historical Score'!$C$7&lt;&gt;""),IF(Y351='Historical Score'!$C$7,1,0),0)</f>
        <v/>
      </c>
      <c r="AT351" s="3">
        <f>IF(AND(K351&lt;&gt;"",'Historical Score'!$C$8&lt;&gt;""),IF(K351='Historical Score'!$C$8,1,0),0)</f>
        <v/>
      </c>
      <c r="AU351" s="3" t="n"/>
      <c r="AV351" s="3" t="n"/>
      <c r="AW351" s="3" t="n"/>
      <c r="AX351" s="3" t="n"/>
      <c r="AY351" s="3" t="n"/>
      <c r="AZ351" s="3" t="n"/>
      <c r="BA351" s="182">
        <f>IF(AD351=1,(AR351*'Historical Score'!$K$29+1-'Historical Score'!$K$29)*(AT351*'Historical Score'!$L$29+1-'Historical Score'!$L$29)*(AS351*'Historical Score'!$M$29+1-'Historical Score'!$M$29)*(AQ351*'Historical Score'!$N$29+1-'Historical Score'!$N$29),0)</f>
        <v/>
      </c>
      <c r="BB351" s="3" t="n"/>
      <c r="BC351" s="3" t="n"/>
    </row>
    <row r="352" ht="15.75" customHeight="1" s="174">
      <c r="A352" s="3" t="inlineStr">
        <is>
          <t>5674171417</t>
        </is>
      </c>
      <c r="B352" s="3" t="inlineStr">
        <is>
          <t>CIMIKOSKI STEM CELLS</t>
        </is>
      </c>
      <c r="C352" s="3" t="inlineStr">
        <is>
          <t>CIMIKOSKI STEM CELLS</t>
        </is>
      </c>
      <c r="D352" s="3" t="inlineStr">
        <is>
          <t>Legal</t>
        </is>
      </c>
      <c r="E352" s="23" t="n">
        <v>45975</v>
      </c>
      <c r="F352" s="23" t="n">
        <v>46237</v>
      </c>
      <c r="G352" s="3" t="n">
        <v>1</v>
      </c>
      <c r="H352" s="3" t="inlineStr">
        <is>
          <t>8011</t>
        </is>
      </c>
      <c r="I352" s="3" t="inlineStr">
        <is>
          <t>80</t>
        </is>
      </c>
      <c r="J352" s="3" t="inlineStr">
        <is>
          <t>UT</t>
        </is>
      </c>
      <c r="K352" s="3" t="inlineStr">
        <is>
          <t>EZ ADVANCE LLC</t>
        </is>
      </c>
      <c r="L352" s="3" t="inlineStr">
        <is>
          <t>New Deal</t>
        </is>
      </c>
      <c r="M352" s="3" t="n">
        <v>1.499</v>
      </c>
      <c r="N352" s="28" t="n">
        <v>30000</v>
      </c>
      <c r="O352" s="28" t="n">
        <v>4200</v>
      </c>
      <c r="P352" s="28" t="n">
        <v>44970</v>
      </c>
      <c r="Q352" s="28" t="n">
        <v>32790.72</v>
      </c>
      <c r="R352" s="28" t="n">
        <v>12179.28</v>
      </c>
      <c r="S352" s="42" t="n">
        <v>0.729168779186124</v>
      </c>
      <c r="T352" s="3" t="n">
        <v>2.951</v>
      </c>
      <c r="U352" s="3" t="n">
        <v>3</v>
      </c>
      <c r="V352" s="3" t="n"/>
      <c r="W352" s="42" t="n">
        <v>0.095</v>
      </c>
      <c r="X352" s="23" t="n">
        <v>45420</v>
      </c>
      <c r="Y352" s="3">
        <f>IF(I352="","No SIC",IFERROR(VLOOKUP(I352,Ref!$A$2:$B$65,2,FALSE()),"Unclassified"))</f>
        <v/>
      </c>
      <c r="Z352" s="3">
        <f>IF(T352="","",IF(T352&lt;12,"Daily","Weekly"))</f>
        <v/>
      </c>
      <c r="AA352" s="3">
        <f>IF(T352="",0,IF(T352&lt;12,T352*Controls!$B$13,T352*5))</f>
        <v/>
      </c>
      <c r="AB352" s="3">
        <f>IF(E352="",0,NETWORKDAYS(E352,Controls!$B$20,Ref!$K$2:$K$42))</f>
        <v/>
      </c>
      <c r="AC352" s="3">
        <f>IF(OR(AF352=1,AND(AA352&gt;0,AB352&gt;=Controls!$B$23*AA352)),1,0)</f>
        <v/>
      </c>
      <c r="AD352" s="3">
        <f>IF(AND(E352&lt;&gt;"",E352&gt;=Controls!$B$21,E352&lt;=Controls!$B$22),1,0)</f>
        <v/>
      </c>
      <c r="AE352" s="3">
        <f>IF(IFERROR(VLOOKUP(D352,Controls!$A$36:$E$46,2,FALSE()),"No")="Yes",1,0)</f>
        <v/>
      </c>
      <c r="AF352" s="3">
        <f>IF(IFERROR(VLOOKUP(D352,Controls!$A$36:$E$46,3,FALSE()),"No")="Yes",1,0)</f>
        <v/>
      </c>
      <c r="AG352" s="3">
        <f>IF(IFERROR(VLOOKUP(D352,Controls!$A$36:$E$46,4,FALSE()),"No")="Yes",1,0)</f>
        <v/>
      </c>
      <c r="AH352" s="3">
        <f>IF(IFERROR(VLOOKUP(D352,Controls!$A$36:$E$46,5,FALSE()),"No")="Yes",1,0)</f>
        <v/>
      </c>
      <c r="AI352" s="3">
        <f>IF(ISNUMBER(MATCH(D352,Controls!$A$36:$A$46,0)),1,0)</f>
        <v/>
      </c>
      <c r="AJ352" s="28">
        <f>Q352-N352</f>
        <v/>
      </c>
      <c r="AK352" s="3">
        <f>IF(AE352=1,MAX(0,N352-Q352),0)</f>
        <v/>
      </c>
      <c r="AL352" s="3">
        <f>IF(OR(V352="",V352=0),0,N352/V352)</f>
        <v/>
      </c>
      <c r="AM352" s="3">
        <f>IF(OR(V352="",V352=0),0,1)</f>
        <v/>
      </c>
      <c r="AN352" s="3">
        <f>IF(OR(E352="",F352=""),0,NETWORKDAYS(E352,F352,Ref!$K$2:$K$42))</f>
        <v/>
      </c>
      <c r="AO352" s="3">
        <f>IF(L352="Renewal",1,0)</f>
        <v/>
      </c>
      <c r="AP352" s="3">
        <f>AC352*AD352</f>
        <v/>
      </c>
      <c r="AQ352" s="3">
        <f>IF(AND(G352&lt;&gt;"",'Historical Score'!$C$6&lt;&gt;""),IF(G352='Historical Score'!$C$6,1,0),0)</f>
        <v/>
      </c>
      <c r="AR352" s="3">
        <f>IF(AND(L352&lt;&gt;"",'Historical Score'!$C$5&lt;&gt;""),IF(L352='Historical Score'!$C$5,1,0),0)</f>
        <v/>
      </c>
      <c r="AS352" s="3">
        <f>IF(AND(Y352&lt;&gt;"",'Historical Score'!$C$7&lt;&gt;""),IF(Y352='Historical Score'!$C$7,1,0),0)</f>
        <v/>
      </c>
      <c r="AT352" s="3">
        <f>IF(AND(K352&lt;&gt;"",'Historical Score'!$C$8&lt;&gt;""),IF(K352='Historical Score'!$C$8,1,0),0)</f>
        <v/>
      </c>
      <c r="AU352" s="3" t="n"/>
      <c r="AV352" s="3" t="n"/>
      <c r="AW352" s="3" t="n"/>
      <c r="AX352" s="3" t="n"/>
      <c r="AY352" s="3" t="n"/>
      <c r="AZ352" s="3" t="n"/>
      <c r="BA352" s="182">
        <f>IF(AD352=1,(AR352*'Historical Score'!$K$29+1-'Historical Score'!$K$29)*(AT352*'Historical Score'!$L$29+1-'Historical Score'!$L$29)*(AS352*'Historical Score'!$M$29+1-'Historical Score'!$M$29)*(AQ352*'Historical Score'!$N$29+1-'Historical Score'!$N$29),0)</f>
        <v/>
      </c>
      <c r="BB352" s="3" t="n"/>
      <c r="BC352" s="3" t="n"/>
    </row>
    <row r="353" ht="15.75" customHeight="1" s="174">
      <c r="A353" s="3" t="inlineStr">
        <is>
          <t>5674171445</t>
        </is>
      </c>
      <c r="B353" s="3" t="inlineStr">
        <is>
          <t>TONA PROPERTY MANAGEMENT</t>
        </is>
      </c>
      <c r="C353" s="3" t="inlineStr">
        <is>
          <t>TONA PROPERTY MANAGEMENT LLC</t>
        </is>
      </c>
      <c r="D353" s="3" t="inlineStr">
        <is>
          <t>Legal</t>
        </is>
      </c>
      <c r="E353" s="23" t="n">
        <v>45975</v>
      </c>
      <c r="F353" s="23" t="n">
        <v>46080</v>
      </c>
      <c r="G353" s="3" t="n">
        <v>2</v>
      </c>
      <c r="H353" s="3" t="inlineStr">
        <is>
          <t>6531</t>
        </is>
      </c>
      <c r="I353" s="3" t="inlineStr">
        <is>
          <t>65</t>
        </is>
      </c>
      <c r="J353" s="3" t="inlineStr">
        <is>
          <t>NJ</t>
        </is>
      </c>
      <c r="K353" s="3" t="inlineStr">
        <is>
          <t>EZ ADVANCE LLC</t>
        </is>
      </c>
      <c r="L353" s="3" t="inlineStr">
        <is>
          <t>New Deal</t>
        </is>
      </c>
      <c r="M353" s="3" t="n">
        <v>1.37</v>
      </c>
      <c r="N353" s="28" t="n">
        <v>175000</v>
      </c>
      <c r="O353" s="28" t="n">
        <v>15750</v>
      </c>
      <c r="P353" s="28" t="n">
        <v>239750</v>
      </c>
      <c r="Q353" s="28" t="n">
        <v>77278.03999999999</v>
      </c>
      <c r="R353" s="28" t="n">
        <v>162471.96</v>
      </c>
      <c r="S353" s="42" t="n">
        <v>0.322327591240876</v>
      </c>
      <c r="T353" s="3" t="n">
        <v>36</v>
      </c>
      <c r="U353" s="3" t="n">
        <v>7</v>
      </c>
      <c r="V353" s="3" t="n">
        <v>383970.98</v>
      </c>
      <c r="W353" s="42" t="n">
        <v>0.0694</v>
      </c>
      <c r="X353" s="23" t="n">
        <v>39625</v>
      </c>
      <c r="Y353" s="3">
        <f>IF(I353="","No SIC",IFERROR(VLOOKUP(I353,Ref!$A$2:$B$65,2,FALSE()),"Unclassified"))</f>
        <v/>
      </c>
      <c r="Z353" s="3">
        <f>IF(T353="","",IF(T353&lt;12,"Daily","Weekly"))</f>
        <v/>
      </c>
      <c r="AA353" s="3">
        <f>IF(T353="",0,IF(T353&lt;12,T353*Controls!$B$13,T353*5))</f>
        <v/>
      </c>
      <c r="AB353" s="3">
        <f>IF(E353="",0,NETWORKDAYS(E353,Controls!$B$20,Ref!$K$2:$K$42))</f>
        <v/>
      </c>
      <c r="AC353" s="3">
        <f>IF(OR(AF353=1,AND(AA353&gt;0,AB353&gt;=Controls!$B$23*AA353)),1,0)</f>
        <v/>
      </c>
      <c r="AD353" s="3">
        <f>IF(AND(E353&lt;&gt;"",E353&gt;=Controls!$B$21,E353&lt;=Controls!$B$22),1,0)</f>
        <v/>
      </c>
      <c r="AE353" s="3">
        <f>IF(IFERROR(VLOOKUP(D353,Controls!$A$36:$E$46,2,FALSE()),"No")="Yes",1,0)</f>
        <v/>
      </c>
      <c r="AF353" s="3">
        <f>IF(IFERROR(VLOOKUP(D353,Controls!$A$36:$E$46,3,FALSE()),"No")="Yes",1,0)</f>
        <v/>
      </c>
      <c r="AG353" s="3">
        <f>IF(IFERROR(VLOOKUP(D353,Controls!$A$36:$E$46,4,FALSE()),"No")="Yes",1,0)</f>
        <v/>
      </c>
      <c r="AH353" s="3">
        <f>IF(IFERROR(VLOOKUP(D353,Controls!$A$36:$E$46,5,FALSE()),"No")="Yes",1,0)</f>
        <v/>
      </c>
      <c r="AI353" s="3">
        <f>IF(ISNUMBER(MATCH(D353,Controls!$A$36:$A$46,0)),1,0)</f>
        <v/>
      </c>
      <c r="AJ353" s="28">
        <f>Q353-N353</f>
        <v/>
      </c>
      <c r="AK353" s="3">
        <f>IF(AE353=1,MAX(0,N353-Q353),0)</f>
        <v/>
      </c>
      <c r="AL353" s="3">
        <f>IF(OR(V353="",V353=0),0,N353/V353)</f>
        <v/>
      </c>
      <c r="AM353" s="3">
        <f>IF(OR(V353="",V353=0),0,1)</f>
        <v/>
      </c>
      <c r="AN353" s="3">
        <f>IF(OR(E353="",F353=""),0,NETWORKDAYS(E353,F353,Ref!$K$2:$K$42))</f>
        <v/>
      </c>
      <c r="AO353" s="3">
        <f>IF(L353="Renewal",1,0)</f>
        <v/>
      </c>
      <c r="AP353" s="3">
        <f>AC353*AD353</f>
        <v/>
      </c>
      <c r="AQ353" s="3">
        <f>IF(AND(G353&lt;&gt;"",'Historical Score'!$C$6&lt;&gt;""),IF(G353='Historical Score'!$C$6,1,0),0)</f>
        <v/>
      </c>
      <c r="AR353" s="3">
        <f>IF(AND(L353&lt;&gt;"",'Historical Score'!$C$5&lt;&gt;""),IF(L353='Historical Score'!$C$5,1,0),0)</f>
        <v/>
      </c>
      <c r="AS353" s="3">
        <f>IF(AND(Y353&lt;&gt;"",'Historical Score'!$C$7&lt;&gt;""),IF(Y353='Historical Score'!$C$7,1,0),0)</f>
        <v/>
      </c>
      <c r="AT353" s="3">
        <f>IF(AND(K353&lt;&gt;"",'Historical Score'!$C$8&lt;&gt;""),IF(K353='Historical Score'!$C$8,1,0),0)</f>
        <v/>
      </c>
      <c r="AU353" s="3" t="n"/>
      <c r="AV353" s="3" t="n"/>
      <c r="AW353" s="3" t="n"/>
      <c r="AX353" s="3" t="n"/>
      <c r="AY353" s="3" t="n"/>
      <c r="AZ353" s="3" t="n"/>
      <c r="BA353" s="182">
        <f>IF(AD353=1,(AR353*'Historical Score'!$K$29+1-'Historical Score'!$K$29)*(AT353*'Historical Score'!$L$29+1-'Historical Score'!$L$29)*(AS353*'Historical Score'!$M$29+1-'Historical Score'!$M$29)*(AQ353*'Historical Score'!$N$29+1-'Historical Score'!$N$29),0)</f>
        <v/>
      </c>
      <c r="BB353" s="3" t="n"/>
      <c r="BC353" s="3" t="n"/>
    </row>
    <row r="354" ht="15.75" customHeight="1" s="174">
      <c r="A354" s="3" t="inlineStr">
        <is>
          <t>5674171469</t>
        </is>
      </c>
      <c r="B354" s="3" t="inlineStr">
        <is>
          <t>BEST MOVERS FALLS CHURCH VA</t>
        </is>
      </c>
      <c r="C354" s="3" t="inlineStr">
        <is>
          <t>PIECE OF CAKE LLC,  LOCAL BEST MOVERS LLC</t>
        </is>
      </c>
      <c r="D354" s="3" t="inlineStr">
        <is>
          <t>Closed/NSF</t>
        </is>
      </c>
      <c r="E354" s="23" t="n">
        <v>45978</v>
      </c>
      <c r="F354" s="23" t="n">
        <v>46245</v>
      </c>
      <c r="G354" s="3" t="n">
        <v>2</v>
      </c>
      <c r="H354" s="3" t="inlineStr">
        <is>
          <t>4212</t>
        </is>
      </c>
      <c r="I354" s="3" t="inlineStr">
        <is>
          <t>42</t>
        </is>
      </c>
      <c r="J354" s="3" t="inlineStr">
        <is>
          <t>VA</t>
        </is>
      </c>
      <c r="K354" s="3" t="inlineStr">
        <is>
          <t>Shore Funding USA</t>
        </is>
      </c>
      <c r="L354" s="3" t="inlineStr">
        <is>
          <t>New Deal</t>
        </is>
      </c>
      <c r="M354" s="3" t="n">
        <v>1.49</v>
      </c>
      <c r="N354" s="28" t="n">
        <v>32000</v>
      </c>
      <c r="O354" s="28" t="n">
        <v>4480</v>
      </c>
      <c r="P354" s="28" t="n">
        <v>47680</v>
      </c>
      <c r="Q354" s="28" t="n">
        <v>47680</v>
      </c>
      <c r="R354" s="28" t="n">
        <v>0</v>
      </c>
      <c r="S354" s="42" t="n">
        <v>1</v>
      </c>
      <c r="T354" s="3" t="n">
        <v>24</v>
      </c>
      <c r="U354" s="3" t="n">
        <v>35</v>
      </c>
      <c r="V354" s="3" t="n">
        <v>53092.66</v>
      </c>
      <c r="W354" s="42" t="n">
        <v>0.1497</v>
      </c>
      <c r="X354" s="23" t="n">
        <v>43466</v>
      </c>
      <c r="Y354" s="3">
        <f>IF(I354="","No SIC",IFERROR(VLOOKUP(I354,Ref!$A$2:$B$65,2,FALSE()),"Unclassified"))</f>
        <v/>
      </c>
      <c r="Z354" s="3">
        <f>IF(T354="","",IF(T354&lt;12,"Daily","Weekly"))</f>
        <v/>
      </c>
      <c r="AA354" s="3">
        <f>IF(T354="",0,IF(T354&lt;12,T354*Controls!$B$13,T354*5))</f>
        <v/>
      </c>
      <c r="AB354" s="3">
        <f>IF(E354="",0,NETWORKDAYS(E354,Controls!$B$20,Ref!$K$2:$K$42))</f>
        <v/>
      </c>
      <c r="AC354" s="3">
        <f>IF(OR(AF354=1,AND(AA354&gt;0,AB354&gt;=Controls!$B$23*AA354)),1,0)</f>
        <v/>
      </c>
      <c r="AD354" s="3">
        <f>IF(AND(E354&lt;&gt;"",E354&gt;=Controls!$B$21,E354&lt;=Controls!$B$22),1,0)</f>
        <v/>
      </c>
      <c r="AE354" s="3">
        <f>IF(IFERROR(VLOOKUP(D354,Controls!$A$36:$E$46,2,FALSE()),"No")="Yes",1,0)</f>
        <v/>
      </c>
      <c r="AF354" s="3">
        <f>IF(IFERROR(VLOOKUP(D354,Controls!$A$36:$E$46,3,FALSE()),"No")="Yes",1,0)</f>
        <v/>
      </c>
      <c r="AG354" s="3">
        <f>IF(IFERROR(VLOOKUP(D354,Controls!$A$36:$E$46,4,FALSE()),"No")="Yes",1,0)</f>
        <v/>
      </c>
      <c r="AH354" s="3">
        <f>IF(IFERROR(VLOOKUP(D354,Controls!$A$36:$E$46,5,FALSE()),"No")="Yes",1,0)</f>
        <v/>
      </c>
      <c r="AI354" s="3">
        <f>IF(ISNUMBER(MATCH(D354,Controls!$A$36:$A$46,0)),1,0)</f>
        <v/>
      </c>
      <c r="AJ354" s="28">
        <f>Q354-N354</f>
        <v/>
      </c>
      <c r="AK354" s="3">
        <f>IF(AE354=1,MAX(0,N354-Q354),0)</f>
        <v/>
      </c>
      <c r="AL354" s="3">
        <f>IF(OR(V354="",V354=0),0,N354/V354)</f>
        <v/>
      </c>
      <c r="AM354" s="3">
        <f>IF(OR(V354="",V354=0),0,1)</f>
        <v/>
      </c>
      <c r="AN354" s="3">
        <f>IF(OR(E354="",F354=""),0,NETWORKDAYS(E354,F354,Ref!$K$2:$K$42))</f>
        <v/>
      </c>
      <c r="AO354" s="3">
        <f>IF(L354="Renewal",1,0)</f>
        <v/>
      </c>
      <c r="AP354" s="3">
        <f>AC354*AD354</f>
        <v/>
      </c>
      <c r="AQ354" s="3">
        <f>IF(AND(G354&lt;&gt;"",'Historical Score'!$C$6&lt;&gt;""),IF(G354='Historical Score'!$C$6,1,0),0)</f>
        <v/>
      </c>
      <c r="AR354" s="3">
        <f>IF(AND(L354&lt;&gt;"",'Historical Score'!$C$5&lt;&gt;""),IF(L354='Historical Score'!$C$5,1,0),0)</f>
        <v/>
      </c>
      <c r="AS354" s="3">
        <f>IF(AND(Y354&lt;&gt;"",'Historical Score'!$C$7&lt;&gt;""),IF(Y354='Historical Score'!$C$7,1,0),0)</f>
        <v/>
      </c>
      <c r="AT354" s="3">
        <f>IF(AND(K354&lt;&gt;"",'Historical Score'!$C$8&lt;&gt;""),IF(K354='Historical Score'!$C$8,1,0),0)</f>
        <v/>
      </c>
      <c r="AU354" s="3" t="n"/>
      <c r="AV354" s="3" t="n"/>
      <c r="AW354" s="3" t="n"/>
      <c r="AX354" s="3" t="n"/>
      <c r="AY354" s="3" t="n"/>
      <c r="AZ354" s="3" t="n"/>
      <c r="BA354" s="182">
        <f>IF(AD354=1,(AR354*'Historical Score'!$K$29+1-'Historical Score'!$K$29)*(AT354*'Historical Score'!$L$29+1-'Historical Score'!$L$29)*(AS354*'Historical Score'!$M$29+1-'Historical Score'!$M$29)*(AQ354*'Historical Score'!$N$29+1-'Historical Score'!$N$29),0)</f>
        <v/>
      </c>
      <c r="BB354" s="3" t="n"/>
      <c r="BC354" s="3" t="n"/>
    </row>
    <row r="355" ht="15.75" customHeight="1" s="174">
      <c r="A355" s="3" t="inlineStr">
        <is>
          <t>5674171571</t>
        </is>
      </c>
      <c r="B355" s="3" t="inlineStr">
        <is>
          <t>Antique Kitchen Family</t>
        </is>
      </c>
      <c r="C355" s="3" t="inlineStr">
        <is>
          <t>G.A.J. INC</t>
        </is>
      </c>
      <c r="D355" s="3" t="inlineStr">
        <is>
          <t>Legal</t>
        </is>
      </c>
      <c r="E355" s="23" t="n">
        <v>45979</v>
      </c>
      <c r="F355" s="23" t="n">
        <v>46044</v>
      </c>
      <c r="G355" s="3" t="n">
        <v>3</v>
      </c>
      <c r="H355" s="3" t="inlineStr">
        <is>
          <t>5812</t>
        </is>
      </c>
      <c r="I355" s="3" t="inlineStr">
        <is>
          <t>58</t>
        </is>
      </c>
      <c r="J355" s="3" t="inlineStr">
        <is>
          <t>MI</t>
        </is>
      </c>
      <c r="K355" s="3" t="inlineStr">
        <is>
          <t>level 3 funding</t>
        </is>
      </c>
      <c r="L355" s="3" t="inlineStr">
        <is>
          <t>New Deal</t>
        </is>
      </c>
      <c r="M355" s="3" t="n">
        <v>1.49</v>
      </c>
      <c r="N355" s="28" t="n">
        <v>20000</v>
      </c>
      <c r="O355" s="28" t="n">
        <v>2800</v>
      </c>
      <c r="P355" s="28" t="n">
        <v>29800</v>
      </c>
      <c r="Q355" s="28" t="n">
        <v>9396.799999999999</v>
      </c>
      <c r="R355" s="28" t="n">
        <v>20403.2</v>
      </c>
      <c r="S355" s="42" t="n">
        <v>0.315328859060403</v>
      </c>
      <c r="T355" s="3" t="n">
        <v>3.934</v>
      </c>
      <c r="U355" s="3" t="n">
        <v>4</v>
      </c>
      <c r="V355" s="3" t="n">
        <v>52818.19</v>
      </c>
      <c r="W355" s="42" t="n">
        <v>0.0934</v>
      </c>
      <c r="X355" s="23" t="n">
        <v>45047</v>
      </c>
      <c r="Y355" s="3">
        <f>IF(I355="","No SIC",IFERROR(VLOOKUP(I355,Ref!$A$2:$B$65,2,FALSE()),"Unclassified"))</f>
        <v/>
      </c>
      <c r="Z355" s="3">
        <f>IF(T355="","",IF(T355&lt;12,"Daily","Weekly"))</f>
        <v/>
      </c>
      <c r="AA355" s="3">
        <f>IF(T355="",0,IF(T355&lt;12,T355*Controls!$B$13,T355*5))</f>
        <v/>
      </c>
      <c r="AB355" s="3">
        <f>IF(E355="",0,NETWORKDAYS(E355,Controls!$B$20,Ref!$K$2:$K$42))</f>
        <v/>
      </c>
      <c r="AC355" s="3">
        <f>IF(OR(AF355=1,AND(AA355&gt;0,AB355&gt;=Controls!$B$23*AA355)),1,0)</f>
        <v/>
      </c>
      <c r="AD355" s="3">
        <f>IF(AND(E355&lt;&gt;"",E355&gt;=Controls!$B$21,E355&lt;=Controls!$B$22),1,0)</f>
        <v/>
      </c>
      <c r="AE355" s="3">
        <f>IF(IFERROR(VLOOKUP(D355,Controls!$A$36:$E$46,2,FALSE()),"No")="Yes",1,0)</f>
        <v/>
      </c>
      <c r="AF355" s="3">
        <f>IF(IFERROR(VLOOKUP(D355,Controls!$A$36:$E$46,3,FALSE()),"No")="Yes",1,0)</f>
        <v/>
      </c>
      <c r="AG355" s="3">
        <f>IF(IFERROR(VLOOKUP(D355,Controls!$A$36:$E$46,4,FALSE()),"No")="Yes",1,0)</f>
        <v/>
      </c>
      <c r="AH355" s="3">
        <f>IF(IFERROR(VLOOKUP(D355,Controls!$A$36:$E$46,5,FALSE()),"No")="Yes",1,0)</f>
        <v/>
      </c>
      <c r="AI355" s="3">
        <f>IF(ISNUMBER(MATCH(D355,Controls!$A$36:$A$46,0)),1,0)</f>
        <v/>
      </c>
      <c r="AJ355" s="28">
        <f>Q355-N355</f>
        <v/>
      </c>
      <c r="AK355" s="3">
        <f>IF(AE355=1,MAX(0,N355-Q355),0)</f>
        <v/>
      </c>
      <c r="AL355" s="3">
        <f>IF(OR(V355="",V355=0),0,N355/V355)</f>
        <v/>
      </c>
      <c r="AM355" s="3">
        <f>IF(OR(V355="",V355=0),0,1)</f>
        <v/>
      </c>
      <c r="AN355" s="3">
        <f>IF(OR(E355="",F355=""),0,NETWORKDAYS(E355,F355,Ref!$K$2:$K$42))</f>
        <v/>
      </c>
      <c r="AO355" s="3">
        <f>IF(L355="Renewal",1,0)</f>
        <v/>
      </c>
      <c r="AP355" s="3">
        <f>AC355*AD355</f>
        <v/>
      </c>
      <c r="AQ355" s="3">
        <f>IF(AND(G355&lt;&gt;"",'Historical Score'!$C$6&lt;&gt;""),IF(G355='Historical Score'!$C$6,1,0),0)</f>
        <v/>
      </c>
      <c r="AR355" s="3">
        <f>IF(AND(L355&lt;&gt;"",'Historical Score'!$C$5&lt;&gt;""),IF(L355='Historical Score'!$C$5,1,0),0)</f>
        <v/>
      </c>
      <c r="AS355" s="3">
        <f>IF(AND(Y355&lt;&gt;"",'Historical Score'!$C$7&lt;&gt;""),IF(Y355='Historical Score'!$C$7,1,0),0)</f>
        <v/>
      </c>
      <c r="AT355" s="3">
        <f>IF(AND(K355&lt;&gt;"",'Historical Score'!$C$8&lt;&gt;""),IF(K355='Historical Score'!$C$8,1,0),0)</f>
        <v/>
      </c>
      <c r="AU355" s="3" t="n"/>
      <c r="AV355" s="3" t="n"/>
      <c r="AW355" s="3" t="n"/>
      <c r="AX355" s="3" t="n"/>
      <c r="AY355" s="3" t="n"/>
      <c r="AZ355" s="3" t="n"/>
      <c r="BA355" s="182">
        <f>IF(AD355=1,(AR355*'Historical Score'!$K$29+1-'Historical Score'!$K$29)*(AT355*'Historical Score'!$L$29+1-'Historical Score'!$L$29)*(AS355*'Historical Score'!$M$29+1-'Historical Score'!$M$29)*(AQ355*'Historical Score'!$N$29+1-'Historical Score'!$N$29),0)</f>
        <v/>
      </c>
      <c r="BB355" s="3" t="n"/>
      <c r="BC355" s="3" t="n"/>
    </row>
    <row r="356" ht="15.75" customHeight="1" s="174">
      <c r="A356" s="3" t="inlineStr">
        <is>
          <t>5674171580</t>
        </is>
      </c>
      <c r="B356" s="3" t="inlineStr">
        <is>
          <t>J&amp;S ENTERPRISES UNLIMITED LLC</t>
        </is>
      </c>
      <c r="C356" s="3" t="inlineStr">
        <is>
          <t>J&amp;S ENTERPRISES UNLIMITED LLC</t>
        </is>
      </c>
      <c r="D356" s="3" t="inlineStr">
        <is>
          <t>Legal</t>
        </is>
      </c>
      <c r="E356" s="23" t="n">
        <v>45979</v>
      </c>
      <c r="F356" s="23" t="n">
        <v>46045</v>
      </c>
      <c r="G356" s="3" t="n">
        <v>4</v>
      </c>
      <c r="H356" s="3" t="inlineStr">
        <is>
          <t>4212</t>
        </is>
      </c>
      <c r="I356" s="3" t="inlineStr">
        <is>
          <t>42</t>
        </is>
      </c>
      <c r="J356" s="3" t="inlineStr">
        <is>
          <t>TX</t>
        </is>
      </c>
      <c r="K356" s="3" t="inlineStr">
        <is>
          <t>legacy funding llc</t>
        </is>
      </c>
      <c r="L356" s="3" t="inlineStr">
        <is>
          <t>New Deal</t>
        </is>
      </c>
      <c r="M356" s="3" t="n">
        <v>1.499</v>
      </c>
      <c r="N356" s="28" t="n">
        <v>10000</v>
      </c>
      <c r="O356" s="28" t="n">
        <v>1400</v>
      </c>
      <c r="P356" s="28" t="n">
        <v>14990</v>
      </c>
      <c r="Q356" s="28" t="n">
        <v>2513.2</v>
      </c>
      <c r="R356" s="28" t="n">
        <v>12476.8</v>
      </c>
      <c r="S356" s="42" t="n">
        <v>0.167658438959306</v>
      </c>
      <c r="T356" s="3" t="n">
        <v>2.623</v>
      </c>
      <c r="U356" s="3" t="n">
        <v>20</v>
      </c>
      <c r="V356" s="3" t="n">
        <v>66037.17</v>
      </c>
      <c r="W356" s="42" t="n">
        <v>0.0592</v>
      </c>
      <c r="X356" s="23" t="n"/>
      <c r="Y356" s="3">
        <f>IF(I356="","No SIC",IFERROR(VLOOKUP(I356,Ref!$A$2:$B$65,2,FALSE()),"Unclassified"))</f>
        <v/>
      </c>
      <c r="Z356" s="3">
        <f>IF(T356="","",IF(T356&lt;12,"Daily","Weekly"))</f>
        <v/>
      </c>
      <c r="AA356" s="3">
        <f>IF(T356="",0,IF(T356&lt;12,T356*Controls!$B$13,T356*5))</f>
        <v/>
      </c>
      <c r="AB356" s="3">
        <f>IF(E356="",0,NETWORKDAYS(E356,Controls!$B$20,Ref!$K$2:$K$42))</f>
        <v/>
      </c>
      <c r="AC356" s="3">
        <f>IF(OR(AF356=1,AND(AA356&gt;0,AB356&gt;=Controls!$B$23*AA356)),1,0)</f>
        <v/>
      </c>
      <c r="AD356" s="3">
        <f>IF(AND(E356&lt;&gt;"",E356&gt;=Controls!$B$21,E356&lt;=Controls!$B$22),1,0)</f>
        <v/>
      </c>
      <c r="AE356" s="3">
        <f>IF(IFERROR(VLOOKUP(D356,Controls!$A$36:$E$46,2,FALSE()),"No")="Yes",1,0)</f>
        <v/>
      </c>
      <c r="AF356" s="3">
        <f>IF(IFERROR(VLOOKUP(D356,Controls!$A$36:$E$46,3,FALSE()),"No")="Yes",1,0)</f>
        <v/>
      </c>
      <c r="AG356" s="3">
        <f>IF(IFERROR(VLOOKUP(D356,Controls!$A$36:$E$46,4,FALSE()),"No")="Yes",1,0)</f>
        <v/>
      </c>
      <c r="AH356" s="3">
        <f>IF(IFERROR(VLOOKUP(D356,Controls!$A$36:$E$46,5,FALSE()),"No")="Yes",1,0)</f>
        <v/>
      </c>
      <c r="AI356" s="3">
        <f>IF(ISNUMBER(MATCH(D356,Controls!$A$36:$A$46,0)),1,0)</f>
        <v/>
      </c>
      <c r="AJ356" s="28">
        <f>Q356-N356</f>
        <v/>
      </c>
      <c r="AK356" s="3">
        <f>IF(AE356=1,MAX(0,N356-Q356),0)</f>
        <v/>
      </c>
      <c r="AL356" s="3">
        <f>IF(OR(V356="",V356=0),0,N356/V356)</f>
        <v/>
      </c>
      <c r="AM356" s="3">
        <f>IF(OR(V356="",V356=0),0,1)</f>
        <v/>
      </c>
      <c r="AN356" s="3">
        <f>IF(OR(E356="",F356=""),0,NETWORKDAYS(E356,F356,Ref!$K$2:$K$42))</f>
        <v/>
      </c>
      <c r="AO356" s="3">
        <f>IF(L356="Renewal",1,0)</f>
        <v/>
      </c>
      <c r="AP356" s="3">
        <f>AC356*AD356</f>
        <v/>
      </c>
      <c r="AQ356" s="3">
        <f>IF(AND(G356&lt;&gt;"",'Historical Score'!$C$6&lt;&gt;""),IF(G356='Historical Score'!$C$6,1,0),0)</f>
        <v/>
      </c>
      <c r="AR356" s="3">
        <f>IF(AND(L356&lt;&gt;"",'Historical Score'!$C$5&lt;&gt;""),IF(L356='Historical Score'!$C$5,1,0),0)</f>
        <v/>
      </c>
      <c r="AS356" s="3">
        <f>IF(AND(Y356&lt;&gt;"",'Historical Score'!$C$7&lt;&gt;""),IF(Y356='Historical Score'!$C$7,1,0),0)</f>
        <v/>
      </c>
      <c r="AT356" s="3">
        <f>IF(AND(K356&lt;&gt;"",'Historical Score'!$C$8&lt;&gt;""),IF(K356='Historical Score'!$C$8,1,0),0)</f>
        <v/>
      </c>
      <c r="AU356" s="3" t="n"/>
      <c r="AV356" s="3" t="n"/>
      <c r="AW356" s="3" t="n"/>
      <c r="AX356" s="3" t="n"/>
      <c r="AY356" s="3" t="n"/>
      <c r="AZ356" s="3" t="n"/>
      <c r="BA356" s="182">
        <f>IF(AD356=1,(AR356*'Historical Score'!$K$29+1-'Historical Score'!$K$29)*(AT356*'Historical Score'!$L$29+1-'Historical Score'!$L$29)*(AS356*'Historical Score'!$M$29+1-'Historical Score'!$M$29)*(AQ356*'Historical Score'!$N$29+1-'Historical Score'!$N$29),0)</f>
        <v/>
      </c>
      <c r="BB356" s="3" t="n"/>
      <c r="BC356" s="3" t="n"/>
    </row>
    <row r="357" ht="15.75" customHeight="1" s="174">
      <c r="A357" s="3" t="inlineStr">
        <is>
          <t>5674171592</t>
        </is>
      </c>
      <c r="B357" s="3" t="inlineStr">
        <is>
          <t>Mamaw's Cafe &amp; Catering</t>
        </is>
      </c>
      <c r="C357" s="3" t="inlineStr">
        <is>
          <t>Mamaw's Cafe &amp; Catering</t>
        </is>
      </c>
      <c r="D357" s="3" t="inlineStr">
        <is>
          <t>Settlement Agreement</t>
        </is>
      </c>
      <c r="E357" s="23" t="n">
        <v>45979</v>
      </c>
      <c r="F357" s="23" t="n">
        <v>46251</v>
      </c>
      <c r="G357" s="3" t="n">
        <v>4</v>
      </c>
      <c r="H357" s="3" t="inlineStr">
        <is>
          <t>5812</t>
        </is>
      </c>
      <c r="I357" s="3" t="inlineStr">
        <is>
          <t>58</t>
        </is>
      </c>
      <c r="J357" s="3" t="inlineStr">
        <is>
          <t>OK</t>
        </is>
      </c>
      <c r="K357" s="3" t="inlineStr">
        <is>
          <t>FundFlex</t>
        </is>
      </c>
      <c r="L357" s="3" t="inlineStr">
        <is>
          <t>New Deal</t>
        </is>
      </c>
      <c r="M357" s="3" t="n">
        <v>1.49</v>
      </c>
      <c r="N357" s="28" t="n">
        <v>22000</v>
      </c>
      <c r="O357" s="28" t="n">
        <v>3080</v>
      </c>
      <c r="P357" s="28" t="n">
        <v>32780</v>
      </c>
      <c r="Q357" s="28" t="n">
        <v>24449.85</v>
      </c>
      <c r="R357" s="28" t="n">
        <v>8330.15</v>
      </c>
      <c r="S357" s="42" t="n">
        <v>0.745877059182428</v>
      </c>
      <c r="T357" s="3" t="n">
        <v>2.951</v>
      </c>
      <c r="U357" s="3" t="n">
        <v>24</v>
      </c>
      <c r="V357" s="3" t="n">
        <v>101663.55</v>
      </c>
      <c r="W357" s="42" t="n">
        <v>0.0752</v>
      </c>
      <c r="X357" s="23" t="n">
        <v>45456</v>
      </c>
      <c r="Y357" s="3">
        <f>IF(I357="","No SIC",IFERROR(VLOOKUP(I357,Ref!$A$2:$B$65,2,FALSE()),"Unclassified"))</f>
        <v/>
      </c>
      <c r="Z357" s="3">
        <f>IF(T357="","",IF(T357&lt;12,"Daily","Weekly"))</f>
        <v/>
      </c>
      <c r="AA357" s="3">
        <f>IF(T357="",0,IF(T357&lt;12,T357*Controls!$B$13,T357*5))</f>
        <v/>
      </c>
      <c r="AB357" s="3">
        <f>IF(E357="",0,NETWORKDAYS(E357,Controls!$B$20,Ref!$K$2:$K$42))</f>
        <v/>
      </c>
      <c r="AC357" s="3">
        <f>IF(OR(AF357=1,AND(AA357&gt;0,AB357&gt;=Controls!$B$23*AA357)),1,0)</f>
        <v/>
      </c>
      <c r="AD357" s="3">
        <f>IF(AND(E357&lt;&gt;"",E357&gt;=Controls!$B$21,E357&lt;=Controls!$B$22),1,0)</f>
        <v/>
      </c>
      <c r="AE357" s="3">
        <f>IF(IFERROR(VLOOKUP(D357,Controls!$A$36:$E$46,2,FALSE()),"No")="Yes",1,0)</f>
        <v/>
      </c>
      <c r="AF357" s="3">
        <f>IF(IFERROR(VLOOKUP(D357,Controls!$A$36:$E$46,3,FALSE()),"No")="Yes",1,0)</f>
        <v/>
      </c>
      <c r="AG357" s="3">
        <f>IF(IFERROR(VLOOKUP(D357,Controls!$A$36:$E$46,4,FALSE()),"No")="Yes",1,0)</f>
        <v/>
      </c>
      <c r="AH357" s="3">
        <f>IF(IFERROR(VLOOKUP(D357,Controls!$A$36:$E$46,5,FALSE()),"No")="Yes",1,0)</f>
        <v/>
      </c>
      <c r="AI357" s="3">
        <f>IF(ISNUMBER(MATCH(D357,Controls!$A$36:$A$46,0)),1,0)</f>
        <v/>
      </c>
      <c r="AJ357" s="28">
        <f>Q357-N357</f>
        <v/>
      </c>
      <c r="AK357" s="3">
        <f>IF(AE357=1,MAX(0,N357-Q357),0)</f>
        <v/>
      </c>
      <c r="AL357" s="3">
        <f>IF(OR(V357="",V357=0),0,N357/V357)</f>
        <v/>
      </c>
      <c r="AM357" s="3">
        <f>IF(OR(V357="",V357=0),0,1)</f>
        <v/>
      </c>
      <c r="AN357" s="3">
        <f>IF(OR(E357="",F357=""),0,NETWORKDAYS(E357,F357,Ref!$K$2:$K$42))</f>
        <v/>
      </c>
      <c r="AO357" s="3">
        <f>IF(L357="Renewal",1,0)</f>
        <v/>
      </c>
      <c r="AP357" s="3">
        <f>AC357*AD357</f>
        <v/>
      </c>
      <c r="AQ357" s="3">
        <f>IF(AND(G357&lt;&gt;"",'Historical Score'!$C$6&lt;&gt;""),IF(G357='Historical Score'!$C$6,1,0),0)</f>
        <v/>
      </c>
      <c r="AR357" s="3">
        <f>IF(AND(L357&lt;&gt;"",'Historical Score'!$C$5&lt;&gt;""),IF(L357='Historical Score'!$C$5,1,0),0)</f>
        <v/>
      </c>
      <c r="AS357" s="3">
        <f>IF(AND(Y357&lt;&gt;"",'Historical Score'!$C$7&lt;&gt;""),IF(Y357='Historical Score'!$C$7,1,0),0)</f>
        <v/>
      </c>
      <c r="AT357" s="3">
        <f>IF(AND(K357&lt;&gt;"",'Historical Score'!$C$8&lt;&gt;""),IF(K357='Historical Score'!$C$8,1,0),0)</f>
        <v/>
      </c>
      <c r="AU357" s="3" t="n"/>
      <c r="AV357" s="3" t="n"/>
      <c r="AW357" s="3" t="n"/>
      <c r="AX357" s="3" t="n"/>
      <c r="AY357" s="3" t="n"/>
      <c r="AZ357" s="3" t="n"/>
      <c r="BA357" s="182">
        <f>IF(AD357=1,(AR357*'Historical Score'!$K$29+1-'Historical Score'!$K$29)*(AT357*'Historical Score'!$L$29+1-'Historical Score'!$L$29)*(AS357*'Historical Score'!$M$29+1-'Historical Score'!$M$29)*(AQ357*'Historical Score'!$N$29+1-'Historical Score'!$N$29),0)</f>
        <v/>
      </c>
      <c r="BB357" s="3" t="n"/>
      <c r="BC357" s="3" t="n"/>
    </row>
    <row r="358" ht="15.75" customHeight="1" s="174">
      <c r="A358" s="3" t="inlineStr">
        <is>
          <t>5674171596</t>
        </is>
      </c>
      <c r="B358" s="3" t="inlineStr">
        <is>
          <t>T AND T IRRIGATION</t>
        </is>
      </c>
      <c r="C358" s="3" t="inlineStr">
        <is>
          <t>EQUIPMENT AND ENGINEERING CORPORATION</t>
        </is>
      </c>
      <c r="D358" s="3" t="inlineStr">
        <is>
          <t>Legal</t>
        </is>
      </c>
      <c r="E358" s="23" t="n">
        <v>45979</v>
      </c>
      <c r="F358" s="23" t="n">
        <v>46202</v>
      </c>
      <c r="G358" s="3" t="n">
        <v>3</v>
      </c>
      <c r="H358" s="3" t="inlineStr">
        <is>
          <t>4971</t>
        </is>
      </c>
      <c r="I358" s="3" t="inlineStr">
        <is>
          <t>49</t>
        </is>
      </c>
      <c r="J358" s="3" t="inlineStr">
        <is>
          <t>FL</t>
        </is>
      </c>
      <c r="K358" s="3" t="inlineStr">
        <is>
          <t>Fundwell</t>
        </is>
      </c>
      <c r="L358" s="3" t="inlineStr">
        <is>
          <t>New Deal</t>
        </is>
      </c>
      <c r="M358" s="3" t="n">
        <v>1.42</v>
      </c>
      <c r="N358" s="28" t="n">
        <v>150000</v>
      </c>
      <c r="O358" s="28" t="n">
        <v>21000</v>
      </c>
      <c r="P358" s="28" t="n">
        <v>213000</v>
      </c>
      <c r="Q358" s="28" t="n">
        <v>146909.96</v>
      </c>
      <c r="R358" s="28" t="n">
        <v>66090.03999999999</v>
      </c>
      <c r="S358" s="42" t="n">
        <v>0.689718122065728</v>
      </c>
      <c r="T358" s="3" t="n">
        <v>36</v>
      </c>
      <c r="U358" s="3" t="n">
        <v>1</v>
      </c>
      <c r="V358" s="3" t="n">
        <v>301146.98</v>
      </c>
      <c r="W358" s="42" t="n">
        <v>0.0786</v>
      </c>
      <c r="X358" s="23" t="n"/>
      <c r="Y358" s="3">
        <f>IF(I358="","No SIC",IFERROR(VLOOKUP(I358,Ref!$A$2:$B$65,2,FALSE()),"Unclassified"))</f>
        <v/>
      </c>
      <c r="Z358" s="3">
        <f>IF(T358="","",IF(T358&lt;12,"Daily","Weekly"))</f>
        <v/>
      </c>
      <c r="AA358" s="3">
        <f>IF(T358="",0,IF(T358&lt;12,T358*Controls!$B$13,T358*5))</f>
        <v/>
      </c>
      <c r="AB358" s="3">
        <f>IF(E358="",0,NETWORKDAYS(E358,Controls!$B$20,Ref!$K$2:$K$42))</f>
        <v/>
      </c>
      <c r="AC358" s="3">
        <f>IF(OR(AF358=1,AND(AA358&gt;0,AB358&gt;=Controls!$B$23*AA358)),1,0)</f>
        <v/>
      </c>
      <c r="AD358" s="3">
        <f>IF(AND(E358&lt;&gt;"",E358&gt;=Controls!$B$21,E358&lt;=Controls!$B$22),1,0)</f>
        <v/>
      </c>
      <c r="AE358" s="3">
        <f>IF(IFERROR(VLOOKUP(D358,Controls!$A$36:$E$46,2,FALSE()),"No")="Yes",1,0)</f>
        <v/>
      </c>
      <c r="AF358" s="3">
        <f>IF(IFERROR(VLOOKUP(D358,Controls!$A$36:$E$46,3,FALSE()),"No")="Yes",1,0)</f>
        <v/>
      </c>
      <c r="AG358" s="3">
        <f>IF(IFERROR(VLOOKUP(D358,Controls!$A$36:$E$46,4,FALSE()),"No")="Yes",1,0)</f>
        <v/>
      </c>
      <c r="AH358" s="3">
        <f>IF(IFERROR(VLOOKUP(D358,Controls!$A$36:$E$46,5,FALSE()),"No")="Yes",1,0)</f>
        <v/>
      </c>
      <c r="AI358" s="3">
        <f>IF(ISNUMBER(MATCH(D358,Controls!$A$36:$A$46,0)),1,0)</f>
        <v/>
      </c>
      <c r="AJ358" s="28">
        <f>Q358-N358</f>
        <v/>
      </c>
      <c r="AK358" s="3">
        <f>IF(AE358=1,MAX(0,N358-Q358),0)</f>
        <v/>
      </c>
      <c r="AL358" s="3">
        <f>IF(OR(V358="",V358=0),0,N358/V358)</f>
        <v/>
      </c>
      <c r="AM358" s="3">
        <f>IF(OR(V358="",V358=0),0,1)</f>
        <v/>
      </c>
      <c r="AN358" s="3">
        <f>IF(OR(E358="",F358=""),0,NETWORKDAYS(E358,F358,Ref!$K$2:$K$42))</f>
        <v/>
      </c>
      <c r="AO358" s="3">
        <f>IF(L358="Renewal",1,0)</f>
        <v/>
      </c>
      <c r="AP358" s="3">
        <f>AC358*AD358</f>
        <v/>
      </c>
      <c r="AQ358" s="3">
        <f>IF(AND(G358&lt;&gt;"",'Historical Score'!$C$6&lt;&gt;""),IF(G358='Historical Score'!$C$6,1,0),0)</f>
        <v/>
      </c>
      <c r="AR358" s="3">
        <f>IF(AND(L358&lt;&gt;"",'Historical Score'!$C$5&lt;&gt;""),IF(L358='Historical Score'!$C$5,1,0),0)</f>
        <v/>
      </c>
      <c r="AS358" s="3">
        <f>IF(AND(Y358&lt;&gt;"",'Historical Score'!$C$7&lt;&gt;""),IF(Y358='Historical Score'!$C$7,1,0),0)</f>
        <v/>
      </c>
      <c r="AT358" s="3">
        <f>IF(AND(K358&lt;&gt;"",'Historical Score'!$C$8&lt;&gt;""),IF(K358='Historical Score'!$C$8,1,0),0)</f>
        <v/>
      </c>
      <c r="AU358" s="3" t="n"/>
      <c r="AV358" s="3" t="n"/>
      <c r="AW358" s="3" t="n"/>
      <c r="AX358" s="3" t="n"/>
      <c r="AY358" s="3" t="n"/>
      <c r="AZ358" s="3" t="n"/>
      <c r="BA358" s="182">
        <f>IF(AD358=1,(AR358*'Historical Score'!$K$29+1-'Historical Score'!$K$29)*(AT358*'Historical Score'!$L$29+1-'Historical Score'!$L$29)*(AS358*'Historical Score'!$M$29+1-'Historical Score'!$M$29)*(AQ358*'Historical Score'!$N$29+1-'Historical Score'!$N$29),0)</f>
        <v/>
      </c>
      <c r="BB358" s="3" t="n"/>
      <c r="BC358" s="3" t="n"/>
    </row>
    <row r="359" ht="15.75" customHeight="1" s="174">
      <c r="A359" s="3" t="inlineStr">
        <is>
          <t>5674171598</t>
        </is>
      </c>
      <c r="B359" s="3" t="inlineStr">
        <is>
          <t>FOOTS CONSTRUCTION</t>
        </is>
      </c>
      <c r="C359" s="3" t="inlineStr">
        <is>
          <t>FOOTS CONSTRUCTION</t>
        </is>
      </c>
      <c r="D359" s="3" t="inlineStr">
        <is>
          <t>Legal</t>
        </is>
      </c>
      <c r="E359" s="23" t="n">
        <v>45979</v>
      </c>
      <c r="F359" s="23" t="n">
        <v>46036</v>
      </c>
      <c r="G359" s="3" t="n">
        <v>2</v>
      </c>
      <c r="H359" s="3" t="inlineStr">
        <is>
          <t>1521</t>
        </is>
      </c>
      <c r="I359" s="3" t="inlineStr">
        <is>
          <t>15</t>
        </is>
      </c>
      <c r="J359" s="3" t="inlineStr">
        <is>
          <t>GA</t>
        </is>
      </c>
      <c r="K359" s="3" t="inlineStr">
        <is>
          <t>Secure Capital Solutions 7</t>
        </is>
      </c>
      <c r="L359" s="3" t="inlineStr">
        <is>
          <t>New Deal</t>
        </is>
      </c>
      <c r="M359" s="3" t="n">
        <v>1.499</v>
      </c>
      <c r="N359" s="28" t="n">
        <v>5000</v>
      </c>
      <c r="O359" s="28" t="n">
        <v>700</v>
      </c>
      <c r="P359" s="28" t="n">
        <v>7495</v>
      </c>
      <c r="Q359" s="28" t="n">
        <v>653.52</v>
      </c>
      <c r="R359" s="28" t="n">
        <v>6841.48</v>
      </c>
      <c r="S359" s="42" t="n">
        <v>0.0871941294196131</v>
      </c>
      <c r="T359" s="3" t="n">
        <v>2.623</v>
      </c>
      <c r="U359" s="3" t="n">
        <v>24</v>
      </c>
      <c r="V359" s="3" t="n">
        <v>20088.64</v>
      </c>
      <c r="W359" s="42" t="n">
        <v>0.09760000000000001</v>
      </c>
      <c r="X359" s="23" t="n">
        <v>42401</v>
      </c>
      <c r="Y359" s="3">
        <f>IF(I359="","No SIC",IFERROR(VLOOKUP(I359,Ref!$A$2:$B$65,2,FALSE()),"Unclassified"))</f>
        <v/>
      </c>
      <c r="Z359" s="3">
        <f>IF(T359="","",IF(T359&lt;12,"Daily","Weekly"))</f>
        <v/>
      </c>
      <c r="AA359" s="3">
        <f>IF(T359="",0,IF(T359&lt;12,T359*Controls!$B$13,T359*5))</f>
        <v/>
      </c>
      <c r="AB359" s="3">
        <f>IF(E359="",0,NETWORKDAYS(E359,Controls!$B$20,Ref!$K$2:$K$42))</f>
        <v/>
      </c>
      <c r="AC359" s="3">
        <f>IF(OR(AF359=1,AND(AA359&gt;0,AB359&gt;=Controls!$B$23*AA359)),1,0)</f>
        <v/>
      </c>
      <c r="AD359" s="3">
        <f>IF(AND(E359&lt;&gt;"",E359&gt;=Controls!$B$21,E359&lt;=Controls!$B$22),1,0)</f>
        <v/>
      </c>
      <c r="AE359" s="3">
        <f>IF(IFERROR(VLOOKUP(D359,Controls!$A$36:$E$46,2,FALSE()),"No")="Yes",1,0)</f>
        <v/>
      </c>
      <c r="AF359" s="3">
        <f>IF(IFERROR(VLOOKUP(D359,Controls!$A$36:$E$46,3,FALSE()),"No")="Yes",1,0)</f>
        <v/>
      </c>
      <c r="AG359" s="3">
        <f>IF(IFERROR(VLOOKUP(D359,Controls!$A$36:$E$46,4,FALSE()),"No")="Yes",1,0)</f>
        <v/>
      </c>
      <c r="AH359" s="3">
        <f>IF(IFERROR(VLOOKUP(D359,Controls!$A$36:$E$46,5,FALSE()),"No")="Yes",1,0)</f>
        <v/>
      </c>
      <c r="AI359" s="3">
        <f>IF(ISNUMBER(MATCH(D359,Controls!$A$36:$A$46,0)),1,0)</f>
        <v/>
      </c>
      <c r="AJ359" s="28">
        <f>Q359-N359</f>
        <v/>
      </c>
      <c r="AK359" s="3">
        <f>IF(AE359=1,MAX(0,N359-Q359),0)</f>
        <v/>
      </c>
      <c r="AL359" s="3">
        <f>IF(OR(V359="",V359=0),0,N359/V359)</f>
        <v/>
      </c>
      <c r="AM359" s="3">
        <f>IF(OR(V359="",V359=0),0,1)</f>
        <v/>
      </c>
      <c r="AN359" s="3">
        <f>IF(OR(E359="",F359=""),0,NETWORKDAYS(E359,F359,Ref!$K$2:$K$42))</f>
        <v/>
      </c>
      <c r="AO359" s="3">
        <f>IF(L359="Renewal",1,0)</f>
        <v/>
      </c>
      <c r="AP359" s="3">
        <f>AC359*AD359</f>
        <v/>
      </c>
      <c r="AQ359" s="3">
        <f>IF(AND(G359&lt;&gt;"",'Historical Score'!$C$6&lt;&gt;""),IF(G359='Historical Score'!$C$6,1,0),0)</f>
        <v/>
      </c>
      <c r="AR359" s="3">
        <f>IF(AND(L359&lt;&gt;"",'Historical Score'!$C$5&lt;&gt;""),IF(L359='Historical Score'!$C$5,1,0),0)</f>
        <v/>
      </c>
      <c r="AS359" s="3">
        <f>IF(AND(Y359&lt;&gt;"",'Historical Score'!$C$7&lt;&gt;""),IF(Y359='Historical Score'!$C$7,1,0),0)</f>
        <v/>
      </c>
      <c r="AT359" s="3">
        <f>IF(AND(K359&lt;&gt;"",'Historical Score'!$C$8&lt;&gt;""),IF(K359='Historical Score'!$C$8,1,0),0)</f>
        <v/>
      </c>
      <c r="AU359" s="3" t="n"/>
      <c r="AV359" s="3" t="n"/>
      <c r="AW359" s="3" t="n"/>
      <c r="AX359" s="3" t="n"/>
      <c r="AY359" s="3" t="n"/>
      <c r="AZ359" s="3" t="n"/>
      <c r="BA359" s="182">
        <f>IF(AD359=1,(AR359*'Historical Score'!$K$29+1-'Historical Score'!$K$29)*(AT359*'Historical Score'!$L$29+1-'Historical Score'!$L$29)*(AS359*'Historical Score'!$M$29+1-'Historical Score'!$M$29)*(AQ359*'Historical Score'!$N$29+1-'Historical Score'!$N$29),0)</f>
        <v/>
      </c>
      <c r="BB359" s="3" t="n"/>
      <c r="BC359" s="3" t="n"/>
    </row>
    <row r="360" ht="15.75" customHeight="1" s="174">
      <c r="A360" s="3" t="inlineStr">
        <is>
          <t>5674171618</t>
        </is>
      </c>
      <c r="B360" s="3" t="inlineStr">
        <is>
          <t>BCD ACADEMY</t>
        </is>
      </c>
      <c r="C360" s="3" t="inlineStr">
        <is>
          <t>B.C.D ACADEMY LLC</t>
        </is>
      </c>
      <c r="D360" s="3" t="inlineStr">
        <is>
          <t>Closed</t>
        </is>
      </c>
      <c r="E360" s="23" t="n">
        <v>45979</v>
      </c>
      <c r="F360" s="23" t="n">
        <v>46050</v>
      </c>
      <c r="G360" s="3" t="n">
        <v>3</v>
      </c>
      <c r="H360" s="3" t="inlineStr">
        <is>
          <t>8211</t>
        </is>
      </c>
      <c r="I360" s="3" t="inlineStr">
        <is>
          <t>82</t>
        </is>
      </c>
      <c r="J360" s="3" t="inlineStr">
        <is>
          <t>CA</t>
        </is>
      </c>
      <c r="K360" s="3" t="inlineStr">
        <is>
          <t>Fundwell</t>
        </is>
      </c>
      <c r="L360" s="3" t="inlineStr">
        <is>
          <t>New Deal</t>
        </is>
      </c>
      <c r="M360" s="3" t="n">
        <v>1.4</v>
      </c>
      <c r="N360" s="28" t="n">
        <v>20000</v>
      </c>
      <c r="O360" s="28" t="n">
        <v>2500</v>
      </c>
      <c r="P360" s="28" t="n">
        <v>28000</v>
      </c>
      <c r="Q360" s="28" t="n">
        <v>28000</v>
      </c>
      <c r="R360" s="28" t="n">
        <v>0</v>
      </c>
      <c r="S360" s="42" t="n">
        <v>1</v>
      </c>
      <c r="T360" s="3" t="n">
        <v>20</v>
      </c>
      <c r="U360" s="3" t="n">
        <v>0</v>
      </c>
      <c r="V360" s="3" t="n">
        <v>37366.03</v>
      </c>
      <c r="W360" s="42" t="n">
        <v>0.1499</v>
      </c>
      <c r="X360" s="23" t="n">
        <v>45170</v>
      </c>
      <c r="Y360" s="3">
        <f>IF(I360="","No SIC",IFERROR(VLOOKUP(I360,Ref!$A$2:$B$65,2,FALSE()),"Unclassified"))</f>
        <v/>
      </c>
      <c r="Z360" s="3">
        <f>IF(T360="","",IF(T360&lt;12,"Daily","Weekly"))</f>
        <v/>
      </c>
      <c r="AA360" s="3">
        <f>IF(T360="",0,IF(T360&lt;12,T360*Controls!$B$13,T360*5))</f>
        <v/>
      </c>
      <c r="AB360" s="3">
        <f>IF(E360="",0,NETWORKDAYS(E360,Controls!$B$20,Ref!$K$2:$K$42))</f>
        <v/>
      </c>
      <c r="AC360" s="3">
        <f>IF(OR(AF360=1,AND(AA360&gt;0,AB360&gt;=Controls!$B$23*AA360)),1,0)</f>
        <v/>
      </c>
      <c r="AD360" s="3">
        <f>IF(AND(E360&lt;&gt;"",E360&gt;=Controls!$B$21,E360&lt;=Controls!$B$22),1,0)</f>
        <v/>
      </c>
      <c r="AE360" s="3">
        <f>IF(IFERROR(VLOOKUP(D360,Controls!$A$36:$E$46,2,FALSE()),"No")="Yes",1,0)</f>
        <v/>
      </c>
      <c r="AF360" s="3">
        <f>IF(IFERROR(VLOOKUP(D360,Controls!$A$36:$E$46,3,FALSE()),"No")="Yes",1,0)</f>
        <v/>
      </c>
      <c r="AG360" s="3">
        <f>IF(IFERROR(VLOOKUP(D360,Controls!$A$36:$E$46,4,FALSE()),"No")="Yes",1,0)</f>
        <v/>
      </c>
      <c r="AH360" s="3">
        <f>IF(IFERROR(VLOOKUP(D360,Controls!$A$36:$E$46,5,FALSE()),"No")="Yes",1,0)</f>
        <v/>
      </c>
      <c r="AI360" s="3">
        <f>IF(ISNUMBER(MATCH(D360,Controls!$A$36:$A$46,0)),1,0)</f>
        <v/>
      </c>
      <c r="AJ360" s="28">
        <f>Q360-N360</f>
        <v/>
      </c>
      <c r="AK360" s="3">
        <f>IF(AE360=1,MAX(0,N360-Q360),0)</f>
        <v/>
      </c>
      <c r="AL360" s="3">
        <f>IF(OR(V360="",V360=0),0,N360/V360)</f>
        <v/>
      </c>
      <c r="AM360" s="3">
        <f>IF(OR(V360="",V360=0),0,1)</f>
        <v/>
      </c>
      <c r="AN360" s="3">
        <f>IF(OR(E360="",F360=""),0,NETWORKDAYS(E360,F360,Ref!$K$2:$K$42))</f>
        <v/>
      </c>
      <c r="AO360" s="3">
        <f>IF(L360="Renewal",1,0)</f>
        <v/>
      </c>
      <c r="AP360" s="3">
        <f>AC360*AD360</f>
        <v/>
      </c>
      <c r="AQ360" s="3">
        <f>IF(AND(G360&lt;&gt;"",'Historical Score'!$C$6&lt;&gt;""),IF(G360='Historical Score'!$C$6,1,0),0)</f>
        <v/>
      </c>
      <c r="AR360" s="3">
        <f>IF(AND(L360&lt;&gt;"",'Historical Score'!$C$5&lt;&gt;""),IF(L360='Historical Score'!$C$5,1,0),0)</f>
        <v/>
      </c>
      <c r="AS360" s="3">
        <f>IF(AND(Y360&lt;&gt;"",'Historical Score'!$C$7&lt;&gt;""),IF(Y360='Historical Score'!$C$7,1,0),0)</f>
        <v/>
      </c>
      <c r="AT360" s="3">
        <f>IF(AND(K360&lt;&gt;"",'Historical Score'!$C$8&lt;&gt;""),IF(K360='Historical Score'!$C$8,1,0),0)</f>
        <v/>
      </c>
      <c r="AU360" s="3" t="n"/>
      <c r="AV360" s="3" t="n"/>
      <c r="AW360" s="3" t="n"/>
      <c r="AX360" s="3" t="n"/>
      <c r="AY360" s="3" t="n"/>
      <c r="AZ360" s="3" t="n"/>
      <c r="BA360" s="182">
        <f>IF(AD360=1,(AR360*'Historical Score'!$K$29+1-'Historical Score'!$K$29)*(AT360*'Historical Score'!$L$29+1-'Historical Score'!$L$29)*(AS360*'Historical Score'!$M$29+1-'Historical Score'!$M$29)*(AQ360*'Historical Score'!$N$29+1-'Historical Score'!$N$29),0)</f>
        <v/>
      </c>
      <c r="BB360" s="3" t="n"/>
      <c r="BC360" s="3" t="n"/>
    </row>
    <row r="361" ht="15.75" customHeight="1" s="174">
      <c r="A361" s="3" t="inlineStr">
        <is>
          <t>5674171654</t>
        </is>
      </c>
      <c r="B361" s="3" t="inlineStr">
        <is>
          <t>Humble Baron</t>
        </is>
      </c>
      <c r="C361" s="3" t="inlineStr">
        <is>
          <t>HUMBLE BARON INC</t>
        </is>
      </c>
      <c r="D361" s="3" t="inlineStr">
        <is>
          <t>Bankruptcy</t>
        </is>
      </c>
      <c r="E361" s="23" t="n">
        <v>45980</v>
      </c>
      <c r="F361" s="23" t="n">
        <v>46168</v>
      </c>
      <c r="G361" s="3" t="n">
        <v>1</v>
      </c>
      <c r="H361" s="3" t="inlineStr">
        <is>
          <t>5813</t>
        </is>
      </c>
      <c r="I361" s="3" t="inlineStr">
        <is>
          <t>58</t>
        </is>
      </c>
      <c r="J361" s="3" t="inlineStr">
        <is>
          <t>TN</t>
        </is>
      </c>
      <c r="K361" s="3" t="inlineStr">
        <is>
          <t>Advance Consolidations</t>
        </is>
      </c>
      <c r="L361" s="3" t="inlineStr">
        <is>
          <t>New Deal</t>
        </is>
      </c>
      <c r="M361" s="3" t="n">
        <v>1.41</v>
      </c>
      <c r="N361" s="28" t="n">
        <v>100000</v>
      </c>
      <c r="O361" s="28" t="n">
        <v>10000</v>
      </c>
      <c r="P361" s="28" t="n">
        <v>141000</v>
      </c>
      <c r="Q361" s="28" t="n">
        <v>47517.15</v>
      </c>
      <c r="R361" s="28" t="n">
        <v>93482.85000000001</v>
      </c>
      <c r="S361" s="42" t="n">
        <v>0.337001063829787</v>
      </c>
      <c r="T361" s="3" t="n">
        <v>35</v>
      </c>
      <c r="U361" s="3" t="n">
        <v>64</v>
      </c>
      <c r="V361" s="3" t="n">
        <v>309166.2</v>
      </c>
      <c r="W361" s="42" t="n">
        <v>0.0521</v>
      </c>
      <c r="X361" s="23" t="n">
        <v>44256</v>
      </c>
      <c r="Y361" s="3">
        <f>IF(I361="","No SIC",IFERROR(VLOOKUP(I361,Ref!$A$2:$B$65,2,FALSE()),"Unclassified"))</f>
        <v/>
      </c>
      <c r="Z361" s="3">
        <f>IF(T361="","",IF(T361&lt;12,"Daily","Weekly"))</f>
        <v/>
      </c>
      <c r="AA361" s="3">
        <f>IF(T361="",0,IF(T361&lt;12,T361*Controls!$B$13,T361*5))</f>
        <v/>
      </c>
      <c r="AB361" s="3">
        <f>IF(E361="",0,NETWORKDAYS(E361,Controls!$B$20,Ref!$K$2:$K$42))</f>
        <v/>
      </c>
      <c r="AC361" s="3">
        <f>IF(OR(AF361=1,AND(AA361&gt;0,AB361&gt;=Controls!$B$23*AA361)),1,0)</f>
        <v/>
      </c>
      <c r="AD361" s="3">
        <f>IF(AND(E361&lt;&gt;"",E361&gt;=Controls!$B$21,E361&lt;=Controls!$B$22),1,0)</f>
        <v/>
      </c>
      <c r="AE361" s="3">
        <f>IF(IFERROR(VLOOKUP(D361,Controls!$A$36:$E$46,2,FALSE()),"No")="Yes",1,0)</f>
        <v/>
      </c>
      <c r="AF361" s="3">
        <f>IF(IFERROR(VLOOKUP(D361,Controls!$A$36:$E$46,3,FALSE()),"No")="Yes",1,0)</f>
        <v/>
      </c>
      <c r="AG361" s="3">
        <f>IF(IFERROR(VLOOKUP(D361,Controls!$A$36:$E$46,4,FALSE()),"No")="Yes",1,0)</f>
        <v/>
      </c>
      <c r="AH361" s="3">
        <f>IF(IFERROR(VLOOKUP(D361,Controls!$A$36:$E$46,5,FALSE()),"No")="Yes",1,0)</f>
        <v/>
      </c>
      <c r="AI361" s="3">
        <f>IF(ISNUMBER(MATCH(D361,Controls!$A$36:$A$46,0)),1,0)</f>
        <v/>
      </c>
      <c r="AJ361" s="28">
        <f>Q361-N361</f>
        <v/>
      </c>
      <c r="AK361" s="3">
        <f>IF(AE361=1,MAX(0,N361-Q361),0)</f>
        <v/>
      </c>
      <c r="AL361" s="3">
        <f>IF(OR(V361="",V361=0),0,N361/V361)</f>
        <v/>
      </c>
      <c r="AM361" s="3">
        <f>IF(OR(V361="",V361=0),0,1)</f>
        <v/>
      </c>
      <c r="AN361" s="3">
        <f>IF(OR(E361="",F361=""),0,NETWORKDAYS(E361,F361,Ref!$K$2:$K$42))</f>
        <v/>
      </c>
      <c r="AO361" s="3">
        <f>IF(L361="Renewal",1,0)</f>
        <v/>
      </c>
      <c r="AP361" s="3">
        <f>AC361*AD361</f>
        <v/>
      </c>
      <c r="AQ361" s="3">
        <f>IF(AND(G361&lt;&gt;"",'Historical Score'!$C$6&lt;&gt;""),IF(G361='Historical Score'!$C$6,1,0),0)</f>
        <v/>
      </c>
      <c r="AR361" s="3">
        <f>IF(AND(L361&lt;&gt;"",'Historical Score'!$C$5&lt;&gt;""),IF(L361='Historical Score'!$C$5,1,0),0)</f>
        <v/>
      </c>
      <c r="AS361" s="3">
        <f>IF(AND(Y361&lt;&gt;"",'Historical Score'!$C$7&lt;&gt;""),IF(Y361='Historical Score'!$C$7,1,0),0)</f>
        <v/>
      </c>
      <c r="AT361" s="3">
        <f>IF(AND(K361&lt;&gt;"",'Historical Score'!$C$8&lt;&gt;""),IF(K361='Historical Score'!$C$8,1,0),0)</f>
        <v/>
      </c>
      <c r="AU361" s="3" t="n"/>
      <c r="AV361" s="3" t="n"/>
      <c r="AW361" s="3" t="n"/>
      <c r="AX361" s="3" t="n"/>
      <c r="AY361" s="3" t="n"/>
      <c r="AZ361" s="3" t="n"/>
      <c r="BA361" s="182">
        <f>IF(AD361=1,(AR361*'Historical Score'!$K$29+1-'Historical Score'!$K$29)*(AT361*'Historical Score'!$L$29+1-'Historical Score'!$L$29)*(AS361*'Historical Score'!$M$29+1-'Historical Score'!$M$29)*(AQ361*'Historical Score'!$N$29+1-'Historical Score'!$N$29),0)</f>
        <v/>
      </c>
      <c r="BB361" s="3" t="n"/>
      <c r="BC361" s="3" t="n"/>
    </row>
    <row r="362" ht="15.75" customHeight="1" s="174">
      <c r="A362" s="3" t="inlineStr">
        <is>
          <t>5674171672</t>
        </is>
      </c>
      <c r="B362" s="3" t="inlineStr">
        <is>
          <t>Exquisite Bride, LLC</t>
        </is>
      </c>
      <c r="C362" s="3" t="inlineStr">
        <is>
          <t>Exquisite Bride, LLC</t>
        </is>
      </c>
      <c r="D362" s="3" t="inlineStr">
        <is>
          <t>Closed</t>
        </is>
      </c>
      <c r="E362" s="23" t="n">
        <v>45980</v>
      </c>
      <c r="F362" s="23" t="n">
        <v>46029</v>
      </c>
      <c r="G362" s="3" t="n">
        <v>1</v>
      </c>
      <c r="H362" s="3" t="inlineStr">
        <is>
          <t>5999</t>
        </is>
      </c>
      <c r="I362" s="3" t="inlineStr">
        <is>
          <t>59</t>
        </is>
      </c>
      <c r="J362" s="3" t="inlineStr">
        <is>
          <t>TX</t>
        </is>
      </c>
      <c r="K362" s="3" t="inlineStr">
        <is>
          <t>Viking Funding LLC</t>
        </is>
      </c>
      <c r="L362" s="3" t="inlineStr">
        <is>
          <t>New Deal</t>
        </is>
      </c>
      <c r="M362" s="3" t="n">
        <v>1.499</v>
      </c>
      <c r="N362" s="28" t="n">
        <v>10000</v>
      </c>
      <c r="O362" s="28" t="n">
        <v>1400</v>
      </c>
      <c r="P362" s="28" t="n">
        <v>14990</v>
      </c>
      <c r="Q362" s="28" t="n">
        <v>14990</v>
      </c>
      <c r="R362" s="28" t="n">
        <v>1.81898940354586e-12</v>
      </c>
      <c r="S362" s="42" t="n">
        <v>1</v>
      </c>
      <c r="T362" s="3" t="n">
        <v>2.951</v>
      </c>
      <c r="U362" s="3" t="n">
        <v>8</v>
      </c>
      <c r="V362" s="3" t="n">
        <v>38438.18</v>
      </c>
      <c r="W362" s="42" t="n">
        <v>0.0905</v>
      </c>
      <c r="X362" s="23" t="n">
        <v>44562</v>
      </c>
      <c r="Y362" s="3">
        <f>IF(I362="","No SIC",IFERROR(VLOOKUP(I362,Ref!$A$2:$B$65,2,FALSE()),"Unclassified"))</f>
        <v/>
      </c>
      <c r="Z362" s="3">
        <f>IF(T362="","",IF(T362&lt;12,"Daily","Weekly"))</f>
        <v/>
      </c>
      <c r="AA362" s="3">
        <f>IF(T362="",0,IF(T362&lt;12,T362*Controls!$B$13,T362*5))</f>
        <v/>
      </c>
      <c r="AB362" s="3">
        <f>IF(E362="",0,NETWORKDAYS(E362,Controls!$B$20,Ref!$K$2:$K$42))</f>
        <v/>
      </c>
      <c r="AC362" s="3">
        <f>IF(OR(AF362=1,AND(AA362&gt;0,AB362&gt;=Controls!$B$23*AA362)),1,0)</f>
        <v/>
      </c>
      <c r="AD362" s="3">
        <f>IF(AND(E362&lt;&gt;"",E362&gt;=Controls!$B$21,E362&lt;=Controls!$B$22),1,0)</f>
        <v/>
      </c>
      <c r="AE362" s="3">
        <f>IF(IFERROR(VLOOKUP(D362,Controls!$A$36:$E$46,2,FALSE()),"No")="Yes",1,0)</f>
        <v/>
      </c>
      <c r="AF362" s="3">
        <f>IF(IFERROR(VLOOKUP(D362,Controls!$A$36:$E$46,3,FALSE()),"No")="Yes",1,0)</f>
        <v/>
      </c>
      <c r="AG362" s="3">
        <f>IF(IFERROR(VLOOKUP(D362,Controls!$A$36:$E$46,4,FALSE()),"No")="Yes",1,0)</f>
        <v/>
      </c>
      <c r="AH362" s="3">
        <f>IF(IFERROR(VLOOKUP(D362,Controls!$A$36:$E$46,5,FALSE()),"No")="Yes",1,0)</f>
        <v/>
      </c>
      <c r="AI362" s="3">
        <f>IF(ISNUMBER(MATCH(D362,Controls!$A$36:$A$46,0)),1,0)</f>
        <v/>
      </c>
      <c r="AJ362" s="28">
        <f>Q362-N362</f>
        <v/>
      </c>
      <c r="AK362" s="3">
        <f>IF(AE362=1,MAX(0,N362-Q362),0)</f>
        <v/>
      </c>
      <c r="AL362" s="3">
        <f>IF(OR(V362="",V362=0),0,N362/V362)</f>
        <v/>
      </c>
      <c r="AM362" s="3">
        <f>IF(OR(V362="",V362=0),0,1)</f>
        <v/>
      </c>
      <c r="AN362" s="3">
        <f>IF(OR(E362="",F362=""),0,NETWORKDAYS(E362,F362,Ref!$K$2:$K$42))</f>
        <v/>
      </c>
      <c r="AO362" s="3">
        <f>IF(L362="Renewal",1,0)</f>
        <v/>
      </c>
      <c r="AP362" s="3">
        <f>AC362*AD362</f>
        <v/>
      </c>
      <c r="AQ362" s="3">
        <f>IF(AND(G362&lt;&gt;"",'Historical Score'!$C$6&lt;&gt;""),IF(G362='Historical Score'!$C$6,1,0),0)</f>
        <v/>
      </c>
      <c r="AR362" s="3">
        <f>IF(AND(L362&lt;&gt;"",'Historical Score'!$C$5&lt;&gt;""),IF(L362='Historical Score'!$C$5,1,0),0)</f>
        <v/>
      </c>
      <c r="AS362" s="3">
        <f>IF(AND(Y362&lt;&gt;"",'Historical Score'!$C$7&lt;&gt;""),IF(Y362='Historical Score'!$C$7,1,0),0)</f>
        <v/>
      </c>
      <c r="AT362" s="3">
        <f>IF(AND(K362&lt;&gt;"",'Historical Score'!$C$8&lt;&gt;""),IF(K362='Historical Score'!$C$8,1,0),0)</f>
        <v/>
      </c>
      <c r="AU362" s="3" t="n"/>
      <c r="AV362" s="3" t="n"/>
      <c r="AW362" s="3" t="n"/>
      <c r="AX362" s="3" t="n"/>
      <c r="AY362" s="3" t="n"/>
      <c r="AZ362" s="3" t="n"/>
      <c r="BA362" s="182">
        <f>IF(AD362=1,(AR362*'Historical Score'!$K$29+1-'Historical Score'!$K$29)*(AT362*'Historical Score'!$L$29+1-'Historical Score'!$L$29)*(AS362*'Historical Score'!$M$29+1-'Historical Score'!$M$29)*(AQ362*'Historical Score'!$N$29+1-'Historical Score'!$N$29),0)</f>
        <v/>
      </c>
      <c r="BB362" s="3" t="n"/>
      <c r="BC362" s="3" t="n"/>
    </row>
    <row r="363" ht="15.75" customHeight="1" s="174">
      <c r="A363" s="3" t="inlineStr">
        <is>
          <t>5674171716</t>
        </is>
      </c>
      <c r="B363" s="3" t="inlineStr">
        <is>
          <t>Diamond Painting Llc</t>
        </is>
      </c>
      <c r="C363" s="3" t="inlineStr">
        <is>
          <t>Diamond Painting Llc</t>
        </is>
      </c>
      <c r="D363" s="3" t="inlineStr">
        <is>
          <t>Legal</t>
        </is>
      </c>
      <c r="E363" s="23" t="n">
        <v>45980</v>
      </c>
      <c r="F363" s="23" t="n">
        <v>45995</v>
      </c>
      <c r="G363" s="3" t="n">
        <v>3</v>
      </c>
      <c r="H363" s="3" t="inlineStr">
        <is>
          <t>5399</t>
        </is>
      </c>
      <c r="I363" s="3" t="inlineStr">
        <is>
          <t>53</t>
        </is>
      </c>
      <c r="J363" s="3" t="inlineStr">
        <is>
          <t>OR</t>
        </is>
      </c>
      <c r="K363" s="3" t="inlineStr">
        <is>
          <t>level 3 funding</t>
        </is>
      </c>
      <c r="L363" s="3" t="inlineStr">
        <is>
          <t>New Deal</t>
        </is>
      </c>
      <c r="M363" s="3" t="n">
        <v>1.5</v>
      </c>
      <c r="N363" s="28" t="n">
        <v>3000</v>
      </c>
      <c r="O363" s="28" t="n">
        <v>0</v>
      </c>
      <c r="P363" s="28" t="n">
        <v>4500</v>
      </c>
      <c r="Q363" s="28" t="n">
        <v>382.8</v>
      </c>
      <c r="R363" s="28" t="n">
        <v>4117.2</v>
      </c>
      <c r="S363" s="42" t="n">
        <v>0.08506666666666669</v>
      </c>
      <c r="T363" s="3" t="n">
        <v>2.295</v>
      </c>
      <c r="U363" s="3" t="n">
        <v>4</v>
      </c>
      <c r="V363" s="3" t="n">
        <v>31822.32</v>
      </c>
      <c r="W363" s="42" t="n">
        <v>0.0421</v>
      </c>
      <c r="X363" s="23" t="n">
        <v>44719</v>
      </c>
      <c r="Y363" s="3">
        <f>IF(I363="","No SIC",IFERROR(VLOOKUP(I363,Ref!$A$2:$B$65,2,FALSE()),"Unclassified"))</f>
        <v/>
      </c>
      <c r="Z363" s="3">
        <f>IF(T363="","",IF(T363&lt;12,"Daily","Weekly"))</f>
        <v/>
      </c>
      <c r="AA363" s="3">
        <f>IF(T363="",0,IF(T363&lt;12,T363*Controls!$B$13,T363*5))</f>
        <v/>
      </c>
      <c r="AB363" s="3">
        <f>IF(E363="",0,NETWORKDAYS(E363,Controls!$B$20,Ref!$K$2:$K$42))</f>
        <v/>
      </c>
      <c r="AC363" s="3">
        <f>IF(OR(AF363=1,AND(AA363&gt;0,AB363&gt;=Controls!$B$23*AA363)),1,0)</f>
        <v/>
      </c>
      <c r="AD363" s="3">
        <f>IF(AND(E363&lt;&gt;"",E363&gt;=Controls!$B$21,E363&lt;=Controls!$B$22),1,0)</f>
        <v/>
      </c>
      <c r="AE363" s="3">
        <f>IF(IFERROR(VLOOKUP(D363,Controls!$A$36:$E$46,2,FALSE()),"No")="Yes",1,0)</f>
        <v/>
      </c>
      <c r="AF363" s="3">
        <f>IF(IFERROR(VLOOKUP(D363,Controls!$A$36:$E$46,3,FALSE()),"No")="Yes",1,0)</f>
        <v/>
      </c>
      <c r="AG363" s="3">
        <f>IF(IFERROR(VLOOKUP(D363,Controls!$A$36:$E$46,4,FALSE()),"No")="Yes",1,0)</f>
        <v/>
      </c>
      <c r="AH363" s="3">
        <f>IF(IFERROR(VLOOKUP(D363,Controls!$A$36:$E$46,5,FALSE()),"No")="Yes",1,0)</f>
        <v/>
      </c>
      <c r="AI363" s="3">
        <f>IF(ISNUMBER(MATCH(D363,Controls!$A$36:$A$46,0)),1,0)</f>
        <v/>
      </c>
      <c r="AJ363" s="28">
        <f>Q363-N363</f>
        <v/>
      </c>
      <c r="AK363" s="3">
        <f>IF(AE363=1,MAX(0,N363-Q363),0)</f>
        <v/>
      </c>
      <c r="AL363" s="3">
        <f>IF(OR(V363="",V363=0),0,N363/V363)</f>
        <v/>
      </c>
      <c r="AM363" s="3">
        <f>IF(OR(V363="",V363=0),0,1)</f>
        <v/>
      </c>
      <c r="AN363" s="3">
        <f>IF(OR(E363="",F363=""),0,NETWORKDAYS(E363,F363,Ref!$K$2:$K$42))</f>
        <v/>
      </c>
      <c r="AO363" s="3">
        <f>IF(L363="Renewal",1,0)</f>
        <v/>
      </c>
      <c r="AP363" s="3">
        <f>AC363*AD363</f>
        <v/>
      </c>
      <c r="AQ363" s="3">
        <f>IF(AND(G363&lt;&gt;"",'Historical Score'!$C$6&lt;&gt;""),IF(G363='Historical Score'!$C$6,1,0),0)</f>
        <v/>
      </c>
      <c r="AR363" s="3">
        <f>IF(AND(L363&lt;&gt;"",'Historical Score'!$C$5&lt;&gt;""),IF(L363='Historical Score'!$C$5,1,0),0)</f>
        <v/>
      </c>
      <c r="AS363" s="3">
        <f>IF(AND(Y363&lt;&gt;"",'Historical Score'!$C$7&lt;&gt;""),IF(Y363='Historical Score'!$C$7,1,0),0)</f>
        <v/>
      </c>
      <c r="AT363" s="3">
        <f>IF(AND(K363&lt;&gt;"",'Historical Score'!$C$8&lt;&gt;""),IF(K363='Historical Score'!$C$8,1,0),0)</f>
        <v/>
      </c>
      <c r="AU363" s="3" t="n"/>
      <c r="AV363" s="3" t="n"/>
      <c r="AW363" s="3" t="n"/>
      <c r="AX363" s="3" t="n"/>
      <c r="AY363" s="3" t="n"/>
      <c r="AZ363" s="3" t="n"/>
      <c r="BA363" s="182">
        <f>IF(AD363=1,(AR363*'Historical Score'!$K$29+1-'Historical Score'!$K$29)*(AT363*'Historical Score'!$L$29+1-'Historical Score'!$L$29)*(AS363*'Historical Score'!$M$29+1-'Historical Score'!$M$29)*(AQ363*'Historical Score'!$N$29+1-'Historical Score'!$N$29),0)</f>
        <v/>
      </c>
      <c r="BB363" s="3" t="n"/>
      <c r="BC363" s="3" t="n"/>
    </row>
    <row r="364" ht="15.75" customHeight="1" s="174">
      <c r="A364" s="3" t="inlineStr">
        <is>
          <t>5674172525</t>
        </is>
      </c>
      <c r="B364" s="3" t="inlineStr">
        <is>
          <t>JIU HONG CANYIN YULE, INC</t>
        </is>
      </c>
      <c r="C364" s="3" t="inlineStr">
        <is>
          <t>JIU HONG CANYIN YULE, INC</t>
        </is>
      </c>
      <c r="D364" s="3" t="inlineStr">
        <is>
          <t>Closed</t>
        </is>
      </c>
      <c r="E364" s="23" t="n">
        <v>45981</v>
      </c>
      <c r="F364" s="23" t="n">
        <v>46051</v>
      </c>
      <c r="G364" s="3" t="n">
        <v>7</v>
      </c>
      <c r="H364" s="3" t="inlineStr">
        <is>
          <t>5812</t>
        </is>
      </c>
      <c r="I364" s="3" t="inlineStr">
        <is>
          <t>58</t>
        </is>
      </c>
      <c r="J364" s="3" t="inlineStr">
        <is>
          <t>CO</t>
        </is>
      </c>
      <c r="K364" s="3" t="inlineStr">
        <is>
          <t>United Secured Capital 8</t>
        </is>
      </c>
      <c r="L364" s="3" t="inlineStr">
        <is>
          <t>Renewal</t>
        </is>
      </c>
      <c r="M364" s="3" t="n">
        <v>1.499</v>
      </c>
      <c r="N364" s="28" t="n">
        <v>25000</v>
      </c>
      <c r="O364" s="28" t="n">
        <v>3500</v>
      </c>
      <c r="P364" s="28" t="n">
        <v>37475</v>
      </c>
      <c r="Q364" s="28" t="n">
        <v>37475</v>
      </c>
      <c r="R364" s="28" t="n">
        <v>0</v>
      </c>
      <c r="S364" s="42" t="n">
        <v>1</v>
      </c>
      <c r="T364" s="3" t="n">
        <v>3.934</v>
      </c>
      <c r="U364" s="3" t="n">
        <v>0</v>
      </c>
      <c r="V364" s="3" t="n">
        <v>42013.9</v>
      </c>
      <c r="W364" s="42" t="n">
        <v>0.1561</v>
      </c>
      <c r="X364" s="23" t="n"/>
      <c r="Y364" s="3">
        <f>IF(I364="","No SIC",IFERROR(VLOOKUP(I364,Ref!$A$2:$B$65,2,FALSE()),"Unclassified"))</f>
        <v/>
      </c>
      <c r="Z364" s="3">
        <f>IF(T364="","",IF(T364&lt;12,"Daily","Weekly"))</f>
        <v/>
      </c>
      <c r="AA364" s="3">
        <f>IF(T364="",0,IF(T364&lt;12,T364*Controls!$B$13,T364*5))</f>
        <v/>
      </c>
      <c r="AB364" s="3">
        <f>IF(E364="",0,NETWORKDAYS(E364,Controls!$B$20,Ref!$K$2:$K$42))</f>
        <v/>
      </c>
      <c r="AC364" s="3">
        <f>IF(OR(AF364=1,AND(AA364&gt;0,AB364&gt;=Controls!$B$23*AA364)),1,0)</f>
        <v/>
      </c>
      <c r="AD364" s="3">
        <f>IF(AND(E364&lt;&gt;"",E364&gt;=Controls!$B$21,E364&lt;=Controls!$B$22),1,0)</f>
        <v/>
      </c>
      <c r="AE364" s="3">
        <f>IF(IFERROR(VLOOKUP(D364,Controls!$A$36:$E$46,2,FALSE()),"No")="Yes",1,0)</f>
        <v/>
      </c>
      <c r="AF364" s="3">
        <f>IF(IFERROR(VLOOKUP(D364,Controls!$A$36:$E$46,3,FALSE()),"No")="Yes",1,0)</f>
        <v/>
      </c>
      <c r="AG364" s="3">
        <f>IF(IFERROR(VLOOKUP(D364,Controls!$A$36:$E$46,4,FALSE()),"No")="Yes",1,0)</f>
        <v/>
      </c>
      <c r="AH364" s="3">
        <f>IF(IFERROR(VLOOKUP(D364,Controls!$A$36:$E$46,5,FALSE()),"No")="Yes",1,0)</f>
        <v/>
      </c>
      <c r="AI364" s="3">
        <f>IF(ISNUMBER(MATCH(D364,Controls!$A$36:$A$46,0)),1,0)</f>
        <v/>
      </c>
      <c r="AJ364" s="28">
        <f>Q364-N364</f>
        <v/>
      </c>
      <c r="AK364" s="3">
        <f>IF(AE364=1,MAX(0,N364-Q364),0)</f>
        <v/>
      </c>
      <c r="AL364" s="3">
        <f>IF(OR(V364="",V364=0),0,N364/V364)</f>
        <v/>
      </c>
      <c r="AM364" s="3">
        <f>IF(OR(V364="",V364=0),0,1)</f>
        <v/>
      </c>
      <c r="AN364" s="3">
        <f>IF(OR(E364="",F364=""),0,NETWORKDAYS(E364,F364,Ref!$K$2:$K$42))</f>
        <v/>
      </c>
      <c r="AO364" s="3">
        <f>IF(L364="Renewal",1,0)</f>
        <v/>
      </c>
      <c r="AP364" s="3">
        <f>AC364*AD364</f>
        <v/>
      </c>
      <c r="AQ364" s="3">
        <f>IF(AND(G364&lt;&gt;"",'Historical Score'!$C$6&lt;&gt;""),IF(G364='Historical Score'!$C$6,1,0),0)</f>
        <v/>
      </c>
      <c r="AR364" s="3">
        <f>IF(AND(L364&lt;&gt;"",'Historical Score'!$C$5&lt;&gt;""),IF(L364='Historical Score'!$C$5,1,0),0)</f>
        <v/>
      </c>
      <c r="AS364" s="3">
        <f>IF(AND(Y364&lt;&gt;"",'Historical Score'!$C$7&lt;&gt;""),IF(Y364='Historical Score'!$C$7,1,0),0)</f>
        <v/>
      </c>
      <c r="AT364" s="3">
        <f>IF(AND(K364&lt;&gt;"",'Historical Score'!$C$8&lt;&gt;""),IF(K364='Historical Score'!$C$8,1,0),0)</f>
        <v/>
      </c>
      <c r="AU364" s="3" t="n"/>
      <c r="AV364" s="3" t="n"/>
      <c r="AW364" s="3" t="n"/>
      <c r="AX364" s="3" t="n"/>
      <c r="AY364" s="3" t="n"/>
      <c r="AZ364" s="3" t="n"/>
      <c r="BA364" s="182">
        <f>IF(AD364=1,(AR364*'Historical Score'!$K$29+1-'Historical Score'!$K$29)*(AT364*'Historical Score'!$L$29+1-'Historical Score'!$L$29)*(AS364*'Historical Score'!$M$29+1-'Historical Score'!$M$29)*(AQ364*'Historical Score'!$N$29+1-'Historical Score'!$N$29),0)</f>
        <v/>
      </c>
      <c r="BB364" s="3" t="n"/>
      <c r="BC364" s="3" t="n"/>
    </row>
    <row r="365" ht="15.75" customHeight="1" s="174">
      <c r="A365" s="3" t="inlineStr">
        <is>
          <t>5674172531</t>
        </is>
      </c>
      <c r="B365" s="3" t="inlineStr">
        <is>
          <t>MANASSES HENRY FURNITURE</t>
        </is>
      </c>
      <c r="C365" s="3" t="inlineStr">
        <is>
          <t>MANASSES HENRY FURNITURE</t>
        </is>
      </c>
      <c r="D365" s="3" t="inlineStr">
        <is>
          <t>Closed</t>
        </is>
      </c>
      <c r="E365" s="23" t="n">
        <v>45981</v>
      </c>
      <c r="F365" s="23" t="n">
        <v>46078</v>
      </c>
      <c r="G365" s="3" t="n">
        <v>3</v>
      </c>
      <c r="H365" s="3" t="inlineStr">
        <is>
          <t>2519</t>
        </is>
      </c>
      <c r="I365" s="3" t="inlineStr">
        <is>
          <t>25</t>
        </is>
      </c>
      <c r="J365" s="3" t="inlineStr">
        <is>
          <t>IN</t>
        </is>
      </c>
      <c r="K365" s="3" t="inlineStr">
        <is>
          <t>Shield Funding</t>
        </is>
      </c>
      <c r="L365" s="3" t="inlineStr">
        <is>
          <t>Renewal</t>
        </is>
      </c>
      <c r="M365" s="3" t="n">
        <v>1.45</v>
      </c>
      <c r="N365" s="28" t="n">
        <v>30000</v>
      </c>
      <c r="O365" s="28" t="n">
        <v>3600</v>
      </c>
      <c r="P365" s="28" t="n">
        <v>43500</v>
      </c>
      <c r="Q365" s="28" t="n">
        <v>43500</v>
      </c>
      <c r="R365" s="28" t="n">
        <v>0</v>
      </c>
      <c r="S365" s="42" t="n">
        <v>1</v>
      </c>
      <c r="T365" s="3" t="n">
        <v>34</v>
      </c>
      <c r="U365" s="3" t="n">
        <v>1</v>
      </c>
      <c r="V365" s="3" t="n">
        <v>56713.1</v>
      </c>
      <c r="W365" s="42" t="n">
        <v>0.0902</v>
      </c>
      <c r="X365" s="23" t="n">
        <v>42308</v>
      </c>
      <c r="Y365" s="3">
        <f>IF(I365="","No SIC",IFERROR(VLOOKUP(I365,Ref!$A$2:$B$65,2,FALSE()),"Unclassified"))</f>
        <v/>
      </c>
      <c r="Z365" s="3">
        <f>IF(T365="","",IF(T365&lt;12,"Daily","Weekly"))</f>
        <v/>
      </c>
      <c r="AA365" s="3">
        <f>IF(T365="",0,IF(T365&lt;12,T365*Controls!$B$13,T365*5))</f>
        <v/>
      </c>
      <c r="AB365" s="3">
        <f>IF(E365="",0,NETWORKDAYS(E365,Controls!$B$20,Ref!$K$2:$K$42))</f>
        <v/>
      </c>
      <c r="AC365" s="3">
        <f>IF(OR(AF365=1,AND(AA365&gt;0,AB365&gt;=Controls!$B$23*AA365)),1,0)</f>
        <v/>
      </c>
      <c r="AD365" s="3">
        <f>IF(AND(E365&lt;&gt;"",E365&gt;=Controls!$B$21,E365&lt;=Controls!$B$22),1,0)</f>
        <v/>
      </c>
      <c r="AE365" s="3">
        <f>IF(IFERROR(VLOOKUP(D365,Controls!$A$36:$E$46,2,FALSE()),"No")="Yes",1,0)</f>
        <v/>
      </c>
      <c r="AF365" s="3">
        <f>IF(IFERROR(VLOOKUP(D365,Controls!$A$36:$E$46,3,FALSE()),"No")="Yes",1,0)</f>
        <v/>
      </c>
      <c r="AG365" s="3">
        <f>IF(IFERROR(VLOOKUP(D365,Controls!$A$36:$E$46,4,FALSE()),"No")="Yes",1,0)</f>
        <v/>
      </c>
      <c r="AH365" s="3">
        <f>IF(IFERROR(VLOOKUP(D365,Controls!$A$36:$E$46,5,FALSE()),"No")="Yes",1,0)</f>
        <v/>
      </c>
      <c r="AI365" s="3">
        <f>IF(ISNUMBER(MATCH(D365,Controls!$A$36:$A$46,0)),1,0)</f>
        <v/>
      </c>
      <c r="AJ365" s="28">
        <f>Q365-N365</f>
        <v/>
      </c>
      <c r="AK365" s="3">
        <f>IF(AE365=1,MAX(0,N365-Q365),0)</f>
        <v/>
      </c>
      <c r="AL365" s="3">
        <f>IF(OR(V365="",V365=0),0,N365/V365)</f>
        <v/>
      </c>
      <c r="AM365" s="3">
        <f>IF(OR(V365="",V365=0),0,1)</f>
        <v/>
      </c>
      <c r="AN365" s="3">
        <f>IF(OR(E365="",F365=""),0,NETWORKDAYS(E365,F365,Ref!$K$2:$K$42))</f>
        <v/>
      </c>
      <c r="AO365" s="3">
        <f>IF(L365="Renewal",1,0)</f>
        <v/>
      </c>
      <c r="AP365" s="3">
        <f>AC365*AD365</f>
        <v/>
      </c>
      <c r="AQ365" s="3">
        <f>IF(AND(G365&lt;&gt;"",'Historical Score'!$C$6&lt;&gt;""),IF(G365='Historical Score'!$C$6,1,0),0)</f>
        <v/>
      </c>
      <c r="AR365" s="3">
        <f>IF(AND(L365&lt;&gt;"",'Historical Score'!$C$5&lt;&gt;""),IF(L365='Historical Score'!$C$5,1,0),0)</f>
        <v/>
      </c>
      <c r="AS365" s="3">
        <f>IF(AND(Y365&lt;&gt;"",'Historical Score'!$C$7&lt;&gt;""),IF(Y365='Historical Score'!$C$7,1,0),0)</f>
        <v/>
      </c>
      <c r="AT365" s="3">
        <f>IF(AND(K365&lt;&gt;"",'Historical Score'!$C$8&lt;&gt;""),IF(K365='Historical Score'!$C$8,1,0),0)</f>
        <v/>
      </c>
      <c r="AU365" s="3" t="n"/>
      <c r="AV365" s="3" t="n"/>
      <c r="AW365" s="3" t="n"/>
      <c r="AX365" s="3" t="n"/>
      <c r="AY365" s="3" t="n"/>
      <c r="AZ365" s="3" t="n"/>
      <c r="BA365" s="182">
        <f>IF(AD365=1,(AR365*'Historical Score'!$K$29+1-'Historical Score'!$K$29)*(AT365*'Historical Score'!$L$29+1-'Historical Score'!$L$29)*(AS365*'Historical Score'!$M$29+1-'Historical Score'!$M$29)*(AQ365*'Historical Score'!$N$29+1-'Historical Score'!$N$29),0)</f>
        <v/>
      </c>
      <c r="BB365" s="3" t="n"/>
      <c r="BC365" s="3" t="n"/>
    </row>
    <row r="366" ht="15.75" customHeight="1" s="174">
      <c r="A366" s="3" t="inlineStr">
        <is>
          <t>5674172558</t>
        </is>
      </c>
      <c r="B366" s="3" t="inlineStr">
        <is>
          <t>PMG MANAGEMENT  DBA PREMIER POOLS AND SPAS OF MIDLAND/ODESSA DBA JESSICA GAVALDON GEN PTR</t>
        </is>
      </c>
      <c r="C366" s="3" t="inlineStr">
        <is>
          <t>PMG MANAGEMENT LLC</t>
        </is>
      </c>
      <c r="D366" s="3" t="inlineStr">
        <is>
          <t>Legal</t>
        </is>
      </c>
      <c r="E366" s="23" t="n">
        <v>45981</v>
      </c>
      <c r="F366" s="23" t="n">
        <v>46203</v>
      </c>
      <c r="G366" s="3" t="n">
        <v>3</v>
      </c>
      <c r="H366" s="3" t="inlineStr">
        <is>
          <t>8741</t>
        </is>
      </c>
      <c r="I366" s="3" t="inlineStr">
        <is>
          <t>87</t>
        </is>
      </c>
      <c r="J366" s="3" t="inlineStr">
        <is>
          <t>TX</t>
        </is>
      </c>
      <c r="K366" s="3" t="inlineStr">
        <is>
          <t>United Secured Capital 8</t>
        </is>
      </c>
      <c r="L366" s="3" t="inlineStr">
        <is>
          <t>New Deal</t>
        </is>
      </c>
      <c r="M366" s="3" t="n">
        <v>1.45</v>
      </c>
      <c r="N366" s="28" t="n">
        <v>75000</v>
      </c>
      <c r="O366" s="28" t="n">
        <v>9000</v>
      </c>
      <c r="P366" s="28" t="n">
        <v>108750</v>
      </c>
      <c r="Q366" s="28" t="n">
        <v>72422.85000000001</v>
      </c>
      <c r="R366" s="28" t="n">
        <v>36327.15</v>
      </c>
      <c r="S366" s="42" t="n">
        <v>0.66595724137931</v>
      </c>
      <c r="T366" s="3" t="n">
        <v>24</v>
      </c>
      <c r="U366" s="3" t="n">
        <v>4</v>
      </c>
      <c r="V366" s="3" t="n">
        <v>570923.3100000001</v>
      </c>
      <c r="W366" s="42" t="n">
        <v>0.0317</v>
      </c>
      <c r="X366" s="23" t="n">
        <v>44394</v>
      </c>
      <c r="Y366" s="3">
        <f>IF(I366="","No SIC",IFERROR(VLOOKUP(I366,Ref!$A$2:$B$65,2,FALSE()),"Unclassified"))</f>
        <v/>
      </c>
      <c r="Z366" s="3">
        <f>IF(T366="","",IF(T366&lt;12,"Daily","Weekly"))</f>
        <v/>
      </c>
      <c r="AA366" s="3">
        <f>IF(T366="",0,IF(T366&lt;12,T366*Controls!$B$13,T366*5))</f>
        <v/>
      </c>
      <c r="AB366" s="3">
        <f>IF(E366="",0,NETWORKDAYS(E366,Controls!$B$20,Ref!$K$2:$K$42))</f>
        <v/>
      </c>
      <c r="AC366" s="3">
        <f>IF(OR(AF366=1,AND(AA366&gt;0,AB366&gt;=Controls!$B$23*AA366)),1,0)</f>
        <v/>
      </c>
      <c r="AD366" s="3">
        <f>IF(AND(E366&lt;&gt;"",E366&gt;=Controls!$B$21,E366&lt;=Controls!$B$22),1,0)</f>
        <v/>
      </c>
      <c r="AE366" s="3">
        <f>IF(IFERROR(VLOOKUP(D366,Controls!$A$36:$E$46,2,FALSE()),"No")="Yes",1,0)</f>
        <v/>
      </c>
      <c r="AF366" s="3">
        <f>IF(IFERROR(VLOOKUP(D366,Controls!$A$36:$E$46,3,FALSE()),"No")="Yes",1,0)</f>
        <v/>
      </c>
      <c r="AG366" s="3">
        <f>IF(IFERROR(VLOOKUP(D366,Controls!$A$36:$E$46,4,FALSE()),"No")="Yes",1,0)</f>
        <v/>
      </c>
      <c r="AH366" s="3">
        <f>IF(IFERROR(VLOOKUP(D366,Controls!$A$36:$E$46,5,FALSE()),"No")="Yes",1,0)</f>
        <v/>
      </c>
      <c r="AI366" s="3">
        <f>IF(ISNUMBER(MATCH(D366,Controls!$A$36:$A$46,0)),1,0)</f>
        <v/>
      </c>
      <c r="AJ366" s="28">
        <f>Q366-N366</f>
        <v/>
      </c>
      <c r="AK366" s="3">
        <f>IF(AE366=1,MAX(0,N366-Q366),0)</f>
        <v/>
      </c>
      <c r="AL366" s="3">
        <f>IF(OR(V366="",V366=0),0,N366/V366)</f>
        <v/>
      </c>
      <c r="AM366" s="3">
        <f>IF(OR(V366="",V366=0),0,1)</f>
        <v/>
      </c>
      <c r="AN366" s="3">
        <f>IF(OR(E366="",F366=""),0,NETWORKDAYS(E366,F366,Ref!$K$2:$K$42))</f>
        <v/>
      </c>
      <c r="AO366" s="3">
        <f>IF(L366="Renewal",1,0)</f>
        <v/>
      </c>
      <c r="AP366" s="3">
        <f>AC366*AD366</f>
        <v/>
      </c>
      <c r="AQ366" s="3">
        <f>IF(AND(G366&lt;&gt;"",'Historical Score'!$C$6&lt;&gt;""),IF(G366='Historical Score'!$C$6,1,0),0)</f>
        <v/>
      </c>
      <c r="AR366" s="3">
        <f>IF(AND(L366&lt;&gt;"",'Historical Score'!$C$5&lt;&gt;""),IF(L366='Historical Score'!$C$5,1,0),0)</f>
        <v/>
      </c>
      <c r="AS366" s="3">
        <f>IF(AND(Y366&lt;&gt;"",'Historical Score'!$C$7&lt;&gt;""),IF(Y366='Historical Score'!$C$7,1,0),0)</f>
        <v/>
      </c>
      <c r="AT366" s="3">
        <f>IF(AND(K366&lt;&gt;"",'Historical Score'!$C$8&lt;&gt;""),IF(K366='Historical Score'!$C$8,1,0),0)</f>
        <v/>
      </c>
      <c r="AU366" s="3" t="n"/>
      <c r="AV366" s="3" t="n"/>
      <c r="AW366" s="3" t="n"/>
      <c r="AX366" s="3" t="n"/>
      <c r="AY366" s="3" t="n"/>
      <c r="AZ366" s="3" t="n"/>
      <c r="BA366" s="182">
        <f>IF(AD366=1,(AR366*'Historical Score'!$K$29+1-'Historical Score'!$K$29)*(AT366*'Historical Score'!$L$29+1-'Historical Score'!$L$29)*(AS366*'Historical Score'!$M$29+1-'Historical Score'!$M$29)*(AQ366*'Historical Score'!$N$29+1-'Historical Score'!$N$29),0)</f>
        <v/>
      </c>
      <c r="BB366" s="3" t="n"/>
      <c r="BC366" s="3" t="n"/>
    </row>
    <row r="367" ht="15.75" customHeight="1" s="174">
      <c r="A367" s="3" t="inlineStr">
        <is>
          <t>5674172559</t>
        </is>
      </c>
      <c r="B367" s="3" t="inlineStr">
        <is>
          <t>Phoenix Commerce LLC</t>
        </is>
      </c>
      <c r="C367" s="3" t="inlineStr">
        <is>
          <t>Phoenix Commerce LLC</t>
        </is>
      </c>
      <c r="D367" s="3" t="inlineStr">
        <is>
          <t>Written-Off</t>
        </is>
      </c>
      <c r="E367" s="23" t="n">
        <v>45981</v>
      </c>
      <c r="F367" s="23" t="n">
        <v>46113</v>
      </c>
      <c r="G367" s="3" t="n">
        <v>3</v>
      </c>
      <c r="H367" s="3" t="inlineStr">
        <is>
          <t>5999</t>
        </is>
      </c>
      <c r="I367" s="3" t="inlineStr">
        <is>
          <t>59</t>
        </is>
      </c>
      <c r="J367" s="3" t="inlineStr">
        <is>
          <t>TX</t>
        </is>
      </c>
      <c r="K367" s="3" t="inlineStr">
        <is>
          <t>liquidity lending group</t>
        </is>
      </c>
      <c r="L367" s="3" t="inlineStr">
        <is>
          <t>New Deal</t>
        </is>
      </c>
      <c r="M367" s="3" t="n">
        <v>1.49</v>
      </c>
      <c r="N367" s="28" t="n">
        <v>25000</v>
      </c>
      <c r="O367" s="28" t="n">
        <v>3500</v>
      </c>
      <c r="P367" s="28" t="n">
        <v>37250</v>
      </c>
      <c r="Q367" s="28" t="n">
        <v>27182</v>
      </c>
      <c r="R367" s="28" t="n">
        <v>10068</v>
      </c>
      <c r="S367" s="42" t="n">
        <v>0.729718120805369</v>
      </c>
      <c r="T367" s="3" t="n">
        <v>2.951</v>
      </c>
      <c r="U367" s="3" t="n">
        <v>6</v>
      </c>
      <c r="V367" s="3" t="n">
        <v>244687.48</v>
      </c>
      <c r="W367" s="42" t="n">
        <v>0.0355</v>
      </c>
      <c r="X367" s="23" t="n"/>
      <c r="Y367" s="3">
        <f>IF(I367="","No SIC",IFERROR(VLOOKUP(I367,Ref!$A$2:$B$65,2,FALSE()),"Unclassified"))</f>
        <v/>
      </c>
      <c r="Z367" s="3">
        <f>IF(T367="","",IF(T367&lt;12,"Daily","Weekly"))</f>
        <v/>
      </c>
      <c r="AA367" s="3">
        <f>IF(T367="",0,IF(T367&lt;12,T367*Controls!$B$13,T367*5))</f>
        <v/>
      </c>
      <c r="AB367" s="3">
        <f>IF(E367="",0,NETWORKDAYS(E367,Controls!$B$20,Ref!$K$2:$K$42))</f>
        <v/>
      </c>
      <c r="AC367" s="3">
        <f>IF(OR(AF367=1,AND(AA367&gt;0,AB367&gt;=Controls!$B$23*AA367)),1,0)</f>
        <v/>
      </c>
      <c r="AD367" s="3">
        <f>IF(AND(E367&lt;&gt;"",E367&gt;=Controls!$B$21,E367&lt;=Controls!$B$22),1,0)</f>
        <v/>
      </c>
      <c r="AE367" s="3">
        <f>IF(IFERROR(VLOOKUP(D367,Controls!$A$36:$E$46,2,FALSE()),"No")="Yes",1,0)</f>
        <v/>
      </c>
      <c r="AF367" s="3">
        <f>IF(IFERROR(VLOOKUP(D367,Controls!$A$36:$E$46,3,FALSE()),"No")="Yes",1,0)</f>
        <v/>
      </c>
      <c r="AG367" s="3">
        <f>IF(IFERROR(VLOOKUP(D367,Controls!$A$36:$E$46,4,FALSE()),"No")="Yes",1,0)</f>
        <v/>
      </c>
      <c r="AH367" s="3">
        <f>IF(IFERROR(VLOOKUP(D367,Controls!$A$36:$E$46,5,FALSE()),"No")="Yes",1,0)</f>
        <v/>
      </c>
      <c r="AI367" s="3">
        <f>IF(ISNUMBER(MATCH(D367,Controls!$A$36:$A$46,0)),1,0)</f>
        <v/>
      </c>
      <c r="AJ367" s="28">
        <f>Q367-N367</f>
        <v/>
      </c>
      <c r="AK367" s="3">
        <f>IF(AE367=1,MAX(0,N367-Q367),0)</f>
        <v/>
      </c>
      <c r="AL367" s="3">
        <f>IF(OR(V367="",V367=0),0,N367/V367)</f>
        <v/>
      </c>
      <c r="AM367" s="3">
        <f>IF(OR(V367="",V367=0),0,1)</f>
        <v/>
      </c>
      <c r="AN367" s="3">
        <f>IF(OR(E367="",F367=""),0,NETWORKDAYS(E367,F367,Ref!$K$2:$K$42))</f>
        <v/>
      </c>
      <c r="AO367" s="3">
        <f>IF(L367="Renewal",1,0)</f>
        <v/>
      </c>
      <c r="AP367" s="3">
        <f>AC367*AD367</f>
        <v/>
      </c>
      <c r="AQ367" s="3">
        <f>IF(AND(G367&lt;&gt;"",'Historical Score'!$C$6&lt;&gt;""),IF(G367='Historical Score'!$C$6,1,0),0)</f>
        <v/>
      </c>
      <c r="AR367" s="3">
        <f>IF(AND(L367&lt;&gt;"",'Historical Score'!$C$5&lt;&gt;""),IF(L367='Historical Score'!$C$5,1,0),0)</f>
        <v/>
      </c>
      <c r="AS367" s="3">
        <f>IF(AND(Y367&lt;&gt;"",'Historical Score'!$C$7&lt;&gt;""),IF(Y367='Historical Score'!$C$7,1,0),0)</f>
        <v/>
      </c>
      <c r="AT367" s="3">
        <f>IF(AND(K367&lt;&gt;"",'Historical Score'!$C$8&lt;&gt;""),IF(K367='Historical Score'!$C$8,1,0),0)</f>
        <v/>
      </c>
      <c r="AU367" s="3" t="n"/>
      <c r="AV367" s="3" t="n"/>
      <c r="AW367" s="3" t="n"/>
      <c r="AX367" s="3" t="n"/>
      <c r="AY367" s="3" t="n"/>
      <c r="AZ367" s="3" t="n"/>
      <c r="BA367" s="182">
        <f>IF(AD367=1,(AR367*'Historical Score'!$K$29+1-'Historical Score'!$K$29)*(AT367*'Historical Score'!$L$29+1-'Historical Score'!$L$29)*(AS367*'Historical Score'!$M$29+1-'Historical Score'!$M$29)*(AQ367*'Historical Score'!$N$29+1-'Historical Score'!$N$29),0)</f>
        <v/>
      </c>
      <c r="BB367" s="3" t="n"/>
      <c r="BC367" s="3" t="n"/>
    </row>
    <row r="368" ht="15.75" customHeight="1" s="174">
      <c r="A368" s="3" t="inlineStr">
        <is>
          <t>5674172567</t>
        </is>
      </c>
      <c r="B368" s="3" t="inlineStr">
        <is>
          <t>R.A. MASONRY</t>
        </is>
      </c>
      <c r="C368" s="3" t="inlineStr">
        <is>
          <t>R.A. MASONRY, LLC</t>
        </is>
      </c>
      <c r="D368" s="3" t="inlineStr">
        <is>
          <t>In House Collection</t>
        </is>
      </c>
      <c r="E368" s="23" t="n">
        <v>45981</v>
      </c>
      <c r="F368" s="23" t="n">
        <v>46253</v>
      </c>
      <c r="G368" s="3" t="n">
        <v>3</v>
      </c>
      <c r="H368" s="3" t="inlineStr">
        <is>
          <t>1741</t>
        </is>
      </c>
      <c r="I368" s="3" t="inlineStr">
        <is>
          <t>17</t>
        </is>
      </c>
      <c r="J368" s="3" t="inlineStr">
        <is>
          <t>IL</t>
        </is>
      </c>
      <c r="K368" s="3" t="inlineStr">
        <is>
          <t>Shore Funding USA</t>
        </is>
      </c>
      <c r="L368" s="3" t="inlineStr">
        <is>
          <t>New Deal</t>
        </is>
      </c>
      <c r="M368" s="3" t="n">
        <v>1.49</v>
      </c>
      <c r="N368" s="28" t="n">
        <v>30000</v>
      </c>
      <c r="O368" s="28" t="n">
        <v>4200</v>
      </c>
      <c r="P368" s="28" t="n">
        <v>44700</v>
      </c>
      <c r="Q368" s="28" t="n">
        <v>20154.55</v>
      </c>
      <c r="R368" s="28" t="n">
        <v>24545.45</v>
      </c>
      <c r="S368" s="42" t="n">
        <v>0.450884787472036</v>
      </c>
      <c r="T368" s="3" t="n">
        <v>26</v>
      </c>
      <c r="U368" s="3" t="n">
        <v>22</v>
      </c>
      <c r="V368" s="3" t="n">
        <v>101173.27</v>
      </c>
      <c r="W368" s="42" t="n">
        <v>0.068</v>
      </c>
      <c r="X368" s="23" t="n">
        <v>44470</v>
      </c>
      <c r="Y368" s="3">
        <f>IF(I368="","No SIC",IFERROR(VLOOKUP(I368,Ref!$A$2:$B$65,2,FALSE()),"Unclassified"))</f>
        <v/>
      </c>
      <c r="Z368" s="3">
        <f>IF(T368="","",IF(T368&lt;12,"Daily","Weekly"))</f>
        <v/>
      </c>
      <c r="AA368" s="3">
        <f>IF(T368="",0,IF(T368&lt;12,T368*Controls!$B$13,T368*5))</f>
        <v/>
      </c>
      <c r="AB368" s="3">
        <f>IF(E368="",0,NETWORKDAYS(E368,Controls!$B$20,Ref!$K$2:$K$42))</f>
        <v/>
      </c>
      <c r="AC368" s="3">
        <f>IF(OR(AF368=1,AND(AA368&gt;0,AB368&gt;=Controls!$B$23*AA368)),1,0)</f>
        <v/>
      </c>
      <c r="AD368" s="3">
        <f>IF(AND(E368&lt;&gt;"",E368&gt;=Controls!$B$21,E368&lt;=Controls!$B$22),1,0)</f>
        <v/>
      </c>
      <c r="AE368" s="3">
        <f>IF(IFERROR(VLOOKUP(D368,Controls!$A$36:$E$46,2,FALSE()),"No")="Yes",1,0)</f>
        <v/>
      </c>
      <c r="AF368" s="3">
        <f>IF(IFERROR(VLOOKUP(D368,Controls!$A$36:$E$46,3,FALSE()),"No")="Yes",1,0)</f>
        <v/>
      </c>
      <c r="AG368" s="3">
        <f>IF(IFERROR(VLOOKUP(D368,Controls!$A$36:$E$46,4,FALSE()),"No")="Yes",1,0)</f>
        <v/>
      </c>
      <c r="AH368" s="3">
        <f>IF(IFERROR(VLOOKUP(D368,Controls!$A$36:$E$46,5,FALSE()),"No")="Yes",1,0)</f>
        <v/>
      </c>
      <c r="AI368" s="3">
        <f>IF(ISNUMBER(MATCH(D368,Controls!$A$36:$A$46,0)),1,0)</f>
        <v/>
      </c>
      <c r="AJ368" s="28">
        <f>Q368-N368</f>
        <v/>
      </c>
      <c r="AK368" s="3">
        <f>IF(AE368=1,MAX(0,N368-Q368),0)</f>
        <v/>
      </c>
      <c r="AL368" s="3">
        <f>IF(OR(V368="",V368=0),0,N368/V368)</f>
        <v/>
      </c>
      <c r="AM368" s="3">
        <f>IF(OR(V368="",V368=0),0,1)</f>
        <v/>
      </c>
      <c r="AN368" s="3">
        <f>IF(OR(E368="",F368=""),0,NETWORKDAYS(E368,F368,Ref!$K$2:$K$42))</f>
        <v/>
      </c>
      <c r="AO368" s="3">
        <f>IF(L368="Renewal",1,0)</f>
        <v/>
      </c>
      <c r="AP368" s="3">
        <f>AC368*AD368</f>
        <v/>
      </c>
      <c r="AQ368" s="3">
        <f>IF(AND(G368&lt;&gt;"",'Historical Score'!$C$6&lt;&gt;""),IF(G368='Historical Score'!$C$6,1,0),0)</f>
        <v/>
      </c>
      <c r="AR368" s="3">
        <f>IF(AND(L368&lt;&gt;"",'Historical Score'!$C$5&lt;&gt;""),IF(L368='Historical Score'!$C$5,1,0),0)</f>
        <v/>
      </c>
      <c r="AS368" s="3">
        <f>IF(AND(Y368&lt;&gt;"",'Historical Score'!$C$7&lt;&gt;""),IF(Y368='Historical Score'!$C$7,1,0),0)</f>
        <v/>
      </c>
      <c r="AT368" s="3">
        <f>IF(AND(K368&lt;&gt;"",'Historical Score'!$C$8&lt;&gt;""),IF(K368='Historical Score'!$C$8,1,0),0)</f>
        <v/>
      </c>
      <c r="AU368" s="3" t="n"/>
      <c r="AV368" s="3" t="n"/>
      <c r="AW368" s="3" t="n"/>
      <c r="AX368" s="3" t="n"/>
      <c r="AY368" s="3" t="n"/>
      <c r="AZ368" s="3" t="n"/>
      <c r="BA368" s="182">
        <f>IF(AD368=1,(AR368*'Historical Score'!$K$29+1-'Historical Score'!$K$29)*(AT368*'Historical Score'!$L$29+1-'Historical Score'!$L$29)*(AS368*'Historical Score'!$M$29+1-'Historical Score'!$M$29)*(AQ368*'Historical Score'!$N$29+1-'Historical Score'!$N$29),0)</f>
        <v/>
      </c>
      <c r="BB368" s="3" t="n"/>
      <c r="BC368" s="3" t="n"/>
    </row>
    <row r="369" ht="15.75" customHeight="1" s="174">
      <c r="A369" s="3" t="inlineStr">
        <is>
          <t>5674172569</t>
        </is>
      </c>
      <c r="B369" s="3" t="inlineStr">
        <is>
          <t>JD HEAT &amp; AIR LLC</t>
        </is>
      </c>
      <c r="C369" s="3" t="inlineStr">
        <is>
          <t>JD HEAT &amp; AIR LLC</t>
        </is>
      </c>
      <c r="D369" s="3" t="inlineStr">
        <is>
          <t>Legal</t>
        </is>
      </c>
      <c r="E369" s="23" t="n">
        <v>45981</v>
      </c>
      <c r="F369" s="23" t="n">
        <v>46048</v>
      </c>
      <c r="G369" s="3" t="n">
        <v>1</v>
      </c>
      <c r="H369" s="3" t="inlineStr">
        <is>
          <t>1711</t>
        </is>
      </c>
      <c r="I369" s="3" t="inlineStr">
        <is>
          <t>17</t>
        </is>
      </c>
      <c r="J369" s="3" t="inlineStr">
        <is>
          <t>OK</t>
        </is>
      </c>
      <c r="K369" s="3" t="inlineStr">
        <is>
          <t>United Secured Capital 8</t>
        </is>
      </c>
      <c r="L369" s="3" t="inlineStr">
        <is>
          <t>New Deal</t>
        </is>
      </c>
      <c r="M369" s="3" t="n">
        <v>1.49</v>
      </c>
      <c r="N369" s="28" t="n">
        <v>11500</v>
      </c>
      <c r="O369" s="28" t="n">
        <v>1610</v>
      </c>
      <c r="P369" s="28" t="n">
        <v>17135</v>
      </c>
      <c r="Q369" s="28" t="n">
        <v>7237.1</v>
      </c>
      <c r="R369" s="28" t="n">
        <v>9897.9</v>
      </c>
      <c r="S369" s="42" t="n">
        <v>0.422357747300846</v>
      </c>
      <c r="T369" s="3" t="n">
        <v>2.951</v>
      </c>
      <c r="U369" s="3" t="n">
        <v>5</v>
      </c>
      <c r="V369" s="3" t="n">
        <v>46130.09</v>
      </c>
      <c r="W369" s="42" t="n">
        <v>0.0867</v>
      </c>
      <c r="X369" s="23" t="n">
        <v>44411</v>
      </c>
      <c r="Y369" s="3">
        <f>IF(I369="","No SIC",IFERROR(VLOOKUP(I369,Ref!$A$2:$B$65,2,FALSE()),"Unclassified"))</f>
        <v/>
      </c>
      <c r="Z369" s="3">
        <f>IF(T369="","",IF(T369&lt;12,"Daily","Weekly"))</f>
        <v/>
      </c>
      <c r="AA369" s="3">
        <f>IF(T369="",0,IF(T369&lt;12,T369*Controls!$B$13,T369*5))</f>
        <v/>
      </c>
      <c r="AB369" s="3">
        <f>IF(E369="",0,NETWORKDAYS(E369,Controls!$B$20,Ref!$K$2:$K$42))</f>
        <v/>
      </c>
      <c r="AC369" s="3">
        <f>IF(OR(AF369=1,AND(AA369&gt;0,AB369&gt;=Controls!$B$23*AA369)),1,0)</f>
        <v/>
      </c>
      <c r="AD369" s="3">
        <f>IF(AND(E369&lt;&gt;"",E369&gt;=Controls!$B$21,E369&lt;=Controls!$B$22),1,0)</f>
        <v/>
      </c>
      <c r="AE369" s="3">
        <f>IF(IFERROR(VLOOKUP(D369,Controls!$A$36:$E$46,2,FALSE()),"No")="Yes",1,0)</f>
        <v/>
      </c>
      <c r="AF369" s="3">
        <f>IF(IFERROR(VLOOKUP(D369,Controls!$A$36:$E$46,3,FALSE()),"No")="Yes",1,0)</f>
        <v/>
      </c>
      <c r="AG369" s="3">
        <f>IF(IFERROR(VLOOKUP(D369,Controls!$A$36:$E$46,4,FALSE()),"No")="Yes",1,0)</f>
        <v/>
      </c>
      <c r="AH369" s="3">
        <f>IF(IFERROR(VLOOKUP(D369,Controls!$A$36:$E$46,5,FALSE()),"No")="Yes",1,0)</f>
        <v/>
      </c>
      <c r="AI369" s="3">
        <f>IF(ISNUMBER(MATCH(D369,Controls!$A$36:$A$46,0)),1,0)</f>
        <v/>
      </c>
      <c r="AJ369" s="28">
        <f>Q369-N369</f>
        <v/>
      </c>
      <c r="AK369" s="3">
        <f>IF(AE369=1,MAX(0,N369-Q369),0)</f>
        <v/>
      </c>
      <c r="AL369" s="3">
        <f>IF(OR(V369="",V369=0),0,N369/V369)</f>
        <v/>
      </c>
      <c r="AM369" s="3">
        <f>IF(OR(V369="",V369=0),0,1)</f>
        <v/>
      </c>
      <c r="AN369" s="3">
        <f>IF(OR(E369="",F369=""),0,NETWORKDAYS(E369,F369,Ref!$K$2:$K$42))</f>
        <v/>
      </c>
      <c r="AO369" s="3">
        <f>IF(L369="Renewal",1,0)</f>
        <v/>
      </c>
      <c r="AP369" s="3">
        <f>AC369*AD369</f>
        <v/>
      </c>
      <c r="AQ369" s="3">
        <f>IF(AND(G369&lt;&gt;"",'Historical Score'!$C$6&lt;&gt;""),IF(G369='Historical Score'!$C$6,1,0),0)</f>
        <v/>
      </c>
      <c r="AR369" s="3">
        <f>IF(AND(L369&lt;&gt;"",'Historical Score'!$C$5&lt;&gt;""),IF(L369='Historical Score'!$C$5,1,0),0)</f>
        <v/>
      </c>
      <c r="AS369" s="3">
        <f>IF(AND(Y369&lt;&gt;"",'Historical Score'!$C$7&lt;&gt;""),IF(Y369='Historical Score'!$C$7,1,0),0)</f>
        <v/>
      </c>
      <c r="AT369" s="3">
        <f>IF(AND(K369&lt;&gt;"",'Historical Score'!$C$8&lt;&gt;""),IF(K369='Historical Score'!$C$8,1,0),0)</f>
        <v/>
      </c>
      <c r="AU369" s="3" t="n"/>
      <c r="AV369" s="3" t="n"/>
      <c r="AW369" s="3" t="n"/>
      <c r="AX369" s="3" t="n"/>
      <c r="AY369" s="3" t="n"/>
      <c r="AZ369" s="3" t="n"/>
      <c r="BA369" s="182">
        <f>IF(AD369=1,(AR369*'Historical Score'!$K$29+1-'Historical Score'!$K$29)*(AT369*'Historical Score'!$L$29+1-'Historical Score'!$L$29)*(AS369*'Historical Score'!$M$29+1-'Historical Score'!$M$29)*(AQ369*'Historical Score'!$N$29+1-'Historical Score'!$N$29),0)</f>
        <v/>
      </c>
      <c r="BB369" s="3" t="n"/>
      <c r="BC369" s="3" t="n"/>
    </row>
    <row r="370" ht="15.75" customHeight="1" s="174">
      <c r="A370" s="3" t="inlineStr">
        <is>
          <t>5674172606</t>
        </is>
      </c>
      <c r="B370" s="3" t="inlineStr">
        <is>
          <t>GM&amp;I Services LLC</t>
        </is>
      </c>
      <c r="C370" s="3" t="inlineStr">
        <is>
          <t>GM&amp;I Services LLC</t>
        </is>
      </c>
      <c r="D370" s="3" t="inlineStr">
        <is>
          <t>Closed</t>
        </is>
      </c>
      <c r="E370" s="23" t="n">
        <v>45982</v>
      </c>
      <c r="F370" s="23" t="n">
        <v>46178</v>
      </c>
      <c r="G370" s="3" t="n">
        <v>1</v>
      </c>
      <c r="H370" s="3" t="inlineStr">
        <is>
          <t>9511</t>
        </is>
      </c>
      <c r="I370" s="3" t="inlineStr">
        <is>
          <t>95</t>
        </is>
      </c>
      <c r="J370" s="3" t="inlineStr">
        <is>
          <t>TX</t>
        </is>
      </c>
      <c r="K370" s="3" t="inlineStr">
        <is>
          <t>Fundwell</t>
        </is>
      </c>
      <c r="L370" s="3" t="inlineStr">
        <is>
          <t>New Deal</t>
        </is>
      </c>
      <c r="M370" s="3" t="n">
        <v>1.42</v>
      </c>
      <c r="N370" s="28" t="n">
        <v>85000</v>
      </c>
      <c r="O370" s="28" t="n">
        <v>11900</v>
      </c>
      <c r="P370" s="28" t="n">
        <v>120700</v>
      </c>
      <c r="Q370" s="28" t="n">
        <v>120700</v>
      </c>
      <c r="R370" s="28" t="n">
        <v>0</v>
      </c>
      <c r="S370" s="42" t="n">
        <v>1</v>
      </c>
      <c r="T370" s="3" t="n">
        <v>28</v>
      </c>
      <c r="U370" s="3" t="n">
        <v>0</v>
      </c>
      <c r="V370" s="3" t="n">
        <v>128693.84</v>
      </c>
      <c r="W370" s="42" t="n">
        <v>0.134</v>
      </c>
      <c r="X370" s="23" t="n">
        <v>45544</v>
      </c>
      <c r="Y370" s="3">
        <f>IF(I370="","No SIC",IFERROR(VLOOKUP(I370,Ref!$A$2:$B$65,2,FALSE()),"Unclassified"))</f>
        <v/>
      </c>
      <c r="Z370" s="3">
        <f>IF(T370="","",IF(T370&lt;12,"Daily","Weekly"))</f>
        <v/>
      </c>
      <c r="AA370" s="3">
        <f>IF(T370="",0,IF(T370&lt;12,T370*Controls!$B$13,T370*5))</f>
        <v/>
      </c>
      <c r="AB370" s="3">
        <f>IF(E370="",0,NETWORKDAYS(E370,Controls!$B$20,Ref!$K$2:$K$42))</f>
        <v/>
      </c>
      <c r="AC370" s="3">
        <f>IF(OR(AF370=1,AND(AA370&gt;0,AB370&gt;=Controls!$B$23*AA370)),1,0)</f>
        <v/>
      </c>
      <c r="AD370" s="3">
        <f>IF(AND(E370&lt;&gt;"",E370&gt;=Controls!$B$21,E370&lt;=Controls!$B$22),1,0)</f>
        <v/>
      </c>
      <c r="AE370" s="3">
        <f>IF(IFERROR(VLOOKUP(D370,Controls!$A$36:$E$46,2,FALSE()),"No")="Yes",1,0)</f>
        <v/>
      </c>
      <c r="AF370" s="3">
        <f>IF(IFERROR(VLOOKUP(D370,Controls!$A$36:$E$46,3,FALSE()),"No")="Yes",1,0)</f>
        <v/>
      </c>
      <c r="AG370" s="3">
        <f>IF(IFERROR(VLOOKUP(D370,Controls!$A$36:$E$46,4,FALSE()),"No")="Yes",1,0)</f>
        <v/>
      </c>
      <c r="AH370" s="3">
        <f>IF(IFERROR(VLOOKUP(D370,Controls!$A$36:$E$46,5,FALSE()),"No")="Yes",1,0)</f>
        <v/>
      </c>
      <c r="AI370" s="3">
        <f>IF(ISNUMBER(MATCH(D370,Controls!$A$36:$A$46,0)),1,0)</f>
        <v/>
      </c>
      <c r="AJ370" s="28">
        <f>Q370-N370</f>
        <v/>
      </c>
      <c r="AK370" s="3">
        <f>IF(AE370=1,MAX(0,N370-Q370),0)</f>
        <v/>
      </c>
      <c r="AL370" s="3">
        <f>IF(OR(V370="",V370=0),0,N370/V370)</f>
        <v/>
      </c>
      <c r="AM370" s="3">
        <f>IF(OR(V370="",V370=0),0,1)</f>
        <v/>
      </c>
      <c r="AN370" s="3">
        <f>IF(OR(E370="",F370=""),0,NETWORKDAYS(E370,F370,Ref!$K$2:$K$42))</f>
        <v/>
      </c>
      <c r="AO370" s="3">
        <f>IF(L370="Renewal",1,0)</f>
        <v/>
      </c>
      <c r="AP370" s="3">
        <f>AC370*AD370</f>
        <v/>
      </c>
      <c r="AQ370" s="3">
        <f>IF(AND(G370&lt;&gt;"",'Historical Score'!$C$6&lt;&gt;""),IF(G370='Historical Score'!$C$6,1,0),0)</f>
        <v/>
      </c>
      <c r="AR370" s="3">
        <f>IF(AND(L370&lt;&gt;"",'Historical Score'!$C$5&lt;&gt;""),IF(L370='Historical Score'!$C$5,1,0),0)</f>
        <v/>
      </c>
      <c r="AS370" s="3">
        <f>IF(AND(Y370&lt;&gt;"",'Historical Score'!$C$7&lt;&gt;""),IF(Y370='Historical Score'!$C$7,1,0),0)</f>
        <v/>
      </c>
      <c r="AT370" s="3">
        <f>IF(AND(K370&lt;&gt;"",'Historical Score'!$C$8&lt;&gt;""),IF(K370='Historical Score'!$C$8,1,0),0)</f>
        <v/>
      </c>
      <c r="AU370" s="3" t="n"/>
      <c r="AV370" s="3" t="n"/>
      <c r="AW370" s="3" t="n"/>
      <c r="AX370" s="3" t="n"/>
      <c r="AY370" s="3" t="n"/>
      <c r="AZ370" s="3" t="n"/>
      <c r="BA370" s="182">
        <f>IF(AD370=1,(AR370*'Historical Score'!$K$29+1-'Historical Score'!$K$29)*(AT370*'Historical Score'!$L$29+1-'Historical Score'!$L$29)*(AS370*'Historical Score'!$M$29+1-'Historical Score'!$M$29)*(AQ370*'Historical Score'!$N$29+1-'Historical Score'!$N$29),0)</f>
        <v/>
      </c>
      <c r="BB370" s="3" t="n"/>
      <c r="BC370" s="3" t="n"/>
    </row>
    <row r="371" ht="15.75" customHeight="1" s="174">
      <c r="A371" s="3" t="inlineStr">
        <is>
          <t>5674172613</t>
        </is>
      </c>
      <c r="B371" s="3" t="inlineStr">
        <is>
          <t>Craft Roots Vegan Bar and Grill</t>
        </is>
      </c>
      <c r="C371" s="3" t="inlineStr">
        <is>
          <t>Gaich Group LLC</t>
        </is>
      </c>
      <c r="D371" s="3" t="inlineStr">
        <is>
          <t>Closed</t>
        </is>
      </c>
      <c r="E371" s="23" t="n">
        <v>45982</v>
      </c>
      <c r="F371" s="23" t="n">
        <v>46101</v>
      </c>
      <c r="G371" s="3" t="n">
        <v>4</v>
      </c>
      <c r="H371" s="3" t="inlineStr">
        <is>
          <t>5812</t>
        </is>
      </c>
      <c r="I371" s="3" t="inlineStr">
        <is>
          <t>58</t>
        </is>
      </c>
      <c r="J371" s="3" t="inlineStr">
        <is>
          <t>CA</t>
        </is>
      </c>
      <c r="K371" s="3" t="inlineStr">
        <is>
          <t>National Business Capital</t>
        </is>
      </c>
      <c r="L371" s="3" t="inlineStr">
        <is>
          <t>New Deal</t>
        </is>
      </c>
      <c r="M371" s="3" t="n">
        <v>1.4</v>
      </c>
      <c r="N371" s="28" t="n">
        <v>20000</v>
      </c>
      <c r="O371" s="28" t="n">
        <v>1900</v>
      </c>
      <c r="P371" s="28" t="n">
        <v>28000</v>
      </c>
      <c r="Q371" s="28" t="n">
        <v>28000</v>
      </c>
      <c r="R371" s="28" t="n">
        <v>0</v>
      </c>
      <c r="S371" s="42" t="n">
        <v>1</v>
      </c>
      <c r="T371" s="3" t="n">
        <v>2.623</v>
      </c>
      <c r="U371" s="3" t="n">
        <v>0</v>
      </c>
      <c r="V371" s="3" t="n">
        <v>131910.62</v>
      </c>
      <c r="W371" s="42" t="n">
        <v>0.0557</v>
      </c>
      <c r="X371" s="23" t="n"/>
      <c r="Y371" s="3">
        <f>IF(I371="","No SIC",IFERROR(VLOOKUP(I371,Ref!$A$2:$B$65,2,FALSE()),"Unclassified"))</f>
        <v/>
      </c>
      <c r="Z371" s="3">
        <f>IF(T371="","",IF(T371&lt;12,"Daily","Weekly"))</f>
        <v/>
      </c>
      <c r="AA371" s="3">
        <f>IF(T371="",0,IF(T371&lt;12,T371*Controls!$B$13,T371*5))</f>
        <v/>
      </c>
      <c r="AB371" s="3">
        <f>IF(E371="",0,NETWORKDAYS(E371,Controls!$B$20,Ref!$K$2:$K$42))</f>
        <v/>
      </c>
      <c r="AC371" s="3">
        <f>IF(OR(AF371=1,AND(AA371&gt;0,AB371&gt;=Controls!$B$23*AA371)),1,0)</f>
        <v/>
      </c>
      <c r="AD371" s="3">
        <f>IF(AND(E371&lt;&gt;"",E371&gt;=Controls!$B$21,E371&lt;=Controls!$B$22),1,0)</f>
        <v/>
      </c>
      <c r="AE371" s="3">
        <f>IF(IFERROR(VLOOKUP(D371,Controls!$A$36:$E$46,2,FALSE()),"No")="Yes",1,0)</f>
        <v/>
      </c>
      <c r="AF371" s="3">
        <f>IF(IFERROR(VLOOKUP(D371,Controls!$A$36:$E$46,3,FALSE()),"No")="Yes",1,0)</f>
        <v/>
      </c>
      <c r="AG371" s="3">
        <f>IF(IFERROR(VLOOKUP(D371,Controls!$A$36:$E$46,4,FALSE()),"No")="Yes",1,0)</f>
        <v/>
      </c>
      <c r="AH371" s="3">
        <f>IF(IFERROR(VLOOKUP(D371,Controls!$A$36:$E$46,5,FALSE()),"No")="Yes",1,0)</f>
        <v/>
      </c>
      <c r="AI371" s="3">
        <f>IF(ISNUMBER(MATCH(D371,Controls!$A$36:$A$46,0)),1,0)</f>
        <v/>
      </c>
      <c r="AJ371" s="28">
        <f>Q371-N371</f>
        <v/>
      </c>
      <c r="AK371" s="3">
        <f>IF(AE371=1,MAX(0,N371-Q371),0)</f>
        <v/>
      </c>
      <c r="AL371" s="3">
        <f>IF(OR(V371="",V371=0),0,N371/V371)</f>
        <v/>
      </c>
      <c r="AM371" s="3">
        <f>IF(OR(V371="",V371=0),0,1)</f>
        <v/>
      </c>
      <c r="AN371" s="3">
        <f>IF(OR(E371="",F371=""),0,NETWORKDAYS(E371,F371,Ref!$K$2:$K$42))</f>
        <v/>
      </c>
      <c r="AO371" s="3">
        <f>IF(L371="Renewal",1,0)</f>
        <v/>
      </c>
      <c r="AP371" s="3">
        <f>AC371*AD371</f>
        <v/>
      </c>
      <c r="AQ371" s="3">
        <f>IF(AND(G371&lt;&gt;"",'Historical Score'!$C$6&lt;&gt;""),IF(G371='Historical Score'!$C$6,1,0),0)</f>
        <v/>
      </c>
      <c r="AR371" s="3">
        <f>IF(AND(L371&lt;&gt;"",'Historical Score'!$C$5&lt;&gt;""),IF(L371='Historical Score'!$C$5,1,0),0)</f>
        <v/>
      </c>
      <c r="AS371" s="3">
        <f>IF(AND(Y371&lt;&gt;"",'Historical Score'!$C$7&lt;&gt;""),IF(Y371='Historical Score'!$C$7,1,0),0)</f>
        <v/>
      </c>
      <c r="AT371" s="3">
        <f>IF(AND(K371&lt;&gt;"",'Historical Score'!$C$8&lt;&gt;""),IF(K371='Historical Score'!$C$8,1,0),0)</f>
        <v/>
      </c>
      <c r="AU371" s="3" t="n"/>
      <c r="AV371" s="3" t="n"/>
      <c r="AW371" s="3" t="n"/>
      <c r="AX371" s="3" t="n"/>
      <c r="AY371" s="3" t="n"/>
      <c r="AZ371" s="3" t="n"/>
      <c r="BA371" s="182">
        <f>IF(AD371=1,(AR371*'Historical Score'!$K$29+1-'Historical Score'!$K$29)*(AT371*'Historical Score'!$L$29+1-'Historical Score'!$L$29)*(AS371*'Historical Score'!$M$29+1-'Historical Score'!$M$29)*(AQ371*'Historical Score'!$N$29+1-'Historical Score'!$N$29),0)</f>
        <v/>
      </c>
      <c r="BB371" s="3" t="n"/>
      <c r="BC371" s="3" t="n"/>
    </row>
    <row r="372" ht="15.75" customHeight="1" s="174">
      <c r="A372" s="3" t="inlineStr">
        <is>
          <t>5674172631</t>
        </is>
      </c>
      <c r="B372" s="3" t="inlineStr">
        <is>
          <t>pink rabbit bar and lounge</t>
        </is>
      </c>
      <c r="C372" s="3" t="inlineStr">
        <is>
          <t>PINK RABBIT LLC</t>
        </is>
      </c>
      <c r="D372" s="3" t="inlineStr">
        <is>
          <t>Legal</t>
        </is>
      </c>
      <c r="E372" s="23" t="n">
        <v>45982</v>
      </c>
      <c r="F372" s="23" t="n">
        <v>46050</v>
      </c>
      <c r="G372" s="3" t="n">
        <v>1</v>
      </c>
      <c r="H372" s="3" t="inlineStr">
        <is>
          <t>5812</t>
        </is>
      </c>
      <c r="I372" s="3" t="inlineStr">
        <is>
          <t>58</t>
        </is>
      </c>
      <c r="J372" s="3" t="inlineStr">
        <is>
          <t>HI</t>
        </is>
      </c>
      <c r="K372" s="3" t="inlineStr">
        <is>
          <t>PMF</t>
        </is>
      </c>
      <c r="L372" s="3" t="inlineStr">
        <is>
          <t>New Deal</t>
        </is>
      </c>
      <c r="M372" s="3" t="n">
        <v>1.49</v>
      </c>
      <c r="N372" s="28" t="n">
        <v>15000</v>
      </c>
      <c r="O372" s="28" t="n">
        <v>0</v>
      </c>
      <c r="P372" s="28" t="n">
        <v>22350</v>
      </c>
      <c r="Q372" s="28" t="n">
        <v>1015.42</v>
      </c>
      <c r="R372" s="28" t="n">
        <v>21334.58</v>
      </c>
      <c r="S372" s="42" t="n">
        <v>0.0454326621923937</v>
      </c>
      <c r="T372" s="3" t="n">
        <v>22</v>
      </c>
      <c r="U372" s="3" t="n">
        <v>18</v>
      </c>
      <c r="V372" s="3" t="n">
        <v>51807.24</v>
      </c>
      <c r="W372" s="42" t="n">
        <v>0.0784</v>
      </c>
      <c r="X372" s="23" t="n">
        <v>45642</v>
      </c>
      <c r="Y372" s="3">
        <f>IF(I372="","No SIC",IFERROR(VLOOKUP(I372,Ref!$A$2:$B$65,2,FALSE()),"Unclassified"))</f>
        <v/>
      </c>
      <c r="Z372" s="3">
        <f>IF(T372="","",IF(T372&lt;12,"Daily","Weekly"))</f>
        <v/>
      </c>
      <c r="AA372" s="3">
        <f>IF(T372="",0,IF(T372&lt;12,T372*Controls!$B$13,T372*5))</f>
        <v/>
      </c>
      <c r="AB372" s="3">
        <f>IF(E372="",0,NETWORKDAYS(E372,Controls!$B$20,Ref!$K$2:$K$42))</f>
        <v/>
      </c>
      <c r="AC372" s="3">
        <f>IF(OR(AF372=1,AND(AA372&gt;0,AB372&gt;=Controls!$B$23*AA372)),1,0)</f>
        <v/>
      </c>
      <c r="AD372" s="3">
        <f>IF(AND(E372&lt;&gt;"",E372&gt;=Controls!$B$21,E372&lt;=Controls!$B$22),1,0)</f>
        <v/>
      </c>
      <c r="AE372" s="3">
        <f>IF(IFERROR(VLOOKUP(D372,Controls!$A$36:$E$46,2,FALSE()),"No")="Yes",1,0)</f>
        <v/>
      </c>
      <c r="AF372" s="3">
        <f>IF(IFERROR(VLOOKUP(D372,Controls!$A$36:$E$46,3,FALSE()),"No")="Yes",1,0)</f>
        <v/>
      </c>
      <c r="AG372" s="3">
        <f>IF(IFERROR(VLOOKUP(D372,Controls!$A$36:$E$46,4,FALSE()),"No")="Yes",1,0)</f>
        <v/>
      </c>
      <c r="AH372" s="3">
        <f>IF(IFERROR(VLOOKUP(D372,Controls!$A$36:$E$46,5,FALSE()),"No")="Yes",1,0)</f>
        <v/>
      </c>
      <c r="AI372" s="3">
        <f>IF(ISNUMBER(MATCH(D372,Controls!$A$36:$A$46,0)),1,0)</f>
        <v/>
      </c>
      <c r="AJ372" s="28">
        <f>Q372-N372</f>
        <v/>
      </c>
      <c r="AK372" s="3">
        <f>IF(AE372=1,MAX(0,N372-Q372),0)</f>
        <v/>
      </c>
      <c r="AL372" s="3">
        <f>IF(OR(V372="",V372=0),0,N372/V372)</f>
        <v/>
      </c>
      <c r="AM372" s="3">
        <f>IF(OR(V372="",V372=0),0,1)</f>
        <v/>
      </c>
      <c r="AN372" s="3">
        <f>IF(OR(E372="",F372=""),0,NETWORKDAYS(E372,F372,Ref!$K$2:$K$42))</f>
        <v/>
      </c>
      <c r="AO372" s="3">
        <f>IF(L372="Renewal",1,0)</f>
        <v/>
      </c>
      <c r="AP372" s="3">
        <f>AC372*AD372</f>
        <v/>
      </c>
      <c r="AQ372" s="3">
        <f>IF(AND(G372&lt;&gt;"",'Historical Score'!$C$6&lt;&gt;""),IF(G372='Historical Score'!$C$6,1,0),0)</f>
        <v/>
      </c>
      <c r="AR372" s="3">
        <f>IF(AND(L372&lt;&gt;"",'Historical Score'!$C$5&lt;&gt;""),IF(L372='Historical Score'!$C$5,1,0),0)</f>
        <v/>
      </c>
      <c r="AS372" s="3">
        <f>IF(AND(Y372&lt;&gt;"",'Historical Score'!$C$7&lt;&gt;""),IF(Y372='Historical Score'!$C$7,1,0),0)</f>
        <v/>
      </c>
      <c r="AT372" s="3">
        <f>IF(AND(K372&lt;&gt;"",'Historical Score'!$C$8&lt;&gt;""),IF(K372='Historical Score'!$C$8,1,0),0)</f>
        <v/>
      </c>
      <c r="AU372" s="3" t="n"/>
      <c r="AV372" s="3" t="n"/>
      <c r="AW372" s="3" t="n"/>
      <c r="AX372" s="3" t="n"/>
      <c r="AY372" s="3" t="n"/>
      <c r="AZ372" s="3" t="n"/>
      <c r="BA372" s="182">
        <f>IF(AD372=1,(AR372*'Historical Score'!$K$29+1-'Historical Score'!$K$29)*(AT372*'Historical Score'!$L$29+1-'Historical Score'!$L$29)*(AS372*'Historical Score'!$M$29+1-'Historical Score'!$M$29)*(AQ372*'Historical Score'!$N$29+1-'Historical Score'!$N$29),0)</f>
        <v/>
      </c>
      <c r="BB372" s="3" t="n"/>
      <c r="BC372" s="3" t="n"/>
    </row>
    <row r="373" ht="15.75" customHeight="1" s="174">
      <c r="A373" s="3" t="inlineStr">
        <is>
          <t>5674172650</t>
        </is>
      </c>
      <c r="B373" s="3" t="inlineStr">
        <is>
          <t>EAGLE MEDICAL MANAGEMENT INC</t>
        </is>
      </c>
      <c r="C373" s="3" t="inlineStr">
        <is>
          <t>EAGLE MEDICAL MANAGEMENT INC</t>
        </is>
      </c>
      <c r="D373" s="3" t="inlineStr">
        <is>
          <t>Closed</t>
        </is>
      </c>
      <c r="E373" s="23" t="n">
        <v>45982</v>
      </c>
      <c r="F373" s="23" t="n">
        <v>46071</v>
      </c>
      <c r="G373" s="3" t="n">
        <v>1</v>
      </c>
      <c r="H373" s="3" t="inlineStr">
        <is>
          <t>8011</t>
        </is>
      </c>
      <c r="I373" s="3" t="inlineStr">
        <is>
          <t>80</t>
        </is>
      </c>
      <c r="J373" s="3" t="inlineStr">
        <is>
          <t>FL</t>
        </is>
      </c>
      <c r="K373" s="3" t="inlineStr">
        <is>
          <t>United Secured Capital 8</t>
        </is>
      </c>
      <c r="L373" s="3" t="inlineStr">
        <is>
          <t>New Deal</t>
        </is>
      </c>
      <c r="M373" s="3" t="n">
        <v>1.5</v>
      </c>
      <c r="N373" s="28" t="n">
        <v>30000</v>
      </c>
      <c r="O373" s="28" t="n">
        <v>4200</v>
      </c>
      <c r="P373" s="28" t="n">
        <v>45000</v>
      </c>
      <c r="Q373" s="28" t="n">
        <v>45000</v>
      </c>
      <c r="R373" s="28" t="n">
        <v>0</v>
      </c>
      <c r="S373" s="42" t="n">
        <v>1</v>
      </c>
      <c r="T373" s="3" t="n">
        <v>3.934</v>
      </c>
      <c r="U373" s="3" t="n">
        <v>3</v>
      </c>
      <c r="V373" s="3" t="n">
        <v>151117.26</v>
      </c>
      <c r="W373" s="42" t="n">
        <v>0.0518</v>
      </c>
      <c r="X373" s="23" t="n">
        <v>36749</v>
      </c>
      <c r="Y373" s="3">
        <f>IF(I373="","No SIC",IFERROR(VLOOKUP(I373,Ref!$A$2:$B$65,2,FALSE()),"Unclassified"))</f>
        <v/>
      </c>
      <c r="Z373" s="3">
        <f>IF(T373="","",IF(T373&lt;12,"Daily","Weekly"))</f>
        <v/>
      </c>
      <c r="AA373" s="3">
        <f>IF(T373="",0,IF(T373&lt;12,T373*Controls!$B$13,T373*5))</f>
        <v/>
      </c>
      <c r="AB373" s="3">
        <f>IF(E373="",0,NETWORKDAYS(E373,Controls!$B$20,Ref!$K$2:$K$42))</f>
        <v/>
      </c>
      <c r="AC373" s="3">
        <f>IF(OR(AF373=1,AND(AA373&gt;0,AB373&gt;=Controls!$B$23*AA373)),1,0)</f>
        <v/>
      </c>
      <c r="AD373" s="3">
        <f>IF(AND(E373&lt;&gt;"",E373&gt;=Controls!$B$21,E373&lt;=Controls!$B$22),1,0)</f>
        <v/>
      </c>
      <c r="AE373" s="3">
        <f>IF(IFERROR(VLOOKUP(D373,Controls!$A$36:$E$46,2,FALSE()),"No")="Yes",1,0)</f>
        <v/>
      </c>
      <c r="AF373" s="3">
        <f>IF(IFERROR(VLOOKUP(D373,Controls!$A$36:$E$46,3,FALSE()),"No")="Yes",1,0)</f>
        <v/>
      </c>
      <c r="AG373" s="3">
        <f>IF(IFERROR(VLOOKUP(D373,Controls!$A$36:$E$46,4,FALSE()),"No")="Yes",1,0)</f>
        <v/>
      </c>
      <c r="AH373" s="3">
        <f>IF(IFERROR(VLOOKUP(D373,Controls!$A$36:$E$46,5,FALSE()),"No")="Yes",1,0)</f>
        <v/>
      </c>
      <c r="AI373" s="3">
        <f>IF(ISNUMBER(MATCH(D373,Controls!$A$36:$A$46,0)),1,0)</f>
        <v/>
      </c>
      <c r="AJ373" s="28">
        <f>Q373-N373</f>
        <v/>
      </c>
      <c r="AK373" s="3">
        <f>IF(AE373=1,MAX(0,N373-Q373),0)</f>
        <v/>
      </c>
      <c r="AL373" s="3">
        <f>IF(OR(V373="",V373=0),0,N373/V373)</f>
        <v/>
      </c>
      <c r="AM373" s="3">
        <f>IF(OR(V373="",V373=0),0,1)</f>
        <v/>
      </c>
      <c r="AN373" s="3">
        <f>IF(OR(E373="",F373=""),0,NETWORKDAYS(E373,F373,Ref!$K$2:$K$42))</f>
        <v/>
      </c>
      <c r="AO373" s="3">
        <f>IF(L373="Renewal",1,0)</f>
        <v/>
      </c>
      <c r="AP373" s="3">
        <f>AC373*AD373</f>
        <v/>
      </c>
      <c r="AQ373" s="3">
        <f>IF(AND(G373&lt;&gt;"",'Historical Score'!$C$6&lt;&gt;""),IF(G373='Historical Score'!$C$6,1,0),0)</f>
        <v/>
      </c>
      <c r="AR373" s="3">
        <f>IF(AND(L373&lt;&gt;"",'Historical Score'!$C$5&lt;&gt;""),IF(L373='Historical Score'!$C$5,1,0),0)</f>
        <v/>
      </c>
      <c r="AS373" s="3">
        <f>IF(AND(Y373&lt;&gt;"",'Historical Score'!$C$7&lt;&gt;""),IF(Y373='Historical Score'!$C$7,1,0),0)</f>
        <v/>
      </c>
      <c r="AT373" s="3">
        <f>IF(AND(K373&lt;&gt;"",'Historical Score'!$C$8&lt;&gt;""),IF(K373='Historical Score'!$C$8,1,0),0)</f>
        <v/>
      </c>
      <c r="AU373" s="3" t="n"/>
      <c r="AV373" s="3" t="n"/>
      <c r="AW373" s="3" t="n"/>
      <c r="AX373" s="3" t="n"/>
      <c r="AY373" s="3" t="n"/>
      <c r="AZ373" s="3" t="n"/>
      <c r="BA373" s="182">
        <f>IF(AD373=1,(AR373*'Historical Score'!$K$29+1-'Historical Score'!$K$29)*(AT373*'Historical Score'!$L$29+1-'Historical Score'!$L$29)*(AS373*'Historical Score'!$M$29+1-'Historical Score'!$M$29)*(AQ373*'Historical Score'!$N$29+1-'Historical Score'!$N$29),0)</f>
        <v/>
      </c>
      <c r="BB373" s="3" t="n"/>
      <c r="BC373" s="3" t="n"/>
    </row>
    <row r="374" ht="15.75" customHeight="1" s="174">
      <c r="A374" s="3" t="inlineStr">
        <is>
          <t>5674172661</t>
        </is>
      </c>
      <c r="B374" s="3" t="inlineStr">
        <is>
          <t>LASHOLOGY</t>
        </is>
      </c>
      <c r="C374" s="3" t="inlineStr">
        <is>
          <t>Iconic Holdings Inc.</t>
        </is>
      </c>
      <c r="D374" s="3" t="inlineStr">
        <is>
          <t>Closed</t>
        </is>
      </c>
      <c r="E374" s="23" t="n">
        <v>45982</v>
      </c>
      <c r="F374" s="23" t="n">
        <v>46080</v>
      </c>
      <c r="G374" s="3" t="n">
        <v>1</v>
      </c>
      <c r="H374" s="3" t="inlineStr">
        <is>
          <t>7231</t>
        </is>
      </c>
      <c r="I374" s="3" t="inlineStr">
        <is>
          <t>72</t>
        </is>
      </c>
      <c r="J374" s="3" t="inlineStr">
        <is>
          <t>CO</t>
        </is>
      </c>
      <c r="K374" s="3" t="inlineStr">
        <is>
          <t>Fundwell</t>
        </is>
      </c>
      <c r="L374" s="3" t="inlineStr">
        <is>
          <t>New Deal</t>
        </is>
      </c>
      <c r="M374" s="3" t="n">
        <v>1.39</v>
      </c>
      <c r="N374" s="28" t="n">
        <v>40000</v>
      </c>
      <c r="O374" s="28" t="n">
        <v>5000</v>
      </c>
      <c r="P374" s="28" t="n">
        <v>55600</v>
      </c>
      <c r="Q374" s="28" t="n">
        <v>55600</v>
      </c>
      <c r="R374" s="28" t="n">
        <v>-7.275957614183431e-12</v>
      </c>
      <c r="S374" s="42" t="n">
        <v>1</v>
      </c>
      <c r="T374" s="3" t="n">
        <v>36</v>
      </c>
      <c r="U374" s="3" t="n">
        <v>0</v>
      </c>
      <c r="V374" s="3" t="n">
        <v>54378.42</v>
      </c>
      <c r="W374" s="42" t="n">
        <v>0.169</v>
      </c>
      <c r="X374" s="23" t="n">
        <v>45191</v>
      </c>
      <c r="Y374" s="3">
        <f>IF(I374="","No SIC",IFERROR(VLOOKUP(I374,Ref!$A$2:$B$65,2,FALSE()),"Unclassified"))</f>
        <v/>
      </c>
      <c r="Z374" s="3">
        <f>IF(T374="","",IF(T374&lt;12,"Daily","Weekly"))</f>
        <v/>
      </c>
      <c r="AA374" s="3">
        <f>IF(T374="",0,IF(T374&lt;12,T374*Controls!$B$13,T374*5))</f>
        <v/>
      </c>
      <c r="AB374" s="3">
        <f>IF(E374="",0,NETWORKDAYS(E374,Controls!$B$20,Ref!$K$2:$K$42))</f>
        <v/>
      </c>
      <c r="AC374" s="3">
        <f>IF(OR(AF374=1,AND(AA374&gt;0,AB374&gt;=Controls!$B$23*AA374)),1,0)</f>
        <v/>
      </c>
      <c r="AD374" s="3">
        <f>IF(AND(E374&lt;&gt;"",E374&gt;=Controls!$B$21,E374&lt;=Controls!$B$22),1,0)</f>
        <v/>
      </c>
      <c r="AE374" s="3">
        <f>IF(IFERROR(VLOOKUP(D374,Controls!$A$36:$E$46,2,FALSE()),"No")="Yes",1,0)</f>
        <v/>
      </c>
      <c r="AF374" s="3">
        <f>IF(IFERROR(VLOOKUP(D374,Controls!$A$36:$E$46,3,FALSE()),"No")="Yes",1,0)</f>
        <v/>
      </c>
      <c r="AG374" s="3">
        <f>IF(IFERROR(VLOOKUP(D374,Controls!$A$36:$E$46,4,FALSE()),"No")="Yes",1,0)</f>
        <v/>
      </c>
      <c r="AH374" s="3">
        <f>IF(IFERROR(VLOOKUP(D374,Controls!$A$36:$E$46,5,FALSE()),"No")="Yes",1,0)</f>
        <v/>
      </c>
      <c r="AI374" s="3">
        <f>IF(ISNUMBER(MATCH(D374,Controls!$A$36:$A$46,0)),1,0)</f>
        <v/>
      </c>
      <c r="AJ374" s="28">
        <f>Q374-N374</f>
        <v/>
      </c>
      <c r="AK374" s="3">
        <f>IF(AE374=1,MAX(0,N374-Q374),0)</f>
        <v/>
      </c>
      <c r="AL374" s="3">
        <f>IF(OR(V374="",V374=0),0,N374/V374)</f>
        <v/>
      </c>
      <c r="AM374" s="3">
        <f>IF(OR(V374="",V374=0),0,1)</f>
        <v/>
      </c>
      <c r="AN374" s="3">
        <f>IF(OR(E374="",F374=""),0,NETWORKDAYS(E374,F374,Ref!$K$2:$K$42))</f>
        <v/>
      </c>
      <c r="AO374" s="3">
        <f>IF(L374="Renewal",1,0)</f>
        <v/>
      </c>
      <c r="AP374" s="3">
        <f>AC374*AD374</f>
        <v/>
      </c>
      <c r="AQ374" s="3">
        <f>IF(AND(G374&lt;&gt;"",'Historical Score'!$C$6&lt;&gt;""),IF(G374='Historical Score'!$C$6,1,0),0)</f>
        <v/>
      </c>
      <c r="AR374" s="3">
        <f>IF(AND(L374&lt;&gt;"",'Historical Score'!$C$5&lt;&gt;""),IF(L374='Historical Score'!$C$5,1,0),0)</f>
        <v/>
      </c>
      <c r="AS374" s="3">
        <f>IF(AND(Y374&lt;&gt;"",'Historical Score'!$C$7&lt;&gt;""),IF(Y374='Historical Score'!$C$7,1,0),0)</f>
        <v/>
      </c>
      <c r="AT374" s="3">
        <f>IF(AND(K374&lt;&gt;"",'Historical Score'!$C$8&lt;&gt;""),IF(K374='Historical Score'!$C$8,1,0),0)</f>
        <v/>
      </c>
      <c r="AU374" s="3" t="n"/>
      <c r="AV374" s="3" t="n"/>
      <c r="AW374" s="3" t="n"/>
      <c r="AX374" s="3" t="n"/>
      <c r="AY374" s="3" t="n"/>
      <c r="AZ374" s="3" t="n"/>
      <c r="BA374" s="182">
        <f>IF(AD374=1,(AR374*'Historical Score'!$K$29+1-'Historical Score'!$K$29)*(AT374*'Historical Score'!$L$29+1-'Historical Score'!$L$29)*(AS374*'Historical Score'!$M$29+1-'Historical Score'!$M$29)*(AQ374*'Historical Score'!$N$29+1-'Historical Score'!$N$29),0)</f>
        <v/>
      </c>
      <c r="BB374" s="3" t="n"/>
      <c r="BC374" s="3" t="n"/>
    </row>
    <row r="375" ht="15.75" customHeight="1" s="174">
      <c r="A375" s="3" t="inlineStr">
        <is>
          <t>5674172682</t>
        </is>
      </c>
      <c r="B375" s="3" t="inlineStr">
        <is>
          <t>Benjamin's Queens</t>
        </is>
      </c>
      <c r="C375" s="3" t="inlineStr">
        <is>
          <t>Benjamin's Queens LLC</t>
        </is>
      </c>
      <c r="D375" s="3" t="inlineStr">
        <is>
          <t>In House Collection</t>
        </is>
      </c>
      <c r="E375" s="23" t="n">
        <v>45985</v>
      </c>
      <c r="F375" s="23" t="n">
        <v>46203</v>
      </c>
      <c r="G375" s="3" t="n">
        <v>1</v>
      </c>
      <c r="H375" s="3" t="inlineStr">
        <is>
          <t>5023</t>
        </is>
      </c>
      <c r="I375" s="3" t="inlineStr">
        <is>
          <t>50</t>
        </is>
      </c>
      <c r="J375" s="3" t="inlineStr">
        <is>
          <t>NC</t>
        </is>
      </c>
      <c r="K375" s="3" t="inlineStr">
        <is>
          <t>langtech</t>
        </is>
      </c>
      <c r="L375" s="3" t="inlineStr">
        <is>
          <t>New Deal</t>
        </is>
      </c>
      <c r="M375" s="3" t="n">
        <v>1.49</v>
      </c>
      <c r="N375" s="28" t="n">
        <v>3500</v>
      </c>
      <c r="O375" s="28" t="n">
        <v>490</v>
      </c>
      <c r="P375" s="28" t="n">
        <v>5215</v>
      </c>
      <c r="Q375" s="28" t="n">
        <v>325.83</v>
      </c>
      <c r="R375" s="28" t="n">
        <v>4889.17</v>
      </c>
      <c r="S375" s="42" t="n">
        <v>0.0624793863854267</v>
      </c>
      <c r="T375" s="3" t="n">
        <v>16</v>
      </c>
      <c r="U375" s="3" t="n">
        <v>14</v>
      </c>
      <c r="V375" s="3" t="n">
        <v>10056.39</v>
      </c>
      <c r="W375" s="42" t="n">
        <v>0.1296</v>
      </c>
      <c r="X375" s="23" t="n">
        <v>45788</v>
      </c>
      <c r="Y375" s="3">
        <f>IF(I375="","No SIC",IFERROR(VLOOKUP(I375,Ref!$A$2:$B$65,2,FALSE()),"Unclassified"))</f>
        <v/>
      </c>
      <c r="Z375" s="3">
        <f>IF(T375="","",IF(T375&lt;12,"Daily","Weekly"))</f>
        <v/>
      </c>
      <c r="AA375" s="3">
        <f>IF(T375="",0,IF(T375&lt;12,T375*Controls!$B$13,T375*5))</f>
        <v/>
      </c>
      <c r="AB375" s="3">
        <f>IF(E375="",0,NETWORKDAYS(E375,Controls!$B$20,Ref!$K$2:$K$42))</f>
        <v/>
      </c>
      <c r="AC375" s="3">
        <f>IF(OR(AF375=1,AND(AA375&gt;0,AB375&gt;=Controls!$B$23*AA375)),1,0)</f>
        <v/>
      </c>
      <c r="AD375" s="3">
        <f>IF(AND(E375&lt;&gt;"",E375&gt;=Controls!$B$21,E375&lt;=Controls!$B$22),1,0)</f>
        <v/>
      </c>
      <c r="AE375" s="3">
        <f>IF(IFERROR(VLOOKUP(D375,Controls!$A$36:$E$46,2,FALSE()),"No")="Yes",1,0)</f>
        <v/>
      </c>
      <c r="AF375" s="3">
        <f>IF(IFERROR(VLOOKUP(D375,Controls!$A$36:$E$46,3,FALSE()),"No")="Yes",1,0)</f>
        <v/>
      </c>
      <c r="AG375" s="3">
        <f>IF(IFERROR(VLOOKUP(D375,Controls!$A$36:$E$46,4,FALSE()),"No")="Yes",1,0)</f>
        <v/>
      </c>
      <c r="AH375" s="3">
        <f>IF(IFERROR(VLOOKUP(D375,Controls!$A$36:$E$46,5,FALSE()),"No")="Yes",1,0)</f>
        <v/>
      </c>
      <c r="AI375" s="3">
        <f>IF(ISNUMBER(MATCH(D375,Controls!$A$36:$A$46,0)),1,0)</f>
        <v/>
      </c>
      <c r="AJ375" s="28">
        <f>Q375-N375</f>
        <v/>
      </c>
      <c r="AK375" s="3">
        <f>IF(AE375=1,MAX(0,N375-Q375),0)</f>
        <v/>
      </c>
      <c r="AL375" s="3">
        <f>IF(OR(V375="",V375=0),0,N375/V375)</f>
        <v/>
      </c>
      <c r="AM375" s="3">
        <f>IF(OR(V375="",V375=0),0,1)</f>
        <v/>
      </c>
      <c r="AN375" s="3">
        <f>IF(OR(E375="",F375=""),0,NETWORKDAYS(E375,F375,Ref!$K$2:$K$42))</f>
        <v/>
      </c>
      <c r="AO375" s="3">
        <f>IF(L375="Renewal",1,0)</f>
        <v/>
      </c>
      <c r="AP375" s="3">
        <f>AC375*AD375</f>
        <v/>
      </c>
      <c r="AQ375" s="3">
        <f>IF(AND(G375&lt;&gt;"",'Historical Score'!$C$6&lt;&gt;""),IF(G375='Historical Score'!$C$6,1,0),0)</f>
        <v/>
      </c>
      <c r="AR375" s="3">
        <f>IF(AND(L375&lt;&gt;"",'Historical Score'!$C$5&lt;&gt;""),IF(L375='Historical Score'!$C$5,1,0),0)</f>
        <v/>
      </c>
      <c r="AS375" s="3">
        <f>IF(AND(Y375&lt;&gt;"",'Historical Score'!$C$7&lt;&gt;""),IF(Y375='Historical Score'!$C$7,1,0),0)</f>
        <v/>
      </c>
      <c r="AT375" s="3">
        <f>IF(AND(K375&lt;&gt;"",'Historical Score'!$C$8&lt;&gt;""),IF(K375='Historical Score'!$C$8,1,0),0)</f>
        <v/>
      </c>
      <c r="AU375" s="3" t="n"/>
      <c r="AV375" s="3" t="n"/>
      <c r="AW375" s="3" t="n"/>
      <c r="AX375" s="3" t="n"/>
      <c r="AY375" s="3" t="n"/>
      <c r="AZ375" s="3" t="n"/>
      <c r="BA375" s="182">
        <f>IF(AD375=1,(AR375*'Historical Score'!$K$29+1-'Historical Score'!$K$29)*(AT375*'Historical Score'!$L$29+1-'Historical Score'!$L$29)*(AS375*'Historical Score'!$M$29+1-'Historical Score'!$M$29)*(AQ375*'Historical Score'!$N$29+1-'Historical Score'!$N$29),0)</f>
        <v/>
      </c>
      <c r="BB375" s="3" t="n"/>
      <c r="BC375" s="3" t="n"/>
    </row>
    <row r="376" ht="15.75" customHeight="1" s="174">
      <c r="A376" s="3" t="inlineStr">
        <is>
          <t>5674172690</t>
        </is>
      </c>
      <c r="B376" s="3" t="inlineStr">
        <is>
          <t>REDELIFT EQUIPMENT LIMITED LTD</t>
        </is>
      </c>
      <c r="C376" s="3" t="inlineStr">
        <is>
          <t>REDELIFT EQUIPMENT LIMITED LTD</t>
        </is>
      </c>
      <c r="D376" s="3" t="inlineStr">
        <is>
          <t>Closed</t>
        </is>
      </c>
      <c r="E376" s="23" t="n">
        <v>45985</v>
      </c>
      <c r="F376" s="23" t="n">
        <v>46073</v>
      </c>
      <c r="G376" s="3" t="n">
        <v>1</v>
      </c>
      <c r="H376" s="3" t="inlineStr">
        <is>
          <t>1442</t>
        </is>
      </c>
      <c r="I376" s="3" t="inlineStr">
        <is>
          <t>14</t>
        </is>
      </c>
      <c r="J376" s="3" t="inlineStr">
        <is>
          <t>TX</t>
        </is>
      </c>
      <c r="K376" s="3" t="inlineStr">
        <is>
          <t>level 3 funding</t>
        </is>
      </c>
      <c r="L376" s="3" t="inlineStr">
        <is>
          <t>New Deal</t>
        </is>
      </c>
      <c r="M376" s="3" t="n">
        <v>1.499</v>
      </c>
      <c r="N376" s="28" t="n">
        <v>5000</v>
      </c>
      <c r="O376" s="28" t="n">
        <v>700</v>
      </c>
      <c r="P376" s="28" t="n">
        <v>7495</v>
      </c>
      <c r="Q376" s="28" t="n">
        <v>7495</v>
      </c>
      <c r="R376" s="28" t="n">
        <v>9.09494701772928e-13</v>
      </c>
      <c r="S376" s="42" t="n">
        <v>1</v>
      </c>
      <c r="T376" s="3" t="n">
        <v>2.295</v>
      </c>
      <c r="U376" s="3" t="n">
        <v>5</v>
      </c>
      <c r="V376" s="3" t="n">
        <v>24710.48</v>
      </c>
      <c r="W376" s="42" t="n">
        <v>0.0905</v>
      </c>
      <c r="X376" s="23" t="n">
        <v>45289</v>
      </c>
      <c r="Y376" s="3">
        <f>IF(I376="","No SIC",IFERROR(VLOOKUP(I376,Ref!$A$2:$B$65,2,FALSE()),"Unclassified"))</f>
        <v/>
      </c>
      <c r="Z376" s="3">
        <f>IF(T376="","",IF(T376&lt;12,"Daily","Weekly"))</f>
        <v/>
      </c>
      <c r="AA376" s="3">
        <f>IF(T376="",0,IF(T376&lt;12,T376*Controls!$B$13,T376*5))</f>
        <v/>
      </c>
      <c r="AB376" s="3">
        <f>IF(E376="",0,NETWORKDAYS(E376,Controls!$B$20,Ref!$K$2:$K$42))</f>
        <v/>
      </c>
      <c r="AC376" s="3">
        <f>IF(OR(AF376=1,AND(AA376&gt;0,AB376&gt;=Controls!$B$23*AA376)),1,0)</f>
        <v/>
      </c>
      <c r="AD376" s="3">
        <f>IF(AND(E376&lt;&gt;"",E376&gt;=Controls!$B$21,E376&lt;=Controls!$B$22),1,0)</f>
        <v/>
      </c>
      <c r="AE376" s="3">
        <f>IF(IFERROR(VLOOKUP(D376,Controls!$A$36:$E$46,2,FALSE()),"No")="Yes",1,0)</f>
        <v/>
      </c>
      <c r="AF376" s="3">
        <f>IF(IFERROR(VLOOKUP(D376,Controls!$A$36:$E$46,3,FALSE()),"No")="Yes",1,0)</f>
        <v/>
      </c>
      <c r="AG376" s="3">
        <f>IF(IFERROR(VLOOKUP(D376,Controls!$A$36:$E$46,4,FALSE()),"No")="Yes",1,0)</f>
        <v/>
      </c>
      <c r="AH376" s="3">
        <f>IF(IFERROR(VLOOKUP(D376,Controls!$A$36:$E$46,5,FALSE()),"No")="Yes",1,0)</f>
        <v/>
      </c>
      <c r="AI376" s="3">
        <f>IF(ISNUMBER(MATCH(D376,Controls!$A$36:$A$46,0)),1,0)</f>
        <v/>
      </c>
      <c r="AJ376" s="28">
        <f>Q376-N376</f>
        <v/>
      </c>
      <c r="AK376" s="3">
        <f>IF(AE376=1,MAX(0,N376-Q376),0)</f>
        <v/>
      </c>
      <c r="AL376" s="3">
        <f>IF(OR(V376="",V376=0),0,N376/V376)</f>
        <v/>
      </c>
      <c r="AM376" s="3">
        <f>IF(OR(V376="",V376=0),0,1)</f>
        <v/>
      </c>
      <c r="AN376" s="3">
        <f>IF(OR(E376="",F376=""),0,NETWORKDAYS(E376,F376,Ref!$K$2:$K$42))</f>
        <v/>
      </c>
      <c r="AO376" s="3">
        <f>IF(L376="Renewal",1,0)</f>
        <v/>
      </c>
      <c r="AP376" s="3">
        <f>AC376*AD376</f>
        <v/>
      </c>
      <c r="AQ376" s="3">
        <f>IF(AND(G376&lt;&gt;"",'Historical Score'!$C$6&lt;&gt;""),IF(G376='Historical Score'!$C$6,1,0),0)</f>
        <v/>
      </c>
      <c r="AR376" s="3">
        <f>IF(AND(L376&lt;&gt;"",'Historical Score'!$C$5&lt;&gt;""),IF(L376='Historical Score'!$C$5,1,0),0)</f>
        <v/>
      </c>
      <c r="AS376" s="3">
        <f>IF(AND(Y376&lt;&gt;"",'Historical Score'!$C$7&lt;&gt;""),IF(Y376='Historical Score'!$C$7,1,0),0)</f>
        <v/>
      </c>
      <c r="AT376" s="3">
        <f>IF(AND(K376&lt;&gt;"",'Historical Score'!$C$8&lt;&gt;""),IF(K376='Historical Score'!$C$8,1,0),0)</f>
        <v/>
      </c>
      <c r="AU376" s="3" t="n"/>
      <c r="AV376" s="3" t="n"/>
      <c r="AW376" s="3" t="n"/>
      <c r="AX376" s="3" t="n"/>
      <c r="AY376" s="3" t="n"/>
      <c r="AZ376" s="3" t="n"/>
      <c r="BA376" s="182">
        <f>IF(AD376=1,(AR376*'Historical Score'!$K$29+1-'Historical Score'!$K$29)*(AT376*'Historical Score'!$L$29+1-'Historical Score'!$L$29)*(AS376*'Historical Score'!$M$29+1-'Historical Score'!$M$29)*(AQ376*'Historical Score'!$N$29+1-'Historical Score'!$N$29),0)</f>
        <v/>
      </c>
      <c r="BB376" s="3" t="n"/>
      <c r="BC376" s="3" t="n"/>
    </row>
    <row r="377" ht="15.75" customHeight="1" s="174">
      <c r="A377" s="3" t="inlineStr">
        <is>
          <t>5674172692</t>
        </is>
      </c>
      <c r="B377" s="3" t="inlineStr">
        <is>
          <t>KATHY'S MASON JAR FAMILY DINER LLC</t>
        </is>
      </c>
      <c r="C377" s="3" t="inlineStr">
        <is>
          <t>KATHY'S MASON JAR FAMILY DINER LLC</t>
        </is>
      </c>
      <c r="D377" s="3" t="inlineStr">
        <is>
          <t>Closed</t>
        </is>
      </c>
      <c r="E377" s="23" t="n">
        <v>45985</v>
      </c>
      <c r="F377" s="23" t="n">
        <v>46062</v>
      </c>
      <c r="G377" s="3" t="n">
        <v>3</v>
      </c>
      <c r="H377" s="3" t="inlineStr">
        <is>
          <t>5812</t>
        </is>
      </c>
      <c r="I377" s="3" t="inlineStr">
        <is>
          <t>58</t>
        </is>
      </c>
      <c r="J377" s="3" t="inlineStr">
        <is>
          <t>OK</t>
        </is>
      </c>
      <c r="K377" s="3" t="inlineStr">
        <is>
          <t>United Secured Capital 8</t>
        </is>
      </c>
      <c r="L377" s="3" t="inlineStr">
        <is>
          <t>New Deal</t>
        </is>
      </c>
      <c r="M377" s="3" t="n">
        <v>1.499</v>
      </c>
      <c r="N377" s="28" t="n">
        <v>10000</v>
      </c>
      <c r="O377" s="28" t="n">
        <v>1400</v>
      </c>
      <c r="P377" s="28" t="n">
        <v>14990</v>
      </c>
      <c r="Q377" s="28" t="n">
        <v>14990</v>
      </c>
      <c r="R377" s="28" t="n">
        <v>1.81898940354586e-12</v>
      </c>
      <c r="S377" s="42" t="n">
        <v>1</v>
      </c>
      <c r="T377" s="3" t="n">
        <v>2.623</v>
      </c>
      <c r="U377" s="3" t="n">
        <v>1</v>
      </c>
      <c r="V377" s="3" t="n">
        <v>37733.39</v>
      </c>
      <c r="W377" s="42" t="n">
        <v>0.1037</v>
      </c>
      <c r="X377" s="23" t="n"/>
      <c r="Y377" s="3">
        <f>IF(I377="","No SIC",IFERROR(VLOOKUP(I377,Ref!$A$2:$B$65,2,FALSE()),"Unclassified"))</f>
        <v/>
      </c>
      <c r="Z377" s="3">
        <f>IF(T377="","",IF(T377&lt;12,"Daily","Weekly"))</f>
        <v/>
      </c>
      <c r="AA377" s="3">
        <f>IF(T377="",0,IF(T377&lt;12,T377*Controls!$B$13,T377*5))</f>
        <v/>
      </c>
      <c r="AB377" s="3">
        <f>IF(E377="",0,NETWORKDAYS(E377,Controls!$B$20,Ref!$K$2:$K$42))</f>
        <v/>
      </c>
      <c r="AC377" s="3">
        <f>IF(OR(AF377=1,AND(AA377&gt;0,AB377&gt;=Controls!$B$23*AA377)),1,0)</f>
        <v/>
      </c>
      <c r="AD377" s="3">
        <f>IF(AND(E377&lt;&gt;"",E377&gt;=Controls!$B$21,E377&lt;=Controls!$B$22),1,0)</f>
        <v/>
      </c>
      <c r="AE377" s="3">
        <f>IF(IFERROR(VLOOKUP(D377,Controls!$A$36:$E$46,2,FALSE()),"No")="Yes",1,0)</f>
        <v/>
      </c>
      <c r="AF377" s="3">
        <f>IF(IFERROR(VLOOKUP(D377,Controls!$A$36:$E$46,3,FALSE()),"No")="Yes",1,0)</f>
        <v/>
      </c>
      <c r="AG377" s="3">
        <f>IF(IFERROR(VLOOKUP(D377,Controls!$A$36:$E$46,4,FALSE()),"No")="Yes",1,0)</f>
        <v/>
      </c>
      <c r="AH377" s="3">
        <f>IF(IFERROR(VLOOKUP(D377,Controls!$A$36:$E$46,5,FALSE()),"No")="Yes",1,0)</f>
        <v/>
      </c>
      <c r="AI377" s="3">
        <f>IF(ISNUMBER(MATCH(D377,Controls!$A$36:$A$46,0)),1,0)</f>
        <v/>
      </c>
      <c r="AJ377" s="28">
        <f>Q377-N377</f>
        <v/>
      </c>
      <c r="AK377" s="3">
        <f>IF(AE377=1,MAX(0,N377-Q377),0)</f>
        <v/>
      </c>
      <c r="AL377" s="3">
        <f>IF(OR(V377="",V377=0),0,N377/V377)</f>
        <v/>
      </c>
      <c r="AM377" s="3">
        <f>IF(OR(V377="",V377=0),0,1)</f>
        <v/>
      </c>
      <c r="AN377" s="3">
        <f>IF(OR(E377="",F377=""),0,NETWORKDAYS(E377,F377,Ref!$K$2:$K$42))</f>
        <v/>
      </c>
      <c r="AO377" s="3">
        <f>IF(L377="Renewal",1,0)</f>
        <v/>
      </c>
      <c r="AP377" s="3">
        <f>AC377*AD377</f>
        <v/>
      </c>
      <c r="AQ377" s="3">
        <f>IF(AND(G377&lt;&gt;"",'Historical Score'!$C$6&lt;&gt;""),IF(G377='Historical Score'!$C$6,1,0),0)</f>
        <v/>
      </c>
      <c r="AR377" s="3">
        <f>IF(AND(L377&lt;&gt;"",'Historical Score'!$C$5&lt;&gt;""),IF(L377='Historical Score'!$C$5,1,0),0)</f>
        <v/>
      </c>
      <c r="AS377" s="3">
        <f>IF(AND(Y377&lt;&gt;"",'Historical Score'!$C$7&lt;&gt;""),IF(Y377='Historical Score'!$C$7,1,0),0)</f>
        <v/>
      </c>
      <c r="AT377" s="3">
        <f>IF(AND(K377&lt;&gt;"",'Historical Score'!$C$8&lt;&gt;""),IF(K377='Historical Score'!$C$8,1,0),0)</f>
        <v/>
      </c>
      <c r="AU377" s="3" t="n"/>
      <c r="AV377" s="3" t="n"/>
      <c r="AW377" s="3" t="n"/>
      <c r="AX377" s="3" t="n"/>
      <c r="AY377" s="3" t="n"/>
      <c r="AZ377" s="3" t="n"/>
      <c r="BA377" s="182">
        <f>IF(AD377=1,(AR377*'Historical Score'!$K$29+1-'Historical Score'!$K$29)*(AT377*'Historical Score'!$L$29+1-'Historical Score'!$L$29)*(AS377*'Historical Score'!$M$29+1-'Historical Score'!$M$29)*(AQ377*'Historical Score'!$N$29+1-'Historical Score'!$N$29),0)</f>
        <v/>
      </c>
      <c r="BB377" s="3" t="n"/>
      <c r="BC377" s="3" t="n"/>
    </row>
    <row r="378" ht="15.75" customHeight="1" s="174">
      <c r="A378" s="3" t="inlineStr">
        <is>
          <t>5674172696</t>
        </is>
      </c>
      <c r="B378" s="3" t="inlineStr">
        <is>
          <t>GREATFLORIDA INSURANCE</t>
        </is>
      </c>
      <c r="C378" s="3" t="inlineStr">
        <is>
          <t>AJRANC Insurance Agency, Inc</t>
        </is>
      </c>
      <c r="D378" s="3" t="inlineStr">
        <is>
          <t>Closed</t>
        </is>
      </c>
      <c r="E378" s="23" t="n">
        <v>45985</v>
      </c>
      <c r="F378" s="23" t="n">
        <v>46161</v>
      </c>
      <c r="G378" s="3" t="n">
        <v>2</v>
      </c>
      <c r="H378" s="3" t="inlineStr">
        <is>
          <t>6411</t>
        </is>
      </c>
      <c r="I378" s="3" t="inlineStr">
        <is>
          <t>64</t>
        </is>
      </c>
      <c r="J378" s="3" t="inlineStr">
        <is>
          <t>FL</t>
        </is>
      </c>
      <c r="K378" s="3" t="inlineStr">
        <is>
          <t>Fund Simple</t>
        </is>
      </c>
      <c r="L378" s="3" t="inlineStr">
        <is>
          <t>Renewal</t>
        </is>
      </c>
      <c r="M378" s="3" t="n">
        <v>1.35</v>
      </c>
      <c r="N378" s="28" t="n">
        <v>36500</v>
      </c>
      <c r="O378" s="28" t="n">
        <v>2555</v>
      </c>
      <c r="P378" s="28" t="n">
        <v>49275</v>
      </c>
      <c r="Q378" s="28" t="n">
        <v>49275</v>
      </c>
      <c r="R378" s="28" t="n">
        <v>0</v>
      </c>
      <c r="S378" s="42" t="n">
        <v>1</v>
      </c>
      <c r="T378" s="3" t="n">
        <v>4.623</v>
      </c>
      <c r="U378" s="3" t="n">
        <v>0</v>
      </c>
      <c r="V378" s="3" t="n">
        <v>14792.77</v>
      </c>
      <c r="W378" s="42" t="n">
        <v>0.4969</v>
      </c>
      <c r="X378" s="23" t="n">
        <v>42217</v>
      </c>
      <c r="Y378" s="3">
        <f>IF(I378="","No SIC",IFERROR(VLOOKUP(I378,Ref!$A$2:$B$65,2,FALSE()),"Unclassified"))</f>
        <v/>
      </c>
      <c r="Z378" s="3">
        <f>IF(T378="","",IF(T378&lt;12,"Daily","Weekly"))</f>
        <v/>
      </c>
      <c r="AA378" s="3">
        <f>IF(T378="",0,IF(T378&lt;12,T378*Controls!$B$13,T378*5))</f>
        <v/>
      </c>
      <c r="AB378" s="3">
        <f>IF(E378="",0,NETWORKDAYS(E378,Controls!$B$20,Ref!$K$2:$K$42))</f>
        <v/>
      </c>
      <c r="AC378" s="3">
        <f>IF(OR(AF378=1,AND(AA378&gt;0,AB378&gt;=Controls!$B$23*AA378)),1,0)</f>
        <v/>
      </c>
      <c r="AD378" s="3">
        <f>IF(AND(E378&lt;&gt;"",E378&gt;=Controls!$B$21,E378&lt;=Controls!$B$22),1,0)</f>
        <v/>
      </c>
      <c r="AE378" s="3">
        <f>IF(IFERROR(VLOOKUP(D378,Controls!$A$36:$E$46,2,FALSE()),"No")="Yes",1,0)</f>
        <v/>
      </c>
      <c r="AF378" s="3">
        <f>IF(IFERROR(VLOOKUP(D378,Controls!$A$36:$E$46,3,FALSE()),"No")="Yes",1,0)</f>
        <v/>
      </c>
      <c r="AG378" s="3">
        <f>IF(IFERROR(VLOOKUP(D378,Controls!$A$36:$E$46,4,FALSE()),"No")="Yes",1,0)</f>
        <v/>
      </c>
      <c r="AH378" s="3">
        <f>IF(IFERROR(VLOOKUP(D378,Controls!$A$36:$E$46,5,FALSE()),"No")="Yes",1,0)</f>
        <v/>
      </c>
      <c r="AI378" s="3">
        <f>IF(ISNUMBER(MATCH(D378,Controls!$A$36:$A$46,0)),1,0)</f>
        <v/>
      </c>
      <c r="AJ378" s="28">
        <f>Q378-N378</f>
        <v/>
      </c>
      <c r="AK378" s="3">
        <f>IF(AE378=1,MAX(0,N378-Q378),0)</f>
        <v/>
      </c>
      <c r="AL378" s="3">
        <f>IF(OR(V378="",V378=0),0,N378/V378)</f>
        <v/>
      </c>
      <c r="AM378" s="3">
        <f>IF(OR(V378="",V378=0),0,1)</f>
        <v/>
      </c>
      <c r="AN378" s="3">
        <f>IF(OR(E378="",F378=""),0,NETWORKDAYS(E378,F378,Ref!$K$2:$K$42))</f>
        <v/>
      </c>
      <c r="AO378" s="3">
        <f>IF(L378="Renewal",1,0)</f>
        <v/>
      </c>
      <c r="AP378" s="3">
        <f>AC378*AD378</f>
        <v/>
      </c>
      <c r="AQ378" s="3">
        <f>IF(AND(G378&lt;&gt;"",'Historical Score'!$C$6&lt;&gt;""),IF(G378='Historical Score'!$C$6,1,0),0)</f>
        <v/>
      </c>
      <c r="AR378" s="3">
        <f>IF(AND(L378&lt;&gt;"",'Historical Score'!$C$5&lt;&gt;""),IF(L378='Historical Score'!$C$5,1,0),0)</f>
        <v/>
      </c>
      <c r="AS378" s="3">
        <f>IF(AND(Y378&lt;&gt;"",'Historical Score'!$C$7&lt;&gt;""),IF(Y378='Historical Score'!$C$7,1,0),0)</f>
        <v/>
      </c>
      <c r="AT378" s="3">
        <f>IF(AND(K378&lt;&gt;"",'Historical Score'!$C$8&lt;&gt;""),IF(K378='Historical Score'!$C$8,1,0),0)</f>
        <v/>
      </c>
      <c r="AU378" s="3" t="n"/>
      <c r="AV378" s="3" t="n"/>
      <c r="AW378" s="3" t="n"/>
      <c r="AX378" s="3" t="n"/>
      <c r="AY378" s="3" t="n"/>
      <c r="AZ378" s="3" t="n"/>
      <c r="BA378" s="182">
        <f>IF(AD378=1,(AR378*'Historical Score'!$K$29+1-'Historical Score'!$K$29)*(AT378*'Historical Score'!$L$29+1-'Historical Score'!$L$29)*(AS378*'Historical Score'!$M$29+1-'Historical Score'!$M$29)*(AQ378*'Historical Score'!$N$29+1-'Historical Score'!$N$29),0)</f>
        <v/>
      </c>
      <c r="BB378" s="3" t="n"/>
      <c r="BC378" s="3" t="n"/>
    </row>
    <row r="379" ht="15.75" customHeight="1" s="174">
      <c r="A379" s="3" t="inlineStr">
        <is>
          <t>5674172718</t>
        </is>
      </c>
      <c r="B379" s="3" t="inlineStr">
        <is>
          <t>nisa thai cuisine</t>
        </is>
      </c>
      <c r="C379" s="3" t="inlineStr">
        <is>
          <t>nisa thai cuisine</t>
        </is>
      </c>
      <c r="D379" s="3" t="inlineStr">
        <is>
          <t>Legal</t>
        </is>
      </c>
      <c r="E379" s="23" t="n">
        <v>45985</v>
      </c>
      <c r="F379" s="23" t="n">
        <v>46029</v>
      </c>
      <c r="G379" s="3" t="n">
        <v>4</v>
      </c>
      <c r="H379" s="3" t="inlineStr">
        <is>
          <t>5812</t>
        </is>
      </c>
      <c r="I379" s="3" t="inlineStr">
        <is>
          <t>58</t>
        </is>
      </c>
      <c r="J379" s="3" t="inlineStr">
        <is>
          <t>VA</t>
        </is>
      </c>
      <c r="K379" s="3" t="inlineStr">
        <is>
          <t>The Funding Channel</t>
        </is>
      </c>
      <c r="L379" s="3" t="inlineStr">
        <is>
          <t>New Deal</t>
        </is>
      </c>
      <c r="M379" s="3" t="n">
        <v>1.499</v>
      </c>
      <c r="N379" s="28" t="n">
        <v>7500</v>
      </c>
      <c r="O379" s="28" t="n">
        <v>1050</v>
      </c>
      <c r="P379" s="28" t="n">
        <v>11242.5</v>
      </c>
      <c r="Q379" s="28" t="n">
        <v>3610.1</v>
      </c>
      <c r="R379" s="28" t="n">
        <v>7632.4</v>
      </c>
      <c r="S379" s="42" t="n">
        <v>0.321111852346008</v>
      </c>
      <c r="T379" s="3" t="n">
        <v>2.623</v>
      </c>
      <c r="U379" s="3" t="n">
        <v>3</v>
      </c>
      <c r="V379" s="3" t="n">
        <v>32383.4</v>
      </c>
      <c r="W379" s="42" t="n">
        <v>0.1015</v>
      </c>
      <c r="X379" s="23" t="n">
        <v>42476</v>
      </c>
      <c r="Y379" s="3">
        <f>IF(I379="","No SIC",IFERROR(VLOOKUP(I379,Ref!$A$2:$B$65,2,FALSE()),"Unclassified"))</f>
        <v/>
      </c>
      <c r="Z379" s="3">
        <f>IF(T379="","",IF(T379&lt;12,"Daily","Weekly"))</f>
        <v/>
      </c>
      <c r="AA379" s="3">
        <f>IF(T379="",0,IF(T379&lt;12,T379*Controls!$B$13,T379*5))</f>
        <v/>
      </c>
      <c r="AB379" s="3">
        <f>IF(E379="",0,NETWORKDAYS(E379,Controls!$B$20,Ref!$K$2:$K$42))</f>
        <v/>
      </c>
      <c r="AC379" s="3">
        <f>IF(OR(AF379=1,AND(AA379&gt;0,AB379&gt;=Controls!$B$23*AA379)),1,0)</f>
        <v/>
      </c>
      <c r="AD379" s="3">
        <f>IF(AND(E379&lt;&gt;"",E379&gt;=Controls!$B$21,E379&lt;=Controls!$B$22),1,0)</f>
        <v/>
      </c>
      <c r="AE379" s="3">
        <f>IF(IFERROR(VLOOKUP(D379,Controls!$A$36:$E$46,2,FALSE()),"No")="Yes",1,0)</f>
        <v/>
      </c>
      <c r="AF379" s="3">
        <f>IF(IFERROR(VLOOKUP(D379,Controls!$A$36:$E$46,3,FALSE()),"No")="Yes",1,0)</f>
        <v/>
      </c>
      <c r="AG379" s="3">
        <f>IF(IFERROR(VLOOKUP(D379,Controls!$A$36:$E$46,4,FALSE()),"No")="Yes",1,0)</f>
        <v/>
      </c>
      <c r="AH379" s="3">
        <f>IF(IFERROR(VLOOKUP(D379,Controls!$A$36:$E$46,5,FALSE()),"No")="Yes",1,0)</f>
        <v/>
      </c>
      <c r="AI379" s="3">
        <f>IF(ISNUMBER(MATCH(D379,Controls!$A$36:$A$46,0)),1,0)</f>
        <v/>
      </c>
      <c r="AJ379" s="28">
        <f>Q379-N379</f>
        <v/>
      </c>
      <c r="AK379" s="3">
        <f>IF(AE379=1,MAX(0,N379-Q379),0)</f>
        <v/>
      </c>
      <c r="AL379" s="3">
        <f>IF(OR(V379="",V379=0),0,N379/V379)</f>
        <v/>
      </c>
      <c r="AM379" s="3">
        <f>IF(OR(V379="",V379=0),0,1)</f>
        <v/>
      </c>
      <c r="AN379" s="3">
        <f>IF(OR(E379="",F379=""),0,NETWORKDAYS(E379,F379,Ref!$K$2:$K$42))</f>
        <v/>
      </c>
      <c r="AO379" s="3">
        <f>IF(L379="Renewal",1,0)</f>
        <v/>
      </c>
      <c r="AP379" s="3">
        <f>AC379*AD379</f>
        <v/>
      </c>
      <c r="AQ379" s="3">
        <f>IF(AND(G379&lt;&gt;"",'Historical Score'!$C$6&lt;&gt;""),IF(G379='Historical Score'!$C$6,1,0),0)</f>
        <v/>
      </c>
      <c r="AR379" s="3">
        <f>IF(AND(L379&lt;&gt;"",'Historical Score'!$C$5&lt;&gt;""),IF(L379='Historical Score'!$C$5,1,0),0)</f>
        <v/>
      </c>
      <c r="AS379" s="3">
        <f>IF(AND(Y379&lt;&gt;"",'Historical Score'!$C$7&lt;&gt;""),IF(Y379='Historical Score'!$C$7,1,0),0)</f>
        <v/>
      </c>
      <c r="AT379" s="3">
        <f>IF(AND(K379&lt;&gt;"",'Historical Score'!$C$8&lt;&gt;""),IF(K379='Historical Score'!$C$8,1,0),0)</f>
        <v/>
      </c>
      <c r="AU379" s="3" t="n"/>
      <c r="AV379" s="3" t="n"/>
      <c r="AW379" s="3" t="n"/>
      <c r="AX379" s="3" t="n"/>
      <c r="AY379" s="3" t="n"/>
      <c r="AZ379" s="3" t="n"/>
      <c r="BA379" s="182">
        <f>IF(AD379=1,(AR379*'Historical Score'!$K$29+1-'Historical Score'!$K$29)*(AT379*'Historical Score'!$L$29+1-'Historical Score'!$L$29)*(AS379*'Historical Score'!$M$29+1-'Historical Score'!$M$29)*(AQ379*'Historical Score'!$N$29+1-'Historical Score'!$N$29),0)</f>
        <v/>
      </c>
      <c r="BB379" s="3" t="n"/>
      <c r="BC379" s="3" t="n"/>
    </row>
    <row r="380" ht="15.75" customHeight="1" s="174">
      <c r="A380" s="3" t="inlineStr">
        <is>
          <t>5674172721</t>
        </is>
      </c>
      <c r="B380" s="3" t="inlineStr">
        <is>
          <t>W&amp;D AUTO SALES INC</t>
        </is>
      </c>
      <c r="C380" s="3" t="inlineStr">
        <is>
          <t>W&amp;D AUTO SALES INC</t>
        </is>
      </c>
      <c r="D380" s="3" t="inlineStr">
        <is>
          <t>In House Collection</t>
        </is>
      </c>
      <c r="E380" s="23" t="n">
        <v>45985</v>
      </c>
      <c r="F380" s="23" t="n">
        <v>46009</v>
      </c>
      <c r="G380" s="3" t="n">
        <v>2</v>
      </c>
      <c r="H380" s="3" t="inlineStr">
        <is>
          <t>5599</t>
        </is>
      </c>
      <c r="I380" s="3" t="inlineStr">
        <is>
          <t>55</t>
        </is>
      </c>
      <c r="J380" s="3" t="inlineStr">
        <is>
          <t>NC</t>
        </is>
      </c>
      <c r="K380" s="3" t="inlineStr">
        <is>
          <t>United Secured Capital 8</t>
        </is>
      </c>
      <c r="L380" s="3" t="inlineStr">
        <is>
          <t>Renewal</t>
        </is>
      </c>
      <c r="M380" s="3" t="n">
        <v>1.49</v>
      </c>
      <c r="N380" s="28" t="n">
        <v>45000</v>
      </c>
      <c r="O380" s="28" t="n">
        <v>0</v>
      </c>
      <c r="P380" s="28" t="n">
        <v>67050</v>
      </c>
      <c r="Q380" s="28" t="n">
        <v>3726.7</v>
      </c>
      <c r="R380" s="28" t="n">
        <v>63323.3</v>
      </c>
      <c r="S380" s="42" t="n">
        <v>0.0555809097688292</v>
      </c>
      <c r="T380" s="3" t="n">
        <v>36</v>
      </c>
      <c r="U380" s="3" t="n">
        <v>2</v>
      </c>
      <c r="V380" s="3" t="n">
        <v>78209.86</v>
      </c>
      <c r="W380" s="42" t="n">
        <v>0.0953</v>
      </c>
      <c r="X380" s="23" t="n"/>
      <c r="Y380" s="3">
        <f>IF(I380="","No SIC",IFERROR(VLOOKUP(I380,Ref!$A$2:$B$65,2,FALSE()),"Unclassified"))</f>
        <v/>
      </c>
      <c r="Z380" s="3">
        <f>IF(T380="","",IF(T380&lt;12,"Daily","Weekly"))</f>
        <v/>
      </c>
      <c r="AA380" s="3">
        <f>IF(T380="",0,IF(T380&lt;12,T380*Controls!$B$13,T380*5))</f>
        <v/>
      </c>
      <c r="AB380" s="3">
        <f>IF(E380="",0,NETWORKDAYS(E380,Controls!$B$20,Ref!$K$2:$K$42))</f>
        <v/>
      </c>
      <c r="AC380" s="3">
        <f>IF(OR(AF380=1,AND(AA380&gt;0,AB380&gt;=Controls!$B$23*AA380)),1,0)</f>
        <v/>
      </c>
      <c r="AD380" s="3">
        <f>IF(AND(E380&lt;&gt;"",E380&gt;=Controls!$B$21,E380&lt;=Controls!$B$22),1,0)</f>
        <v/>
      </c>
      <c r="AE380" s="3">
        <f>IF(IFERROR(VLOOKUP(D380,Controls!$A$36:$E$46,2,FALSE()),"No")="Yes",1,0)</f>
        <v/>
      </c>
      <c r="AF380" s="3">
        <f>IF(IFERROR(VLOOKUP(D380,Controls!$A$36:$E$46,3,FALSE()),"No")="Yes",1,0)</f>
        <v/>
      </c>
      <c r="AG380" s="3">
        <f>IF(IFERROR(VLOOKUP(D380,Controls!$A$36:$E$46,4,FALSE()),"No")="Yes",1,0)</f>
        <v/>
      </c>
      <c r="AH380" s="3">
        <f>IF(IFERROR(VLOOKUP(D380,Controls!$A$36:$E$46,5,FALSE()),"No")="Yes",1,0)</f>
        <v/>
      </c>
      <c r="AI380" s="3">
        <f>IF(ISNUMBER(MATCH(D380,Controls!$A$36:$A$46,0)),1,0)</f>
        <v/>
      </c>
      <c r="AJ380" s="28">
        <f>Q380-N380</f>
        <v/>
      </c>
      <c r="AK380" s="3">
        <f>IF(AE380=1,MAX(0,N380-Q380),0)</f>
        <v/>
      </c>
      <c r="AL380" s="3">
        <f>IF(OR(V380="",V380=0),0,N380/V380)</f>
        <v/>
      </c>
      <c r="AM380" s="3">
        <f>IF(OR(V380="",V380=0),0,1)</f>
        <v/>
      </c>
      <c r="AN380" s="3">
        <f>IF(OR(E380="",F380=""),0,NETWORKDAYS(E380,F380,Ref!$K$2:$K$42))</f>
        <v/>
      </c>
      <c r="AO380" s="3">
        <f>IF(L380="Renewal",1,0)</f>
        <v/>
      </c>
      <c r="AP380" s="3">
        <f>AC380*AD380</f>
        <v/>
      </c>
      <c r="AQ380" s="3">
        <f>IF(AND(G380&lt;&gt;"",'Historical Score'!$C$6&lt;&gt;""),IF(G380='Historical Score'!$C$6,1,0),0)</f>
        <v/>
      </c>
      <c r="AR380" s="3">
        <f>IF(AND(L380&lt;&gt;"",'Historical Score'!$C$5&lt;&gt;""),IF(L380='Historical Score'!$C$5,1,0),0)</f>
        <v/>
      </c>
      <c r="AS380" s="3">
        <f>IF(AND(Y380&lt;&gt;"",'Historical Score'!$C$7&lt;&gt;""),IF(Y380='Historical Score'!$C$7,1,0),0)</f>
        <v/>
      </c>
      <c r="AT380" s="3">
        <f>IF(AND(K380&lt;&gt;"",'Historical Score'!$C$8&lt;&gt;""),IF(K380='Historical Score'!$C$8,1,0),0)</f>
        <v/>
      </c>
      <c r="AU380" s="3" t="n"/>
      <c r="AV380" s="3" t="n"/>
      <c r="AW380" s="3" t="n"/>
      <c r="AX380" s="3" t="n"/>
      <c r="AY380" s="3" t="n"/>
      <c r="AZ380" s="3" t="n"/>
      <c r="BA380" s="182">
        <f>IF(AD380=1,(AR380*'Historical Score'!$K$29+1-'Historical Score'!$K$29)*(AT380*'Historical Score'!$L$29+1-'Historical Score'!$L$29)*(AS380*'Historical Score'!$M$29+1-'Historical Score'!$M$29)*(AQ380*'Historical Score'!$N$29+1-'Historical Score'!$N$29),0)</f>
        <v/>
      </c>
      <c r="BB380" s="3" t="n"/>
      <c r="BC380" s="3" t="n"/>
    </row>
    <row r="381" ht="15.75" customHeight="1" s="174">
      <c r="A381" s="3" t="inlineStr">
        <is>
          <t>5674172739</t>
        </is>
      </c>
      <c r="B381" s="3" t="inlineStr">
        <is>
          <t>Properties on the Go LLC</t>
        </is>
      </c>
      <c r="C381" s="3" t="inlineStr">
        <is>
          <t>Properties on the Go LLC</t>
        </is>
      </c>
      <c r="D381" s="3" t="inlineStr">
        <is>
          <t>Closed</t>
        </is>
      </c>
      <c r="E381" s="23" t="n">
        <v>45985</v>
      </c>
      <c r="F381" s="23" t="n">
        <v>46190</v>
      </c>
      <c r="G381" s="3" t="n">
        <v>1</v>
      </c>
      <c r="H381" s="3" t="inlineStr">
        <is>
          <t>7349</t>
        </is>
      </c>
      <c r="I381" s="3" t="inlineStr">
        <is>
          <t>73</t>
        </is>
      </c>
      <c r="J381" s="3" t="inlineStr">
        <is>
          <t>CA</t>
        </is>
      </c>
      <c r="K381" s="3" t="inlineStr">
        <is>
          <t>Tech Consulting Pro LLC D/B/A: Nationwide Advance</t>
        </is>
      </c>
      <c r="L381" s="3" t="inlineStr">
        <is>
          <t>Renewal</t>
        </is>
      </c>
      <c r="M381" s="3" t="n">
        <v>1.49</v>
      </c>
      <c r="N381" s="28" t="n">
        <v>65000</v>
      </c>
      <c r="O381" s="28" t="n">
        <v>9100</v>
      </c>
      <c r="P381" s="28" t="n">
        <v>96850</v>
      </c>
      <c r="Q381" s="28" t="n">
        <v>96850</v>
      </c>
      <c r="R381" s="28" t="n">
        <v>0</v>
      </c>
      <c r="S381" s="42" t="n">
        <v>1</v>
      </c>
      <c r="T381" s="3" t="n">
        <v>4.59</v>
      </c>
      <c r="U381" s="3" t="n">
        <v>0</v>
      </c>
      <c r="V381" s="3" t="n">
        <v>496879.88</v>
      </c>
      <c r="W381" s="42" t="n">
        <v>0.0292</v>
      </c>
      <c r="X381" s="23" t="n"/>
      <c r="Y381" s="3">
        <f>IF(I381="","No SIC",IFERROR(VLOOKUP(I381,Ref!$A$2:$B$65,2,FALSE()),"Unclassified"))</f>
        <v/>
      </c>
      <c r="Z381" s="3">
        <f>IF(T381="","",IF(T381&lt;12,"Daily","Weekly"))</f>
        <v/>
      </c>
      <c r="AA381" s="3">
        <f>IF(T381="",0,IF(T381&lt;12,T381*Controls!$B$13,T381*5))</f>
        <v/>
      </c>
      <c r="AB381" s="3">
        <f>IF(E381="",0,NETWORKDAYS(E381,Controls!$B$20,Ref!$K$2:$K$42))</f>
        <v/>
      </c>
      <c r="AC381" s="3">
        <f>IF(OR(AF381=1,AND(AA381&gt;0,AB381&gt;=Controls!$B$23*AA381)),1,0)</f>
        <v/>
      </c>
      <c r="AD381" s="3">
        <f>IF(AND(E381&lt;&gt;"",E381&gt;=Controls!$B$21,E381&lt;=Controls!$B$22),1,0)</f>
        <v/>
      </c>
      <c r="AE381" s="3">
        <f>IF(IFERROR(VLOOKUP(D381,Controls!$A$36:$E$46,2,FALSE()),"No")="Yes",1,0)</f>
        <v/>
      </c>
      <c r="AF381" s="3">
        <f>IF(IFERROR(VLOOKUP(D381,Controls!$A$36:$E$46,3,FALSE()),"No")="Yes",1,0)</f>
        <v/>
      </c>
      <c r="AG381" s="3">
        <f>IF(IFERROR(VLOOKUP(D381,Controls!$A$36:$E$46,4,FALSE()),"No")="Yes",1,0)</f>
        <v/>
      </c>
      <c r="AH381" s="3">
        <f>IF(IFERROR(VLOOKUP(D381,Controls!$A$36:$E$46,5,FALSE()),"No")="Yes",1,0)</f>
        <v/>
      </c>
      <c r="AI381" s="3">
        <f>IF(ISNUMBER(MATCH(D381,Controls!$A$36:$A$46,0)),1,0)</f>
        <v/>
      </c>
      <c r="AJ381" s="28">
        <f>Q381-N381</f>
        <v/>
      </c>
      <c r="AK381" s="3">
        <f>IF(AE381=1,MAX(0,N381-Q381),0)</f>
        <v/>
      </c>
      <c r="AL381" s="3">
        <f>IF(OR(V381="",V381=0),0,N381/V381)</f>
        <v/>
      </c>
      <c r="AM381" s="3">
        <f>IF(OR(V381="",V381=0),0,1)</f>
        <v/>
      </c>
      <c r="AN381" s="3">
        <f>IF(OR(E381="",F381=""),0,NETWORKDAYS(E381,F381,Ref!$K$2:$K$42))</f>
        <v/>
      </c>
      <c r="AO381" s="3">
        <f>IF(L381="Renewal",1,0)</f>
        <v/>
      </c>
      <c r="AP381" s="3">
        <f>AC381*AD381</f>
        <v/>
      </c>
      <c r="AQ381" s="3">
        <f>IF(AND(G381&lt;&gt;"",'Historical Score'!$C$6&lt;&gt;""),IF(G381='Historical Score'!$C$6,1,0),0)</f>
        <v/>
      </c>
      <c r="AR381" s="3">
        <f>IF(AND(L381&lt;&gt;"",'Historical Score'!$C$5&lt;&gt;""),IF(L381='Historical Score'!$C$5,1,0),0)</f>
        <v/>
      </c>
      <c r="AS381" s="3">
        <f>IF(AND(Y381&lt;&gt;"",'Historical Score'!$C$7&lt;&gt;""),IF(Y381='Historical Score'!$C$7,1,0),0)</f>
        <v/>
      </c>
      <c r="AT381" s="3">
        <f>IF(AND(K381&lt;&gt;"",'Historical Score'!$C$8&lt;&gt;""),IF(K381='Historical Score'!$C$8,1,0),0)</f>
        <v/>
      </c>
      <c r="AU381" s="3" t="n"/>
      <c r="AV381" s="3" t="n"/>
      <c r="AW381" s="3" t="n"/>
      <c r="AX381" s="3" t="n"/>
      <c r="AY381" s="3" t="n"/>
      <c r="AZ381" s="3" t="n"/>
      <c r="BA381" s="182">
        <f>IF(AD381=1,(AR381*'Historical Score'!$K$29+1-'Historical Score'!$K$29)*(AT381*'Historical Score'!$L$29+1-'Historical Score'!$L$29)*(AS381*'Historical Score'!$M$29+1-'Historical Score'!$M$29)*(AQ381*'Historical Score'!$N$29+1-'Historical Score'!$N$29),0)</f>
        <v/>
      </c>
      <c r="BB381" s="3" t="n"/>
      <c r="BC381" s="3" t="n"/>
    </row>
    <row r="382" ht="15.75" customHeight="1" s="174">
      <c r="A382" s="3" t="inlineStr">
        <is>
          <t>5674172769</t>
        </is>
      </c>
      <c r="B382" s="3" t="inlineStr">
        <is>
          <t>PAYPERCALL.IO</t>
        </is>
      </c>
      <c r="C382" s="3" t="inlineStr">
        <is>
          <t>ARTLIVESTUDIOS</t>
        </is>
      </c>
      <c r="D382" s="3" t="inlineStr">
        <is>
          <t>Legal</t>
        </is>
      </c>
      <c r="E382" s="23" t="n">
        <v>45985</v>
      </c>
      <c r="F382" s="23" t="n">
        <v>46108</v>
      </c>
      <c r="G382" s="3" t="n">
        <v>1</v>
      </c>
      <c r="H382" s="3" t="inlineStr">
        <is>
          <t>5999</t>
        </is>
      </c>
      <c r="I382" s="3" t="inlineStr">
        <is>
          <t>59</t>
        </is>
      </c>
      <c r="J382" s="3" t="inlineStr">
        <is>
          <t>NC</t>
        </is>
      </c>
      <c r="K382" s="3" t="inlineStr">
        <is>
          <t>Fundible</t>
        </is>
      </c>
      <c r="L382" s="3" t="inlineStr">
        <is>
          <t>New Deal</t>
        </is>
      </c>
      <c r="M382" s="3" t="n">
        <v>1.499</v>
      </c>
      <c r="N382" s="28" t="n">
        <v>16000</v>
      </c>
      <c r="O382" s="28" t="n">
        <v>2240</v>
      </c>
      <c r="P382" s="28" t="n">
        <v>23984</v>
      </c>
      <c r="Q382" s="28" t="n">
        <v>3926.56</v>
      </c>
      <c r="R382" s="28" t="n">
        <v>20057.44</v>
      </c>
      <c r="S382" s="42" t="n">
        <v>0.16371581054036</v>
      </c>
      <c r="T382" s="3" t="n">
        <v>25</v>
      </c>
      <c r="U382" s="3" t="n">
        <v>13</v>
      </c>
      <c r="V382" s="3" t="n">
        <v>31082.6</v>
      </c>
      <c r="W382" s="42" t="n">
        <v>0.1227</v>
      </c>
      <c r="X382" s="23" t="n">
        <v>43831</v>
      </c>
      <c r="Y382" s="3">
        <f>IF(I382="","No SIC",IFERROR(VLOOKUP(I382,Ref!$A$2:$B$65,2,FALSE()),"Unclassified"))</f>
        <v/>
      </c>
      <c r="Z382" s="3">
        <f>IF(T382="","",IF(T382&lt;12,"Daily","Weekly"))</f>
        <v/>
      </c>
      <c r="AA382" s="3">
        <f>IF(T382="",0,IF(T382&lt;12,T382*Controls!$B$13,T382*5))</f>
        <v/>
      </c>
      <c r="AB382" s="3">
        <f>IF(E382="",0,NETWORKDAYS(E382,Controls!$B$20,Ref!$K$2:$K$42))</f>
        <v/>
      </c>
      <c r="AC382" s="3">
        <f>IF(OR(AF382=1,AND(AA382&gt;0,AB382&gt;=Controls!$B$23*AA382)),1,0)</f>
        <v/>
      </c>
      <c r="AD382" s="3">
        <f>IF(AND(E382&lt;&gt;"",E382&gt;=Controls!$B$21,E382&lt;=Controls!$B$22),1,0)</f>
        <v/>
      </c>
      <c r="AE382" s="3">
        <f>IF(IFERROR(VLOOKUP(D382,Controls!$A$36:$E$46,2,FALSE()),"No")="Yes",1,0)</f>
        <v/>
      </c>
      <c r="AF382" s="3">
        <f>IF(IFERROR(VLOOKUP(D382,Controls!$A$36:$E$46,3,FALSE()),"No")="Yes",1,0)</f>
        <v/>
      </c>
      <c r="AG382" s="3">
        <f>IF(IFERROR(VLOOKUP(D382,Controls!$A$36:$E$46,4,FALSE()),"No")="Yes",1,0)</f>
        <v/>
      </c>
      <c r="AH382" s="3">
        <f>IF(IFERROR(VLOOKUP(D382,Controls!$A$36:$E$46,5,FALSE()),"No")="Yes",1,0)</f>
        <v/>
      </c>
      <c r="AI382" s="3">
        <f>IF(ISNUMBER(MATCH(D382,Controls!$A$36:$A$46,0)),1,0)</f>
        <v/>
      </c>
      <c r="AJ382" s="28">
        <f>Q382-N382</f>
        <v/>
      </c>
      <c r="AK382" s="3">
        <f>IF(AE382=1,MAX(0,N382-Q382),0)</f>
        <v/>
      </c>
      <c r="AL382" s="3">
        <f>IF(OR(V382="",V382=0),0,N382/V382)</f>
        <v/>
      </c>
      <c r="AM382" s="3">
        <f>IF(OR(V382="",V382=0),0,1)</f>
        <v/>
      </c>
      <c r="AN382" s="3">
        <f>IF(OR(E382="",F382=""),0,NETWORKDAYS(E382,F382,Ref!$K$2:$K$42))</f>
        <v/>
      </c>
      <c r="AO382" s="3">
        <f>IF(L382="Renewal",1,0)</f>
        <v/>
      </c>
      <c r="AP382" s="3">
        <f>AC382*AD382</f>
        <v/>
      </c>
      <c r="AQ382" s="3">
        <f>IF(AND(G382&lt;&gt;"",'Historical Score'!$C$6&lt;&gt;""),IF(G382='Historical Score'!$C$6,1,0),0)</f>
        <v/>
      </c>
      <c r="AR382" s="3">
        <f>IF(AND(L382&lt;&gt;"",'Historical Score'!$C$5&lt;&gt;""),IF(L382='Historical Score'!$C$5,1,0),0)</f>
        <v/>
      </c>
      <c r="AS382" s="3">
        <f>IF(AND(Y382&lt;&gt;"",'Historical Score'!$C$7&lt;&gt;""),IF(Y382='Historical Score'!$C$7,1,0),0)</f>
        <v/>
      </c>
      <c r="AT382" s="3">
        <f>IF(AND(K382&lt;&gt;"",'Historical Score'!$C$8&lt;&gt;""),IF(K382='Historical Score'!$C$8,1,0),0)</f>
        <v/>
      </c>
      <c r="AU382" s="3" t="n"/>
      <c r="AV382" s="3" t="n"/>
      <c r="AW382" s="3" t="n"/>
      <c r="AX382" s="3" t="n"/>
      <c r="AY382" s="3" t="n"/>
      <c r="AZ382" s="3" t="n"/>
      <c r="BA382" s="182">
        <f>IF(AD382=1,(AR382*'Historical Score'!$K$29+1-'Historical Score'!$K$29)*(AT382*'Historical Score'!$L$29+1-'Historical Score'!$L$29)*(AS382*'Historical Score'!$M$29+1-'Historical Score'!$M$29)*(AQ382*'Historical Score'!$N$29+1-'Historical Score'!$N$29),0)</f>
        <v/>
      </c>
      <c r="BB382" s="3" t="n"/>
      <c r="BC382" s="3" t="n"/>
    </row>
    <row r="383" ht="15.75" customHeight="1" s="174">
      <c r="A383" s="3" t="inlineStr">
        <is>
          <t>5674172792</t>
        </is>
      </c>
      <c r="B383" s="3" t="inlineStr">
        <is>
          <t>Recovery Ranch</t>
        </is>
      </c>
      <c r="C383" s="3" t="inlineStr">
        <is>
          <t>RECOVERY RANCH LLC</t>
        </is>
      </c>
      <c r="D383" s="3" t="inlineStr">
        <is>
          <t>Closed</t>
        </is>
      </c>
      <c r="E383" s="23" t="n">
        <v>45986</v>
      </c>
      <c r="F383" s="23" t="n">
        <v>46224</v>
      </c>
      <c r="G383" s="3" t="n">
        <v>1</v>
      </c>
      <c r="H383" s="3" t="inlineStr">
        <is>
          <t>6361</t>
        </is>
      </c>
      <c r="I383" s="3" t="inlineStr">
        <is>
          <t>63</t>
        </is>
      </c>
      <c r="J383" s="3" t="inlineStr">
        <is>
          <t>OH</t>
        </is>
      </c>
      <c r="K383" s="3" t="inlineStr">
        <is>
          <t>Shore Funding USA</t>
        </is>
      </c>
      <c r="L383" s="3" t="inlineStr">
        <is>
          <t>New Deal</t>
        </is>
      </c>
      <c r="M383" s="3" t="n">
        <v>1.37</v>
      </c>
      <c r="N383" s="28" t="n">
        <v>60000</v>
      </c>
      <c r="O383" s="28" t="n">
        <v>4800</v>
      </c>
      <c r="P383" s="28" t="n">
        <v>82200</v>
      </c>
      <c r="Q383" s="28" t="n">
        <v>82200</v>
      </c>
      <c r="R383" s="28" t="n">
        <v>0</v>
      </c>
      <c r="S383" s="42" t="n">
        <v>1</v>
      </c>
      <c r="T383" s="3" t="n">
        <v>32</v>
      </c>
      <c r="U383" s="3" t="n">
        <v>0</v>
      </c>
      <c r="V383" s="3" t="n">
        <v>94249.28</v>
      </c>
      <c r="W383" s="42" t="n">
        <v>0.109</v>
      </c>
      <c r="X383" s="23" t="n">
        <v>44938</v>
      </c>
      <c r="Y383" s="3">
        <f>IF(I383="","No SIC",IFERROR(VLOOKUP(I383,Ref!$A$2:$B$65,2,FALSE()),"Unclassified"))</f>
        <v/>
      </c>
      <c r="Z383" s="3">
        <f>IF(T383="","",IF(T383&lt;12,"Daily","Weekly"))</f>
        <v/>
      </c>
      <c r="AA383" s="3">
        <f>IF(T383="",0,IF(T383&lt;12,T383*Controls!$B$13,T383*5))</f>
        <v/>
      </c>
      <c r="AB383" s="3">
        <f>IF(E383="",0,NETWORKDAYS(E383,Controls!$B$20,Ref!$K$2:$K$42))</f>
        <v/>
      </c>
      <c r="AC383" s="3">
        <f>IF(OR(AF383=1,AND(AA383&gt;0,AB383&gt;=Controls!$B$23*AA383)),1,0)</f>
        <v/>
      </c>
      <c r="AD383" s="3">
        <f>IF(AND(E383&lt;&gt;"",E383&gt;=Controls!$B$21,E383&lt;=Controls!$B$22),1,0)</f>
        <v/>
      </c>
      <c r="AE383" s="3">
        <f>IF(IFERROR(VLOOKUP(D383,Controls!$A$36:$E$46,2,FALSE()),"No")="Yes",1,0)</f>
        <v/>
      </c>
      <c r="AF383" s="3">
        <f>IF(IFERROR(VLOOKUP(D383,Controls!$A$36:$E$46,3,FALSE()),"No")="Yes",1,0)</f>
        <v/>
      </c>
      <c r="AG383" s="3">
        <f>IF(IFERROR(VLOOKUP(D383,Controls!$A$36:$E$46,4,FALSE()),"No")="Yes",1,0)</f>
        <v/>
      </c>
      <c r="AH383" s="3">
        <f>IF(IFERROR(VLOOKUP(D383,Controls!$A$36:$E$46,5,FALSE()),"No")="Yes",1,0)</f>
        <v/>
      </c>
      <c r="AI383" s="3">
        <f>IF(ISNUMBER(MATCH(D383,Controls!$A$36:$A$46,0)),1,0)</f>
        <v/>
      </c>
      <c r="AJ383" s="28">
        <f>Q383-N383</f>
        <v/>
      </c>
      <c r="AK383" s="3">
        <f>IF(AE383=1,MAX(0,N383-Q383),0)</f>
        <v/>
      </c>
      <c r="AL383" s="3">
        <f>IF(OR(V383="",V383=0),0,N383/V383)</f>
        <v/>
      </c>
      <c r="AM383" s="3">
        <f>IF(OR(V383="",V383=0),0,1)</f>
        <v/>
      </c>
      <c r="AN383" s="3">
        <f>IF(OR(E383="",F383=""),0,NETWORKDAYS(E383,F383,Ref!$K$2:$K$42))</f>
        <v/>
      </c>
      <c r="AO383" s="3">
        <f>IF(L383="Renewal",1,0)</f>
        <v/>
      </c>
      <c r="AP383" s="3">
        <f>AC383*AD383</f>
        <v/>
      </c>
      <c r="AQ383" s="3">
        <f>IF(AND(G383&lt;&gt;"",'Historical Score'!$C$6&lt;&gt;""),IF(G383='Historical Score'!$C$6,1,0),0)</f>
        <v/>
      </c>
      <c r="AR383" s="3">
        <f>IF(AND(L383&lt;&gt;"",'Historical Score'!$C$5&lt;&gt;""),IF(L383='Historical Score'!$C$5,1,0),0)</f>
        <v/>
      </c>
      <c r="AS383" s="3">
        <f>IF(AND(Y383&lt;&gt;"",'Historical Score'!$C$7&lt;&gt;""),IF(Y383='Historical Score'!$C$7,1,0),0)</f>
        <v/>
      </c>
      <c r="AT383" s="3">
        <f>IF(AND(K383&lt;&gt;"",'Historical Score'!$C$8&lt;&gt;""),IF(K383='Historical Score'!$C$8,1,0),0)</f>
        <v/>
      </c>
      <c r="AU383" s="3" t="n"/>
      <c r="AV383" s="3" t="n"/>
      <c r="AW383" s="3" t="n"/>
      <c r="AX383" s="3" t="n"/>
      <c r="AY383" s="3" t="n"/>
      <c r="AZ383" s="3" t="n"/>
      <c r="BA383" s="182">
        <f>IF(AD383=1,(AR383*'Historical Score'!$K$29+1-'Historical Score'!$K$29)*(AT383*'Historical Score'!$L$29+1-'Historical Score'!$L$29)*(AS383*'Historical Score'!$M$29+1-'Historical Score'!$M$29)*(AQ383*'Historical Score'!$N$29+1-'Historical Score'!$N$29),0)</f>
        <v/>
      </c>
      <c r="BB383" s="3" t="n"/>
      <c r="BC383" s="3" t="n"/>
    </row>
    <row r="384" ht="15.75" customHeight="1" s="174">
      <c r="A384" s="3" t="inlineStr">
        <is>
          <t>5674172805</t>
        </is>
      </c>
      <c r="B384" s="3" t="inlineStr">
        <is>
          <t>Bass Unique Services</t>
        </is>
      </c>
      <c r="C384" s="3" t="inlineStr">
        <is>
          <t>Bass Unique Services</t>
        </is>
      </c>
      <c r="D384" s="3" t="inlineStr">
        <is>
          <t>In House Collection</t>
        </is>
      </c>
      <c r="E384" s="23" t="n">
        <v>45986</v>
      </c>
      <c r="F384" s="23" t="n">
        <v>46099</v>
      </c>
      <c r="G384" s="3" t="n">
        <v>3</v>
      </c>
      <c r="H384" s="3" t="inlineStr">
        <is>
          <t>1521</t>
        </is>
      </c>
      <c r="I384" s="3" t="inlineStr">
        <is>
          <t>15</t>
        </is>
      </c>
      <c r="J384" s="3" t="inlineStr">
        <is>
          <t>FL</t>
        </is>
      </c>
      <c r="K384" s="3" t="inlineStr">
        <is>
          <t>WOTR Enterprise LLC</t>
        </is>
      </c>
      <c r="L384" s="3" t="inlineStr">
        <is>
          <t>Renewal</t>
        </is>
      </c>
      <c r="M384" s="3" t="n">
        <v>1.499</v>
      </c>
      <c r="N384" s="28" t="n">
        <v>28000</v>
      </c>
      <c r="O384" s="28" t="n">
        <v>3920</v>
      </c>
      <c r="P384" s="28" t="n">
        <v>41972</v>
      </c>
      <c r="Q384" s="28" t="n">
        <v>8299.48</v>
      </c>
      <c r="R384" s="28" t="n">
        <v>33672.52</v>
      </c>
      <c r="S384" s="42" t="n">
        <v>0.197738492328219</v>
      </c>
      <c r="T384" s="3" t="n">
        <v>24</v>
      </c>
      <c r="U384" s="3" t="n">
        <v>18</v>
      </c>
      <c r="V384" s="3" t="n">
        <v>50449.57</v>
      </c>
      <c r="W384" s="42" t="n">
        <v>0.1226</v>
      </c>
      <c r="X384" s="23" t="n">
        <v>43647</v>
      </c>
      <c r="Y384" s="3">
        <f>IF(I384="","No SIC",IFERROR(VLOOKUP(I384,Ref!$A$2:$B$65,2,FALSE()),"Unclassified"))</f>
        <v/>
      </c>
      <c r="Z384" s="3">
        <f>IF(T384="","",IF(T384&lt;12,"Daily","Weekly"))</f>
        <v/>
      </c>
      <c r="AA384" s="3">
        <f>IF(T384="",0,IF(T384&lt;12,T384*Controls!$B$13,T384*5))</f>
        <v/>
      </c>
      <c r="AB384" s="3">
        <f>IF(E384="",0,NETWORKDAYS(E384,Controls!$B$20,Ref!$K$2:$K$42))</f>
        <v/>
      </c>
      <c r="AC384" s="3">
        <f>IF(OR(AF384=1,AND(AA384&gt;0,AB384&gt;=Controls!$B$23*AA384)),1,0)</f>
        <v/>
      </c>
      <c r="AD384" s="3">
        <f>IF(AND(E384&lt;&gt;"",E384&gt;=Controls!$B$21,E384&lt;=Controls!$B$22),1,0)</f>
        <v/>
      </c>
      <c r="AE384" s="3">
        <f>IF(IFERROR(VLOOKUP(D384,Controls!$A$36:$E$46,2,FALSE()),"No")="Yes",1,0)</f>
        <v/>
      </c>
      <c r="AF384" s="3">
        <f>IF(IFERROR(VLOOKUP(D384,Controls!$A$36:$E$46,3,FALSE()),"No")="Yes",1,0)</f>
        <v/>
      </c>
      <c r="AG384" s="3">
        <f>IF(IFERROR(VLOOKUP(D384,Controls!$A$36:$E$46,4,FALSE()),"No")="Yes",1,0)</f>
        <v/>
      </c>
      <c r="AH384" s="3">
        <f>IF(IFERROR(VLOOKUP(D384,Controls!$A$36:$E$46,5,FALSE()),"No")="Yes",1,0)</f>
        <v/>
      </c>
      <c r="AI384" s="3">
        <f>IF(ISNUMBER(MATCH(D384,Controls!$A$36:$A$46,0)),1,0)</f>
        <v/>
      </c>
      <c r="AJ384" s="28">
        <f>Q384-N384</f>
        <v/>
      </c>
      <c r="AK384" s="3">
        <f>IF(AE384=1,MAX(0,N384-Q384),0)</f>
        <v/>
      </c>
      <c r="AL384" s="3">
        <f>IF(OR(V384="",V384=0),0,N384/V384)</f>
        <v/>
      </c>
      <c r="AM384" s="3">
        <f>IF(OR(V384="",V384=0),0,1)</f>
        <v/>
      </c>
      <c r="AN384" s="3">
        <f>IF(OR(E384="",F384=""),0,NETWORKDAYS(E384,F384,Ref!$K$2:$K$42))</f>
        <v/>
      </c>
      <c r="AO384" s="3">
        <f>IF(L384="Renewal",1,0)</f>
        <v/>
      </c>
      <c r="AP384" s="3">
        <f>AC384*AD384</f>
        <v/>
      </c>
      <c r="AQ384" s="3">
        <f>IF(AND(G384&lt;&gt;"",'Historical Score'!$C$6&lt;&gt;""),IF(G384='Historical Score'!$C$6,1,0),0)</f>
        <v/>
      </c>
      <c r="AR384" s="3">
        <f>IF(AND(L384&lt;&gt;"",'Historical Score'!$C$5&lt;&gt;""),IF(L384='Historical Score'!$C$5,1,0),0)</f>
        <v/>
      </c>
      <c r="AS384" s="3">
        <f>IF(AND(Y384&lt;&gt;"",'Historical Score'!$C$7&lt;&gt;""),IF(Y384='Historical Score'!$C$7,1,0),0)</f>
        <v/>
      </c>
      <c r="AT384" s="3">
        <f>IF(AND(K384&lt;&gt;"",'Historical Score'!$C$8&lt;&gt;""),IF(K384='Historical Score'!$C$8,1,0),0)</f>
        <v/>
      </c>
      <c r="AU384" s="3" t="n"/>
      <c r="AV384" s="3" t="n"/>
      <c r="AW384" s="3" t="n"/>
      <c r="AX384" s="3" t="n"/>
      <c r="AY384" s="3" t="n"/>
      <c r="AZ384" s="3" t="n"/>
      <c r="BA384" s="182">
        <f>IF(AD384=1,(AR384*'Historical Score'!$K$29+1-'Historical Score'!$K$29)*(AT384*'Historical Score'!$L$29+1-'Historical Score'!$L$29)*(AS384*'Historical Score'!$M$29+1-'Historical Score'!$M$29)*(AQ384*'Historical Score'!$N$29+1-'Historical Score'!$N$29),0)</f>
        <v/>
      </c>
      <c r="BB384" s="3" t="n"/>
      <c r="BC384" s="3" t="n"/>
    </row>
    <row r="385" ht="15.75" customHeight="1" s="174">
      <c r="A385" s="3" t="inlineStr">
        <is>
          <t>5674172827</t>
        </is>
      </c>
      <c r="B385" s="3" t="inlineStr">
        <is>
          <t>TAQUERIA Y ANTOJITOS EL GUANACO LLC</t>
        </is>
      </c>
      <c r="C385" s="3" t="inlineStr">
        <is>
          <t>TAQUERIA Y ANTOJITOS EL GUANACO LLC</t>
        </is>
      </c>
      <c r="D385" s="3" t="inlineStr">
        <is>
          <t>Written-Off</t>
        </is>
      </c>
      <c r="E385" s="23" t="n">
        <v>45986</v>
      </c>
      <c r="F385" s="23" t="n">
        <v>46177</v>
      </c>
      <c r="G385" s="3" t="n">
        <v>3</v>
      </c>
      <c r="H385" s="3" t="inlineStr">
        <is>
          <t>5812</t>
        </is>
      </c>
      <c r="I385" s="3" t="inlineStr">
        <is>
          <t>58</t>
        </is>
      </c>
      <c r="J385" s="3" t="inlineStr">
        <is>
          <t>FL</t>
        </is>
      </c>
      <c r="K385" s="3" t="inlineStr">
        <is>
          <t>PMF</t>
        </is>
      </c>
      <c r="L385" s="3" t="inlineStr">
        <is>
          <t>Renewal</t>
        </is>
      </c>
      <c r="M385" s="3" t="n">
        <v>1.499</v>
      </c>
      <c r="N385" s="28" t="n">
        <v>40000</v>
      </c>
      <c r="O385" s="28" t="n">
        <v>5600</v>
      </c>
      <c r="P385" s="28" t="n">
        <v>59960</v>
      </c>
      <c r="Q385" s="28" t="n">
        <v>58680.32</v>
      </c>
      <c r="R385" s="28" t="n">
        <v>1279.68000000001</v>
      </c>
      <c r="S385" s="42" t="n">
        <v>0.978657771847899</v>
      </c>
      <c r="T385" s="3" t="n">
        <v>4.262</v>
      </c>
      <c r="U385" s="3" t="n">
        <v>3</v>
      </c>
      <c r="V385" s="3" t="n">
        <v>138520.32</v>
      </c>
      <c r="W385" s="42" t="n">
        <v>0.06950000000000001</v>
      </c>
      <c r="X385" s="23" t="n">
        <v>42430</v>
      </c>
      <c r="Y385" s="3">
        <f>IF(I385="","No SIC",IFERROR(VLOOKUP(I385,Ref!$A$2:$B$65,2,FALSE()),"Unclassified"))</f>
        <v/>
      </c>
      <c r="Z385" s="3">
        <f>IF(T385="","",IF(T385&lt;12,"Daily","Weekly"))</f>
        <v/>
      </c>
      <c r="AA385" s="3">
        <f>IF(T385="",0,IF(T385&lt;12,T385*Controls!$B$13,T385*5))</f>
        <v/>
      </c>
      <c r="AB385" s="3">
        <f>IF(E385="",0,NETWORKDAYS(E385,Controls!$B$20,Ref!$K$2:$K$42))</f>
        <v/>
      </c>
      <c r="AC385" s="3">
        <f>IF(OR(AF385=1,AND(AA385&gt;0,AB385&gt;=Controls!$B$23*AA385)),1,0)</f>
        <v/>
      </c>
      <c r="AD385" s="3">
        <f>IF(AND(E385&lt;&gt;"",E385&gt;=Controls!$B$21,E385&lt;=Controls!$B$22),1,0)</f>
        <v/>
      </c>
      <c r="AE385" s="3">
        <f>IF(IFERROR(VLOOKUP(D385,Controls!$A$36:$E$46,2,FALSE()),"No")="Yes",1,0)</f>
        <v/>
      </c>
      <c r="AF385" s="3">
        <f>IF(IFERROR(VLOOKUP(D385,Controls!$A$36:$E$46,3,FALSE()),"No")="Yes",1,0)</f>
        <v/>
      </c>
      <c r="AG385" s="3">
        <f>IF(IFERROR(VLOOKUP(D385,Controls!$A$36:$E$46,4,FALSE()),"No")="Yes",1,0)</f>
        <v/>
      </c>
      <c r="AH385" s="3">
        <f>IF(IFERROR(VLOOKUP(D385,Controls!$A$36:$E$46,5,FALSE()),"No")="Yes",1,0)</f>
        <v/>
      </c>
      <c r="AI385" s="3">
        <f>IF(ISNUMBER(MATCH(D385,Controls!$A$36:$A$46,0)),1,0)</f>
        <v/>
      </c>
      <c r="AJ385" s="28">
        <f>Q385-N385</f>
        <v/>
      </c>
      <c r="AK385" s="3">
        <f>IF(AE385=1,MAX(0,N385-Q385),0)</f>
        <v/>
      </c>
      <c r="AL385" s="3">
        <f>IF(OR(V385="",V385=0),0,N385/V385)</f>
        <v/>
      </c>
      <c r="AM385" s="3">
        <f>IF(OR(V385="",V385=0),0,1)</f>
        <v/>
      </c>
      <c r="AN385" s="3">
        <f>IF(OR(E385="",F385=""),0,NETWORKDAYS(E385,F385,Ref!$K$2:$K$42))</f>
        <v/>
      </c>
      <c r="AO385" s="3">
        <f>IF(L385="Renewal",1,0)</f>
        <v/>
      </c>
      <c r="AP385" s="3">
        <f>AC385*AD385</f>
        <v/>
      </c>
      <c r="AQ385" s="3">
        <f>IF(AND(G385&lt;&gt;"",'Historical Score'!$C$6&lt;&gt;""),IF(G385='Historical Score'!$C$6,1,0),0)</f>
        <v/>
      </c>
      <c r="AR385" s="3">
        <f>IF(AND(L385&lt;&gt;"",'Historical Score'!$C$5&lt;&gt;""),IF(L385='Historical Score'!$C$5,1,0),0)</f>
        <v/>
      </c>
      <c r="AS385" s="3">
        <f>IF(AND(Y385&lt;&gt;"",'Historical Score'!$C$7&lt;&gt;""),IF(Y385='Historical Score'!$C$7,1,0),0)</f>
        <v/>
      </c>
      <c r="AT385" s="3">
        <f>IF(AND(K385&lt;&gt;"",'Historical Score'!$C$8&lt;&gt;""),IF(K385='Historical Score'!$C$8,1,0),0)</f>
        <v/>
      </c>
      <c r="AU385" s="3" t="n"/>
      <c r="AV385" s="3" t="n"/>
      <c r="AW385" s="3" t="n"/>
      <c r="AX385" s="3" t="n"/>
      <c r="AY385" s="3" t="n"/>
      <c r="AZ385" s="3" t="n"/>
      <c r="BA385" s="182">
        <f>IF(AD385=1,(AR385*'Historical Score'!$K$29+1-'Historical Score'!$K$29)*(AT385*'Historical Score'!$L$29+1-'Historical Score'!$L$29)*(AS385*'Historical Score'!$M$29+1-'Historical Score'!$M$29)*(AQ385*'Historical Score'!$N$29+1-'Historical Score'!$N$29),0)</f>
        <v/>
      </c>
      <c r="BB385" s="3" t="n"/>
      <c r="BC385" s="3" t="n"/>
    </row>
    <row r="386" ht="15.75" customHeight="1" s="174">
      <c r="A386" s="3" t="inlineStr">
        <is>
          <t>5674172831</t>
        </is>
      </c>
      <c r="B386" s="3" t="inlineStr">
        <is>
          <t>PROFIX</t>
        </is>
      </c>
      <c r="C386" s="3" t="inlineStr">
        <is>
          <t>MXCONCEPTS LLC</t>
        </is>
      </c>
      <c r="D386" s="3" t="inlineStr">
        <is>
          <t>Open</t>
        </is>
      </c>
      <c r="E386" s="23" t="n">
        <v>45986</v>
      </c>
      <c r="F386" s="23" t="n">
        <v>46251</v>
      </c>
      <c r="G386" s="3" t="n">
        <v>2</v>
      </c>
      <c r="H386" s="3" t="inlineStr">
        <is>
          <t>1521</t>
        </is>
      </c>
      <c r="I386" s="3" t="inlineStr">
        <is>
          <t>15</t>
        </is>
      </c>
      <c r="J386" s="3" t="inlineStr">
        <is>
          <t>TX</t>
        </is>
      </c>
      <c r="K386" s="3" t="inlineStr">
        <is>
          <t>Platform Funding</t>
        </is>
      </c>
      <c r="L386" s="3" t="inlineStr">
        <is>
          <t>New Deal</t>
        </is>
      </c>
      <c r="M386" s="3" t="n">
        <v>1.499</v>
      </c>
      <c r="N386" s="28" t="n">
        <v>20000</v>
      </c>
      <c r="O386" s="28" t="n">
        <v>2800</v>
      </c>
      <c r="P386" s="28" t="n">
        <v>29980</v>
      </c>
      <c r="Q386" s="28" t="n">
        <v>25246.76</v>
      </c>
      <c r="R386" s="28" t="n">
        <v>4733.24000000001</v>
      </c>
      <c r="S386" s="42" t="n">
        <v>0.842120080053369</v>
      </c>
      <c r="T386" s="3" t="n">
        <v>26</v>
      </c>
      <c r="U386" s="3" t="n">
        <v>15</v>
      </c>
      <c r="V386" s="3" t="n">
        <v>185093.76</v>
      </c>
      <c r="W386" s="42" t="n">
        <v>0.0248</v>
      </c>
      <c r="X386" s="23" t="n">
        <v>45064</v>
      </c>
      <c r="Y386" s="3">
        <f>IF(I386="","No SIC",IFERROR(VLOOKUP(I386,Ref!$A$2:$B$65,2,FALSE()),"Unclassified"))</f>
        <v/>
      </c>
      <c r="Z386" s="3">
        <f>IF(T386="","",IF(T386&lt;12,"Daily","Weekly"))</f>
        <v/>
      </c>
      <c r="AA386" s="3">
        <f>IF(T386="",0,IF(T386&lt;12,T386*Controls!$B$13,T386*5))</f>
        <v/>
      </c>
      <c r="AB386" s="3">
        <f>IF(E386="",0,NETWORKDAYS(E386,Controls!$B$20,Ref!$K$2:$K$42))</f>
        <v/>
      </c>
      <c r="AC386" s="3">
        <f>IF(OR(AF386=1,AND(AA386&gt;0,AB386&gt;=Controls!$B$23*AA386)),1,0)</f>
        <v/>
      </c>
      <c r="AD386" s="3">
        <f>IF(AND(E386&lt;&gt;"",E386&gt;=Controls!$B$21,E386&lt;=Controls!$B$22),1,0)</f>
        <v/>
      </c>
      <c r="AE386" s="3">
        <f>IF(IFERROR(VLOOKUP(D386,Controls!$A$36:$E$46,2,FALSE()),"No")="Yes",1,0)</f>
        <v/>
      </c>
      <c r="AF386" s="3">
        <f>IF(IFERROR(VLOOKUP(D386,Controls!$A$36:$E$46,3,FALSE()),"No")="Yes",1,0)</f>
        <v/>
      </c>
      <c r="AG386" s="3">
        <f>IF(IFERROR(VLOOKUP(D386,Controls!$A$36:$E$46,4,FALSE()),"No")="Yes",1,0)</f>
        <v/>
      </c>
      <c r="AH386" s="3">
        <f>IF(IFERROR(VLOOKUP(D386,Controls!$A$36:$E$46,5,FALSE()),"No")="Yes",1,0)</f>
        <v/>
      </c>
      <c r="AI386" s="3">
        <f>IF(ISNUMBER(MATCH(D386,Controls!$A$36:$A$46,0)),1,0)</f>
        <v/>
      </c>
      <c r="AJ386" s="28">
        <f>Q386-N386</f>
        <v/>
      </c>
      <c r="AK386" s="3">
        <f>IF(AE386=1,MAX(0,N386-Q386),0)</f>
        <v/>
      </c>
      <c r="AL386" s="3">
        <f>IF(OR(V386="",V386=0),0,N386/V386)</f>
        <v/>
      </c>
      <c r="AM386" s="3">
        <f>IF(OR(V386="",V386=0),0,1)</f>
        <v/>
      </c>
      <c r="AN386" s="3">
        <f>IF(OR(E386="",F386=""),0,NETWORKDAYS(E386,F386,Ref!$K$2:$K$42))</f>
        <v/>
      </c>
      <c r="AO386" s="3">
        <f>IF(L386="Renewal",1,0)</f>
        <v/>
      </c>
      <c r="AP386" s="3">
        <f>AC386*AD386</f>
        <v/>
      </c>
      <c r="AQ386" s="3">
        <f>IF(AND(G386&lt;&gt;"",'Historical Score'!$C$6&lt;&gt;""),IF(G386='Historical Score'!$C$6,1,0),0)</f>
        <v/>
      </c>
      <c r="AR386" s="3">
        <f>IF(AND(L386&lt;&gt;"",'Historical Score'!$C$5&lt;&gt;""),IF(L386='Historical Score'!$C$5,1,0),0)</f>
        <v/>
      </c>
      <c r="AS386" s="3">
        <f>IF(AND(Y386&lt;&gt;"",'Historical Score'!$C$7&lt;&gt;""),IF(Y386='Historical Score'!$C$7,1,0),0)</f>
        <v/>
      </c>
      <c r="AT386" s="3">
        <f>IF(AND(K386&lt;&gt;"",'Historical Score'!$C$8&lt;&gt;""),IF(K386='Historical Score'!$C$8,1,0),0)</f>
        <v/>
      </c>
      <c r="AU386" s="3" t="n"/>
      <c r="AV386" s="3" t="n"/>
      <c r="AW386" s="3" t="n"/>
      <c r="AX386" s="3" t="n"/>
      <c r="AY386" s="3" t="n"/>
      <c r="AZ386" s="3" t="n"/>
      <c r="BA386" s="182">
        <f>IF(AD386=1,(AR386*'Historical Score'!$K$29+1-'Historical Score'!$K$29)*(AT386*'Historical Score'!$L$29+1-'Historical Score'!$L$29)*(AS386*'Historical Score'!$M$29+1-'Historical Score'!$M$29)*(AQ386*'Historical Score'!$N$29+1-'Historical Score'!$N$29),0)</f>
        <v/>
      </c>
      <c r="BB386" s="3" t="n"/>
      <c r="BC386" s="3" t="n"/>
    </row>
    <row r="387" ht="15.75" customHeight="1" s="174">
      <c r="A387" s="3" t="inlineStr">
        <is>
          <t>5674172872</t>
        </is>
      </c>
      <c r="B387" s="3" t="inlineStr">
        <is>
          <t>ROYS INDUSTRAIL POWER EQ.</t>
        </is>
      </c>
      <c r="C387" s="3" t="inlineStr">
        <is>
          <t>ROYS INDUSTRAIL POWER EQ.</t>
        </is>
      </c>
      <c r="D387" s="3" t="inlineStr">
        <is>
          <t>Legal</t>
        </is>
      </c>
      <c r="E387" s="23" t="n">
        <v>45986</v>
      </c>
      <c r="F387" s="23" t="n">
        <v>46002</v>
      </c>
      <c r="G387" s="3" t="n">
        <v>3</v>
      </c>
      <c r="H387" s="3" t="inlineStr">
        <is>
          <t>1521</t>
        </is>
      </c>
      <c r="I387" s="3" t="inlineStr">
        <is>
          <t>15</t>
        </is>
      </c>
      <c r="J387" s="3" t="inlineStr">
        <is>
          <t>TX</t>
        </is>
      </c>
      <c r="K387" s="3" t="inlineStr">
        <is>
          <t>Vital Funding</t>
        </is>
      </c>
      <c r="L387" s="3" t="inlineStr">
        <is>
          <t>New Deal</t>
        </is>
      </c>
      <c r="M387" s="3" t="n">
        <v>1.49</v>
      </c>
      <c r="N387" s="28" t="n">
        <v>16000</v>
      </c>
      <c r="O387" s="28" t="n">
        <v>0</v>
      </c>
      <c r="P387" s="28" t="n">
        <v>23840</v>
      </c>
      <c r="Q387" s="28" t="n">
        <v>917.22</v>
      </c>
      <c r="R387" s="28" t="n">
        <v>22922.78</v>
      </c>
      <c r="S387" s="42" t="n">
        <v>0.0384739932885906</v>
      </c>
      <c r="T387" s="3" t="n">
        <v>26</v>
      </c>
      <c r="U387" s="3" t="n">
        <v>1</v>
      </c>
      <c r="V387" s="3" t="n">
        <v>52941.75</v>
      </c>
      <c r="W387" s="42" t="n">
        <v>0.0693</v>
      </c>
      <c r="X387" s="23" t="n">
        <v>36161</v>
      </c>
      <c r="Y387" s="3">
        <f>IF(I387="","No SIC",IFERROR(VLOOKUP(I387,Ref!$A$2:$B$65,2,FALSE()),"Unclassified"))</f>
        <v/>
      </c>
      <c r="Z387" s="3">
        <f>IF(T387="","",IF(T387&lt;12,"Daily","Weekly"))</f>
        <v/>
      </c>
      <c r="AA387" s="3">
        <f>IF(T387="",0,IF(T387&lt;12,T387*Controls!$B$13,T387*5))</f>
        <v/>
      </c>
      <c r="AB387" s="3">
        <f>IF(E387="",0,NETWORKDAYS(E387,Controls!$B$20,Ref!$K$2:$K$42))</f>
        <v/>
      </c>
      <c r="AC387" s="3">
        <f>IF(OR(AF387=1,AND(AA387&gt;0,AB387&gt;=Controls!$B$23*AA387)),1,0)</f>
        <v/>
      </c>
      <c r="AD387" s="3">
        <f>IF(AND(E387&lt;&gt;"",E387&gt;=Controls!$B$21,E387&lt;=Controls!$B$22),1,0)</f>
        <v/>
      </c>
      <c r="AE387" s="3">
        <f>IF(IFERROR(VLOOKUP(D387,Controls!$A$36:$E$46,2,FALSE()),"No")="Yes",1,0)</f>
        <v/>
      </c>
      <c r="AF387" s="3">
        <f>IF(IFERROR(VLOOKUP(D387,Controls!$A$36:$E$46,3,FALSE()),"No")="Yes",1,0)</f>
        <v/>
      </c>
      <c r="AG387" s="3">
        <f>IF(IFERROR(VLOOKUP(D387,Controls!$A$36:$E$46,4,FALSE()),"No")="Yes",1,0)</f>
        <v/>
      </c>
      <c r="AH387" s="3">
        <f>IF(IFERROR(VLOOKUP(D387,Controls!$A$36:$E$46,5,FALSE()),"No")="Yes",1,0)</f>
        <v/>
      </c>
      <c r="AI387" s="3">
        <f>IF(ISNUMBER(MATCH(D387,Controls!$A$36:$A$46,0)),1,0)</f>
        <v/>
      </c>
      <c r="AJ387" s="28">
        <f>Q387-N387</f>
        <v/>
      </c>
      <c r="AK387" s="3">
        <f>IF(AE387=1,MAX(0,N387-Q387),0)</f>
        <v/>
      </c>
      <c r="AL387" s="3">
        <f>IF(OR(V387="",V387=0),0,N387/V387)</f>
        <v/>
      </c>
      <c r="AM387" s="3">
        <f>IF(OR(V387="",V387=0),0,1)</f>
        <v/>
      </c>
      <c r="AN387" s="3">
        <f>IF(OR(E387="",F387=""),0,NETWORKDAYS(E387,F387,Ref!$K$2:$K$42))</f>
        <v/>
      </c>
      <c r="AO387" s="3">
        <f>IF(L387="Renewal",1,0)</f>
        <v/>
      </c>
      <c r="AP387" s="3">
        <f>AC387*AD387</f>
        <v/>
      </c>
      <c r="AQ387" s="3">
        <f>IF(AND(G387&lt;&gt;"",'Historical Score'!$C$6&lt;&gt;""),IF(G387='Historical Score'!$C$6,1,0),0)</f>
        <v/>
      </c>
      <c r="AR387" s="3">
        <f>IF(AND(L387&lt;&gt;"",'Historical Score'!$C$5&lt;&gt;""),IF(L387='Historical Score'!$C$5,1,0),0)</f>
        <v/>
      </c>
      <c r="AS387" s="3">
        <f>IF(AND(Y387&lt;&gt;"",'Historical Score'!$C$7&lt;&gt;""),IF(Y387='Historical Score'!$C$7,1,0),0)</f>
        <v/>
      </c>
      <c r="AT387" s="3">
        <f>IF(AND(K387&lt;&gt;"",'Historical Score'!$C$8&lt;&gt;""),IF(K387='Historical Score'!$C$8,1,0),0)</f>
        <v/>
      </c>
      <c r="AU387" s="3" t="n"/>
      <c r="AV387" s="3" t="n"/>
      <c r="AW387" s="3" t="n"/>
      <c r="AX387" s="3" t="n"/>
      <c r="AY387" s="3" t="n"/>
      <c r="AZ387" s="3" t="n"/>
      <c r="BA387" s="182">
        <f>IF(AD387=1,(AR387*'Historical Score'!$K$29+1-'Historical Score'!$K$29)*(AT387*'Historical Score'!$L$29+1-'Historical Score'!$L$29)*(AS387*'Historical Score'!$M$29+1-'Historical Score'!$M$29)*(AQ387*'Historical Score'!$N$29+1-'Historical Score'!$N$29),0)</f>
        <v/>
      </c>
      <c r="BB387" s="3" t="n"/>
      <c r="BC387" s="3" t="n"/>
    </row>
    <row r="388" ht="15.75" customHeight="1" s="174">
      <c r="A388" s="3" t="inlineStr">
        <is>
          <t>5674172902</t>
        </is>
      </c>
      <c r="B388" s="3" t="inlineStr">
        <is>
          <t>THE A&amp;N TEAM THE A DBA THE VIEW DBA VIEW RESTAURANT &amp; LOUNGE DBA RANA MACK MBR</t>
        </is>
      </c>
      <c r="C388" s="3" t="inlineStr">
        <is>
          <t>THE A&amp;N TEAM LLC</t>
        </is>
      </c>
      <c r="D388" s="3" t="inlineStr">
        <is>
          <t>Closed</t>
        </is>
      </c>
      <c r="E388" s="23" t="n">
        <v>45987</v>
      </c>
      <c r="F388" s="23" t="n">
        <v>46132</v>
      </c>
      <c r="G388" s="3" t="n">
        <v>4</v>
      </c>
      <c r="H388" s="3" t="inlineStr">
        <is>
          <t>5812</t>
        </is>
      </c>
      <c r="I388" s="3" t="inlineStr">
        <is>
          <t>58</t>
        </is>
      </c>
      <c r="J388" s="3" t="inlineStr">
        <is>
          <t>IL</t>
        </is>
      </c>
      <c r="K388" s="3" t="inlineStr">
        <is>
          <t>PMF</t>
        </is>
      </c>
      <c r="L388" s="3" t="inlineStr">
        <is>
          <t>Renewal</t>
        </is>
      </c>
      <c r="M388" s="3" t="n">
        <v>1.499</v>
      </c>
      <c r="N388" s="28" t="n">
        <v>100000</v>
      </c>
      <c r="O388" s="28" t="n">
        <v>14000</v>
      </c>
      <c r="P388" s="28" t="n">
        <v>149900</v>
      </c>
      <c r="Q388" s="28" t="n">
        <v>149900</v>
      </c>
      <c r="R388" s="28" t="n">
        <v>0</v>
      </c>
      <c r="S388" s="42" t="n">
        <v>1</v>
      </c>
      <c r="T388" s="3" t="n">
        <v>30</v>
      </c>
      <c r="U388" s="3" t="n">
        <v>0</v>
      </c>
      <c r="V388" s="3" t="n">
        <v>103686.75</v>
      </c>
      <c r="W388" s="42" t="n">
        <v>0.1278</v>
      </c>
      <c r="X388" s="23" t="n">
        <v>37135</v>
      </c>
      <c r="Y388" s="3">
        <f>IF(I388="","No SIC",IFERROR(VLOOKUP(I388,Ref!$A$2:$B$65,2,FALSE()),"Unclassified"))</f>
        <v/>
      </c>
      <c r="Z388" s="3">
        <f>IF(T388="","",IF(T388&lt;12,"Daily","Weekly"))</f>
        <v/>
      </c>
      <c r="AA388" s="3">
        <f>IF(T388="",0,IF(T388&lt;12,T388*Controls!$B$13,T388*5))</f>
        <v/>
      </c>
      <c r="AB388" s="3">
        <f>IF(E388="",0,NETWORKDAYS(E388,Controls!$B$20,Ref!$K$2:$K$42))</f>
        <v/>
      </c>
      <c r="AC388" s="3">
        <f>IF(OR(AF388=1,AND(AA388&gt;0,AB388&gt;=Controls!$B$23*AA388)),1,0)</f>
        <v/>
      </c>
      <c r="AD388" s="3">
        <f>IF(AND(E388&lt;&gt;"",E388&gt;=Controls!$B$21,E388&lt;=Controls!$B$22),1,0)</f>
        <v/>
      </c>
      <c r="AE388" s="3">
        <f>IF(IFERROR(VLOOKUP(D388,Controls!$A$36:$E$46,2,FALSE()),"No")="Yes",1,0)</f>
        <v/>
      </c>
      <c r="AF388" s="3">
        <f>IF(IFERROR(VLOOKUP(D388,Controls!$A$36:$E$46,3,FALSE()),"No")="Yes",1,0)</f>
        <v/>
      </c>
      <c r="AG388" s="3">
        <f>IF(IFERROR(VLOOKUP(D388,Controls!$A$36:$E$46,4,FALSE()),"No")="Yes",1,0)</f>
        <v/>
      </c>
      <c r="AH388" s="3">
        <f>IF(IFERROR(VLOOKUP(D388,Controls!$A$36:$E$46,5,FALSE()),"No")="Yes",1,0)</f>
        <v/>
      </c>
      <c r="AI388" s="3">
        <f>IF(ISNUMBER(MATCH(D388,Controls!$A$36:$A$46,0)),1,0)</f>
        <v/>
      </c>
      <c r="AJ388" s="28">
        <f>Q388-N388</f>
        <v/>
      </c>
      <c r="AK388" s="3">
        <f>IF(AE388=1,MAX(0,N388-Q388),0)</f>
        <v/>
      </c>
      <c r="AL388" s="3">
        <f>IF(OR(V388="",V388=0),0,N388/V388)</f>
        <v/>
      </c>
      <c r="AM388" s="3">
        <f>IF(OR(V388="",V388=0),0,1)</f>
        <v/>
      </c>
      <c r="AN388" s="3">
        <f>IF(OR(E388="",F388=""),0,NETWORKDAYS(E388,F388,Ref!$K$2:$K$42))</f>
        <v/>
      </c>
      <c r="AO388" s="3">
        <f>IF(L388="Renewal",1,0)</f>
        <v/>
      </c>
      <c r="AP388" s="3">
        <f>AC388*AD388</f>
        <v/>
      </c>
      <c r="AQ388" s="3">
        <f>IF(AND(G388&lt;&gt;"",'Historical Score'!$C$6&lt;&gt;""),IF(G388='Historical Score'!$C$6,1,0),0)</f>
        <v/>
      </c>
      <c r="AR388" s="3">
        <f>IF(AND(L388&lt;&gt;"",'Historical Score'!$C$5&lt;&gt;""),IF(L388='Historical Score'!$C$5,1,0),0)</f>
        <v/>
      </c>
      <c r="AS388" s="3">
        <f>IF(AND(Y388&lt;&gt;"",'Historical Score'!$C$7&lt;&gt;""),IF(Y388='Historical Score'!$C$7,1,0),0)</f>
        <v/>
      </c>
      <c r="AT388" s="3">
        <f>IF(AND(K388&lt;&gt;"",'Historical Score'!$C$8&lt;&gt;""),IF(K388='Historical Score'!$C$8,1,0),0)</f>
        <v/>
      </c>
      <c r="AU388" s="3" t="n"/>
      <c r="AV388" s="3" t="n"/>
      <c r="AW388" s="3" t="n"/>
      <c r="AX388" s="3" t="n"/>
      <c r="AY388" s="3" t="n"/>
      <c r="AZ388" s="3" t="n"/>
      <c r="BA388" s="182">
        <f>IF(AD388=1,(AR388*'Historical Score'!$K$29+1-'Historical Score'!$K$29)*(AT388*'Historical Score'!$L$29+1-'Historical Score'!$L$29)*(AS388*'Historical Score'!$M$29+1-'Historical Score'!$M$29)*(AQ388*'Historical Score'!$N$29+1-'Historical Score'!$N$29),0)</f>
        <v/>
      </c>
      <c r="BB388" s="3" t="n"/>
      <c r="BC388" s="3" t="n"/>
    </row>
    <row r="389" ht="15.75" customHeight="1" s="174">
      <c r="A389" s="3" t="inlineStr">
        <is>
          <t>5674172925</t>
        </is>
      </c>
      <c r="B389" s="3" t="inlineStr">
        <is>
          <t>Map and Map</t>
        </is>
      </c>
      <c r="C389" s="3" t="inlineStr">
        <is>
          <t>Map and Map</t>
        </is>
      </c>
      <c r="D389" s="3" t="inlineStr">
        <is>
          <t>Closed</t>
        </is>
      </c>
      <c r="E389" s="23" t="n">
        <v>45987</v>
      </c>
      <c r="F389" s="23" t="n">
        <v>46142</v>
      </c>
      <c r="G389" s="3" t="n">
        <v>3</v>
      </c>
      <c r="H389" s="3" t="inlineStr">
        <is>
          <t>5399</t>
        </is>
      </c>
      <c r="I389" s="3" t="inlineStr">
        <is>
          <t>53</t>
        </is>
      </c>
      <c r="J389" s="3" t="inlineStr">
        <is>
          <t>TX</t>
        </is>
      </c>
      <c r="K389" s="3" t="inlineStr">
        <is>
          <t>PMF</t>
        </is>
      </c>
      <c r="L389" s="3" t="inlineStr">
        <is>
          <t>New Deal</t>
        </is>
      </c>
      <c r="M389" s="3" t="n">
        <v>1.49</v>
      </c>
      <c r="N389" s="28" t="n">
        <v>4000</v>
      </c>
      <c r="O389" s="28" t="n">
        <v>560</v>
      </c>
      <c r="P389" s="28" t="n">
        <v>5960</v>
      </c>
      <c r="Q389" s="28" t="n">
        <v>5960</v>
      </c>
      <c r="R389" s="28" t="n">
        <v>0</v>
      </c>
      <c r="S389" s="42" t="n">
        <v>1</v>
      </c>
      <c r="T389" s="3" t="n">
        <v>2.295</v>
      </c>
      <c r="U389" s="3" t="n">
        <v>15</v>
      </c>
      <c r="V389" s="3" t="n">
        <v>19288.41</v>
      </c>
      <c r="W389" s="42" t="n">
        <v>0.0927</v>
      </c>
      <c r="X389" s="23" t="n">
        <v>44356</v>
      </c>
      <c r="Y389" s="3">
        <f>IF(I389="","No SIC",IFERROR(VLOOKUP(I389,Ref!$A$2:$B$65,2,FALSE()),"Unclassified"))</f>
        <v/>
      </c>
      <c r="Z389" s="3">
        <f>IF(T389="","",IF(T389&lt;12,"Daily","Weekly"))</f>
        <v/>
      </c>
      <c r="AA389" s="3">
        <f>IF(T389="",0,IF(T389&lt;12,T389*Controls!$B$13,T389*5))</f>
        <v/>
      </c>
      <c r="AB389" s="3">
        <f>IF(E389="",0,NETWORKDAYS(E389,Controls!$B$20,Ref!$K$2:$K$42))</f>
        <v/>
      </c>
      <c r="AC389" s="3">
        <f>IF(OR(AF389=1,AND(AA389&gt;0,AB389&gt;=Controls!$B$23*AA389)),1,0)</f>
        <v/>
      </c>
      <c r="AD389" s="3">
        <f>IF(AND(E389&lt;&gt;"",E389&gt;=Controls!$B$21,E389&lt;=Controls!$B$22),1,0)</f>
        <v/>
      </c>
      <c r="AE389" s="3">
        <f>IF(IFERROR(VLOOKUP(D389,Controls!$A$36:$E$46,2,FALSE()),"No")="Yes",1,0)</f>
        <v/>
      </c>
      <c r="AF389" s="3">
        <f>IF(IFERROR(VLOOKUP(D389,Controls!$A$36:$E$46,3,FALSE()),"No")="Yes",1,0)</f>
        <v/>
      </c>
      <c r="AG389" s="3">
        <f>IF(IFERROR(VLOOKUP(D389,Controls!$A$36:$E$46,4,FALSE()),"No")="Yes",1,0)</f>
        <v/>
      </c>
      <c r="AH389" s="3">
        <f>IF(IFERROR(VLOOKUP(D389,Controls!$A$36:$E$46,5,FALSE()),"No")="Yes",1,0)</f>
        <v/>
      </c>
      <c r="AI389" s="3">
        <f>IF(ISNUMBER(MATCH(D389,Controls!$A$36:$A$46,0)),1,0)</f>
        <v/>
      </c>
      <c r="AJ389" s="28">
        <f>Q389-N389</f>
        <v/>
      </c>
      <c r="AK389" s="3">
        <f>IF(AE389=1,MAX(0,N389-Q389),0)</f>
        <v/>
      </c>
      <c r="AL389" s="3">
        <f>IF(OR(V389="",V389=0),0,N389/V389)</f>
        <v/>
      </c>
      <c r="AM389" s="3">
        <f>IF(OR(V389="",V389=0),0,1)</f>
        <v/>
      </c>
      <c r="AN389" s="3">
        <f>IF(OR(E389="",F389=""),0,NETWORKDAYS(E389,F389,Ref!$K$2:$K$42))</f>
        <v/>
      </c>
      <c r="AO389" s="3">
        <f>IF(L389="Renewal",1,0)</f>
        <v/>
      </c>
      <c r="AP389" s="3">
        <f>AC389*AD389</f>
        <v/>
      </c>
      <c r="AQ389" s="3">
        <f>IF(AND(G389&lt;&gt;"",'Historical Score'!$C$6&lt;&gt;""),IF(G389='Historical Score'!$C$6,1,0),0)</f>
        <v/>
      </c>
      <c r="AR389" s="3">
        <f>IF(AND(L389&lt;&gt;"",'Historical Score'!$C$5&lt;&gt;""),IF(L389='Historical Score'!$C$5,1,0),0)</f>
        <v/>
      </c>
      <c r="AS389" s="3">
        <f>IF(AND(Y389&lt;&gt;"",'Historical Score'!$C$7&lt;&gt;""),IF(Y389='Historical Score'!$C$7,1,0),0)</f>
        <v/>
      </c>
      <c r="AT389" s="3">
        <f>IF(AND(K389&lt;&gt;"",'Historical Score'!$C$8&lt;&gt;""),IF(K389='Historical Score'!$C$8,1,0),0)</f>
        <v/>
      </c>
      <c r="AU389" s="3" t="n"/>
      <c r="AV389" s="3" t="n"/>
      <c r="AW389" s="3" t="n"/>
      <c r="AX389" s="3" t="n"/>
      <c r="AY389" s="3" t="n"/>
      <c r="AZ389" s="3" t="n"/>
      <c r="BA389" s="182">
        <f>IF(AD389=1,(AR389*'Historical Score'!$K$29+1-'Historical Score'!$K$29)*(AT389*'Historical Score'!$L$29+1-'Historical Score'!$L$29)*(AS389*'Historical Score'!$M$29+1-'Historical Score'!$M$29)*(AQ389*'Historical Score'!$N$29+1-'Historical Score'!$N$29),0)</f>
        <v/>
      </c>
      <c r="BB389" s="3" t="n"/>
      <c r="BC389" s="3" t="n"/>
    </row>
    <row r="390" ht="15.75" customHeight="1" s="174">
      <c r="A390" s="3" t="inlineStr">
        <is>
          <t>5674172929</t>
        </is>
      </c>
      <c r="B390" s="3" t="inlineStr">
        <is>
          <t>PEOPLE UNITED OF LOUISIANA LLC</t>
        </is>
      </c>
      <c r="C390" s="3" t="inlineStr">
        <is>
          <t>PEOPLE UNITED OF LOUISIANA LLC</t>
        </is>
      </c>
      <c r="D390" s="3" t="inlineStr">
        <is>
          <t>Closed</t>
        </is>
      </c>
      <c r="E390" s="23" t="n">
        <v>45987</v>
      </c>
      <c r="F390" s="23" t="n">
        <v>46080</v>
      </c>
      <c r="G390" s="3" t="n">
        <v>8</v>
      </c>
      <c r="H390" s="3" t="inlineStr">
        <is>
          <t>6371</t>
        </is>
      </c>
      <c r="I390" s="3" t="inlineStr">
        <is>
          <t>63</t>
        </is>
      </c>
      <c r="J390" s="3" t="inlineStr">
        <is>
          <t>LA</t>
        </is>
      </c>
      <c r="K390" s="3" t="inlineStr">
        <is>
          <t>Dubbs holding</t>
        </is>
      </c>
      <c r="L390" s="3" t="inlineStr">
        <is>
          <t>New Deal</t>
        </is>
      </c>
      <c r="M390" s="3" t="n">
        <v>1.42</v>
      </c>
      <c r="N390" s="28" t="n">
        <v>40000</v>
      </c>
      <c r="O390" s="28" t="n">
        <v>4600</v>
      </c>
      <c r="P390" s="28" t="n">
        <v>56800</v>
      </c>
      <c r="Q390" s="28" t="n">
        <v>56800</v>
      </c>
      <c r="R390" s="28" t="n">
        <v>0</v>
      </c>
      <c r="S390" s="42" t="n">
        <v>1</v>
      </c>
      <c r="T390" s="3" t="n">
        <v>30</v>
      </c>
      <c r="U390" s="3" t="n">
        <v>0</v>
      </c>
      <c r="V390" s="3" t="n">
        <v>452493.41</v>
      </c>
      <c r="W390" s="42" t="n">
        <v>0.0167</v>
      </c>
      <c r="X390" s="23" t="n">
        <v>40360</v>
      </c>
      <c r="Y390" s="3">
        <f>IF(I390="","No SIC",IFERROR(VLOOKUP(I390,Ref!$A$2:$B$65,2,FALSE()),"Unclassified"))</f>
        <v/>
      </c>
      <c r="Z390" s="3">
        <f>IF(T390="","",IF(T390&lt;12,"Daily","Weekly"))</f>
        <v/>
      </c>
      <c r="AA390" s="3">
        <f>IF(T390="",0,IF(T390&lt;12,T390*Controls!$B$13,T390*5))</f>
        <v/>
      </c>
      <c r="AB390" s="3">
        <f>IF(E390="",0,NETWORKDAYS(E390,Controls!$B$20,Ref!$K$2:$K$42))</f>
        <v/>
      </c>
      <c r="AC390" s="3">
        <f>IF(OR(AF390=1,AND(AA390&gt;0,AB390&gt;=Controls!$B$23*AA390)),1,0)</f>
        <v/>
      </c>
      <c r="AD390" s="3">
        <f>IF(AND(E390&lt;&gt;"",E390&gt;=Controls!$B$21,E390&lt;=Controls!$B$22),1,0)</f>
        <v/>
      </c>
      <c r="AE390" s="3">
        <f>IF(IFERROR(VLOOKUP(D390,Controls!$A$36:$E$46,2,FALSE()),"No")="Yes",1,0)</f>
        <v/>
      </c>
      <c r="AF390" s="3">
        <f>IF(IFERROR(VLOOKUP(D390,Controls!$A$36:$E$46,3,FALSE()),"No")="Yes",1,0)</f>
        <v/>
      </c>
      <c r="AG390" s="3">
        <f>IF(IFERROR(VLOOKUP(D390,Controls!$A$36:$E$46,4,FALSE()),"No")="Yes",1,0)</f>
        <v/>
      </c>
      <c r="AH390" s="3">
        <f>IF(IFERROR(VLOOKUP(D390,Controls!$A$36:$E$46,5,FALSE()),"No")="Yes",1,0)</f>
        <v/>
      </c>
      <c r="AI390" s="3">
        <f>IF(ISNUMBER(MATCH(D390,Controls!$A$36:$A$46,0)),1,0)</f>
        <v/>
      </c>
      <c r="AJ390" s="28">
        <f>Q390-N390</f>
        <v/>
      </c>
      <c r="AK390" s="3">
        <f>IF(AE390=1,MAX(0,N390-Q390),0)</f>
        <v/>
      </c>
      <c r="AL390" s="3">
        <f>IF(OR(V390="",V390=0),0,N390/V390)</f>
        <v/>
      </c>
      <c r="AM390" s="3">
        <f>IF(OR(V390="",V390=0),0,1)</f>
        <v/>
      </c>
      <c r="AN390" s="3">
        <f>IF(OR(E390="",F390=""),0,NETWORKDAYS(E390,F390,Ref!$K$2:$K$42))</f>
        <v/>
      </c>
      <c r="AO390" s="3">
        <f>IF(L390="Renewal",1,0)</f>
        <v/>
      </c>
      <c r="AP390" s="3">
        <f>AC390*AD390</f>
        <v/>
      </c>
      <c r="AQ390" s="3">
        <f>IF(AND(G390&lt;&gt;"",'Historical Score'!$C$6&lt;&gt;""),IF(G390='Historical Score'!$C$6,1,0),0)</f>
        <v/>
      </c>
      <c r="AR390" s="3">
        <f>IF(AND(L390&lt;&gt;"",'Historical Score'!$C$5&lt;&gt;""),IF(L390='Historical Score'!$C$5,1,0),0)</f>
        <v/>
      </c>
      <c r="AS390" s="3">
        <f>IF(AND(Y390&lt;&gt;"",'Historical Score'!$C$7&lt;&gt;""),IF(Y390='Historical Score'!$C$7,1,0),0)</f>
        <v/>
      </c>
      <c r="AT390" s="3">
        <f>IF(AND(K390&lt;&gt;"",'Historical Score'!$C$8&lt;&gt;""),IF(K390='Historical Score'!$C$8,1,0),0)</f>
        <v/>
      </c>
      <c r="AU390" s="3" t="n"/>
      <c r="AV390" s="3" t="n"/>
      <c r="AW390" s="3" t="n"/>
      <c r="AX390" s="3" t="n"/>
      <c r="AY390" s="3" t="n"/>
      <c r="AZ390" s="3" t="n"/>
      <c r="BA390" s="182">
        <f>IF(AD390=1,(AR390*'Historical Score'!$K$29+1-'Historical Score'!$K$29)*(AT390*'Historical Score'!$L$29+1-'Historical Score'!$L$29)*(AS390*'Historical Score'!$M$29+1-'Historical Score'!$M$29)*(AQ390*'Historical Score'!$N$29+1-'Historical Score'!$N$29),0)</f>
        <v/>
      </c>
      <c r="BB390" s="3" t="n"/>
      <c r="BC390" s="3" t="n"/>
    </row>
    <row r="391" ht="15.75" customHeight="1" s="174">
      <c r="A391" s="3" t="inlineStr">
        <is>
          <t>5674172938</t>
        </is>
      </c>
      <c r="B391" s="3" t="inlineStr">
        <is>
          <t>Creatuity</t>
        </is>
      </c>
      <c r="C391" s="3" t="inlineStr">
        <is>
          <t>Creatuity Corp</t>
        </is>
      </c>
      <c r="D391" s="3" t="inlineStr">
        <is>
          <t>Bankruptcy</t>
        </is>
      </c>
      <c r="E391" s="23" t="n">
        <v>45987</v>
      </c>
      <c r="F391" s="23" t="n">
        <v>46142</v>
      </c>
      <c r="G391" s="3" t="n">
        <v>1</v>
      </c>
      <c r="H391" s="3" t="inlineStr">
        <is>
          <t>7353</t>
        </is>
      </c>
      <c r="I391" s="3" t="inlineStr">
        <is>
          <t>73</t>
        </is>
      </c>
      <c r="J391" s="3" t="inlineStr">
        <is>
          <t>TX</t>
        </is>
      </c>
      <c r="K391" s="3" t="inlineStr">
        <is>
          <t>Fundwell</t>
        </is>
      </c>
      <c r="L391" s="3" t="inlineStr">
        <is>
          <t>New Deal</t>
        </is>
      </c>
      <c r="M391" s="3" t="n">
        <v>1.42</v>
      </c>
      <c r="N391" s="28" t="n">
        <v>75000</v>
      </c>
      <c r="O391" s="28" t="n">
        <v>10500</v>
      </c>
      <c r="P391" s="28" t="n">
        <v>106500</v>
      </c>
      <c r="Q391" s="28" t="n">
        <v>24370.99</v>
      </c>
      <c r="R391" s="28" t="n">
        <v>82129.00999999999</v>
      </c>
      <c r="S391" s="42" t="n">
        <v>0.22883558685446</v>
      </c>
      <c r="T391" s="3" t="n">
        <v>28</v>
      </c>
      <c r="U391" s="3" t="n">
        <v>6</v>
      </c>
      <c r="V391" s="3" t="n">
        <v>241551.35</v>
      </c>
      <c r="W391" s="42" t="n">
        <v>0.063</v>
      </c>
      <c r="X391" s="23" t="n">
        <v>39541</v>
      </c>
      <c r="Y391" s="3">
        <f>IF(I391="","No SIC",IFERROR(VLOOKUP(I391,Ref!$A$2:$B$65,2,FALSE()),"Unclassified"))</f>
        <v/>
      </c>
      <c r="Z391" s="3">
        <f>IF(T391="","",IF(T391&lt;12,"Daily","Weekly"))</f>
        <v/>
      </c>
      <c r="AA391" s="3">
        <f>IF(T391="",0,IF(T391&lt;12,T391*Controls!$B$13,T391*5))</f>
        <v/>
      </c>
      <c r="AB391" s="3">
        <f>IF(E391="",0,NETWORKDAYS(E391,Controls!$B$20,Ref!$K$2:$K$42))</f>
        <v/>
      </c>
      <c r="AC391" s="3">
        <f>IF(OR(AF391=1,AND(AA391&gt;0,AB391&gt;=Controls!$B$23*AA391)),1,0)</f>
        <v/>
      </c>
      <c r="AD391" s="3">
        <f>IF(AND(E391&lt;&gt;"",E391&gt;=Controls!$B$21,E391&lt;=Controls!$B$22),1,0)</f>
        <v/>
      </c>
      <c r="AE391" s="3">
        <f>IF(IFERROR(VLOOKUP(D391,Controls!$A$36:$E$46,2,FALSE()),"No")="Yes",1,0)</f>
        <v/>
      </c>
      <c r="AF391" s="3">
        <f>IF(IFERROR(VLOOKUP(D391,Controls!$A$36:$E$46,3,FALSE()),"No")="Yes",1,0)</f>
        <v/>
      </c>
      <c r="AG391" s="3">
        <f>IF(IFERROR(VLOOKUP(D391,Controls!$A$36:$E$46,4,FALSE()),"No")="Yes",1,0)</f>
        <v/>
      </c>
      <c r="AH391" s="3">
        <f>IF(IFERROR(VLOOKUP(D391,Controls!$A$36:$E$46,5,FALSE()),"No")="Yes",1,0)</f>
        <v/>
      </c>
      <c r="AI391" s="3">
        <f>IF(ISNUMBER(MATCH(D391,Controls!$A$36:$A$46,0)),1,0)</f>
        <v/>
      </c>
      <c r="AJ391" s="28">
        <f>Q391-N391</f>
        <v/>
      </c>
      <c r="AK391" s="3">
        <f>IF(AE391=1,MAX(0,N391-Q391),0)</f>
        <v/>
      </c>
      <c r="AL391" s="3">
        <f>IF(OR(V391="",V391=0),0,N391/V391)</f>
        <v/>
      </c>
      <c r="AM391" s="3">
        <f>IF(OR(V391="",V391=0),0,1)</f>
        <v/>
      </c>
      <c r="AN391" s="3">
        <f>IF(OR(E391="",F391=""),0,NETWORKDAYS(E391,F391,Ref!$K$2:$K$42))</f>
        <v/>
      </c>
      <c r="AO391" s="3">
        <f>IF(L391="Renewal",1,0)</f>
        <v/>
      </c>
      <c r="AP391" s="3">
        <f>AC391*AD391</f>
        <v/>
      </c>
      <c r="AQ391" s="3">
        <f>IF(AND(G391&lt;&gt;"",'Historical Score'!$C$6&lt;&gt;""),IF(G391='Historical Score'!$C$6,1,0),0)</f>
        <v/>
      </c>
      <c r="AR391" s="3">
        <f>IF(AND(L391&lt;&gt;"",'Historical Score'!$C$5&lt;&gt;""),IF(L391='Historical Score'!$C$5,1,0),0)</f>
        <v/>
      </c>
      <c r="AS391" s="3">
        <f>IF(AND(Y391&lt;&gt;"",'Historical Score'!$C$7&lt;&gt;""),IF(Y391='Historical Score'!$C$7,1,0),0)</f>
        <v/>
      </c>
      <c r="AT391" s="3">
        <f>IF(AND(K391&lt;&gt;"",'Historical Score'!$C$8&lt;&gt;""),IF(K391='Historical Score'!$C$8,1,0),0)</f>
        <v/>
      </c>
      <c r="AU391" s="3" t="n"/>
      <c r="AV391" s="3" t="n"/>
      <c r="AW391" s="3" t="n"/>
      <c r="AX391" s="3" t="n"/>
      <c r="AY391" s="3" t="n"/>
      <c r="AZ391" s="3" t="n"/>
      <c r="BA391" s="182">
        <f>IF(AD391=1,(AR391*'Historical Score'!$K$29+1-'Historical Score'!$K$29)*(AT391*'Historical Score'!$L$29+1-'Historical Score'!$L$29)*(AS391*'Historical Score'!$M$29+1-'Historical Score'!$M$29)*(AQ391*'Historical Score'!$N$29+1-'Historical Score'!$N$29),0)</f>
        <v/>
      </c>
      <c r="BB391" s="3" t="n"/>
      <c r="BC391" s="3" t="n"/>
    </row>
    <row r="392" ht="15.75" customHeight="1" s="174">
      <c r="A392" s="3" t="inlineStr">
        <is>
          <t>5674172976</t>
        </is>
      </c>
      <c r="B392" s="3" t="inlineStr">
        <is>
          <t>SMASHBURGER, SMASHBURGER 1787, SMASHBURGER 1788</t>
        </is>
      </c>
      <c r="C392" s="3" t="inlineStr">
        <is>
          <t>C4 Enterprises, LLC</t>
        </is>
      </c>
      <c r="D392" s="3" t="inlineStr">
        <is>
          <t>Legal</t>
        </is>
      </c>
      <c r="E392" s="23" t="n">
        <v>45987</v>
      </c>
      <c r="F392" s="23" t="n">
        <v>46217</v>
      </c>
      <c r="G392" s="3" t="n">
        <v>1</v>
      </c>
      <c r="H392" s="3" t="inlineStr">
        <is>
          <t>5812</t>
        </is>
      </c>
      <c r="I392" s="3" t="inlineStr">
        <is>
          <t>58</t>
        </is>
      </c>
      <c r="J392" s="3" t="inlineStr">
        <is>
          <t>UT</t>
        </is>
      </c>
      <c r="K392" s="3" t="inlineStr">
        <is>
          <t>black flag funding</t>
        </is>
      </c>
      <c r="L392" s="3" t="inlineStr">
        <is>
          <t>New Deal</t>
        </is>
      </c>
      <c r="M392" s="3" t="n">
        <v>1.49</v>
      </c>
      <c r="N392" s="28" t="n">
        <v>30000</v>
      </c>
      <c r="O392" s="28" t="n">
        <v>4200</v>
      </c>
      <c r="P392" s="28" t="n">
        <v>44700</v>
      </c>
      <c r="Q392" s="28" t="n">
        <v>42051.4</v>
      </c>
      <c r="R392" s="28" t="n">
        <v>2648.6</v>
      </c>
      <c r="S392" s="42" t="n">
        <v>0.940747203579418</v>
      </c>
      <c r="T392" s="3" t="n">
        <v>3.934</v>
      </c>
      <c r="U392" s="3" t="n">
        <v>30</v>
      </c>
      <c r="V392" s="3" t="n">
        <v>180000</v>
      </c>
      <c r="W392" s="42" t="n">
        <v>0.0521</v>
      </c>
      <c r="X392" s="23" t="n">
        <v>45369</v>
      </c>
      <c r="Y392" s="3">
        <f>IF(I392="","No SIC",IFERROR(VLOOKUP(I392,Ref!$A$2:$B$65,2,FALSE()),"Unclassified"))</f>
        <v/>
      </c>
      <c r="Z392" s="3">
        <f>IF(T392="","",IF(T392&lt;12,"Daily","Weekly"))</f>
        <v/>
      </c>
      <c r="AA392" s="3">
        <f>IF(T392="",0,IF(T392&lt;12,T392*Controls!$B$13,T392*5))</f>
        <v/>
      </c>
      <c r="AB392" s="3">
        <f>IF(E392="",0,NETWORKDAYS(E392,Controls!$B$20,Ref!$K$2:$K$42))</f>
        <v/>
      </c>
      <c r="AC392" s="3">
        <f>IF(OR(AF392=1,AND(AA392&gt;0,AB392&gt;=Controls!$B$23*AA392)),1,0)</f>
        <v/>
      </c>
      <c r="AD392" s="3">
        <f>IF(AND(E392&lt;&gt;"",E392&gt;=Controls!$B$21,E392&lt;=Controls!$B$22),1,0)</f>
        <v/>
      </c>
      <c r="AE392" s="3">
        <f>IF(IFERROR(VLOOKUP(D392,Controls!$A$36:$E$46,2,FALSE()),"No")="Yes",1,0)</f>
        <v/>
      </c>
      <c r="AF392" s="3">
        <f>IF(IFERROR(VLOOKUP(D392,Controls!$A$36:$E$46,3,FALSE()),"No")="Yes",1,0)</f>
        <v/>
      </c>
      <c r="AG392" s="3">
        <f>IF(IFERROR(VLOOKUP(D392,Controls!$A$36:$E$46,4,FALSE()),"No")="Yes",1,0)</f>
        <v/>
      </c>
      <c r="AH392" s="3">
        <f>IF(IFERROR(VLOOKUP(D392,Controls!$A$36:$E$46,5,FALSE()),"No")="Yes",1,0)</f>
        <v/>
      </c>
      <c r="AI392" s="3">
        <f>IF(ISNUMBER(MATCH(D392,Controls!$A$36:$A$46,0)),1,0)</f>
        <v/>
      </c>
      <c r="AJ392" s="28">
        <f>Q392-N392</f>
        <v/>
      </c>
      <c r="AK392" s="3">
        <f>IF(AE392=1,MAX(0,N392-Q392),0)</f>
        <v/>
      </c>
      <c r="AL392" s="3">
        <f>IF(OR(V392="",V392=0),0,N392/V392)</f>
        <v/>
      </c>
      <c r="AM392" s="3">
        <f>IF(OR(V392="",V392=0),0,1)</f>
        <v/>
      </c>
      <c r="AN392" s="3">
        <f>IF(OR(E392="",F392=""),0,NETWORKDAYS(E392,F392,Ref!$K$2:$K$42))</f>
        <v/>
      </c>
      <c r="AO392" s="3">
        <f>IF(L392="Renewal",1,0)</f>
        <v/>
      </c>
      <c r="AP392" s="3">
        <f>AC392*AD392</f>
        <v/>
      </c>
      <c r="AQ392" s="3">
        <f>IF(AND(G392&lt;&gt;"",'Historical Score'!$C$6&lt;&gt;""),IF(G392='Historical Score'!$C$6,1,0),0)</f>
        <v/>
      </c>
      <c r="AR392" s="3">
        <f>IF(AND(L392&lt;&gt;"",'Historical Score'!$C$5&lt;&gt;""),IF(L392='Historical Score'!$C$5,1,0),0)</f>
        <v/>
      </c>
      <c r="AS392" s="3">
        <f>IF(AND(Y392&lt;&gt;"",'Historical Score'!$C$7&lt;&gt;""),IF(Y392='Historical Score'!$C$7,1,0),0)</f>
        <v/>
      </c>
      <c r="AT392" s="3">
        <f>IF(AND(K392&lt;&gt;"",'Historical Score'!$C$8&lt;&gt;""),IF(K392='Historical Score'!$C$8,1,0),0)</f>
        <v/>
      </c>
      <c r="AU392" s="3" t="n"/>
      <c r="AV392" s="3" t="n"/>
      <c r="AW392" s="3" t="n"/>
      <c r="AX392" s="3" t="n"/>
      <c r="AY392" s="3" t="n"/>
      <c r="AZ392" s="3" t="n"/>
      <c r="BA392" s="182">
        <f>IF(AD392=1,(AR392*'Historical Score'!$K$29+1-'Historical Score'!$K$29)*(AT392*'Historical Score'!$L$29+1-'Historical Score'!$L$29)*(AS392*'Historical Score'!$M$29+1-'Historical Score'!$M$29)*(AQ392*'Historical Score'!$N$29+1-'Historical Score'!$N$29),0)</f>
        <v/>
      </c>
      <c r="BB392" s="3" t="n"/>
      <c r="BC392" s="3" t="n"/>
    </row>
    <row r="393" ht="15.75" customHeight="1" s="174">
      <c r="A393" s="3" t="inlineStr">
        <is>
          <t>5674173014</t>
        </is>
      </c>
      <c r="B393" s="3" t="inlineStr">
        <is>
          <t>Innovate Insurance Agency, Inc.</t>
        </is>
      </c>
      <c r="C393" s="3" t="inlineStr">
        <is>
          <t>Innovate Insurance Agency, Inc.</t>
        </is>
      </c>
      <c r="D393" s="3" t="inlineStr">
        <is>
          <t>Closed</t>
        </is>
      </c>
      <c r="E393" s="23" t="n">
        <v>45987</v>
      </c>
      <c r="F393" s="23" t="n">
        <v>46118</v>
      </c>
      <c r="G393" s="3" t="n">
        <v>2</v>
      </c>
      <c r="H393" s="3" t="inlineStr">
        <is>
          <t>6411</t>
        </is>
      </c>
      <c r="I393" s="3" t="inlineStr">
        <is>
          <t>64</t>
        </is>
      </c>
      <c r="J393" s="3" t="inlineStr">
        <is>
          <t>NJ</t>
        </is>
      </c>
      <c r="K393" s="3" t="inlineStr">
        <is>
          <t>Westwood</t>
        </is>
      </c>
      <c r="L393" s="3" t="inlineStr">
        <is>
          <t>New Deal</t>
        </is>
      </c>
      <c r="M393" s="3" t="n">
        <v>1.49</v>
      </c>
      <c r="N393" s="28" t="n">
        <v>22000</v>
      </c>
      <c r="O393" s="28" t="n">
        <v>3080</v>
      </c>
      <c r="P393" s="28" t="n">
        <v>32780</v>
      </c>
      <c r="Q393" s="28" t="n">
        <v>32780</v>
      </c>
      <c r="R393" s="28" t="n">
        <v>0</v>
      </c>
      <c r="S393" s="42" t="n">
        <v>1</v>
      </c>
      <c r="T393" s="3" t="n">
        <v>2.951</v>
      </c>
      <c r="U393" s="3" t="n">
        <v>19</v>
      </c>
      <c r="V393" s="3" t="n">
        <v>47795.52</v>
      </c>
      <c r="W393" s="42" t="n">
        <v>0.16</v>
      </c>
      <c r="X393" s="23" t="n">
        <v>43574</v>
      </c>
      <c r="Y393" s="3">
        <f>IF(I393="","No SIC",IFERROR(VLOOKUP(I393,Ref!$A$2:$B$65,2,FALSE()),"Unclassified"))</f>
        <v/>
      </c>
      <c r="Z393" s="3">
        <f>IF(T393="","",IF(T393&lt;12,"Daily","Weekly"))</f>
        <v/>
      </c>
      <c r="AA393" s="3">
        <f>IF(T393="",0,IF(T393&lt;12,T393*Controls!$B$13,T393*5))</f>
        <v/>
      </c>
      <c r="AB393" s="3">
        <f>IF(E393="",0,NETWORKDAYS(E393,Controls!$B$20,Ref!$K$2:$K$42))</f>
        <v/>
      </c>
      <c r="AC393" s="3">
        <f>IF(OR(AF393=1,AND(AA393&gt;0,AB393&gt;=Controls!$B$23*AA393)),1,0)</f>
        <v/>
      </c>
      <c r="AD393" s="3">
        <f>IF(AND(E393&lt;&gt;"",E393&gt;=Controls!$B$21,E393&lt;=Controls!$B$22),1,0)</f>
        <v/>
      </c>
      <c r="AE393" s="3">
        <f>IF(IFERROR(VLOOKUP(D393,Controls!$A$36:$E$46,2,FALSE()),"No")="Yes",1,0)</f>
        <v/>
      </c>
      <c r="AF393" s="3">
        <f>IF(IFERROR(VLOOKUP(D393,Controls!$A$36:$E$46,3,FALSE()),"No")="Yes",1,0)</f>
        <v/>
      </c>
      <c r="AG393" s="3">
        <f>IF(IFERROR(VLOOKUP(D393,Controls!$A$36:$E$46,4,FALSE()),"No")="Yes",1,0)</f>
        <v/>
      </c>
      <c r="AH393" s="3">
        <f>IF(IFERROR(VLOOKUP(D393,Controls!$A$36:$E$46,5,FALSE()),"No")="Yes",1,0)</f>
        <v/>
      </c>
      <c r="AI393" s="3">
        <f>IF(ISNUMBER(MATCH(D393,Controls!$A$36:$A$46,0)),1,0)</f>
        <v/>
      </c>
      <c r="AJ393" s="28">
        <f>Q393-N393</f>
        <v/>
      </c>
      <c r="AK393" s="3">
        <f>IF(AE393=1,MAX(0,N393-Q393),0)</f>
        <v/>
      </c>
      <c r="AL393" s="3">
        <f>IF(OR(V393="",V393=0),0,N393/V393)</f>
        <v/>
      </c>
      <c r="AM393" s="3">
        <f>IF(OR(V393="",V393=0),0,1)</f>
        <v/>
      </c>
      <c r="AN393" s="3">
        <f>IF(OR(E393="",F393=""),0,NETWORKDAYS(E393,F393,Ref!$K$2:$K$42))</f>
        <v/>
      </c>
      <c r="AO393" s="3">
        <f>IF(L393="Renewal",1,0)</f>
        <v/>
      </c>
      <c r="AP393" s="3">
        <f>AC393*AD393</f>
        <v/>
      </c>
      <c r="AQ393" s="3">
        <f>IF(AND(G393&lt;&gt;"",'Historical Score'!$C$6&lt;&gt;""),IF(G393='Historical Score'!$C$6,1,0),0)</f>
        <v/>
      </c>
      <c r="AR393" s="3">
        <f>IF(AND(L393&lt;&gt;"",'Historical Score'!$C$5&lt;&gt;""),IF(L393='Historical Score'!$C$5,1,0),0)</f>
        <v/>
      </c>
      <c r="AS393" s="3">
        <f>IF(AND(Y393&lt;&gt;"",'Historical Score'!$C$7&lt;&gt;""),IF(Y393='Historical Score'!$C$7,1,0),0)</f>
        <v/>
      </c>
      <c r="AT393" s="3">
        <f>IF(AND(K393&lt;&gt;"",'Historical Score'!$C$8&lt;&gt;""),IF(K393='Historical Score'!$C$8,1,0),0)</f>
        <v/>
      </c>
      <c r="AU393" s="3" t="n"/>
      <c r="AV393" s="3" t="n"/>
      <c r="AW393" s="3" t="n"/>
      <c r="AX393" s="3" t="n"/>
      <c r="AY393" s="3" t="n"/>
      <c r="AZ393" s="3" t="n"/>
      <c r="BA393" s="182">
        <f>IF(AD393=1,(AR393*'Historical Score'!$K$29+1-'Historical Score'!$K$29)*(AT393*'Historical Score'!$L$29+1-'Historical Score'!$L$29)*(AS393*'Historical Score'!$M$29+1-'Historical Score'!$M$29)*(AQ393*'Historical Score'!$N$29+1-'Historical Score'!$N$29),0)</f>
        <v/>
      </c>
      <c r="BB393" s="3" t="n"/>
      <c r="BC393" s="3" t="n"/>
    </row>
    <row r="394" ht="15.75" customHeight="1" s="174">
      <c r="A394" s="3" t="inlineStr">
        <is>
          <t>5674173041</t>
        </is>
      </c>
      <c r="B394" s="3" t="inlineStr">
        <is>
          <t>Firehouse Pizza</t>
        </is>
      </c>
      <c r="C394" s="3" t="inlineStr">
        <is>
          <t>Osvan Inc.</t>
        </is>
      </c>
      <c r="D394" s="3" t="inlineStr">
        <is>
          <t>Closed</t>
        </is>
      </c>
      <c r="E394" s="23" t="n">
        <v>45989</v>
      </c>
      <c r="F394" s="23" t="n">
        <v>46134</v>
      </c>
      <c r="G394" s="3" t="n">
        <v>3</v>
      </c>
      <c r="H394" s="3" t="inlineStr">
        <is>
          <t>5812</t>
        </is>
      </c>
      <c r="I394" s="3" t="inlineStr">
        <is>
          <t>58</t>
        </is>
      </c>
      <c r="J394" s="3" t="inlineStr">
        <is>
          <t>TX</t>
        </is>
      </c>
      <c r="K394" s="3" t="inlineStr">
        <is>
          <t>GREYSTONE</t>
        </is>
      </c>
      <c r="L394" s="3" t="inlineStr">
        <is>
          <t>New Deal</t>
        </is>
      </c>
      <c r="M394" s="3" t="n">
        <v>1.49</v>
      </c>
      <c r="N394" s="28" t="n">
        <v>8500</v>
      </c>
      <c r="O394" s="28" t="n">
        <v>1190</v>
      </c>
      <c r="P394" s="28" t="n">
        <v>12665</v>
      </c>
      <c r="Q394" s="28" t="n">
        <v>12665</v>
      </c>
      <c r="R394" s="28" t="n">
        <v>0</v>
      </c>
      <c r="S394" s="42" t="n">
        <v>1</v>
      </c>
      <c r="T394" s="3" t="n">
        <v>3.279</v>
      </c>
      <c r="U394" s="3" t="n">
        <v>0</v>
      </c>
      <c r="V394" s="3" t="n">
        <v>37309.67</v>
      </c>
      <c r="W394" s="42" t="n">
        <v>0.0713</v>
      </c>
      <c r="X394" s="23" t="n">
        <v>38473</v>
      </c>
      <c r="Y394" s="3">
        <f>IF(I394="","No SIC",IFERROR(VLOOKUP(I394,Ref!$A$2:$B$65,2,FALSE()),"Unclassified"))</f>
        <v/>
      </c>
      <c r="Z394" s="3">
        <f>IF(T394="","",IF(T394&lt;12,"Daily","Weekly"))</f>
        <v/>
      </c>
      <c r="AA394" s="3">
        <f>IF(T394="",0,IF(T394&lt;12,T394*Controls!$B$13,T394*5))</f>
        <v/>
      </c>
      <c r="AB394" s="3">
        <f>IF(E394="",0,NETWORKDAYS(E394,Controls!$B$20,Ref!$K$2:$K$42))</f>
        <v/>
      </c>
      <c r="AC394" s="3">
        <f>IF(OR(AF394=1,AND(AA394&gt;0,AB394&gt;=Controls!$B$23*AA394)),1,0)</f>
        <v/>
      </c>
      <c r="AD394" s="3">
        <f>IF(AND(E394&lt;&gt;"",E394&gt;=Controls!$B$21,E394&lt;=Controls!$B$22),1,0)</f>
        <v/>
      </c>
      <c r="AE394" s="3">
        <f>IF(IFERROR(VLOOKUP(D394,Controls!$A$36:$E$46,2,FALSE()),"No")="Yes",1,0)</f>
        <v/>
      </c>
      <c r="AF394" s="3">
        <f>IF(IFERROR(VLOOKUP(D394,Controls!$A$36:$E$46,3,FALSE()),"No")="Yes",1,0)</f>
        <v/>
      </c>
      <c r="AG394" s="3">
        <f>IF(IFERROR(VLOOKUP(D394,Controls!$A$36:$E$46,4,FALSE()),"No")="Yes",1,0)</f>
        <v/>
      </c>
      <c r="AH394" s="3">
        <f>IF(IFERROR(VLOOKUP(D394,Controls!$A$36:$E$46,5,FALSE()),"No")="Yes",1,0)</f>
        <v/>
      </c>
      <c r="AI394" s="3">
        <f>IF(ISNUMBER(MATCH(D394,Controls!$A$36:$A$46,0)),1,0)</f>
        <v/>
      </c>
      <c r="AJ394" s="28">
        <f>Q394-N394</f>
        <v/>
      </c>
      <c r="AK394" s="3">
        <f>IF(AE394=1,MAX(0,N394-Q394),0)</f>
        <v/>
      </c>
      <c r="AL394" s="3">
        <f>IF(OR(V394="",V394=0),0,N394/V394)</f>
        <v/>
      </c>
      <c r="AM394" s="3">
        <f>IF(OR(V394="",V394=0),0,1)</f>
        <v/>
      </c>
      <c r="AN394" s="3">
        <f>IF(OR(E394="",F394=""),0,NETWORKDAYS(E394,F394,Ref!$K$2:$K$42))</f>
        <v/>
      </c>
      <c r="AO394" s="3">
        <f>IF(L394="Renewal",1,0)</f>
        <v/>
      </c>
      <c r="AP394" s="3">
        <f>AC394*AD394</f>
        <v/>
      </c>
      <c r="AQ394" s="3">
        <f>IF(AND(G394&lt;&gt;"",'Historical Score'!$C$6&lt;&gt;""),IF(G394='Historical Score'!$C$6,1,0),0)</f>
        <v/>
      </c>
      <c r="AR394" s="3">
        <f>IF(AND(L394&lt;&gt;"",'Historical Score'!$C$5&lt;&gt;""),IF(L394='Historical Score'!$C$5,1,0),0)</f>
        <v/>
      </c>
      <c r="AS394" s="3">
        <f>IF(AND(Y394&lt;&gt;"",'Historical Score'!$C$7&lt;&gt;""),IF(Y394='Historical Score'!$C$7,1,0),0)</f>
        <v/>
      </c>
      <c r="AT394" s="3">
        <f>IF(AND(K394&lt;&gt;"",'Historical Score'!$C$8&lt;&gt;""),IF(K394='Historical Score'!$C$8,1,0),0)</f>
        <v/>
      </c>
      <c r="AU394" s="3" t="n"/>
      <c r="AV394" s="3" t="n"/>
      <c r="AW394" s="3" t="n"/>
      <c r="AX394" s="3" t="n"/>
      <c r="AY394" s="3" t="n"/>
      <c r="AZ394" s="3" t="n"/>
      <c r="BA394" s="182">
        <f>IF(AD394=1,(AR394*'Historical Score'!$K$29+1-'Historical Score'!$K$29)*(AT394*'Historical Score'!$L$29+1-'Historical Score'!$L$29)*(AS394*'Historical Score'!$M$29+1-'Historical Score'!$M$29)*(AQ394*'Historical Score'!$N$29+1-'Historical Score'!$N$29),0)</f>
        <v/>
      </c>
      <c r="BB394" s="3" t="n"/>
      <c r="BC394" s="3" t="n"/>
    </row>
    <row r="395" ht="15.75" customHeight="1" s="174">
      <c r="A395" s="3" t="inlineStr">
        <is>
          <t>5674173055</t>
        </is>
      </c>
      <c r="B395" s="3" t="inlineStr">
        <is>
          <t>PRESTIGE CARE PLLC</t>
        </is>
      </c>
      <c r="C395" s="3" t="inlineStr">
        <is>
          <t>PRESTIGE CARE PLLC</t>
        </is>
      </c>
      <c r="D395" s="3" t="inlineStr">
        <is>
          <t>Closed</t>
        </is>
      </c>
      <c r="E395" s="23" t="n">
        <v>45989</v>
      </c>
      <c r="F395" s="23" t="n">
        <v>46077</v>
      </c>
      <c r="G395" s="3" t="n">
        <v>6</v>
      </c>
      <c r="H395" s="3" t="inlineStr">
        <is>
          <t>8011</t>
        </is>
      </c>
      <c r="I395" s="3" t="inlineStr">
        <is>
          <t>80</t>
        </is>
      </c>
      <c r="J395" s="3" t="inlineStr">
        <is>
          <t>AZ</t>
        </is>
      </c>
      <c r="K395" s="3" t="inlineStr">
        <is>
          <t>United Secured Capital 8</t>
        </is>
      </c>
      <c r="L395" s="3" t="inlineStr">
        <is>
          <t>New Deal</t>
        </is>
      </c>
      <c r="M395" s="3" t="n">
        <v>1.49</v>
      </c>
      <c r="N395" s="28" t="n">
        <v>25000</v>
      </c>
      <c r="O395" s="28" t="n">
        <v>3500</v>
      </c>
      <c r="P395" s="28" t="n">
        <v>37250</v>
      </c>
      <c r="Q395" s="28" t="n">
        <v>37250</v>
      </c>
      <c r="R395" s="28" t="n">
        <v>0</v>
      </c>
      <c r="S395" s="42" t="n">
        <v>1</v>
      </c>
      <c r="T395" s="3" t="n">
        <v>2.951</v>
      </c>
      <c r="U395" s="3" t="n">
        <v>12</v>
      </c>
      <c r="V395" s="3" t="n">
        <v>123266.6</v>
      </c>
      <c r="W395" s="42" t="n">
        <v>0.107</v>
      </c>
      <c r="X395" s="23" t="n">
        <v>45989</v>
      </c>
      <c r="Y395" s="3">
        <f>IF(I395="","No SIC",IFERROR(VLOOKUP(I395,Ref!$A$2:$B$65,2,FALSE()),"Unclassified"))</f>
        <v/>
      </c>
      <c r="Z395" s="3">
        <f>IF(T395="","",IF(T395&lt;12,"Daily","Weekly"))</f>
        <v/>
      </c>
      <c r="AA395" s="3">
        <f>IF(T395="",0,IF(T395&lt;12,T395*Controls!$B$13,T395*5))</f>
        <v/>
      </c>
      <c r="AB395" s="3">
        <f>IF(E395="",0,NETWORKDAYS(E395,Controls!$B$20,Ref!$K$2:$K$42))</f>
        <v/>
      </c>
      <c r="AC395" s="3">
        <f>IF(OR(AF395=1,AND(AA395&gt;0,AB395&gt;=Controls!$B$23*AA395)),1,0)</f>
        <v/>
      </c>
      <c r="AD395" s="3">
        <f>IF(AND(E395&lt;&gt;"",E395&gt;=Controls!$B$21,E395&lt;=Controls!$B$22),1,0)</f>
        <v/>
      </c>
      <c r="AE395" s="3">
        <f>IF(IFERROR(VLOOKUP(D395,Controls!$A$36:$E$46,2,FALSE()),"No")="Yes",1,0)</f>
        <v/>
      </c>
      <c r="AF395" s="3">
        <f>IF(IFERROR(VLOOKUP(D395,Controls!$A$36:$E$46,3,FALSE()),"No")="Yes",1,0)</f>
        <v/>
      </c>
      <c r="AG395" s="3">
        <f>IF(IFERROR(VLOOKUP(D395,Controls!$A$36:$E$46,4,FALSE()),"No")="Yes",1,0)</f>
        <v/>
      </c>
      <c r="AH395" s="3">
        <f>IF(IFERROR(VLOOKUP(D395,Controls!$A$36:$E$46,5,FALSE()),"No")="Yes",1,0)</f>
        <v/>
      </c>
      <c r="AI395" s="3">
        <f>IF(ISNUMBER(MATCH(D395,Controls!$A$36:$A$46,0)),1,0)</f>
        <v/>
      </c>
      <c r="AJ395" s="28">
        <f>Q395-N395</f>
        <v/>
      </c>
      <c r="AK395" s="3">
        <f>IF(AE395=1,MAX(0,N395-Q395),0)</f>
        <v/>
      </c>
      <c r="AL395" s="3">
        <f>IF(OR(V395="",V395=0),0,N395/V395)</f>
        <v/>
      </c>
      <c r="AM395" s="3">
        <f>IF(OR(V395="",V395=0),0,1)</f>
        <v/>
      </c>
      <c r="AN395" s="3">
        <f>IF(OR(E395="",F395=""),0,NETWORKDAYS(E395,F395,Ref!$K$2:$K$42))</f>
        <v/>
      </c>
      <c r="AO395" s="3">
        <f>IF(L395="Renewal",1,0)</f>
        <v/>
      </c>
      <c r="AP395" s="3">
        <f>AC395*AD395</f>
        <v/>
      </c>
      <c r="AQ395" s="3">
        <f>IF(AND(G395&lt;&gt;"",'Historical Score'!$C$6&lt;&gt;""),IF(G395='Historical Score'!$C$6,1,0),0)</f>
        <v/>
      </c>
      <c r="AR395" s="3">
        <f>IF(AND(L395&lt;&gt;"",'Historical Score'!$C$5&lt;&gt;""),IF(L395='Historical Score'!$C$5,1,0),0)</f>
        <v/>
      </c>
      <c r="AS395" s="3">
        <f>IF(AND(Y395&lt;&gt;"",'Historical Score'!$C$7&lt;&gt;""),IF(Y395='Historical Score'!$C$7,1,0),0)</f>
        <v/>
      </c>
      <c r="AT395" s="3">
        <f>IF(AND(K395&lt;&gt;"",'Historical Score'!$C$8&lt;&gt;""),IF(K395='Historical Score'!$C$8,1,0),0)</f>
        <v/>
      </c>
      <c r="AU395" s="3" t="n"/>
      <c r="AV395" s="3" t="n"/>
      <c r="AW395" s="3" t="n"/>
      <c r="AX395" s="3" t="n"/>
      <c r="AY395" s="3" t="n"/>
      <c r="AZ395" s="3" t="n"/>
      <c r="BA395" s="182">
        <f>IF(AD395=1,(AR395*'Historical Score'!$K$29+1-'Historical Score'!$K$29)*(AT395*'Historical Score'!$L$29+1-'Historical Score'!$L$29)*(AS395*'Historical Score'!$M$29+1-'Historical Score'!$M$29)*(AQ395*'Historical Score'!$N$29+1-'Historical Score'!$N$29),0)</f>
        <v/>
      </c>
      <c r="BB395" s="3" t="n"/>
      <c r="BC395" s="3" t="n"/>
    </row>
    <row r="396" ht="15.75" customHeight="1" s="174">
      <c r="A396" s="3" t="inlineStr">
        <is>
          <t>5674173101</t>
        </is>
      </c>
      <c r="B396" s="3" t="inlineStr">
        <is>
          <t>Oscar Mike Security</t>
        </is>
      </c>
      <c r="C396" s="3" t="inlineStr">
        <is>
          <t>Oscar Mike Security</t>
        </is>
      </c>
      <c r="D396" s="3" t="inlineStr">
        <is>
          <t>Closed</t>
        </is>
      </c>
      <c r="E396" s="23" t="n">
        <v>45992</v>
      </c>
      <c r="F396" s="23" t="n">
        <v>46129</v>
      </c>
      <c r="G396" s="3" t="n">
        <v>3</v>
      </c>
      <c r="H396" s="3" t="inlineStr">
        <is>
          <t>7382</t>
        </is>
      </c>
      <c r="I396" s="3" t="inlineStr">
        <is>
          <t>73</t>
        </is>
      </c>
      <c r="J396" s="3" t="inlineStr">
        <is>
          <t>TX</t>
        </is>
      </c>
      <c r="K396" s="3" t="inlineStr">
        <is>
          <t>National Business Capital</t>
        </is>
      </c>
      <c r="L396" s="3" t="inlineStr">
        <is>
          <t>New Deal</t>
        </is>
      </c>
      <c r="M396" s="3" t="n">
        <v>1.49</v>
      </c>
      <c r="N396" s="28" t="n">
        <v>10000</v>
      </c>
      <c r="O396" s="28" t="n">
        <v>1400</v>
      </c>
      <c r="P396" s="28" t="n">
        <v>14900</v>
      </c>
      <c r="Q396" s="28" t="n">
        <v>14900</v>
      </c>
      <c r="R396" s="28" t="n">
        <v>0</v>
      </c>
      <c r="S396" s="42" t="n">
        <v>1</v>
      </c>
      <c r="T396" s="3" t="n">
        <v>20</v>
      </c>
      <c r="U396" s="3" t="n">
        <v>0</v>
      </c>
      <c r="V396" s="3" t="n">
        <v>83502.16</v>
      </c>
      <c r="W396" s="42" t="n">
        <v>0.0357</v>
      </c>
      <c r="X396" s="23" t="n"/>
      <c r="Y396" s="3">
        <f>IF(I396="","No SIC",IFERROR(VLOOKUP(I396,Ref!$A$2:$B$65,2,FALSE()),"Unclassified"))</f>
        <v/>
      </c>
      <c r="Z396" s="3">
        <f>IF(T396="","",IF(T396&lt;12,"Daily","Weekly"))</f>
        <v/>
      </c>
      <c r="AA396" s="3">
        <f>IF(T396="",0,IF(T396&lt;12,T396*Controls!$B$13,T396*5))</f>
        <v/>
      </c>
      <c r="AB396" s="3">
        <f>IF(E396="",0,NETWORKDAYS(E396,Controls!$B$20,Ref!$K$2:$K$42))</f>
        <v/>
      </c>
      <c r="AC396" s="3">
        <f>IF(OR(AF396=1,AND(AA396&gt;0,AB396&gt;=Controls!$B$23*AA396)),1,0)</f>
        <v/>
      </c>
      <c r="AD396" s="3">
        <f>IF(AND(E396&lt;&gt;"",E396&gt;=Controls!$B$21,E396&lt;=Controls!$B$22),1,0)</f>
        <v/>
      </c>
      <c r="AE396" s="3">
        <f>IF(IFERROR(VLOOKUP(D396,Controls!$A$36:$E$46,2,FALSE()),"No")="Yes",1,0)</f>
        <v/>
      </c>
      <c r="AF396" s="3">
        <f>IF(IFERROR(VLOOKUP(D396,Controls!$A$36:$E$46,3,FALSE()),"No")="Yes",1,0)</f>
        <v/>
      </c>
      <c r="AG396" s="3">
        <f>IF(IFERROR(VLOOKUP(D396,Controls!$A$36:$E$46,4,FALSE()),"No")="Yes",1,0)</f>
        <v/>
      </c>
      <c r="AH396" s="3">
        <f>IF(IFERROR(VLOOKUP(D396,Controls!$A$36:$E$46,5,FALSE()),"No")="Yes",1,0)</f>
        <v/>
      </c>
      <c r="AI396" s="3">
        <f>IF(ISNUMBER(MATCH(D396,Controls!$A$36:$A$46,0)),1,0)</f>
        <v/>
      </c>
      <c r="AJ396" s="28">
        <f>Q396-N396</f>
        <v/>
      </c>
      <c r="AK396" s="3">
        <f>IF(AE396=1,MAX(0,N396-Q396),0)</f>
        <v/>
      </c>
      <c r="AL396" s="3">
        <f>IF(OR(V396="",V396=0),0,N396/V396)</f>
        <v/>
      </c>
      <c r="AM396" s="3">
        <f>IF(OR(V396="",V396=0),0,1)</f>
        <v/>
      </c>
      <c r="AN396" s="3">
        <f>IF(OR(E396="",F396=""),0,NETWORKDAYS(E396,F396,Ref!$K$2:$K$42))</f>
        <v/>
      </c>
      <c r="AO396" s="3">
        <f>IF(L396="Renewal",1,0)</f>
        <v/>
      </c>
      <c r="AP396" s="3">
        <f>AC396*AD396</f>
        <v/>
      </c>
      <c r="AQ396" s="3">
        <f>IF(AND(G396&lt;&gt;"",'Historical Score'!$C$6&lt;&gt;""),IF(G396='Historical Score'!$C$6,1,0),0)</f>
        <v/>
      </c>
      <c r="AR396" s="3">
        <f>IF(AND(L396&lt;&gt;"",'Historical Score'!$C$5&lt;&gt;""),IF(L396='Historical Score'!$C$5,1,0),0)</f>
        <v/>
      </c>
      <c r="AS396" s="3">
        <f>IF(AND(Y396&lt;&gt;"",'Historical Score'!$C$7&lt;&gt;""),IF(Y396='Historical Score'!$C$7,1,0),0)</f>
        <v/>
      </c>
      <c r="AT396" s="3">
        <f>IF(AND(K396&lt;&gt;"",'Historical Score'!$C$8&lt;&gt;""),IF(K396='Historical Score'!$C$8,1,0),0)</f>
        <v/>
      </c>
      <c r="AU396" s="3" t="n"/>
      <c r="AV396" s="3" t="n"/>
      <c r="AW396" s="3" t="n"/>
      <c r="AX396" s="3" t="n"/>
      <c r="AY396" s="3" t="n"/>
      <c r="AZ396" s="3" t="n"/>
      <c r="BA396" s="182">
        <f>IF(AD396=1,(AR396*'Historical Score'!$K$29+1-'Historical Score'!$K$29)*(AT396*'Historical Score'!$L$29+1-'Historical Score'!$L$29)*(AS396*'Historical Score'!$M$29+1-'Historical Score'!$M$29)*(AQ396*'Historical Score'!$N$29+1-'Historical Score'!$N$29),0)</f>
        <v/>
      </c>
      <c r="BB396" s="3" t="n"/>
      <c r="BC396" s="3" t="n"/>
    </row>
    <row r="397" ht="15.75" customHeight="1" s="174">
      <c r="A397" s="3" t="inlineStr">
        <is>
          <t>5674173153</t>
        </is>
      </c>
      <c r="B397" s="3" t="inlineStr">
        <is>
          <t>Solution Auto Center LLC</t>
        </is>
      </c>
      <c r="C397" s="3" t="inlineStr">
        <is>
          <t>Solution Auto Center LLC</t>
        </is>
      </c>
      <c r="D397" s="3" t="inlineStr">
        <is>
          <t>Closed</t>
        </is>
      </c>
      <c r="E397" s="23" t="n">
        <v>45992</v>
      </c>
      <c r="F397" s="23" t="n">
        <v>46136</v>
      </c>
      <c r="G397" s="3" t="n">
        <v>2</v>
      </c>
      <c r="H397" s="3" t="inlineStr">
        <is>
          <t>7538</t>
        </is>
      </c>
      <c r="I397" s="3" t="inlineStr">
        <is>
          <t>75</t>
        </is>
      </c>
      <c r="J397" s="3" t="inlineStr">
        <is>
          <t>CA</t>
        </is>
      </c>
      <c r="K397" s="3" t="inlineStr">
        <is>
          <t>ROK</t>
        </is>
      </c>
      <c r="L397" s="3" t="inlineStr">
        <is>
          <t>New Deal</t>
        </is>
      </c>
      <c r="M397" s="3" t="n">
        <v>1.39</v>
      </c>
      <c r="N397" s="28" t="n">
        <v>10000</v>
      </c>
      <c r="O397" s="28" t="n">
        <v>900</v>
      </c>
      <c r="P397" s="28" t="n">
        <v>13900</v>
      </c>
      <c r="Q397" s="28" t="n">
        <v>13900</v>
      </c>
      <c r="R397" s="28" t="n">
        <v>-1.81898940354586e-12</v>
      </c>
      <c r="S397" s="42" t="n">
        <v>1</v>
      </c>
      <c r="T397" s="3" t="n">
        <v>20</v>
      </c>
      <c r="U397" s="3" t="n">
        <v>0</v>
      </c>
      <c r="V397" s="3" t="n">
        <v>29347.75</v>
      </c>
      <c r="W397" s="42" t="n">
        <v>0.09470000000000001</v>
      </c>
      <c r="X397" s="23" t="n">
        <v>45047</v>
      </c>
      <c r="Y397" s="3">
        <f>IF(I397="","No SIC",IFERROR(VLOOKUP(I397,Ref!$A$2:$B$65,2,FALSE()),"Unclassified"))</f>
        <v/>
      </c>
      <c r="Z397" s="3">
        <f>IF(T397="","",IF(T397&lt;12,"Daily","Weekly"))</f>
        <v/>
      </c>
      <c r="AA397" s="3">
        <f>IF(T397="",0,IF(T397&lt;12,T397*Controls!$B$13,T397*5))</f>
        <v/>
      </c>
      <c r="AB397" s="3">
        <f>IF(E397="",0,NETWORKDAYS(E397,Controls!$B$20,Ref!$K$2:$K$42))</f>
        <v/>
      </c>
      <c r="AC397" s="3">
        <f>IF(OR(AF397=1,AND(AA397&gt;0,AB397&gt;=Controls!$B$23*AA397)),1,0)</f>
        <v/>
      </c>
      <c r="AD397" s="3">
        <f>IF(AND(E397&lt;&gt;"",E397&gt;=Controls!$B$21,E397&lt;=Controls!$B$22),1,0)</f>
        <v/>
      </c>
      <c r="AE397" s="3">
        <f>IF(IFERROR(VLOOKUP(D397,Controls!$A$36:$E$46,2,FALSE()),"No")="Yes",1,0)</f>
        <v/>
      </c>
      <c r="AF397" s="3">
        <f>IF(IFERROR(VLOOKUP(D397,Controls!$A$36:$E$46,3,FALSE()),"No")="Yes",1,0)</f>
        <v/>
      </c>
      <c r="AG397" s="3">
        <f>IF(IFERROR(VLOOKUP(D397,Controls!$A$36:$E$46,4,FALSE()),"No")="Yes",1,0)</f>
        <v/>
      </c>
      <c r="AH397" s="3">
        <f>IF(IFERROR(VLOOKUP(D397,Controls!$A$36:$E$46,5,FALSE()),"No")="Yes",1,0)</f>
        <v/>
      </c>
      <c r="AI397" s="3">
        <f>IF(ISNUMBER(MATCH(D397,Controls!$A$36:$A$46,0)),1,0)</f>
        <v/>
      </c>
      <c r="AJ397" s="28">
        <f>Q397-N397</f>
        <v/>
      </c>
      <c r="AK397" s="3">
        <f>IF(AE397=1,MAX(0,N397-Q397),0)</f>
        <v/>
      </c>
      <c r="AL397" s="3">
        <f>IF(OR(V397="",V397=0),0,N397/V397)</f>
        <v/>
      </c>
      <c r="AM397" s="3">
        <f>IF(OR(V397="",V397=0),0,1)</f>
        <v/>
      </c>
      <c r="AN397" s="3">
        <f>IF(OR(E397="",F397=""),0,NETWORKDAYS(E397,F397,Ref!$K$2:$K$42))</f>
        <v/>
      </c>
      <c r="AO397" s="3">
        <f>IF(L397="Renewal",1,0)</f>
        <v/>
      </c>
      <c r="AP397" s="3">
        <f>AC397*AD397</f>
        <v/>
      </c>
      <c r="AQ397" s="3">
        <f>IF(AND(G397&lt;&gt;"",'Historical Score'!$C$6&lt;&gt;""),IF(G397='Historical Score'!$C$6,1,0),0)</f>
        <v/>
      </c>
      <c r="AR397" s="3">
        <f>IF(AND(L397&lt;&gt;"",'Historical Score'!$C$5&lt;&gt;""),IF(L397='Historical Score'!$C$5,1,0),0)</f>
        <v/>
      </c>
      <c r="AS397" s="3">
        <f>IF(AND(Y397&lt;&gt;"",'Historical Score'!$C$7&lt;&gt;""),IF(Y397='Historical Score'!$C$7,1,0),0)</f>
        <v/>
      </c>
      <c r="AT397" s="3">
        <f>IF(AND(K397&lt;&gt;"",'Historical Score'!$C$8&lt;&gt;""),IF(K397='Historical Score'!$C$8,1,0),0)</f>
        <v/>
      </c>
      <c r="AU397" s="3" t="n"/>
      <c r="AV397" s="3" t="n"/>
      <c r="AW397" s="3" t="n"/>
      <c r="AX397" s="3" t="n"/>
      <c r="AY397" s="3" t="n"/>
      <c r="AZ397" s="3" t="n"/>
      <c r="BA397" s="182">
        <f>IF(AD397=1,(AR397*'Historical Score'!$K$29+1-'Historical Score'!$K$29)*(AT397*'Historical Score'!$L$29+1-'Historical Score'!$L$29)*(AS397*'Historical Score'!$M$29+1-'Historical Score'!$M$29)*(AQ397*'Historical Score'!$N$29+1-'Historical Score'!$N$29),0)</f>
        <v/>
      </c>
      <c r="BB397" s="3" t="n"/>
      <c r="BC397" s="3" t="n"/>
    </row>
    <row r="398" ht="15.75" customHeight="1" s="174">
      <c r="A398" s="3" t="inlineStr">
        <is>
          <t>5674173197</t>
        </is>
      </c>
      <c r="B398" s="3" t="inlineStr">
        <is>
          <t>PARK HEAVY HAUL LLC</t>
        </is>
      </c>
      <c r="C398" s="3" t="inlineStr">
        <is>
          <t>PARK HEAVY HAUL LLC</t>
        </is>
      </c>
      <c r="D398" s="3" t="inlineStr">
        <is>
          <t>Closed</t>
        </is>
      </c>
      <c r="E398" s="23" t="n">
        <v>45993</v>
      </c>
      <c r="F398" s="23" t="n">
        <v>46093</v>
      </c>
      <c r="G398" s="3" t="n">
        <v>6</v>
      </c>
      <c r="H398" s="3" t="inlineStr">
        <is>
          <t>4212</t>
        </is>
      </c>
      <c r="I398" s="3" t="inlineStr">
        <is>
          <t>42</t>
        </is>
      </c>
      <c r="J398" s="3" t="inlineStr">
        <is>
          <t>CO</t>
        </is>
      </c>
      <c r="K398" s="3" t="inlineStr">
        <is>
          <t>Secure Capital Solutions 7</t>
        </is>
      </c>
      <c r="L398" s="3" t="inlineStr">
        <is>
          <t>New Deal</t>
        </is>
      </c>
      <c r="M398" s="3" t="n">
        <v>1.49</v>
      </c>
      <c r="N398" s="28" t="n">
        <v>30000</v>
      </c>
      <c r="O398" s="28" t="n">
        <v>4200</v>
      </c>
      <c r="P398" s="28" t="n">
        <v>44700</v>
      </c>
      <c r="Q398" s="28" t="n">
        <v>44700</v>
      </c>
      <c r="R398" s="28" t="n">
        <v>0</v>
      </c>
      <c r="S398" s="42" t="n">
        <v>1</v>
      </c>
      <c r="T398" s="3" t="n">
        <v>18</v>
      </c>
      <c r="U398" s="3" t="n">
        <v>1</v>
      </c>
      <c r="V398" s="3" t="n">
        <v>380215.95</v>
      </c>
      <c r="W398" s="42" t="n">
        <v>0.0261</v>
      </c>
      <c r="X398" s="23" t="n">
        <v>45227</v>
      </c>
      <c r="Y398" s="3">
        <f>IF(I398="","No SIC",IFERROR(VLOOKUP(I398,Ref!$A$2:$B$65,2,FALSE()),"Unclassified"))</f>
        <v/>
      </c>
      <c r="Z398" s="3">
        <f>IF(T398="","",IF(T398&lt;12,"Daily","Weekly"))</f>
        <v/>
      </c>
      <c r="AA398" s="3">
        <f>IF(T398="",0,IF(T398&lt;12,T398*Controls!$B$13,T398*5))</f>
        <v/>
      </c>
      <c r="AB398" s="3">
        <f>IF(E398="",0,NETWORKDAYS(E398,Controls!$B$20,Ref!$K$2:$K$42))</f>
        <v/>
      </c>
      <c r="AC398" s="3">
        <f>IF(OR(AF398=1,AND(AA398&gt;0,AB398&gt;=Controls!$B$23*AA398)),1,0)</f>
        <v/>
      </c>
      <c r="AD398" s="3">
        <f>IF(AND(E398&lt;&gt;"",E398&gt;=Controls!$B$21,E398&lt;=Controls!$B$22),1,0)</f>
        <v/>
      </c>
      <c r="AE398" s="3">
        <f>IF(IFERROR(VLOOKUP(D398,Controls!$A$36:$E$46,2,FALSE()),"No")="Yes",1,0)</f>
        <v/>
      </c>
      <c r="AF398" s="3">
        <f>IF(IFERROR(VLOOKUP(D398,Controls!$A$36:$E$46,3,FALSE()),"No")="Yes",1,0)</f>
        <v/>
      </c>
      <c r="AG398" s="3">
        <f>IF(IFERROR(VLOOKUP(D398,Controls!$A$36:$E$46,4,FALSE()),"No")="Yes",1,0)</f>
        <v/>
      </c>
      <c r="AH398" s="3">
        <f>IF(IFERROR(VLOOKUP(D398,Controls!$A$36:$E$46,5,FALSE()),"No")="Yes",1,0)</f>
        <v/>
      </c>
      <c r="AI398" s="3">
        <f>IF(ISNUMBER(MATCH(D398,Controls!$A$36:$A$46,0)),1,0)</f>
        <v/>
      </c>
      <c r="AJ398" s="28">
        <f>Q398-N398</f>
        <v/>
      </c>
      <c r="AK398" s="3">
        <f>IF(AE398=1,MAX(0,N398-Q398),0)</f>
        <v/>
      </c>
      <c r="AL398" s="3">
        <f>IF(OR(V398="",V398=0),0,N398/V398)</f>
        <v/>
      </c>
      <c r="AM398" s="3">
        <f>IF(OR(V398="",V398=0),0,1)</f>
        <v/>
      </c>
      <c r="AN398" s="3">
        <f>IF(OR(E398="",F398=""),0,NETWORKDAYS(E398,F398,Ref!$K$2:$K$42))</f>
        <v/>
      </c>
      <c r="AO398" s="3">
        <f>IF(L398="Renewal",1,0)</f>
        <v/>
      </c>
      <c r="AP398" s="3">
        <f>AC398*AD398</f>
        <v/>
      </c>
      <c r="AQ398" s="3">
        <f>IF(AND(G398&lt;&gt;"",'Historical Score'!$C$6&lt;&gt;""),IF(G398='Historical Score'!$C$6,1,0),0)</f>
        <v/>
      </c>
      <c r="AR398" s="3">
        <f>IF(AND(L398&lt;&gt;"",'Historical Score'!$C$5&lt;&gt;""),IF(L398='Historical Score'!$C$5,1,0),0)</f>
        <v/>
      </c>
      <c r="AS398" s="3">
        <f>IF(AND(Y398&lt;&gt;"",'Historical Score'!$C$7&lt;&gt;""),IF(Y398='Historical Score'!$C$7,1,0),0)</f>
        <v/>
      </c>
      <c r="AT398" s="3">
        <f>IF(AND(K398&lt;&gt;"",'Historical Score'!$C$8&lt;&gt;""),IF(K398='Historical Score'!$C$8,1,0),0)</f>
        <v/>
      </c>
      <c r="AU398" s="3" t="n"/>
      <c r="AV398" s="3" t="n"/>
      <c r="AW398" s="3" t="n"/>
      <c r="AX398" s="3" t="n"/>
      <c r="AY398" s="3" t="n"/>
      <c r="AZ398" s="3" t="n"/>
      <c r="BA398" s="182">
        <f>IF(AD398=1,(AR398*'Historical Score'!$K$29+1-'Historical Score'!$K$29)*(AT398*'Historical Score'!$L$29+1-'Historical Score'!$L$29)*(AS398*'Historical Score'!$M$29+1-'Historical Score'!$M$29)*(AQ398*'Historical Score'!$N$29+1-'Historical Score'!$N$29),0)</f>
        <v/>
      </c>
      <c r="BB398" s="3" t="n"/>
      <c r="BC398" s="3" t="n"/>
    </row>
    <row r="399" ht="15.75" customHeight="1" s="174">
      <c r="A399" s="3" t="inlineStr">
        <is>
          <t>5674173257</t>
        </is>
      </c>
      <c r="B399" s="3" t="inlineStr">
        <is>
          <t>FLORES HOME COOKING</t>
        </is>
      </c>
      <c r="C399" s="3" t="inlineStr">
        <is>
          <t>LINDA MARIANA LUNA</t>
        </is>
      </c>
      <c r="D399" s="3" t="inlineStr">
        <is>
          <t>Bankruptcy</t>
        </is>
      </c>
      <c r="E399" s="23" t="n">
        <v>45993</v>
      </c>
      <c r="F399" s="23" t="n">
        <v>46153</v>
      </c>
      <c r="G399" s="3" t="n">
        <v>3</v>
      </c>
      <c r="H399" s="3" t="inlineStr">
        <is>
          <t>5812</t>
        </is>
      </c>
      <c r="I399" s="3" t="inlineStr">
        <is>
          <t>58</t>
        </is>
      </c>
      <c r="J399" s="3" t="inlineStr">
        <is>
          <t>TX</t>
        </is>
      </c>
      <c r="K399" s="3" t="inlineStr">
        <is>
          <t>level 3 funding</t>
        </is>
      </c>
      <c r="L399" s="3" t="inlineStr">
        <is>
          <t>New Deal</t>
        </is>
      </c>
      <c r="M399" s="3" t="n">
        <v>1.499</v>
      </c>
      <c r="N399" s="28" t="n">
        <v>5000</v>
      </c>
      <c r="O399" s="28" t="n">
        <v>700</v>
      </c>
      <c r="P399" s="28" t="n">
        <v>7495</v>
      </c>
      <c r="Q399" s="28" t="n">
        <v>3853.52</v>
      </c>
      <c r="R399" s="28" t="n">
        <v>3641.48</v>
      </c>
      <c r="S399" s="42" t="n">
        <v>0.514145430286858</v>
      </c>
      <c r="T399" s="3" t="n">
        <v>2.787</v>
      </c>
      <c r="U399" s="3" t="n">
        <v>16</v>
      </c>
      <c r="V399" s="3" t="n">
        <v>28918.69</v>
      </c>
      <c r="W399" s="42" t="n">
        <v>0.0636</v>
      </c>
      <c r="X399" s="23" t="n">
        <v>44278</v>
      </c>
      <c r="Y399" s="3">
        <f>IF(I399="","No SIC",IFERROR(VLOOKUP(I399,Ref!$A$2:$B$65,2,FALSE()),"Unclassified"))</f>
        <v/>
      </c>
      <c r="Z399" s="3">
        <f>IF(T399="","",IF(T399&lt;12,"Daily","Weekly"))</f>
        <v/>
      </c>
      <c r="AA399" s="3">
        <f>IF(T399="",0,IF(T399&lt;12,T399*Controls!$B$13,T399*5))</f>
        <v/>
      </c>
      <c r="AB399" s="3">
        <f>IF(E399="",0,NETWORKDAYS(E399,Controls!$B$20,Ref!$K$2:$K$42))</f>
        <v/>
      </c>
      <c r="AC399" s="3">
        <f>IF(OR(AF399=1,AND(AA399&gt;0,AB399&gt;=Controls!$B$23*AA399)),1,0)</f>
        <v/>
      </c>
      <c r="AD399" s="3">
        <f>IF(AND(E399&lt;&gt;"",E399&gt;=Controls!$B$21,E399&lt;=Controls!$B$22),1,0)</f>
        <v/>
      </c>
      <c r="AE399" s="3">
        <f>IF(IFERROR(VLOOKUP(D399,Controls!$A$36:$E$46,2,FALSE()),"No")="Yes",1,0)</f>
        <v/>
      </c>
      <c r="AF399" s="3">
        <f>IF(IFERROR(VLOOKUP(D399,Controls!$A$36:$E$46,3,FALSE()),"No")="Yes",1,0)</f>
        <v/>
      </c>
      <c r="AG399" s="3">
        <f>IF(IFERROR(VLOOKUP(D399,Controls!$A$36:$E$46,4,FALSE()),"No")="Yes",1,0)</f>
        <v/>
      </c>
      <c r="AH399" s="3">
        <f>IF(IFERROR(VLOOKUP(D399,Controls!$A$36:$E$46,5,FALSE()),"No")="Yes",1,0)</f>
        <v/>
      </c>
      <c r="AI399" s="3">
        <f>IF(ISNUMBER(MATCH(D399,Controls!$A$36:$A$46,0)),1,0)</f>
        <v/>
      </c>
      <c r="AJ399" s="28">
        <f>Q399-N399</f>
        <v/>
      </c>
      <c r="AK399" s="3">
        <f>IF(AE399=1,MAX(0,N399-Q399),0)</f>
        <v/>
      </c>
      <c r="AL399" s="3">
        <f>IF(OR(V399="",V399=0),0,N399/V399)</f>
        <v/>
      </c>
      <c r="AM399" s="3">
        <f>IF(OR(V399="",V399=0),0,1)</f>
        <v/>
      </c>
      <c r="AN399" s="3">
        <f>IF(OR(E399="",F399=""),0,NETWORKDAYS(E399,F399,Ref!$K$2:$K$42))</f>
        <v/>
      </c>
      <c r="AO399" s="3">
        <f>IF(L399="Renewal",1,0)</f>
        <v/>
      </c>
      <c r="AP399" s="3">
        <f>AC399*AD399</f>
        <v/>
      </c>
      <c r="AQ399" s="3">
        <f>IF(AND(G399&lt;&gt;"",'Historical Score'!$C$6&lt;&gt;""),IF(G399='Historical Score'!$C$6,1,0),0)</f>
        <v/>
      </c>
      <c r="AR399" s="3">
        <f>IF(AND(L399&lt;&gt;"",'Historical Score'!$C$5&lt;&gt;""),IF(L399='Historical Score'!$C$5,1,0),0)</f>
        <v/>
      </c>
      <c r="AS399" s="3">
        <f>IF(AND(Y399&lt;&gt;"",'Historical Score'!$C$7&lt;&gt;""),IF(Y399='Historical Score'!$C$7,1,0),0)</f>
        <v/>
      </c>
      <c r="AT399" s="3">
        <f>IF(AND(K399&lt;&gt;"",'Historical Score'!$C$8&lt;&gt;""),IF(K399='Historical Score'!$C$8,1,0),0)</f>
        <v/>
      </c>
      <c r="AU399" s="3" t="n"/>
      <c r="AV399" s="3" t="n"/>
      <c r="AW399" s="3" t="n"/>
      <c r="AX399" s="3" t="n"/>
      <c r="AY399" s="3" t="n"/>
      <c r="AZ399" s="3" t="n"/>
      <c r="BA399" s="182">
        <f>IF(AD399=1,(AR399*'Historical Score'!$K$29+1-'Historical Score'!$K$29)*(AT399*'Historical Score'!$L$29+1-'Historical Score'!$L$29)*(AS399*'Historical Score'!$M$29+1-'Historical Score'!$M$29)*(AQ399*'Historical Score'!$N$29+1-'Historical Score'!$N$29),0)</f>
        <v/>
      </c>
      <c r="BB399" s="3" t="n"/>
      <c r="BC399" s="3" t="n"/>
    </row>
    <row r="400" ht="15.75" customHeight="1" s="174">
      <c r="A400" s="3" t="inlineStr">
        <is>
          <t>5674173261</t>
        </is>
      </c>
      <c r="B400" s="3" t="inlineStr">
        <is>
          <t>More Clean of Texas</t>
        </is>
      </c>
      <c r="C400" s="3" t="inlineStr">
        <is>
          <t>Watts Enterprises LLc</t>
        </is>
      </c>
      <c r="D400" s="3" t="inlineStr">
        <is>
          <t>Closed</t>
        </is>
      </c>
      <c r="E400" s="23" t="n">
        <v>45993</v>
      </c>
      <c r="F400" s="23" t="n">
        <v>46164</v>
      </c>
      <c r="G400" s="3" t="n">
        <v>4</v>
      </c>
      <c r="H400" s="3" t="inlineStr">
        <is>
          <t>1442</t>
        </is>
      </c>
      <c r="I400" s="3" t="inlineStr">
        <is>
          <t>14</t>
        </is>
      </c>
      <c r="J400" s="3" t="inlineStr">
        <is>
          <t>TX</t>
        </is>
      </c>
      <c r="K400" s="3" t="inlineStr">
        <is>
          <t>SNA Capital source</t>
        </is>
      </c>
      <c r="L400" s="3" t="inlineStr">
        <is>
          <t>New Deal</t>
        </is>
      </c>
      <c r="M400" s="3" t="n">
        <v>1.46</v>
      </c>
      <c r="N400" s="28" t="n">
        <v>25000</v>
      </c>
      <c r="O400" s="28" t="n">
        <v>3125</v>
      </c>
      <c r="P400" s="28" t="n">
        <v>36500</v>
      </c>
      <c r="Q400" s="28" t="n">
        <v>36500</v>
      </c>
      <c r="R400" s="28" t="n">
        <v>0</v>
      </c>
      <c r="S400" s="42" t="n">
        <v>1</v>
      </c>
      <c r="T400" s="3" t="n">
        <v>22</v>
      </c>
      <c r="U400" s="3" t="n">
        <v>3</v>
      </c>
      <c r="V400" s="3" t="n">
        <v>236224.68</v>
      </c>
      <c r="W400" s="42" t="n">
        <v>0.0359</v>
      </c>
      <c r="X400" s="23" t="n">
        <v>41640</v>
      </c>
      <c r="Y400" s="3">
        <f>IF(I400="","No SIC",IFERROR(VLOOKUP(I400,Ref!$A$2:$B$65,2,FALSE()),"Unclassified"))</f>
        <v/>
      </c>
      <c r="Z400" s="3">
        <f>IF(T400="","",IF(T400&lt;12,"Daily","Weekly"))</f>
        <v/>
      </c>
      <c r="AA400" s="3">
        <f>IF(T400="",0,IF(T400&lt;12,T400*Controls!$B$13,T400*5))</f>
        <v/>
      </c>
      <c r="AB400" s="3">
        <f>IF(E400="",0,NETWORKDAYS(E400,Controls!$B$20,Ref!$K$2:$K$42))</f>
        <v/>
      </c>
      <c r="AC400" s="3">
        <f>IF(OR(AF400=1,AND(AA400&gt;0,AB400&gt;=Controls!$B$23*AA400)),1,0)</f>
        <v/>
      </c>
      <c r="AD400" s="3">
        <f>IF(AND(E400&lt;&gt;"",E400&gt;=Controls!$B$21,E400&lt;=Controls!$B$22),1,0)</f>
        <v/>
      </c>
      <c r="AE400" s="3">
        <f>IF(IFERROR(VLOOKUP(D400,Controls!$A$36:$E$46,2,FALSE()),"No")="Yes",1,0)</f>
        <v/>
      </c>
      <c r="AF400" s="3">
        <f>IF(IFERROR(VLOOKUP(D400,Controls!$A$36:$E$46,3,FALSE()),"No")="Yes",1,0)</f>
        <v/>
      </c>
      <c r="AG400" s="3">
        <f>IF(IFERROR(VLOOKUP(D400,Controls!$A$36:$E$46,4,FALSE()),"No")="Yes",1,0)</f>
        <v/>
      </c>
      <c r="AH400" s="3">
        <f>IF(IFERROR(VLOOKUP(D400,Controls!$A$36:$E$46,5,FALSE()),"No")="Yes",1,0)</f>
        <v/>
      </c>
      <c r="AI400" s="3">
        <f>IF(ISNUMBER(MATCH(D400,Controls!$A$36:$A$46,0)),1,0)</f>
        <v/>
      </c>
      <c r="AJ400" s="28">
        <f>Q400-N400</f>
        <v/>
      </c>
      <c r="AK400" s="3">
        <f>IF(AE400=1,MAX(0,N400-Q400),0)</f>
        <v/>
      </c>
      <c r="AL400" s="3">
        <f>IF(OR(V400="",V400=0),0,N400/V400)</f>
        <v/>
      </c>
      <c r="AM400" s="3">
        <f>IF(OR(V400="",V400=0),0,1)</f>
        <v/>
      </c>
      <c r="AN400" s="3">
        <f>IF(OR(E400="",F400=""),0,NETWORKDAYS(E400,F400,Ref!$K$2:$K$42))</f>
        <v/>
      </c>
      <c r="AO400" s="3">
        <f>IF(L400="Renewal",1,0)</f>
        <v/>
      </c>
      <c r="AP400" s="3">
        <f>AC400*AD400</f>
        <v/>
      </c>
      <c r="AQ400" s="3">
        <f>IF(AND(G400&lt;&gt;"",'Historical Score'!$C$6&lt;&gt;""),IF(G400='Historical Score'!$C$6,1,0),0)</f>
        <v/>
      </c>
      <c r="AR400" s="3">
        <f>IF(AND(L400&lt;&gt;"",'Historical Score'!$C$5&lt;&gt;""),IF(L400='Historical Score'!$C$5,1,0),0)</f>
        <v/>
      </c>
      <c r="AS400" s="3">
        <f>IF(AND(Y400&lt;&gt;"",'Historical Score'!$C$7&lt;&gt;""),IF(Y400='Historical Score'!$C$7,1,0),0)</f>
        <v/>
      </c>
      <c r="AT400" s="3">
        <f>IF(AND(K400&lt;&gt;"",'Historical Score'!$C$8&lt;&gt;""),IF(K400='Historical Score'!$C$8,1,0),0)</f>
        <v/>
      </c>
      <c r="AU400" s="3" t="n"/>
      <c r="AV400" s="3" t="n"/>
      <c r="AW400" s="3" t="n"/>
      <c r="AX400" s="3" t="n"/>
      <c r="AY400" s="3" t="n"/>
      <c r="AZ400" s="3" t="n"/>
      <c r="BA400" s="182">
        <f>IF(AD400=1,(AR400*'Historical Score'!$K$29+1-'Historical Score'!$K$29)*(AT400*'Historical Score'!$L$29+1-'Historical Score'!$L$29)*(AS400*'Historical Score'!$M$29+1-'Historical Score'!$M$29)*(AQ400*'Historical Score'!$N$29+1-'Historical Score'!$N$29),0)</f>
        <v/>
      </c>
      <c r="BB400" s="3" t="n"/>
      <c r="BC400" s="3" t="n"/>
    </row>
    <row r="401" ht="15.75" customHeight="1" s="174">
      <c r="A401" s="3" t="inlineStr">
        <is>
          <t>5674173324</t>
        </is>
      </c>
      <c r="B401" s="3" t="inlineStr">
        <is>
          <t>SilentG Consulting, LLC</t>
        </is>
      </c>
      <c r="C401" s="3" t="inlineStr">
        <is>
          <t>SilentG Consulting, LLC</t>
        </is>
      </c>
      <c r="D401" s="3" t="inlineStr">
        <is>
          <t>Closed</t>
        </is>
      </c>
      <c r="E401" s="23" t="n">
        <v>45994</v>
      </c>
      <c r="F401" s="23" t="n">
        <v>46115</v>
      </c>
      <c r="G401" s="3" t="n">
        <v>1</v>
      </c>
      <c r="H401" s="3" t="inlineStr">
        <is>
          <t>8742</t>
        </is>
      </c>
      <c r="I401" s="3" t="inlineStr">
        <is>
          <t>87</t>
        </is>
      </c>
      <c r="J401" s="3" t="inlineStr">
        <is>
          <t>NV</t>
        </is>
      </c>
      <c r="K401" s="3" t="inlineStr">
        <is>
          <t>Platform Funding</t>
        </is>
      </c>
      <c r="L401" s="3" t="inlineStr">
        <is>
          <t>New Deal</t>
        </is>
      </c>
      <c r="M401" s="3" t="n">
        <v>1.49</v>
      </c>
      <c r="N401" s="28" t="n">
        <v>5000</v>
      </c>
      <c r="O401" s="28" t="n">
        <v>700</v>
      </c>
      <c r="P401" s="28" t="n">
        <v>7450</v>
      </c>
      <c r="Q401" s="28" t="n">
        <v>7450</v>
      </c>
      <c r="R401" s="28" t="n">
        <v>0</v>
      </c>
      <c r="S401" s="42" t="n">
        <v>1</v>
      </c>
      <c r="T401" s="3" t="n">
        <v>18</v>
      </c>
      <c r="U401" s="3" t="n">
        <v>0</v>
      </c>
      <c r="V401" s="3" t="n">
        <v>14839.46</v>
      </c>
      <c r="W401" s="42" t="n">
        <v>0.1116</v>
      </c>
      <c r="X401" s="23" t="n">
        <v>44125</v>
      </c>
      <c r="Y401" s="3">
        <f>IF(I401="","No SIC",IFERROR(VLOOKUP(I401,Ref!$A$2:$B$65,2,FALSE()),"Unclassified"))</f>
        <v/>
      </c>
      <c r="Z401" s="3">
        <f>IF(T401="","",IF(T401&lt;12,"Daily","Weekly"))</f>
        <v/>
      </c>
      <c r="AA401" s="3">
        <f>IF(T401="",0,IF(T401&lt;12,T401*Controls!$B$13,T401*5))</f>
        <v/>
      </c>
      <c r="AB401" s="3">
        <f>IF(E401="",0,NETWORKDAYS(E401,Controls!$B$20,Ref!$K$2:$K$42))</f>
        <v/>
      </c>
      <c r="AC401" s="3">
        <f>IF(OR(AF401=1,AND(AA401&gt;0,AB401&gt;=Controls!$B$23*AA401)),1,0)</f>
        <v/>
      </c>
      <c r="AD401" s="3">
        <f>IF(AND(E401&lt;&gt;"",E401&gt;=Controls!$B$21,E401&lt;=Controls!$B$22),1,0)</f>
        <v/>
      </c>
      <c r="AE401" s="3">
        <f>IF(IFERROR(VLOOKUP(D401,Controls!$A$36:$E$46,2,FALSE()),"No")="Yes",1,0)</f>
        <v/>
      </c>
      <c r="AF401" s="3">
        <f>IF(IFERROR(VLOOKUP(D401,Controls!$A$36:$E$46,3,FALSE()),"No")="Yes",1,0)</f>
        <v/>
      </c>
      <c r="AG401" s="3">
        <f>IF(IFERROR(VLOOKUP(D401,Controls!$A$36:$E$46,4,FALSE()),"No")="Yes",1,0)</f>
        <v/>
      </c>
      <c r="AH401" s="3">
        <f>IF(IFERROR(VLOOKUP(D401,Controls!$A$36:$E$46,5,FALSE()),"No")="Yes",1,0)</f>
        <v/>
      </c>
      <c r="AI401" s="3">
        <f>IF(ISNUMBER(MATCH(D401,Controls!$A$36:$A$46,0)),1,0)</f>
        <v/>
      </c>
      <c r="AJ401" s="28">
        <f>Q401-N401</f>
        <v/>
      </c>
      <c r="AK401" s="3">
        <f>IF(AE401=1,MAX(0,N401-Q401),0)</f>
        <v/>
      </c>
      <c r="AL401" s="3">
        <f>IF(OR(V401="",V401=0),0,N401/V401)</f>
        <v/>
      </c>
      <c r="AM401" s="3">
        <f>IF(OR(V401="",V401=0),0,1)</f>
        <v/>
      </c>
      <c r="AN401" s="3">
        <f>IF(OR(E401="",F401=""),0,NETWORKDAYS(E401,F401,Ref!$K$2:$K$42))</f>
        <v/>
      </c>
      <c r="AO401" s="3">
        <f>IF(L401="Renewal",1,0)</f>
        <v/>
      </c>
      <c r="AP401" s="3">
        <f>AC401*AD401</f>
        <v/>
      </c>
      <c r="AQ401" s="3">
        <f>IF(AND(G401&lt;&gt;"",'Historical Score'!$C$6&lt;&gt;""),IF(G401='Historical Score'!$C$6,1,0),0)</f>
        <v/>
      </c>
      <c r="AR401" s="3">
        <f>IF(AND(L401&lt;&gt;"",'Historical Score'!$C$5&lt;&gt;""),IF(L401='Historical Score'!$C$5,1,0),0)</f>
        <v/>
      </c>
      <c r="AS401" s="3">
        <f>IF(AND(Y401&lt;&gt;"",'Historical Score'!$C$7&lt;&gt;""),IF(Y401='Historical Score'!$C$7,1,0),0)</f>
        <v/>
      </c>
      <c r="AT401" s="3">
        <f>IF(AND(K401&lt;&gt;"",'Historical Score'!$C$8&lt;&gt;""),IF(K401='Historical Score'!$C$8,1,0),0)</f>
        <v/>
      </c>
      <c r="AU401" s="3" t="n"/>
      <c r="AV401" s="3" t="n"/>
      <c r="AW401" s="3" t="n"/>
      <c r="AX401" s="3" t="n"/>
      <c r="AY401" s="3" t="n"/>
      <c r="AZ401" s="3" t="n"/>
      <c r="BA401" s="182">
        <f>IF(AD401=1,(AR401*'Historical Score'!$K$29+1-'Historical Score'!$K$29)*(AT401*'Historical Score'!$L$29+1-'Historical Score'!$L$29)*(AS401*'Historical Score'!$M$29+1-'Historical Score'!$M$29)*(AQ401*'Historical Score'!$N$29+1-'Historical Score'!$N$29),0)</f>
        <v/>
      </c>
      <c r="BB401" s="3" t="n"/>
      <c r="BC401" s="3" t="n"/>
    </row>
    <row r="402" ht="15.75" customHeight="1" s="174">
      <c r="A402" s="3" t="inlineStr">
        <is>
          <t>5674173334</t>
        </is>
      </c>
      <c r="B402" s="3" t="inlineStr">
        <is>
          <t>Robinson Law Firm LLC</t>
        </is>
      </c>
      <c r="C402" s="3" t="inlineStr">
        <is>
          <t>Robinson Law Firm LLC</t>
        </is>
      </c>
      <c r="D402" s="3" t="inlineStr">
        <is>
          <t>Closed</t>
        </is>
      </c>
      <c r="E402" s="23" t="n">
        <v>45994</v>
      </c>
      <c r="F402" s="23" t="n">
        <v>46170</v>
      </c>
      <c r="G402" s="3" t="n">
        <v>2</v>
      </c>
      <c r="H402" s="3" t="inlineStr">
        <is>
          <t>8111</t>
        </is>
      </c>
      <c r="I402" s="3" t="inlineStr">
        <is>
          <t>81</t>
        </is>
      </c>
      <c r="J402" s="3" t="inlineStr">
        <is>
          <t>KY</t>
        </is>
      </c>
      <c r="K402" s="3" t="inlineStr">
        <is>
          <t>Linked In Funding</t>
        </is>
      </c>
      <c r="L402" s="3" t="inlineStr">
        <is>
          <t>New Deal</t>
        </is>
      </c>
      <c r="M402" s="3" t="n">
        <v>1.49</v>
      </c>
      <c r="N402" s="28" t="n">
        <v>5000</v>
      </c>
      <c r="O402" s="28" t="n">
        <v>700</v>
      </c>
      <c r="P402" s="28" t="n">
        <v>7450</v>
      </c>
      <c r="Q402" s="28" t="n">
        <v>7450</v>
      </c>
      <c r="R402" s="28" t="n">
        <v>0</v>
      </c>
      <c r="S402" s="42" t="n">
        <v>1</v>
      </c>
      <c r="T402" s="3" t="n">
        <v>3.279</v>
      </c>
      <c r="U402" s="3" t="n">
        <v>6</v>
      </c>
      <c r="V402" s="3" t="n">
        <v>14600.1</v>
      </c>
      <c r="W402" s="42" t="n">
        <v>0.1072</v>
      </c>
      <c r="X402" s="23" t="n">
        <v>40349</v>
      </c>
      <c r="Y402" s="3">
        <f>IF(I402="","No SIC",IFERROR(VLOOKUP(I402,Ref!$A$2:$B$65,2,FALSE()),"Unclassified"))</f>
        <v/>
      </c>
      <c r="Z402" s="3">
        <f>IF(T402="","",IF(T402&lt;12,"Daily","Weekly"))</f>
        <v/>
      </c>
      <c r="AA402" s="3">
        <f>IF(T402="",0,IF(T402&lt;12,T402*Controls!$B$13,T402*5))</f>
        <v/>
      </c>
      <c r="AB402" s="3">
        <f>IF(E402="",0,NETWORKDAYS(E402,Controls!$B$20,Ref!$K$2:$K$42))</f>
        <v/>
      </c>
      <c r="AC402" s="3">
        <f>IF(OR(AF402=1,AND(AA402&gt;0,AB402&gt;=Controls!$B$23*AA402)),1,0)</f>
        <v/>
      </c>
      <c r="AD402" s="3">
        <f>IF(AND(E402&lt;&gt;"",E402&gt;=Controls!$B$21,E402&lt;=Controls!$B$22),1,0)</f>
        <v/>
      </c>
      <c r="AE402" s="3">
        <f>IF(IFERROR(VLOOKUP(D402,Controls!$A$36:$E$46,2,FALSE()),"No")="Yes",1,0)</f>
        <v/>
      </c>
      <c r="AF402" s="3">
        <f>IF(IFERROR(VLOOKUP(D402,Controls!$A$36:$E$46,3,FALSE()),"No")="Yes",1,0)</f>
        <v/>
      </c>
      <c r="AG402" s="3">
        <f>IF(IFERROR(VLOOKUP(D402,Controls!$A$36:$E$46,4,FALSE()),"No")="Yes",1,0)</f>
        <v/>
      </c>
      <c r="AH402" s="3">
        <f>IF(IFERROR(VLOOKUP(D402,Controls!$A$36:$E$46,5,FALSE()),"No")="Yes",1,0)</f>
        <v/>
      </c>
      <c r="AI402" s="3">
        <f>IF(ISNUMBER(MATCH(D402,Controls!$A$36:$A$46,0)),1,0)</f>
        <v/>
      </c>
      <c r="AJ402" s="28">
        <f>Q402-N402</f>
        <v/>
      </c>
      <c r="AK402" s="3">
        <f>IF(AE402=1,MAX(0,N402-Q402),0)</f>
        <v/>
      </c>
      <c r="AL402" s="3">
        <f>IF(OR(V402="",V402=0),0,N402/V402)</f>
        <v/>
      </c>
      <c r="AM402" s="3">
        <f>IF(OR(V402="",V402=0),0,1)</f>
        <v/>
      </c>
      <c r="AN402" s="3">
        <f>IF(OR(E402="",F402=""),0,NETWORKDAYS(E402,F402,Ref!$K$2:$K$42))</f>
        <v/>
      </c>
      <c r="AO402" s="3">
        <f>IF(L402="Renewal",1,0)</f>
        <v/>
      </c>
      <c r="AP402" s="3">
        <f>AC402*AD402</f>
        <v/>
      </c>
      <c r="AQ402" s="3">
        <f>IF(AND(G402&lt;&gt;"",'Historical Score'!$C$6&lt;&gt;""),IF(G402='Historical Score'!$C$6,1,0),0)</f>
        <v/>
      </c>
      <c r="AR402" s="3">
        <f>IF(AND(L402&lt;&gt;"",'Historical Score'!$C$5&lt;&gt;""),IF(L402='Historical Score'!$C$5,1,0),0)</f>
        <v/>
      </c>
      <c r="AS402" s="3">
        <f>IF(AND(Y402&lt;&gt;"",'Historical Score'!$C$7&lt;&gt;""),IF(Y402='Historical Score'!$C$7,1,0),0)</f>
        <v/>
      </c>
      <c r="AT402" s="3">
        <f>IF(AND(K402&lt;&gt;"",'Historical Score'!$C$8&lt;&gt;""),IF(K402='Historical Score'!$C$8,1,0),0)</f>
        <v/>
      </c>
      <c r="AU402" s="3" t="n"/>
      <c r="AV402" s="3" t="n"/>
      <c r="AW402" s="3" t="n"/>
      <c r="AX402" s="3" t="n"/>
      <c r="AY402" s="3" t="n"/>
      <c r="AZ402" s="3" t="n"/>
      <c r="BA402" s="182">
        <f>IF(AD402=1,(AR402*'Historical Score'!$K$29+1-'Historical Score'!$K$29)*(AT402*'Historical Score'!$L$29+1-'Historical Score'!$L$29)*(AS402*'Historical Score'!$M$29+1-'Historical Score'!$M$29)*(AQ402*'Historical Score'!$N$29+1-'Historical Score'!$N$29),0)</f>
        <v/>
      </c>
      <c r="BB402" s="3" t="n"/>
      <c r="BC402" s="3" t="n"/>
    </row>
    <row r="403" ht="15.75" customHeight="1" s="174">
      <c r="A403" s="3" t="inlineStr">
        <is>
          <t>5674173340</t>
        </is>
      </c>
      <c r="B403" s="3" t="inlineStr">
        <is>
          <t>SC GROUP LLC</t>
        </is>
      </c>
      <c r="C403" s="3" t="inlineStr">
        <is>
          <t>SC GROUP LLC</t>
        </is>
      </c>
      <c r="D403" s="3" t="inlineStr">
        <is>
          <t>Closed</t>
        </is>
      </c>
      <c r="E403" s="23" t="n">
        <v>45994</v>
      </c>
      <c r="F403" s="23" t="n">
        <v>46079</v>
      </c>
      <c r="G403" s="3" t="n">
        <v>3</v>
      </c>
      <c r="H403" s="3" t="inlineStr">
        <is>
          <t>7629</t>
        </is>
      </c>
      <c r="I403" s="3" t="inlineStr">
        <is>
          <t>76</t>
        </is>
      </c>
      <c r="J403" s="3" t="inlineStr">
        <is>
          <t>NJ</t>
        </is>
      </c>
      <c r="K403" s="3" t="inlineStr">
        <is>
          <t>level 3 funding</t>
        </is>
      </c>
      <c r="L403" s="3" t="inlineStr">
        <is>
          <t>New Deal</t>
        </is>
      </c>
      <c r="M403" s="3" t="n">
        <v>1.5</v>
      </c>
      <c r="N403" s="28" t="n">
        <v>7500</v>
      </c>
      <c r="O403" s="28" t="n">
        <v>1050</v>
      </c>
      <c r="P403" s="28" t="n">
        <v>11250</v>
      </c>
      <c r="Q403" s="28" t="n">
        <v>11250</v>
      </c>
      <c r="R403" s="28" t="n">
        <v>0</v>
      </c>
      <c r="S403" s="42" t="n">
        <v>1</v>
      </c>
      <c r="T403" s="3" t="n">
        <v>2.951</v>
      </c>
      <c r="U403" s="3" t="n">
        <v>0</v>
      </c>
      <c r="V403" s="3" t="n">
        <v>38306.63</v>
      </c>
      <c r="W403" s="42" t="n">
        <v>0.068</v>
      </c>
      <c r="X403" s="23" t="n">
        <v>43374</v>
      </c>
      <c r="Y403" s="3">
        <f>IF(I403="","No SIC",IFERROR(VLOOKUP(I403,Ref!$A$2:$B$65,2,FALSE()),"Unclassified"))</f>
        <v/>
      </c>
      <c r="Z403" s="3">
        <f>IF(T403="","",IF(T403&lt;12,"Daily","Weekly"))</f>
        <v/>
      </c>
      <c r="AA403" s="3">
        <f>IF(T403="",0,IF(T403&lt;12,T403*Controls!$B$13,T403*5))</f>
        <v/>
      </c>
      <c r="AB403" s="3">
        <f>IF(E403="",0,NETWORKDAYS(E403,Controls!$B$20,Ref!$K$2:$K$42))</f>
        <v/>
      </c>
      <c r="AC403" s="3">
        <f>IF(OR(AF403=1,AND(AA403&gt;0,AB403&gt;=Controls!$B$23*AA403)),1,0)</f>
        <v/>
      </c>
      <c r="AD403" s="3">
        <f>IF(AND(E403&lt;&gt;"",E403&gt;=Controls!$B$21,E403&lt;=Controls!$B$22),1,0)</f>
        <v/>
      </c>
      <c r="AE403" s="3">
        <f>IF(IFERROR(VLOOKUP(D403,Controls!$A$36:$E$46,2,FALSE()),"No")="Yes",1,0)</f>
        <v/>
      </c>
      <c r="AF403" s="3">
        <f>IF(IFERROR(VLOOKUP(D403,Controls!$A$36:$E$46,3,FALSE()),"No")="Yes",1,0)</f>
        <v/>
      </c>
      <c r="AG403" s="3">
        <f>IF(IFERROR(VLOOKUP(D403,Controls!$A$36:$E$46,4,FALSE()),"No")="Yes",1,0)</f>
        <v/>
      </c>
      <c r="AH403" s="3">
        <f>IF(IFERROR(VLOOKUP(D403,Controls!$A$36:$E$46,5,FALSE()),"No")="Yes",1,0)</f>
        <v/>
      </c>
      <c r="AI403" s="3">
        <f>IF(ISNUMBER(MATCH(D403,Controls!$A$36:$A$46,0)),1,0)</f>
        <v/>
      </c>
      <c r="AJ403" s="28">
        <f>Q403-N403</f>
        <v/>
      </c>
      <c r="AK403" s="3">
        <f>IF(AE403=1,MAX(0,N403-Q403),0)</f>
        <v/>
      </c>
      <c r="AL403" s="3">
        <f>IF(OR(V403="",V403=0),0,N403/V403)</f>
        <v/>
      </c>
      <c r="AM403" s="3">
        <f>IF(OR(V403="",V403=0),0,1)</f>
        <v/>
      </c>
      <c r="AN403" s="3">
        <f>IF(OR(E403="",F403=""),0,NETWORKDAYS(E403,F403,Ref!$K$2:$K$42))</f>
        <v/>
      </c>
      <c r="AO403" s="3">
        <f>IF(L403="Renewal",1,0)</f>
        <v/>
      </c>
      <c r="AP403" s="3">
        <f>AC403*AD403</f>
        <v/>
      </c>
      <c r="AQ403" s="3">
        <f>IF(AND(G403&lt;&gt;"",'Historical Score'!$C$6&lt;&gt;""),IF(G403='Historical Score'!$C$6,1,0),0)</f>
        <v/>
      </c>
      <c r="AR403" s="3">
        <f>IF(AND(L403&lt;&gt;"",'Historical Score'!$C$5&lt;&gt;""),IF(L403='Historical Score'!$C$5,1,0),0)</f>
        <v/>
      </c>
      <c r="AS403" s="3">
        <f>IF(AND(Y403&lt;&gt;"",'Historical Score'!$C$7&lt;&gt;""),IF(Y403='Historical Score'!$C$7,1,0),0)</f>
        <v/>
      </c>
      <c r="AT403" s="3">
        <f>IF(AND(K403&lt;&gt;"",'Historical Score'!$C$8&lt;&gt;""),IF(K403='Historical Score'!$C$8,1,0),0)</f>
        <v/>
      </c>
      <c r="AU403" s="3" t="n"/>
      <c r="AV403" s="3" t="n"/>
      <c r="AW403" s="3" t="n"/>
      <c r="AX403" s="3" t="n"/>
      <c r="AY403" s="3" t="n"/>
      <c r="AZ403" s="3" t="n"/>
      <c r="BA403" s="182">
        <f>IF(AD403=1,(AR403*'Historical Score'!$K$29+1-'Historical Score'!$K$29)*(AT403*'Historical Score'!$L$29+1-'Historical Score'!$L$29)*(AS403*'Historical Score'!$M$29+1-'Historical Score'!$M$29)*(AQ403*'Historical Score'!$N$29+1-'Historical Score'!$N$29),0)</f>
        <v/>
      </c>
      <c r="BB403" s="3" t="n"/>
      <c r="BC403" s="3" t="n"/>
    </row>
    <row r="404" ht="15.75" customHeight="1" s="174">
      <c r="A404" s="3" t="inlineStr">
        <is>
          <t>5674173377</t>
        </is>
      </c>
      <c r="B404" s="3" t="inlineStr">
        <is>
          <t>Aero Systems LLC</t>
        </is>
      </c>
      <c r="C404" s="3" t="inlineStr">
        <is>
          <t>Aero Systems LLC</t>
        </is>
      </c>
      <c r="D404" s="3" t="inlineStr">
        <is>
          <t>Legal</t>
        </is>
      </c>
      <c r="E404" s="23" t="n">
        <v>45994</v>
      </c>
      <c r="F404" s="23" t="n">
        <v>46029</v>
      </c>
      <c r="G404" s="3" t="n">
        <v>4</v>
      </c>
      <c r="H404" s="3" t="inlineStr">
        <is>
          <t>4581</t>
        </is>
      </c>
      <c r="I404" s="3" t="inlineStr">
        <is>
          <t>45</t>
        </is>
      </c>
      <c r="J404" s="3" t="inlineStr">
        <is>
          <t>TX</t>
        </is>
      </c>
      <c r="K404" s="3" t="inlineStr">
        <is>
          <t>Fundwell</t>
        </is>
      </c>
      <c r="L404" s="3" t="inlineStr">
        <is>
          <t>New Deal</t>
        </is>
      </c>
      <c r="M404" s="3" t="n">
        <v>1.39</v>
      </c>
      <c r="N404" s="28" t="n">
        <v>50000</v>
      </c>
      <c r="O404" s="28" t="n">
        <v>6750</v>
      </c>
      <c r="P404" s="28" t="n">
        <v>69500</v>
      </c>
      <c r="Q404" s="28" t="n">
        <v>7721.72</v>
      </c>
      <c r="R404" s="28" t="n">
        <v>61778.28</v>
      </c>
      <c r="S404" s="42" t="n">
        <v>0.111103884892086</v>
      </c>
      <c r="T404" s="3" t="n">
        <v>36</v>
      </c>
      <c r="U404" s="3" t="n">
        <v>1</v>
      </c>
      <c r="V404" s="3" t="n">
        <v>142205.11</v>
      </c>
      <c r="W404" s="42" t="n">
        <v>0.0543</v>
      </c>
      <c r="X404" s="23" t="n"/>
      <c r="Y404" s="3">
        <f>IF(I404="","No SIC",IFERROR(VLOOKUP(I404,Ref!$A$2:$B$65,2,FALSE()),"Unclassified"))</f>
        <v/>
      </c>
      <c r="Z404" s="3">
        <f>IF(T404="","",IF(T404&lt;12,"Daily","Weekly"))</f>
        <v/>
      </c>
      <c r="AA404" s="3">
        <f>IF(T404="",0,IF(T404&lt;12,T404*Controls!$B$13,T404*5))</f>
        <v/>
      </c>
      <c r="AB404" s="3">
        <f>IF(E404="",0,NETWORKDAYS(E404,Controls!$B$20,Ref!$K$2:$K$42))</f>
        <v/>
      </c>
      <c r="AC404" s="3">
        <f>IF(OR(AF404=1,AND(AA404&gt;0,AB404&gt;=Controls!$B$23*AA404)),1,0)</f>
        <v/>
      </c>
      <c r="AD404" s="3">
        <f>IF(AND(E404&lt;&gt;"",E404&gt;=Controls!$B$21,E404&lt;=Controls!$B$22),1,0)</f>
        <v/>
      </c>
      <c r="AE404" s="3">
        <f>IF(IFERROR(VLOOKUP(D404,Controls!$A$36:$E$46,2,FALSE()),"No")="Yes",1,0)</f>
        <v/>
      </c>
      <c r="AF404" s="3">
        <f>IF(IFERROR(VLOOKUP(D404,Controls!$A$36:$E$46,3,FALSE()),"No")="Yes",1,0)</f>
        <v/>
      </c>
      <c r="AG404" s="3">
        <f>IF(IFERROR(VLOOKUP(D404,Controls!$A$36:$E$46,4,FALSE()),"No")="Yes",1,0)</f>
        <v/>
      </c>
      <c r="AH404" s="3">
        <f>IF(IFERROR(VLOOKUP(D404,Controls!$A$36:$E$46,5,FALSE()),"No")="Yes",1,0)</f>
        <v/>
      </c>
      <c r="AI404" s="3">
        <f>IF(ISNUMBER(MATCH(D404,Controls!$A$36:$A$46,0)),1,0)</f>
        <v/>
      </c>
      <c r="AJ404" s="28">
        <f>Q404-N404</f>
        <v/>
      </c>
      <c r="AK404" s="3">
        <f>IF(AE404=1,MAX(0,N404-Q404),0)</f>
        <v/>
      </c>
      <c r="AL404" s="3">
        <f>IF(OR(V404="",V404=0),0,N404/V404)</f>
        <v/>
      </c>
      <c r="AM404" s="3">
        <f>IF(OR(V404="",V404=0),0,1)</f>
        <v/>
      </c>
      <c r="AN404" s="3">
        <f>IF(OR(E404="",F404=""),0,NETWORKDAYS(E404,F404,Ref!$K$2:$K$42))</f>
        <v/>
      </c>
      <c r="AO404" s="3">
        <f>IF(L404="Renewal",1,0)</f>
        <v/>
      </c>
      <c r="AP404" s="3">
        <f>AC404*AD404</f>
        <v/>
      </c>
      <c r="AQ404" s="3">
        <f>IF(AND(G404&lt;&gt;"",'Historical Score'!$C$6&lt;&gt;""),IF(G404='Historical Score'!$C$6,1,0),0)</f>
        <v/>
      </c>
      <c r="AR404" s="3">
        <f>IF(AND(L404&lt;&gt;"",'Historical Score'!$C$5&lt;&gt;""),IF(L404='Historical Score'!$C$5,1,0),0)</f>
        <v/>
      </c>
      <c r="AS404" s="3">
        <f>IF(AND(Y404&lt;&gt;"",'Historical Score'!$C$7&lt;&gt;""),IF(Y404='Historical Score'!$C$7,1,0),0)</f>
        <v/>
      </c>
      <c r="AT404" s="3">
        <f>IF(AND(K404&lt;&gt;"",'Historical Score'!$C$8&lt;&gt;""),IF(K404='Historical Score'!$C$8,1,0),0)</f>
        <v/>
      </c>
      <c r="AU404" s="3" t="n"/>
      <c r="AV404" s="3" t="n"/>
      <c r="AW404" s="3" t="n"/>
      <c r="AX404" s="3" t="n"/>
      <c r="AY404" s="3" t="n"/>
      <c r="AZ404" s="3" t="n"/>
      <c r="BA404" s="182">
        <f>IF(AD404=1,(AR404*'Historical Score'!$K$29+1-'Historical Score'!$K$29)*(AT404*'Historical Score'!$L$29+1-'Historical Score'!$L$29)*(AS404*'Historical Score'!$M$29+1-'Historical Score'!$M$29)*(AQ404*'Historical Score'!$N$29+1-'Historical Score'!$N$29),0)</f>
        <v/>
      </c>
      <c r="BB404" s="3" t="n"/>
      <c r="BC404" s="3" t="n"/>
    </row>
    <row r="405" ht="15.75" customHeight="1" s="174">
      <c r="A405" s="3" t="inlineStr">
        <is>
          <t>5674173462</t>
        </is>
      </c>
      <c r="B405" s="3" t="inlineStr">
        <is>
          <t>F AND K HOMECARE SERVICES LLC</t>
        </is>
      </c>
      <c r="C405" s="3" t="inlineStr">
        <is>
          <t>F AND K HOMECARE SERVICES LLC</t>
        </is>
      </c>
      <c r="D405" s="3" t="inlineStr">
        <is>
          <t>In House Collection</t>
        </is>
      </c>
      <c r="E405" s="23" t="n">
        <v>45995</v>
      </c>
      <c r="F405" s="23" t="n">
        <v>46178</v>
      </c>
      <c r="G405" s="3" t="n">
        <v>2</v>
      </c>
      <c r="H405" s="3" t="inlineStr">
        <is>
          <t>8082</t>
        </is>
      </c>
      <c r="I405" s="3" t="inlineStr">
        <is>
          <t>80</t>
        </is>
      </c>
      <c r="J405" s="3" t="inlineStr">
        <is>
          <t>MN</t>
        </is>
      </c>
      <c r="K405" s="3" t="inlineStr">
        <is>
          <t>Westwood</t>
        </is>
      </c>
      <c r="L405" s="3" t="inlineStr">
        <is>
          <t>New Deal</t>
        </is>
      </c>
      <c r="M405" s="3" t="n">
        <v>1.49</v>
      </c>
      <c r="N405" s="28" t="n">
        <v>12000</v>
      </c>
      <c r="O405" s="28" t="n">
        <v>1680</v>
      </c>
      <c r="P405" s="28" t="n">
        <v>17880</v>
      </c>
      <c r="Q405" s="28" t="n">
        <v>7947.39</v>
      </c>
      <c r="R405" s="28" t="n">
        <v>9932.610000000001</v>
      </c>
      <c r="S405" s="42" t="n">
        <v>0.444484899328859</v>
      </c>
      <c r="T405" s="3" t="n">
        <v>18</v>
      </c>
      <c r="U405" s="3" t="n">
        <v>14</v>
      </c>
      <c r="V405" s="3" t="n">
        <v>45727.67</v>
      </c>
      <c r="W405" s="42" t="n">
        <v>0.08690000000000001</v>
      </c>
      <c r="X405" s="23" t="n">
        <v>43831</v>
      </c>
      <c r="Y405" s="3">
        <f>IF(I405="","No SIC",IFERROR(VLOOKUP(I405,Ref!$A$2:$B$65,2,FALSE()),"Unclassified"))</f>
        <v/>
      </c>
      <c r="Z405" s="3">
        <f>IF(T405="","",IF(T405&lt;12,"Daily","Weekly"))</f>
        <v/>
      </c>
      <c r="AA405" s="3">
        <f>IF(T405="",0,IF(T405&lt;12,T405*Controls!$B$13,T405*5))</f>
        <v/>
      </c>
      <c r="AB405" s="3">
        <f>IF(E405="",0,NETWORKDAYS(E405,Controls!$B$20,Ref!$K$2:$K$42))</f>
        <v/>
      </c>
      <c r="AC405" s="3">
        <f>IF(OR(AF405=1,AND(AA405&gt;0,AB405&gt;=Controls!$B$23*AA405)),1,0)</f>
        <v/>
      </c>
      <c r="AD405" s="3">
        <f>IF(AND(E405&lt;&gt;"",E405&gt;=Controls!$B$21,E405&lt;=Controls!$B$22),1,0)</f>
        <v/>
      </c>
      <c r="AE405" s="3">
        <f>IF(IFERROR(VLOOKUP(D405,Controls!$A$36:$E$46,2,FALSE()),"No")="Yes",1,0)</f>
        <v/>
      </c>
      <c r="AF405" s="3">
        <f>IF(IFERROR(VLOOKUP(D405,Controls!$A$36:$E$46,3,FALSE()),"No")="Yes",1,0)</f>
        <v/>
      </c>
      <c r="AG405" s="3">
        <f>IF(IFERROR(VLOOKUP(D405,Controls!$A$36:$E$46,4,FALSE()),"No")="Yes",1,0)</f>
        <v/>
      </c>
      <c r="AH405" s="3">
        <f>IF(IFERROR(VLOOKUP(D405,Controls!$A$36:$E$46,5,FALSE()),"No")="Yes",1,0)</f>
        <v/>
      </c>
      <c r="AI405" s="3">
        <f>IF(ISNUMBER(MATCH(D405,Controls!$A$36:$A$46,0)),1,0)</f>
        <v/>
      </c>
      <c r="AJ405" s="28">
        <f>Q405-N405</f>
        <v/>
      </c>
      <c r="AK405" s="3">
        <f>IF(AE405=1,MAX(0,N405-Q405),0)</f>
        <v/>
      </c>
      <c r="AL405" s="3">
        <f>IF(OR(V405="",V405=0),0,N405/V405)</f>
        <v/>
      </c>
      <c r="AM405" s="3">
        <f>IF(OR(V405="",V405=0),0,1)</f>
        <v/>
      </c>
      <c r="AN405" s="3">
        <f>IF(OR(E405="",F405=""),0,NETWORKDAYS(E405,F405,Ref!$K$2:$K$42))</f>
        <v/>
      </c>
      <c r="AO405" s="3">
        <f>IF(L405="Renewal",1,0)</f>
        <v/>
      </c>
      <c r="AP405" s="3">
        <f>AC405*AD405</f>
        <v/>
      </c>
      <c r="AQ405" s="3">
        <f>IF(AND(G405&lt;&gt;"",'Historical Score'!$C$6&lt;&gt;""),IF(G405='Historical Score'!$C$6,1,0),0)</f>
        <v/>
      </c>
      <c r="AR405" s="3">
        <f>IF(AND(L405&lt;&gt;"",'Historical Score'!$C$5&lt;&gt;""),IF(L405='Historical Score'!$C$5,1,0),0)</f>
        <v/>
      </c>
      <c r="AS405" s="3">
        <f>IF(AND(Y405&lt;&gt;"",'Historical Score'!$C$7&lt;&gt;""),IF(Y405='Historical Score'!$C$7,1,0),0)</f>
        <v/>
      </c>
      <c r="AT405" s="3">
        <f>IF(AND(K405&lt;&gt;"",'Historical Score'!$C$8&lt;&gt;""),IF(K405='Historical Score'!$C$8,1,0),0)</f>
        <v/>
      </c>
      <c r="AU405" s="3" t="n"/>
      <c r="AV405" s="3" t="n"/>
      <c r="AW405" s="3" t="n"/>
      <c r="AX405" s="3" t="n"/>
      <c r="AY405" s="3" t="n"/>
      <c r="AZ405" s="3" t="n"/>
      <c r="BA405" s="182">
        <f>IF(AD405=1,(AR405*'Historical Score'!$K$29+1-'Historical Score'!$K$29)*(AT405*'Historical Score'!$L$29+1-'Historical Score'!$L$29)*(AS405*'Historical Score'!$M$29+1-'Historical Score'!$M$29)*(AQ405*'Historical Score'!$N$29+1-'Historical Score'!$N$29),0)</f>
        <v/>
      </c>
      <c r="BB405" s="3" t="n"/>
      <c r="BC405" s="3" t="n"/>
    </row>
    <row r="406" ht="15.75" customHeight="1" s="174">
      <c r="A406" s="3" t="inlineStr">
        <is>
          <t>5674173466</t>
        </is>
      </c>
      <c r="B406" s="3" t="inlineStr">
        <is>
          <t>CASTROS CARGO EXPRESS LLC</t>
        </is>
      </c>
      <c r="C406" s="3" t="inlineStr">
        <is>
          <t>CASTROS CARGO EXPRESS LLC</t>
        </is>
      </c>
      <c r="D406" s="3" t="inlineStr">
        <is>
          <t>Closed</t>
        </is>
      </c>
      <c r="E406" s="23" t="n">
        <v>45995</v>
      </c>
      <c r="F406" s="23" t="n">
        <v>46051</v>
      </c>
      <c r="G406" s="3" t="n">
        <v>2</v>
      </c>
      <c r="H406" s="3" t="inlineStr">
        <is>
          <t>4212</t>
        </is>
      </c>
      <c r="I406" s="3" t="inlineStr">
        <is>
          <t>42</t>
        </is>
      </c>
      <c r="J406" s="3" t="inlineStr">
        <is>
          <t>NJ</t>
        </is>
      </c>
      <c r="K406" s="3" t="inlineStr">
        <is>
          <t>United Secured Capital 8</t>
        </is>
      </c>
      <c r="L406" s="3" t="inlineStr">
        <is>
          <t>New Deal</t>
        </is>
      </c>
      <c r="M406" s="3" t="n">
        <v>1.499</v>
      </c>
      <c r="N406" s="28" t="n">
        <v>8000</v>
      </c>
      <c r="O406" s="28" t="n">
        <v>1120</v>
      </c>
      <c r="P406" s="28" t="n">
        <v>11992</v>
      </c>
      <c r="Q406" s="28" t="n">
        <v>11992</v>
      </c>
      <c r="R406" s="28" t="n">
        <v>0</v>
      </c>
      <c r="S406" s="42" t="n">
        <v>1</v>
      </c>
      <c r="T406" s="3" t="n">
        <v>2.295</v>
      </c>
      <c r="U406" s="3" t="n">
        <v>0</v>
      </c>
      <c r="V406" s="3" t="n">
        <v>8926.51</v>
      </c>
      <c r="W406" s="42" t="n">
        <v>0.4006</v>
      </c>
      <c r="X406" s="23" t="n"/>
      <c r="Y406" s="3">
        <f>IF(I406="","No SIC",IFERROR(VLOOKUP(I406,Ref!$A$2:$B$65,2,FALSE()),"Unclassified"))</f>
        <v/>
      </c>
      <c r="Z406" s="3">
        <f>IF(T406="","",IF(T406&lt;12,"Daily","Weekly"))</f>
        <v/>
      </c>
      <c r="AA406" s="3">
        <f>IF(T406="",0,IF(T406&lt;12,T406*Controls!$B$13,T406*5))</f>
        <v/>
      </c>
      <c r="AB406" s="3">
        <f>IF(E406="",0,NETWORKDAYS(E406,Controls!$B$20,Ref!$K$2:$K$42))</f>
        <v/>
      </c>
      <c r="AC406" s="3">
        <f>IF(OR(AF406=1,AND(AA406&gt;0,AB406&gt;=Controls!$B$23*AA406)),1,0)</f>
        <v/>
      </c>
      <c r="AD406" s="3">
        <f>IF(AND(E406&lt;&gt;"",E406&gt;=Controls!$B$21,E406&lt;=Controls!$B$22),1,0)</f>
        <v/>
      </c>
      <c r="AE406" s="3">
        <f>IF(IFERROR(VLOOKUP(D406,Controls!$A$36:$E$46,2,FALSE()),"No")="Yes",1,0)</f>
        <v/>
      </c>
      <c r="AF406" s="3">
        <f>IF(IFERROR(VLOOKUP(D406,Controls!$A$36:$E$46,3,FALSE()),"No")="Yes",1,0)</f>
        <v/>
      </c>
      <c r="AG406" s="3">
        <f>IF(IFERROR(VLOOKUP(D406,Controls!$A$36:$E$46,4,FALSE()),"No")="Yes",1,0)</f>
        <v/>
      </c>
      <c r="AH406" s="3">
        <f>IF(IFERROR(VLOOKUP(D406,Controls!$A$36:$E$46,5,FALSE()),"No")="Yes",1,0)</f>
        <v/>
      </c>
      <c r="AI406" s="3">
        <f>IF(ISNUMBER(MATCH(D406,Controls!$A$36:$A$46,0)),1,0)</f>
        <v/>
      </c>
      <c r="AJ406" s="28">
        <f>Q406-N406</f>
        <v/>
      </c>
      <c r="AK406" s="3">
        <f>IF(AE406=1,MAX(0,N406-Q406),0)</f>
        <v/>
      </c>
      <c r="AL406" s="3">
        <f>IF(OR(V406="",V406=0),0,N406/V406)</f>
        <v/>
      </c>
      <c r="AM406" s="3">
        <f>IF(OR(V406="",V406=0),0,1)</f>
        <v/>
      </c>
      <c r="AN406" s="3">
        <f>IF(OR(E406="",F406=""),0,NETWORKDAYS(E406,F406,Ref!$K$2:$K$42))</f>
        <v/>
      </c>
      <c r="AO406" s="3">
        <f>IF(L406="Renewal",1,0)</f>
        <v/>
      </c>
      <c r="AP406" s="3">
        <f>AC406*AD406</f>
        <v/>
      </c>
      <c r="AQ406" s="3">
        <f>IF(AND(G406&lt;&gt;"",'Historical Score'!$C$6&lt;&gt;""),IF(G406='Historical Score'!$C$6,1,0),0)</f>
        <v/>
      </c>
      <c r="AR406" s="3">
        <f>IF(AND(L406&lt;&gt;"",'Historical Score'!$C$5&lt;&gt;""),IF(L406='Historical Score'!$C$5,1,0),0)</f>
        <v/>
      </c>
      <c r="AS406" s="3">
        <f>IF(AND(Y406&lt;&gt;"",'Historical Score'!$C$7&lt;&gt;""),IF(Y406='Historical Score'!$C$7,1,0),0)</f>
        <v/>
      </c>
      <c r="AT406" s="3">
        <f>IF(AND(K406&lt;&gt;"",'Historical Score'!$C$8&lt;&gt;""),IF(K406='Historical Score'!$C$8,1,0),0)</f>
        <v/>
      </c>
      <c r="AU406" s="3" t="n"/>
      <c r="AV406" s="3" t="n"/>
      <c r="AW406" s="3" t="n"/>
      <c r="AX406" s="3" t="n"/>
      <c r="AY406" s="3" t="n"/>
      <c r="AZ406" s="3" t="n"/>
      <c r="BA406" s="182">
        <f>IF(AD406=1,(AR406*'Historical Score'!$K$29+1-'Historical Score'!$K$29)*(AT406*'Historical Score'!$L$29+1-'Historical Score'!$L$29)*(AS406*'Historical Score'!$M$29+1-'Historical Score'!$M$29)*(AQ406*'Historical Score'!$N$29+1-'Historical Score'!$N$29),0)</f>
        <v/>
      </c>
      <c r="BB406" s="3" t="n"/>
      <c r="BC406" s="3" t="n"/>
    </row>
    <row r="407" ht="15.75" customHeight="1" s="174">
      <c r="A407" s="3" t="inlineStr">
        <is>
          <t>5674173467</t>
        </is>
      </c>
      <c r="B407" s="3" t="inlineStr">
        <is>
          <t>B&amp;T Construction And Remodels</t>
        </is>
      </c>
      <c r="C407" s="3" t="inlineStr">
        <is>
          <t>B&amp;T CONSTRUCTION AND REMODELS LLC</t>
        </is>
      </c>
      <c r="D407" s="3" t="inlineStr">
        <is>
          <t>Open</t>
        </is>
      </c>
      <c r="E407" s="23" t="n">
        <v>45995</v>
      </c>
      <c r="F407" s="23" t="n">
        <v>46248</v>
      </c>
      <c r="G407" s="3" t="n">
        <v>3</v>
      </c>
      <c r="H407" s="3" t="inlineStr">
        <is>
          <t>1442</t>
        </is>
      </c>
      <c r="I407" s="3" t="inlineStr">
        <is>
          <t>14</t>
        </is>
      </c>
      <c r="J407" s="3" t="inlineStr">
        <is>
          <t>ID</t>
        </is>
      </c>
      <c r="K407" s="3" t="inlineStr">
        <is>
          <t>Fundwell</t>
        </is>
      </c>
      <c r="L407" s="3" t="inlineStr">
        <is>
          <t>New Deal</t>
        </is>
      </c>
      <c r="M407" s="3" t="n">
        <v>1.46</v>
      </c>
      <c r="N407" s="28" t="n">
        <v>40000</v>
      </c>
      <c r="O407" s="28" t="n">
        <v>6200</v>
      </c>
      <c r="P407" s="28" t="n">
        <v>58400</v>
      </c>
      <c r="Q407" s="28" t="n">
        <v>58400</v>
      </c>
      <c r="R407" s="28" t="n">
        <v>0</v>
      </c>
      <c r="S407" s="42" t="n">
        <v>1</v>
      </c>
      <c r="T407" s="3" t="n">
        <v>40</v>
      </c>
      <c r="U407" s="3" t="n">
        <v>1</v>
      </c>
      <c r="V407" s="3" t="n">
        <v>100259.01</v>
      </c>
      <c r="W407" s="42" t="n">
        <v>0.0582</v>
      </c>
      <c r="X407" s="23" t="n">
        <v>42382</v>
      </c>
      <c r="Y407" s="3">
        <f>IF(I407="","No SIC",IFERROR(VLOOKUP(I407,Ref!$A$2:$B$65,2,FALSE()),"Unclassified"))</f>
        <v/>
      </c>
      <c r="Z407" s="3">
        <f>IF(T407="","",IF(T407&lt;12,"Daily","Weekly"))</f>
        <v/>
      </c>
      <c r="AA407" s="3">
        <f>IF(T407="",0,IF(T407&lt;12,T407*Controls!$B$13,T407*5))</f>
        <v/>
      </c>
      <c r="AB407" s="3">
        <f>IF(E407="",0,NETWORKDAYS(E407,Controls!$B$20,Ref!$K$2:$K$42))</f>
        <v/>
      </c>
      <c r="AC407" s="3">
        <f>IF(OR(AF407=1,AND(AA407&gt;0,AB407&gt;=Controls!$B$23*AA407)),1,0)</f>
        <v/>
      </c>
      <c r="AD407" s="3">
        <f>IF(AND(E407&lt;&gt;"",E407&gt;=Controls!$B$21,E407&lt;=Controls!$B$22),1,0)</f>
        <v/>
      </c>
      <c r="AE407" s="3">
        <f>IF(IFERROR(VLOOKUP(D407,Controls!$A$36:$E$46,2,FALSE()),"No")="Yes",1,0)</f>
        <v/>
      </c>
      <c r="AF407" s="3">
        <f>IF(IFERROR(VLOOKUP(D407,Controls!$A$36:$E$46,3,FALSE()),"No")="Yes",1,0)</f>
        <v/>
      </c>
      <c r="AG407" s="3">
        <f>IF(IFERROR(VLOOKUP(D407,Controls!$A$36:$E$46,4,FALSE()),"No")="Yes",1,0)</f>
        <v/>
      </c>
      <c r="AH407" s="3">
        <f>IF(IFERROR(VLOOKUP(D407,Controls!$A$36:$E$46,5,FALSE()),"No")="Yes",1,0)</f>
        <v/>
      </c>
      <c r="AI407" s="3">
        <f>IF(ISNUMBER(MATCH(D407,Controls!$A$36:$A$46,0)),1,0)</f>
        <v/>
      </c>
      <c r="AJ407" s="28">
        <f>Q407-N407</f>
        <v/>
      </c>
      <c r="AK407" s="3">
        <f>IF(AE407=1,MAX(0,N407-Q407),0)</f>
        <v/>
      </c>
      <c r="AL407" s="3">
        <f>IF(OR(V407="",V407=0),0,N407/V407)</f>
        <v/>
      </c>
      <c r="AM407" s="3">
        <f>IF(OR(V407="",V407=0),0,1)</f>
        <v/>
      </c>
      <c r="AN407" s="3">
        <f>IF(OR(E407="",F407=""),0,NETWORKDAYS(E407,F407,Ref!$K$2:$K$42))</f>
        <v/>
      </c>
      <c r="AO407" s="3">
        <f>IF(L407="Renewal",1,0)</f>
        <v/>
      </c>
      <c r="AP407" s="3">
        <f>AC407*AD407</f>
        <v/>
      </c>
      <c r="AQ407" s="3">
        <f>IF(AND(G407&lt;&gt;"",'Historical Score'!$C$6&lt;&gt;""),IF(G407='Historical Score'!$C$6,1,0),0)</f>
        <v/>
      </c>
      <c r="AR407" s="3">
        <f>IF(AND(L407&lt;&gt;"",'Historical Score'!$C$5&lt;&gt;""),IF(L407='Historical Score'!$C$5,1,0),0)</f>
        <v/>
      </c>
      <c r="AS407" s="3">
        <f>IF(AND(Y407&lt;&gt;"",'Historical Score'!$C$7&lt;&gt;""),IF(Y407='Historical Score'!$C$7,1,0),0)</f>
        <v/>
      </c>
      <c r="AT407" s="3">
        <f>IF(AND(K407&lt;&gt;"",'Historical Score'!$C$8&lt;&gt;""),IF(K407='Historical Score'!$C$8,1,0),0)</f>
        <v/>
      </c>
      <c r="AU407" s="3" t="n"/>
      <c r="AV407" s="3" t="n"/>
      <c r="AW407" s="3" t="n"/>
      <c r="AX407" s="3" t="n"/>
      <c r="AY407" s="3" t="n"/>
      <c r="AZ407" s="3" t="n"/>
      <c r="BA407" s="182">
        <f>IF(AD407=1,(AR407*'Historical Score'!$K$29+1-'Historical Score'!$K$29)*(AT407*'Historical Score'!$L$29+1-'Historical Score'!$L$29)*(AS407*'Historical Score'!$M$29+1-'Historical Score'!$M$29)*(AQ407*'Historical Score'!$N$29+1-'Historical Score'!$N$29),0)</f>
        <v/>
      </c>
      <c r="BB407" s="3" t="n"/>
      <c r="BC407" s="3" t="n"/>
    </row>
    <row r="408" ht="15.75" customHeight="1" s="174">
      <c r="A408" s="3" t="inlineStr">
        <is>
          <t>5674173477</t>
        </is>
      </c>
      <c r="B408" s="3" t="inlineStr">
        <is>
          <t>SFV BUILDERS CORPORATION</t>
        </is>
      </c>
      <c r="C408" s="3" t="inlineStr">
        <is>
          <t>SFV BUILDERS CORPORATION</t>
        </is>
      </c>
      <c r="D408" s="3" t="inlineStr">
        <is>
          <t>Legal</t>
        </is>
      </c>
      <c r="E408" s="23" t="n">
        <v>45995</v>
      </c>
      <c r="F408" s="23" t="n">
        <v>46112</v>
      </c>
      <c r="G408" s="3" t="n">
        <v>2</v>
      </c>
      <c r="H408" s="3" t="inlineStr">
        <is>
          <t>1521</t>
        </is>
      </c>
      <c r="I408" s="3" t="inlineStr">
        <is>
          <t>15</t>
        </is>
      </c>
      <c r="J408" s="3" t="inlineStr">
        <is>
          <t>CA</t>
        </is>
      </c>
      <c r="K408" s="3" t="inlineStr">
        <is>
          <t>BizFin LLC</t>
        </is>
      </c>
      <c r="L408" s="3" t="inlineStr">
        <is>
          <t>New Deal</t>
        </is>
      </c>
      <c r="M408" s="3" t="n">
        <v>1.49</v>
      </c>
      <c r="N408" s="28" t="n">
        <v>7500</v>
      </c>
      <c r="O408" s="28" t="n">
        <v>1050</v>
      </c>
      <c r="P408" s="28" t="n">
        <v>11175</v>
      </c>
      <c r="Q408" s="28" t="n">
        <v>3916.15</v>
      </c>
      <c r="R408" s="28" t="n">
        <v>7258.85</v>
      </c>
      <c r="S408" s="42" t="n">
        <v>0.350438478747204</v>
      </c>
      <c r="T408" s="3" t="n">
        <v>20</v>
      </c>
      <c r="U408" s="3" t="n">
        <v>13</v>
      </c>
      <c r="V408" s="3" t="n">
        <v>78518.78</v>
      </c>
      <c r="W408" s="42" t="n">
        <v>0.0285</v>
      </c>
      <c r="X408" s="23" t="n">
        <v>44358</v>
      </c>
      <c r="Y408" s="3">
        <f>IF(I408="","No SIC",IFERROR(VLOOKUP(I408,Ref!$A$2:$B$65,2,FALSE()),"Unclassified"))</f>
        <v/>
      </c>
      <c r="Z408" s="3">
        <f>IF(T408="","",IF(T408&lt;12,"Daily","Weekly"))</f>
        <v/>
      </c>
      <c r="AA408" s="3">
        <f>IF(T408="",0,IF(T408&lt;12,T408*Controls!$B$13,T408*5))</f>
        <v/>
      </c>
      <c r="AB408" s="3">
        <f>IF(E408="",0,NETWORKDAYS(E408,Controls!$B$20,Ref!$K$2:$K$42))</f>
        <v/>
      </c>
      <c r="AC408" s="3">
        <f>IF(OR(AF408=1,AND(AA408&gt;0,AB408&gt;=Controls!$B$23*AA408)),1,0)</f>
        <v/>
      </c>
      <c r="AD408" s="3">
        <f>IF(AND(E408&lt;&gt;"",E408&gt;=Controls!$B$21,E408&lt;=Controls!$B$22),1,0)</f>
        <v/>
      </c>
      <c r="AE408" s="3">
        <f>IF(IFERROR(VLOOKUP(D408,Controls!$A$36:$E$46,2,FALSE()),"No")="Yes",1,0)</f>
        <v/>
      </c>
      <c r="AF408" s="3">
        <f>IF(IFERROR(VLOOKUP(D408,Controls!$A$36:$E$46,3,FALSE()),"No")="Yes",1,0)</f>
        <v/>
      </c>
      <c r="AG408" s="3">
        <f>IF(IFERROR(VLOOKUP(D408,Controls!$A$36:$E$46,4,FALSE()),"No")="Yes",1,0)</f>
        <v/>
      </c>
      <c r="AH408" s="3">
        <f>IF(IFERROR(VLOOKUP(D408,Controls!$A$36:$E$46,5,FALSE()),"No")="Yes",1,0)</f>
        <v/>
      </c>
      <c r="AI408" s="3">
        <f>IF(ISNUMBER(MATCH(D408,Controls!$A$36:$A$46,0)),1,0)</f>
        <v/>
      </c>
      <c r="AJ408" s="28">
        <f>Q408-N408</f>
        <v/>
      </c>
      <c r="AK408" s="3">
        <f>IF(AE408=1,MAX(0,N408-Q408),0)</f>
        <v/>
      </c>
      <c r="AL408" s="3">
        <f>IF(OR(V408="",V408=0),0,N408/V408)</f>
        <v/>
      </c>
      <c r="AM408" s="3">
        <f>IF(OR(V408="",V408=0),0,1)</f>
        <v/>
      </c>
      <c r="AN408" s="3">
        <f>IF(OR(E408="",F408=""),0,NETWORKDAYS(E408,F408,Ref!$K$2:$K$42))</f>
        <v/>
      </c>
      <c r="AO408" s="3">
        <f>IF(L408="Renewal",1,0)</f>
        <v/>
      </c>
      <c r="AP408" s="3">
        <f>AC408*AD408</f>
        <v/>
      </c>
      <c r="AQ408" s="3">
        <f>IF(AND(G408&lt;&gt;"",'Historical Score'!$C$6&lt;&gt;""),IF(G408='Historical Score'!$C$6,1,0),0)</f>
        <v/>
      </c>
      <c r="AR408" s="3">
        <f>IF(AND(L408&lt;&gt;"",'Historical Score'!$C$5&lt;&gt;""),IF(L408='Historical Score'!$C$5,1,0),0)</f>
        <v/>
      </c>
      <c r="AS408" s="3">
        <f>IF(AND(Y408&lt;&gt;"",'Historical Score'!$C$7&lt;&gt;""),IF(Y408='Historical Score'!$C$7,1,0),0)</f>
        <v/>
      </c>
      <c r="AT408" s="3">
        <f>IF(AND(K408&lt;&gt;"",'Historical Score'!$C$8&lt;&gt;""),IF(K408='Historical Score'!$C$8,1,0),0)</f>
        <v/>
      </c>
      <c r="AU408" s="3" t="n"/>
      <c r="AV408" s="3" t="n"/>
      <c r="AW408" s="3" t="n"/>
      <c r="AX408" s="3" t="n"/>
      <c r="AY408" s="3" t="n"/>
      <c r="AZ408" s="3" t="n"/>
      <c r="BA408" s="182">
        <f>IF(AD408=1,(AR408*'Historical Score'!$K$29+1-'Historical Score'!$K$29)*(AT408*'Historical Score'!$L$29+1-'Historical Score'!$L$29)*(AS408*'Historical Score'!$M$29+1-'Historical Score'!$M$29)*(AQ408*'Historical Score'!$N$29+1-'Historical Score'!$N$29),0)</f>
        <v/>
      </c>
      <c r="BB408" s="3" t="n"/>
      <c r="BC408" s="3" t="n"/>
    </row>
    <row r="409" ht="15.75" customHeight="1" s="174">
      <c r="A409" s="3" t="inlineStr">
        <is>
          <t>5674173492</t>
        </is>
      </c>
      <c r="B409" s="3" t="inlineStr">
        <is>
          <t>1234 ENTERPRISES INC.</t>
        </is>
      </c>
      <c r="C409" s="3" t="inlineStr">
        <is>
          <t>1234 ENTERPRISES INC.</t>
        </is>
      </c>
      <c r="D409" s="3" t="inlineStr">
        <is>
          <t>Lowered Payments</t>
        </is>
      </c>
      <c r="E409" s="23" t="n">
        <v>45995</v>
      </c>
      <c r="F409" s="23" t="n">
        <v>46247</v>
      </c>
      <c r="G409" s="3" t="n">
        <v>1</v>
      </c>
      <c r="H409" s="3" t="inlineStr">
        <is>
          <t>2396</t>
        </is>
      </c>
      <c r="I409" s="3" t="inlineStr">
        <is>
          <t>23</t>
        </is>
      </c>
      <c r="J409" s="3" t="inlineStr">
        <is>
          <t>UT</t>
        </is>
      </c>
      <c r="K409" s="3" t="inlineStr">
        <is>
          <t>Fundwell</t>
        </is>
      </c>
      <c r="L409" s="3" t="inlineStr">
        <is>
          <t>New Deal</t>
        </is>
      </c>
      <c r="M409" s="3" t="n">
        <v>1.44</v>
      </c>
      <c r="N409" s="28" t="n">
        <v>16000</v>
      </c>
      <c r="O409" s="28" t="n">
        <v>2400</v>
      </c>
      <c r="P409" s="28" t="n">
        <v>23040</v>
      </c>
      <c r="Q409" s="28" t="n">
        <v>5760.6</v>
      </c>
      <c r="R409" s="28" t="n">
        <v>17279.4</v>
      </c>
      <c r="S409" s="42" t="n">
        <v>0.250026041666667</v>
      </c>
      <c r="T409" s="3" t="n">
        <v>20</v>
      </c>
      <c r="U409" s="3" t="n">
        <v>26</v>
      </c>
      <c r="V409" s="3" t="n">
        <v>9644.16</v>
      </c>
      <c r="W409" s="42" t="n"/>
      <c r="X409" s="23" t="n">
        <v>45218</v>
      </c>
      <c r="Y409" s="3">
        <f>IF(I409="","No SIC",IFERROR(VLOOKUP(I409,Ref!$A$2:$B$65,2,FALSE()),"Unclassified"))</f>
        <v/>
      </c>
      <c r="Z409" s="3">
        <f>IF(T409="","",IF(T409&lt;12,"Daily","Weekly"))</f>
        <v/>
      </c>
      <c r="AA409" s="3">
        <f>IF(T409="",0,IF(T409&lt;12,T409*Controls!$B$13,T409*5))</f>
        <v/>
      </c>
      <c r="AB409" s="3">
        <f>IF(E409="",0,NETWORKDAYS(E409,Controls!$B$20,Ref!$K$2:$K$42))</f>
        <v/>
      </c>
      <c r="AC409" s="3">
        <f>IF(OR(AF409=1,AND(AA409&gt;0,AB409&gt;=Controls!$B$23*AA409)),1,0)</f>
        <v/>
      </c>
      <c r="AD409" s="3">
        <f>IF(AND(E409&lt;&gt;"",E409&gt;=Controls!$B$21,E409&lt;=Controls!$B$22),1,0)</f>
        <v/>
      </c>
      <c r="AE409" s="3">
        <f>IF(IFERROR(VLOOKUP(D409,Controls!$A$36:$E$46,2,FALSE()),"No")="Yes",1,0)</f>
        <v/>
      </c>
      <c r="AF409" s="3">
        <f>IF(IFERROR(VLOOKUP(D409,Controls!$A$36:$E$46,3,FALSE()),"No")="Yes",1,0)</f>
        <v/>
      </c>
      <c r="AG409" s="3">
        <f>IF(IFERROR(VLOOKUP(D409,Controls!$A$36:$E$46,4,FALSE()),"No")="Yes",1,0)</f>
        <v/>
      </c>
      <c r="AH409" s="3">
        <f>IF(IFERROR(VLOOKUP(D409,Controls!$A$36:$E$46,5,FALSE()),"No")="Yes",1,0)</f>
        <v/>
      </c>
      <c r="AI409" s="3">
        <f>IF(ISNUMBER(MATCH(D409,Controls!$A$36:$A$46,0)),1,0)</f>
        <v/>
      </c>
      <c r="AJ409" s="28">
        <f>Q409-N409</f>
        <v/>
      </c>
      <c r="AK409" s="3">
        <f>IF(AE409=1,MAX(0,N409-Q409),0)</f>
        <v/>
      </c>
      <c r="AL409" s="3">
        <f>IF(OR(V409="",V409=0),0,N409/V409)</f>
        <v/>
      </c>
      <c r="AM409" s="3">
        <f>IF(OR(V409="",V409=0),0,1)</f>
        <v/>
      </c>
      <c r="AN409" s="3">
        <f>IF(OR(E409="",F409=""),0,NETWORKDAYS(E409,F409,Ref!$K$2:$K$42))</f>
        <v/>
      </c>
      <c r="AO409" s="3">
        <f>IF(L409="Renewal",1,0)</f>
        <v/>
      </c>
      <c r="AP409" s="3">
        <f>AC409*AD409</f>
        <v/>
      </c>
      <c r="AQ409" s="3">
        <f>IF(AND(G409&lt;&gt;"",'Historical Score'!$C$6&lt;&gt;""),IF(G409='Historical Score'!$C$6,1,0),0)</f>
        <v/>
      </c>
      <c r="AR409" s="3">
        <f>IF(AND(L409&lt;&gt;"",'Historical Score'!$C$5&lt;&gt;""),IF(L409='Historical Score'!$C$5,1,0),0)</f>
        <v/>
      </c>
      <c r="AS409" s="3">
        <f>IF(AND(Y409&lt;&gt;"",'Historical Score'!$C$7&lt;&gt;""),IF(Y409='Historical Score'!$C$7,1,0),0)</f>
        <v/>
      </c>
      <c r="AT409" s="3">
        <f>IF(AND(K409&lt;&gt;"",'Historical Score'!$C$8&lt;&gt;""),IF(K409='Historical Score'!$C$8,1,0),0)</f>
        <v/>
      </c>
      <c r="AU409" s="3" t="n"/>
      <c r="AV409" s="3" t="n"/>
      <c r="AW409" s="3" t="n"/>
      <c r="AX409" s="3" t="n"/>
      <c r="AY409" s="3" t="n"/>
      <c r="AZ409" s="3" t="n"/>
      <c r="BA409" s="182">
        <f>IF(AD409=1,(AR409*'Historical Score'!$K$29+1-'Historical Score'!$K$29)*(AT409*'Historical Score'!$L$29+1-'Historical Score'!$L$29)*(AS409*'Historical Score'!$M$29+1-'Historical Score'!$M$29)*(AQ409*'Historical Score'!$N$29+1-'Historical Score'!$N$29),0)</f>
        <v/>
      </c>
      <c r="BB409" s="3" t="n"/>
      <c r="BC409" s="3" t="n"/>
    </row>
    <row r="410" ht="15.75" customHeight="1" s="174">
      <c r="A410" s="3" t="inlineStr">
        <is>
          <t>5674173525</t>
        </is>
      </c>
      <c r="B410" s="3" t="inlineStr">
        <is>
          <t>PIG COW SPUD LLC</t>
        </is>
      </c>
      <c r="C410" s="3" t="inlineStr">
        <is>
          <t>PIG COW SPUD LLC</t>
        </is>
      </c>
      <c r="D410" s="3" t="inlineStr">
        <is>
          <t>Legal</t>
        </is>
      </c>
      <c r="E410" s="23" t="n">
        <v>45995</v>
      </c>
      <c r="F410" s="23" t="n">
        <v>46024</v>
      </c>
      <c r="G410" s="3" t="n">
        <v>8</v>
      </c>
      <c r="H410" s="3" t="inlineStr">
        <is>
          <t>5812</t>
        </is>
      </c>
      <c r="I410" s="3" t="inlineStr">
        <is>
          <t>58</t>
        </is>
      </c>
      <c r="J410" s="3" t="inlineStr">
        <is>
          <t>OR</t>
        </is>
      </c>
      <c r="K410" s="3" t="inlineStr">
        <is>
          <t>United Secured Capital 8</t>
        </is>
      </c>
      <c r="L410" s="3" t="inlineStr">
        <is>
          <t>New Deal</t>
        </is>
      </c>
      <c r="M410" s="3" t="n">
        <v>1.499</v>
      </c>
      <c r="N410" s="28" t="n">
        <v>15000</v>
      </c>
      <c r="O410" s="28" t="n">
        <v>2100</v>
      </c>
      <c r="P410" s="28" t="n">
        <v>22485</v>
      </c>
      <c r="Q410" s="28" t="n">
        <v>7159.04</v>
      </c>
      <c r="R410" s="28" t="n">
        <v>15325.96</v>
      </c>
      <c r="S410" s="42" t="n">
        <v>0.318391816766733</v>
      </c>
      <c r="T410" s="3" t="n">
        <v>1.639</v>
      </c>
      <c r="U410" s="3" t="n">
        <v>3</v>
      </c>
      <c r="V410" s="3" t="n">
        <v>130322.36</v>
      </c>
      <c r="W410" s="42" t="n">
        <v>0.0721</v>
      </c>
      <c r="X410" s="23" t="n">
        <v>45017</v>
      </c>
      <c r="Y410" s="3">
        <f>IF(I410="","No SIC",IFERROR(VLOOKUP(I410,Ref!$A$2:$B$65,2,FALSE()),"Unclassified"))</f>
        <v/>
      </c>
      <c r="Z410" s="3">
        <f>IF(T410="","",IF(T410&lt;12,"Daily","Weekly"))</f>
        <v/>
      </c>
      <c r="AA410" s="3">
        <f>IF(T410="",0,IF(T410&lt;12,T410*Controls!$B$13,T410*5))</f>
        <v/>
      </c>
      <c r="AB410" s="3">
        <f>IF(E410="",0,NETWORKDAYS(E410,Controls!$B$20,Ref!$K$2:$K$42))</f>
        <v/>
      </c>
      <c r="AC410" s="3">
        <f>IF(OR(AF410=1,AND(AA410&gt;0,AB410&gt;=Controls!$B$23*AA410)),1,0)</f>
        <v/>
      </c>
      <c r="AD410" s="3">
        <f>IF(AND(E410&lt;&gt;"",E410&gt;=Controls!$B$21,E410&lt;=Controls!$B$22),1,0)</f>
        <v/>
      </c>
      <c r="AE410" s="3">
        <f>IF(IFERROR(VLOOKUP(D410,Controls!$A$36:$E$46,2,FALSE()),"No")="Yes",1,0)</f>
        <v/>
      </c>
      <c r="AF410" s="3">
        <f>IF(IFERROR(VLOOKUP(D410,Controls!$A$36:$E$46,3,FALSE()),"No")="Yes",1,0)</f>
        <v/>
      </c>
      <c r="AG410" s="3">
        <f>IF(IFERROR(VLOOKUP(D410,Controls!$A$36:$E$46,4,FALSE()),"No")="Yes",1,0)</f>
        <v/>
      </c>
      <c r="AH410" s="3">
        <f>IF(IFERROR(VLOOKUP(D410,Controls!$A$36:$E$46,5,FALSE()),"No")="Yes",1,0)</f>
        <v/>
      </c>
      <c r="AI410" s="3">
        <f>IF(ISNUMBER(MATCH(D410,Controls!$A$36:$A$46,0)),1,0)</f>
        <v/>
      </c>
      <c r="AJ410" s="28">
        <f>Q410-N410</f>
        <v/>
      </c>
      <c r="AK410" s="3">
        <f>IF(AE410=1,MAX(0,N410-Q410),0)</f>
        <v/>
      </c>
      <c r="AL410" s="3">
        <f>IF(OR(V410="",V410=0),0,N410/V410)</f>
        <v/>
      </c>
      <c r="AM410" s="3">
        <f>IF(OR(V410="",V410=0),0,1)</f>
        <v/>
      </c>
      <c r="AN410" s="3">
        <f>IF(OR(E410="",F410=""),0,NETWORKDAYS(E410,F410,Ref!$K$2:$K$42))</f>
        <v/>
      </c>
      <c r="AO410" s="3">
        <f>IF(L410="Renewal",1,0)</f>
        <v/>
      </c>
      <c r="AP410" s="3">
        <f>AC410*AD410</f>
        <v/>
      </c>
      <c r="AQ410" s="3">
        <f>IF(AND(G410&lt;&gt;"",'Historical Score'!$C$6&lt;&gt;""),IF(G410='Historical Score'!$C$6,1,0),0)</f>
        <v/>
      </c>
      <c r="AR410" s="3">
        <f>IF(AND(L410&lt;&gt;"",'Historical Score'!$C$5&lt;&gt;""),IF(L410='Historical Score'!$C$5,1,0),0)</f>
        <v/>
      </c>
      <c r="AS410" s="3">
        <f>IF(AND(Y410&lt;&gt;"",'Historical Score'!$C$7&lt;&gt;""),IF(Y410='Historical Score'!$C$7,1,0),0)</f>
        <v/>
      </c>
      <c r="AT410" s="3">
        <f>IF(AND(K410&lt;&gt;"",'Historical Score'!$C$8&lt;&gt;""),IF(K410='Historical Score'!$C$8,1,0),0)</f>
        <v/>
      </c>
      <c r="AU410" s="3" t="n"/>
      <c r="AV410" s="3" t="n"/>
      <c r="AW410" s="3" t="n"/>
      <c r="AX410" s="3" t="n"/>
      <c r="AY410" s="3" t="n"/>
      <c r="AZ410" s="3" t="n"/>
      <c r="BA410" s="182">
        <f>IF(AD410=1,(AR410*'Historical Score'!$K$29+1-'Historical Score'!$K$29)*(AT410*'Historical Score'!$L$29+1-'Historical Score'!$L$29)*(AS410*'Historical Score'!$M$29+1-'Historical Score'!$M$29)*(AQ410*'Historical Score'!$N$29+1-'Historical Score'!$N$29),0)</f>
        <v/>
      </c>
      <c r="BB410" s="3" t="n"/>
      <c r="BC410" s="3" t="n"/>
    </row>
    <row r="411" ht="15.75" customHeight="1" s="174">
      <c r="A411" s="3" t="inlineStr">
        <is>
          <t>5674173531</t>
        </is>
      </c>
      <c r="B411" s="3" t="inlineStr">
        <is>
          <t>IMPORT AUTOMOTIVE REPAIR</t>
        </is>
      </c>
      <c r="C411" s="3" t="inlineStr">
        <is>
          <t>TK FAMILY LLC</t>
        </is>
      </c>
      <c r="D411" s="3" t="inlineStr">
        <is>
          <t>Closed/NSF Unpaid</t>
        </is>
      </c>
      <c r="E411" s="23" t="n">
        <v>45995</v>
      </c>
      <c r="F411" s="23" t="n">
        <v>46154</v>
      </c>
      <c r="G411" s="3" t="n">
        <v>3</v>
      </c>
      <c r="H411" s="3" t="inlineStr">
        <is>
          <t>7538</t>
        </is>
      </c>
      <c r="I411" s="3" t="inlineStr">
        <is>
          <t>75</t>
        </is>
      </c>
      <c r="J411" s="3" t="inlineStr">
        <is>
          <t>CA</t>
        </is>
      </c>
      <c r="K411" s="3" t="inlineStr">
        <is>
          <t>Linked In Funding</t>
        </is>
      </c>
      <c r="L411" s="3" t="inlineStr">
        <is>
          <t>New Deal</t>
        </is>
      </c>
      <c r="M411" s="3" t="n">
        <v>1.44</v>
      </c>
      <c r="N411" s="28" t="n">
        <v>20000</v>
      </c>
      <c r="O411" s="28" t="n">
        <v>2300</v>
      </c>
      <c r="P411" s="28" t="n">
        <v>28800</v>
      </c>
      <c r="Q411" s="28" t="n">
        <v>28800</v>
      </c>
      <c r="R411" s="28" t="n">
        <v>0</v>
      </c>
      <c r="S411" s="42" t="n">
        <v>1</v>
      </c>
      <c r="T411" s="3" t="n">
        <v>2.951</v>
      </c>
      <c r="U411" s="3" t="n">
        <v>18</v>
      </c>
      <c r="V411" s="3" t="n">
        <v>55841.27</v>
      </c>
      <c r="W411" s="42" t="n">
        <v>0.1203</v>
      </c>
      <c r="X411" s="23" t="n">
        <v>44550</v>
      </c>
      <c r="Y411" s="3">
        <f>IF(I411="","No SIC",IFERROR(VLOOKUP(I411,Ref!$A$2:$B$65,2,FALSE()),"Unclassified"))</f>
        <v/>
      </c>
      <c r="Z411" s="3">
        <f>IF(T411="","",IF(T411&lt;12,"Daily","Weekly"))</f>
        <v/>
      </c>
      <c r="AA411" s="3">
        <f>IF(T411="",0,IF(T411&lt;12,T411*Controls!$B$13,T411*5))</f>
        <v/>
      </c>
      <c r="AB411" s="3">
        <f>IF(E411="",0,NETWORKDAYS(E411,Controls!$B$20,Ref!$K$2:$K$42))</f>
        <v/>
      </c>
      <c r="AC411" s="3">
        <f>IF(OR(AF411=1,AND(AA411&gt;0,AB411&gt;=Controls!$B$23*AA411)),1,0)</f>
        <v/>
      </c>
      <c r="AD411" s="3">
        <f>IF(AND(E411&lt;&gt;"",E411&gt;=Controls!$B$21,E411&lt;=Controls!$B$22),1,0)</f>
        <v/>
      </c>
      <c r="AE411" s="3">
        <f>IF(IFERROR(VLOOKUP(D411,Controls!$A$36:$E$46,2,FALSE()),"No")="Yes",1,0)</f>
        <v/>
      </c>
      <c r="AF411" s="3">
        <f>IF(IFERROR(VLOOKUP(D411,Controls!$A$36:$E$46,3,FALSE()),"No")="Yes",1,0)</f>
        <v/>
      </c>
      <c r="AG411" s="3">
        <f>IF(IFERROR(VLOOKUP(D411,Controls!$A$36:$E$46,4,FALSE()),"No")="Yes",1,0)</f>
        <v/>
      </c>
      <c r="AH411" s="3">
        <f>IF(IFERROR(VLOOKUP(D411,Controls!$A$36:$E$46,5,FALSE()),"No")="Yes",1,0)</f>
        <v/>
      </c>
      <c r="AI411" s="3">
        <f>IF(ISNUMBER(MATCH(D411,Controls!$A$36:$A$46,0)),1,0)</f>
        <v/>
      </c>
      <c r="AJ411" s="28">
        <f>Q411-N411</f>
        <v/>
      </c>
      <c r="AK411" s="3">
        <f>IF(AE411=1,MAX(0,N411-Q411),0)</f>
        <v/>
      </c>
      <c r="AL411" s="3">
        <f>IF(OR(V411="",V411=0),0,N411/V411)</f>
        <v/>
      </c>
      <c r="AM411" s="3">
        <f>IF(OR(V411="",V411=0),0,1)</f>
        <v/>
      </c>
      <c r="AN411" s="3">
        <f>IF(OR(E411="",F411=""),0,NETWORKDAYS(E411,F411,Ref!$K$2:$K$42))</f>
        <v/>
      </c>
      <c r="AO411" s="3">
        <f>IF(L411="Renewal",1,0)</f>
        <v/>
      </c>
      <c r="AP411" s="3">
        <f>AC411*AD411</f>
        <v/>
      </c>
      <c r="AQ411" s="3">
        <f>IF(AND(G411&lt;&gt;"",'Historical Score'!$C$6&lt;&gt;""),IF(G411='Historical Score'!$C$6,1,0),0)</f>
        <v/>
      </c>
      <c r="AR411" s="3">
        <f>IF(AND(L411&lt;&gt;"",'Historical Score'!$C$5&lt;&gt;""),IF(L411='Historical Score'!$C$5,1,0),0)</f>
        <v/>
      </c>
      <c r="AS411" s="3">
        <f>IF(AND(Y411&lt;&gt;"",'Historical Score'!$C$7&lt;&gt;""),IF(Y411='Historical Score'!$C$7,1,0),0)</f>
        <v/>
      </c>
      <c r="AT411" s="3">
        <f>IF(AND(K411&lt;&gt;"",'Historical Score'!$C$8&lt;&gt;""),IF(K411='Historical Score'!$C$8,1,0),0)</f>
        <v/>
      </c>
      <c r="AU411" s="3" t="n"/>
      <c r="AV411" s="3" t="n"/>
      <c r="AW411" s="3" t="n"/>
      <c r="AX411" s="3" t="n"/>
      <c r="AY411" s="3" t="n"/>
      <c r="AZ411" s="3" t="n"/>
      <c r="BA411" s="182">
        <f>IF(AD411=1,(AR411*'Historical Score'!$K$29+1-'Historical Score'!$K$29)*(AT411*'Historical Score'!$L$29+1-'Historical Score'!$L$29)*(AS411*'Historical Score'!$M$29+1-'Historical Score'!$M$29)*(AQ411*'Historical Score'!$N$29+1-'Historical Score'!$N$29),0)</f>
        <v/>
      </c>
      <c r="BB411" s="3" t="n"/>
      <c r="BC411" s="3" t="n"/>
    </row>
    <row r="412" ht="15.75" customHeight="1" s="174">
      <c r="A412" s="3" t="inlineStr">
        <is>
          <t>5674173574</t>
        </is>
      </c>
      <c r="B412" s="3" t="inlineStr">
        <is>
          <t>VITALIS WELLNESS CENTER</t>
        </is>
      </c>
      <c r="C412" s="3" t="inlineStr">
        <is>
          <t>VITALIS WELLNESS CENTER LLC</t>
        </is>
      </c>
      <c r="D412" s="3" t="inlineStr">
        <is>
          <t>Closed</t>
        </is>
      </c>
      <c r="E412" s="23" t="n">
        <v>45996</v>
      </c>
      <c r="F412" s="23" t="n">
        <v>46087</v>
      </c>
      <c r="G412" s="3" t="n">
        <v>2</v>
      </c>
      <c r="H412" s="3" t="inlineStr">
        <is>
          <t>8011</t>
        </is>
      </c>
      <c r="I412" s="3" t="inlineStr">
        <is>
          <t>80</t>
        </is>
      </c>
      <c r="J412" s="3" t="inlineStr">
        <is>
          <t>FL</t>
        </is>
      </c>
      <c r="K412" s="3" t="inlineStr">
        <is>
          <t>Tech Consulting Pro LLC D/B/A: Nationwide Advance</t>
        </is>
      </c>
      <c r="L412" s="3" t="inlineStr">
        <is>
          <t>New Deal</t>
        </is>
      </c>
      <c r="M412" s="3" t="n">
        <v>1.45</v>
      </c>
      <c r="N412" s="28" t="n">
        <v>20000</v>
      </c>
      <c r="O412" s="28" t="n">
        <v>2400</v>
      </c>
      <c r="P412" s="28" t="n">
        <v>29000</v>
      </c>
      <c r="Q412" s="28" t="n">
        <v>29000</v>
      </c>
      <c r="R412" s="28" t="n">
        <v>0</v>
      </c>
      <c r="S412" s="42" t="n">
        <v>1</v>
      </c>
      <c r="T412" s="3" t="n">
        <v>3.934</v>
      </c>
      <c r="U412" s="3" t="n">
        <v>1</v>
      </c>
      <c r="V412" s="3" t="n">
        <v>22922.57</v>
      </c>
      <c r="W412" s="42" t="n">
        <v>0.2214</v>
      </c>
      <c r="X412" s="23" t="n"/>
      <c r="Y412" s="3">
        <f>IF(I412="","No SIC",IFERROR(VLOOKUP(I412,Ref!$A$2:$B$65,2,FALSE()),"Unclassified"))</f>
        <v/>
      </c>
      <c r="Z412" s="3">
        <f>IF(T412="","",IF(T412&lt;12,"Daily","Weekly"))</f>
        <v/>
      </c>
      <c r="AA412" s="3">
        <f>IF(T412="",0,IF(T412&lt;12,T412*Controls!$B$13,T412*5))</f>
        <v/>
      </c>
      <c r="AB412" s="3">
        <f>IF(E412="",0,NETWORKDAYS(E412,Controls!$B$20,Ref!$K$2:$K$42))</f>
        <v/>
      </c>
      <c r="AC412" s="3">
        <f>IF(OR(AF412=1,AND(AA412&gt;0,AB412&gt;=Controls!$B$23*AA412)),1,0)</f>
        <v/>
      </c>
      <c r="AD412" s="3">
        <f>IF(AND(E412&lt;&gt;"",E412&gt;=Controls!$B$21,E412&lt;=Controls!$B$22),1,0)</f>
        <v/>
      </c>
      <c r="AE412" s="3">
        <f>IF(IFERROR(VLOOKUP(D412,Controls!$A$36:$E$46,2,FALSE()),"No")="Yes",1,0)</f>
        <v/>
      </c>
      <c r="AF412" s="3">
        <f>IF(IFERROR(VLOOKUP(D412,Controls!$A$36:$E$46,3,FALSE()),"No")="Yes",1,0)</f>
        <v/>
      </c>
      <c r="AG412" s="3">
        <f>IF(IFERROR(VLOOKUP(D412,Controls!$A$36:$E$46,4,FALSE()),"No")="Yes",1,0)</f>
        <v/>
      </c>
      <c r="AH412" s="3">
        <f>IF(IFERROR(VLOOKUP(D412,Controls!$A$36:$E$46,5,FALSE()),"No")="Yes",1,0)</f>
        <v/>
      </c>
      <c r="AI412" s="3">
        <f>IF(ISNUMBER(MATCH(D412,Controls!$A$36:$A$46,0)),1,0)</f>
        <v/>
      </c>
      <c r="AJ412" s="28">
        <f>Q412-N412</f>
        <v/>
      </c>
      <c r="AK412" s="3">
        <f>IF(AE412=1,MAX(0,N412-Q412),0)</f>
        <v/>
      </c>
      <c r="AL412" s="3">
        <f>IF(OR(V412="",V412=0),0,N412/V412)</f>
        <v/>
      </c>
      <c r="AM412" s="3">
        <f>IF(OR(V412="",V412=0),0,1)</f>
        <v/>
      </c>
      <c r="AN412" s="3">
        <f>IF(OR(E412="",F412=""),0,NETWORKDAYS(E412,F412,Ref!$K$2:$K$42))</f>
        <v/>
      </c>
      <c r="AO412" s="3">
        <f>IF(L412="Renewal",1,0)</f>
        <v/>
      </c>
      <c r="AP412" s="3">
        <f>AC412*AD412</f>
        <v/>
      </c>
      <c r="AQ412" s="3">
        <f>IF(AND(G412&lt;&gt;"",'Historical Score'!$C$6&lt;&gt;""),IF(G412='Historical Score'!$C$6,1,0),0)</f>
        <v/>
      </c>
      <c r="AR412" s="3">
        <f>IF(AND(L412&lt;&gt;"",'Historical Score'!$C$5&lt;&gt;""),IF(L412='Historical Score'!$C$5,1,0),0)</f>
        <v/>
      </c>
      <c r="AS412" s="3">
        <f>IF(AND(Y412&lt;&gt;"",'Historical Score'!$C$7&lt;&gt;""),IF(Y412='Historical Score'!$C$7,1,0),0)</f>
        <v/>
      </c>
      <c r="AT412" s="3">
        <f>IF(AND(K412&lt;&gt;"",'Historical Score'!$C$8&lt;&gt;""),IF(K412='Historical Score'!$C$8,1,0),0)</f>
        <v/>
      </c>
      <c r="AU412" s="3" t="n"/>
      <c r="AV412" s="3" t="n"/>
      <c r="AW412" s="3" t="n"/>
      <c r="AX412" s="3" t="n"/>
      <c r="AY412" s="3" t="n"/>
      <c r="AZ412" s="3" t="n"/>
      <c r="BA412" s="182">
        <f>IF(AD412=1,(AR412*'Historical Score'!$K$29+1-'Historical Score'!$K$29)*(AT412*'Historical Score'!$L$29+1-'Historical Score'!$L$29)*(AS412*'Historical Score'!$M$29+1-'Historical Score'!$M$29)*(AQ412*'Historical Score'!$N$29+1-'Historical Score'!$N$29),0)</f>
        <v/>
      </c>
      <c r="BB412" s="3" t="n"/>
      <c r="BC412" s="3" t="n"/>
    </row>
    <row r="413" ht="15.75" customHeight="1" s="174">
      <c r="A413" s="3" t="inlineStr">
        <is>
          <t>5674173588</t>
        </is>
      </c>
      <c r="B413" s="3" t="inlineStr">
        <is>
          <t>Bailey's Auto Crushing &amp; Recycling</t>
        </is>
      </c>
      <c r="C413" s="3" t="inlineStr">
        <is>
          <t>ROBERT M BAILEY</t>
        </is>
      </c>
      <c r="D413" s="3" t="inlineStr">
        <is>
          <t>Closed</t>
        </is>
      </c>
      <c r="E413" s="23" t="n">
        <v>45996</v>
      </c>
      <c r="F413" s="23" t="n">
        <v>46174</v>
      </c>
      <c r="G413" s="3" t="n">
        <v>1</v>
      </c>
      <c r="H413" s="3" t="inlineStr">
        <is>
          <t>3465</t>
        </is>
      </c>
      <c r="I413" s="3" t="inlineStr">
        <is>
          <t>34</t>
        </is>
      </c>
      <c r="J413" s="3" t="inlineStr">
        <is>
          <t>TX</t>
        </is>
      </c>
      <c r="K413" s="3" t="inlineStr">
        <is>
          <t>Birkin Capital Inc</t>
        </is>
      </c>
      <c r="L413" s="3" t="inlineStr">
        <is>
          <t>New Deal</t>
        </is>
      </c>
      <c r="M413" s="3" t="n">
        <v>1.46</v>
      </c>
      <c r="N413" s="28" t="n">
        <v>100000</v>
      </c>
      <c r="O413" s="28" t="n">
        <v>15000</v>
      </c>
      <c r="P413" s="28" t="n">
        <v>146000</v>
      </c>
      <c r="Q413" s="28" t="n">
        <v>146000</v>
      </c>
      <c r="R413" s="28" t="n">
        <v>0</v>
      </c>
      <c r="S413" s="42" t="n">
        <v>1</v>
      </c>
      <c r="T413" s="3" t="n">
        <v>24</v>
      </c>
      <c r="U413" s="3" t="n">
        <v>0</v>
      </c>
      <c r="V413" s="3" t="n">
        <v>328464.36</v>
      </c>
      <c r="W413" s="42" t="n">
        <v>0.074</v>
      </c>
      <c r="X413" s="23" t="n">
        <v>43619</v>
      </c>
      <c r="Y413" s="3">
        <f>IF(I413="","No SIC",IFERROR(VLOOKUP(I413,Ref!$A$2:$B$65,2,FALSE()),"Unclassified"))</f>
        <v/>
      </c>
      <c r="Z413" s="3">
        <f>IF(T413="","",IF(T413&lt;12,"Daily","Weekly"))</f>
        <v/>
      </c>
      <c r="AA413" s="3">
        <f>IF(T413="",0,IF(T413&lt;12,T413*Controls!$B$13,T413*5))</f>
        <v/>
      </c>
      <c r="AB413" s="3">
        <f>IF(E413="",0,NETWORKDAYS(E413,Controls!$B$20,Ref!$K$2:$K$42))</f>
        <v/>
      </c>
      <c r="AC413" s="3">
        <f>IF(OR(AF413=1,AND(AA413&gt;0,AB413&gt;=Controls!$B$23*AA413)),1,0)</f>
        <v/>
      </c>
      <c r="AD413" s="3">
        <f>IF(AND(E413&lt;&gt;"",E413&gt;=Controls!$B$21,E413&lt;=Controls!$B$22),1,0)</f>
        <v/>
      </c>
      <c r="AE413" s="3">
        <f>IF(IFERROR(VLOOKUP(D413,Controls!$A$36:$E$46,2,FALSE()),"No")="Yes",1,0)</f>
        <v/>
      </c>
      <c r="AF413" s="3">
        <f>IF(IFERROR(VLOOKUP(D413,Controls!$A$36:$E$46,3,FALSE()),"No")="Yes",1,0)</f>
        <v/>
      </c>
      <c r="AG413" s="3">
        <f>IF(IFERROR(VLOOKUP(D413,Controls!$A$36:$E$46,4,FALSE()),"No")="Yes",1,0)</f>
        <v/>
      </c>
      <c r="AH413" s="3">
        <f>IF(IFERROR(VLOOKUP(D413,Controls!$A$36:$E$46,5,FALSE()),"No")="Yes",1,0)</f>
        <v/>
      </c>
      <c r="AI413" s="3">
        <f>IF(ISNUMBER(MATCH(D413,Controls!$A$36:$A$46,0)),1,0)</f>
        <v/>
      </c>
      <c r="AJ413" s="28">
        <f>Q413-N413</f>
        <v/>
      </c>
      <c r="AK413" s="3">
        <f>IF(AE413=1,MAX(0,N413-Q413),0)</f>
        <v/>
      </c>
      <c r="AL413" s="3">
        <f>IF(OR(V413="",V413=0),0,N413/V413)</f>
        <v/>
      </c>
      <c r="AM413" s="3">
        <f>IF(OR(V413="",V413=0),0,1)</f>
        <v/>
      </c>
      <c r="AN413" s="3">
        <f>IF(OR(E413="",F413=""),0,NETWORKDAYS(E413,F413,Ref!$K$2:$K$42))</f>
        <v/>
      </c>
      <c r="AO413" s="3">
        <f>IF(L413="Renewal",1,0)</f>
        <v/>
      </c>
      <c r="AP413" s="3">
        <f>AC413*AD413</f>
        <v/>
      </c>
      <c r="AQ413" s="3">
        <f>IF(AND(G413&lt;&gt;"",'Historical Score'!$C$6&lt;&gt;""),IF(G413='Historical Score'!$C$6,1,0),0)</f>
        <v/>
      </c>
      <c r="AR413" s="3">
        <f>IF(AND(L413&lt;&gt;"",'Historical Score'!$C$5&lt;&gt;""),IF(L413='Historical Score'!$C$5,1,0),0)</f>
        <v/>
      </c>
      <c r="AS413" s="3">
        <f>IF(AND(Y413&lt;&gt;"",'Historical Score'!$C$7&lt;&gt;""),IF(Y413='Historical Score'!$C$7,1,0),0)</f>
        <v/>
      </c>
      <c r="AT413" s="3">
        <f>IF(AND(K413&lt;&gt;"",'Historical Score'!$C$8&lt;&gt;""),IF(K413='Historical Score'!$C$8,1,0),0)</f>
        <v/>
      </c>
      <c r="AU413" s="3" t="n"/>
      <c r="AV413" s="3" t="n"/>
      <c r="AW413" s="3" t="n"/>
      <c r="AX413" s="3" t="n"/>
      <c r="AY413" s="3" t="n"/>
      <c r="AZ413" s="3" t="n"/>
      <c r="BA413" s="182">
        <f>IF(AD413=1,(AR413*'Historical Score'!$K$29+1-'Historical Score'!$K$29)*(AT413*'Historical Score'!$L$29+1-'Historical Score'!$L$29)*(AS413*'Historical Score'!$M$29+1-'Historical Score'!$M$29)*(AQ413*'Historical Score'!$N$29+1-'Historical Score'!$N$29),0)</f>
        <v/>
      </c>
      <c r="BB413" s="3" t="n"/>
      <c r="BC413" s="3" t="n"/>
    </row>
    <row r="414" ht="15.75" customHeight="1" s="174">
      <c r="A414" s="3" t="inlineStr">
        <is>
          <t>5674173593</t>
        </is>
      </c>
      <c r="B414" s="3" t="inlineStr">
        <is>
          <t>YOUNGSTOWN FOOD MART</t>
        </is>
      </c>
      <c r="C414" s="3" t="inlineStr">
        <is>
          <t>YOUNGSTOWN FOOD MART</t>
        </is>
      </c>
      <c r="D414" s="3" t="inlineStr">
        <is>
          <t>Legal</t>
        </is>
      </c>
      <c r="E414" s="23" t="n">
        <v>45996</v>
      </c>
      <c r="F414" s="23" t="n">
        <v>46174</v>
      </c>
      <c r="G414" s="3" t="n">
        <v>2</v>
      </c>
      <c r="H414" s="3" t="inlineStr">
        <is>
          <t>5999</t>
        </is>
      </c>
      <c r="I414" s="3" t="inlineStr">
        <is>
          <t>59</t>
        </is>
      </c>
      <c r="J414" s="3" t="inlineStr">
        <is>
          <t>FL</t>
        </is>
      </c>
      <c r="K414" s="3" t="inlineStr">
        <is>
          <t>Fund Simple</t>
        </is>
      </c>
      <c r="L414" s="3" t="inlineStr">
        <is>
          <t>New Deal</t>
        </is>
      </c>
      <c r="M414" s="3" t="n">
        <v>1.36</v>
      </c>
      <c r="N414" s="28" t="n">
        <v>10000</v>
      </c>
      <c r="O414" s="28" t="n">
        <v>750</v>
      </c>
      <c r="P414" s="28" t="n">
        <v>13600</v>
      </c>
      <c r="Q414" s="28" t="n">
        <v>6508.46</v>
      </c>
      <c r="R414" s="28" t="n">
        <v>7091.54</v>
      </c>
      <c r="S414" s="42" t="n">
        <v>0.478563235294118</v>
      </c>
      <c r="T414" s="3" t="n">
        <v>2.623</v>
      </c>
      <c r="U414" s="3" t="n">
        <v>18</v>
      </c>
      <c r="V414" s="3" t="n">
        <v>43908.19</v>
      </c>
      <c r="W414" s="42" t="n">
        <v>0.0813</v>
      </c>
      <c r="X414" s="23" t="n">
        <v>43371</v>
      </c>
      <c r="Y414" s="3">
        <f>IF(I414="","No SIC",IFERROR(VLOOKUP(I414,Ref!$A$2:$B$65,2,FALSE()),"Unclassified"))</f>
        <v/>
      </c>
      <c r="Z414" s="3">
        <f>IF(T414="","",IF(T414&lt;12,"Daily","Weekly"))</f>
        <v/>
      </c>
      <c r="AA414" s="3">
        <f>IF(T414="",0,IF(T414&lt;12,T414*Controls!$B$13,T414*5))</f>
        <v/>
      </c>
      <c r="AB414" s="3">
        <f>IF(E414="",0,NETWORKDAYS(E414,Controls!$B$20,Ref!$K$2:$K$42))</f>
        <v/>
      </c>
      <c r="AC414" s="3">
        <f>IF(OR(AF414=1,AND(AA414&gt;0,AB414&gt;=Controls!$B$23*AA414)),1,0)</f>
        <v/>
      </c>
      <c r="AD414" s="3">
        <f>IF(AND(E414&lt;&gt;"",E414&gt;=Controls!$B$21,E414&lt;=Controls!$B$22),1,0)</f>
        <v/>
      </c>
      <c r="AE414" s="3">
        <f>IF(IFERROR(VLOOKUP(D414,Controls!$A$36:$E$46,2,FALSE()),"No")="Yes",1,0)</f>
        <v/>
      </c>
      <c r="AF414" s="3">
        <f>IF(IFERROR(VLOOKUP(D414,Controls!$A$36:$E$46,3,FALSE()),"No")="Yes",1,0)</f>
        <v/>
      </c>
      <c r="AG414" s="3">
        <f>IF(IFERROR(VLOOKUP(D414,Controls!$A$36:$E$46,4,FALSE()),"No")="Yes",1,0)</f>
        <v/>
      </c>
      <c r="AH414" s="3">
        <f>IF(IFERROR(VLOOKUP(D414,Controls!$A$36:$E$46,5,FALSE()),"No")="Yes",1,0)</f>
        <v/>
      </c>
      <c r="AI414" s="3">
        <f>IF(ISNUMBER(MATCH(D414,Controls!$A$36:$A$46,0)),1,0)</f>
        <v/>
      </c>
      <c r="AJ414" s="28">
        <f>Q414-N414</f>
        <v/>
      </c>
      <c r="AK414" s="3">
        <f>IF(AE414=1,MAX(0,N414-Q414),0)</f>
        <v/>
      </c>
      <c r="AL414" s="3">
        <f>IF(OR(V414="",V414=0),0,N414/V414)</f>
        <v/>
      </c>
      <c r="AM414" s="3">
        <f>IF(OR(V414="",V414=0),0,1)</f>
        <v/>
      </c>
      <c r="AN414" s="3">
        <f>IF(OR(E414="",F414=""),0,NETWORKDAYS(E414,F414,Ref!$K$2:$K$42))</f>
        <v/>
      </c>
      <c r="AO414" s="3">
        <f>IF(L414="Renewal",1,0)</f>
        <v/>
      </c>
      <c r="AP414" s="3">
        <f>AC414*AD414</f>
        <v/>
      </c>
      <c r="AQ414" s="3">
        <f>IF(AND(G414&lt;&gt;"",'Historical Score'!$C$6&lt;&gt;""),IF(G414='Historical Score'!$C$6,1,0),0)</f>
        <v/>
      </c>
      <c r="AR414" s="3">
        <f>IF(AND(L414&lt;&gt;"",'Historical Score'!$C$5&lt;&gt;""),IF(L414='Historical Score'!$C$5,1,0),0)</f>
        <v/>
      </c>
      <c r="AS414" s="3">
        <f>IF(AND(Y414&lt;&gt;"",'Historical Score'!$C$7&lt;&gt;""),IF(Y414='Historical Score'!$C$7,1,0),0)</f>
        <v/>
      </c>
      <c r="AT414" s="3">
        <f>IF(AND(K414&lt;&gt;"",'Historical Score'!$C$8&lt;&gt;""),IF(K414='Historical Score'!$C$8,1,0),0)</f>
        <v/>
      </c>
      <c r="AU414" s="3" t="n"/>
      <c r="AV414" s="3" t="n"/>
      <c r="AW414" s="3" t="n"/>
      <c r="AX414" s="3" t="n"/>
      <c r="AY414" s="3" t="n"/>
      <c r="AZ414" s="3" t="n"/>
      <c r="BA414" s="182">
        <f>IF(AD414=1,(AR414*'Historical Score'!$K$29+1-'Historical Score'!$K$29)*(AT414*'Historical Score'!$L$29+1-'Historical Score'!$L$29)*(AS414*'Historical Score'!$M$29+1-'Historical Score'!$M$29)*(AQ414*'Historical Score'!$N$29+1-'Historical Score'!$N$29),0)</f>
        <v/>
      </c>
      <c r="BB414" s="3" t="n"/>
      <c r="BC414" s="3" t="n"/>
    </row>
    <row r="415" ht="15.75" customHeight="1" s="174">
      <c r="A415" s="3" t="inlineStr">
        <is>
          <t>5674173607</t>
        </is>
      </c>
      <c r="B415" s="3" t="inlineStr">
        <is>
          <t>M. Delaney LLC</t>
        </is>
      </c>
      <c r="C415" s="3" t="inlineStr">
        <is>
          <t>M. Delaney LLC</t>
        </is>
      </c>
      <c r="D415" s="3" t="inlineStr">
        <is>
          <t>Bankruptcy</t>
        </is>
      </c>
      <c r="E415" s="23" t="n">
        <v>45996</v>
      </c>
      <c r="F415" s="23" t="n">
        <v>46153</v>
      </c>
      <c r="G415" s="3" t="n">
        <v>3</v>
      </c>
      <c r="H415" s="3" t="inlineStr">
        <is>
          <t>5812</t>
        </is>
      </c>
      <c r="I415" s="3" t="inlineStr">
        <is>
          <t>58</t>
        </is>
      </c>
      <c r="J415" s="3" t="inlineStr">
        <is>
          <t>GA</t>
        </is>
      </c>
      <c r="K415" s="3" t="inlineStr">
        <is>
          <t>Llama Loan</t>
        </is>
      </c>
      <c r="L415" s="3" t="inlineStr">
        <is>
          <t>Renewal</t>
        </is>
      </c>
      <c r="M415" s="3" t="n">
        <v>1.42</v>
      </c>
      <c r="N415" s="28" t="n">
        <v>25000</v>
      </c>
      <c r="O415" s="28" t="n">
        <v>2625</v>
      </c>
      <c r="P415" s="28" t="n">
        <v>35500</v>
      </c>
      <c r="Q415" s="28" t="n">
        <v>14205.36</v>
      </c>
      <c r="R415" s="28" t="n">
        <v>21294.64</v>
      </c>
      <c r="S415" s="42" t="n">
        <v>0.400150985915493</v>
      </c>
      <c r="T415" s="3" t="n">
        <v>4.262</v>
      </c>
      <c r="U415" s="3" t="n">
        <v>8</v>
      </c>
      <c r="V415" s="3" t="n">
        <v>51823.33</v>
      </c>
      <c r="W415" s="42" t="n">
        <v>0.1107</v>
      </c>
      <c r="X415" s="23" t="n"/>
      <c r="Y415" s="3">
        <f>IF(I415="","No SIC",IFERROR(VLOOKUP(I415,Ref!$A$2:$B$65,2,FALSE()),"Unclassified"))</f>
        <v/>
      </c>
      <c r="Z415" s="3">
        <f>IF(T415="","",IF(T415&lt;12,"Daily","Weekly"))</f>
        <v/>
      </c>
      <c r="AA415" s="3">
        <f>IF(T415="",0,IF(T415&lt;12,T415*Controls!$B$13,T415*5))</f>
        <v/>
      </c>
      <c r="AB415" s="3">
        <f>IF(E415="",0,NETWORKDAYS(E415,Controls!$B$20,Ref!$K$2:$K$42))</f>
        <v/>
      </c>
      <c r="AC415" s="3">
        <f>IF(OR(AF415=1,AND(AA415&gt;0,AB415&gt;=Controls!$B$23*AA415)),1,0)</f>
        <v/>
      </c>
      <c r="AD415" s="3">
        <f>IF(AND(E415&lt;&gt;"",E415&gt;=Controls!$B$21,E415&lt;=Controls!$B$22),1,0)</f>
        <v/>
      </c>
      <c r="AE415" s="3">
        <f>IF(IFERROR(VLOOKUP(D415,Controls!$A$36:$E$46,2,FALSE()),"No")="Yes",1,0)</f>
        <v/>
      </c>
      <c r="AF415" s="3">
        <f>IF(IFERROR(VLOOKUP(D415,Controls!$A$36:$E$46,3,FALSE()),"No")="Yes",1,0)</f>
        <v/>
      </c>
      <c r="AG415" s="3">
        <f>IF(IFERROR(VLOOKUP(D415,Controls!$A$36:$E$46,4,FALSE()),"No")="Yes",1,0)</f>
        <v/>
      </c>
      <c r="AH415" s="3">
        <f>IF(IFERROR(VLOOKUP(D415,Controls!$A$36:$E$46,5,FALSE()),"No")="Yes",1,0)</f>
        <v/>
      </c>
      <c r="AI415" s="3">
        <f>IF(ISNUMBER(MATCH(D415,Controls!$A$36:$A$46,0)),1,0)</f>
        <v/>
      </c>
      <c r="AJ415" s="28">
        <f>Q415-N415</f>
        <v/>
      </c>
      <c r="AK415" s="3">
        <f>IF(AE415=1,MAX(0,N415-Q415),0)</f>
        <v/>
      </c>
      <c r="AL415" s="3">
        <f>IF(OR(V415="",V415=0),0,N415/V415)</f>
        <v/>
      </c>
      <c r="AM415" s="3">
        <f>IF(OR(V415="",V415=0),0,1)</f>
        <v/>
      </c>
      <c r="AN415" s="3">
        <f>IF(OR(E415="",F415=""),0,NETWORKDAYS(E415,F415,Ref!$K$2:$K$42))</f>
        <v/>
      </c>
      <c r="AO415" s="3">
        <f>IF(L415="Renewal",1,0)</f>
        <v/>
      </c>
      <c r="AP415" s="3">
        <f>AC415*AD415</f>
        <v/>
      </c>
      <c r="AQ415" s="3">
        <f>IF(AND(G415&lt;&gt;"",'Historical Score'!$C$6&lt;&gt;""),IF(G415='Historical Score'!$C$6,1,0),0)</f>
        <v/>
      </c>
      <c r="AR415" s="3">
        <f>IF(AND(L415&lt;&gt;"",'Historical Score'!$C$5&lt;&gt;""),IF(L415='Historical Score'!$C$5,1,0),0)</f>
        <v/>
      </c>
      <c r="AS415" s="3">
        <f>IF(AND(Y415&lt;&gt;"",'Historical Score'!$C$7&lt;&gt;""),IF(Y415='Historical Score'!$C$7,1,0),0)</f>
        <v/>
      </c>
      <c r="AT415" s="3">
        <f>IF(AND(K415&lt;&gt;"",'Historical Score'!$C$8&lt;&gt;""),IF(K415='Historical Score'!$C$8,1,0),0)</f>
        <v/>
      </c>
      <c r="AU415" s="3" t="n"/>
      <c r="AV415" s="3" t="n"/>
      <c r="AW415" s="3" t="n"/>
      <c r="AX415" s="3" t="n"/>
      <c r="AY415" s="3" t="n"/>
      <c r="AZ415" s="3" t="n"/>
      <c r="BA415" s="182">
        <f>IF(AD415=1,(AR415*'Historical Score'!$K$29+1-'Historical Score'!$K$29)*(AT415*'Historical Score'!$L$29+1-'Historical Score'!$L$29)*(AS415*'Historical Score'!$M$29+1-'Historical Score'!$M$29)*(AQ415*'Historical Score'!$N$29+1-'Historical Score'!$N$29),0)</f>
        <v/>
      </c>
      <c r="BB415" s="3" t="n"/>
      <c r="BC415" s="3" t="n"/>
    </row>
    <row r="416" ht="15.75" customHeight="1" s="174">
      <c r="A416" s="3" t="inlineStr">
        <is>
          <t>5674173616</t>
        </is>
      </c>
      <c r="B416" s="3" t="inlineStr">
        <is>
          <t>WILLIE'S REPAIR SERVICE</t>
        </is>
      </c>
      <c r="C416" s="3" t="inlineStr">
        <is>
          <t>Willie's Repair Service LLC</t>
        </is>
      </c>
      <c r="D416" s="3" t="inlineStr">
        <is>
          <t>Closed</t>
        </is>
      </c>
      <c r="E416" s="23" t="n">
        <v>45996</v>
      </c>
      <c r="F416" s="23" t="n">
        <v>46106</v>
      </c>
      <c r="G416" s="3" t="n">
        <v>4</v>
      </c>
      <c r="H416" s="3" t="inlineStr">
        <is>
          <t>7538</t>
        </is>
      </c>
      <c r="I416" s="3" t="inlineStr">
        <is>
          <t>75</t>
        </is>
      </c>
      <c r="J416" s="3" t="inlineStr">
        <is>
          <t>VA</t>
        </is>
      </c>
      <c r="K416" s="3" t="inlineStr">
        <is>
          <t>ROYAL FUNDING GROUP</t>
        </is>
      </c>
      <c r="L416" s="3" t="inlineStr">
        <is>
          <t>New Deal</t>
        </is>
      </c>
      <c r="M416" s="3" t="n">
        <v>1.49</v>
      </c>
      <c r="N416" s="28" t="n">
        <v>15000</v>
      </c>
      <c r="O416" s="28" t="n">
        <v>2100</v>
      </c>
      <c r="P416" s="28" t="n">
        <v>22350</v>
      </c>
      <c r="Q416" s="28" t="n">
        <v>22350</v>
      </c>
      <c r="R416" s="28" t="n">
        <v>0</v>
      </c>
      <c r="S416" s="42" t="n">
        <v>1</v>
      </c>
      <c r="T416" s="3" t="n">
        <v>3.279</v>
      </c>
      <c r="U416" s="3" t="n">
        <v>0</v>
      </c>
      <c r="V416" s="3" t="n">
        <v>49372.77</v>
      </c>
      <c r="W416" s="42" t="n">
        <v>0.1285</v>
      </c>
      <c r="X416" s="23" t="n">
        <v>30767</v>
      </c>
      <c r="Y416" s="3">
        <f>IF(I416="","No SIC",IFERROR(VLOOKUP(I416,Ref!$A$2:$B$65,2,FALSE()),"Unclassified"))</f>
        <v/>
      </c>
      <c r="Z416" s="3">
        <f>IF(T416="","",IF(T416&lt;12,"Daily","Weekly"))</f>
        <v/>
      </c>
      <c r="AA416" s="3">
        <f>IF(T416="",0,IF(T416&lt;12,T416*Controls!$B$13,T416*5))</f>
        <v/>
      </c>
      <c r="AB416" s="3">
        <f>IF(E416="",0,NETWORKDAYS(E416,Controls!$B$20,Ref!$K$2:$K$42))</f>
        <v/>
      </c>
      <c r="AC416" s="3">
        <f>IF(OR(AF416=1,AND(AA416&gt;0,AB416&gt;=Controls!$B$23*AA416)),1,0)</f>
        <v/>
      </c>
      <c r="AD416" s="3">
        <f>IF(AND(E416&lt;&gt;"",E416&gt;=Controls!$B$21,E416&lt;=Controls!$B$22),1,0)</f>
        <v/>
      </c>
      <c r="AE416" s="3">
        <f>IF(IFERROR(VLOOKUP(D416,Controls!$A$36:$E$46,2,FALSE()),"No")="Yes",1,0)</f>
        <v/>
      </c>
      <c r="AF416" s="3">
        <f>IF(IFERROR(VLOOKUP(D416,Controls!$A$36:$E$46,3,FALSE()),"No")="Yes",1,0)</f>
        <v/>
      </c>
      <c r="AG416" s="3">
        <f>IF(IFERROR(VLOOKUP(D416,Controls!$A$36:$E$46,4,FALSE()),"No")="Yes",1,0)</f>
        <v/>
      </c>
      <c r="AH416" s="3">
        <f>IF(IFERROR(VLOOKUP(D416,Controls!$A$36:$E$46,5,FALSE()),"No")="Yes",1,0)</f>
        <v/>
      </c>
      <c r="AI416" s="3">
        <f>IF(ISNUMBER(MATCH(D416,Controls!$A$36:$A$46,0)),1,0)</f>
        <v/>
      </c>
      <c r="AJ416" s="28">
        <f>Q416-N416</f>
        <v/>
      </c>
      <c r="AK416" s="3">
        <f>IF(AE416=1,MAX(0,N416-Q416),0)</f>
        <v/>
      </c>
      <c r="AL416" s="3">
        <f>IF(OR(V416="",V416=0),0,N416/V416)</f>
        <v/>
      </c>
      <c r="AM416" s="3">
        <f>IF(OR(V416="",V416=0),0,1)</f>
        <v/>
      </c>
      <c r="AN416" s="3">
        <f>IF(OR(E416="",F416=""),0,NETWORKDAYS(E416,F416,Ref!$K$2:$K$42))</f>
        <v/>
      </c>
      <c r="AO416" s="3">
        <f>IF(L416="Renewal",1,0)</f>
        <v/>
      </c>
      <c r="AP416" s="3">
        <f>AC416*AD416</f>
        <v/>
      </c>
      <c r="AQ416" s="3">
        <f>IF(AND(G416&lt;&gt;"",'Historical Score'!$C$6&lt;&gt;""),IF(G416='Historical Score'!$C$6,1,0),0)</f>
        <v/>
      </c>
      <c r="AR416" s="3">
        <f>IF(AND(L416&lt;&gt;"",'Historical Score'!$C$5&lt;&gt;""),IF(L416='Historical Score'!$C$5,1,0),0)</f>
        <v/>
      </c>
      <c r="AS416" s="3">
        <f>IF(AND(Y416&lt;&gt;"",'Historical Score'!$C$7&lt;&gt;""),IF(Y416='Historical Score'!$C$7,1,0),0)</f>
        <v/>
      </c>
      <c r="AT416" s="3">
        <f>IF(AND(K416&lt;&gt;"",'Historical Score'!$C$8&lt;&gt;""),IF(K416='Historical Score'!$C$8,1,0),0)</f>
        <v/>
      </c>
      <c r="AU416" s="3" t="n"/>
      <c r="AV416" s="3" t="n"/>
      <c r="AW416" s="3" t="n"/>
      <c r="AX416" s="3" t="n"/>
      <c r="AY416" s="3" t="n"/>
      <c r="AZ416" s="3" t="n"/>
      <c r="BA416" s="182">
        <f>IF(AD416=1,(AR416*'Historical Score'!$K$29+1-'Historical Score'!$K$29)*(AT416*'Historical Score'!$L$29+1-'Historical Score'!$L$29)*(AS416*'Historical Score'!$M$29+1-'Historical Score'!$M$29)*(AQ416*'Historical Score'!$N$29+1-'Historical Score'!$N$29),0)</f>
        <v/>
      </c>
      <c r="BB416" s="3" t="n"/>
      <c r="BC416" s="3" t="n"/>
    </row>
    <row r="417" ht="15.75" customHeight="1" s="174">
      <c r="A417" s="3" t="inlineStr">
        <is>
          <t>5674173621</t>
        </is>
      </c>
      <c r="B417" s="3" t="inlineStr">
        <is>
          <t>AS ONE TRANSPORTATION</t>
        </is>
      </c>
      <c r="C417" s="3" t="inlineStr">
        <is>
          <t>AS ONE TRANSPORTATION</t>
        </is>
      </c>
      <c r="D417" s="3" t="inlineStr">
        <is>
          <t>Closed</t>
        </is>
      </c>
      <c r="E417" s="23" t="n">
        <v>45996</v>
      </c>
      <c r="F417" s="23" t="n">
        <v>46120</v>
      </c>
      <c r="G417" s="3" t="n">
        <v>3</v>
      </c>
      <c r="H417" s="3" t="inlineStr">
        <is>
          <t>4212</t>
        </is>
      </c>
      <c r="I417" s="3" t="inlineStr">
        <is>
          <t>42</t>
        </is>
      </c>
      <c r="J417" s="3" t="inlineStr">
        <is>
          <t>MO</t>
        </is>
      </c>
      <c r="K417" s="3" t="inlineStr">
        <is>
          <t>Westwood</t>
        </is>
      </c>
      <c r="L417" s="3" t="inlineStr">
        <is>
          <t>New Deal</t>
        </is>
      </c>
      <c r="M417" s="3" t="n">
        <v>1.35</v>
      </c>
      <c r="N417" s="28" t="n">
        <v>17000</v>
      </c>
      <c r="O417" s="28" t="n">
        <v>1190</v>
      </c>
      <c r="P417" s="28" t="n">
        <v>22950</v>
      </c>
      <c r="Q417" s="28" t="n">
        <v>22950</v>
      </c>
      <c r="R417" s="28" t="n">
        <v>0</v>
      </c>
      <c r="S417" s="42" t="n">
        <v>1</v>
      </c>
      <c r="T417" s="3" t="n">
        <v>24</v>
      </c>
      <c r="U417" s="3" t="n">
        <v>1</v>
      </c>
      <c r="V417" s="3" t="n">
        <v>99070.63</v>
      </c>
      <c r="W417" s="42" t="n">
        <v>0.0386</v>
      </c>
      <c r="X417" s="23" t="n"/>
      <c r="Y417" s="3">
        <f>IF(I417="","No SIC",IFERROR(VLOOKUP(I417,Ref!$A$2:$B$65,2,FALSE()),"Unclassified"))</f>
        <v/>
      </c>
      <c r="Z417" s="3">
        <f>IF(T417="","",IF(T417&lt;12,"Daily","Weekly"))</f>
        <v/>
      </c>
      <c r="AA417" s="3">
        <f>IF(T417="",0,IF(T417&lt;12,T417*Controls!$B$13,T417*5))</f>
        <v/>
      </c>
      <c r="AB417" s="3">
        <f>IF(E417="",0,NETWORKDAYS(E417,Controls!$B$20,Ref!$K$2:$K$42))</f>
        <v/>
      </c>
      <c r="AC417" s="3">
        <f>IF(OR(AF417=1,AND(AA417&gt;0,AB417&gt;=Controls!$B$23*AA417)),1,0)</f>
        <v/>
      </c>
      <c r="AD417" s="3">
        <f>IF(AND(E417&lt;&gt;"",E417&gt;=Controls!$B$21,E417&lt;=Controls!$B$22),1,0)</f>
        <v/>
      </c>
      <c r="AE417" s="3">
        <f>IF(IFERROR(VLOOKUP(D417,Controls!$A$36:$E$46,2,FALSE()),"No")="Yes",1,0)</f>
        <v/>
      </c>
      <c r="AF417" s="3">
        <f>IF(IFERROR(VLOOKUP(D417,Controls!$A$36:$E$46,3,FALSE()),"No")="Yes",1,0)</f>
        <v/>
      </c>
      <c r="AG417" s="3">
        <f>IF(IFERROR(VLOOKUP(D417,Controls!$A$36:$E$46,4,FALSE()),"No")="Yes",1,0)</f>
        <v/>
      </c>
      <c r="AH417" s="3">
        <f>IF(IFERROR(VLOOKUP(D417,Controls!$A$36:$E$46,5,FALSE()),"No")="Yes",1,0)</f>
        <v/>
      </c>
      <c r="AI417" s="3">
        <f>IF(ISNUMBER(MATCH(D417,Controls!$A$36:$A$46,0)),1,0)</f>
        <v/>
      </c>
      <c r="AJ417" s="28">
        <f>Q417-N417</f>
        <v/>
      </c>
      <c r="AK417" s="3">
        <f>IF(AE417=1,MAX(0,N417-Q417),0)</f>
        <v/>
      </c>
      <c r="AL417" s="3">
        <f>IF(OR(V417="",V417=0),0,N417/V417)</f>
        <v/>
      </c>
      <c r="AM417" s="3">
        <f>IF(OR(V417="",V417=0),0,1)</f>
        <v/>
      </c>
      <c r="AN417" s="3">
        <f>IF(OR(E417="",F417=""),0,NETWORKDAYS(E417,F417,Ref!$K$2:$K$42))</f>
        <v/>
      </c>
      <c r="AO417" s="3">
        <f>IF(L417="Renewal",1,0)</f>
        <v/>
      </c>
      <c r="AP417" s="3">
        <f>AC417*AD417</f>
        <v/>
      </c>
      <c r="AQ417" s="3">
        <f>IF(AND(G417&lt;&gt;"",'Historical Score'!$C$6&lt;&gt;""),IF(G417='Historical Score'!$C$6,1,0),0)</f>
        <v/>
      </c>
      <c r="AR417" s="3">
        <f>IF(AND(L417&lt;&gt;"",'Historical Score'!$C$5&lt;&gt;""),IF(L417='Historical Score'!$C$5,1,0),0)</f>
        <v/>
      </c>
      <c r="AS417" s="3">
        <f>IF(AND(Y417&lt;&gt;"",'Historical Score'!$C$7&lt;&gt;""),IF(Y417='Historical Score'!$C$7,1,0),0)</f>
        <v/>
      </c>
      <c r="AT417" s="3">
        <f>IF(AND(K417&lt;&gt;"",'Historical Score'!$C$8&lt;&gt;""),IF(K417='Historical Score'!$C$8,1,0),0)</f>
        <v/>
      </c>
      <c r="AU417" s="3" t="n"/>
      <c r="AV417" s="3" t="n"/>
      <c r="AW417" s="3" t="n"/>
      <c r="AX417" s="3" t="n"/>
      <c r="AY417" s="3" t="n"/>
      <c r="AZ417" s="3" t="n"/>
      <c r="BA417" s="182">
        <f>IF(AD417=1,(AR417*'Historical Score'!$K$29+1-'Historical Score'!$K$29)*(AT417*'Historical Score'!$L$29+1-'Historical Score'!$L$29)*(AS417*'Historical Score'!$M$29+1-'Historical Score'!$M$29)*(AQ417*'Historical Score'!$N$29+1-'Historical Score'!$N$29),0)</f>
        <v/>
      </c>
      <c r="BB417" s="3" t="n"/>
      <c r="BC417" s="3" t="n"/>
    </row>
    <row r="418" ht="15.75" customHeight="1" s="174">
      <c r="A418" s="3" t="inlineStr">
        <is>
          <t>5674173625</t>
        </is>
      </c>
      <c r="B418" s="3" t="inlineStr">
        <is>
          <t>JWS OUTPOST 421 LLC</t>
        </is>
      </c>
      <c r="C418" s="3" t="inlineStr">
        <is>
          <t>JWS OUTPOST 421 LLC</t>
        </is>
      </c>
      <c r="D418" s="3" t="inlineStr">
        <is>
          <t>Closed</t>
        </is>
      </c>
      <c r="E418" s="23" t="n">
        <v>45996</v>
      </c>
      <c r="F418" s="23" t="n">
        <v>46048</v>
      </c>
      <c r="G418" s="3" t="n">
        <v>2</v>
      </c>
      <c r="H418" s="3" t="inlineStr">
        <is>
          <t>5999</t>
        </is>
      </c>
      <c r="I418" s="3" t="inlineStr">
        <is>
          <t>59</t>
        </is>
      </c>
      <c r="J418" s="3" t="inlineStr">
        <is>
          <t>IN</t>
        </is>
      </c>
      <c r="K418" s="3" t="inlineStr">
        <is>
          <t>United Secured Capital 8</t>
        </is>
      </c>
      <c r="L418" s="3" t="inlineStr">
        <is>
          <t>New Deal</t>
        </is>
      </c>
      <c r="M418" s="3" t="n">
        <v>1.49</v>
      </c>
      <c r="N418" s="28" t="n">
        <v>10000</v>
      </c>
      <c r="O418" s="28" t="n">
        <v>1400</v>
      </c>
      <c r="P418" s="28" t="n">
        <v>14900</v>
      </c>
      <c r="Q418" s="28" t="n">
        <v>14900</v>
      </c>
      <c r="R418" s="28" t="n">
        <v>0</v>
      </c>
      <c r="S418" s="42" t="n">
        <v>1</v>
      </c>
      <c r="T418" s="3" t="n">
        <v>2.295</v>
      </c>
      <c r="U418" s="3" t="n">
        <v>7</v>
      </c>
      <c r="V418" s="3" t="n">
        <v>93274.12</v>
      </c>
      <c r="W418" s="42" t="n">
        <v>0.0479</v>
      </c>
      <c r="X418" s="23" t="n"/>
      <c r="Y418" s="3">
        <f>IF(I418="","No SIC",IFERROR(VLOOKUP(I418,Ref!$A$2:$B$65,2,FALSE()),"Unclassified"))</f>
        <v/>
      </c>
      <c r="Z418" s="3">
        <f>IF(T418="","",IF(T418&lt;12,"Daily","Weekly"))</f>
        <v/>
      </c>
      <c r="AA418" s="3">
        <f>IF(T418="",0,IF(T418&lt;12,T418*Controls!$B$13,T418*5))</f>
        <v/>
      </c>
      <c r="AB418" s="3">
        <f>IF(E418="",0,NETWORKDAYS(E418,Controls!$B$20,Ref!$K$2:$K$42))</f>
        <v/>
      </c>
      <c r="AC418" s="3">
        <f>IF(OR(AF418=1,AND(AA418&gt;0,AB418&gt;=Controls!$B$23*AA418)),1,0)</f>
        <v/>
      </c>
      <c r="AD418" s="3">
        <f>IF(AND(E418&lt;&gt;"",E418&gt;=Controls!$B$21,E418&lt;=Controls!$B$22),1,0)</f>
        <v/>
      </c>
      <c r="AE418" s="3">
        <f>IF(IFERROR(VLOOKUP(D418,Controls!$A$36:$E$46,2,FALSE()),"No")="Yes",1,0)</f>
        <v/>
      </c>
      <c r="AF418" s="3">
        <f>IF(IFERROR(VLOOKUP(D418,Controls!$A$36:$E$46,3,FALSE()),"No")="Yes",1,0)</f>
        <v/>
      </c>
      <c r="AG418" s="3">
        <f>IF(IFERROR(VLOOKUP(D418,Controls!$A$36:$E$46,4,FALSE()),"No")="Yes",1,0)</f>
        <v/>
      </c>
      <c r="AH418" s="3">
        <f>IF(IFERROR(VLOOKUP(D418,Controls!$A$36:$E$46,5,FALSE()),"No")="Yes",1,0)</f>
        <v/>
      </c>
      <c r="AI418" s="3">
        <f>IF(ISNUMBER(MATCH(D418,Controls!$A$36:$A$46,0)),1,0)</f>
        <v/>
      </c>
      <c r="AJ418" s="28">
        <f>Q418-N418</f>
        <v/>
      </c>
      <c r="AK418" s="3">
        <f>IF(AE418=1,MAX(0,N418-Q418),0)</f>
        <v/>
      </c>
      <c r="AL418" s="3">
        <f>IF(OR(V418="",V418=0),0,N418/V418)</f>
        <v/>
      </c>
      <c r="AM418" s="3">
        <f>IF(OR(V418="",V418=0),0,1)</f>
        <v/>
      </c>
      <c r="AN418" s="3">
        <f>IF(OR(E418="",F418=""),0,NETWORKDAYS(E418,F418,Ref!$K$2:$K$42))</f>
        <v/>
      </c>
      <c r="AO418" s="3">
        <f>IF(L418="Renewal",1,0)</f>
        <v/>
      </c>
      <c r="AP418" s="3">
        <f>AC418*AD418</f>
        <v/>
      </c>
      <c r="AQ418" s="3">
        <f>IF(AND(G418&lt;&gt;"",'Historical Score'!$C$6&lt;&gt;""),IF(G418='Historical Score'!$C$6,1,0),0)</f>
        <v/>
      </c>
      <c r="AR418" s="3">
        <f>IF(AND(L418&lt;&gt;"",'Historical Score'!$C$5&lt;&gt;""),IF(L418='Historical Score'!$C$5,1,0),0)</f>
        <v/>
      </c>
      <c r="AS418" s="3">
        <f>IF(AND(Y418&lt;&gt;"",'Historical Score'!$C$7&lt;&gt;""),IF(Y418='Historical Score'!$C$7,1,0),0)</f>
        <v/>
      </c>
      <c r="AT418" s="3">
        <f>IF(AND(K418&lt;&gt;"",'Historical Score'!$C$8&lt;&gt;""),IF(K418='Historical Score'!$C$8,1,0),0)</f>
        <v/>
      </c>
      <c r="AU418" s="3" t="n"/>
      <c r="AV418" s="3" t="n"/>
      <c r="AW418" s="3" t="n"/>
      <c r="AX418" s="3" t="n"/>
      <c r="AY418" s="3" t="n"/>
      <c r="AZ418" s="3" t="n"/>
      <c r="BA418" s="182">
        <f>IF(AD418=1,(AR418*'Historical Score'!$K$29+1-'Historical Score'!$K$29)*(AT418*'Historical Score'!$L$29+1-'Historical Score'!$L$29)*(AS418*'Historical Score'!$M$29+1-'Historical Score'!$M$29)*(AQ418*'Historical Score'!$N$29+1-'Historical Score'!$N$29),0)</f>
        <v/>
      </c>
      <c r="BB418" s="3" t="n"/>
      <c r="BC418" s="3" t="n"/>
    </row>
    <row r="419" ht="15.75" customHeight="1" s="174">
      <c r="A419" s="3" t="inlineStr">
        <is>
          <t>5674173638</t>
        </is>
      </c>
      <c r="B419" s="3" t="inlineStr">
        <is>
          <t>GENERATOR SUPERCENTER OF ORLANDO</t>
        </is>
      </c>
      <c r="C419" s="3" t="inlineStr">
        <is>
          <t>CENTRAL BACKUP LLC</t>
        </is>
      </c>
      <c r="D419" s="3" t="inlineStr">
        <is>
          <t>Open</t>
        </is>
      </c>
      <c r="E419" s="23" t="n">
        <v>45996</v>
      </c>
      <c r="F419" s="23" t="n">
        <v>46253</v>
      </c>
      <c r="G419" s="3" t="n">
        <v>4</v>
      </c>
      <c r="H419" s="3" t="inlineStr">
        <is>
          <t>3621</t>
        </is>
      </c>
      <c r="I419" s="3" t="inlineStr">
        <is>
          <t>36</t>
        </is>
      </c>
      <c r="J419" s="3" t="inlineStr">
        <is>
          <t>FL</t>
        </is>
      </c>
      <c r="K419" s="3" t="inlineStr">
        <is>
          <t>J Capital Solutions</t>
        </is>
      </c>
      <c r="L419" s="3" t="inlineStr">
        <is>
          <t>New Deal</t>
        </is>
      </c>
      <c r="M419" s="3" t="n">
        <v>1.48</v>
      </c>
      <c r="N419" s="28" t="n">
        <v>150000</v>
      </c>
      <c r="O419" s="28" t="n">
        <v>20250</v>
      </c>
      <c r="P419" s="28" t="n">
        <v>222000</v>
      </c>
      <c r="Q419" s="28" t="n">
        <v>145825.7</v>
      </c>
      <c r="R419" s="28" t="n">
        <v>76174.3</v>
      </c>
      <c r="S419" s="42" t="n">
        <v>0.656872522522523</v>
      </c>
      <c r="T419" s="3" t="n">
        <v>28</v>
      </c>
      <c r="U419" s="3" t="n">
        <v>74</v>
      </c>
      <c r="V419" s="3" t="n">
        <v>425520.28</v>
      </c>
      <c r="W419" s="42" t="n">
        <v>0.0745</v>
      </c>
      <c r="X419" s="23" t="n"/>
      <c r="Y419" s="3">
        <f>IF(I419="","No SIC",IFERROR(VLOOKUP(I419,Ref!$A$2:$B$65,2,FALSE()),"Unclassified"))</f>
        <v/>
      </c>
      <c r="Z419" s="3">
        <f>IF(T419="","",IF(T419&lt;12,"Daily","Weekly"))</f>
        <v/>
      </c>
      <c r="AA419" s="3">
        <f>IF(T419="",0,IF(T419&lt;12,T419*Controls!$B$13,T419*5))</f>
        <v/>
      </c>
      <c r="AB419" s="3">
        <f>IF(E419="",0,NETWORKDAYS(E419,Controls!$B$20,Ref!$K$2:$K$42))</f>
        <v/>
      </c>
      <c r="AC419" s="3">
        <f>IF(OR(AF419=1,AND(AA419&gt;0,AB419&gt;=Controls!$B$23*AA419)),1,0)</f>
        <v/>
      </c>
      <c r="AD419" s="3">
        <f>IF(AND(E419&lt;&gt;"",E419&gt;=Controls!$B$21,E419&lt;=Controls!$B$22),1,0)</f>
        <v/>
      </c>
      <c r="AE419" s="3">
        <f>IF(IFERROR(VLOOKUP(D419,Controls!$A$36:$E$46,2,FALSE()),"No")="Yes",1,0)</f>
        <v/>
      </c>
      <c r="AF419" s="3">
        <f>IF(IFERROR(VLOOKUP(D419,Controls!$A$36:$E$46,3,FALSE()),"No")="Yes",1,0)</f>
        <v/>
      </c>
      <c r="AG419" s="3">
        <f>IF(IFERROR(VLOOKUP(D419,Controls!$A$36:$E$46,4,FALSE()),"No")="Yes",1,0)</f>
        <v/>
      </c>
      <c r="AH419" s="3">
        <f>IF(IFERROR(VLOOKUP(D419,Controls!$A$36:$E$46,5,FALSE()),"No")="Yes",1,0)</f>
        <v/>
      </c>
      <c r="AI419" s="3">
        <f>IF(ISNUMBER(MATCH(D419,Controls!$A$36:$A$46,0)),1,0)</f>
        <v/>
      </c>
      <c r="AJ419" s="28">
        <f>Q419-N419</f>
        <v/>
      </c>
      <c r="AK419" s="3">
        <f>IF(AE419=1,MAX(0,N419-Q419),0)</f>
        <v/>
      </c>
      <c r="AL419" s="3">
        <f>IF(OR(V419="",V419=0),0,N419/V419)</f>
        <v/>
      </c>
      <c r="AM419" s="3">
        <f>IF(OR(V419="",V419=0),0,1)</f>
        <v/>
      </c>
      <c r="AN419" s="3">
        <f>IF(OR(E419="",F419=""),0,NETWORKDAYS(E419,F419,Ref!$K$2:$K$42))</f>
        <v/>
      </c>
      <c r="AO419" s="3">
        <f>IF(L419="Renewal",1,0)</f>
        <v/>
      </c>
      <c r="AP419" s="3">
        <f>AC419*AD419</f>
        <v/>
      </c>
      <c r="AQ419" s="3">
        <f>IF(AND(G419&lt;&gt;"",'Historical Score'!$C$6&lt;&gt;""),IF(G419='Historical Score'!$C$6,1,0),0)</f>
        <v/>
      </c>
      <c r="AR419" s="3">
        <f>IF(AND(L419&lt;&gt;"",'Historical Score'!$C$5&lt;&gt;""),IF(L419='Historical Score'!$C$5,1,0),0)</f>
        <v/>
      </c>
      <c r="AS419" s="3">
        <f>IF(AND(Y419&lt;&gt;"",'Historical Score'!$C$7&lt;&gt;""),IF(Y419='Historical Score'!$C$7,1,0),0)</f>
        <v/>
      </c>
      <c r="AT419" s="3">
        <f>IF(AND(K419&lt;&gt;"",'Historical Score'!$C$8&lt;&gt;""),IF(K419='Historical Score'!$C$8,1,0),0)</f>
        <v/>
      </c>
      <c r="AU419" s="3" t="n"/>
      <c r="AV419" s="3" t="n"/>
      <c r="AW419" s="3" t="n"/>
      <c r="AX419" s="3" t="n"/>
      <c r="AY419" s="3" t="n"/>
      <c r="AZ419" s="3" t="n"/>
      <c r="BA419" s="182">
        <f>IF(AD419=1,(AR419*'Historical Score'!$K$29+1-'Historical Score'!$K$29)*(AT419*'Historical Score'!$L$29+1-'Historical Score'!$L$29)*(AS419*'Historical Score'!$M$29+1-'Historical Score'!$M$29)*(AQ419*'Historical Score'!$N$29+1-'Historical Score'!$N$29),0)</f>
        <v/>
      </c>
      <c r="BB419" s="3" t="n"/>
      <c r="BC419" s="3" t="n"/>
    </row>
    <row r="420" ht="15.75" customHeight="1" s="174">
      <c r="A420" s="3" t="inlineStr">
        <is>
          <t>5674173690</t>
        </is>
      </c>
      <c r="B420" s="3" t="inlineStr">
        <is>
          <t>Discovery Water Management LLC.</t>
        </is>
      </c>
      <c r="C420" s="3" t="inlineStr">
        <is>
          <t>Discovery Water Management LLC.</t>
        </is>
      </c>
      <c r="D420" s="3" t="inlineStr">
        <is>
          <t>Settlement Agreement</t>
        </is>
      </c>
      <c r="E420" s="23" t="n">
        <v>45999</v>
      </c>
      <c r="F420" s="23" t="n">
        <v>46246</v>
      </c>
      <c r="G420" s="3" t="n">
        <v>2</v>
      </c>
      <c r="H420" s="3" t="inlineStr">
        <is>
          <t>1623</t>
        </is>
      </c>
      <c r="I420" s="3" t="inlineStr">
        <is>
          <t>16</t>
        </is>
      </c>
      <c r="J420" s="3" t="inlineStr">
        <is>
          <t>WI</t>
        </is>
      </c>
      <c r="K420" s="3" t="inlineStr">
        <is>
          <t>Platform Funding</t>
        </is>
      </c>
      <c r="L420" s="3" t="inlineStr">
        <is>
          <t>New Deal</t>
        </is>
      </c>
      <c r="M420" s="3" t="n">
        <v>1.499</v>
      </c>
      <c r="N420" s="28" t="n">
        <v>20000</v>
      </c>
      <c r="O420" s="28" t="n">
        <v>2800</v>
      </c>
      <c r="P420" s="28" t="n">
        <v>29980</v>
      </c>
      <c r="Q420" s="28" t="n">
        <v>22769.95</v>
      </c>
      <c r="R420" s="28" t="n">
        <v>7210.05</v>
      </c>
      <c r="S420" s="42" t="n">
        <v>0.759504669779853</v>
      </c>
      <c r="T420" s="3" t="n">
        <v>2.787</v>
      </c>
      <c r="U420" s="3" t="n">
        <v>40</v>
      </c>
      <c r="V420" s="3" t="n">
        <v>80290.60000000001</v>
      </c>
      <c r="W420" s="42" t="n">
        <v>0.1619</v>
      </c>
      <c r="X420" s="23" t="n">
        <v>40970</v>
      </c>
      <c r="Y420" s="3">
        <f>IF(I420="","No SIC",IFERROR(VLOOKUP(I420,Ref!$A$2:$B$65,2,FALSE()),"Unclassified"))</f>
        <v/>
      </c>
      <c r="Z420" s="3">
        <f>IF(T420="","",IF(T420&lt;12,"Daily","Weekly"))</f>
        <v/>
      </c>
      <c r="AA420" s="3">
        <f>IF(T420="",0,IF(T420&lt;12,T420*Controls!$B$13,T420*5))</f>
        <v/>
      </c>
      <c r="AB420" s="3">
        <f>IF(E420="",0,NETWORKDAYS(E420,Controls!$B$20,Ref!$K$2:$K$42))</f>
        <v/>
      </c>
      <c r="AC420" s="3">
        <f>IF(OR(AF420=1,AND(AA420&gt;0,AB420&gt;=Controls!$B$23*AA420)),1,0)</f>
        <v/>
      </c>
      <c r="AD420" s="3">
        <f>IF(AND(E420&lt;&gt;"",E420&gt;=Controls!$B$21,E420&lt;=Controls!$B$22),1,0)</f>
        <v/>
      </c>
      <c r="AE420" s="3">
        <f>IF(IFERROR(VLOOKUP(D420,Controls!$A$36:$E$46,2,FALSE()),"No")="Yes",1,0)</f>
        <v/>
      </c>
      <c r="AF420" s="3">
        <f>IF(IFERROR(VLOOKUP(D420,Controls!$A$36:$E$46,3,FALSE()),"No")="Yes",1,0)</f>
        <v/>
      </c>
      <c r="AG420" s="3">
        <f>IF(IFERROR(VLOOKUP(D420,Controls!$A$36:$E$46,4,FALSE()),"No")="Yes",1,0)</f>
        <v/>
      </c>
      <c r="AH420" s="3">
        <f>IF(IFERROR(VLOOKUP(D420,Controls!$A$36:$E$46,5,FALSE()),"No")="Yes",1,0)</f>
        <v/>
      </c>
      <c r="AI420" s="3">
        <f>IF(ISNUMBER(MATCH(D420,Controls!$A$36:$A$46,0)),1,0)</f>
        <v/>
      </c>
      <c r="AJ420" s="28">
        <f>Q420-N420</f>
        <v/>
      </c>
      <c r="AK420" s="3">
        <f>IF(AE420=1,MAX(0,N420-Q420),0)</f>
        <v/>
      </c>
      <c r="AL420" s="3">
        <f>IF(OR(V420="",V420=0),0,N420/V420)</f>
        <v/>
      </c>
      <c r="AM420" s="3">
        <f>IF(OR(V420="",V420=0),0,1)</f>
        <v/>
      </c>
      <c r="AN420" s="3">
        <f>IF(OR(E420="",F420=""),0,NETWORKDAYS(E420,F420,Ref!$K$2:$K$42))</f>
        <v/>
      </c>
      <c r="AO420" s="3">
        <f>IF(L420="Renewal",1,0)</f>
        <v/>
      </c>
      <c r="AP420" s="3">
        <f>AC420*AD420</f>
        <v/>
      </c>
      <c r="AQ420" s="3">
        <f>IF(AND(G420&lt;&gt;"",'Historical Score'!$C$6&lt;&gt;""),IF(G420='Historical Score'!$C$6,1,0),0)</f>
        <v/>
      </c>
      <c r="AR420" s="3">
        <f>IF(AND(L420&lt;&gt;"",'Historical Score'!$C$5&lt;&gt;""),IF(L420='Historical Score'!$C$5,1,0),0)</f>
        <v/>
      </c>
      <c r="AS420" s="3">
        <f>IF(AND(Y420&lt;&gt;"",'Historical Score'!$C$7&lt;&gt;""),IF(Y420='Historical Score'!$C$7,1,0),0)</f>
        <v/>
      </c>
      <c r="AT420" s="3">
        <f>IF(AND(K420&lt;&gt;"",'Historical Score'!$C$8&lt;&gt;""),IF(K420='Historical Score'!$C$8,1,0),0)</f>
        <v/>
      </c>
      <c r="AU420" s="3" t="n"/>
      <c r="AV420" s="3" t="n"/>
      <c r="AW420" s="3" t="n"/>
      <c r="AX420" s="3" t="n"/>
      <c r="AY420" s="3" t="n"/>
      <c r="AZ420" s="3" t="n"/>
      <c r="BA420" s="182">
        <f>IF(AD420=1,(AR420*'Historical Score'!$K$29+1-'Historical Score'!$K$29)*(AT420*'Historical Score'!$L$29+1-'Historical Score'!$L$29)*(AS420*'Historical Score'!$M$29+1-'Historical Score'!$M$29)*(AQ420*'Historical Score'!$N$29+1-'Historical Score'!$N$29),0)</f>
        <v/>
      </c>
      <c r="BB420" s="3" t="n"/>
      <c r="BC420" s="3" t="n"/>
    </row>
    <row r="421" ht="15.75" customHeight="1" s="174">
      <c r="A421" s="3" t="inlineStr">
        <is>
          <t>5674173726</t>
        </is>
      </c>
      <c r="B421" s="3" t="inlineStr">
        <is>
          <t>BLACKBURN BUSINESS MANAGEMENT</t>
        </is>
      </c>
      <c r="C421" s="3" t="inlineStr">
        <is>
          <t>BLACKBURN BUSINESS MANAGEMENT LLC</t>
        </is>
      </c>
      <c r="D421" s="3" t="inlineStr">
        <is>
          <t>Closed</t>
        </is>
      </c>
      <c r="E421" s="23" t="n">
        <v>45999</v>
      </c>
      <c r="F421" s="23" t="n">
        <v>46106</v>
      </c>
      <c r="G421" s="3" t="n">
        <v>2</v>
      </c>
      <c r="H421" s="3" t="inlineStr">
        <is>
          <t>1442</t>
        </is>
      </c>
      <c r="I421" s="3" t="inlineStr">
        <is>
          <t>14</t>
        </is>
      </c>
      <c r="J421" s="3" t="inlineStr">
        <is>
          <t>TX</t>
        </is>
      </c>
      <c r="K421" s="3" t="inlineStr">
        <is>
          <t>EZ ADVANCE LLC</t>
        </is>
      </c>
      <c r="L421" s="3" t="inlineStr">
        <is>
          <t>New Deal</t>
        </is>
      </c>
      <c r="M421" s="3" t="n">
        <v>1.434095</v>
      </c>
      <c r="N421" s="28" t="n">
        <v>30000</v>
      </c>
      <c r="O421" s="28" t="n">
        <v>4200</v>
      </c>
      <c r="P421" s="28" t="n">
        <v>43022.85</v>
      </c>
      <c r="Q421" s="28" t="n">
        <v>43022.85</v>
      </c>
      <c r="R421" s="28" t="n">
        <v>0</v>
      </c>
      <c r="S421" s="42" t="n">
        <v>1</v>
      </c>
      <c r="T421" s="3" t="n">
        <v>24</v>
      </c>
      <c r="U421" s="3" t="n">
        <v>0</v>
      </c>
      <c r="V421" s="3" t="n">
        <v>31354.76</v>
      </c>
      <c r="W421" s="42" t="n">
        <v>0.2376</v>
      </c>
      <c r="X421" s="23" t="n"/>
      <c r="Y421" s="3">
        <f>IF(I421="","No SIC",IFERROR(VLOOKUP(I421,Ref!$A$2:$B$65,2,FALSE()),"Unclassified"))</f>
        <v/>
      </c>
      <c r="Z421" s="3">
        <f>IF(T421="","",IF(T421&lt;12,"Daily","Weekly"))</f>
        <v/>
      </c>
      <c r="AA421" s="3">
        <f>IF(T421="",0,IF(T421&lt;12,T421*Controls!$B$13,T421*5))</f>
        <v/>
      </c>
      <c r="AB421" s="3">
        <f>IF(E421="",0,NETWORKDAYS(E421,Controls!$B$20,Ref!$K$2:$K$42))</f>
        <v/>
      </c>
      <c r="AC421" s="3">
        <f>IF(OR(AF421=1,AND(AA421&gt;0,AB421&gt;=Controls!$B$23*AA421)),1,0)</f>
        <v/>
      </c>
      <c r="AD421" s="3">
        <f>IF(AND(E421&lt;&gt;"",E421&gt;=Controls!$B$21,E421&lt;=Controls!$B$22),1,0)</f>
        <v/>
      </c>
      <c r="AE421" s="3">
        <f>IF(IFERROR(VLOOKUP(D421,Controls!$A$36:$E$46,2,FALSE()),"No")="Yes",1,0)</f>
        <v/>
      </c>
      <c r="AF421" s="3">
        <f>IF(IFERROR(VLOOKUP(D421,Controls!$A$36:$E$46,3,FALSE()),"No")="Yes",1,0)</f>
        <v/>
      </c>
      <c r="AG421" s="3">
        <f>IF(IFERROR(VLOOKUP(D421,Controls!$A$36:$E$46,4,FALSE()),"No")="Yes",1,0)</f>
        <v/>
      </c>
      <c r="AH421" s="3">
        <f>IF(IFERROR(VLOOKUP(D421,Controls!$A$36:$E$46,5,FALSE()),"No")="Yes",1,0)</f>
        <v/>
      </c>
      <c r="AI421" s="3">
        <f>IF(ISNUMBER(MATCH(D421,Controls!$A$36:$A$46,0)),1,0)</f>
        <v/>
      </c>
      <c r="AJ421" s="28">
        <f>Q421-N421</f>
        <v/>
      </c>
      <c r="AK421" s="3">
        <f>IF(AE421=1,MAX(0,N421-Q421),0)</f>
        <v/>
      </c>
      <c r="AL421" s="3">
        <f>IF(OR(V421="",V421=0),0,N421/V421)</f>
        <v/>
      </c>
      <c r="AM421" s="3">
        <f>IF(OR(V421="",V421=0),0,1)</f>
        <v/>
      </c>
      <c r="AN421" s="3">
        <f>IF(OR(E421="",F421=""),0,NETWORKDAYS(E421,F421,Ref!$K$2:$K$42))</f>
        <v/>
      </c>
      <c r="AO421" s="3">
        <f>IF(L421="Renewal",1,0)</f>
        <v/>
      </c>
      <c r="AP421" s="3">
        <f>AC421*AD421</f>
        <v/>
      </c>
      <c r="AQ421" s="3">
        <f>IF(AND(G421&lt;&gt;"",'Historical Score'!$C$6&lt;&gt;""),IF(G421='Historical Score'!$C$6,1,0),0)</f>
        <v/>
      </c>
      <c r="AR421" s="3">
        <f>IF(AND(L421&lt;&gt;"",'Historical Score'!$C$5&lt;&gt;""),IF(L421='Historical Score'!$C$5,1,0),0)</f>
        <v/>
      </c>
      <c r="AS421" s="3">
        <f>IF(AND(Y421&lt;&gt;"",'Historical Score'!$C$7&lt;&gt;""),IF(Y421='Historical Score'!$C$7,1,0),0)</f>
        <v/>
      </c>
      <c r="AT421" s="3">
        <f>IF(AND(K421&lt;&gt;"",'Historical Score'!$C$8&lt;&gt;""),IF(K421='Historical Score'!$C$8,1,0),0)</f>
        <v/>
      </c>
      <c r="AU421" s="3" t="n"/>
      <c r="AV421" s="3" t="n"/>
      <c r="AW421" s="3" t="n"/>
      <c r="AX421" s="3" t="n"/>
      <c r="AY421" s="3" t="n"/>
      <c r="AZ421" s="3" t="n"/>
      <c r="BA421" s="182">
        <f>IF(AD421=1,(AR421*'Historical Score'!$K$29+1-'Historical Score'!$K$29)*(AT421*'Historical Score'!$L$29+1-'Historical Score'!$L$29)*(AS421*'Historical Score'!$M$29+1-'Historical Score'!$M$29)*(AQ421*'Historical Score'!$N$29+1-'Historical Score'!$N$29),0)</f>
        <v/>
      </c>
      <c r="BB421" s="3" t="n"/>
      <c r="BC421" s="3" t="n"/>
    </row>
    <row r="422" ht="15.75" customHeight="1" s="174">
      <c r="A422" s="3" t="inlineStr">
        <is>
          <t>5674173770</t>
        </is>
      </c>
      <c r="B422" s="3" t="inlineStr">
        <is>
          <t>CP INFINITY CONSULTING LLC</t>
        </is>
      </c>
      <c r="C422" s="3" t="inlineStr">
        <is>
          <t>CP INFINITY CONSULTING LLC</t>
        </is>
      </c>
      <c r="D422" s="3" t="inlineStr">
        <is>
          <t>Closed</t>
        </is>
      </c>
      <c r="E422" s="23" t="n">
        <v>45999</v>
      </c>
      <c r="F422" s="23" t="n">
        <v>46129</v>
      </c>
      <c r="G422" s="3" t="n">
        <v>1</v>
      </c>
      <c r="H422" s="3" t="inlineStr">
        <is>
          <t>8742</t>
        </is>
      </c>
      <c r="I422" s="3" t="inlineStr">
        <is>
          <t>87</t>
        </is>
      </c>
      <c r="J422" s="3" t="inlineStr">
        <is>
          <t>FL</t>
        </is>
      </c>
      <c r="K422" s="3" t="inlineStr">
        <is>
          <t>level 3 funding</t>
        </is>
      </c>
      <c r="L422" s="3" t="inlineStr">
        <is>
          <t>New Deal</t>
        </is>
      </c>
      <c r="M422" s="3" t="n">
        <v>1.49</v>
      </c>
      <c r="N422" s="28" t="n">
        <v>3500</v>
      </c>
      <c r="O422" s="28" t="n">
        <v>490</v>
      </c>
      <c r="P422" s="28" t="n">
        <v>5215</v>
      </c>
      <c r="Q422" s="28" t="n">
        <v>5215</v>
      </c>
      <c r="R422" s="28" t="n">
        <v>0</v>
      </c>
      <c r="S422" s="42" t="n">
        <v>1</v>
      </c>
      <c r="T422" s="3" t="n">
        <v>18</v>
      </c>
      <c r="U422" s="3" t="n">
        <v>1</v>
      </c>
      <c r="V422" s="3" t="n">
        <v>6400.67</v>
      </c>
      <c r="W422" s="42" t="n">
        <v>0.1811</v>
      </c>
      <c r="X422" s="23" t="n">
        <v>45627</v>
      </c>
      <c r="Y422" s="3">
        <f>IF(I422="","No SIC",IFERROR(VLOOKUP(I422,Ref!$A$2:$B$65,2,FALSE()),"Unclassified"))</f>
        <v/>
      </c>
      <c r="Z422" s="3">
        <f>IF(T422="","",IF(T422&lt;12,"Daily","Weekly"))</f>
        <v/>
      </c>
      <c r="AA422" s="3">
        <f>IF(T422="",0,IF(T422&lt;12,T422*Controls!$B$13,T422*5))</f>
        <v/>
      </c>
      <c r="AB422" s="3">
        <f>IF(E422="",0,NETWORKDAYS(E422,Controls!$B$20,Ref!$K$2:$K$42))</f>
        <v/>
      </c>
      <c r="AC422" s="3">
        <f>IF(OR(AF422=1,AND(AA422&gt;0,AB422&gt;=Controls!$B$23*AA422)),1,0)</f>
        <v/>
      </c>
      <c r="AD422" s="3">
        <f>IF(AND(E422&lt;&gt;"",E422&gt;=Controls!$B$21,E422&lt;=Controls!$B$22),1,0)</f>
        <v/>
      </c>
      <c r="AE422" s="3">
        <f>IF(IFERROR(VLOOKUP(D422,Controls!$A$36:$E$46,2,FALSE()),"No")="Yes",1,0)</f>
        <v/>
      </c>
      <c r="AF422" s="3">
        <f>IF(IFERROR(VLOOKUP(D422,Controls!$A$36:$E$46,3,FALSE()),"No")="Yes",1,0)</f>
        <v/>
      </c>
      <c r="AG422" s="3">
        <f>IF(IFERROR(VLOOKUP(D422,Controls!$A$36:$E$46,4,FALSE()),"No")="Yes",1,0)</f>
        <v/>
      </c>
      <c r="AH422" s="3">
        <f>IF(IFERROR(VLOOKUP(D422,Controls!$A$36:$E$46,5,FALSE()),"No")="Yes",1,0)</f>
        <v/>
      </c>
      <c r="AI422" s="3">
        <f>IF(ISNUMBER(MATCH(D422,Controls!$A$36:$A$46,0)),1,0)</f>
        <v/>
      </c>
      <c r="AJ422" s="28">
        <f>Q422-N422</f>
        <v/>
      </c>
      <c r="AK422" s="3">
        <f>IF(AE422=1,MAX(0,N422-Q422),0)</f>
        <v/>
      </c>
      <c r="AL422" s="3">
        <f>IF(OR(V422="",V422=0),0,N422/V422)</f>
        <v/>
      </c>
      <c r="AM422" s="3">
        <f>IF(OR(V422="",V422=0),0,1)</f>
        <v/>
      </c>
      <c r="AN422" s="3">
        <f>IF(OR(E422="",F422=""),0,NETWORKDAYS(E422,F422,Ref!$K$2:$K$42))</f>
        <v/>
      </c>
      <c r="AO422" s="3">
        <f>IF(L422="Renewal",1,0)</f>
        <v/>
      </c>
      <c r="AP422" s="3">
        <f>AC422*AD422</f>
        <v/>
      </c>
      <c r="AQ422" s="3">
        <f>IF(AND(G422&lt;&gt;"",'Historical Score'!$C$6&lt;&gt;""),IF(G422='Historical Score'!$C$6,1,0),0)</f>
        <v/>
      </c>
      <c r="AR422" s="3">
        <f>IF(AND(L422&lt;&gt;"",'Historical Score'!$C$5&lt;&gt;""),IF(L422='Historical Score'!$C$5,1,0),0)</f>
        <v/>
      </c>
      <c r="AS422" s="3">
        <f>IF(AND(Y422&lt;&gt;"",'Historical Score'!$C$7&lt;&gt;""),IF(Y422='Historical Score'!$C$7,1,0),0)</f>
        <v/>
      </c>
      <c r="AT422" s="3">
        <f>IF(AND(K422&lt;&gt;"",'Historical Score'!$C$8&lt;&gt;""),IF(K422='Historical Score'!$C$8,1,0),0)</f>
        <v/>
      </c>
      <c r="AU422" s="3" t="n"/>
      <c r="AV422" s="3" t="n"/>
      <c r="AW422" s="3" t="n"/>
      <c r="AX422" s="3" t="n"/>
      <c r="AY422" s="3" t="n"/>
      <c r="AZ422" s="3" t="n"/>
      <c r="BA422" s="182">
        <f>IF(AD422=1,(AR422*'Historical Score'!$K$29+1-'Historical Score'!$K$29)*(AT422*'Historical Score'!$L$29+1-'Historical Score'!$L$29)*(AS422*'Historical Score'!$M$29+1-'Historical Score'!$M$29)*(AQ422*'Historical Score'!$N$29+1-'Historical Score'!$N$29),0)</f>
        <v/>
      </c>
      <c r="BB422" s="3" t="n"/>
      <c r="BC422" s="3" t="n"/>
    </row>
    <row r="423" ht="15.75" customHeight="1" s="174">
      <c r="A423" s="3" t="inlineStr">
        <is>
          <t>5674173789</t>
        </is>
      </c>
      <c r="B423" s="3" t="inlineStr">
        <is>
          <t>BAD HABITS</t>
        </is>
      </c>
      <c r="C423" s="3" t="inlineStr">
        <is>
          <t>BAD HABITS HTX LLC</t>
        </is>
      </c>
      <c r="D423" s="3" t="inlineStr">
        <is>
          <t>Closed</t>
        </is>
      </c>
      <c r="E423" s="23" t="n">
        <v>46000</v>
      </c>
      <c r="F423" s="23" t="n">
        <v>46196</v>
      </c>
      <c r="G423" s="3" t="n">
        <v>2</v>
      </c>
      <c r="H423" s="3" t="inlineStr">
        <is>
          <t>7911</t>
        </is>
      </c>
      <c r="I423" s="3" t="inlineStr">
        <is>
          <t>79</t>
        </is>
      </c>
      <c r="J423" s="3" t="inlineStr">
        <is>
          <t>TX</t>
        </is>
      </c>
      <c r="K423" s="3" t="inlineStr">
        <is>
          <t>Fundwell</t>
        </is>
      </c>
      <c r="L423" s="3" t="inlineStr">
        <is>
          <t>New Deal</t>
        </is>
      </c>
      <c r="M423" s="3" t="n">
        <v>1.42</v>
      </c>
      <c r="N423" s="28" t="n">
        <v>70000</v>
      </c>
      <c r="O423" s="28" t="n">
        <v>10150</v>
      </c>
      <c r="P423" s="28" t="n">
        <v>99400</v>
      </c>
      <c r="Q423" s="28" t="n">
        <v>99400</v>
      </c>
      <c r="R423" s="28" t="n">
        <v>0</v>
      </c>
      <c r="S423" s="42" t="n">
        <v>1</v>
      </c>
      <c r="T423" s="3" t="n">
        <v>28</v>
      </c>
      <c r="U423" s="3" t="n">
        <v>2</v>
      </c>
      <c r="V423" s="3" t="n">
        <v>189356.07</v>
      </c>
      <c r="W423" s="42" t="n">
        <v>0.075</v>
      </c>
      <c r="X423" s="23" t="n">
        <v>45460</v>
      </c>
      <c r="Y423" s="3">
        <f>IF(I423="","No SIC",IFERROR(VLOOKUP(I423,Ref!$A$2:$B$65,2,FALSE()),"Unclassified"))</f>
        <v/>
      </c>
      <c r="Z423" s="3">
        <f>IF(T423="","",IF(T423&lt;12,"Daily","Weekly"))</f>
        <v/>
      </c>
      <c r="AA423" s="3">
        <f>IF(T423="",0,IF(T423&lt;12,T423*Controls!$B$13,T423*5))</f>
        <v/>
      </c>
      <c r="AB423" s="3">
        <f>IF(E423="",0,NETWORKDAYS(E423,Controls!$B$20,Ref!$K$2:$K$42))</f>
        <v/>
      </c>
      <c r="AC423" s="3">
        <f>IF(OR(AF423=1,AND(AA423&gt;0,AB423&gt;=Controls!$B$23*AA423)),1,0)</f>
        <v/>
      </c>
      <c r="AD423" s="3">
        <f>IF(AND(E423&lt;&gt;"",E423&gt;=Controls!$B$21,E423&lt;=Controls!$B$22),1,0)</f>
        <v/>
      </c>
      <c r="AE423" s="3">
        <f>IF(IFERROR(VLOOKUP(D423,Controls!$A$36:$E$46,2,FALSE()),"No")="Yes",1,0)</f>
        <v/>
      </c>
      <c r="AF423" s="3">
        <f>IF(IFERROR(VLOOKUP(D423,Controls!$A$36:$E$46,3,FALSE()),"No")="Yes",1,0)</f>
        <v/>
      </c>
      <c r="AG423" s="3">
        <f>IF(IFERROR(VLOOKUP(D423,Controls!$A$36:$E$46,4,FALSE()),"No")="Yes",1,0)</f>
        <v/>
      </c>
      <c r="AH423" s="3">
        <f>IF(IFERROR(VLOOKUP(D423,Controls!$A$36:$E$46,5,FALSE()),"No")="Yes",1,0)</f>
        <v/>
      </c>
      <c r="AI423" s="3">
        <f>IF(ISNUMBER(MATCH(D423,Controls!$A$36:$A$46,0)),1,0)</f>
        <v/>
      </c>
      <c r="AJ423" s="28">
        <f>Q423-N423</f>
        <v/>
      </c>
      <c r="AK423" s="3">
        <f>IF(AE423=1,MAX(0,N423-Q423),0)</f>
        <v/>
      </c>
      <c r="AL423" s="3">
        <f>IF(OR(V423="",V423=0),0,N423/V423)</f>
        <v/>
      </c>
      <c r="AM423" s="3">
        <f>IF(OR(V423="",V423=0),0,1)</f>
        <v/>
      </c>
      <c r="AN423" s="3">
        <f>IF(OR(E423="",F423=""),0,NETWORKDAYS(E423,F423,Ref!$K$2:$K$42))</f>
        <v/>
      </c>
      <c r="AO423" s="3">
        <f>IF(L423="Renewal",1,0)</f>
        <v/>
      </c>
      <c r="AP423" s="3">
        <f>AC423*AD423</f>
        <v/>
      </c>
      <c r="AQ423" s="3">
        <f>IF(AND(G423&lt;&gt;"",'Historical Score'!$C$6&lt;&gt;""),IF(G423='Historical Score'!$C$6,1,0),0)</f>
        <v/>
      </c>
      <c r="AR423" s="3">
        <f>IF(AND(L423&lt;&gt;"",'Historical Score'!$C$5&lt;&gt;""),IF(L423='Historical Score'!$C$5,1,0),0)</f>
        <v/>
      </c>
      <c r="AS423" s="3">
        <f>IF(AND(Y423&lt;&gt;"",'Historical Score'!$C$7&lt;&gt;""),IF(Y423='Historical Score'!$C$7,1,0),0)</f>
        <v/>
      </c>
      <c r="AT423" s="3">
        <f>IF(AND(K423&lt;&gt;"",'Historical Score'!$C$8&lt;&gt;""),IF(K423='Historical Score'!$C$8,1,0),0)</f>
        <v/>
      </c>
      <c r="AU423" s="3" t="n"/>
      <c r="AV423" s="3" t="n"/>
      <c r="AW423" s="3" t="n"/>
      <c r="AX423" s="3" t="n"/>
      <c r="AY423" s="3" t="n"/>
      <c r="AZ423" s="3" t="n"/>
      <c r="BA423" s="182">
        <f>IF(AD423=1,(AR423*'Historical Score'!$K$29+1-'Historical Score'!$K$29)*(AT423*'Historical Score'!$L$29+1-'Historical Score'!$L$29)*(AS423*'Historical Score'!$M$29+1-'Historical Score'!$M$29)*(AQ423*'Historical Score'!$N$29+1-'Historical Score'!$N$29),0)</f>
        <v/>
      </c>
      <c r="BB423" s="3" t="n"/>
      <c r="BC423" s="3" t="n"/>
    </row>
    <row r="424" ht="15.75" customHeight="1" s="174">
      <c r="A424" s="3" t="inlineStr">
        <is>
          <t>5674173818</t>
        </is>
      </c>
      <c r="B424" s="3" t="inlineStr">
        <is>
          <t>PAGANOTTIS CLEANING SERVICES</t>
        </is>
      </c>
      <c r="C424" s="3" t="inlineStr">
        <is>
          <t>PAGANOTTIS CLEANING SERVICES INC</t>
        </is>
      </c>
      <c r="D424" s="3" t="inlineStr">
        <is>
          <t>Legal</t>
        </is>
      </c>
      <c r="E424" s="23" t="n">
        <v>46000</v>
      </c>
      <c r="F424" s="23" t="n">
        <v>46079</v>
      </c>
      <c r="G424" s="3" t="n">
        <v>2</v>
      </c>
      <c r="H424" s="3" t="inlineStr">
        <is>
          <t>7217</t>
        </is>
      </c>
      <c r="I424" s="3" t="inlineStr">
        <is>
          <t>72</t>
        </is>
      </c>
      <c r="J424" s="3" t="inlineStr">
        <is>
          <t>MA</t>
        </is>
      </c>
      <c r="K424" s="3" t="inlineStr">
        <is>
          <t>Fundwell</t>
        </is>
      </c>
      <c r="L424" s="3" t="inlineStr">
        <is>
          <t>New Deal</t>
        </is>
      </c>
      <c r="M424" s="3" t="n">
        <v>1.42</v>
      </c>
      <c r="N424" s="28" t="n">
        <v>20000</v>
      </c>
      <c r="O424" s="28" t="n">
        <v>2900</v>
      </c>
      <c r="P424" s="28" t="n">
        <v>28400</v>
      </c>
      <c r="Q424" s="28" t="n">
        <v>5917.3</v>
      </c>
      <c r="R424" s="28" t="n">
        <v>22482.7</v>
      </c>
      <c r="S424" s="42" t="n">
        <v>0.208355633802817</v>
      </c>
      <c r="T424" s="3" t="n">
        <v>24</v>
      </c>
      <c r="U424" s="3" t="n">
        <v>7</v>
      </c>
      <c r="V424" s="3" t="n">
        <v>30980.57</v>
      </c>
      <c r="W424" s="42" t="n">
        <v>0.1528</v>
      </c>
      <c r="X424" s="23" t="n">
        <v>44095</v>
      </c>
      <c r="Y424" s="3">
        <f>IF(I424="","No SIC",IFERROR(VLOOKUP(I424,Ref!$A$2:$B$65,2,FALSE()),"Unclassified"))</f>
        <v/>
      </c>
      <c r="Z424" s="3">
        <f>IF(T424="","",IF(T424&lt;12,"Daily","Weekly"))</f>
        <v/>
      </c>
      <c r="AA424" s="3">
        <f>IF(T424="",0,IF(T424&lt;12,T424*Controls!$B$13,T424*5))</f>
        <v/>
      </c>
      <c r="AB424" s="3">
        <f>IF(E424="",0,NETWORKDAYS(E424,Controls!$B$20,Ref!$K$2:$K$42))</f>
        <v/>
      </c>
      <c r="AC424" s="3">
        <f>IF(OR(AF424=1,AND(AA424&gt;0,AB424&gt;=Controls!$B$23*AA424)),1,0)</f>
        <v/>
      </c>
      <c r="AD424" s="3">
        <f>IF(AND(E424&lt;&gt;"",E424&gt;=Controls!$B$21,E424&lt;=Controls!$B$22),1,0)</f>
        <v/>
      </c>
      <c r="AE424" s="3">
        <f>IF(IFERROR(VLOOKUP(D424,Controls!$A$36:$E$46,2,FALSE()),"No")="Yes",1,0)</f>
        <v/>
      </c>
      <c r="AF424" s="3">
        <f>IF(IFERROR(VLOOKUP(D424,Controls!$A$36:$E$46,3,FALSE()),"No")="Yes",1,0)</f>
        <v/>
      </c>
      <c r="AG424" s="3">
        <f>IF(IFERROR(VLOOKUP(D424,Controls!$A$36:$E$46,4,FALSE()),"No")="Yes",1,0)</f>
        <v/>
      </c>
      <c r="AH424" s="3">
        <f>IF(IFERROR(VLOOKUP(D424,Controls!$A$36:$E$46,5,FALSE()),"No")="Yes",1,0)</f>
        <v/>
      </c>
      <c r="AI424" s="3">
        <f>IF(ISNUMBER(MATCH(D424,Controls!$A$36:$A$46,0)),1,0)</f>
        <v/>
      </c>
      <c r="AJ424" s="28">
        <f>Q424-N424</f>
        <v/>
      </c>
      <c r="AK424" s="3">
        <f>IF(AE424=1,MAX(0,N424-Q424),0)</f>
        <v/>
      </c>
      <c r="AL424" s="3">
        <f>IF(OR(V424="",V424=0),0,N424/V424)</f>
        <v/>
      </c>
      <c r="AM424" s="3">
        <f>IF(OR(V424="",V424=0),0,1)</f>
        <v/>
      </c>
      <c r="AN424" s="3">
        <f>IF(OR(E424="",F424=""),0,NETWORKDAYS(E424,F424,Ref!$K$2:$K$42))</f>
        <v/>
      </c>
      <c r="AO424" s="3">
        <f>IF(L424="Renewal",1,0)</f>
        <v/>
      </c>
      <c r="AP424" s="3">
        <f>AC424*AD424</f>
        <v/>
      </c>
      <c r="AQ424" s="3">
        <f>IF(AND(G424&lt;&gt;"",'Historical Score'!$C$6&lt;&gt;""),IF(G424='Historical Score'!$C$6,1,0),0)</f>
        <v/>
      </c>
      <c r="AR424" s="3">
        <f>IF(AND(L424&lt;&gt;"",'Historical Score'!$C$5&lt;&gt;""),IF(L424='Historical Score'!$C$5,1,0),0)</f>
        <v/>
      </c>
      <c r="AS424" s="3">
        <f>IF(AND(Y424&lt;&gt;"",'Historical Score'!$C$7&lt;&gt;""),IF(Y424='Historical Score'!$C$7,1,0),0)</f>
        <v/>
      </c>
      <c r="AT424" s="3">
        <f>IF(AND(K424&lt;&gt;"",'Historical Score'!$C$8&lt;&gt;""),IF(K424='Historical Score'!$C$8,1,0),0)</f>
        <v/>
      </c>
      <c r="AU424" s="3" t="n"/>
      <c r="AV424" s="3" t="n"/>
      <c r="AW424" s="3" t="n"/>
      <c r="AX424" s="3" t="n"/>
      <c r="AY424" s="3" t="n"/>
      <c r="AZ424" s="3" t="n"/>
      <c r="BA424" s="182">
        <f>IF(AD424=1,(AR424*'Historical Score'!$K$29+1-'Historical Score'!$K$29)*(AT424*'Historical Score'!$L$29+1-'Historical Score'!$L$29)*(AS424*'Historical Score'!$M$29+1-'Historical Score'!$M$29)*(AQ424*'Historical Score'!$N$29+1-'Historical Score'!$N$29),0)</f>
        <v/>
      </c>
      <c r="BB424" s="3" t="n"/>
      <c r="BC424" s="3" t="n"/>
    </row>
    <row r="425" ht="15.75" customHeight="1" s="174">
      <c r="A425" s="3" t="inlineStr">
        <is>
          <t>5674173826</t>
        </is>
      </c>
      <c r="B425" s="3" t="inlineStr">
        <is>
          <t>PANZA XPRESS INC</t>
        </is>
      </c>
      <c r="C425" s="3" t="inlineStr">
        <is>
          <t>PANZA XPRESS INC</t>
        </is>
      </c>
      <c r="D425" s="3" t="inlineStr">
        <is>
          <t>Legal</t>
        </is>
      </c>
      <c r="E425" s="23" t="n">
        <v>46000</v>
      </c>
      <c r="F425" s="23" t="n">
        <v>46177</v>
      </c>
      <c r="G425" s="3" t="n">
        <v>1</v>
      </c>
      <c r="H425" s="3" t="inlineStr">
        <is>
          <t>5812</t>
        </is>
      </c>
      <c r="I425" s="3" t="inlineStr">
        <is>
          <t>58</t>
        </is>
      </c>
      <c r="J425" s="3" t="inlineStr">
        <is>
          <t>CA</t>
        </is>
      </c>
      <c r="K425" s="3" t="inlineStr">
        <is>
          <t>United Secured Capital 8</t>
        </is>
      </c>
      <c r="L425" s="3" t="inlineStr">
        <is>
          <t>New Deal</t>
        </is>
      </c>
      <c r="M425" s="3" t="n">
        <v>1.499</v>
      </c>
      <c r="N425" s="28" t="n">
        <v>15000</v>
      </c>
      <c r="O425" s="28" t="n">
        <v>0</v>
      </c>
      <c r="P425" s="28" t="n">
        <v>22485</v>
      </c>
      <c r="Q425" s="28" t="n">
        <v>248.47</v>
      </c>
      <c r="R425" s="28" t="n">
        <v>22236.53</v>
      </c>
      <c r="S425" s="42" t="n">
        <v>0.0110504780965088</v>
      </c>
      <c r="T425" s="3" t="n">
        <v>2.951</v>
      </c>
      <c r="U425" s="3" t="n">
        <v>23</v>
      </c>
      <c r="V425" s="3" t="n">
        <v>43266.17</v>
      </c>
      <c r="W425" s="42" t="n">
        <v>0.1206</v>
      </c>
      <c r="X425" s="23" t="n">
        <v>45222</v>
      </c>
      <c r="Y425" s="3">
        <f>IF(I425="","No SIC",IFERROR(VLOOKUP(I425,Ref!$A$2:$B$65,2,FALSE()),"Unclassified"))</f>
        <v/>
      </c>
      <c r="Z425" s="3">
        <f>IF(T425="","",IF(T425&lt;12,"Daily","Weekly"))</f>
        <v/>
      </c>
      <c r="AA425" s="3">
        <f>IF(T425="",0,IF(T425&lt;12,T425*Controls!$B$13,T425*5))</f>
        <v/>
      </c>
      <c r="AB425" s="3">
        <f>IF(E425="",0,NETWORKDAYS(E425,Controls!$B$20,Ref!$K$2:$K$42))</f>
        <v/>
      </c>
      <c r="AC425" s="3">
        <f>IF(OR(AF425=1,AND(AA425&gt;0,AB425&gt;=Controls!$B$23*AA425)),1,0)</f>
        <v/>
      </c>
      <c r="AD425" s="3">
        <f>IF(AND(E425&lt;&gt;"",E425&gt;=Controls!$B$21,E425&lt;=Controls!$B$22),1,0)</f>
        <v/>
      </c>
      <c r="AE425" s="3">
        <f>IF(IFERROR(VLOOKUP(D425,Controls!$A$36:$E$46,2,FALSE()),"No")="Yes",1,0)</f>
        <v/>
      </c>
      <c r="AF425" s="3">
        <f>IF(IFERROR(VLOOKUP(D425,Controls!$A$36:$E$46,3,FALSE()),"No")="Yes",1,0)</f>
        <v/>
      </c>
      <c r="AG425" s="3">
        <f>IF(IFERROR(VLOOKUP(D425,Controls!$A$36:$E$46,4,FALSE()),"No")="Yes",1,0)</f>
        <v/>
      </c>
      <c r="AH425" s="3">
        <f>IF(IFERROR(VLOOKUP(D425,Controls!$A$36:$E$46,5,FALSE()),"No")="Yes",1,0)</f>
        <v/>
      </c>
      <c r="AI425" s="3">
        <f>IF(ISNUMBER(MATCH(D425,Controls!$A$36:$A$46,0)),1,0)</f>
        <v/>
      </c>
      <c r="AJ425" s="28">
        <f>Q425-N425</f>
        <v/>
      </c>
      <c r="AK425" s="3">
        <f>IF(AE425=1,MAX(0,N425-Q425),0)</f>
        <v/>
      </c>
      <c r="AL425" s="3">
        <f>IF(OR(V425="",V425=0),0,N425/V425)</f>
        <v/>
      </c>
      <c r="AM425" s="3">
        <f>IF(OR(V425="",V425=0),0,1)</f>
        <v/>
      </c>
      <c r="AN425" s="3">
        <f>IF(OR(E425="",F425=""),0,NETWORKDAYS(E425,F425,Ref!$K$2:$K$42))</f>
        <v/>
      </c>
      <c r="AO425" s="3">
        <f>IF(L425="Renewal",1,0)</f>
        <v/>
      </c>
      <c r="AP425" s="3">
        <f>AC425*AD425</f>
        <v/>
      </c>
      <c r="AQ425" s="3">
        <f>IF(AND(G425&lt;&gt;"",'Historical Score'!$C$6&lt;&gt;""),IF(G425='Historical Score'!$C$6,1,0),0)</f>
        <v/>
      </c>
      <c r="AR425" s="3">
        <f>IF(AND(L425&lt;&gt;"",'Historical Score'!$C$5&lt;&gt;""),IF(L425='Historical Score'!$C$5,1,0),0)</f>
        <v/>
      </c>
      <c r="AS425" s="3">
        <f>IF(AND(Y425&lt;&gt;"",'Historical Score'!$C$7&lt;&gt;""),IF(Y425='Historical Score'!$C$7,1,0),0)</f>
        <v/>
      </c>
      <c r="AT425" s="3">
        <f>IF(AND(K425&lt;&gt;"",'Historical Score'!$C$8&lt;&gt;""),IF(K425='Historical Score'!$C$8,1,0),0)</f>
        <v/>
      </c>
      <c r="AU425" s="3" t="n"/>
      <c r="AV425" s="3" t="n"/>
      <c r="AW425" s="3" t="n"/>
      <c r="AX425" s="3" t="n"/>
      <c r="AY425" s="3" t="n"/>
      <c r="AZ425" s="3" t="n"/>
      <c r="BA425" s="182">
        <f>IF(AD425=1,(AR425*'Historical Score'!$K$29+1-'Historical Score'!$K$29)*(AT425*'Historical Score'!$L$29+1-'Historical Score'!$L$29)*(AS425*'Historical Score'!$M$29+1-'Historical Score'!$M$29)*(AQ425*'Historical Score'!$N$29+1-'Historical Score'!$N$29),0)</f>
        <v/>
      </c>
      <c r="BB425" s="3" t="n"/>
      <c r="BC425" s="3" t="n"/>
    </row>
    <row r="426" ht="15.75" customHeight="1" s="174">
      <c r="A426" s="3" t="inlineStr">
        <is>
          <t>5674173833</t>
        </is>
      </c>
      <c r="B426" s="3" t="inlineStr">
        <is>
          <t>TACOS BROTHERS LLC</t>
        </is>
      </c>
      <c r="C426" s="3" t="inlineStr">
        <is>
          <t>TACOS BROTHERS LLC</t>
        </is>
      </c>
      <c r="D426" s="3" t="inlineStr">
        <is>
          <t>Open</t>
        </is>
      </c>
      <c r="E426" s="23" t="n">
        <v>46000</v>
      </c>
      <c r="F426" s="23" t="n">
        <v>46253</v>
      </c>
      <c r="G426" s="3" t="n">
        <v>2</v>
      </c>
      <c r="H426" s="3" t="inlineStr">
        <is>
          <t>5812</t>
        </is>
      </c>
      <c r="I426" s="3" t="inlineStr">
        <is>
          <t>58</t>
        </is>
      </c>
      <c r="J426" s="3" t="inlineStr">
        <is>
          <t>WA</t>
        </is>
      </c>
      <c r="K426" s="3" t="inlineStr">
        <is>
          <t>United Secured Capital 8</t>
        </is>
      </c>
      <c r="L426" s="3" t="inlineStr">
        <is>
          <t>New Deal</t>
        </is>
      </c>
      <c r="M426" s="3" t="n">
        <v>1.49</v>
      </c>
      <c r="N426" s="28" t="n">
        <v>15000</v>
      </c>
      <c r="O426" s="28" t="n">
        <v>2100</v>
      </c>
      <c r="P426" s="28" t="n">
        <v>22350</v>
      </c>
      <c r="Q426" s="28" t="n">
        <v>21081.62</v>
      </c>
      <c r="R426" s="28" t="n">
        <v>1268.38</v>
      </c>
      <c r="S426" s="42" t="n">
        <v>0.943249217002237</v>
      </c>
      <c r="T426" s="3" t="n">
        <v>18</v>
      </c>
      <c r="U426" s="3" t="n">
        <v>13</v>
      </c>
      <c r="V426" s="3" t="n">
        <v>58844.77</v>
      </c>
      <c r="W426" s="42" t="n">
        <v>0.0844</v>
      </c>
      <c r="X426" s="23" t="n">
        <v>43879</v>
      </c>
      <c r="Y426" s="3">
        <f>IF(I426="","No SIC",IFERROR(VLOOKUP(I426,Ref!$A$2:$B$65,2,FALSE()),"Unclassified"))</f>
        <v/>
      </c>
      <c r="Z426" s="3">
        <f>IF(T426="","",IF(T426&lt;12,"Daily","Weekly"))</f>
        <v/>
      </c>
      <c r="AA426" s="3">
        <f>IF(T426="",0,IF(T426&lt;12,T426*Controls!$B$13,T426*5))</f>
        <v/>
      </c>
      <c r="AB426" s="3">
        <f>IF(E426="",0,NETWORKDAYS(E426,Controls!$B$20,Ref!$K$2:$K$42))</f>
        <v/>
      </c>
      <c r="AC426" s="3">
        <f>IF(OR(AF426=1,AND(AA426&gt;0,AB426&gt;=Controls!$B$23*AA426)),1,0)</f>
        <v/>
      </c>
      <c r="AD426" s="3">
        <f>IF(AND(E426&lt;&gt;"",E426&gt;=Controls!$B$21,E426&lt;=Controls!$B$22),1,0)</f>
        <v/>
      </c>
      <c r="AE426" s="3">
        <f>IF(IFERROR(VLOOKUP(D426,Controls!$A$36:$E$46,2,FALSE()),"No")="Yes",1,0)</f>
        <v/>
      </c>
      <c r="AF426" s="3">
        <f>IF(IFERROR(VLOOKUP(D426,Controls!$A$36:$E$46,3,FALSE()),"No")="Yes",1,0)</f>
        <v/>
      </c>
      <c r="AG426" s="3">
        <f>IF(IFERROR(VLOOKUP(D426,Controls!$A$36:$E$46,4,FALSE()),"No")="Yes",1,0)</f>
        <v/>
      </c>
      <c r="AH426" s="3">
        <f>IF(IFERROR(VLOOKUP(D426,Controls!$A$36:$E$46,5,FALSE()),"No")="Yes",1,0)</f>
        <v/>
      </c>
      <c r="AI426" s="3">
        <f>IF(ISNUMBER(MATCH(D426,Controls!$A$36:$A$46,0)),1,0)</f>
        <v/>
      </c>
      <c r="AJ426" s="28">
        <f>Q426-N426</f>
        <v/>
      </c>
      <c r="AK426" s="3">
        <f>IF(AE426=1,MAX(0,N426-Q426),0)</f>
        <v/>
      </c>
      <c r="AL426" s="3">
        <f>IF(OR(V426="",V426=0),0,N426/V426)</f>
        <v/>
      </c>
      <c r="AM426" s="3">
        <f>IF(OR(V426="",V426=0),0,1)</f>
        <v/>
      </c>
      <c r="AN426" s="3">
        <f>IF(OR(E426="",F426=""),0,NETWORKDAYS(E426,F426,Ref!$K$2:$K$42))</f>
        <v/>
      </c>
      <c r="AO426" s="3">
        <f>IF(L426="Renewal",1,0)</f>
        <v/>
      </c>
      <c r="AP426" s="3">
        <f>AC426*AD426</f>
        <v/>
      </c>
      <c r="AQ426" s="3">
        <f>IF(AND(G426&lt;&gt;"",'Historical Score'!$C$6&lt;&gt;""),IF(G426='Historical Score'!$C$6,1,0),0)</f>
        <v/>
      </c>
      <c r="AR426" s="3">
        <f>IF(AND(L426&lt;&gt;"",'Historical Score'!$C$5&lt;&gt;""),IF(L426='Historical Score'!$C$5,1,0),0)</f>
        <v/>
      </c>
      <c r="AS426" s="3">
        <f>IF(AND(Y426&lt;&gt;"",'Historical Score'!$C$7&lt;&gt;""),IF(Y426='Historical Score'!$C$7,1,0),0)</f>
        <v/>
      </c>
      <c r="AT426" s="3">
        <f>IF(AND(K426&lt;&gt;"",'Historical Score'!$C$8&lt;&gt;""),IF(K426='Historical Score'!$C$8,1,0),0)</f>
        <v/>
      </c>
      <c r="AU426" s="3" t="n"/>
      <c r="AV426" s="3" t="n"/>
      <c r="AW426" s="3" t="n"/>
      <c r="AX426" s="3" t="n"/>
      <c r="AY426" s="3" t="n"/>
      <c r="AZ426" s="3" t="n"/>
      <c r="BA426" s="182">
        <f>IF(AD426=1,(AR426*'Historical Score'!$K$29+1-'Historical Score'!$K$29)*(AT426*'Historical Score'!$L$29+1-'Historical Score'!$L$29)*(AS426*'Historical Score'!$M$29+1-'Historical Score'!$M$29)*(AQ426*'Historical Score'!$N$29+1-'Historical Score'!$N$29),0)</f>
        <v/>
      </c>
      <c r="BB426" s="3" t="n"/>
      <c r="BC426" s="3" t="n"/>
    </row>
    <row r="427" ht="15.75" customHeight="1" s="174">
      <c r="A427" s="3" t="inlineStr">
        <is>
          <t>5674173877</t>
        </is>
      </c>
      <c r="B427" s="3" t="inlineStr">
        <is>
          <t>RON KING LLC</t>
        </is>
      </c>
      <c r="C427" s="3" t="inlineStr">
        <is>
          <t>RON KING LLC</t>
        </is>
      </c>
      <c r="D427" s="3" t="inlineStr">
        <is>
          <t>Closed</t>
        </is>
      </c>
      <c r="E427" s="23" t="n">
        <v>46000</v>
      </c>
      <c r="F427" s="23" t="n">
        <v>46086</v>
      </c>
      <c r="G427" s="3" t="n">
        <v>4</v>
      </c>
      <c r="H427" s="3" t="inlineStr">
        <is>
          <t>1521</t>
        </is>
      </c>
      <c r="I427" s="3" t="inlineStr">
        <is>
          <t>15</t>
        </is>
      </c>
      <c r="J427" s="3" t="inlineStr">
        <is>
          <t>TX</t>
        </is>
      </c>
      <c r="K427" s="3" t="inlineStr">
        <is>
          <t>Westwood</t>
        </is>
      </c>
      <c r="L427" s="3" t="inlineStr">
        <is>
          <t>Renewal</t>
        </is>
      </c>
      <c r="M427" s="3" t="n">
        <v>1.499</v>
      </c>
      <c r="N427" s="28" t="n">
        <v>35000</v>
      </c>
      <c r="O427" s="28" t="n">
        <v>4900</v>
      </c>
      <c r="P427" s="28" t="n">
        <v>52465</v>
      </c>
      <c r="Q427" s="28" t="n">
        <v>52465</v>
      </c>
      <c r="R427" s="28" t="n">
        <v>7.275957614183431e-12</v>
      </c>
      <c r="S427" s="42" t="n">
        <v>1</v>
      </c>
      <c r="T427" s="3" t="n">
        <v>3.607</v>
      </c>
      <c r="U427" s="3" t="n">
        <v>0</v>
      </c>
      <c r="V427" s="3" t="n">
        <v>54257.4</v>
      </c>
      <c r="W427" s="42" t="n">
        <v>0.1824</v>
      </c>
      <c r="X427" s="23" t="n">
        <v>43910</v>
      </c>
      <c r="Y427" s="3">
        <f>IF(I427="","No SIC",IFERROR(VLOOKUP(I427,Ref!$A$2:$B$65,2,FALSE()),"Unclassified"))</f>
        <v/>
      </c>
      <c r="Z427" s="3">
        <f>IF(T427="","",IF(T427&lt;12,"Daily","Weekly"))</f>
        <v/>
      </c>
      <c r="AA427" s="3">
        <f>IF(T427="",0,IF(T427&lt;12,T427*Controls!$B$13,T427*5))</f>
        <v/>
      </c>
      <c r="AB427" s="3">
        <f>IF(E427="",0,NETWORKDAYS(E427,Controls!$B$20,Ref!$K$2:$K$42))</f>
        <v/>
      </c>
      <c r="AC427" s="3">
        <f>IF(OR(AF427=1,AND(AA427&gt;0,AB427&gt;=Controls!$B$23*AA427)),1,0)</f>
        <v/>
      </c>
      <c r="AD427" s="3">
        <f>IF(AND(E427&lt;&gt;"",E427&gt;=Controls!$B$21,E427&lt;=Controls!$B$22),1,0)</f>
        <v/>
      </c>
      <c r="AE427" s="3">
        <f>IF(IFERROR(VLOOKUP(D427,Controls!$A$36:$E$46,2,FALSE()),"No")="Yes",1,0)</f>
        <v/>
      </c>
      <c r="AF427" s="3">
        <f>IF(IFERROR(VLOOKUP(D427,Controls!$A$36:$E$46,3,FALSE()),"No")="Yes",1,0)</f>
        <v/>
      </c>
      <c r="AG427" s="3">
        <f>IF(IFERROR(VLOOKUP(D427,Controls!$A$36:$E$46,4,FALSE()),"No")="Yes",1,0)</f>
        <v/>
      </c>
      <c r="AH427" s="3">
        <f>IF(IFERROR(VLOOKUP(D427,Controls!$A$36:$E$46,5,FALSE()),"No")="Yes",1,0)</f>
        <v/>
      </c>
      <c r="AI427" s="3">
        <f>IF(ISNUMBER(MATCH(D427,Controls!$A$36:$A$46,0)),1,0)</f>
        <v/>
      </c>
      <c r="AJ427" s="28">
        <f>Q427-N427</f>
        <v/>
      </c>
      <c r="AK427" s="3">
        <f>IF(AE427=1,MAX(0,N427-Q427),0)</f>
        <v/>
      </c>
      <c r="AL427" s="3">
        <f>IF(OR(V427="",V427=0),0,N427/V427)</f>
        <v/>
      </c>
      <c r="AM427" s="3">
        <f>IF(OR(V427="",V427=0),0,1)</f>
        <v/>
      </c>
      <c r="AN427" s="3">
        <f>IF(OR(E427="",F427=""),0,NETWORKDAYS(E427,F427,Ref!$K$2:$K$42))</f>
        <v/>
      </c>
      <c r="AO427" s="3">
        <f>IF(L427="Renewal",1,0)</f>
        <v/>
      </c>
      <c r="AP427" s="3">
        <f>AC427*AD427</f>
        <v/>
      </c>
      <c r="AQ427" s="3">
        <f>IF(AND(G427&lt;&gt;"",'Historical Score'!$C$6&lt;&gt;""),IF(G427='Historical Score'!$C$6,1,0),0)</f>
        <v/>
      </c>
      <c r="AR427" s="3">
        <f>IF(AND(L427&lt;&gt;"",'Historical Score'!$C$5&lt;&gt;""),IF(L427='Historical Score'!$C$5,1,0),0)</f>
        <v/>
      </c>
      <c r="AS427" s="3">
        <f>IF(AND(Y427&lt;&gt;"",'Historical Score'!$C$7&lt;&gt;""),IF(Y427='Historical Score'!$C$7,1,0),0)</f>
        <v/>
      </c>
      <c r="AT427" s="3">
        <f>IF(AND(K427&lt;&gt;"",'Historical Score'!$C$8&lt;&gt;""),IF(K427='Historical Score'!$C$8,1,0),0)</f>
        <v/>
      </c>
      <c r="AU427" s="3" t="n"/>
      <c r="AV427" s="3" t="n"/>
      <c r="AW427" s="3" t="n"/>
      <c r="AX427" s="3" t="n"/>
      <c r="AY427" s="3" t="n"/>
      <c r="AZ427" s="3" t="n"/>
      <c r="BA427" s="182">
        <f>IF(AD427=1,(AR427*'Historical Score'!$K$29+1-'Historical Score'!$K$29)*(AT427*'Historical Score'!$L$29+1-'Historical Score'!$L$29)*(AS427*'Historical Score'!$M$29+1-'Historical Score'!$M$29)*(AQ427*'Historical Score'!$N$29+1-'Historical Score'!$N$29),0)</f>
        <v/>
      </c>
      <c r="BB427" s="3" t="n"/>
      <c r="BC427" s="3" t="n"/>
    </row>
    <row r="428" ht="15.75" customHeight="1" s="174">
      <c r="A428" s="3" t="inlineStr">
        <is>
          <t>5674173879</t>
        </is>
      </c>
      <c r="B428" s="3" t="inlineStr">
        <is>
          <t>mobilized retail marketing</t>
        </is>
      </c>
      <c r="C428" s="3" t="inlineStr">
        <is>
          <t>moreable llc</t>
        </is>
      </c>
      <c r="D428" s="3" t="inlineStr">
        <is>
          <t>Open</t>
        </is>
      </c>
      <c r="E428" s="23" t="n">
        <v>46000</v>
      </c>
      <c r="F428" s="23" t="n">
        <v>46244</v>
      </c>
      <c r="G428" s="3" t="n">
        <v>1</v>
      </c>
      <c r="H428" s="3" t="inlineStr">
        <is>
          <t>4813</t>
        </is>
      </c>
      <c r="I428" s="3" t="inlineStr">
        <is>
          <t>48</t>
        </is>
      </c>
      <c r="J428" s="3" t="inlineStr">
        <is>
          <t>MO</t>
        </is>
      </c>
      <c r="K428" s="3" t="inlineStr">
        <is>
          <t>Fundwell</t>
        </is>
      </c>
      <c r="L428" s="3" t="inlineStr">
        <is>
          <t>New Deal</t>
        </is>
      </c>
      <c r="M428" s="3" t="n">
        <v>1.42</v>
      </c>
      <c r="N428" s="28" t="n">
        <v>100000</v>
      </c>
      <c r="O428" s="28" t="n">
        <v>14500</v>
      </c>
      <c r="P428" s="28" t="n">
        <v>142000</v>
      </c>
      <c r="Q428" s="28" t="n">
        <v>130009.44</v>
      </c>
      <c r="R428" s="28" t="n">
        <v>11990.56</v>
      </c>
      <c r="S428" s="42" t="n">
        <v>0.9155594366197179</v>
      </c>
      <c r="T428" s="3" t="n">
        <v>36</v>
      </c>
      <c r="U428" s="3" t="n">
        <v>2</v>
      </c>
      <c r="V428" s="3" t="n">
        <v>454141.36</v>
      </c>
      <c r="W428" s="42" t="n">
        <v>0.0347</v>
      </c>
      <c r="X428" s="23" t="n">
        <v>43191</v>
      </c>
      <c r="Y428" s="3">
        <f>IF(I428="","No SIC",IFERROR(VLOOKUP(I428,Ref!$A$2:$B$65,2,FALSE()),"Unclassified"))</f>
        <v/>
      </c>
      <c r="Z428" s="3">
        <f>IF(T428="","",IF(T428&lt;12,"Daily","Weekly"))</f>
        <v/>
      </c>
      <c r="AA428" s="3">
        <f>IF(T428="",0,IF(T428&lt;12,T428*Controls!$B$13,T428*5))</f>
        <v/>
      </c>
      <c r="AB428" s="3">
        <f>IF(E428="",0,NETWORKDAYS(E428,Controls!$B$20,Ref!$K$2:$K$42))</f>
        <v/>
      </c>
      <c r="AC428" s="3">
        <f>IF(OR(AF428=1,AND(AA428&gt;0,AB428&gt;=Controls!$B$23*AA428)),1,0)</f>
        <v/>
      </c>
      <c r="AD428" s="3">
        <f>IF(AND(E428&lt;&gt;"",E428&gt;=Controls!$B$21,E428&lt;=Controls!$B$22),1,0)</f>
        <v/>
      </c>
      <c r="AE428" s="3">
        <f>IF(IFERROR(VLOOKUP(D428,Controls!$A$36:$E$46,2,FALSE()),"No")="Yes",1,0)</f>
        <v/>
      </c>
      <c r="AF428" s="3">
        <f>IF(IFERROR(VLOOKUP(D428,Controls!$A$36:$E$46,3,FALSE()),"No")="Yes",1,0)</f>
        <v/>
      </c>
      <c r="AG428" s="3">
        <f>IF(IFERROR(VLOOKUP(D428,Controls!$A$36:$E$46,4,FALSE()),"No")="Yes",1,0)</f>
        <v/>
      </c>
      <c r="AH428" s="3">
        <f>IF(IFERROR(VLOOKUP(D428,Controls!$A$36:$E$46,5,FALSE()),"No")="Yes",1,0)</f>
        <v/>
      </c>
      <c r="AI428" s="3">
        <f>IF(ISNUMBER(MATCH(D428,Controls!$A$36:$A$46,0)),1,0)</f>
        <v/>
      </c>
      <c r="AJ428" s="28">
        <f>Q428-N428</f>
        <v/>
      </c>
      <c r="AK428" s="3">
        <f>IF(AE428=1,MAX(0,N428-Q428),0)</f>
        <v/>
      </c>
      <c r="AL428" s="3">
        <f>IF(OR(V428="",V428=0),0,N428/V428)</f>
        <v/>
      </c>
      <c r="AM428" s="3">
        <f>IF(OR(V428="",V428=0),0,1)</f>
        <v/>
      </c>
      <c r="AN428" s="3">
        <f>IF(OR(E428="",F428=""),0,NETWORKDAYS(E428,F428,Ref!$K$2:$K$42))</f>
        <v/>
      </c>
      <c r="AO428" s="3">
        <f>IF(L428="Renewal",1,0)</f>
        <v/>
      </c>
      <c r="AP428" s="3">
        <f>AC428*AD428</f>
        <v/>
      </c>
      <c r="AQ428" s="3">
        <f>IF(AND(G428&lt;&gt;"",'Historical Score'!$C$6&lt;&gt;""),IF(G428='Historical Score'!$C$6,1,0),0)</f>
        <v/>
      </c>
      <c r="AR428" s="3">
        <f>IF(AND(L428&lt;&gt;"",'Historical Score'!$C$5&lt;&gt;""),IF(L428='Historical Score'!$C$5,1,0),0)</f>
        <v/>
      </c>
      <c r="AS428" s="3">
        <f>IF(AND(Y428&lt;&gt;"",'Historical Score'!$C$7&lt;&gt;""),IF(Y428='Historical Score'!$C$7,1,0),0)</f>
        <v/>
      </c>
      <c r="AT428" s="3">
        <f>IF(AND(K428&lt;&gt;"",'Historical Score'!$C$8&lt;&gt;""),IF(K428='Historical Score'!$C$8,1,0),0)</f>
        <v/>
      </c>
      <c r="AU428" s="3" t="n"/>
      <c r="AV428" s="3" t="n"/>
      <c r="AW428" s="3" t="n"/>
      <c r="AX428" s="3" t="n"/>
      <c r="AY428" s="3" t="n"/>
      <c r="AZ428" s="3" t="n"/>
      <c r="BA428" s="182">
        <f>IF(AD428=1,(AR428*'Historical Score'!$K$29+1-'Historical Score'!$K$29)*(AT428*'Historical Score'!$L$29+1-'Historical Score'!$L$29)*(AS428*'Historical Score'!$M$29+1-'Historical Score'!$M$29)*(AQ428*'Historical Score'!$N$29+1-'Historical Score'!$N$29),0)</f>
        <v/>
      </c>
      <c r="BB428" s="3" t="n"/>
      <c r="BC428" s="3" t="n"/>
    </row>
    <row r="429" ht="15.75" customHeight="1" s="174">
      <c r="A429" s="3" t="inlineStr">
        <is>
          <t>5674173880</t>
        </is>
      </c>
      <c r="B429" s="3" t="inlineStr">
        <is>
          <t>Platinum distribution services LLC</t>
        </is>
      </c>
      <c r="C429" s="3" t="inlineStr">
        <is>
          <t>Platinum distribution services LLC</t>
        </is>
      </c>
      <c r="D429" s="3" t="inlineStr">
        <is>
          <t>In House Collection</t>
        </is>
      </c>
      <c r="E429" s="23" t="n">
        <v>46000</v>
      </c>
      <c r="F429" s="23" t="n">
        <v>46217</v>
      </c>
      <c r="G429" s="3" t="n">
        <v>1</v>
      </c>
      <c r="H429" s="3" t="inlineStr">
        <is>
          <t>3537</t>
        </is>
      </c>
      <c r="I429" s="3" t="inlineStr">
        <is>
          <t>35</t>
        </is>
      </c>
      <c r="J429" s="3" t="inlineStr">
        <is>
          <t>MA</t>
        </is>
      </c>
      <c r="K429" s="3" t="inlineStr">
        <is>
          <t>Fundwell</t>
        </is>
      </c>
      <c r="L429" s="3" t="inlineStr">
        <is>
          <t>New Deal</t>
        </is>
      </c>
      <c r="M429" s="3" t="n">
        <v>1.4</v>
      </c>
      <c r="N429" s="28" t="n">
        <v>10000</v>
      </c>
      <c r="O429" s="28" t="n">
        <v>1350</v>
      </c>
      <c r="P429" s="28" t="n">
        <v>14000</v>
      </c>
      <c r="Q429" s="28" t="n">
        <v>4122.34</v>
      </c>
      <c r="R429" s="28" t="n">
        <v>9877.66</v>
      </c>
      <c r="S429" s="42" t="n">
        <v>0.294452857142857</v>
      </c>
      <c r="T429" s="3" t="n">
        <v>2.951</v>
      </c>
      <c r="U429" s="3" t="n">
        <v>79</v>
      </c>
      <c r="V429" s="3" t="n">
        <v>15548.18</v>
      </c>
      <c r="W429" s="42" t="n">
        <v>0.2101</v>
      </c>
      <c r="X429" s="23" t="n">
        <v>44219</v>
      </c>
      <c r="Y429" s="3">
        <f>IF(I429="","No SIC",IFERROR(VLOOKUP(I429,Ref!$A$2:$B$65,2,FALSE()),"Unclassified"))</f>
        <v/>
      </c>
      <c r="Z429" s="3">
        <f>IF(T429="","",IF(T429&lt;12,"Daily","Weekly"))</f>
        <v/>
      </c>
      <c r="AA429" s="3">
        <f>IF(T429="",0,IF(T429&lt;12,T429*Controls!$B$13,T429*5))</f>
        <v/>
      </c>
      <c r="AB429" s="3">
        <f>IF(E429="",0,NETWORKDAYS(E429,Controls!$B$20,Ref!$K$2:$K$42))</f>
        <v/>
      </c>
      <c r="AC429" s="3">
        <f>IF(OR(AF429=1,AND(AA429&gt;0,AB429&gt;=Controls!$B$23*AA429)),1,0)</f>
        <v/>
      </c>
      <c r="AD429" s="3">
        <f>IF(AND(E429&lt;&gt;"",E429&gt;=Controls!$B$21,E429&lt;=Controls!$B$22),1,0)</f>
        <v/>
      </c>
      <c r="AE429" s="3">
        <f>IF(IFERROR(VLOOKUP(D429,Controls!$A$36:$E$46,2,FALSE()),"No")="Yes",1,0)</f>
        <v/>
      </c>
      <c r="AF429" s="3">
        <f>IF(IFERROR(VLOOKUP(D429,Controls!$A$36:$E$46,3,FALSE()),"No")="Yes",1,0)</f>
        <v/>
      </c>
      <c r="AG429" s="3">
        <f>IF(IFERROR(VLOOKUP(D429,Controls!$A$36:$E$46,4,FALSE()),"No")="Yes",1,0)</f>
        <v/>
      </c>
      <c r="AH429" s="3">
        <f>IF(IFERROR(VLOOKUP(D429,Controls!$A$36:$E$46,5,FALSE()),"No")="Yes",1,0)</f>
        <v/>
      </c>
      <c r="AI429" s="3">
        <f>IF(ISNUMBER(MATCH(D429,Controls!$A$36:$A$46,0)),1,0)</f>
        <v/>
      </c>
      <c r="AJ429" s="28">
        <f>Q429-N429</f>
        <v/>
      </c>
      <c r="AK429" s="3">
        <f>IF(AE429=1,MAX(0,N429-Q429),0)</f>
        <v/>
      </c>
      <c r="AL429" s="3">
        <f>IF(OR(V429="",V429=0),0,N429/V429)</f>
        <v/>
      </c>
      <c r="AM429" s="3">
        <f>IF(OR(V429="",V429=0),0,1)</f>
        <v/>
      </c>
      <c r="AN429" s="3">
        <f>IF(OR(E429="",F429=""),0,NETWORKDAYS(E429,F429,Ref!$K$2:$K$42))</f>
        <v/>
      </c>
      <c r="AO429" s="3">
        <f>IF(L429="Renewal",1,0)</f>
        <v/>
      </c>
      <c r="AP429" s="3">
        <f>AC429*AD429</f>
        <v/>
      </c>
      <c r="AQ429" s="3">
        <f>IF(AND(G429&lt;&gt;"",'Historical Score'!$C$6&lt;&gt;""),IF(G429='Historical Score'!$C$6,1,0),0)</f>
        <v/>
      </c>
      <c r="AR429" s="3">
        <f>IF(AND(L429&lt;&gt;"",'Historical Score'!$C$5&lt;&gt;""),IF(L429='Historical Score'!$C$5,1,0),0)</f>
        <v/>
      </c>
      <c r="AS429" s="3">
        <f>IF(AND(Y429&lt;&gt;"",'Historical Score'!$C$7&lt;&gt;""),IF(Y429='Historical Score'!$C$7,1,0),0)</f>
        <v/>
      </c>
      <c r="AT429" s="3">
        <f>IF(AND(K429&lt;&gt;"",'Historical Score'!$C$8&lt;&gt;""),IF(K429='Historical Score'!$C$8,1,0),0)</f>
        <v/>
      </c>
      <c r="AU429" s="3" t="n"/>
      <c r="AV429" s="3" t="n"/>
      <c r="AW429" s="3" t="n"/>
      <c r="AX429" s="3" t="n"/>
      <c r="AY429" s="3" t="n"/>
      <c r="AZ429" s="3" t="n"/>
      <c r="BA429" s="182">
        <f>IF(AD429=1,(AR429*'Historical Score'!$K$29+1-'Historical Score'!$K$29)*(AT429*'Historical Score'!$L$29+1-'Historical Score'!$L$29)*(AS429*'Historical Score'!$M$29+1-'Historical Score'!$M$29)*(AQ429*'Historical Score'!$N$29+1-'Historical Score'!$N$29),0)</f>
        <v/>
      </c>
      <c r="BB429" s="3" t="n"/>
      <c r="BC429" s="3" t="n"/>
    </row>
    <row r="430" ht="15.75" customHeight="1" s="174">
      <c r="A430" s="3" t="inlineStr">
        <is>
          <t>5674173916</t>
        </is>
      </c>
      <c r="B430" s="3" t="inlineStr">
        <is>
          <t>Nest protection</t>
        </is>
      </c>
      <c r="C430" s="3" t="inlineStr">
        <is>
          <t>Miami Valley environmental services</t>
        </is>
      </c>
      <c r="D430" s="3" t="inlineStr">
        <is>
          <t>Closed</t>
        </is>
      </c>
      <c r="E430" s="23" t="n">
        <v>46001</v>
      </c>
      <c r="F430" s="23" t="n">
        <v>46097</v>
      </c>
      <c r="G430" s="3" t="n">
        <v>1</v>
      </c>
      <c r="H430" s="3" t="inlineStr">
        <is>
          <t>3822</t>
        </is>
      </c>
      <c r="I430" s="3" t="inlineStr">
        <is>
          <t>38</t>
        </is>
      </c>
      <c r="J430" s="3" t="inlineStr">
        <is>
          <t>OH</t>
        </is>
      </c>
      <c r="K430" s="3" t="inlineStr">
        <is>
          <t>Fundwell</t>
        </is>
      </c>
      <c r="L430" s="3" t="inlineStr">
        <is>
          <t>New Deal</t>
        </is>
      </c>
      <c r="M430" s="3" t="n">
        <v>1.46</v>
      </c>
      <c r="N430" s="28" t="n">
        <v>15000</v>
      </c>
      <c r="O430" s="28" t="n">
        <v>2325</v>
      </c>
      <c r="P430" s="28" t="n">
        <v>21900</v>
      </c>
      <c r="Q430" s="28" t="n">
        <v>21900</v>
      </c>
      <c r="R430" s="28" t="n">
        <v>0</v>
      </c>
      <c r="S430" s="42" t="n">
        <v>1</v>
      </c>
      <c r="T430" s="3" t="n">
        <v>3.607</v>
      </c>
      <c r="U430" s="3" t="n">
        <v>0</v>
      </c>
      <c r="V430" s="3" t="n">
        <v>28564.11</v>
      </c>
      <c r="W430" s="42" t="n">
        <v>0.1464</v>
      </c>
      <c r="X430" s="23" t="n">
        <v>45527</v>
      </c>
      <c r="Y430" s="3">
        <f>IF(I430="","No SIC",IFERROR(VLOOKUP(I430,Ref!$A$2:$B$65,2,FALSE()),"Unclassified"))</f>
        <v/>
      </c>
      <c r="Z430" s="3">
        <f>IF(T430="","",IF(T430&lt;12,"Daily","Weekly"))</f>
        <v/>
      </c>
      <c r="AA430" s="3">
        <f>IF(T430="",0,IF(T430&lt;12,T430*Controls!$B$13,T430*5))</f>
        <v/>
      </c>
      <c r="AB430" s="3">
        <f>IF(E430="",0,NETWORKDAYS(E430,Controls!$B$20,Ref!$K$2:$K$42))</f>
        <v/>
      </c>
      <c r="AC430" s="3">
        <f>IF(OR(AF430=1,AND(AA430&gt;0,AB430&gt;=Controls!$B$23*AA430)),1,0)</f>
        <v/>
      </c>
      <c r="AD430" s="3">
        <f>IF(AND(E430&lt;&gt;"",E430&gt;=Controls!$B$21,E430&lt;=Controls!$B$22),1,0)</f>
        <v/>
      </c>
      <c r="AE430" s="3">
        <f>IF(IFERROR(VLOOKUP(D430,Controls!$A$36:$E$46,2,FALSE()),"No")="Yes",1,0)</f>
        <v/>
      </c>
      <c r="AF430" s="3">
        <f>IF(IFERROR(VLOOKUP(D430,Controls!$A$36:$E$46,3,FALSE()),"No")="Yes",1,0)</f>
        <v/>
      </c>
      <c r="AG430" s="3">
        <f>IF(IFERROR(VLOOKUP(D430,Controls!$A$36:$E$46,4,FALSE()),"No")="Yes",1,0)</f>
        <v/>
      </c>
      <c r="AH430" s="3">
        <f>IF(IFERROR(VLOOKUP(D430,Controls!$A$36:$E$46,5,FALSE()),"No")="Yes",1,0)</f>
        <v/>
      </c>
      <c r="AI430" s="3">
        <f>IF(ISNUMBER(MATCH(D430,Controls!$A$36:$A$46,0)),1,0)</f>
        <v/>
      </c>
      <c r="AJ430" s="28">
        <f>Q430-N430</f>
        <v/>
      </c>
      <c r="AK430" s="3">
        <f>IF(AE430=1,MAX(0,N430-Q430),0)</f>
        <v/>
      </c>
      <c r="AL430" s="3">
        <f>IF(OR(V430="",V430=0),0,N430/V430)</f>
        <v/>
      </c>
      <c r="AM430" s="3">
        <f>IF(OR(V430="",V430=0),0,1)</f>
        <v/>
      </c>
      <c r="AN430" s="3">
        <f>IF(OR(E430="",F430=""),0,NETWORKDAYS(E430,F430,Ref!$K$2:$K$42))</f>
        <v/>
      </c>
      <c r="AO430" s="3">
        <f>IF(L430="Renewal",1,0)</f>
        <v/>
      </c>
      <c r="AP430" s="3">
        <f>AC430*AD430</f>
        <v/>
      </c>
      <c r="AQ430" s="3">
        <f>IF(AND(G430&lt;&gt;"",'Historical Score'!$C$6&lt;&gt;""),IF(G430='Historical Score'!$C$6,1,0),0)</f>
        <v/>
      </c>
      <c r="AR430" s="3">
        <f>IF(AND(L430&lt;&gt;"",'Historical Score'!$C$5&lt;&gt;""),IF(L430='Historical Score'!$C$5,1,0),0)</f>
        <v/>
      </c>
      <c r="AS430" s="3">
        <f>IF(AND(Y430&lt;&gt;"",'Historical Score'!$C$7&lt;&gt;""),IF(Y430='Historical Score'!$C$7,1,0),0)</f>
        <v/>
      </c>
      <c r="AT430" s="3">
        <f>IF(AND(K430&lt;&gt;"",'Historical Score'!$C$8&lt;&gt;""),IF(K430='Historical Score'!$C$8,1,0),0)</f>
        <v/>
      </c>
      <c r="AU430" s="3" t="n"/>
      <c r="AV430" s="3" t="n"/>
      <c r="AW430" s="3" t="n"/>
      <c r="AX430" s="3" t="n"/>
      <c r="AY430" s="3" t="n"/>
      <c r="AZ430" s="3" t="n"/>
      <c r="BA430" s="182">
        <f>IF(AD430=1,(AR430*'Historical Score'!$K$29+1-'Historical Score'!$K$29)*(AT430*'Historical Score'!$L$29+1-'Historical Score'!$L$29)*(AS430*'Historical Score'!$M$29+1-'Historical Score'!$M$29)*(AQ430*'Historical Score'!$N$29+1-'Historical Score'!$N$29),0)</f>
        <v/>
      </c>
      <c r="BB430" s="3" t="n"/>
      <c r="BC430" s="3" t="n"/>
    </row>
    <row r="431" ht="15.75" customHeight="1" s="174">
      <c r="A431" s="3" t="inlineStr">
        <is>
          <t>5674173923</t>
        </is>
      </c>
      <c r="B431" s="3" t="inlineStr">
        <is>
          <t>J SHOP</t>
        </is>
      </c>
      <c r="C431" s="3" t="inlineStr">
        <is>
          <t>JAE H IM</t>
        </is>
      </c>
      <c r="D431" s="3" t="inlineStr">
        <is>
          <t>Written-Off</t>
        </is>
      </c>
      <c r="E431" s="23" t="n">
        <v>46001</v>
      </c>
      <c r="F431" s="23" t="n">
        <v>46132</v>
      </c>
      <c r="G431" s="3" t="n">
        <v>5</v>
      </c>
      <c r="H431" s="3" t="inlineStr">
        <is>
          <t>5399</t>
        </is>
      </c>
      <c r="I431" s="3" t="inlineStr">
        <is>
          <t>53</t>
        </is>
      </c>
      <c r="J431" s="3" t="inlineStr">
        <is>
          <t>PA</t>
        </is>
      </c>
      <c r="K431" s="3" t="inlineStr">
        <is>
          <t>United Secured Capital 8</t>
        </is>
      </c>
      <c r="L431" s="3" t="inlineStr">
        <is>
          <t>New Deal</t>
        </is>
      </c>
      <c r="M431" s="3" t="n">
        <v>1.5</v>
      </c>
      <c r="N431" s="28" t="n">
        <v>7000</v>
      </c>
      <c r="O431" s="28" t="n">
        <v>980</v>
      </c>
      <c r="P431" s="28" t="n">
        <v>10500</v>
      </c>
      <c r="Q431" s="28" t="n">
        <v>2682.54</v>
      </c>
      <c r="R431" s="28" t="n">
        <v>7817.46</v>
      </c>
      <c r="S431" s="42" t="n">
        <v>0.25548</v>
      </c>
      <c r="T431" s="3" t="n">
        <v>2.295</v>
      </c>
      <c r="U431" s="3" t="n">
        <v>22</v>
      </c>
      <c r="V431" s="3" t="n"/>
      <c r="W431" s="42" t="n">
        <v>0.0514</v>
      </c>
      <c r="X431" s="23" t="n"/>
      <c r="Y431" s="3">
        <f>IF(I431="","No SIC",IFERROR(VLOOKUP(I431,Ref!$A$2:$B$65,2,FALSE()),"Unclassified"))</f>
        <v/>
      </c>
      <c r="Z431" s="3">
        <f>IF(T431="","",IF(T431&lt;12,"Daily","Weekly"))</f>
        <v/>
      </c>
      <c r="AA431" s="3">
        <f>IF(T431="",0,IF(T431&lt;12,T431*Controls!$B$13,T431*5))</f>
        <v/>
      </c>
      <c r="AB431" s="3">
        <f>IF(E431="",0,NETWORKDAYS(E431,Controls!$B$20,Ref!$K$2:$K$42))</f>
        <v/>
      </c>
      <c r="AC431" s="3">
        <f>IF(OR(AF431=1,AND(AA431&gt;0,AB431&gt;=Controls!$B$23*AA431)),1,0)</f>
        <v/>
      </c>
      <c r="AD431" s="3">
        <f>IF(AND(E431&lt;&gt;"",E431&gt;=Controls!$B$21,E431&lt;=Controls!$B$22),1,0)</f>
        <v/>
      </c>
      <c r="AE431" s="3">
        <f>IF(IFERROR(VLOOKUP(D431,Controls!$A$36:$E$46,2,FALSE()),"No")="Yes",1,0)</f>
        <v/>
      </c>
      <c r="AF431" s="3">
        <f>IF(IFERROR(VLOOKUP(D431,Controls!$A$36:$E$46,3,FALSE()),"No")="Yes",1,0)</f>
        <v/>
      </c>
      <c r="AG431" s="3">
        <f>IF(IFERROR(VLOOKUP(D431,Controls!$A$36:$E$46,4,FALSE()),"No")="Yes",1,0)</f>
        <v/>
      </c>
      <c r="AH431" s="3">
        <f>IF(IFERROR(VLOOKUP(D431,Controls!$A$36:$E$46,5,FALSE()),"No")="Yes",1,0)</f>
        <v/>
      </c>
      <c r="AI431" s="3">
        <f>IF(ISNUMBER(MATCH(D431,Controls!$A$36:$A$46,0)),1,0)</f>
        <v/>
      </c>
      <c r="AJ431" s="28">
        <f>Q431-N431</f>
        <v/>
      </c>
      <c r="AK431" s="3">
        <f>IF(AE431=1,MAX(0,N431-Q431),0)</f>
        <v/>
      </c>
      <c r="AL431" s="3">
        <f>IF(OR(V431="",V431=0),0,N431/V431)</f>
        <v/>
      </c>
      <c r="AM431" s="3">
        <f>IF(OR(V431="",V431=0),0,1)</f>
        <v/>
      </c>
      <c r="AN431" s="3">
        <f>IF(OR(E431="",F431=""),0,NETWORKDAYS(E431,F431,Ref!$K$2:$K$42))</f>
        <v/>
      </c>
      <c r="AO431" s="3">
        <f>IF(L431="Renewal",1,0)</f>
        <v/>
      </c>
      <c r="AP431" s="3">
        <f>AC431*AD431</f>
        <v/>
      </c>
      <c r="AQ431" s="3">
        <f>IF(AND(G431&lt;&gt;"",'Historical Score'!$C$6&lt;&gt;""),IF(G431='Historical Score'!$C$6,1,0),0)</f>
        <v/>
      </c>
      <c r="AR431" s="3">
        <f>IF(AND(L431&lt;&gt;"",'Historical Score'!$C$5&lt;&gt;""),IF(L431='Historical Score'!$C$5,1,0),0)</f>
        <v/>
      </c>
      <c r="AS431" s="3">
        <f>IF(AND(Y431&lt;&gt;"",'Historical Score'!$C$7&lt;&gt;""),IF(Y431='Historical Score'!$C$7,1,0),0)</f>
        <v/>
      </c>
      <c r="AT431" s="3">
        <f>IF(AND(K431&lt;&gt;"",'Historical Score'!$C$8&lt;&gt;""),IF(K431='Historical Score'!$C$8,1,0),0)</f>
        <v/>
      </c>
      <c r="AU431" s="3" t="n"/>
      <c r="AV431" s="3" t="n"/>
      <c r="AW431" s="3" t="n"/>
      <c r="AX431" s="3" t="n"/>
      <c r="AY431" s="3" t="n"/>
      <c r="AZ431" s="3" t="n"/>
      <c r="BA431" s="182">
        <f>IF(AD431=1,(AR431*'Historical Score'!$K$29+1-'Historical Score'!$K$29)*(AT431*'Historical Score'!$L$29+1-'Historical Score'!$L$29)*(AS431*'Historical Score'!$M$29+1-'Historical Score'!$M$29)*(AQ431*'Historical Score'!$N$29+1-'Historical Score'!$N$29),0)</f>
        <v/>
      </c>
      <c r="BB431" s="3" t="n"/>
      <c r="BC431" s="3" t="n"/>
    </row>
    <row r="432" ht="15.75" customHeight="1" s="174">
      <c r="A432" s="3" t="inlineStr">
        <is>
          <t>5674173969</t>
        </is>
      </c>
      <c r="B432" s="3" t="inlineStr">
        <is>
          <t>Recharge Exteriors</t>
        </is>
      </c>
      <c r="C432" s="3" t="inlineStr">
        <is>
          <t>Recharge Exteriors</t>
        </is>
      </c>
      <c r="D432" s="3" t="inlineStr">
        <is>
          <t>Closed</t>
        </is>
      </c>
      <c r="E432" s="23" t="n">
        <v>46001</v>
      </c>
      <c r="F432" s="23" t="n">
        <v>46157</v>
      </c>
      <c r="G432" s="3" t="n">
        <v>3</v>
      </c>
      <c r="H432" s="3" t="inlineStr">
        <is>
          <t>1521</t>
        </is>
      </c>
      <c r="I432" s="3" t="inlineStr">
        <is>
          <t>15</t>
        </is>
      </c>
      <c r="J432" s="3" t="inlineStr">
        <is>
          <t>FL</t>
        </is>
      </c>
      <c r="K432" s="3" t="inlineStr">
        <is>
          <t>United Secured Capital 8</t>
        </is>
      </c>
      <c r="L432" s="3" t="inlineStr">
        <is>
          <t>New Deal</t>
        </is>
      </c>
      <c r="M432" s="3" t="n">
        <v>1.49</v>
      </c>
      <c r="N432" s="28" t="n">
        <v>30000</v>
      </c>
      <c r="O432" s="28" t="n">
        <v>4200</v>
      </c>
      <c r="P432" s="28" t="n">
        <v>44700</v>
      </c>
      <c r="Q432" s="28" t="n">
        <v>44700</v>
      </c>
      <c r="R432" s="28" t="n">
        <v>0</v>
      </c>
      <c r="S432" s="42" t="n">
        <v>1</v>
      </c>
      <c r="T432" s="3" t="n">
        <v>25</v>
      </c>
      <c r="U432" s="3" t="n">
        <v>2</v>
      </c>
      <c r="V432" s="3" t="n">
        <v>40722.38</v>
      </c>
      <c r="W432" s="42" t="n">
        <v>0.1709</v>
      </c>
      <c r="X432" s="23" t="n">
        <v>44835</v>
      </c>
      <c r="Y432" s="3">
        <f>IF(I432="","No SIC",IFERROR(VLOOKUP(I432,Ref!$A$2:$B$65,2,FALSE()),"Unclassified"))</f>
        <v/>
      </c>
      <c r="Z432" s="3">
        <f>IF(T432="","",IF(T432&lt;12,"Daily","Weekly"))</f>
        <v/>
      </c>
      <c r="AA432" s="3">
        <f>IF(T432="",0,IF(T432&lt;12,T432*Controls!$B$13,T432*5))</f>
        <v/>
      </c>
      <c r="AB432" s="3">
        <f>IF(E432="",0,NETWORKDAYS(E432,Controls!$B$20,Ref!$K$2:$K$42))</f>
        <v/>
      </c>
      <c r="AC432" s="3">
        <f>IF(OR(AF432=1,AND(AA432&gt;0,AB432&gt;=Controls!$B$23*AA432)),1,0)</f>
        <v/>
      </c>
      <c r="AD432" s="3">
        <f>IF(AND(E432&lt;&gt;"",E432&gt;=Controls!$B$21,E432&lt;=Controls!$B$22),1,0)</f>
        <v/>
      </c>
      <c r="AE432" s="3">
        <f>IF(IFERROR(VLOOKUP(D432,Controls!$A$36:$E$46,2,FALSE()),"No")="Yes",1,0)</f>
        <v/>
      </c>
      <c r="AF432" s="3">
        <f>IF(IFERROR(VLOOKUP(D432,Controls!$A$36:$E$46,3,FALSE()),"No")="Yes",1,0)</f>
        <v/>
      </c>
      <c r="AG432" s="3">
        <f>IF(IFERROR(VLOOKUP(D432,Controls!$A$36:$E$46,4,FALSE()),"No")="Yes",1,0)</f>
        <v/>
      </c>
      <c r="AH432" s="3">
        <f>IF(IFERROR(VLOOKUP(D432,Controls!$A$36:$E$46,5,FALSE()),"No")="Yes",1,0)</f>
        <v/>
      </c>
      <c r="AI432" s="3">
        <f>IF(ISNUMBER(MATCH(D432,Controls!$A$36:$A$46,0)),1,0)</f>
        <v/>
      </c>
      <c r="AJ432" s="28">
        <f>Q432-N432</f>
        <v/>
      </c>
      <c r="AK432" s="3">
        <f>IF(AE432=1,MAX(0,N432-Q432),0)</f>
        <v/>
      </c>
      <c r="AL432" s="3">
        <f>IF(OR(V432="",V432=0),0,N432/V432)</f>
        <v/>
      </c>
      <c r="AM432" s="3">
        <f>IF(OR(V432="",V432=0),0,1)</f>
        <v/>
      </c>
      <c r="AN432" s="3">
        <f>IF(OR(E432="",F432=""),0,NETWORKDAYS(E432,F432,Ref!$K$2:$K$42))</f>
        <v/>
      </c>
      <c r="AO432" s="3">
        <f>IF(L432="Renewal",1,0)</f>
        <v/>
      </c>
      <c r="AP432" s="3">
        <f>AC432*AD432</f>
        <v/>
      </c>
      <c r="AQ432" s="3">
        <f>IF(AND(G432&lt;&gt;"",'Historical Score'!$C$6&lt;&gt;""),IF(G432='Historical Score'!$C$6,1,0),0)</f>
        <v/>
      </c>
      <c r="AR432" s="3">
        <f>IF(AND(L432&lt;&gt;"",'Historical Score'!$C$5&lt;&gt;""),IF(L432='Historical Score'!$C$5,1,0),0)</f>
        <v/>
      </c>
      <c r="AS432" s="3">
        <f>IF(AND(Y432&lt;&gt;"",'Historical Score'!$C$7&lt;&gt;""),IF(Y432='Historical Score'!$C$7,1,0),0)</f>
        <v/>
      </c>
      <c r="AT432" s="3">
        <f>IF(AND(K432&lt;&gt;"",'Historical Score'!$C$8&lt;&gt;""),IF(K432='Historical Score'!$C$8,1,0),0)</f>
        <v/>
      </c>
      <c r="AU432" s="3" t="n"/>
      <c r="AV432" s="3" t="n"/>
      <c r="AW432" s="3" t="n"/>
      <c r="AX432" s="3" t="n"/>
      <c r="AY432" s="3" t="n"/>
      <c r="AZ432" s="3" t="n"/>
      <c r="BA432" s="182">
        <f>IF(AD432=1,(AR432*'Historical Score'!$K$29+1-'Historical Score'!$K$29)*(AT432*'Historical Score'!$L$29+1-'Historical Score'!$L$29)*(AS432*'Historical Score'!$M$29+1-'Historical Score'!$M$29)*(AQ432*'Historical Score'!$N$29+1-'Historical Score'!$N$29),0)</f>
        <v/>
      </c>
      <c r="BB432" s="3" t="n"/>
      <c r="BC432" s="3" t="n"/>
    </row>
    <row r="433" ht="15.75" customHeight="1" s="174">
      <c r="A433" s="3" t="inlineStr">
        <is>
          <t>5674173981</t>
        </is>
      </c>
      <c r="B433" s="3" t="inlineStr">
        <is>
          <t>FIRST ELECTRIC</t>
        </is>
      </c>
      <c r="C433" s="3" t="inlineStr">
        <is>
          <t>WNT LLC</t>
        </is>
      </c>
      <c r="D433" s="3" t="inlineStr">
        <is>
          <t>Open</t>
        </is>
      </c>
      <c r="E433" s="23" t="n">
        <v>46001</v>
      </c>
      <c r="F433" s="23" t="n">
        <v>46253</v>
      </c>
      <c r="G433" s="3" t="n">
        <v>4</v>
      </c>
      <c r="H433" s="3" t="inlineStr">
        <is>
          <t>1731</t>
        </is>
      </c>
      <c r="I433" s="3" t="inlineStr">
        <is>
          <t>17</t>
        </is>
      </c>
      <c r="J433" s="3" t="inlineStr">
        <is>
          <t>AZ</t>
        </is>
      </c>
      <c r="K433" s="3" t="inlineStr">
        <is>
          <t>PMF</t>
        </is>
      </c>
      <c r="L433" s="3" t="inlineStr">
        <is>
          <t>New Deal</t>
        </is>
      </c>
      <c r="M433" s="3" t="n">
        <v>1.44</v>
      </c>
      <c r="N433" s="28" t="n">
        <v>175000</v>
      </c>
      <c r="O433" s="28" t="n">
        <v>19250</v>
      </c>
      <c r="P433" s="28" t="n">
        <v>252000</v>
      </c>
      <c r="Q433" s="28" t="n">
        <v>226786.68</v>
      </c>
      <c r="R433" s="28" t="n">
        <v>25213.32</v>
      </c>
      <c r="S433" s="42" t="n">
        <v>0.8999471428571429</v>
      </c>
      <c r="T433" s="3" t="n">
        <v>40</v>
      </c>
      <c r="U433" s="3" t="n">
        <v>0</v>
      </c>
      <c r="V433" s="3" t="n">
        <v>415741.38</v>
      </c>
      <c r="W433" s="42" t="n">
        <v>0.0507</v>
      </c>
      <c r="X433" s="23" t="n">
        <v>43313</v>
      </c>
      <c r="Y433" s="3">
        <f>IF(I433="","No SIC",IFERROR(VLOOKUP(I433,Ref!$A$2:$B$65,2,FALSE()),"Unclassified"))</f>
        <v/>
      </c>
      <c r="Z433" s="3">
        <f>IF(T433="","",IF(T433&lt;12,"Daily","Weekly"))</f>
        <v/>
      </c>
      <c r="AA433" s="3">
        <f>IF(T433="",0,IF(T433&lt;12,T433*Controls!$B$13,T433*5))</f>
        <v/>
      </c>
      <c r="AB433" s="3">
        <f>IF(E433="",0,NETWORKDAYS(E433,Controls!$B$20,Ref!$K$2:$K$42))</f>
        <v/>
      </c>
      <c r="AC433" s="3">
        <f>IF(OR(AF433=1,AND(AA433&gt;0,AB433&gt;=Controls!$B$23*AA433)),1,0)</f>
        <v/>
      </c>
      <c r="AD433" s="3">
        <f>IF(AND(E433&lt;&gt;"",E433&gt;=Controls!$B$21,E433&lt;=Controls!$B$22),1,0)</f>
        <v/>
      </c>
      <c r="AE433" s="3">
        <f>IF(IFERROR(VLOOKUP(D433,Controls!$A$36:$E$46,2,FALSE()),"No")="Yes",1,0)</f>
        <v/>
      </c>
      <c r="AF433" s="3">
        <f>IF(IFERROR(VLOOKUP(D433,Controls!$A$36:$E$46,3,FALSE()),"No")="Yes",1,0)</f>
        <v/>
      </c>
      <c r="AG433" s="3">
        <f>IF(IFERROR(VLOOKUP(D433,Controls!$A$36:$E$46,4,FALSE()),"No")="Yes",1,0)</f>
        <v/>
      </c>
      <c r="AH433" s="3">
        <f>IF(IFERROR(VLOOKUP(D433,Controls!$A$36:$E$46,5,FALSE()),"No")="Yes",1,0)</f>
        <v/>
      </c>
      <c r="AI433" s="3">
        <f>IF(ISNUMBER(MATCH(D433,Controls!$A$36:$A$46,0)),1,0)</f>
        <v/>
      </c>
      <c r="AJ433" s="28">
        <f>Q433-N433</f>
        <v/>
      </c>
      <c r="AK433" s="3">
        <f>IF(AE433=1,MAX(0,N433-Q433),0)</f>
        <v/>
      </c>
      <c r="AL433" s="3">
        <f>IF(OR(V433="",V433=0),0,N433/V433)</f>
        <v/>
      </c>
      <c r="AM433" s="3">
        <f>IF(OR(V433="",V433=0),0,1)</f>
        <v/>
      </c>
      <c r="AN433" s="3">
        <f>IF(OR(E433="",F433=""),0,NETWORKDAYS(E433,F433,Ref!$K$2:$K$42))</f>
        <v/>
      </c>
      <c r="AO433" s="3">
        <f>IF(L433="Renewal",1,0)</f>
        <v/>
      </c>
      <c r="AP433" s="3">
        <f>AC433*AD433</f>
        <v/>
      </c>
      <c r="AQ433" s="3">
        <f>IF(AND(G433&lt;&gt;"",'Historical Score'!$C$6&lt;&gt;""),IF(G433='Historical Score'!$C$6,1,0),0)</f>
        <v/>
      </c>
      <c r="AR433" s="3">
        <f>IF(AND(L433&lt;&gt;"",'Historical Score'!$C$5&lt;&gt;""),IF(L433='Historical Score'!$C$5,1,0),0)</f>
        <v/>
      </c>
      <c r="AS433" s="3">
        <f>IF(AND(Y433&lt;&gt;"",'Historical Score'!$C$7&lt;&gt;""),IF(Y433='Historical Score'!$C$7,1,0),0)</f>
        <v/>
      </c>
      <c r="AT433" s="3">
        <f>IF(AND(K433&lt;&gt;"",'Historical Score'!$C$8&lt;&gt;""),IF(K433='Historical Score'!$C$8,1,0),0)</f>
        <v/>
      </c>
      <c r="AU433" s="3" t="n"/>
      <c r="AV433" s="3" t="n"/>
      <c r="AW433" s="3" t="n"/>
      <c r="AX433" s="3" t="n"/>
      <c r="AY433" s="3" t="n"/>
      <c r="AZ433" s="3" t="n"/>
      <c r="BA433" s="182">
        <f>IF(AD433=1,(AR433*'Historical Score'!$K$29+1-'Historical Score'!$K$29)*(AT433*'Historical Score'!$L$29+1-'Historical Score'!$L$29)*(AS433*'Historical Score'!$M$29+1-'Historical Score'!$M$29)*(AQ433*'Historical Score'!$N$29+1-'Historical Score'!$N$29),0)</f>
        <v/>
      </c>
      <c r="BB433" s="3" t="n"/>
      <c r="BC433" s="3" t="n"/>
    </row>
    <row r="434" ht="15.75" customHeight="1" s="174">
      <c r="A434" s="3" t="inlineStr">
        <is>
          <t>5674173985</t>
        </is>
      </c>
      <c r="B434" s="3" t="inlineStr">
        <is>
          <t>WORKFORCE READY KONCEPTS</t>
        </is>
      </c>
      <c r="C434" s="3" t="inlineStr">
        <is>
          <t>WORKFORCE READY KONCEPTS, LLC</t>
        </is>
      </c>
      <c r="D434" s="3" t="inlineStr">
        <is>
          <t>Legal</t>
        </is>
      </c>
      <c r="E434" s="23" t="n">
        <v>46001</v>
      </c>
      <c r="F434" s="23" t="n">
        <v>46178</v>
      </c>
      <c r="G434" s="3" t="n">
        <v>2</v>
      </c>
      <c r="H434" s="3" t="inlineStr">
        <is>
          <t>1731</t>
        </is>
      </c>
      <c r="I434" s="3" t="inlineStr">
        <is>
          <t>17</t>
        </is>
      </c>
      <c r="J434" s="3" t="inlineStr">
        <is>
          <t>TX</t>
        </is>
      </c>
      <c r="K434" s="3" t="inlineStr">
        <is>
          <t>Fidelity Funding</t>
        </is>
      </c>
      <c r="L434" s="3" t="inlineStr">
        <is>
          <t>New Deal</t>
        </is>
      </c>
      <c r="M434" s="3" t="n">
        <v>1.49</v>
      </c>
      <c r="N434" s="28" t="n">
        <v>20000</v>
      </c>
      <c r="O434" s="28" t="n">
        <v>2800</v>
      </c>
      <c r="P434" s="28" t="n">
        <v>29800</v>
      </c>
      <c r="Q434" s="28" t="n">
        <v>16244.27</v>
      </c>
      <c r="R434" s="28" t="n">
        <v>13555.73</v>
      </c>
      <c r="S434" s="42" t="n">
        <v>0.545109731543624</v>
      </c>
      <c r="T434" s="3" t="n">
        <v>3.279</v>
      </c>
      <c r="U434" s="3" t="n">
        <v>55</v>
      </c>
      <c r="V434" s="3" t="n">
        <v>46296.11</v>
      </c>
      <c r="W434" s="42" t="n">
        <v>0.1352</v>
      </c>
      <c r="X434" s="23" t="n">
        <v>42673</v>
      </c>
      <c r="Y434" s="3">
        <f>IF(I434="","No SIC",IFERROR(VLOOKUP(I434,Ref!$A$2:$B$65,2,FALSE()),"Unclassified"))</f>
        <v/>
      </c>
      <c r="Z434" s="3">
        <f>IF(T434="","",IF(T434&lt;12,"Daily","Weekly"))</f>
        <v/>
      </c>
      <c r="AA434" s="3">
        <f>IF(T434="",0,IF(T434&lt;12,T434*Controls!$B$13,T434*5))</f>
        <v/>
      </c>
      <c r="AB434" s="3">
        <f>IF(E434="",0,NETWORKDAYS(E434,Controls!$B$20,Ref!$K$2:$K$42))</f>
        <v/>
      </c>
      <c r="AC434" s="3">
        <f>IF(OR(AF434=1,AND(AA434&gt;0,AB434&gt;=Controls!$B$23*AA434)),1,0)</f>
        <v/>
      </c>
      <c r="AD434" s="3">
        <f>IF(AND(E434&lt;&gt;"",E434&gt;=Controls!$B$21,E434&lt;=Controls!$B$22),1,0)</f>
        <v/>
      </c>
      <c r="AE434" s="3">
        <f>IF(IFERROR(VLOOKUP(D434,Controls!$A$36:$E$46,2,FALSE()),"No")="Yes",1,0)</f>
        <v/>
      </c>
      <c r="AF434" s="3">
        <f>IF(IFERROR(VLOOKUP(D434,Controls!$A$36:$E$46,3,FALSE()),"No")="Yes",1,0)</f>
        <v/>
      </c>
      <c r="AG434" s="3">
        <f>IF(IFERROR(VLOOKUP(D434,Controls!$A$36:$E$46,4,FALSE()),"No")="Yes",1,0)</f>
        <v/>
      </c>
      <c r="AH434" s="3">
        <f>IF(IFERROR(VLOOKUP(D434,Controls!$A$36:$E$46,5,FALSE()),"No")="Yes",1,0)</f>
        <v/>
      </c>
      <c r="AI434" s="3">
        <f>IF(ISNUMBER(MATCH(D434,Controls!$A$36:$A$46,0)),1,0)</f>
        <v/>
      </c>
      <c r="AJ434" s="28">
        <f>Q434-N434</f>
        <v/>
      </c>
      <c r="AK434" s="3">
        <f>IF(AE434=1,MAX(0,N434-Q434),0)</f>
        <v/>
      </c>
      <c r="AL434" s="3">
        <f>IF(OR(V434="",V434=0),0,N434/V434)</f>
        <v/>
      </c>
      <c r="AM434" s="3">
        <f>IF(OR(V434="",V434=0),0,1)</f>
        <v/>
      </c>
      <c r="AN434" s="3">
        <f>IF(OR(E434="",F434=""),0,NETWORKDAYS(E434,F434,Ref!$K$2:$K$42))</f>
        <v/>
      </c>
      <c r="AO434" s="3">
        <f>IF(L434="Renewal",1,0)</f>
        <v/>
      </c>
      <c r="AP434" s="3">
        <f>AC434*AD434</f>
        <v/>
      </c>
      <c r="AQ434" s="3">
        <f>IF(AND(G434&lt;&gt;"",'Historical Score'!$C$6&lt;&gt;""),IF(G434='Historical Score'!$C$6,1,0),0)</f>
        <v/>
      </c>
      <c r="AR434" s="3">
        <f>IF(AND(L434&lt;&gt;"",'Historical Score'!$C$5&lt;&gt;""),IF(L434='Historical Score'!$C$5,1,0),0)</f>
        <v/>
      </c>
      <c r="AS434" s="3">
        <f>IF(AND(Y434&lt;&gt;"",'Historical Score'!$C$7&lt;&gt;""),IF(Y434='Historical Score'!$C$7,1,0),0)</f>
        <v/>
      </c>
      <c r="AT434" s="3">
        <f>IF(AND(K434&lt;&gt;"",'Historical Score'!$C$8&lt;&gt;""),IF(K434='Historical Score'!$C$8,1,0),0)</f>
        <v/>
      </c>
      <c r="AU434" s="3" t="n"/>
      <c r="AV434" s="3" t="n"/>
      <c r="AW434" s="3" t="n"/>
      <c r="AX434" s="3" t="n"/>
      <c r="AY434" s="3" t="n"/>
      <c r="AZ434" s="3" t="n"/>
      <c r="BA434" s="182">
        <f>IF(AD434=1,(AR434*'Historical Score'!$K$29+1-'Historical Score'!$K$29)*(AT434*'Historical Score'!$L$29+1-'Historical Score'!$L$29)*(AS434*'Historical Score'!$M$29+1-'Historical Score'!$M$29)*(AQ434*'Historical Score'!$N$29+1-'Historical Score'!$N$29),0)</f>
        <v/>
      </c>
      <c r="BB434" s="3" t="n"/>
      <c r="BC434" s="3" t="n"/>
    </row>
    <row r="435" ht="15.75" customHeight="1" s="174">
      <c r="A435" s="3" t="inlineStr">
        <is>
          <t>5674174100</t>
        </is>
      </c>
      <c r="B435" s="3" t="inlineStr">
        <is>
          <t>Fresh Dental</t>
        </is>
      </c>
      <c r="C435" s="3" t="inlineStr">
        <is>
          <t>Fresh Dental LLC</t>
        </is>
      </c>
      <c r="D435" s="3" t="inlineStr">
        <is>
          <t>Closed</t>
        </is>
      </c>
      <c r="E435" s="23" t="n">
        <v>46002</v>
      </c>
      <c r="F435" s="23" t="n">
        <v>46136</v>
      </c>
      <c r="G435" s="3" t="n">
        <v>3</v>
      </c>
      <c r="H435" s="3" t="inlineStr">
        <is>
          <t>5047</t>
        </is>
      </c>
      <c r="I435" s="3" t="inlineStr">
        <is>
          <t>50</t>
        </is>
      </c>
      <c r="J435" s="3" t="inlineStr">
        <is>
          <t>GA</t>
        </is>
      </c>
      <c r="K435" s="3" t="inlineStr">
        <is>
          <t>Westwood</t>
        </is>
      </c>
      <c r="L435" s="3" t="inlineStr">
        <is>
          <t>Renewal</t>
        </is>
      </c>
      <c r="M435" s="3" t="n">
        <v>1.459</v>
      </c>
      <c r="N435" s="28" t="n">
        <v>165000</v>
      </c>
      <c r="O435" s="28" t="n">
        <v>21450</v>
      </c>
      <c r="P435" s="28" t="n">
        <v>240735</v>
      </c>
      <c r="Q435" s="28" t="n">
        <v>240735</v>
      </c>
      <c r="R435" s="28" t="n">
        <v>0</v>
      </c>
      <c r="S435" s="42" t="n">
        <v>1</v>
      </c>
      <c r="T435" s="3" t="n">
        <v>5.738</v>
      </c>
      <c r="U435" s="3" t="n">
        <v>2</v>
      </c>
      <c r="V435" s="3" t="n">
        <v>237338.07</v>
      </c>
      <c r="W435" s="42" t="n">
        <v>0.1208</v>
      </c>
      <c r="X435" s="23" t="n">
        <v>43714</v>
      </c>
      <c r="Y435" s="3">
        <f>IF(I435="","No SIC",IFERROR(VLOOKUP(I435,Ref!$A$2:$B$65,2,FALSE()),"Unclassified"))</f>
        <v/>
      </c>
      <c r="Z435" s="3">
        <f>IF(T435="","",IF(T435&lt;12,"Daily","Weekly"))</f>
        <v/>
      </c>
      <c r="AA435" s="3">
        <f>IF(T435="",0,IF(T435&lt;12,T435*Controls!$B$13,T435*5))</f>
        <v/>
      </c>
      <c r="AB435" s="3">
        <f>IF(E435="",0,NETWORKDAYS(E435,Controls!$B$20,Ref!$K$2:$K$42))</f>
        <v/>
      </c>
      <c r="AC435" s="3">
        <f>IF(OR(AF435=1,AND(AA435&gt;0,AB435&gt;=Controls!$B$23*AA435)),1,0)</f>
        <v/>
      </c>
      <c r="AD435" s="3">
        <f>IF(AND(E435&lt;&gt;"",E435&gt;=Controls!$B$21,E435&lt;=Controls!$B$22),1,0)</f>
        <v/>
      </c>
      <c r="AE435" s="3">
        <f>IF(IFERROR(VLOOKUP(D435,Controls!$A$36:$E$46,2,FALSE()),"No")="Yes",1,0)</f>
        <v/>
      </c>
      <c r="AF435" s="3">
        <f>IF(IFERROR(VLOOKUP(D435,Controls!$A$36:$E$46,3,FALSE()),"No")="Yes",1,0)</f>
        <v/>
      </c>
      <c r="AG435" s="3">
        <f>IF(IFERROR(VLOOKUP(D435,Controls!$A$36:$E$46,4,FALSE()),"No")="Yes",1,0)</f>
        <v/>
      </c>
      <c r="AH435" s="3">
        <f>IF(IFERROR(VLOOKUP(D435,Controls!$A$36:$E$46,5,FALSE()),"No")="Yes",1,0)</f>
        <v/>
      </c>
      <c r="AI435" s="3">
        <f>IF(ISNUMBER(MATCH(D435,Controls!$A$36:$A$46,0)),1,0)</f>
        <v/>
      </c>
      <c r="AJ435" s="28">
        <f>Q435-N435</f>
        <v/>
      </c>
      <c r="AK435" s="3">
        <f>IF(AE435=1,MAX(0,N435-Q435),0)</f>
        <v/>
      </c>
      <c r="AL435" s="3">
        <f>IF(OR(V435="",V435=0),0,N435/V435)</f>
        <v/>
      </c>
      <c r="AM435" s="3">
        <f>IF(OR(V435="",V435=0),0,1)</f>
        <v/>
      </c>
      <c r="AN435" s="3">
        <f>IF(OR(E435="",F435=""),0,NETWORKDAYS(E435,F435,Ref!$K$2:$K$42))</f>
        <v/>
      </c>
      <c r="AO435" s="3">
        <f>IF(L435="Renewal",1,0)</f>
        <v/>
      </c>
      <c r="AP435" s="3">
        <f>AC435*AD435</f>
        <v/>
      </c>
      <c r="AQ435" s="3">
        <f>IF(AND(G435&lt;&gt;"",'Historical Score'!$C$6&lt;&gt;""),IF(G435='Historical Score'!$C$6,1,0),0)</f>
        <v/>
      </c>
      <c r="AR435" s="3">
        <f>IF(AND(L435&lt;&gt;"",'Historical Score'!$C$5&lt;&gt;""),IF(L435='Historical Score'!$C$5,1,0),0)</f>
        <v/>
      </c>
      <c r="AS435" s="3">
        <f>IF(AND(Y435&lt;&gt;"",'Historical Score'!$C$7&lt;&gt;""),IF(Y435='Historical Score'!$C$7,1,0),0)</f>
        <v/>
      </c>
      <c r="AT435" s="3">
        <f>IF(AND(K435&lt;&gt;"",'Historical Score'!$C$8&lt;&gt;""),IF(K435='Historical Score'!$C$8,1,0),0)</f>
        <v/>
      </c>
      <c r="AU435" s="3" t="n"/>
      <c r="AV435" s="3" t="n"/>
      <c r="AW435" s="3" t="n"/>
      <c r="AX435" s="3" t="n"/>
      <c r="AY435" s="3" t="n"/>
      <c r="AZ435" s="3" t="n"/>
      <c r="BA435" s="182">
        <f>IF(AD435=1,(AR435*'Historical Score'!$K$29+1-'Historical Score'!$K$29)*(AT435*'Historical Score'!$L$29+1-'Historical Score'!$L$29)*(AS435*'Historical Score'!$M$29+1-'Historical Score'!$M$29)*(AQ435*'Historical Score'!$N$29+1-'Historical Score'!$N$29),0)</f>
        <v/>
      </c>
      <c r="BB435" s="3" t="n"/>
      <c r="BC435" s="3" t="n"/>
    </row>
    <row r="436" ht="15.75" customHeight="1" s="174">
      <c r="A436" s="3" t="inlineStr">
        <is>
          <t>5674174106</t>
        </is>
      </c>
      <c r="B436" s="3" t="inlineStr">
        <is>
          <t>Mile shop</t>
        </is>
      </c>
      <c r="C436" s="3" t="inlineStr">
        <is>
          <t>MHS shop llc</t>
        </is>
      </c>
      <c r="D436" s="3" t="inlineStr">
        <is>
          <t>Closed</t>
        </is>
      </c>
      <c r="E436" s="23" t="n">
        <v>46002</v>
      </c>
      <c r="F436" s="23" t="n">
        <v>46043</v>
      </c>
      <c r="G436" s="3" t="n">
        <v>2</v>
      </c>
      <c r="H436" s="3" t="inlineStr">
        <is>
          <t>5399</t>
        </is>
      </c>
      <c r="I436" s="3" t="inlineStr">
        <is>
          <t>53</t>
        </is>
      </c>
      <c r="J436" s="3" t="inlineStr">
        <is>
          <t>FL</t>
        </is>
      </c>
      <c r="K436" s="3" t="inlineStr">
        <is>
          <t>Fundwell</t>
        </is>
      </c>
      <c r="L436" s="3" t="inlineStr">
        <is>
          <t>New Deal</t>
        </is>
      </c>
      <c r="M436" s="3" t="n">
        <v>1.15</v>
      </c>
      <c r="N436" s="28" t="n">
        <v>12000</v>
      </c>
      <c r="O436" s="28" t="n">
        <v>1200</v>
      </c>
      <c r="P436" s="28" t="n">
        <v>13800</v>
      </c>
      <c r="Q436" s="28" t="n">
        <v>13800</v>
      </c>
      <c r="R436" s="28" t="n">
        <v>-1.81898940354586e-12</v>
      </c>
      <c r="S436" s="42" t="n">
        <v>1</v>
      </c>
      <c r="T436" s="3" t="n">
        <v>22</v>
      </c>
      <c r="U436" s="3" t="n">
        <v>0</v>
      </c>
      <c r="V436" s="3" t="n">
        <v>29244.59</v>
      </c>
      <c r="W436" s="42" t="n">
        <v>0.1112</v>
      </c>
      <c r="X436" s="23" t="n">
        <v>45573</v>
      </c>
      <c r="Y436" s="3">
        <f>IF(I436="","No SIC",IFERROR(VLOOKUP(I436,Ref!$A$2:$B$65,2,FALSE()),"Unclassified"))</f>
        <v/>
      </c>
      <c r="Z436" s="3">
        <f>IF(T436="","",IF(T436&lt;12,"Daily","Weekly"))</f>
        <v/>
      </c>
      <c r="AA436" s="3">
        <f>IF(T436="",0,IF(T436&lt;12,T436*Controls!$B$13,T436*5))</f>
        <v/>
      </c>
      <c r="AB436" s="3">
        <f>IF(E436="",0,NETWORKDAYS(E436,Controls!$B$20,Ref!$K$2:$K$42))</f>
        <v/>
      </c>
      <c r="AC436" s="3">
        <f>IF(OR(AF436=1,AND(AA436&gt;0,AB436&gt;=Controls!$B$23*AA436)),1,0)</f>
        <v/>
      </c>
      <c r="AD436" s="3">
        <f>IF(AND(E436&lt;&gt;"",E436&gt;=Controls!$B$21,E436&lt;=Controls!$B$22),1,0)</f>
        <v/>
      </c>
      <c r="AE436" s="3">
        <f>IF(IFERROR(VLOOKUP(D436,Controls!$A$36:$E$46,2,FALSE()),"No")="Yes",1,0)</f>
        <v/>
      </c>
      <c r="AF436" s="3">
        <f>IF(IFERROR(VLOOKUP(D436,Controls!$A$36:$E$46,3,FALSE()),"No")="Yes",1,0)</f>
        <v/>
      </c>
      <c r="AG436" s="3">
        <f>IF(IFERROR(VLOOKUP(D436,Controls!$A$36:$E$46,4,FALSE()),"No")="Yes",1,0)</f>
        <v/>
      </c>
      <c r="AH436" s="3">
        <f>IF(IFERROR(VLOOKUP(D436,Controls!$A$36:$E$46,5,FALSE()),"No")="Yes",1,0)</f>
        <v/>
      </c>
      <c r="AI436" s="3">
        <f>IF(ISNUMBER(MATCH(D436,Controls!$A$36:$A$46,0)),1,0)</f>
        <v/>
      </c>
      <c r="AJ436" s="28">
        <f>Q436-N436</f>
        <v/>
      </c>
      <c r="AK436" s="3">
        <f>IF(AE436=1,MAX(0,N436-Q436),0)</f>
        <v/>
      </c>
      <c r="AL436" s="3">
        <f>IF(OR(V436="",V436=0),0,N436/V436)</f>
        <v/>
      </c>
      <c r="AM436" s="3">
        <f>IF(OR(V436="",V436=0),0,1)</f>
        <v/>
      </c>
      <c r="AN436" s="3">
        <f>IF(OR(E436="",F436=""),0,NETWORKDAYS(E436,F436,Ref!$K$2:$K$42))</f>
        <v/>
      </c>
      <c r="AO436" s="3">
        <f>IF(L436="Renewal",1,0)</f>
        <v/>
      </c>
      <c r="AP436" s="3">
        <f>AC436*AD436</f>
        <v/>
      </c>
      <c r="AQ436" s="3">
        <f>IF(AND(G436&lt;&gt;"",'Historical Score'!$C$6&lt;&gt;""),IF(G436='Historical Score'!$C$6,1,0),0)</f>
        <v/>
      </c>
      <c r="AR436" s="3">
        <f>IF(AND(L436&lt;&gt;"",'Historical Score'!$C$5&lt;&gt;""),IF(L436='Historical Score'!$C$5,1,0),0)</f>
        <v/>
      </c>
      <c r="AS436" s="3">
        <f>IF(AND(Y436&lt;&gt;"",'Historical Score'!$C$7&lt;&gt;""),IF(Y436='Historical Score'!$C$7,1,0),0)</f>
        <v/>
      </c>
      <c r="AT436" s="3">
        <f>IF(AND(K436&lt;&gt;"",'Historical Score'!$C$8&lt;&gt;""),IF(K436='Historical Score'!$C$8,1,0),0)</f>
        <v/>
      </c>
      <c r="AU436" s="3" t="n"/>
      <c r="AV436" s="3" t="n"/>
      <c r="AW436" s="3" t="n"/>
      <c r="AX436" s="3" t="n"/>
      <c r="AY436" s="3" t="n"/>
      <c r="AZ436" s="3" t="n"/>
      <c r="BA436" s="182">
        <f>IF(AD436=1,(AR436*'Historical Score'!$K$29+1-'Historical Score'!$K$29)*(AT436*'Historical Score'!$L$29+1-'Historical Score'!$L$29)*(AS436*'Historical Score'!$M$29+1-'Historical Score'!$M$29)*(AQ436*'Historical Score'!$N$29+1-'Historical Score'!$N$29),0)</f>
        <v/>
      </c>
      <c r="BB436" s="3" t="n"/>
      <c r="BC436" s="3" t="n"/>
    </row>
    <row r="437" ht="15.75" customHeight="1" s="174">
      <c r="A437" s="3" t="inlineStr">
        <is>
          <t>5674174119</t>
        </is>
      </c>
      <c r="B437" s="3" t="inlineStr">
        <is>
          <t>VENTURE Vs</t>
        </is>
      </c>
      <c r="C437" s="3" t="inlineStr">
        <is>
          <t>VENTURE V &amp; S LLC</t>
        </is>
      </c>
      <c r="D437" s="3" t="inlineStr">
        <is>
          <t>Closed</t>
        </is>
      </c>
      <c r="E437" s="23" t="n">
        <v>46002</v>
      </c>
      <c r="F437" s="23" t="n">
        <v>46083</v>
      </c>
      <c r="G437" s="3" t="n">
        <v>1</v>
      </c>
      <c r="H437" s="3" t="inlineStr">
        <is>
          <t>5399</t>
        </is>
      </c>
      <c r="I437" s="3" t="inlineStr">
        <is>
          <t>53</t>
        </is>
      </c>
      <c r="J437" s="3" t="inlineStr">
        <is>
          <t>KY</t>
        </is>
      </c>
      <c r="K437" s="3" t="inlineStr">
        <is>
          <t>United Secured Capital 8</t>
        </is>
      </c>
      <c r="L437" s="3" t="inlineStr">
        <is>
          <t>New Deal</t>
        </is>
      </c>
      <c r="M437" s="3" t="n">
        <v>1.499</v>
      </c>
      <c r="N437" s="28" t="n">
        <v>12500</v>
      </c>
      <c r="O437" s="28" t="n">
        <v>1750</v>
      </c>
      <c r="P437" s="28" t="n">
        <v>18737.5</v>
      </c>
      <c r="Q437" s="28" t="n">
        <v>18737.5</v>
      </c>
      <c r="R437" s="28" t="n">
        <v>0</v>
      </c>
      <c r="S437" s="42" t="n">
        <v>1</v>
      </c>
      <c r="T437" s="3" t="n">
        <v>18</v>
      </c>
      <c r="U437" s="3" t="n">
        <v>0</v>
      </c>
      <c r="V437" s="3" t="n">
        <v>63273.55</v>
      </c>
      <c r="W437" s="42" t="n">
        <v>0.0654</v>
      </c>
      <c r="X437" s="23" t="n">
        <v>45686</v>
      </c>
      <c r="Y437" s="3">
        <f>IF(I437="","No SIC",IFERROR(VLOOKUP(I437,Ref!$A$2:$B$65,2,FALSE()),"Unclassified"))</f>
        <v/>
      </c>
      <c r="Z437" s="3">
        <f>IF(T437="","",IF(T437&lt;12,"Daily","Weekly"))</f>
        <v/>
      </c>
      <c r="AA437" s="3">
        <f>IF(T437="",0,IF(T437&lt;12,T437*Controls!$B$13,T437*5))</f>
        <v/>
      </c>
      <c r="AB437" s="3">
        <f>IF(E437="",0,NETWORKDAYS(E437,Controls!$B$20,Ref!$K$2:$K$42))</f>
        <v/>
      </c>
      <c r="AC437" s="3">
        <f>IF(OR(AF437=1,AND(AA437&gt;0,AB437&gt;=Controls!$B$23*AA437)),1,0)</f>
        <v/>
      </c>
      <c r="AD437" s="3">
        <f>IF(AND(E437&lt;&gt;"",E437&gt;=Controls!$B$21,E437&lt;=Controls!$B$22),1,0)</f>
        <v/>
      </c>
      <c r="AE437" s="3">
        <f>IF(IFERROR(VLOOKUP(D437,Controls!$A$36:$E$46,2,FALSE()),"No")="Yes",1,0)</f>
        <v/>
      </c>
      <c r="AF437" s="3">
        <f>IF(IFERROR(VLOOKUP(D437,Controls!$A$36:$E$46,3,FALSE()),"No")="Yes",1,0)</f>
        <v/>
      </c>
      <c r="AG437" s="3">
        <f>IF(IFERROR(VLOOKUP(D437,Controls!$A$36:$E$46,4,FALSE()),"No")="Yes",1,0)</f>
        <v/>
      </c>
      <c r="AH437" s="3">
        <f>IF(IFERROR(VLOOKUP(D437,Controls!$A$36:$E$46,5,FALSE()),"No")="Yes",1,0)</f>
        <v/>
      </c>
      <c r="AI437" s="3">
        <f>IF(ISNUMBER(MATCH(D437,Controls!$A$36:$A$46,0)),1,0)</f>
        <v/>
      </c>
      <c r="AJ437" s="28">
        <f>Q437-N437</f>
        <v/>
      </c>
      <c r="AK437" s="3">
        <f>IF(AE437=1,MAX(0,N437-Q437),0)</f>
        <v/>
      </c>
      <c r="AL437" s="3">
        <f>IF(OR(V437="",V437=0),0,N437/V437)</f>
        <v/>
      </c>
      <c r="AM437" s="3">
        <f>IF(OR(V437="",V437=0),0,1)</f>
        <v/>
      </c>
      <c r="AN437" s="3">
        <f>IF(OR(E437="",F437=""),0,NETWORKDAYS(E437,F437,Ref!$K$2:$K$42))</f>
        <v/>
      </c>
      <c r="AO437" s="3">
        <f>IF(L437="Renewal",1,0)</f>
        <v/>
      </c>
      <c r="AP437" s="3">
        <f>AC437*AD437</f>
        <v/>
      </c>
      <c r="AQ437" s="3">
        <f>IF(AND(G437&lt;&gt;"",'Historical Score'!$C$6&lt;&gt;""),IF(G437='Historical Score'!$C$6,1,0),0)</f>
        <v/>
      </c>
      <c r="AR437" s="3">
        <f>IF(AND(L437&lt;&gt;"",'Historical Score'!$C$5&lt;&gt;""),IF(L437='Historical Score'!$C$5,1,0),0)</f>
        <v/>
      </c>
      <c r="AS437" s="3">
        <f>IF(AND(Y437&lt;&gt;"",'Historical Score'!$C$7&lt;&gt;""),IF(Y437='Historical Score'!$C$7,1,0),0)</f>
        <v/>
      </c>
      <c r="AT437" s="3">
        <f>IF(AND(K437&lt;&gt;"",'Historical Score'!$C$8&lt;&gt;""),IF(K437='Historical Score'!$C$8,1,0),0)</f>
        <v/>
      </c>
      <c r="AU437" s="3" t="n"/>
      <c r="AV437" s="3" t="n"/>
      <c r="AW437" s="3" t="n"/>
      <c r="AX437" s="3" t="n"/>
      <c r="AY437" s="3" t="n"/>
      <c r="AZ437" s="3" t="n"/>
      <c r="BA437" s="182">
        <f>IF(AD437=1,(AR437*'Historical Score'!$K$29+1-'Historical Score'!$K$29)*(AT437*'Historical Score'!$L$29+1-'Historical Score'!$L$29)*(AS437*'Historical Score'!$M$29+1-'Historical Score'!$M$29)*(AQ437*'Historical Score'!$N$29+1-'Historical Score'!$N$29),0)</f>
        <v/>
      </c>
      <c r="BB437" s="3" t="n"/>
      <c r="BC437" s="3" t="n"/>
    </row>
    <row r="438" ht="15.75" customHeight="1" s="174">
      <c r="A438" s="3" t="inlineStr">
        <is>
          <t>5674174125</t>
        </is>
      </c>
      <c r="B438" s="3" t="inlineStr">
        <is>
          <t>Diamond M Group</t>
        </is>
      </c>
      <c r="C438" s="3" t="inlineStr">
        <is>
          <t>Bruce A Messer</t>
        </is>
      </c>
      <c r="D438" s="3" t="inlineStr">
        <is>
          <t>In House Collection</t>
        </is>
      </c>
      <c r="E438" s="23" t="n">
        <v>46002</v>
      </c>
      <c r="F438" s="23" t="n">
        <v>46052</v>
      </c>
      <c r="G438" s="3" t="n">
        <v>2</v>
      </c>
      <c r="H438" s="3" t="inlineStr">
        <is>
          <t>1521</t>
        </is>
      </c>
      <c r="I438" s="3" t="inlineStr">
        <is>
          <t>15</t>
        </is>
      </c>
      <c r="J438" s="3" t="inlineStr">
        <is>
          <t>WV</t>
        </is>
      </c>
      <c r="K438" s="3" t="inlineStr">
        <is>
          <t>National Business Capital</t>
        </is>
      </c>
      <c r="L438" s="3" t="inlineStr">
        <is>
          <t>New Deal</t>
        </is>
      </c>
      <c r="M438" s="3" t="n">
        <v>1.49</v>
      </c>
      <c r="N438" s="28" t="n">
        <v>20000</v>
      </c>
      <c r="O438" s="28" t="n">
        <v>0</v>
      </c>
      <c r="P438" s="28" t="n">
        <v>29800</v>
      </c>
      <c r="Q438" s="28" t="n">
        <v>3724.59</v>
      </c>
      <c r="R438" s="28" t="n">
        <v>26075.41</v>
      </c>
      <c r="S438" s="42" t="n">
        <v>0.124986241610738</v>
      </c>
      <c r="T438" s="3" t="n">
        <v>24</v>
      </c>
      <c r="U438" s="3" t="n">
        <v>5</v>
      </c>
      <c r="V438" s="3" t="n">
        <v>50417.29</v>
      </c>
      <c r="W438" s="42" t="n">
        <v>0.0985</v>
      </c>
      <c r="X438" s="23" t="n"/>
      <c r="Y438" s="3">
        <f>IF(I438="","No SIC",IFERROR(VLOOKUP(I438,Ref!$A$2:$B$65,2,FALSE()),"Unclassified"))</f>
        <v/>
      </c>
      <c r="Z438" s="3">
        <f>IF(T438="","",IF(T438&lt;12,"Daily","Weekly"))</f>
        <v/>
      </c>
      <c r="AA438" s="3">
        <f>IF(T438="",0,IF(T438&lt;12,T438*Controls!$B$13,T438*5))</f>
        <v/>
      </c>
      <c r="AB438" s="3">
        <f>IF(E438="",0,NETWORKDAYS(E438,Controls!$B$20,Ref!$K$2:$K$42))</f>
        <v/>
      </c>
      <c r="AC438" s="3">
        <f>IF(OR(AF438=1,AND(AA438&gt;0,AB438&gt;=Controls!$B$23*AA438)),1,0)</f>
        <v/>
      </c>
      <c r="AD438" s="3">
        <f>IF(AND(E438&lt;&gt;"",E438&gt;=Controls!$B$21,E438&lt;=Controls!$B$22),1,0)</f>
        <v/>
      </c>
      <c r="AE438" s="3">
        <f>IF(IFERROR(VLOOKUP(D438,Controls!$A$36:$E$46,2,FALSE()),"No")="Yes",1,0)</f>
        <v/>
      </c>
      <c r="AF438" s="3">
        <f>IF(IFERROR(VLOOKUP(D438,Controls!$A$36:$E$46,3,FALSE()),"No")="Yes",1,0)</f>
        <v/>
      </c>
      <c r="AG438" s="3">
        <f>IF(IFERROR(VLOOKUP(D438,Controls!$A$36:$E$46,4,FALSE()),"No")="Yes",1,0)</f>
        <v/>
      </c>
      <c r="AH438" s="3">
        <f>IF(IFERROR(VLOOKUP(D438,Controls!$A$36:$E$46,5,FALSE()),"No")="Yes",1,0)</f>
        <v/>
      </c>
      <c r="AI438" s="3">
        <f>IF(ISNUMBER(MATCH(D438,Controls!$A$36:$A$46,0)),1,0)</f>
        <v/>
      </c>
      <c r="AJ438" s="28">
        <f>Q438-N438</f>
        <v/>
      </c>
      <c r="AK438" s="3">
        <f>IF(AE438=1,MAX(0,N438-Q438),0)</f>
        <v/>
      </c>
      <c r="AL438" s="3">
        <f>IF(OR(V438="",V438=0),0,N438/V438)</f>
        <v/>
      </c>
      <c r="AM438" s="3">
        <f>IF(OR(V438="",V438=0),0,1)</f>
        <v/>
      </c>
      <c r="AN438" s="3">
        <f>IF(OR(E438="",F438=""),0,NETWORKDAYS(E438,F438,Ref!$K$2:$K$42))</f>
        <v/>
      </c>
      <c r="AO438" s="3">
        <f>IF(L438="Renewal",1,0)</f>
        <v/>
      </c>
      <c r="AP438" s="3">
        <f>AC438*AD438</f>
        <v/>
      </c>
      <c r="AQ438" s="3">
        <f>IF(AND(G438&lt;&gt;"",'Historical Score'!$C$6&lt;&gt;""),IF(G438='Historical Score'!$C$6,1,0),0)</f>
        <v/>
      </c>
      <c r="AR438" s="3">
        <f>IF(AND(L438&lt;&gt;"",'Historical Score'!$C$5&lt;&gt;""),IF(L438='Historical Score'!$C$5,1,0),0)</f>
        <v/>
      </c>
      <c r="AS438" s="3">
        <f>IF(AND(Y438&lt;&gt;"",'Historical Score'!$C$7&lt;&gt;""),IF(Y438='Historical Score'!$C$7,1,0),0)</f>
        <v/>
      </c>
      <c r="AT438" s="3">
        <f>IF(AND(K438&lt;&gt;"",'Historical Score'!$C$8&lt;&gt;""),IF(K438='Historical Score'!$C$8,1,0),0)</f>
        <v/>
      </c>
      <c r="AU438" s="3" t="n"/>
      <c r="AV438" s="3" t="n"/>
      <c r="AW438" s="3" t="n"/>
      <c r="AX438" s="3" t="n"/>
      <c r="AY438" s="3" t="n"/>
      <c r="AZ438" s="3" t="n"/>
      <c r="BA438" s="182">
        <f>IF(AD438=1,(AR438*'Historical Score'!$K$29+1-'Historical Score'!$K$29)*(AT438*'Historical Score'!$L$29+1-'Historical Score'!$L$29)*(AS438*'Historical Score'!$M$29+1-'Historical Score'!$M$29)*(AQ438*'Historical Score'!$N$29+1-'Historical Score'!$N$29),0)</f>
        <v/>
      </c>
      <c r="BB438" s="3" t="n"/>
      <c r="BC438" s="3" t="n"/>
    </row>
    <row r="439" ht="15.75" customHeight="1" s="174">
      <c r="A439" s="3" t="inlineStr">
        <is>
          <t>5674174148</t>
        </is>
      </c>
      <c r="B439" s="3" t="inlineStr">
        <is>
          <t>Osuna Dental Care</t>
        </is>
      </c>
      <c r="C439" s="3" t="inlineStr">
        <is>
          <t>Chris Y. Kim, DDS LLC</t>
        </is>
      </c>
      <c r="D439" s="3" t="inlineStr">
        <is>
          <t>Open</t>
        </is>
      </c>
      <c r="E439" s="23" t="n">
        <v>46003</v>
      </c>
      <c r="F439" s="23" t="n">
        <v>46248</v>
      </c>
      <c r="G439" s="3" t="n">
        <v>3</v>
      </c>
      <c r="H439" s="3" t="inlineStr">
        <is>
          <t>8021</t>
        </is>
      </c>
      <c r="I439" s="3" t="inlineStr">
        <is>
          <t>80</t>
        </is>
      </c>
      <c r="J439" s="3" t="inlineStr">
        <is>
          <t>NM</t>
        </is>
      </c>
      <c r="K439" s="3" t="inlineStr">
        <is>
          <t>Fundwell</t>
        </is>
      </c>
      <c r="L439" s="3" t="inlineStr">
        <is>
          <t>New Deal</t>
        </is>
      </c>
      <c r="M439" s="3" t="n">
        <v>1.38</v>
      </c>
      <c r="N439" s="28" t="n">
        <v>160000</v>
      </c>
      <c r="O439" s="28" t="n">
        <v>20000</v>
      </c>
      <c r="P439" s="28" t="n">
        <v>220800</v>
      </c>
      <c r="Q439" s="28" t="n">
        <v>137948.65</v>
      </c>
      <c r="R439" s="28" t="n">
        <v>82851.35000000001</v>
      </c>
      <c r="S439" s="42" t="n">
        <v>0.624767436594203</v>
      </c>
      <c r="T439" s="3" t="n">
        <v>56</v>
      </c>
      <c r="U439" s="3" t="n">
        <v>0</v>
      </c>
      <c r="V439" s="3" t="n">
        <v>310957.45</v>
      </c>
      <c r="W439" s="42" t="n">
        <v>0.0507</v>
      </c>
      <c r="X439" s="23" t="n">
        <v>43647</v>
      </c>
      <c r="Y439" s="3">
        <f>IF(I439="","No SIC",IFERROR(VLOOKUP(I439,Ref!$A$2:$B$65,2,FALSE()),"Unclassified"))</f>
        <v/>
      </c>
      <c r="Z439" s="3">
        <f>IF(T439="","",IF(T439&lt;12,"Daily","Weekly"))</f>
        <v/>
      </c>
      <c r="AA439" s="3">
        <f>IF(T439="",0,IF(T439&lt;12,T439*Controls!$B$13,T439*5))</f>
        <v/>
      </c>
      <c r="AB439" s="3">
        <f>IF(E439="",0,NETWORKDAYS(E439,Controls!$B$20,Ref!$K$2:$K$42))</f>
        <v/>
      </c>
      <c r="AC439" s="3">
        <f>IF(OR(AF439=1,AND(AA439&gt;0,AB439&gt;=Controls!$B$23*AA439)),1,0)</f>
        <v/>
      </c>
      <c r="AD439" s="3">
        <f>IF(AND(E439&lt;&gt;"",E439&gt;=Controls!$B$21,E439&lt;=Controls!$B$22),1,0)</f>
        <v/>
      </c>
      <c r="AE439" s="3">
        <f>IF(IFERROR(VLOOKUP(D439,Controls!$A$36:$E$46,2,FALSE()),"No")="Yes",1,0)</f>
        <v/>
      </c>
      <c r="AF439" s="3">
        <f>IF(IFERROR(VLOOKUP(D439,Controls!$A$36:$E$46,3,FALSE()),"No")="Yes",1,0)</f>
        <v/>
      </c>
      <c r="AG439" s="3">
        <f>IF(IFERROR(VLOOKUP(D439,Controls!$A$36:$E$46,4,FALSE()),"No")="Yes",1,0)</f>
        <v/>
      </c>
      <c r="AH439" s="3">
        <f>IF(IFERROR(VLOOKUP(D439,Controls!$A$36:$E$46,5,FALSE()),"No")="Yes",1,0)</f>
        <v/>
      </c>
      <c r="AI439" s="3">
        <f>IF(ISNUMBER(MATCH(D439,Controls!$A$36:$A$46,0)),1,0)</f>
        <v/>
      </c>
      <c r="AJ439" s="28">
        <f>Q439-N439</f>
        <v/>
      </c>
      <c r="AK439" s="3">
        <f>IF(AE439=1,MAX(0,N439-Q439),0)</f>
        <v/>
      </c>
      <c r="AL439" s="3">
        <f>IF(OR(V439="",V439=0),0,N439/V439)</f>
        <v/>
      </c>
      <c r="AM439" s="3">
        <f>IF(OR(V439="",V439=0),0,1)</f>
        <v/>
      </c>
      <c r="AN439" s="3">
        <f>IF(OR(E439="",F439=""),0,NETWORKDAYS(E439,F439,Ref!$K$2:$K$42))</f>
        <v/>
      </c>
      <c r="AO439" s="3">
        <f>IF(L439="Renewal",1,0)</f>
        <v/>
      </c>
      <c r="AP439" s="3">
        <f>AC439*AD439</f>
        <v/>
      </c>
      <c r="AQ439" s="3">
        <f>IF(AND(G439&lt;&gt;"",'Historical Score'!$C$6&lt;&gt;""),IF(G439='Historical Score'!$C$6,1,0),0)</f>
        <v/>
      </c>
      <c r="AR439" s="3">
        <f>IF(AND(L439&lt;&gt;"",'Historical Score'!$C$5&lt;&gt;""),IF(L439='Historical Score'!$C$5,1,0),0)</f>
        <v/>
      </c>
      <c r="AS439" s="3">
        <f>IF(AND(Y439&lt;&gt;"",'Historical Score'!$C$7&lt;&gt;""),IF(Y439='Historical Score'!$C$7,1,0),0)</f>
        <v/>
      </c>
      <c r="AT439" s="3">
        <f>IF(AND(K439&lt;&gt;"",'Historical Score'!$C$8&lt;&gt;""),IF(K439='Historical Score'!$C$8,1,0),0)</f>
        <v/>
      </c>
      <c r="AU439" s="3" t="n"/>
      <c r="AV439" s="3" t="n"/>
      <c r="AW439" s="3" t="n"/>
      <c r="AX439" s="3" t="n"/>
      <c r="AY439" s="3" t="n"/>
      <c r="AZ439" s="3" t="n"/>
      <c r="BA439" s="182">
        <f>IF(AD439=1,(AR439*'Historical Score'!$K$29+1-'Historical Score'!$K$29)*(AT439*'Historical Score'!$L$29+1-'Historical Score'!$L$29)*(AS439*'Historical Score'!$M$29+1-'Historical Score'!$M$29)*(AQ439*'Historical Score'!$N$29+1-'Historical Score'!$N$29),0)</f>
        <v/>
      </c>
      <c r="BB439" s="3" t="n"/>
      <c r="BC439" s="3" t="n"/>
    </row>
    <row r="440" ht="15.75" customHeight="1" s="174">
      <c r="A440" s="3" t="inlineStr">
        <is>
          <t>5674174218</t>
        </is>
      </c>
      <c r="B440" s="3" t="inlineStr">
        <is>
          <t>LOS JIMADORES TEX MEX &amp; TEQUILA FACTORY</t>
        </is>
      </c>
      <c r="C440" s="3" t="inlineStr">
        <is>
          <t>LOS JIMADORES TEX MEX &amp; TEQUILA FACTORY</t>
        </is>
      </c>
      <c r="D440" s="3" t="inlineStr">
        <is>
          <t>Closed</t>
        </is>
      </c>
      <c r="E440" s="23" t="n">
        <v>46003</v>
      </c>
      <c r="F440" s="23" t="n">
        <v>46216</v>
      </c>
      <c r="G440" s="3" t="n">
        <v>3</v>
      </c>
      <c r="H440" s="3" t="inlineStr">
        <is>
          <t>5812</t>
        </is>
      </c>
      <c r="I440" s="3" t="inlineStr">
        <is>
          <t>58</t>
        </is>
      </c>
      <c r="J440" s="3" t="inlineStr">
        <is>
          <t>TX</t>
        </is>
      </c>
      <c r="K440" s="3" t="inlineStr">
        <is>
          <t>Westwood</t>
        </is>
      </c>
      <c r="L440" s="3" t="inlineStr">
        <is>
          <t>New Deal</t>
        </is>
      </c>
      <c r="M440" s="3" t="n">
        <v>1.37</v>
      </c>
      <c r="N440" s="28" t="n">
        <v>22000</v>
      </c>
      <c r="O440" s="28" t="n">
        <v>1760</v>
      </c>
      <c r="P440" s="28" t="n">
        <v>30140</v>
      </c>
      <c r="Q440" s="28" t="n">
        <v>30140</v>
      </c>
      <c r="R440" s="28" t="n">
        <v>3.63797880709171e-12</v>
      </c>
      <c r="S440" s="42" t="n">
        <v>1</v>
      </c>
      <c r="T440" s="3" t="n">
        <v>2.623</v>
      </c>
      <c r="U440" s="3" t="n">
        <v>10</v>
      </c>
      <c r="V440" s="3" t="n">
        <v>62114.87</v>
      </c>
      <c r="W440" s="42" t="n">
        <v>0.1274</v>
      </c>
      <c r="X440" s="23" t="n">
        <v>40625</v>
      </c>
      <c r="Y440" s="3">
        <f>IF(I440="","No SIC",IFERROR(VLOOKUP(I440,Ref!$A$2:$B$65,2,FALSE()),"Unclassified"))</f>
        <v/>
      </c>
      <c r="Z440" s="3">
        <f>IF(T440="","",IF(T440&lt;12,"Daily","Weekly"))</f>
        <v/>
      </c>
      <c r="AA440" s="3">
        <f>IF(T440="",0,IF(T440&lt;12,T440*Controls!$B$13,T440*5))</f>
        <v/>
      </c>
      <c r="AB440" s="3">
        <f>IF(E440="",0,NETWORKDAYS(E440,Controls!$B$20,Ref!$K$2:$K$42))</f>
        <v/>
      </c>
      <c r="AC440" s="3">
        <f>IF(OR(AF440=1,AND(AA440&gt;0,AB440&gt;=Controls!$B$23*AA440)),1,0)</f>
        <v/>
      </c>
      <c r="AD440" s="3">
        <f>IF(AND(E440&lt;&gt;"",E440&gt;=Controls!$B$21,E440&lt;=Controls!$B$22),1,0)</f>
        <v/>
      </c>
      <c r="AE440" s="3">
        <f>IF(IFERROR(VLOOKUP(D440,Controls!$A$36:$E$46,2,FALSE()),"No")="Yes",1,0)</f>
        <v/>
      </c>
      <c r="AF440" s="3">
        <f>IF(IFERROR(VLOOKUP(D440,Controls!$A$36:$E$46,3,FALSE()),"No")="Yes",1,0)</f>
        <v/>
      </c>
      <c r="AG440" s="3">
        <f>IF(IFERROR(VLOOKUP(D440,Controls!$A$36:$E$46,4,FALSE()),"No")="Yes",1,0)</f>
        <v/>
      </c>
      <c r="AH440" s="3">
        <f>IF(IFERROR(VLOOKUP(D440,Controls!$A$36:$E$46,5,FALSE()),"No")="Yes",1,0)</f>
        <v/>
      </c>
      <c r="AI440" s="3">
        <f>IF(ISNUMBER(MATCH(D440,Controls!$A$36:$A$46,0)),1,0)</f>
        <v/>
      </c>
      <c r="AJ440" s="28">
        <f>Q440-N440</f>
        <v/>
      </c>
      <c r="AK440" s="3">
        <f>IF(AE440=1,MAX(0,N440-Q440),0)</f>
        <v/>
      </c>
      <c r="AL440" s="3">
        <f>IF(OR(V440="",V440=0),0,N440/V440)</f>
        <v/>
      </c>
      <c r="AM440" s="3">
        <f>IF(OR(V440="",V440=0),0,1)</f>
        <v/>
      </c>
      <c r="AN440" s="3">
        <f>IF(OR(E440="",F440=""),0,NETWORKDAYS(E440,F440,Ref!$K$2:$K$42))</f>
        <v/>
      </c>
      <c r="AO440" s="3">
        <f>IF(L440="Renewal",1,0)</f>
        <v/>
      </c>
      <c r="AP440" s="3">
        <f>AC440*AD440</f>
        <v/>
      </c>
      <c r="AQ440" s="3">
        <f>IF(AND(G440&lt;&gt;"",'Historical Score'!$C$6&lt;&gt;""),IF(G440='Historical Score'!$C$6,1,0),0)</f>
        <v/>
      </c>
      <c r="AR440" s="3">
        <f>IF(AND(L440&lt;&gt;"",'Historical Score'!$C$5&lt;&gt;""),IF(L440='Historical Score'!$C$5,1,0),0)</f>
        <v/>
      </c>
      <c r="AS440" s="3">
        <f>IF(AND(Y440&lt;&gt;"",'Historical Score'!$C$7&lt;&gt;""),IF(Y440='Historical Score'!$C$7,1,0),0)</f>
        <v/>
      </c>
      <c r="AT440" s="3">
        <f>IF(AND(K440&lt;&gt;"",'Historical Score'!$C$8&lt;&gt;""),IF(K440='Historical Score'!$C$8,1,0),0)</f>
        <v/>
      </c>
      <c r="AU440" s="3" t="n"/>
      <c r="AV440" s="3" t="n"/>
      <c r="AW440" s="3" t="n"/>
      <c r="AX440" s="3" t="n"/>
      <c r="AY440" s="3" t="n"/>
      <c r="AZ440" s="3" t="n"/>
      <c r="BA440" s="182">
        <f>IF(AD440=1,(AR440*'Historical Score'!$K$29+1-'Historical Score'!$K$29)*(AT440*'Historical Score'!$L$29+1-'Historical Score'!$L$29)*(AS440*'Historical Score'!$M$29+1-'Historical Score'!$M$29)*(AQ440*'Historical Score'!$N$29+1-'Historical Score'!$N$29),0)</f>
        <v/>
      </c>
      <c r="BB440" s="3" t="n"/>
      <c r="BC440" s="3" t="n"/>
    </row>
    <row r="441" ht="15.75" customHeight="1" s="174">
      <c r="A441" s="3" t="inlineStr">
        <is>
          <t>5674174240</t>
        </is>
      </c>
      <c r="B441" s="3" t="inlineStr">
        <is>
          <t>CAROL &amp; COMPANY LLC</t>
        </is>
      </c>
      <c r="C441" s="3" t="inlineStr">
        <is>
          <t>CAROL &amp; COMPANY LLC</t>
        </is>
      </c>
      <c r="D441" s="3" t="inlineStr">
        <is>
          <t>Legal</t>
        </is>
      </c>
      <c r="E441" s="23" t="n">
        <v>46006</v>
      </c>
      <c r="F441" s="23" t="n">
        <v>46234</v>
      </c>
      <c r="G441" s="3" t="n">
        <v>4</v>
      </c>
      <c r="H441" s="3" t="inlineStr">
        <is>
          <t>5399</t>
        </is>
      </c>
      <c r="I441" s="3" t="inlineStr">
        <is>
          <t>53</t>
        </is>
      </c>
      <c r="J441" s="3" t="inlineStr">
        <is>
          <t>FL</t>
        </is>
      </c>
      <c r="K441" s="3" t="inlineStr">
        <is>
          <t>PMF</t>
        </is>
      </c>
      <c r="L441" s="3" t="inlineStr">
        <is>
          <t>New Deal</t>
        </is>
      </c>
      <c r="M441" s="3" t="n">
        <v>1.5</v>
      </c>
      <c r="N441" s="28" t="n">
        <v>15000</v>
      </c>
      <c r="O441" s="28" t="n">
        <v>2100</v>
      </c>
      <c r="P441" s="28" t="n">
        <v>22500</v>
      </c>
      <c r="Q441" s="28" t="n">
        <v>7080.48</v>
      </c>
      <c r="R441" s="28" t="n">
        <v>15419.52</v>
      </c>
      <c r="S441" s="42" t="n">
        <v>0.314688</v>
      </c>
      <c r="T441" s="3" t="n">
        <v>2.787</v>
      </c>
      <c r="U441" s="3" t="n">
        <v>40</v>
      </c>
      <c r="V441" s="3" t="n">
        <v>45042.55</v>
      </c>
      <c r="W441" s="42" t="n">
        <v>0.1226</v>
      </c>
      <c r="X441" s="23" t="n">
        <v>44652</v>
      </c>
      <c r="Y441" s="3">
        <f>IF(I441="","No SIC",IFERROR(VLOOKUP(I441,Ref!$A$2:$B$65,2,FALSE()),"Unclassified"))</f>
        <v/>
      </c>
      <c r="Z441" s="3">
        <f>IF(T441="","",IF(T441&lt;12,"Daily","Weekly"))</f>
        <v/>
      </c>
      <c r="AA441" s="3">
        <f>IF(T441="",0,IF(T441&lt;12,T441*Controls!$B$13,T441*5))</f>
        <v/>
      </c>
      <c r="AB441" s="3">
        <f>IF(E441="",0,NETWORKDAYS(E441,Controls!$B$20,Ref!$K$2:$K$42))</f>
        <v/>
      </c>
      <c r="AC441" s="3">
        <f>IF(OR(AF441=1,AND(AA441&gt;0,AB441&gt;=Controls!$B$23*AA441)),1,0)</f>
        <v/>
      </c>
      <c r="AD441" s="3">
        <f>IF(AND(E441&lt;&gt;"",E441&gt;=Controls!$B$21,E441&lt;=Controls!$B$22),1,0)</f>
        <v/>
      </c>
      <c r="AE441" s="3">
        <f>IF(IFERROR(VLOOKUP(D441,Controls!$A$36:$E$46,2,FALSE()),"No")="Yes",1,0)</f>
        <v/>
      </c>
      <c r="AF441" s="3">
        <f>IF(IFERROR(VLOOKUP(D441,Controls!$A$36:$E$46,3,FALSE()),"No")="Yes",1,0)</f>
        <v/>
      </c>
      <c r="AG441" s="3">
        <f>IF(IFERROR(VLOOKUP(D441,Controls!$A$36:$E$46,4,FALSE()),"No")="Yes",1,0)</f>
        <v/>
      </c>
      <c r="AH441" s="3">
        <f>IF(IFERROR(VLOOKUP(D441,Controls!$A$36:$E$46,5,FALSE()),"No")="Yes",1,0)</f>
        <v/>
      </c>
      <c r="AI441" s="3">
        <f>IF(ISNUMBER(MATCH(D441,Controls!$A$36:$A$46,0)),1,0)</f>
        <v/>
      </c>
      <c r="AJ441" s="28">
        <f>Q441-N441</f>
        <v/>
      </c>
      <c r="AK441" s="3">
        <f>IF(AE441=1,MAX(0,N441-Q441),0)</f>
        <v/>
      </c>
      <c r="AL441" s="3">
        <f>IF(OR(V441="",V441=0),0,N441/V441)</f>
        <v/>
      </c>
      <c r="AM441" s="3">
        <f>IF(OR(V441="",V441=0),0,1)</f>
        <v/>
      </c>
      <c r="AN441" s="3">
        <f>IF(OR(E441="",F441=""),0,NETWORKDAYS(E441,F441,Ref!$K$2:$K$42))</f>
        <v/>
      </c>
      <c r="AO441" s="3">
        <f>IF(L441="Renewal",1,0)</f>
        <v/>
      </c>
      <c r="AP441" s="3">
        <f>AC441*AD441</f>
        <v/>
      </c>
      <c r="AQ441" s="3">
        <f>IF(AND(G441&lt;&gt;"",'Historical Score'!$C$6&lt;&gt;""),IF(G441='Historical Score'!$C$6,1,0),0)</f>
        <v/>
      </c>
      <c r="AR441" s="3">
        <f>IF(AND(L441&lt;&gt;"",'Historical Score'!$C$5&lt;&gt;""),IF(L441='Historical Score'!$C$5,1,0),0)</f>
        <v/>
      </c>
      <c r="AS441" s="3">
        <f>IF(AND(Y441&lt;&gt;"",'Historical Score'!$C$7&lt;&gt;""),IF(Y441='Historical Score'!$C$7,1,0),0)</f>
        <v/>
      </c>
      <c r="AT441" s="3">
        <f>IF(AND(K441&lt;&gt;"",'Historical Score'!$C$8&lt;&gt;""),IF(K441='Historical Score'!$C$8,1,0),0)</f>
        <v/>
      </c>
      <c r="AU441" s="3" t="n"/>
      <c r="AV441" s="3" t="n"/>
      <c r="AW441" s="3" t="n"/>
      <c r="AX441" s="3" t="n"/>
      <c r="AY441" s="3" t="n"/>
      <c r="AZ441" s="3" t="n"/>
      <c r="BA441" s="182">
        <f>IF(AD441=1,(AR441*'Historical Score'!$K$29+1-'Historical Score'!$K$29)*(AT441*'Historical Score'!$L$29+1-'Historical Score'!$L$29)*(AS441*'Historical Score'!$M$29+1-'Historical Score'!$M$29)*(AQ441*'Historical Score'!$N$29+1-'Historical Score'!$N$29),0)</f>
        <v/>
      </c>
      <c r="BB441" s="3" t="n"/>
      <c r="BC441" s="3" t="n"/>
    </row>
    <row r="442" ht="15.75" customHeight="1" s="174">
      <c r="A442" s="3" t="inlineStr">
        <is>
          <t>5674174299</t>
        </is>
      </c>
      <c r="B442" s="3" t="inlineStr">
        <is>
          <t>pivotal key</t>
        </is>
      </c>
      <c r="C442" s="3" t="inlineStr">
        <is>
          <t>PIVOTAL KEY, LLC</t>
        </is>
      </c>
      <c r="D442" s="3" t="inlineStr">
        <is>
          <t>Closed</t>
        </is>
      </c>
      <c r="E442" s="23" t="n">
        <v>46006</v>
      </c>
      <c r="F442" s="23" t="n">
        <v>46125</v>
      </c>
      <c r="G442" s="3" t="n">
        <v>3</v>
      </c>
      <c r="H442" s="3" t="inlineStr">
        <is>
          <t>6311</t>
        </is>
      </c>
      <c r="I442" s="3" t="inlineStr">
        <is>
          <t>63</t>
        </is>
      </c>
      <c r="J442" s="3" t="inlineStr">
        <is>
          <t>FL</t>
        </is>
      </c>
      <c r="K442" s="3" t="inlineStr">
        <is>
          <t>Fundwell</t>
        </is>
      </c>
      <c r="L442" s="3" t="inlineStr">
        <is>
          <t>New Deal</t>
        </is>
      </c>
      <c r="M442" s="3" t="n">
        <v>1.41</v>
      </c>
      <c r="N442" s="28" t="n">
        <v>17000</v>
      </c>
      <c r="O442" s="28" t="n">
        <v>2295</v>
      </c>
      <c r="P442" s="28" t="n">
        <v>23970</v>
      </c>
      <c r="Q442" s="28" t="n">
        <v>23970</v>
      </c>
      <c r="R442" s="28" t="n">
        <v>0</v>
      </c>
      <c r="S442" s="42" t="n">
        <v>1</v>
      </c>
      <c r="T442" s="3" t="n">
        <v>24</v>
      </c>
      <c r="U442" s="3" t="n">
        <v>0</v>
      </c>
      <c r="V442" s="3" t="n">
        <v>133410.6</v>
      </c>
      <c r="W442" s="42" t="n">
        <v>0.0299</v>
      </c>
      <c r="X442" s="23" t="n">
        <v>42340</v>
      </c>
      <c r="Y442" s="3">
        <f>IF(I442="","No SIC",IFERROR(VLOOKUP(I442,Ref!$A$2:$B$65,2,FALSE()),"Unclassified"))</f>
        <v/>
      </c>
      <c r="Z442" s="3">
        <f>IF(T442="","",IF(T442&lt;12,"Daily","Weekly"))</f>
        <v/>
      </c>
      <c r="AA442" s="3">
        <f>IF(T442="",0,IF(T442&lt;12,T442*Controls!$B$13,T442*5))</f>
        <v/>
      </c>
      <c r="AB442" s="3">
        <f>IF(E442="",0,NETWORKDAYS(E442,Controls!$B$20,Ref!$K$2:$K$42))</f>
        <v/>
      </c>
      <c r="AC442" s="3">
        <f>IF(OR(AF442=1,AND(AA442&gt;0,AB442&gt;=Controls!$B$23*AA442)),1,0)</f>
        <v/>
      </c>
      <c r="AD442" s="3">
        <f>IF(AND(E442&lt;&gt;"",E442&gt;=Controls!$B$21,E442&lt;=Controls!$B$22),1,0)</f>
        <v/>
      </c>
      <c r="AE442" s="3">
        <f>IF(IFERROR(VLOOKUP(D442,Controls!$A$36:$E$46,2,FALSE()),"No")="Yes",1,0)</f>
        <v/>
      </c>
      <c r="AF442" s="3">
        <f>IF(IFERROR(VLOOKUP(D442,Controls!$A$36:$E$46,3,FALSE()),"No")="Yes",1,0)</f>
        <v/>
      </c>
      <c r="AG442" s="3">
        <f>IF(IFERROR(VLOOKUP(D442,Controls!$A$36:$E$46,4,FALSE()),"No")="Yes",1,0)</f>
        <v/>
      </c>
      <c r="AH442" s="3">
        <f>IF(IFERROR(VLOOKUP(D442,Controls!$A$36:$E$46,5,FALSE()),"No")="Yes",1,0)</f>
        <v/>
      </c>
      <c r="AI442" s="3">
        <f>IF(ISNUMBER(MATCH(D442,Controls!$A$36:$A$46,0)),1,0)</f>
        <v/>
      </c>
      <c r="AJ442" s="28">
        <f>Q442-N442</f>
        <v/>
      </c>
      <c r="AK442" s="3">
        <f>IF(AE442=1,MAX(0,N442-Q442),0)</f>
        <v/>
      </c>
      <c r="AL442" s="3">
        <f>IF(OR(V442="",V442=0),0,N442/V442)</f>
        <v/>
      </c>
      <c r="AM442" s="3">
        <f>IF(OR(V442="",V442=0),0,1)</f>
        <v/>
      </c>
      <c r="AN442" s="3">
        <f>IF(OR(E442="",F442=""),0,NETWORKDAYS(E442,F442,Ref!$K$2:$K$42))</f>
        <v/>
      </c>
      <c r="AO442" s="3">
        <f>IF(L442="Renewal",1,0)</f>
        <v/>
      </c>
      <c r="AP442" s="3">
        <f>AC442*AD442</f>
        <v/>
      </c>
      <c r="AQ442" s="3">
        <f>IF(AND(G442&lt;&gt;"",'Historical Score'!$C$6&lt;&gt;""),IF(G442='Historical Score'!$C$6,1,0),0)</f>
        <v/>
      </c>
      <c r="AR442" s="3">
        <f>IF(AND(L442&lt;&gt;"",'Historical Score'!$C$5&lt;&gt;""),IF(L442='Historical Score'!$C$5,1,0),0)</f>
        <v/>
      </c>
      <c r="AS442" s="3">
        <f>IF(AND(Y442&lt;&gt;"",'Historical Score'!$C$7&lt;&gt;""),IF(Y442='Historical Score'!$C$7,1,0),0)</f>
        <v/>
      </c>
      <c r="AT442" s="3">
        <f>IF(AND(K442&lt;&gt;"",'Historical Score'!$C$8&lt;&gt;""),IF(K442='Historical Score'!$C$8,1,0),0)</f>
        <v/>
      </c>
      <c r="AU442" s="3" t="n"/>
      <c r="AV442" s="3" t="n"/>
      <c r="AW442" s="3" t="n"/>
      <c r="AX442" s="3" t="n"/>
      <c r="AY442" s="3" t="n"/>
      <c r="AZ442" s="3" t="n"/>
      <c r="BA442" s="182">
        <f>IF(AD442=1,(AR442*'Historical Score'!$K$29+1-'Historical Score'!$K$29)*(AT442*'Historical Score'!$L$29+1-'Historical Score'!$L$29)*(AS442*'Historical Score'!$M$29+1-'Historical Score'!$M$29)*(AQ442*'Historical Score'!$N$29+1-'Historical Score'!$N$29),0)</f>
        <v/>
      </c>
      <c r="BB442" s="3" t="n"/>
      <c r="BC442" s="3" t="n"/>
    </row>
    <row r="443" ht="15.75" customHeight="1" s="174">
      <c r="A443" s="3" t="inlineStr">
        <is>
          <t>5674174308</t>
        </is>
      </c>
      <c r="B443" s="3" t="inlineStr">
        <is>
          <t>America's Best Vacuum LLC</t>
        </is>
      </c>
      <c r="C443" s="3" t="inlineStr">
        <is>
          <t>America's Best Vacuum LLC</t>
        </is>
      </c>
      <c r="D443" s="3" t="inlineStr">
        <is>
          <t>Closed</t>
        </is>
      </c>
      <c r="E443" s="23" t="n">
        <v>46006</v>
      </c>
      <c r="F443" s="23" t="n">
        <v>46122</v>
      </c>
      <c r="G443" s="3" t="n">
        <v>5</v>
      </c>
      <c r="H443" s="3" t="inlineStr">
        <is>
          <t>5999</t>
        </is>
      </c>
      <c r="I443" s="3" t="inlineStr">
        <is>
          <t>59</t>
        </is>
      </c>
      <c r="J443" s="3" t="inlineStr">
        <is>
          <t>TX</t>
        </is>
      </c>
      <c r="K443" s="3" t="inlineStr">
        <is>
          <t>Westwood</t>
        </is>
      </c>
      <c r="L443" s="3" t="inlineStr">
        <is>
          <t>New Deal</t>
        </is>
      </c>
      <c r="M443" s="3" t="n">
        <v>1.5</v>
      </c>
      <c r="N443" s="28" t="n">
        <v>20000</v>
      </c>
      <c r="O443" s="28" t="n">
        <v>2800</v>
      </c>
      <c r="P443" s="28" t="n">
        <v>30000</v>
      </c>
      <c r="Q443" s="28" t="n">
        <v>30000</v>
      </c>
      <c r="R443" s="28" t="n">
        <v>0</v>
      </c>
      <c r="S443" s="42" t="n">
        <v>1</v>
      </c>
      <c r="T443" s="3" t="n">
        <v>2.623</v>
      </c>
      <c r="U443" s="3" t="n">
        <v>0</v>
      </c>
      <c r="V443" s="3" t="n">
        <v>98681.22</v>
      </c>
      <c r="W443" s="42" t="n">
        <v>0.0793</v>
      </c>
      <c r="X443" s="23" t="n">
        <v>36739</v>
      </c>
      <c r="Y443" s="3">
        <f>IF(I443="","No SIC",IFERROR(VLOOKUP(I443,Ref!$A$2:$B$65,2,FALSE()),"Unclassified"))</f>
        <v/>
      </c>
      <c r="Z443" s="3">
        <f>IF(T443="","",IF(T443&lt;12,"Daily","Weekly"))</f>
        <v/>
      </c>
      <c r="AA443" s="3">
        <f>IF(T443="",0,IF(T443&lt;12,T443*Controls!$B$13,T443*5))</f>
        <v/>
      </c>
      <c r="AB443" s="3">
        <f>IF(E443="",0,NETWORKDAYS(E443,Controls!$B$20,Ref!$K$2:$K$42))</f>
        <v/>
      </c>
      <c r="AC443" s="3">
        <f>IF(OR(AF443=1,AND(AA443&gt;0,AB443&gt;=Controls!$B$23*AA443)),1,0)</f>
        <v/>
      </c>
      <c r="AD443" s="3">
        <f>IF(AND(E443&lt;&gt;"",E443&gt;=Controls!$B$21,E443&lt;=Controls!$B$22),1,0)</f>
        <v/>
      </c>
      <c r="AE443" s="3">
        <f>IF(IFERROR(VLOOKUP(D443,Controls!$A$36:$E$46,2,FALSE()),"No")="Yes",1,0)</f>
        <v/>
      </c>
      <c r="AF443" s="3">
        <f>IF(IFERROR(VLOOKUP(D443,Controls!$A$36:$E$46,3,FALSE()),"No")="Yes",1,0)</f>
        <v/>
      </c>
      <c r="AG443" s="3">
        <f>IF(IFERROR(VLOOKUP(D443,Controls!$A$36:$E$46,4,FALSE()),"No")="Yes",1,0)</f>
        <v/>
      </c>
      <c r="AH443" s="3">
        <f>IF(IFERROR(VLOOKUP(D443,Controls!$A$36:$E$46,5,FALSE()),"No")="Yes",1,0)</f>
        <v/>
      </c>
      <c r="AI443" s="3">
        <f>IF(ISNUMBER(MATCH(D443,Controls!$A$36:$A$46,0)),1,0)</f>
        <v/>
      </c>
      <c r="AJ443" s="28">
        <f>Q443-N443</f>
        <v/>
      </c>
      <c r="AK443" s="3">
        <f>IF(AE443=1,MAX(0,N443-Q443),0)</f>
        <v/>
      </c>
      <c r="AL443" s="3">
        <f>IF(OR(V443="",V443=0),0,N443/V443)</f>
        <v/>
      </c>
      <c r="AM443" s="3">
        <f>IF(OR(V443="",V443=0),0,1)</f>
        <v/>
      </c>
      <c r="AN443" s="3">
        <f>IF(OR(E443="",F443=""),0,NETWORKDAYS(E443,F443,Ref!$K$2:$K$42))</f>
        <v/>
      </c>
      <c r="AO443" s="3">
        <f>IF(L443="Renewal",1,0)</f>
        <v/>
      </c>
      <c r="AP443" s="3">
        <f>AC443*AD443</f>
        <v/>
      </c>
      <c r="AQ443" s="3">
        <f>IF(AND(G443&lt;&gt;"",'Historical Score'!$C$6&lt;&gt;""),IF(G443='Historical Score'!$C$6,1,0),0)</f>
        <v/>
      </c>
      <c r="AR443" s="3">
        <f>IF(AND(L443&lt;&gt;"",'Historical Score'!$C$5&lt;&gt;""),IF(L443='Historical Score'!$C$5,1,0),0)</f>
        <v/>
      </c>
      <c r="AS443" s="3">
        <f>IF(AND(Y443&lt;&gt;"",'Historical Score'!$C$7&lt;&gt;""),IF(Y443='Historical Score'!$C$7,1,0),0)</f>
        <v/>
      </c>
      <c r="AT443" s="3">
        <f>IF(AND(K443&lt;&gt;"",'Historical Score'!$C$8&lt;&gt;""),IF(K443='Historical Score'!$C$8,1,0),0)</f>
        <v/>
      </c>
      <c r="AU443" s="3" t="n"/>
      <c r="AV443" s="3" t="n"/>
      <c r="AW443" s="3" t="n"/>
      <c r="AX443" s="3" t="n"/>
      <c r="AY443" s="3" t="n"/>
      <c r="AZ443" s="3" t="n"/>
      <c r="BA443" s="182">
        <f>IF(AD443=1,(AR443*'Historical Score'!$K$29+1-'Historical Score'!$K$29)*(AT443*'Historical Score'!$L$29+1-'Historical Score'!$L$29)*(AS443*'Historical Score'!$M$29+1-'Historical Score'!$M$29)*(AQ443*'Historical Score'!$N$29+1-'Historical Score'!$N$29),0)</f>
        <v/>
      </c>
      <c r="BB443" s="3" t="n"/>
      <c r="BC443" s="3" t="n"/>
    </row>
    <row r="444" ht="15.75" customHeight="1" s="174">
      <c r="A444" s="3" t="inlineStr">
        <is>
          <t>5674174336</t>
        </is>
      </c>
      <c r="B444" s="3" t="inlineStr">
        <is>
          <t>SOUTH CITY SHOP LLC</t>
        </is>
      </c>
      <c r="C444" s="3" t="inlineStr">
        <is>
          <t>SOUTH CITY SHOP LLC</t>
        </is>
      </c>
      <c r="D444" s="3" t="inlineStr">
        <is>
          <t>Closed</t>
        </is>
      </c>
      <c r="E444" s="23" t="n">
        <v>46007</v>
      </c>
      <c r="F444" s="23" t="n">
        <v>46169</v>
      </c>
      <c r="G444" s="3" t="n">
        <v>2</v>
      </c>
      <c r="H444" s="3" t="inlineStr">
        <is>
          <t>5399</t>
        </is>
      </c>
      <c r="I444" s="3" t="inlineStr">
        <is>
          <t>53</t>
        </is>
      </c>
      <c r="J444" s="3" t="inlineStr">
        <is>
          <t>GA</t>
        </is>
      </c>
      <c r="K444" s="3" t="inlineStr">
        <is>
          <t>Llama Loan</t>
        </is>
      </c>
      <c r="L444" s="3" t="inlineStr">
        <is>
          <t>New Deal</t>
        </is>
      </c>
      <c r="M444" s="3" t="n">
        <v>1.35</v>
      </c>
      <c r="N444" s="28" t="n">
        <v>7000</v>
      </c>
      <c r="O444" s="28" t="n">
        <v>490</v>
      </c>
      <c r="P444" s="28" t="n">
        <v>9450</v>
      </c>
      <c r="Q444" s="28" t="n">
        <v>9450</v>
      </c>
      <c r="R444" s="28" t="n">
        <v>0</v>
      </c>
      <c r="S444" s="42" t="n">
        <v>1</v>
      </c>
      <c r="T444" s="3" t="n">
        <v>3.607</v>
      </c>
      <c r="U444" s="3" t="n">
        <v>1</v>
      </c>
      <c r="V444" s="3" t="n">
        <v>23892.05</v>
      </c>
      <c r="W444" s="42" t="n">
        <v>0.0755</v>
      </c>
      <c r="X444" s="23" t="n">
        <v>44520</v>
      </c>
      <c r="Y444" s="3">
        <f>IF(I444="","No SIC",IFERROR(VLOOKUP(I444,Ref!$A$2:$B$65,2,FALSE()),"Unclassified"))</f>
        <v/>
      </c>
      <c r="Z444" s="3">
        <f>IF(T444="","",IF(T444&lt;12,"Daily","Weekly"))</f>
        <v/>
      </c>
      <c r="AA444" s="3">
        <f>IF(T444="",0,IF(T444&lt;12,T444*Controls!$B$13,T444*5))</f>
        <v/>
      </c>
      <c r="AB444" s="3">
        <f>IF(E444="",0,NETWORKDAYS(E444,Controls!$B$20,Ref!$K$2:$K$42))</f>
        <v/>
      </c>
      <c r="AC444" s="3">
        <f>IF(OR(AF444=1,AND(AA444&gt;0,AB444&gt;=Controls!$B$23*AA444)),1,0)</f>
        <v/>
      </c>
      <c r="AD444" s="3">
        <f>IF(AND(E444&lt;&gt;"",E444&gt;=Controls!$B$21,E444&lt;=Controls!$B$22),1,0)</f>
        <v/>
      </c>
      <c r="AE444" s="3">
        <f>IF(IFERROR(VLOOKUP(D444,Controls!$A$36:$E$46,2,FALSE()),"No")="Yes",1,0)</f>
        <v/>
      </c>
      <c r="AF444" s="3">
        <f>IF(IFERROR(VLOOKUP(D444,Controls!$A$36:$E$46,3,FALSE()),"No")="Yes",1,0)</f>
        <v/>
      </c>
      <c r="AG444" s="3">
        <f>IF(IFERROR(VLOOKUP(D444,Controls!$A$36:$E$46,4,FALSE()),"No")="Yes",1,0)</f>
        <v/>
      </c>
      <c r="AH444" s="3">
        <f>IF(IFERROR(VLOOKUP(D444,Controls!$A$36:$E$46,5,FALSE()),"No")="Yes",1,0)</f>
        <v/>
      </c>
      <c r="AI444" s="3">
        <f>IF(ISNUMBER(MATCH(D444,Controls!$A$36:$A$46,0)),1,0)</f>
        <v/>
      </c>
      <c r="AJ444" s="28">
        <f>Q444-N444</f>
        <v/>
      </c>
      <c r="AK444" s="3">
        <f>IF(AE444=1,MAX(0,N444-Q444),0)</f>
        <v/>
      </c>
      <c r="AL444" s="3">
        <f>IF(OR(V444="",V444=0),0,N444/V444)</f>
        <v/>
      </c>
      <c r="AM444" s="3">
        <f>IF(OR(V444="",V444=0),0,1)</f>
        <v/>
      </c>
      <c r="AN444" s="3">
        <f>IF(OR(E444="",F444=""),0,NETWORKDAYS(E444,F444,Ref!$K$2:$K$42))</f>
        <v/>
      </c>
      <c r="AO444" s="3">
        <f>IF(L444="Renewal",1,0)</f>
        <v/>
      </c>
      <c r="AP444" s="3">
        <f>AC444*AD444</f>
        <v/>
      </c>
      <c r="AQ444" s="3">
        <f>IF(AND(G444&lt;&gt;"",'Historical Score'!$C$6&lt;&gt;""),IF(G444='Historical Score'!$C$6,1,0),0)</f>
        <v/>
      </c>
      <c r="AR444" s="3">
        <f>IF(AND(L444&lt;&gt;"",'Historical Score'!$C$5&lt;&gt;""),IF(L444='Historical Score'!$C$5,1,0),0)</f>
        <v/>
      </c>
      <c r="AS444" s="3">
        <f>IF(AND(Y444&lt;&gt;"",'Historical Score'!$C$7&lt;&gt;""),IF(Y444='Historical Score'!$C$7,1,0),0)</f>
        <v/>
      </c>
      <c r="AT444" s="3">
        <f>IF(AND(K444&lt;&gt;"",'Historical Score'!$C$8&lt;&gt;""),IF(K444='Historical Score'!$C$8,1,0),0)</f>
        <v/>
      </c>
      <c r="AU444" s="3" t="n"/>
      <c r="AV444" s="3" t="n"/>
      <c r="AW444" s="3" t="n"/>
      <c r="AX444" s="3" t="n"/>
      <c r="AY444" s="3" t="n"/>
      <c r="AZ444" s="3" t="n"/>
      <c r="BA444" s="182">
        <f>IF(AD444=1,(AR444*'Historical Score'!$K$29+1-'Historical Score'!$K$29)*(AT444*'Historical Score'!$L$29+1-'Historical Score'!$L$29)*(AS444*'Historical Score'!$M$29+1-'Historical Score'!$M$29)*(AQ444*'Historical Score'!$N$29+1-'Historical Score'!$N$29),0)</f>
        <v/>
      </c>
      <c r="BB444" s="3" t="n"/>
      <c r="BC444" s="3" t="n"/>
    </row>
    <row r="445" ht="15.75" customHeight="1" s="174">
      <c r="A445" s="3" t="inlineStr">
        <is>
          <t>5674174341</t>
        </is>
      </c>
      <c r="B445" s="3" t="inlineStr">
        <is>
          <t>Triple D Financial Inc</t>
        </is>
      </c>
      <c r="C445" s="3" t="inlineStr">
        <is>
          <t>Triple D Financial Inc</t>
        </is>
      </c>
      <c r="D445" s="3" t="inlineStr">
        <is>
          <t>Closed/NSF</t>
        </is>
      </c>
      <c r="E445" s="23" t="n">
        <v>46007</v>
      </c>
      <c r="F445" s="23" t="n">
        <v>46225</v>
      </c>
      <c r="G445" s="3" t="n">
        <v>2</v>
      </c>
      <c r="H445" s="3" t="inlineStr">
        <is>
          <t>7291</t>
        </is>
      </c>
      <c r="I445" s="3" t="inlineStr">
        <is>
          <t>72</t>
        </is>
      </c>
      <c r="J445" s="3" t="inlineStr">
        <is>
          <t>TX</t>
        </is>
      </c>
      <c r="K445" s="3" t="inlineStr">
        <is>
          <t>Fundwell</t>
        </is>
      </c>
      <c r="L445" s="3" t="inlineStr">
        <is>
          <t>Renewal</t>
        </is>
      </c>
      <c r="M445" s="3" t="n">
        <v>1.41</v>
      </c>
      <c r="N445" s="28" t="n">
        <v>40000</v>
      </c>
      <c r="O445" s="28" t="n">
        <v>5400</v>
      </c>
      <c r="P445" s="28" t="n">
        <v>56400</v>
      </c>
      <c r="Q445" s="28" t="n">
        <v>56400</v>
      </c>
      <c r="R445" s="28" t="n">
        <v>0</v>
      </c>
      <c r="S445" s="42" t="n">
        <v>1</v>
      </c>
      <c r="T445" s="3" t="n">
        <v>28</v>
      </c>
      <c r="U445" s="3" t="n">
        <v>3</v>
      </c>
      <c r="V445" s="3" t="n">
        <v>64826.4</v>
      </c>
      <c r="W445" s="42" t="n">
        <v>0.1726</v>
      </c>
      <c r="X445" s="23" t="n">
        <v>44490</v>
      </c>
      <c r="Y445" s="3">
        <f>IF(I445="","No SIC",IFERROR(VLOOKUP(I445,Ref!$A$2:$B$65,2,FALSE()),"Unclassified"))</f>
        <v/>
      </c>
      <c r="Z445" s="3">
        <f>IF(T445="","",IF(T445&lt;12,"Daily","Weekly"))</f>
        <v/>
      </c>
      <c r="AA445" s="3">
        <f>IF(T445="",0,IF(T445&lt;12,T445*Controls!$B$13,T445*5))</f>
        <v/>
      </c>
      <c r="AB445" s="3">
        <f>IF(E445="",0,NETWORKDAYS(E445,Controls!$B$20,Ref!$K$2:$K$42))</f>
        <v/>
      </c>
      <c r="AC445" s="3">
        <f>IF(OR(AF445=1,AND(AA445&gt;0,AB445&gt;=Controls!$B$23*AA445)),1,0)</f>
        <v/>
      </c>
      <c r="AD445" s="3">
        <f>IF(AND(E445&lt;&gt;"",E445&gt;=Controls!$B$21,E445&lt;=Controls!$B$22),1,0)</f>
        <v/>
      </c>
      <c r="AE445" s="3">
        <f>IF(IFERROR(VLOOKUP(D445,Controls!$A$36:$E$46,2,FALSE()),"No")="Yes",1,0)</f>
        <v/>
      </c>
      <c r="AF445" s="3">
        <f>IF(IFERROR(VLOOKUP(D445,Controls!$A$36:$E$46,3,FALSE()),"No")="Yes",1,0)</f>
        <v/>
      </c>
      <c r="AG445" s="3">
        <f>IF(IFERROR(VLOOKUP(D445,Controls!$A$36:$E$46,4,FALSE()),"No")="Yes",1,0)</f>
        <v/>
      </c>
      <c r="AH445" s="3">
        <f>IF(IFERROR(VLOOKUP(D445,Controls!$A$36:$E$46,5,FALSE()),"No")="Yes",1,0)</f>
        <v/>
      </c>
      <c r="AI445" s="3">
        <f>IF(ISNUMBER(MATCH(D445,Controls!$A$36:$A$46,0)),1,0)</f>
        <v/>
      </c>
      <c r="AJ445" s="28">
        <f>Q445-N445</f>
        <v/>
      </c>
      <c r="AK445" s="3">
        <f>IF(AE445=1,MAX(0,N445-Q445),0)</f>
        <v/>
      </c>
      <c r="AL445" s="3">
        <f>IF(OR(V445="",V445=0),0,N445/V445)</f>
        <v/>
      </c>
      <c r="AM445" s="3">
        <f>IF(OR(V445="",V445=0),0,1)</f>
        <v/>
      </c>
      <c r="AN445" s="3">
        <f>IF(OR(E445="",F445=""),0,NETWORKDAYS(E445,F445,Ref!$K$2:$K$42))</f>
        <v/>
      </c>
      <c r="AO445" s="3">
        <f>IF(L445="Renewal",1,0)</f>
        <v/>
      </c>
      <c r="AP445" s="3">
        <f>AC445*AD445</f>
        <v/>
      </c>
      <c r="AQ445" s="3">
        <f>IF(AND(G445&lt;&gt;"",'Historical Score'!$C$6&lt;&gt;""),IF(G445='Historical Score'!$C$6,1,0),0)</f>
        <v/>
      </c>
      <c r="AR445" s="3">
        <f>IF(AND(L445&lt;&gt;"",'Historical Score'!$C$5&lt;&gt;""),IF(L445='Historical Score'!$C$5,1,0),0)</f>
        <v/>
      </c>
      <c r="AS445" s="3">
        <f>IF(AND(Y445&lt;&gt;"",'Historical Score'!$C$7&lt;&gt;""),IF(Y445='Historical Score'!$C$7,1,0),0)</f>
        <v/>
      </c>
      <c r="AT445" s="3">
        <f>IF(AND(K445&lt;&gt;"",'Historical Score'!$C$8&lt;&gt;""),IF(K445='Historical Score'!$C$8,1,0),0)</f>
        <v/>
      </c>
      <c r="AU445" s="3" t="n"/>
      <c r="AV445" s="3" t="n"/>
      <c r="AW445" s="3" t="n"/>
      <c r="AX445" s="3" t="n"/>
      <c r="AY445" s="3" t="n"/>
      <c r="AZ445" s="3" t="n"/>
      <c r="BA445" s="182">
        <f>IF(AD445=1,(AR445*'Historical Score'!$K$29+1-'Historical Score'!$K$29)*(AT445*'Historical Score'!$L$29+1-'Historical Score'!$L$29)*(AS445*'Historical Score'!$M$29+1-'Historical Score'!$M$29)*(AQ445*'Historical Score'!$N$29+1-'Historical Score'!$N$29),0)</f>
        <v/>
      </c>
      <c r="BB445" s="3" t="n"/>
      <c r="BC445" s="3" t="n"/>
    </row>
    <row r="446" ht="15.75" customHeight="1" s="174">
      <c r="A446" s="3" t="inlineStr">
        <is>
          <t>5674174352</t>
        </is>
      </c>
      <c r="B446" s="3" t="inlineStr">
        <is>
          <t>EVERSAFE</t>
        </is>
      </c>
      <c r="C446" s="3" t="inlineStr">
        <is>
          <t>ElderScan LLC</t>
        </is>
      </c>
      <c r="D446" s="3" t="inlineStr">
        <is>
          <t>Closed</t>
        </is>
      </c>
      <c r="E446" s="23" t="n">
        <v>46007</v>
      </c>
      <c r="F446" s="23" t="n">
        <v>46098</v>
      </c>
      <c r="G446" s="3" t="n">
        <v>5</v>
      </c>
      <c r="H446" s="3" t="inlineStr">
        <is>
          <t>7382</t>
        </is>
      </c>
      <c r="I446" s="3" t="inlineStr">
        <is>
          <t>73</t>
        </is>
      </c>
      <c r="J446" s="3" t="inlineStr">
        <is>
          <t>MD</t>
        </is>
      </c>
      <c r="K446" s="3" t="inlineStr">
        <is>
          <t>PMF</t>
        </is>
      </c>
      <c r="L446" s="3" t="inlineStr">
        <is>
          <t>Renewal</t>
        </is>
      </c>
      <c r="M446" s="3" t="n">
        <v>1.46</v>
      </c>
      <c r="N446" s="28" t="n">
        <v>60000</v>
      </c>
      <c r="O446" s="28" t="n">
        <v>7200</v>
      </c>
      <c r="P446" s="28" t="n">
        <v>87600</v>
      </c>
      <c r="Q446" s="28" t="n">
        <v>87600</v>
      </c>
      <c r="R446" s="28" t="n">
        <v>0</v>
      </c>
      <c r="S446" s="42" t="n">
        <v>1</v>
      </c>
      <c r="T446" s="3" t="n">
        <v>30</v>
      </c>
      <c r="U446" s="3" t="n">
        <v>0</v>
      </c>
      <c r="V446" s="3" t="n">
        <v>127582.63</v>
      </c>
      <c r="W446" s="42" t="n">
        <v>0.4806</v>
      </c>
      <c r="X446" s="23" t="n">
        <v>40920</v>
      </c>
      <c r="Y446" s="3">
        <f>IF(I446="","No SIC",IFERROR(VLOOKUP(I446,Ref!$A$2:$B$65,2,FALSE()),"Unclassified"))</f>
        <v/>
      </c>
      <c r="Z446" s="3">
        <f>IF(T446="","",IF(T446&lt;12,"Daily","Weekly"))</f>
        <v/>
      </c>
      <c r="AA446" s="3">
        <f>IF(T446="",0,IF(T446&lt;12,T446*Controls!$B$13,T446*5))</f>
        <v/>
      </c>
      <c r="AB446" s="3">
        <f>IF(E446="",0,NETWORKDAYS(E446,Controls!$B$20,Ref!$K$2:$K$42))</f>
        <v/>
      </c>
      <c r="AC446" s="3">
        <f>IF(OR(AF446=1,AND(AA446&gt;0,AB446&gt;=Controls!$B$23*AA446)),1,0)</f>
        <v/>
      </c>
      <c r="AD446" s="3">
        <f>IF(AND(E446&lt;&gt;"",E446&gt;=Controls!$B$21,E446&lt;=Controls!$B$22),1,0)</f>
        <v/>
      </c>
      <c r="AE446" s="3">
        <f>IF(IFERROR(VLOOKUP(D446,Controls!$A$36:$E$46,2,FALSE()),"No")="Yes",1,0)</f>
        <v/>
      </c>
      <c r="AF446" s="3">
        <f>IF(IFERROR(VLOOKUP(D446,Controls!$A$36:$E$46,3,FALSE()),"No")="Yes",1,0)</f>
        <v/>
      </c>
      <c r="AG446" s="3">
        <f>IF(IFERROR(VLOOKUP(D446,Controls!$A$36:$E$46,4,FALSE()),"No")="Yes",1,0)</f>
        <v/>
      </c>
      <c r="AH446" s="3">
        <f>IF(IFERROR(VLOOKUP(D446,Controls!$A$36:$E$46,5,FALSE()),"No")="Yes",1,0)</f>
        <v/>
      </c>
      <c r="AI446" s="3">
        <f>IF(ISNUMBER(MATCH(D446,Controls!$A$36:$A$46,0)),1,0)</f>
        <v/>
      </c>
      <c r="AJ446" s="28">
        <f>Q446-N446</f>
        <v/>
      </c>
      <c r="AK446" s="3">
        <f>IF(AE446=1,MAX(0,N446-Q446),0)</f>
        <v/>
      </c>
      <c r="AL446" s="3">
        <f>IF(OR(V446="",V446=0),0,N446/V446)</f>
        <v/>
      </c>
      <c r="AM446" s="3">
        <f>IF(OR(V446="",V446=0),0,1)</f>
        <v/>
      </c>
      <c r="AN446" s="3">
        <f>IF(OR(E446="",F446=""),0,NETWORKDAYS(E446,F446,Ref!$K$2:$K$42))</f>
        <v/>
      </c>
      <c r="AO446" s="3">
        <f>IF(L446="Renewal",1,0)</f>
        <v/>
      </c>
      <c r="AP446" s="3">
        <f>AC446*AD446</f>
        <v/>
      </c>
      <c r="AQ446" s="3">
        <f>IF(AND(G446&lt;&gt;"",'Historical Score'!$C$6&lt;&gt;""),IF(G446='Historical Score'!$C$6,1,0),0)</f>
        <v/>
      </c>
      <c r="AR446" s="3">
        <f>IF(AND(L446&lt;&gt;"",'Historical Score'!$C$5&lt;&gt;""),IF(L446='Historical Score'!$C$5,1,0),0)</f>
        <v/>
      </c>
      <c r="AS446" s="3">
        <f>IF(AND(Y446&lt;&gt;"",'Historical Score'!$C$7&lt;&gt;""),IF(Y446='Historical Score'!$C$7,1,0),0)</f>
        <v/>
      </c>
      <c r="AT446" s="3">
        <f>IF(AND(K446&lt;&gt;"",'Historical Score'!$C$8&lt;&gt;""),IF(K446='Historical Score'!$C$8,1,0),0)</f>
        <v/>
      </c>
      <c r="AU446" s="3" t="n"/>
      <c r="AV446" s="3" t="n"/>
      <c r="AW446" s="3" t="n"/>
      <c r="AX446" s="3" t="n"/>
      <c r="AY446" s="3" t="n"/>
      <c r="AZ446" s="3" t="n"/>
      <c r="BA446" s="182">
        <f>IF(AD446=1,(AR446*'Historical Score'!$K$29+1-'Historical Score'!$K$29)*(AT446*'Historical Score'!$L$29+1-'Historical Score'!$L$29)*(AS446*'Historical Score'!$M$29+1-'Historical Score'!$M$29)*(AQ446*'Historical Score'!$N$29+1-'Historical Score'!$N$29),0)</f>
        <v/>
      </c>
      <c r="BB446" s="3" t="n"/>
      <c r="BC446" s="3" t="n"/>
    </row>
    <row r="447" ht="15.75" customHeight="1" s="174">
      <c r="A447" s="3" t="inlineStr">
        <is>
          <t>5674174365</t>
        </is>
      </c>
      <c r="B447" s="3" t="inlineStr">
        <is>
          <t>DBA EL TACO LOCO AL VAPOR</t>
        </is>
      </c>
      <c r="C447" s="3" t="inlineStr">
        <is>
          <t>DBA EL TACO LOCO AL VAPOR</t>
        </is>
      </c>
      <c r="D447" s="3" t="inlineStr">
        <is>
          <t>Closed</t>
        </is>
      </c>
      <c r="E447" s="23" t="n">
        <v>46007</v>
      </c>
      <c r="F447" s="23" t="n">
        <v>46120</v>
      </c>
      <c r="G447" s="3" t="n">
        <v>1</v>
      </c>
      <c r="H447" s="3" t="inlineStr">
        <is>
          <t>5812</t>
        </is>
      </c>
      <c r="I447" s="3" t="inlineStr">
        <is>
          <t>58</t>
        </is>
      </c>
      <c r="J447" s="3" t="inlineStr">
        <is>
          <t>TX</t>
        </is>
      </c>
      <c r="K447" s="3" t="inlineStr">
        <is>
          <t>Westwood</t>
        </is>
      </c>
      <c r="L447" s="3" t="inlineStr">
        <is>
          <t>Renewal</t>
        </is>
      </c>
      <c r="M447" s="3" t="n">
        <v>1.49</v>
      </c>
      <c r="N447" s="28" t="n">
        <v>20000</v>
      </c>
      <c r="O447" s="28" t="n">
        <v>2800</v>
      </c>
      <c r="P447" s="28" t="n">
        <v>29800</v>
      </c>
      <c r="Q447" s="28" t="n">
        <v>29800</v>
      </c>
      <c r="R447" s="28" t="n">
        <v>0</v>
      </c>
      <c r="S447" s="42" t="n">
        <v>1</v>
      </c>
      <c r="T447" s="3" t="n">
        <v>3.934</v>
      </c>
      <c r="U447" s="3" t="n">
        <v>0</v>
      </c>
      <c r="V447" s="3" t="n">
        <v>52000</v>
      </c>
      <c r="W447" s="42" t="n">
        <v>0.1043</v>
      </c>
      <c r="X447" s="23" t="n">
        <v>44977</v>
      </c>
      <c r="Y447" s="3">
        <f>IF(I447="","No SIC",IFERROR(VLOOKUP(I447,Ref!$A$2:$B$65,2,FALSE()),"Unclassified"))</f>
        <v/>
      </c>
      <c r="Z447" s="3">
        <f>IF(T447="","",IF(T447&lt;12,"Daily","Weekly"))</f>
        <v/>
      </c>
      <c r="AA447" s="3">
        <f>IF(T447="",0,IF(T447&lt;12,T447*Controls!$B$13,T447*5))</f>
        <v/>
      </c>
      <c r="AB447" s="3">
        <f>IF(E447="",0,NETWORKDAYS(E447,Controls!$B$20,Ref!$K$2:$K$42))</f>
        <v/>
      </c>
      <c r="AC447" s="3">
        <f>IF(OR(AF447=1,AND(AA447&gt;0,AB447&gt;=Controls!$B$23*AA447)),1,0)</f>
        <v/>
      </c>
      <c r="AD447" s="3">
        <f>IF(AND(E447&lt;&gt;"",E447&gt;=Controls!$B$21,E447&lt;=Controls!$B$22),1,0)</f>
        <v/>
      </c>
      <c r="AE447" s="3">
        <f>IF(IFERROR(VLOOKUP(D447,Controls!$A$36:$E$46,2,FALSE()),"No")="Yes",1,0)</f>
        <v/>
      </c>
      <c r="AF447" s="3">
        <f>IF(IFERROR(VLOOKUP(D447,Controls!$A$36:$E$46,3,FALSE()),"No")="Yes",1,0)</f>
        <v/>
      </c>
      <c r="AG447" s="3">
        <f>IF(IFERROR(VLOOKUP(D447,Controls!$A$36:$E$46,4,FALSE()),"No")="Yes",1,0)</f>
        <v/>
      </c>
      <c r="AH447" s="3">
        <f>IF(IFERROR(VLOOKUP(D447,Controls!$A$36:$E$46,5,FALSE()),"No")="Yes",1,0)</f>
        <v/>
      </c>
      <c r="AI447" s="3">
        <f>IF(ISNUMBER(MATCH(D447,Controls!$A$36:$A$46,0)),1,0)</f>
        <v/>
      </c>
      <c r="AJ447" s="28">
        <f>Q447-N447</f>
        <v/>
      </c>
      <c r="AK447" s="3">
        <f>IF(AE447=1,MAX(0,N447-Q447),0)</f>
        <v/>
      </c>
      <c r="AL447" s="3">
        <f>IF(OR(V447="",V447=0),0,N447/V447)</f>
        <v/>
      </c>
      <c r="AM447" s="3">
        <f>IF(OR(V447="",V447=0),0,1)</f>
        <v/>
      </c>
      <c r="AN447" s="3">
        <f>IF(OR(E447="",F447=""),0,NETWORKDAYS(E447,F447,Ref!$K$2:$K$42))</f>
        <v/>
      </c>
      <c r="AO447" s="3">
        <f>IF(L447="Renewal",1,0)</f>
        <v/>
      </c>
      <c r="AP447" s="3">
        <f>AC447*AD447</f>
        <v/>
      </c>
      <c r="AQ447" s="3">
        <f>IF(AND(G447&lt;&gt;"",'Historical Score'!$C$6&lt;&gt;""),IF(G447='Historical Score'!$C$6,1,0),0)</f>
        <v/>
      </c>
      <c r="AR447" s="3">
        <f>IF(AND(L447&lt;&gt;"",'Historical Score'!$C$5&lt;&gt;""),IF(L447='Historical Score'!$C$5,1,0),0)</f>
        <v/>
      </c>
      <c r="AS447" s="3">
        <f>IF(AND(Y447&lt;&gt;"",'Historical Score'!$C$7&lt;&gt;""),IF(Y447='Historical Score'!$C$7,1,0),0)</f>
        <v/>
      </c>
      <c r="AT447" s="3">
        <f>IF(AND(K447&lt;&gt;"",'Historical Score'!$C$8&lt;&gt;""),IF(K447='Historical Score'!$C$8,1,0),0)</f>
        <v/>
      </c>
      <c r="AU447" s="3" t="n"/>
      <c r="AV447" s="3" t="n"/>
      <c r="AW447" s="3" t="n"/>
      <c r="AX447" s="3" t="n"/>
      <c r="AY447" s="3" t="n"/>
      <c r="AZ447" s="3" t="n"/>
      <c r="BA447" s="182">
        <f>IF(AD447=1,(AR447*'Historical Score'!$K$29+1-'Historical Score'!$K$29)*(AT447*'Historical Score'!$L$29+1-'Historical Score'!$L$29)*(AS447*'Historical Score'!$M$29+1-'Historical Score'!$M$29)*(AQ447*'Historical Score'!$N$29+1-'Historical Score'!$N$29),0)</f>
        <v/>
      </c>
      <c r="BB447" s="3" t="n"/>
      <c r="BC447" s="3" t="n"/>
    </row>
    <row r="448" ht="15.75" customHeight="1" s="174">
      <c r="A448" s="3" t="inlineStr">
        <is>
          <t>5674174367</t>
        </is>
      </c>
      <c r="B448" s="3" t="inlineStr">
        <is>
          <t>Shells and tails</t>
        </is>
      </c>
      <c r="C448" s="3" t="inlineStr">
        <is>
          <t>Shells and tails 2 Geaux</t>
        </is>
      </c>
      <c r="D448" s="3" t="inlineStr">
        <is>
          <t>Closed</t>
        </is>
      </c>
      <c r="E448" s="23" t="n">
        <v>46007</v>
      </c>
      <c r="F448" s="23" t="n">
        <v>46132</v>
      </c>
      <c r="G448" s="3" t="n">
        <v>3</v>
      </c>
      <c r="H448" s="3" t="inlineStr">
        <is>
          <t>5812</t>
        </is>
      </c>
      <c r="I448" s="3" t="inlineStr">
        <is>
          <t>58</t>
        </is>
      </c>
      <c r="J448" s="3" t="inlineStr">
        <is>
          <t>TX</t>
        </is>
      </c>
      <c r="K448" s="3" t="inlineStr">
        <is>
          <t>Bingo advance LLC</t>
        </is>
      </c>
      <c r="L448" s="3" t="inlineStr">
        <is>
          <t>New Deal</t>
        </is>
      </c>
      <c r="M448" s="3" t="n">
        <v>1.45</v>
      </c>
      <c r="N448" s="28" t="n">
        <v>10000</v>
      </c>
      <c r="O448" s="28" t="n">
        <v>1200</v>
      </c>
      <c r="P448" s="28" t="n">
        <v>14500</v>
      </c>
      <c r="Q448" s="28" t="n">
        <v>14500</v>
      </c>
      <c r="R448" s="28" t="n">
        <v>0</v>
      </c>
      <c r="S448" s="42" t="n">
        <v>1</v>
      </c>
      <c r="T448" s="3" t="n">
        <v>2.787</v>
      </c>
      <c r="U448" s="3" t="n">
        <v>1</v>
      </c>
      <c r="V448" s="3" t="n">
        <v>49623.58</v>
      </c>
      <c r="W448" s="42" t="n">
        <v>0.0722</v>
      </c>
      <c r="X448" s="23" t="n">
        <v>42353</v>
      </c>
      <c r="Y448" s="3">
        <f>IF(I448="","No SIC",IFERROR(VLOOKUP(I448,Ref!$A$2:$B$65,2,FALSE()),"Unclassified"))</f>
        <v/>
      </c>
      <c r="Z448" s="3">
        <f>IF(T448="","",IF(T448&lt;12,"Daily","Weekly"))</f>
        <v/>
      </c>
      <c r="AA448" s="3">
        <f>IF(T448="",0,IF(T448&lt;12,T448*Controls!$B$13,T448*5))</f>
        <v/>
      </c>
      <c r="AB448" s="3">
        <f>IF(E448="",0,NETWORKDAYS(E448,Controls!$B$20,Ref!$K$2:$K$42))</f>
        <v/>
      </c>
      <c r="AC448" s="3">
        <f>IF(OR(AF448=1,AND(AA448&gt;0,AB448&gt;=Controls!$B$23*AA448)),1,0)</f>
        <v/>
      </c>
      <c r="AD448" s="3">
        <f>IF(AND(E448&lt;&gt;"",E448&gt;=Controls!$B$21,E448&lt;=Controls!$B$22),1,0)</f>
        <v/>
      </c>
      <c r="AE448" s="3">
        <f>IF(IFERROR(VLOOKUP(D448,Controls!$A$36:$E$46,2,FALSE()),"No")="Yes",1,0)</f>
        <v/>
      </c>
      <c r="AF448" s="3">
        <f>IF(IFERROR(VLOOKUP(D448,Controls!$A$36:$E$46,3,FALSE()),"No")="Yes",1,0)</f>
        <v/>
      </c>
      <c r="AG448" s="3">
        <f>IF(IFERROR(VLOOKUP(D448,Controls!$A$36:$E$46,4,FALSE()),"No")="Yes",1,0)</f>
        <v/>
      </c>
      <c r="AH448" s="3">
        <f>IF(IFERROR(VLOOKUP(D448,Controls!$A$36:$E$46,5,FALSE()),"No")="Yes",1,0)</f>
        <v/>
      </c>
      <c r="AI448" s="3">
        <f>IF(ISNUMBER(MATCH(D448,Controls!$A$36:$A$46,0)),1,0)</f>
        <v/>
      </c>
      <c r="AJ448" s="28">
        <f>Q448-N448</f>
        <v/>
      </c>
      <c r="AK448" s="3">
        <f>IF(AE448=1,MAX(0,N448-Q448),0)</f>
        <v/>
      </c>
      <c r="AL448" s="3">
        <f>IF(OR(V448="",V448=0),0,N448/V448)</f>
        <v/>
      </c>
      <c r="AM448" s="3">
        <f>IF(OR(V448="",V448=0),0,1)</f>
        <v/>
      </c>
      <c r="AN448" s="3">
        <f>IF(OR(E448="",F448=""),0,NETWORKDAYS(E448,F448,Ref!$K$2:$K$42))</f>
        <v/>
      </c>
      <c r="AO448" s="3">
        <f>IF(L448="Renewal",1,0)</f>
        <v/>
      </c>
      <c r="AP448" s="3">
        <f>AC448*AD448</f>
        <v/>
      </c>
      <c r="AQ448" s="3">
        <f>IF(AND(G448&lt;&gt;"",'Historical Score'!$C$6&lt;&gt;""),IF(G448='Historical Score'!$C$6,1,0),0)</f>
        <v/>
      </c>
      <c r="AR448" s="3">
        <f>IF(AND(L448&lt;&gt;"",'Historical Score'!$C$5&lt;&gt;""),IF(L448='Historical Score'!$C$5,1,0),0)</f>
        <v/>
      </c>
      <c r="AS448" s="3">
        <f>IF(AND(Y448&lt;&gt;"",'Historical Score'!$C$7&lt;&gt;""),IF(Y448='Historical Score'!$C$7,1,0),0)</f>
        <v/>
      </c>
      <c r="AT448" s="3">
        <f>IF(AND(K448&lt;&gt;"",'Historical Score'!$C$8&lt;&gt;""),IF(K448='Historical Score'!$C$8,1,0),0)</f>
        <v/>
      </c>
      <c r="AU448" s="3" t="n"/>
      <c r="AV448" s="3" t="n"/>
      <c r="AW448" s="3" t="n"/>
      <c r="AX448" s="3" t="n"/>
      <c r="AY448" s="3" t="n"/>
      <c r="AZ448" s="3" t="n"/>
      <c r="BA448" s="182">
        <f>IF(AD448=1,(AR448*'Historical Score'!$K$29+1-'Historical Score'!$K$29)*(AT448*'Historical Score'!$L$29+1-'Historical Score'!$L$29)*(AS448*'Historical Score'!$M$29+1-'Historical Score'!$M$29)*(AQ448*'Historical Score'!$N$29+1-'Historical Score'!$N$29),0)</f>
        <v/>
      </c>
      <c r="BB448" s="3" t="n"/>
      <c r="BC448" s="3" t="n"/>
    </row>
    <row r="449" ht="15.75" customHeight="1" s="174">
      <c r="A449" s="3" t="inlineStr">
        <is>
          <t>5674174403</t>
        </is>
      </c>
      <c r="B449" s="3" t="inlineStr">
        <is>
          <t>RIVERSIDE AUTOMOTIVE AND TIRE LLC</t>
        </is>
      </c>
      <c r="C449" s="3" t="inlineStr">
        <is>
          <t>RIVERSIDE AUTOMOTIVE AND TIRE LLC</t>
        </is>
      </c>
      <c r="D449" s="3" t="inlineStr">
        <is>
          <t>Closed/NSF</t>
        </is>
      </c>
      <c r="E449" s="23" t="n">
        <v>46007</v>
      </c>
      <c r="F449" s="23" t="n">
        <v>46230</v>
      </c>
      <c r="G449" s="3" t="n">
        <v>5</v>
      </c>
      <c r="H449" s="3" t="inlineStr">
        <is>
          <t>7538</t>
        </is>
      </c>
      <c r="I449" s="3" t="inlineStr">
        <is>
          <t>75</t>
        </is>
      </c>
      <c r="J449" s="3" t="inlineStr">
        <is>
          <t>NC</t>
        </is>
      </c>
      <c r="K449" s="3" t="inlineStr">
        <is>
          <t>GROWTH RATE CAPITAL INC</t>
        </is>
      </c>
      <c r="L449" s="3" t="inlineStr">
        <is>
          <t>New Deal</t>
        </is>
      </c>
      <c r="M449" s="3" t="n">
        <v>1.49</v>
      </c>
      <c r="N449" s="28" t="n">
        <v>20000</v>
      </c>
      <c r="O449" s="28" t="n">
        <v>2800</v>
      </c>
      <c r="P449" s="28" t="n">
        <v>29800</v>
      </c>
      <c r="Q449" s="28" t="n">
        <v>29800</v>
      </c>
      <c r="R449" s="28" t="n">
        <v>0</v>
      </c>
      <c r="S449" s="42" t="n">
        <v>1</v>
      </c>
      <c r="T449" s="3" t="n">
        <v>28</v>
      </c>
      <c r="U449" s="3" t="n">
        <v>1</v>
      </c>
      <c r="V449" s="3" t="n">
        <v>155935.8</v>
      </c>
      <c r="W449" s="42" t="n">
        <v>0.0273</v>
      </c>
      <c r="X449" s="23" t="n"/>
      <c r="Y449" s="3">
        <f>IF(I449="","No SIC",IFERROR(VLOOKUP(I449,Ref!$A$2:$B$65,2,FALSE()),"Unclassified"))</f>
        <v/>
      </c>
      <c r="Z449" s="3">
        <f>IF(T449="","",IF(T449&lt;12,"Daily","Weekly"))</f>
        <v/>
      </c>
      <c r="AA449" s="3">
        <f>IF(T449="",0,IF(T449&lt;12,T449*Controls!$B$13,T449*5))</f>
        <v/>
      </c>
      <c r="AB449" s="3">
        <f>IF(E449="",0,NETWORKDAYS(E449,Controls!$B$20,Ref!$K$2:$K$42))</f>
        <v/>
      </c>
      <c r="AC449" s="3">
        <f>IF(OR(AF449=1,AND(AA449&gt;0,AB449&gt;=Controls!$B$23*AA449)),1,0)</f>
        <v/>
      </c>
      <c r="AD449" s="3">
        <f>IF(AND(E449&lt;&gt;"",E449&gt;=Controls!$B$21,E449&lt;=Controls!$B$22),1,0)</f>
        <v/>
      </c>
      <c r="AE449" s="3">
        <f>IF(IFERROR(VLOOKUP(D449,Controls!$A$36:$E$46,2,FALSE()),"No")="Yes",1,0)</f>
        <v/>
      </c>
      <c r="AF449" s="3">
        <f>IF(IFERROR(VLOOKUP(D449,Controls!$A$36:$E$46,3,FALSE()),"No")="Yes",1,0)</f>
        <v/>
      </c>
      <c r="AG449" s="3">
        <f>IF(IFERROR(VLOOKUP(D449,Controls!$A$36:$E$46,4,FALSE()),"No")="Yes",1,0)</f>
        <v/>
      </c>
      <c r="AH449" s="3">
        <f>IF(IFERROR(VLOOKUP(D449,Controls!$A$36:$E$46,5,FALSE()),"No")="Yes",1,0)</f>
        <v/>
      </c>
      <c r="AI449" s="3">
        <f>IF(ISNUMBER(MATCH(D449,Controls!$A$36:$A$46,0)),1,0)</f>
        <v/>
      </c>
      <c r="AJ449" s="28">
        <f>Q449-N449</f>
        <v/>
      </c>
      <c r="AK449" s="3">
        <f>IF(AE449=1,MAX(0,N449-Q449),0)</f>
        <v/>
      </c>
      <c r="AL449" s="3">
        <f>IF(OR(V449="",V449=0),0,N449/V449)</f>
        <v/>
      </c>
      <c r="AM449" s="3">
        <f>IF(OR(V449="",V449=0),0,1)</f>
        <v/>
      </c>
      <c r="AN449" s="3">
        <f>IF(OR(E449="",F449=""),0,NETWORKDAYS(E449,F449,Ref!$K$2:$K$42))</f>
        <v/>
      </c>
      <c r="AO449" s="3">
        <f>IF(L449="Renewal",1,0)</f>
        <v/>
      </c>
      <c r="AP449" s="3">
        <f>AC449*AD449</f>
        <v/>
      </c>
      <c r="AQ449" s="3">
        <f>IF(AND(G449&lt;&gt;"",'Historical Score'!$C$6&lt;&gt;""),IF(G449='Historical Score'!$C$6,1,0),0)</f>
        <v/>
      </c>
      <c r="AR449" s="3">
        <f>IF(AND(L449&lt;&gt;"",'Historical Score'!$C$5&lt;&gt;""),IF(L449='Historical Score'!$C$5,1,0),0)</f>
        <v/>
      </c>
      <c r="AS449" s="3">
        <f>IF(AND(Y449&lt;&gt;"",'Historical Score'!$C$7&lt;&gt;""),IF(Y449='Historical Score'!$C$7,1,0),0)</f>
        <v/>
      </c>
      <c r="AT449" s="3">
        <f>IF(AND(K449&lt;&gt;"",'Historical Score'!$C$8&lt;&gt;""),IF(K449='Historical Score'!$C$8,1,0),0)</f>
        <v/>
      </c>
      <c r="AU449" s="3" t="n"/>
      <c r="AV449" s="3" t="n"/>
      <c r="AW449" s="3" t="n"/>
      <c r="AX449" s="3" t="n"/>
      <c r="AY449" s="3" t="n"/>
      <c r="AZ449" s="3" t="n"/>
      <c r="BA449" s="182">
        <f>IF(AD449=1,(AR449*'Historical Score'!$K$29+1-'Historical Score'!$K$29)*(AT449*'Historical Score'!$L$29+1-'Historical Score'!$L$29)*(AS449*'Historical Score'!$M$29+1-'Historical Score'!$M$29)*(AQ449*'Historical Score'!$N$29+1-'Historical Score'!$N$29),0)</f>
        <v/>
      </c>
      <c r="BB449" s="3" t="n"/>
      <c r="BC449" s="3" t="n"/>
    </row>
    <row r="450" ht="15.75" customHeight="1" s="174">
      <c r="A450" s="3" t="inlineStr">
        <is>
          <t>5674174433</t>
        </is>
      </c>
      <c r="B450" s="3" t="inlineStr">
        <is>
          <t>Wcs All Immigration Document Service</t>
        </is>
      </c>
      <c r="C450" s="3" t="inlineStr">
        <is>
          <t>WORLD COMPUTER SYSTEMS INC</t>
        </is>
      </c>
      <c r="D450" s="3" t="inlineStr">
        <is>
          <t>Closed</t>
        </is>
      </c>
      <c r="E450" s="23" t="n">
        <v>46007</v>
      </c>
      <c r="F450" s="23" t="n">
        <v>46105</v>
      </c>
      <c r="G450" s="3" t="n">
        <v>2</v>
      </c>
      <c r="H450" s="3" t="inlineStr">
        <is>
          <t>7371</t>
        </is>
      </c>
      <c r="I450" s="3" t="inlineStr">
        <is>
          <t>73</t>
        </is>
      </c>
      <c r="J450" s="3" t="inlineStr">
        <is>
          <t>DC</t>
        </is>
      </c>
      <c r="K450" s="3" t="inlineStr">
        <is>
          <t>LENDCAP SOLUTIONS</t>
        </is>
      </c>
      <c r="L450" s="3" t="inlineStr">
        <is>
          <t>New Deal</t>
        </is>
      </c>
      <c r="M450" s="3" t="n">
        <v>1.499</v>
      </c>
      <c r="N450" s="28" t="n">
        <v>12000</v>
      </c>
      <c r="O450" s="28" t="n">
        <v>1680</v>
      </c>
      <c r="P450" s="28" t="n">
        <v>17988</v>
      </c>
      <c r="Q450" s="28" t="n">
        <v>17988</v>
      </c>
      <c r="R450" s="28" t="n">
        <v>0</v>
      </c>
      <c r="S450" s="42" t="n">
        <v>1</v>
      </c>
      <c r="T450" s="3" t="n">
        <v>1.967</v>
      </c>
      <c r="U450" s="3" t="n">
        <v>4</v>
      </c>
      <c r="V450" s="3" t="n">
        <v>51809.99</v>
      </c>
      <c r="W450" s="42" t="n">
        <v>0.1208</v>
      </c>
      <c r="X450" s="23" t="n"/>
      <c r="Y450" s="3">
        <f>IF(I450="","No SIC",IFERROR(VLOOKUP(I450,Ref!$A$2:$B$65,2,FALSE()),"Unclassified"))</f>
        <v/>
      </c>
      <c r="Z450" s="3">
        <f>IF(T450="","",IF(T450&lt;12,"Daily","Weekly"))</f>
        <v/>
      </c>
      <c r="AA450" s="3">
        <f>IF(T450="",0,IF(T450&lt;12,T450*Controls!$B$13,T450*5))</f>
        <v/>
      </c>
      <c r="AB450" s="3">
        <f>IF(E450="",0,NETWORKDAYS(E450,Controls!$B$20,Ref!$K$2:$K$42))</f>
        <v/>
      </c>
      <c r="AC450" s="3">
        <f>IF(OR(AF450=1,AND(AA450&gt;0,AB450&gt;=Controls!$B$23*AA450)),1,0)</f>
        <v/>
      </c>
      <c r="AD450" s="3">
        <f>IF(AND(E450&lt;&gt;"",E450&gt;=Controls!$B$21,E450&lt;=Controls!$B$22),1,0)</f>
        <v/>
      </c>
      <c r="AE450" s="3">
        <f>IF(IFERROR(VLOOKUP(D450,Controls!$A$36:$E$46,2,FALSE()),"No")="Yes",1,0)</f>
        <v/>
      </c>
      <c r="AF450" s="3">
        <f>IF(IFERROR(VLOOKUP(D450,Controls!$A$36:$E$46,3,FALSE()),"No")="Yes",1,0)</f>
        <v/>
      </c>
      <c r="AG450" s="3">
        <f>IF(IFERROR(VLOOKUP(D450,Controls!$A$36:$E$46,4,FALSE()),"No")="Yes",1,0)</f>
        <v/>
      </c>
      <c r="AH450" s="3">
        <f>IF(IFERROR(VLOOKUP(D450,Controls!$A$36:$E$46,5,FALSE()),"No")="Yes",1,0)</f>
        <v/>
      </c>
      <c r="AI450" s="3">
        <f>IF(ISNUMBER(MATCH(D450,Controls!$A$36:$A$46,0)),1,0)</f>
        <v/>
      </c>
      <c r="AJ450" s="28">
        <f>Q450-N450</f>
        <v/>
      </c>
      <c r="AK450" s="3">
        <f>IF(AE450=1,MAX(0,N450-Q450),0)</f>
        <v/>
      </c>
      <c r="AL450" s="3">
        <f>IF(OR(V450="",V450=0),0,N450/V450)</f>
        <v/>
      </c>
      <c r="AM450" s="3">
        <f>IF(OR(V450="",V450=0),0,1)</f>
        <v/>
      </c>
      <c r="AN450" s="3">
        <f>IF(OR(E450="",F450=""),0,NETWORKDAYS(E450,F450,Ref!$K$2:$K$42))</f>
        <v/>
      </c>
      <c r="AO450" s="3">
        <f>IF(L450="Renewal",1,0)</f>
        <v/>
      </c>
      <c r="AP450" s="3">
        <f>AC450*AD450</f>
        <v/>
      </c>
      <c r="AQ450" s="3">
        <f>IF(AND(G450&lt;&gt;"",'Historical Score'!$C$6&lt;&gt;""),IF(G450='Historical Score'!$C$6,1,0),0)</f>
        <v/>
      </c>
      <c r="AR450" s="3">
        <f>IF(AND(L450&lt;&gt;"",'Historical Score'!$C$5&lt;&gt;""),IF(L450='Historical Score'!$C$5,1,0),0)</f>
        <v/>
      </c>
      <c r="AS450" s="3">
        <f>IF(AND(Y450&lt;&gt;"",'Historical Score'!$C$7&lt;&gt;""),IF(Y450='Historical Score'!$C$7,1,0),0)</f>
        <v/>
      </c>
      <c r="AT450" s="3">
        <f>IF(AND(K450&lt;&gt;"",'Historical Score'!$C$8&lt;&gt;""),IF(K450='Historical Score'!$C$8,1,0),0)</f>
        <v/>
      </c>
      <c r="AU450" s="3" t="n"/>
      <c r="AV450" s="3" t="n"/>
      <c r="AW450" s="3" t="n"/>
      <c r="AX450" s="3" t="n"/>
      <c r="AY450" s="3" t="n"/>
      <c r="AZ450" s="3" t="n"/>
      <c r="BA450" s="182">
        <f>IF(AD450=1,(AR450*'Historical Score'!$K$29+1-'Historical Score'!$K$29)*(AT450*'Historical Score'!$L$29+1-'Historical Score'!$L$29)*(AS450*'Historical Score'!$M$29+1-'Historical Score'!$M$29)*(AQ450*'Historical Score'!$N$29+1-'Historical Score'!$N$29),0)</f>
        <v/>
      </c>
      <c r="BB450" s="3" t="n"/>
      <c r="BC450" s="3" t="n"/>
    </row>
    <row r="451" ht="15.75" customHeight="1" s="174">
      <c r="A451" s="3" t="inlineStr">
        <is>
          <t>5674174462</t>
        </is>
      </c>
      <c r="B451" s="3" t="inlineStr">
        <is>
          <t>Roseville Walmart Baugus Corporation d/b/a Subway</t>
        </is>
      </c>
      <c r="C451" s="3" t="inlineStr">
        <is>
          <t>Roseville Walmart Baugus Corporation</t>
        </is>
      </c>
      <c r="D451" s="3" t="inlineStr">
        <is>
          <t>Open</t>
        </is>
      </c>
      <c r="E451" s="23" t="n">
        <v>46008</v>
      </c>
      <c r="F451" s="23" t="n">
        <v>46252</v>
      </c>
      <c r="G451" s="3" t="n">
        <v>1</v>
      </c>
      <c r="H451" s="3" t="inlineStr">
        <is>
          <t>3556</t>
        </is>
      </c>
      <c r="I451" s="3" t="inlineStr">
        <is>
          <t>35</t>
        </is>
      </c>
      <c r="J451" s="3" t="inlineStr">
        <is>
          <t>MN</t>
        </is>
      </c>
      <c r="K451" s="3" t="inlineStr">
        <is>
          <t>Fundwell</t>
        </is>
      </c>
      <c r="L451" s="3" t="inlineStr">
        <is>
          <t>New Deal</t>
        </is>
      </c>
      <c r="M451" s="3" t="n">
        <v>1.35</v>
      </c>
      <c r="N451" s="28" t="n">
        <v>125000</v>
      </c>
      <c r="O451" s="28" t="n">
        <v>11250</v>
      </c>
      <c r="P451" s="28" t="n">
        <v>168750</v>
      </c>
      <c r="Q451" s="28" t="n">
        <v>113631.35</v>
      </c>
      <c r="R451" s="28" t="n">
        <v>55118.65</v>
      </c>
      <c r="S451" s="42" t="n">
        <v>0.6733709629629629</v>
      </c>
      <c r="T451" s="3" t="n">
        <v>52</v>
      </c>
      <c r="U451" s="3" t="n">
        <v>0</v>
      </c>
      <c r="V451" s="3" t="n">
        <v>50132.07</v>
      </c>
      <c r="W451" s="42" t="n">
        <v>0.08649999999999999</v>
      </c>
      <c r="X451" s="23" t="n">
        <v>43384</v>
      </c>
      <c r="Y451" s="3">
        <f>IF(I451="","No SIC",IFERROR(VLOOKUP(I451,Ref!$A$2:$B$65,2,FALSE()),"Unclassified"))</f>
        <v/>
      </c>
      <c r="Z451" s="3">
        <f>IF(T451="","",IF(T451&lt;12,"Daily","Weekly"))</f>
        <v/>
      </c>
      <c r="AA451" s="3">
        <f>IF(T451="",0,IF(T451&lt;12,T451*Controls!$B$13,T451*5))</f>
        <v/>
      </c>
      <c r="AB451" s="3">
        <f>IF(E451="",0,NETWORKDAYS(E451,Controls!$B$20,Ref!$K$2:$K$42))</f>
        <v/>
      </c>
      <c r="AC451" s="3">
        <f>IF(OR(AF451=1,AND(AA451&gt;0,AB451&gt;=Controls!$B$23*AA451)),1,0)</f>
        <v/>
      </c>
      <c r="AD451" s="3">
        <f>IF(AND(E451&lt;&gt;"",E451&gt;=Controls!$B$21,E451&lt;=Controls!$B$22),1,0)</f>
        <v/>
      </c>
      <c r="AE451" s="3">
        <f>IF(IFERROR(VLOOKUP(D451,Controls!$A$36:$E$46,2,FALSE()),"No")="Yes",1,0)</f>
        <v/>
      </c>
      <c r="AF451" s="3">
        <f>IF(IFERROR(VLOOKUP(D451,Controls!$A$36:$E$46,3,FALSE()),"No")="Yes",1,0)</f>
        <v/>
      </c>
      <c r="AG451" s="3">
        <f>IF(IFERROR(VLOOKUP(D451,Controls!$A$36:$E$46,4,FALSE()),"No")="Yes",1,0)</f>
        <v/>
      </c>
      <c r="AH451" s="3">
        <f>IF(IFERROR(VLOOKUP(D451,Controls!$A$36:$E$46,5,FALSE()),"No")="Yes",1,0)</f>
        <v/>
      </c>
      <c r="AI451" s="3">
        <f>IF(ISNUMBER(MATCH(D451,Controls!$A$36:$A$46,0)),1,0)</f>
        <v/>
      </c>
      <c r="AJ451" s="28">
        <f>Q451-N451</f>
        <v/>
      </c>
      <c r="AK451" s="3">
        <f>IF(AE451=1,MAX(0,N451-Q451),0)</f>
        <v/>
      </c>
      <c r="AL451" s="3">
        <f>IF(OR(V451="",V451=0),0,N451/V451)</f>
        <v/>
      </c>
      <c r="AM451" s="3">
        <f>IF(OR(V451="",V451=0),0,1)</f>
        <v/>
      </c>
      <c r="AN451" s="3">
        <f>IF(OR(E451="",F451=""),0,NETWORKDAYS(E451,F451,Ref!$K$2:$K$42))</f>
        <v/>
      </c>
      <c r="AO451" s="3">
        <f>IF(L451="Renewal",1,0)</f>
        <v/>
      </c>
      <c r="AP451" s="3">
        <f>AC451*AD451</f>
        <v/>
      </c>
      <c r="AQ451" s="3">
        <f>IF(AND(G451&lt;&gt;"",'Historical Score'!$C$6&lt;&gt;""),IF(G451='Historical Score'!$C$6,1,0),0)</f>
        <v/>
      </c>
      <c r="AR451" s="3">
        <f>IF(AND(L451&lt;&gt;"",'Historical Score'!$C$5&lt;&gt;""),IF(L451='Historical Score'!$C$5,1,0),0)</f>
        <v/>
      </c>
      <c r="AS451" s="3">
        <f>IF(AND(Y451&lt;&gt;"",'Historical Score'!$C$7&lt;&gt;""),IF(Y451='Historical Score'!$C$7,1,0),0)</f>
        <v/>
      </c>
      <c r="AT451" s="3">
        <f>IF(AND(K451&lt;&gt;"",'Historical Score'!$C$8&lt;&gt;""),IF(K451='Historical Score'!$C$8,1,0),0)</f>
        <v/>
      </c>
      <c r="AU451" s="3" t="n"/>
      <c r="AV451" s="3" t="n"/>
      <c r="AW451" s="3" t="n"/>
      <c r="AX451" s="3" t="n"/>
      <c r="AY451" s="3" t="n"/>
      <c r="AZ451" s="3" t="n"/>
      <c r="BA451" s="182">
        <f>IF(AD451=1,(AR451*'Historical Score'!$K$29+1-'Historical Score'!$K$29)*(AT451*'Historical Score'!$L$29+1-'Historical Score'!$L$29)*(AS451*'Historical Score'!$M$29+1-'Historical Score'!$M$29)*(AQ451*'Historical Score'!$N$29+1-'Historical Score'!$N$29),0)</f>
        <v/>
      </c>
      <c r="BB451" s="3" t="n"/>
      <c r="BC451" s="3" t="n"/>
    </row>
    <row r="452" ht="15.75" customHeight="1" s="174">
      <c r="A452" s="3" t="inlineStr">
        <is>
          <t>5674174514</t>
        </is>
      </c>
      <c r="B452" s="3" t="inlineStr">
        <is>
          <t>Compassionate Heart Services LLC</t>
        </is>
      </c>
      <c r="C452" s="3" t="inlineStr">
        <is>
          <t>Compassionate Heart Services LLC</t>
        </is>
      </c>
      <c r="D452" s="3" t="inlineStr">
        <is>
          <t>Legal</t>
        </is>
      </c>
      <c r="E452" s="23" t="n">
        <v>46008</v>
      </c>
      <c r="F452" s="23" t="n">
        <v>46080</v>
      </c>
      <c r="G452" s="3" t="n">
        <v>3</v>
      </c>
      <c r="H452" s="3" t="inlineStr">
        <is>
          <t>8082</t>
        </is>
      </c>
      <c r="I452" s="3" t="inlineStr">
        <is>
          <t>80</t>
        </is>
      </c>
      <c r="J452" s="3" t="inlineStr">
        <is>
          <t>PA</t>
        </is>
      </c>
      <c r="K452" s="3" t="inlineStr">
        <is>
          <t>LENDCAP SOLUTIONS</t>
        </is>
      </c>
      <c r="L452" s="3" t="inlineStr">
        <is>
          <t>New Deal</t>
        </is>
      </c>
      <c r="M452" s="3" t="n">
        <v>1.499</v>
      </c>
      <c r="N452" s="28" t="n">
        <v>18000</v>
      </c>
      <c r="O452" s="28" t="n">
        <v>2520</v>
      </c>
      <c r="P452" s="28" t="n">
        <v>26982</v>
      </c>
      <c r="Q452" s="28" t="n">
        <v>5960.2</v>
      </c>
      <c r="R452" s="28" t="n">
        <v>21021.8</v>
      </c>
      <c r="S452" s="42" t="n">
        <v>0.220895411755985</v>
      </c>
      <c r="T452" s="3" t="n">
        <v>18</v>
      </c>
      <c r="U452" s="3" t="n">
        <v>8</v>
      </c>
      <c r="V452" s="3" t="n">
        <v>72596.8</v>
      </c>
      <c r="W452" s="42" t="n">
        <v>0.08210000000000001</v>
      </c>
      <c r="X452" s="23" t="n">
        <v>43770</v>
      </c>
      <c r="Y452" s="3">
        <f>IF(I452="","No SIC",IFERROR(VLOOKUP(I452,Ref!$A$2:$B$65,2,FALSE()),"Unclassified"))</f>
        <v/>
      </c>
      <c r="Z452" s="3">
        <f>IF(T452="","",IF(T452&lt;12,"Daily","Weekly"))</f>
        <v/>
      </c>
      <c r="AA452" s="3">
        <f>IF(T452="",0,IF(T452&lt;12,T452*Controls!$B$13,T452*5))</f>
        <v/>
      </c>
      <c r="AB452" s="3">
        <f>IF(E452="",0,NETWORKDAYS(E452,Controls!$B$20,Ref!$K$2:$K$42))</f>
        <v/>
      </c>
      <c r="AC452" s="3">
        <f>IF(OR(AF452=1,AND(AA452&gt;0,AB452&gt;=Controls!$B$23*AA452)),1,0)</f>
        <v/>
      </c>
      <c r="AD452" s="3">
        <f>IF(AND(E452&lt;&gt;"",E452&gt;=Controls!$B$21,E452&lt;=Controls!$B$22),1,0)</f>
        <v/>
      </c>
      <c r="AE452" s="3">
        <f>IF(IFERROR(VLOOKUP(D452,Controls!$A$36:$E$46,2,FALSE()),"No")="Yes",1,0)</f>
        <v/>
      </c>
      <c r="AF452" s="3">
        <f>IF(IFERROR(VLOOKUP(D452,Controls!$A$36:$E$46,3,FALSE()),"No")="Yes",1,0)</f>
        <v/>
      </c>
      <c r="AG452" s="3">
        <f>IF(IFERROR(VLOOKUP(D452,Controls!$A$36:$E$46,4,FALSE()),"No")="Yes",1,0)</f>
        <v/>
      </c>
      <c r="AH452" s="3">
        <f>IF(IFERROR(VLOOKUP(D452,Controls!$A$36:$E$46,5,FALSE()),"No")="Yes",1,0)</f>
        <v/>
      </c>
      <c r="AI452" s="3">
        <f>IF(ISNUMBER(MATCH(D452,Controls!$A$36:$A$46,0)),1,0)</f>
        <v/>
      </c>
      <c r="AJ452" s="28">
        <f>Q452-N452</f>
        <v/>
      </c>
      <c r="AK452" s="3">
        <f>IF(AE452=1,MAX(0,N452-Q452),0)</f>
        <v/>
      </c>
      <c r="AL452" s="3">
        <f>IF(OR(V452="",V452=0),0,N452/V452)</f>
        <v/>
      </c>
      <c r="AM452" s="3">
        <f>IF(OR(V452="",V452=0),0,1)</f>
        <v/>
      </c>
      <c r="AN452" s="3">
        <f>IF(OR(E452="",F452=""),0,NETWORKDAYS(E452,F452,Ref!$K$2:$K$42))</f>
        <v/>
      </c>
      <c r="AO452" s="3">
        <f>IF(L452="Renewal",1,0)</f>
        <v/>
      </c>
      <c r="AP452" s="3">
        <f>AC452*AD452</f>
        <v/>
      </c>
      <c r="AQ452" s="3">
        <f>IF(AND(G452&lt;&gt;"",'Historical Score'!$C$6&lt;&gt;""),IF(G452='Historical Score'!$C$6,1,0),0)</f>
        <v/>
      </c>
      <c r="AR452" s="3">
        <f>IF(AND(L452&lt;&gt;"",'Historical Score'!$C$5&lt;&gt;""),IF(L452='Historical Score'!$C$5,1,0),0)</f>
        <v/>
      </c>
      <c r="AS452" s="3">
        <f>IF(AND(Y452&lt;&gt;"",'Historical Score'!$C$7&lt;&gt;""),IF(Y452='Historical Score'!$C$7,1,0),0)</f>
        <v/>
      </c>
      <c r="AT452" s="3">
        <f>IF(AND(K452&lt;&gt;"",'Historical Score'!$C$8&lt;&gt;""),IF(K452='Historical Score'!$C$8,1,0),0)</f>
        <v/>
      </c>
      <c r="AU452" s="3" t="n"/>
      <c r="AV452" s="3" t="n"/>
      <c r="AW452" s="3" t="n"/>
      <c r="AX452" s="3" t="n"/>
      <c r="AY452" s="3" t="n"/>
      <c r="AZ452" s="3" t="n"/>
      <c r="BA452" s="182">
        <f>IF(AD452=1,(AR452*'Historical Score'!$K$29+1-'Historical Score'!$K$29)*(AT452*'Historical Score'!$L$29+1-'Historical Score'!$L$29)*(AS452*'Historical Score'!$M$29+1-'Historical Score'!$M$29)*(AQ452*'Historical Score'!$N$29+1-'Historical Score'!$N$29),0)</f>
        <v/>
      </c>
      <c r="BB452" s="3" t="n"/>
      <c r="BC452" s="3" t="n"/>
    </row>
    <row r="453" ht="15.75" customHeight="1" s="174">
      <c r="A453" s="3" t="inlineStr">
        <is>
          <t>5674174537</t>
        </is>
      </c>
      <c r="B453" s="3" t="inlineStr">
        <is>
          <t>ECW lawn &amp; Tree Service LLC</t>
        </is>
      </c>
      <c r="C453" s="3" t="inlineStr">
        <is>
          <t>ECW lawn &amp; Tree Service LLC</t>
        </is>
      </c>
      <c r="D453" s="3" t="inlineStr">
        <is>
          <t>Lowered Payments</t>
        </is>
      </c>
      <c r="E453" s="23" t="n">
        <v>46008</v>
      </c>
      <c r="F453" s="23" t="n">
        <v>46253</v>
      </c>
      <c r="G453" s="3" t="n">
        <v>4</v>
      </c>
      <c r="H453" s="3" t="inlineStr">
        <is>
          <t>3524</t>
        </is>
      </c>
      <c r="I453" s="3" t="inlineStr">
        <is>
          <t>35</t>
        </is>
      </c>
      <c r="J453" s="3" t="inlineStr">
        <is>
          <t>TX</t>
        </is>
      </c>
      <c r="K453" s="3" t="inlineStr">
        <is>
          <t>Fundwell</t>
        </is>
      </c>
      <c r="L453" s="3" t="inlineStr">
        <is>
          <t>Renewal</t>
        </is>
      </c>
      <c r="M453" s="3" t="n">
        <v>1.46</v>
      </c>
      <c r="N453" s="28" t="n">
        <v>11000</v>
      </c>
      <c r="O453" s="28" t="n">
        <v>1705</v>
      </c>
      <c r="P453" s="28" t="n">
        <v>16060</v>
      </c>
      <c r="Q453" s="28" t="n">
        <v>11066.02</v>
      </c>
      <c r="R453" s="28" t="n">
        <v>4993.98</v>
      </c>
      <c r="S453" s="42" t="n">
        <v>0.689042341220423</v>
      </c>
      <c r="T453" s="3" t="n">
        <v>29</v>
      </c>
      <c r="U453" s="3" t="n">
        <v>50</v>
      </c>
      <c r="V453" s="3" t="n">
        <v>39796.88</v>
      </c>
      <c r="W453" s="42" t="n">
        <v>0.0508</v>
      </c>
      <c r="X453" s="23" t="n">
        <v>43770</v>
      </c>
      <c r="Y453" s="3">
        <f>IF(I453="","No SIC",IFERROR(VLOOKUP(I453,Ref!$A$2:$B$65,2,FALSE()),"Unclassified"))</f>
        <v/>
      </c>
      <c r="Z453" s="3">
        <f>IF(T453="","",IF(T453&lt;12,"Daily","Weekly"))</f>
        <v/>
      </c>
      <c r="AA453" s="3">
        <f>IF(T453="",0,IF(T453&lt;12,T453*Controls!$B$13,T453*5))</f>
        <v/>
      </c>
      <c r="AB453" s="3">
        <f>IF(E453="",0,NETWORKDAYS(E453,Controls!$B$20,Ref!$K$2:$K$42))</f>
        <v/>
      </c>
      <c r="AC453" s="3">
        <f>IF(OR(AF453=1,AND(AA453&gt;0,AB453&gt;=Controls!$B$23*AA453)),1,0)</f>
        <v/>
      </c>
      <c r="AD453" s="3">
        <f>IF(AND(E453&lt;&gt;"",E453&gt;=Controls!$B$21,E453&lt;=Controls!$B$22),1,0)</f>
        <v/>
      </c>
      <c r="AE453" s="3">
        <f>IF(IFERROR(VLOOKUP(D453,Controls!$A$36:$E$46,2,FALSE()),"No")="Yes",1,0)</f>
        <v/>
      </c>
      <c r="AF453" s="3">
        <f>IF(IFERROR(VLOOKUP(D453,Controls!$A$36:$E$46,3,FALSE()),"No")="Yes",1,0)</f>
        <v/>
      </c>
      <c r="AG453" s="3">
        <f>IF(IFERROR(VLOOKUP(D453,Controls!$A$36:$E$46,4,FALSE()),"No")="Yes",1,0)</f>
        <v/>
      </c>
      <c r="AH453" s="3">
        <f>IF(IFERROR(VLOOKUP(D453,Controls!$A$36:$E$46,5,FALSE()),"No")="Yes",1,0)</f>
        <v/>
      </c>
      <c r="AI453" s="3">
        <f>IF(ISNUMBER(MATCH(D453,Controls!$A$36:$A$46,0)),1,0)</f>
        <v/>
      </c>
      <c r="AJ453" s="28">
        <f>Q453-N453</f>
        <v/>
      </c>
      <c r="AK453" s="3">
        <f>IF(AE453=1,MAX(0,N453-Q453),0)</f>
        <v/>
      </c>
      <c r="AL453" s="3">
        <f>IF(OR(V453="",V453=0),0,N453/V453)</f>
        <v/>
      </c>
      <c r="AM453" s="3">
        <f>IF(OR(V453="",V453=0),0,1)</f>
        <v/>
      </c>
      <c r="AN453" s="3">
        <f>IF(OR(E453="",F453=""),0,NETWORKDAYS(E453,F453,Ref!$K$2:$K$42))</f>
        <v/>
      </c>
      <c r="AO453" s="3">
        <f>IF(L453="Renewal",1,0)</f>
        <v/>
      </c>
      <c r="AP453" s="3">
        <f>AC453*AD453</f>
        <v/>
      </c>
      <c r="AQ453" s="3">
        <f>IF(AND(G453&lt;&gt;"",'Historical Score'!$C$6&lt;&gt;""),IF(G453='Historical Score'!$C$6,1,0),0)</f>
        <v/>
      </c>
      <c r="AR453" s="3">
        <f>IF(AND(L453&lt;&gt;"",'Historical Score'!$C$5&lt;&gt;""),IF(L453='Historical Score'!$C$5,1,0),0)</f>
        <v/>
      </c>
      <c r="AS453" s="3">
        <f>IF(AND(Y453&lt;&gt;"",'Historical Score'!$C$7&lt;&gt;""),IF(Y453='Historical Score'!$C$7,1,0),0)</f>
        <v/>
      </c>
      <c r="AT453" s="3">
        <f>IF(AND(K453&lt;&gt;"",'Historical Score'!$C$8&lt;&gt;""),IF(K453='Historical Score'!$C$8,1,0),0)</f>
        <v/>
      </c>
      <c r="AU453" s="3" t="n"/>
      <c r="AV453" s="3" t="n"/>
      <c r="AW453" s="3" t="n"/>
      <c r="AX453" s="3" t="n"/>
      <c r="AY453" s="3" t="n"/>
      <c r="AZ453" s="3" t="n"/>
      <c r="BA453" s="182">
        <f>IF(AD453=1,(AR453*'Historical Score'!$K$29+1-'Historical Score'!$K$29)*(AT453*'Historical Score'!$L$29+1-'Historical Score'!$L$29)*(AS453*'Historical Score'!$M$29+1-'Historical Score'!$M$29)*(AQ453*'Historical Score'!$N$29+1-'Historical Score'!$N$29),0)</f>
        <v/>
      </c>
      <c r="BB453" s="3" t="n"/>
      <c r="BC453" s="3" t="n"/>
    </row>
    <row r="454" ht="15.75" customHeight="1" s="174">
      <c r="A454" s="3" t="inlineStr">
        <is>
          <t>5674174583</t>
        </is>
      </c>
      <c r="B454" s="3" t="inlineStr">
        <is>
          <t>ELITE ROOFING LLC</t>
        </is>
      </c>
      <c r="C454" s="3" t="inlineStr">
        <is>
          <t>ELITE ROOFING LLC</t>
        </is>
      </c>
      <c r="D454" s="3" t="inlineStr">
        <is>
          <t>Legal</t>
        </is>
      </c>
      <c r="E454" s="23" t="n">
        <v>46009</v>
      </c>
      <c r="F454" s="23" t="n">
        <v>46128</v>
      </c>
      <c r="G454" s="3" t="n">
        <v>3</v>
      </c>
      <c r="H454" s="3" t="inlineStr">
        <is>
          <t>1761</t>
        </is>
      </c>
      <c r="I454" s="3" t="inlineStr">
        <is>
          <t>17</t>
        </is>
      </c>
      <c r="J454" s="3" t="inlineStr">
        <is>
          <t>ID</t>
        </is>
      </c>
      <c r="K454" s="3" t="inlineStr">
        <is>
          <t>Fidelity Funding</t>
        </is>
      </c>
      <c r="L454" s="3" t="inlineStr">
        <is>
          <t>New Deal</t>
        </is>
      </c>
      <c r="M454" s="3" t="n">
        <v>1.32</v>
      </c>
      <c r="N454" s="28" t="n">
        <v>60000</v>
      </c>
      <c r="O454" s="28" t="n">
        <v>3600</v>
      </c>
      <c r="P454" s="28" t="n">
        <v>79200</v>
      </c>
      <c r="Q454" s="28" t="n">
        <v>42246.4</v>
      </c>
      <c r="R454" s="28" t="n">
        <v>36953.6</v>
      </c>
      <c r="S454" s="42" t="n">
        <v>0.533414141414142</v>
      </c>
      <c r="T454" s="3" t="n">
        <v>30</v>
      </c>
      <c r="U454" s="3" t="n">
        <v>1</v>
      </c>
      <c r="V454" s="3" t="n">
        <v>162987.84</v>
      </c>
      <c r="W454" s="42" t="n">
        <v>0.0648</v>
      </c>
      <c r="X454" s="23" t="n">
        <v>44044</v>
      </c>
      <c r="Y454" s="3">
        <f>IF(I454="","No SIC",IFERROR(VLOOKUP(I454,Ref!$A$2:$B$65,2,FALSE()),"Unclassified"))</f>
        <v/>
      </c>
      <c r="Z454" s="3">
        <f>IF(T454="","",IF(T454&lt;12,"Daily","Weekly"))</f>
        <v/>
      </c>
      <c r="AA454" s="3">
        <f>IF(T454="",0,IF(T454&lt;12,T454*Controls!$B$13,T454*5))</f>
        <v/>
      </c>
      <c r="AB454" s="3">
        <f>IF(E454="",0,NETWORKDAYS(E454,Controls!$B$20,Ref!$K$2:$K$42))</f>
        <v/>
      </c>
      <c r="AC454" s="3">
        <f>IF(OR(AF454=1,AND(AA454&gt;0,AB454&gt;=Controls!$B$23*AA454)),1,0)</f>
        <v/>
      </c>
      <c r="AD454" s="3">
        <f>IF(AND(E454&lt;&gt;"",E454&gt;=Controls!$B$21,E454&lt;=Controls!$B$22),1,0)</f>
        <v/>
      </c>
      <c r="AE454" s="3">
        <f>IF(IFERROR(VLOOKUP(D454,Controls!$A$36:$E$46,2,FALSE()),"No")="Yes",1,0)</f>
        <v/>
      </c>
      <c r="AF454" s="3">
        <f>IF(IFERROR(VLOOKUP(D454,Controls!$A$36:$E$46,3,FALSE()),"No")="Yes",1,0)</f>
        <v/>
      </c>
      <c r="AG454" s="3">
        <f>IF(IFERROR(VLOOKUP(D454,Controls!$A$36:$E$46,4,FALSE()),"No")="Yes",1,0)</f>
        <v/>
      </c>
      <c r="AH454" s="3">
        <f>IF(IFERROR(VLOOKUP(D454,Controls!$A$36:$E$46,5,FALSE()),"No")="Yes",1,0)</f>
        <v/>
      </c>
      <c r="AI454" s="3">
        <f>IF(ISNUMBER(MATCH(D454,Controls!$A$36:$A$46,0)),1,0)</f>
        <v/>
      </c>
      <c r="AJ454" s="28">
        <f>Q454-N454</f>
        <v/>
      </c>
      <c r="AK454" s="3">
        <f>IF(AE454=1,MAX(0,N454-Q454),0)</f>
        <v/>
      </c>
      <c r="AL454" s="3">
        <f>IF(OR(V454="",V454=0),0,N454/V454)</f>
        <v/>
      </c>
      <c r="AM454" s="3">
        <f>IF(OR(V454="",V454=0),0,1)</f>
        <v/>
      </c>
      <c r="AN454" s="3">
        <f>IF(OR(E454="",F454=""),0,NETWORKDAYS(E454,F454,Ref!$K$2:$K$42))</f>
        <v/>
      </c>
      <c r="AO454" s="3">
        <f>IF(L454="Renewal",1,0)</f>
        <v/>
      </c>
      <c r="AP454" s="3">
        <f>AC454*AD454</f>
        <v/>
      </c>
      <c r="AQ454" s="3">
        <f>IF(AND(G454&lt;&gt;"",'Historical Score'!$C$6&lt;&gt;""),IF(G454='Historical Score'!$C$6,1,0),0)</f>
        <v/>
      </c>
      <c r="AR454" s="3">
        <f>IF(AND(L454&lt;&gt;"",'Historical Score'!$C$5&lt;&gt;""),IF(L454='Historical Score'!$C$5,1,0),0)</f>
        <v/>
      </c>
      <c r="AS454" s="3">
        <f>IF(AND(Y454&lt;&gt;"",'Historical Score'!$C$7&lt;&gt;""),IF(Y454='Historical Score'!$C$7,1,0),0)</f>
        <v/>
      </c>
      <c r="AT454" s="3">
        <f>IF(AND(K454&lt;&gt;"",'Historical Score'!$C$8&lt;&gt;""),IF(K454='Historical Score'!$C$8,1,0),0)</f>
        <v/>
      </c>
      <c r="AU454" s="3" t="n"/>
      <c r="AV454" s="3" t="n"/>
      <c r="AW454" s="3" t="n"/>
      <c r="AX454" s="3" t="n"/>
      <c r="AY454" s="3" t="n"/>
      <c r="AZ454" s="3" t="n"/>
      <c r="BA454" s="182">
        <f>IF(AD454=1,(AR454*'Historical Score'!$K$29+1-'Historical Score'!$K$29)*(AT454*'Historical Score'!$L$29+1-'Historical Score'!$L$29)*(AS454*'Historical Score'!$M$29+1-'Historical Score'!$M$29)*(AQ454*'Historical Score'!$N$29+1-'Historical Score'!$N$29),0)</f>
        <v/>
      </c>
      <c r="BB454" s="3" t="n"/>
      <c r="BC454" s="3" t="n"/>
    </row>
    <row r="455" ht="15.75" customHeight="1" s="174">
      <c r="A455" s="3" t="inlineStr">
        <is>
          <t>5674174595</t>
        </is>
      </c>
      <c r="B455" s="3" t="inlineStr">
        <is>
          <t>KNIGHT MAINTENANCE LLC</t>
        </is>
      </c>
      <c r="C455" s="3" t="inlineStr">
        <is>
          <t>KNIGHT MAINTENANCE LLC</t>
        </is>
      </c>
      <c r="D455" s="3" t="inlineStr">
        <is>
          <t>Closed</t>
        </is>
      </c>
      <c r="E455" s="23" t="n">
        <v>46009</v>
      </c>
      <c r="F455" s="23" t="n">
        <v>46129</v>
      </c>
      <c r="G455" s="3" t="n">
        <v>7</v>
      </c>
      <c r="H455" s="3" t="inlineStr">
        <is>
          <t>7349</t>
        </is>
      </c>
      <c r="I455" s="3" t="inlineStr">
        <is>
          <t>73</t>
        </is>
      </c>
      <c r="J455" s="3" t="inlineStr">
        <is>
          <t>NJ</t>
        </is>
      </c>
      <c r="K455" s="3" t="inlineStr">
        <is>
          <t>Triumph Cap Fund</t>
        </is>
      </c>
      <c r="L455" s="3" t="inlineStr">
        <is>
          <t>New Deal</t>
        </is>
      </c>
      <c r="M455" s="3" t="n">
        <v>1.49</v>
      </c>
      <c r="N455" s="28" t="n">
        <v>10000</v>
      </c>
      <c r="O455" s="28" t="n">
        <v>1400</v>
      </c>
      <c r="P455" s="28" t="n">
        <v>14900</v>
      </c>
      <c r="Q455" s="28" t="n">
        <v>14900</v>
      </c>
      <c r="R455" s="28" t="n">
        <v>0</v>
      </c>
      <c r="S455" s="42" t="n">
        <v>1</v>
      </c>
      <c r="T455" s="3" t="n">
        <v>3.279</v>
      </c>
      <c r="U455" s="3" t="n">
        <v>1</v>
      </c>
      <c r="V455" s="3" t="n">
        <v>56609.08</v>
      </c>
      <c r="W455" s="42" t="n">
        <v>0.0553</v>
      </c>
      <c r="X455" s="23" t="n">
        <v>42223</v>
      </c>
      <c r="Y455" s="3">
        <f>IF(I455="","No SIC",IFERROR(VLOOKUP(I455,Ref!$A$2:$B$65,2,FALSE()),"Unclassified"))</f>
        <v/>
      </c>
      <c r="Z455" s="3">
        <f>IF(T455="","",IF(T455&lt;12,"Daily","Weekly"))</f>
        <v/>
      </c>
      <c r="AA455" s="3">
        <f>IF(T455="",0,IF(T455&lt;12,T455*Controls!$B$13,T455*5))</f>
        <v/>
      </c>
      <c r="AB455" s="3">
        <f>IF(E455="",0,NETWORKDAYS(E455,Controls!$B$20,Ref!$K$2:$K$42))</f>
        <v/>
      </c>
      <c r="AC455" s="3">
        <f>IF(OR(AF455=1,AND(AA455&gt;0,AB455&gt;=Controls!$B$23*AA455)),1,0)</f>
        <v/>
      </c>
      <c r="AD455" s="3">
        <f>IF(AND(E455&lt;&gt;"",E455&gt;=Controls!$B$21,E455&lt;=Controls!$B$22),1,0)</f>
        <v/>
      </c>
      <c r="AE455" s="3">
        <f>IF(IFERROR(VLOOKUP(D455,Controls!$A$36:$E$46,2,FALSE()),"No")="Yes",1,0)</f>
        <v/>
      </c>
      <c r="AF455" s="3">
        <f>IF(IFERROR(VLOOKUP(D455,Controls!$A$36:$E$46,3,FALSE()),"No")="Yes",1,0)</f>
        <v/>
      </c>
      <c r="AG455" s="3">
        <f>IF(IFERROR(VLOOKUP(D455,Controls!$A$36:$E$46,4,FALSE()),"No")="Yes",1,0)</f>
        <v/>
      </c>
      <c r="AH455" s="3">
        <f>IF(IFERROR(VLOOKUP(D455,Controls!$A$36:$E$46,5,FALSE()),"No")="Yes",1,0)</f>
        <v/>
      </c>
      <c r="AI455" s="3">
        <f>IF(ISNUMBER(MATCH(D455,Controls!$A$36:$A$46,0)),1,0)</f>
        <v/>
      </c>
      <c r="AJ455" s="28">
        <f>Q455-N455</f>
        <v/>
      </c>
      <c r="AK455" s="3">
        <f>IF(AE455=1,MAX(0,N455-Q455),0)</f>
        <v/>
      </c>
      <c r="AL455" s="3">
        <f>IF(OR(V455="",V455=0),0,N455/V455)</f>
        <v/>
      </c>
      <c r="AM455" s="3">
        <f>IF(OR(V455="",V455=0),0,1)</f>
        <v/>
      </c>
      <c r="AN455" s="3">
        <f>IF(OR(E455="",F455=""),0,NETWORKDAYS(E455,F455,Ref!$K$2:$K$42))</f>
        <v/>
      </c>
      <c r="AO455" s="3">
        <f>IF(L455="Renewal",1,0)</f>
        <v/>
      </c>
      <c r="AP455" s="3">
        <f>AC455*AD455</f>
        <v/>
      </c>
      <c r="AQ455" s="3">
        <f>IF(AND(G455&lt;&gt;"",'Historical Score'!$C$6&lt;&gt;""),IF(G455='Historical Score'!$C$6,1,0),0)</f>
        <v/>
      </c>
      <c r="AR455" s="3">
        <f>IF(AND(L455&lt;&gt;"",'Historical Score'!$C$5&lt;&gt;""),IF(L455='Historical Score'!$C$5,1,0),0)</f>
        <v/>
      </c>
      <c r="AS455" s="3">
        <f>IF(AND(Y455&lt;&gt;"",'Historical Score'!$C$7&lt;&gt;""),IF(Y455='Historical Score'!$C$7,1,0),0)</f>
        <v/>
      </c>
      <c r="AT455" s="3">
        <f>IF(AND(K455&lt;&gt;"",'Historical Score'!$C$8&lt;&gt;""),IF(K455='Historical Score'!$C$8,1,0),0)</f>
        <v/>
      </c>
      <c r="AU455" s="3" t="n"/>
      <c r="AV455" s="3" t="n"/>
      <c r="AW455" s="3" t="n"/>
      <c r="AX455" s="3" t="n"/>
      <c r="AY455" s="3" t="n"/>
      <c r="AZ455" s="3" t="n"/>
      <c r="BA455" s="182">
        <f>IF(AD455=1,(AR455*'Historical Score'!$K$29+1-'Historical Score'!$K$29)*(AT455*'Historical Score'!$L$29+1-'Historical Score'!$L$29)*(AS455*'Historical Score'!$M$29+1-'Historical Score'!$M$29)*(AQ455*'Historical Score'!$N$29+1-'Historical Score'!$N$29),0)</f>
        <v/>
      </c>
      <c r="BB455" s="3" t="n"/>
      <c r="BC455" s="3" t="n"/>
    </row>
    <row r="456" ht="15.75" customHeight="1" s="174">
      <c r="A456" s="3" t="inlineStr">
        <is>
          <t>5674174626</t>
        </is>
      </c>
      <c r="B456" s="3" t="inlineStr">
        <is>
          <t>PAUGUS BAY LANDSCAPE LLC</t>
        </is>
      </c>
      <c r="C456" s="3" t="inlineStr">
        <is>
          <t>PAUGUS BAY LANDSCAPE LLC</t>
        </is>
      </c>
      <c r="D456" s="3" t="inlineStr">
        <is>
          <t>Closed</t>
        </is>
      </c>
      <c r="E456" s="23" t="n">
        <v>46009</v>
      </c>
      <c r="F456" s="23" t="n">
        <v>46055</v>
      </c>
      <c r="G456" s="3" t="n">
        <v>1</v>
      </c>
      <c r="H456" s="3" t="inlineStr">
        <is>
          <t>0781</t>
        </is>
      </c>
      <c r="I456" s="3" t="inlineStr">
        <is>
          <t>07</t>
        </is>
      </c>
      <c r="J456" s="3" t="inlineStr">
        <is>
          <t>NH</t>
        </is>
      </c>
      <c r="K456" s="3" t="inlineStr">
        <is>
          <t>United Secured Capital 8</t>
        </is>
      </c>
      <c r="L456" s="3" t="inlineStr">
        <is>
          <t>New Deal</t>
        </is>
      </c>
      <c r="M456" s="3" t="n">
        <v>1.49</v>
      </c>
      <c r="N456" s="28" t="n">
        <v>7500</v>
      </c>
      <c r="O456" s="28" t="n">
        <v>1050</v>
      </c>
      <c r="P456" s="28" t="n">
        <v>11175</v>
      </c>
      <c r="Q456" s="28" t="n">
        <v>11175</v>
      </c>
      <c r="R456" s="28" t="n">
        <v>0</v>
      </c>
      <c r="S456" s="42" t="n">
        <v>1</v>
      </c>
      <c r="T456" s="3" t="n">
        <v>2.295</v>
      </c>
      <c r="U456" s="3" t="n">
        <v>0</v>
      </c>
      <c r="V456" s="3" t="n">
        <v>25000</v>
      </c>
      <c r="W456" s="42" t="n">
        <v>0.1812</v>
      </c>
      <c r="X456" s="23" t="n">
        <v>45292</v>
      </c>
      <c r="Y456" s="3">
        <f>IF(I456="","No SIC",IFERROR(VLOOKUP(I456,Ref!$A$2:$B$65,2,FALSE()),"Unclassified"))</f>
        <v/>
      </c>
      <c r="Z456" s="3">
        <f>IF(T456="","",IF(T456&lt;12,"Daily","Weekly"))</f>
        <v/>
      </c>
      <c r="AA456" s="3">
        <f>IF(T456="",0,IF(T456&lt;12,T456*Controls!$B$13,T456*5))</f>
        <v/>
      </c>
      <c r="AB456" s="3">
        <f>IF(E456="",0,NETWORKDAYS(E456,Controls!$B$20,Ref!$K$2:$K$42))</f>
        <v/>
      </c>
      <c r="AC456" s="3">
        <f>IF(OR(AF456=1,AND(AA456&gt;0,AB456&gt;=Controls!$B$23*AA456)),1,0)</f>
        <v/>
      </c>
      <c r="AD456" s="3">
        <f>IF(AND(E456&lt;&gt;"",E456&gt;=Controls!$B$21,E456&lt;=Controls!$B$22),1,0)</f>
        <v/>
      </c>
      <c r="AE456" s="3">
        <f>IF(IFERROR(VLOOKUP(D456,Controls!$A$36:$E$46,2,FALSE()),"No")="Yes",1,0)</f>
        <v/>
      </c>
      <c r="AF456" s="3">
        <f>IF(IFERROR(VLOOKUP(D456,Controls!$A$36:$E$46,3,FALSE()),"No")="Yes",1,0)</f>
        <v/>
      </c>
      <c r="AG456" s="3">
        <f>IF(IFERROR(VLOOKUP(D456,Controls!$A$36:$E$46,4,FALSE()),"No")="Yes",1,0)</f>
        <v/>
      </c>
      <c r="AH456" s="3">
        <f>IF(IFERROR(VLOOKUP(D456,Controls!$A$36:$E$46,5,FALSE()),"No")="Yes",1,0)</f>
        <v/>
      </c>
      <c r="AI456" s="3">
        <f>IF(ISNUMBER(MATCH(D456,Controls!$A$36:$A$46,0)),1,0)</f>
        <v/>
      </c>
      <c r="AJ456" s="28">
        <f>Q456-N456</f>
        <v/>
      </c>
      <c r="AK456" s="3">
        <f>IF(AE456=1,MAX(0,N456-Q456),0)</f>
        <v/>
      </c>
      <c r="AL456" s="3">
        <f>IF(OR(V456="",V456=0),0,N456/V456)</f>
        <v/>
      </c>
      <c r="AM456" s="3">
        <f>IF(OR(V456="",V456=0),0,1)</f>
        <v/>
      </c>
      <c r="AN456" s="3">
        <f>IF(OR(E456="",F456=""),0,NETWORKDAYS(E456,F456,Ref!$K$2:$K$42))</f>
        <v/>
      </c>
      <c r="AO456" s="3">
        <f>IF(L456="Renewal",1,0)</f>
        <v/>
      </c>
      <c r="AP456" s="3">
        <f>AC456*AD456</f>
        <v/>
      </c>
      <c r="AQ456" s="3">
        <f>IF(AND(G456&lt;&gt;"",'Historical Score'!$C$6&lt;&gt;""),IF(G456='Historical Score'!$C$6,1,0),0)</f>
        <v/>
      </c>
      <c r="AR456" s="3">
        <f>IF(AND(L456&lt;&gt;"",'Historical Score'!$C$5&lt;&gt;""),IF(L456='Historical Score'!$C$5,1,0),0)</f>
        <v/>
      </c>
      <c r="AS456" s="3">
        <f>IF(AND(Y456&lt;&gt;"",'Historical Score'!$C$7&lt;&gt;""),IF(Y456='Historical Score'!$C$7,1,0),0)</f>
        <v/>
      </c>
      <c r="AT456" s="3">
        <f>IF(AND(K456&lt;&gt;"",'Historical Score'!$C$8&lt;&gt;""),IF(K456='Historical Score'!$C$8,1,0),0)</f>
        <v/>
      </c>
      <c r="AU456" s="3" t="n"/>
      <c r="AV456" s="3" t="n"/>
      <c r="AW456" s="3" t="n"/>
      <c r="AX456" s="3" t="n"/>
      <c r="AY456" s="3" t="n"/>
      <c r="AZ456" s="3" t="n"/>
      <c r="BA456" s="182">
        <f>IF(AD456=1,(AR456*'Historical Score'!$K$29+1-'Historical Score'!$K$29)*(AT456*'Historical Score'!$L$29+1-'Historical Score'!$L$29)*(AS456*'Historical Score'!$M$29+1-'Historical Score'!$M$29)*(AQ456*'Historical Score'!$N$29+1-'Historical Score'!$N$29),0)</f>
        <v/>
      </c>
      <c r="BB456" s="3" t="n"/>
      <c r="BC456" s="3" t="n"/>
    </row>
    <row r="457" ht="15.75" customHeight="1" s="174">
      <c r="A457" s="3" t="inlineStr">
        <is>
          <t>5674174627</t>
        </is>
      </c>
      <c r="B457" s="3" t="inlineStr">
        <is>
          <t>VILLI ELECTRICAL SERVICES</t>
        </is>
      </c>
      <c r="C457" s="3" t="inlineStr">
        <is>
          <t>LUNA LUCE LLC</t>
        </is>
      </c>
      <c r="D457" s="3" t="inlineStr">
        <is>
          <t>Closed</t>
        </is>
      </c>
      <c r="E457" s="23" t="n">
        <v>46009</v>
      </c>
      <c r="F457" s="23" t="n">
        <v>46132</v>
      </c>
      <c r="G457" s="3" t="n">
        <v>1</v>
      </c>
      <c r="H457" s="3" t="inlineStr">
        <is>
          <t>1731</t>
        </is>
      </c>
      <c r="I457" s="3" t="inlineStr">
        <is>
          <t>17</t>
        </is>
      </c>
      <c r="J457" s="3" t="inlineStr">
        <is>
          <t>PA</t>
        </is>
      </c>
      <c r="K457" s="3" t="inlineStr">
        <is>
          <t>Fundwell</t>
        </is>
      </c>
      <c r="L457" s="3" t="inlineStr">
        <is>
          <t>New Deal</t>
        </is>
      </c>
      <c r="M457" s="3" t="n">
        <v>1.38</v>
      </c>
      <c r="N457" s="28" t="n">
        <v>75000</v>
      </c>
      <c r="O457" s="28" t="n">
        <v>9375</v>
      </c>
      <c r="P457" s="28" t="n">
        <v>103500</v>
      </c>
      <c r="Q457" s="28" t="n">
        <v>103500</v>
      </c>
      <c r="R457" s="28" t="n">
        <v>-1.45519152283669e-11</v>
      </c>
      <c r="S457" s="42" t="n">
        <v>1</v>
      </c>
      <c r="T457" s="3" t="n">
        <v>28</v>
      </c>
      <c r="U457" s="3" t="n">
        <v>1</v>
      </c>
      <c r="V457" s="3" t="n">
        <v>125984.36</v>
      </c>
      <c r="W457" s="42" t="n">
        <v>0.1174</v>
      </c>
      <c r="X457" s="23" t="n">
        <v>43283</v>
      </c>
      <c r="Y457" s="3">
        <f>IF(I457="","No SIC",IFERROR(VLOOKUP(I457,Ref!$A$2:$B$65,2,FALSE()),"Unclassified"))</f>
        <v/>
      </c>
      <c r="Z457" s="3">
        <f>IF(T457="","",IF(T457&lt;12,"Daily","Weekly"))</f>
        <v/>
      </c>
      <c r="AA457" s="3">
        <f>IF(T457="",0,IF(T457&lt;12,T457*Controls!$B$13,T457*5))</f>
        <v/>
      </c>
      <c r="AB457" s="3">
        <f>IF(E457="",0,NETWORKDAYS(E457,Controls!$B$20,Ref!$K$2:$K$42))</f>
        <v/>
      </c>
      <c r="AC457" s="3">
        <f>IF(OR(AF457=1,AND(AA457&gt;0,AB457&gt;=Controls!$B$23*AA457)),1,0)</f>
        <v/>
      </c>
      <c r="AD457" s="3">
        <f>IF(AND(E457&lt;&gt;"",E457&gt;=Controls!$B$21,E457&lt;=Controls!$B$22),1,0)</f>
        <v/>
      </c>
      <c r="AE457" s="3">
        <f>IF(IFERROR(VLOOKUP(D457,Controls!$A$36:$E$46,2,FALSE()),"No")="Yes",1,0)</f>
        <v/>
      </c>
      <c r="AF457" s="3">
        <f>IF(IFERROR(VLOOKUP(D457,Controls!$A$36:$E$46,3,FALSE()),"No")="Yes",1,0)</f>
        <v/>
      </c>
      <c r="AG457" s="3">
        <f>IF(IFERROR(VLOOKUP(D457,Controls!$A$36:$E$46,4,FALSE()),"No")="Yes",1,0)</f>
        <v/>
      </c>
      <c r="AH457" s="3">
        <f>IF(IFERROR(VLOOKUP(D457,Controls!$A$36:$E$46,5,FALSE()),"No")="Yes",1,0)</f>
        <v/>
      </c>
      <c r="AI457" s="3">
        <f>IF(ISNUMBER(MATCH(D457,Controls!$A$36:$A$46,0)),1,0)</f>
        <v/>
      </c>
      <c r="AJ457" s="28">
        <f>Q457-N457</f>
        <v/>
      </c>
      <c r="AK457" s="3">
        <f>IF(AE457=1,MAX(0,N457-Q457),0)</f>
        <v/>
      </c>
      <c r="AL457" s="3">
        <f>IF(OR(V457="",V457=0),0,N457/V457)</f>
        <v/>
      </c>
      <c r="AM457" s="3">
        <f>IF(OR(V457="",V457=0),0,1)</f>
        <v/>
      </c>
      <c r="AN457" s="3">
        <f>IF(OR(E457="",F457=""),0,NETWORKDAYS(E457,F457,Ref!$K$2:$K$42))</f>
        <v/>
      </c>
      <c r="AO457" s="3">
        <f>IF(L457="Renewal",1,0)</f>
        <v/>
      </c>
      <c r="AP457" s="3">
        <f>AC457*AD457</f>
        <v/>
      </c>
      <c r="AQ457" s="3">
        <f>IF(AND(G457&lt;&gt;"",'Historical Score'!$C$6&lt;&gt;""),IF(G457='Historical Score'!$C$6,1,0),0)</f>
        <v/>
      </c>
      <c r="AR457" s="3">
        <f>IF(AND(L457&lt;&gt;"",'Historical Score'!$C$5&lt;&gt;""),IF(L457='Historical Score'!$C$5,1,0),0)</f>
        <v/>
      </c>
      <c r="AS457" s="3">
        <f>IF(AND(Y457&lt;&gt;"",'Historical Score'!$C$7&lt;&gt;""),IF(Y457='Historical Score'!$C$7,1,0),0)</f>
        <v/>
      </c>
      <c r="AT457" s="3">
        <f>IF(AND(K457&lt;&gt;"",'Historical Score'!$C$8&lt;&gt;""),IF(K457='Historical Score'!$C$8,1,0),0)</f>
        <v/>
      </c>
      <c r="AU457" s="3" t="n"/>
      <c r="AV457" s="3" t="n"/>
      <c r="AW457" s="3" t="n"/>
      <c r="AX457" s="3" t="n"/>
      <c r="AY457" s="3" t="n"/>
      <c r="AZ457" s="3" t="n"/>
      <c r="BA457" s="182">
        <f>IF(AD457=1,(AR457*'Historical Score'!$K$29+1-'Historical Score'!$K$29)*(AT457*'Historical Score'!$L$29+1-'Historical Score'!$L$29)*(AS457*'Historical Score'!$M$29+1-'Historical Score'!$M$29)*(AQ457*'Historical Score'!$N$29+1-'Historical Score'!$N$29),0)</f>
        <v/>
      </c>
      <c r="BB457" s="3" t="n"/>
      <c r="BC457" s="3" t="n"/>
    </row>
    <row r="458" ht="15.75" customHeight="1" s="174">
      <c r="A458" s="3" t="inlineStr">
        <is>
          <t>5674174652</t>
        </is>
      </c>
      <c r="B458" s="3" t="inlineStr">
        <is>
          <t>PROFESSIONAL SYSTEMS INSTALLATION</t>
        </is>
      </c>
      <c r="C458" s="3" t="inlineStr">
        <is>
          <t>professional systems installation, inc</t>
        </is>
      </c>
      <c r="D458" s="3" t="inlineStr">
        <is>
          <t>Closed</t>
        </is>
      </c>
      <c r="E458" s="23" t="n">
        <v>46009</v>
      </c>
      <c r="F458" s="23" t="n">
        <v>46150</v>
      </c>
      <c r="G458" s="3" t="n">
        <v>3</v>
      </c>
      <c r="H458" s="3" t="inlineStr">
        <is>
          <t>4225</t>
        </is>
      </c>
      <c r="I458" s="3" t="inlineStr">
        <is>
          <t>42</t>
        </is>
      </c>
      <c r="J458" s="3" t="inlineStr">
        <is>
          <t>MI</t>
        </is>
      </c>
      <c r="K458" s="3" t="inlineStr">
        <is>
          <t>EZ ADVANCE LLC</t>
        </is>
      </c>
      <c r="L458" s="3" t="inlineStr">
        <is>
          <t>New Deal</t>
        </is>
      </c>
      <c r="M458" s="3" t="n">
        <v>1.42</v>
      </c>
      <c r="N458" s="28" t="n">
        <v>200000</v>
      </c>
      <c r="O458" s="28" t="n">
        <v>21000</v>
      </c>
      <c r="P458" s="28" t="n">
        <v>284000</v>
      </c>
      <c r="Q458" s="28" t="n">
        <v>284000</v>
      </c>
      <c r="R458" s="28" t="n">
        <v>0</v>
      </c>
      <c r="S458" s="42" t="n">
        <v>1</v>
      </c>
      <c r="T458" s="3" t="n">
        <v>38</v>
      </c>
      <c r="U458" s="3" t="n">
        <v>0</v>
      </c>
      <c r="V458" s="3" t="n">
        <v>619888.4399999999</v>
      </c>
      <c r="W458" s="42" t="n">
        <v>0.0482</v>
      </c>
      <c r="X458" s="23" t="n">
        <v>41377</v>
      </c>
      <c r="Y458" s="3">
        <f>IF(I458="","No SIC",IFERROR(VLOOKUP(I458,Ref!$A$2:$B$65,2,FALSE()),"Unclassified"))</f>
        <v/>
      </c>
      <c r="Z458" s="3">
        <f>IF(T458="","",IF(T458&lt;12,"Daily","Weekly"))</f>
        <v/>
      </c>
      <c r="AA458" s="3">
        <f>IF(T458="",0,IF(T458&lt;12,T458*Controls!$B$13,T458*5))</f>
        <v/>
      </c>
      <c r="AB458" s="3">
        <f>IF(E458="",0,NETWORKDAYS(E458,Controls!$B$20,Ref!$K$2:$K$42))</f>
        <v/>
      </c>
      <c r="AC458" s="3">
        <f>IF(OR(AF458=1,AND(AA458&gt;0,AB458&gt;=Controls!$B$23*AA458)),1,0)</f>
        <v/>
      </c>
      <c r="AD458" s="3">
        <f>IF(AND(E458&lt;&gt;"",E458&gt;=Controls!$B$21,E458&lt;=Controls!$B$22),1,0)</f>
        <v/>
      </c>
      <c r="AE458" s="3">
        <f>IF(IFERROR(VLOOKUP(D458,Controls!$A$36:$E$46,2,FALSE()),"No")="Yes",1,0)</f>
        <v/>
      </c>
      <c r="AF458" s="3">
        <f>IF(IFERROR(VLOOKUP(D458,Controls!$A$36:$E$46,3,FALSE()),"No")="Yes",1,0)</f>
        <v/>
      </c>
      <c r="AG458" s="3">
        <f>IF(IFERROR(VLOOKUP(D458,Controls!$A$36:$E$46,4,FALSE()),"No")="Yes",1,0)</f>
        <v/>
      </c>
      <c r="AH458" s="3">
        <f>IF(IFERROR(VLOOKUP(D458,Controls!$A$36:$E$46,5,FALSE()),"No")="Yes",1,0)</f>
        <v/>
      </c>
      <c r="AI458" s="3">
        <f>IF(ISNUMBER(MATCH(D458,Controls!$A$36:$A$46,0)),1,0)</f>
        <v/>
      </c>
      <c r="AJ458" s="28">
        <f>Q458-N458</f>
        <v/>
      </c>
      <c r="AK458" s="3">
        <f>IF(AE458=1,MAX(0,N458-Q458),0)</f>
        <v/>
      </c>
      <c r="AL458" s="3">
        <f>IF(OR(V458="",V458=0),0,N458/V458)</f>
        <v/>
      </c>
      <c r="AM458" s="3">
        <f>IF(OR(V458="",V458=0),0,1)</f>
        <v/>
      </c>
      <c r="AN458" s="3">
        <f>IF(OR(E458="",F458=""),0,NETWORKDAYS(E458,F458,Ref!$K$2:$K$42))</f>
        <v/>
      </c>
      <c r="AO458" s="3">
        <f>IF(L458="Renewal",1,0)</f>
        <v/>
      </c>
      <c r="AP458" s="3">
        <f>AC458*AD458</f>
        <v/>
      </c>
      <c r="AQ458" s="3">
        <f>IF(AND(G458&lt;&gt;"",'Historical Score'!$C$6&lt;&gt;""),IF(G458='Historical Score'!$C$6,1,0),0)</f>
        <v/>
      </c>
      <c r="AR458" s="3">
        <f>IF(AND(L458&lt;&gt;"",'Historical Score'!$C$5&lt;&gt;""),IF(L458='Historical Score'!$C$5,1,0),0)</f>
        <v/>
      </c>
      <c r="AS458" s="3">
        <f>IF(AND(Y458&lt;&gt;"",'Historical Score'!$C$7&lt;&gt;""),IF(Y458='Historical Score'!$C$7,1,0),0)</f>
        <v/>
      </c>
      <c r="AT458" s="3">
        <f>IF(AND(K458&lt;&gt;"",'Historical Score'!$C$8&lt;&gt;""),IF(K458='Historical Score'!$C$8,1,0),0)</f>
        <v/>
      </c>
      <c r="AU458" s="3" t="n"/>
      <c r="AV458" s="3" t="n"/>
      <c r="AW458" s="3" t="n"/>
      <c r="AX458" s="3" t="n"/>
      <c r="AY458" s="3" t="n"/>
      <c r="AZ458" s="3" t="n"/>
      <c r="BA458" s="182">
        <f>IF(AD458=1,(AR458*'Historical Score'!$K$29+1-'Historical Score'!$K$29)*(AT458*'Historical Score'!$L$29+1-'Historical Score'!$L$29)*(AS458*'Historical Score'!$M$29+1-'Historical Score'!$M$29)*(AQ458*'Historical Score'!$N$29+1-'Historical Score'!$N$29),0)</f>
        <v/>
      </c>
      <c r="BB458" s="3" t="n"/>
      <c r="BC458" s="3" t="n"/>
    </row>
    <row r="459" ht="15.75" customHeight="1" s="174">
      <c r="A459" s="3" t="inlineStr">
        <is>
          <t>5674174654</t>
        </is>
      </c>
      <c r="B459" s="3" t="inlineStr">
        <is>
          <t>Obys Auto Restoration LLC</t>
        </is>
      </c>
      <c r="C459" s="3" t="inlineStr">
        <is>
          <t>Obys Auto Restoration LLC</t>
        </is>
      </c>
      <c r="D459" s="3" t="inlineStr">
        <is>
          <t>Closed</t>
        </is>
      </c>
      <c r="E459" s="23" t="n">
        <v>46009</v>
      </c>
      <c r="F459" s="23" t="n">
        <v>46118</v>
      </c>
      <c r="G459" s="3" t="n">
        <v>1</v>
      </c>
      <c r="H459" s="3" t="inlineStr">
        <is>
          <t>7538</t>
        </is>
      </c>
      <c r="I459" s="3" t="inlineStr">
        <is>
          <t>75</t>
        </is>
      </c>
      <c r="J459" s="3" t="inlineStr">
        <is>
          <t>WI</t>
        </is>
      </c>
      <c r="K459" s="3" t="inlineStr">
        <is>
          <t>United Secured Capital 8</t>
        </is>
      </c>
      <c r="L459" s="3" t="inlineStr">
        <is>
          <t>New Deal</t>
        </is>
      </c>
      <c r="M459" s="3" t="n">
        <v>1.49</v>
      </c>
      <c r="N459" s="28" t="n">
        <v>15000</v>
      </c>
      <c r="O459" s="28" t="n">
        <v>2100</v>
      </c>
      <c r="P459" s="28" t="n">
        <v>22350</v>
      </c>
      <c r="Q459" s="28" t="n">
        <v>22350</v>
      </c>
      <c r="R459" s="28" t="n">
        <v>0</v>
      </c>
      <c r="S459" s="42" t="n">
        <v>1</v>
      </c>
      <c r="T459" s="3" t="n">
        <v>18</v>
      </c>
      <c r="U459" s="3" t="n">
        <v>2</v>
      </c>
      <c r="V459" s="3" t="n">
        <v>36089.77</v>
      </c>
      <c r="W459" s="42" t="n">
        <v>0.1376</v>
      </c>
      <c r="X459" s="23" t="n">
        <v>45812</v>
      </c>
      <c r="Y459" s="3">
        <f>IF(I459="","No SIC",IFERROR(VLOOKUP(I459,Ref!$A$2:$B$65,2,FALSE()),"Unclassified"))</f>
        <v/>
      </c>
      <c r="Z459" s="3">
        <f>IF(T459="","",IF(T459&lt;12,"Daily","Weekly"))</f>
        <v/>
      </c>
      <c r="AA459" s="3">
        <f>IF(T459="",0,IF(T459&lt;12,T459*Controls!$B$13,T459*5))</f>
        <v/>
      </c>
      <c r="AB459" s="3">
        <f>IF(E459="",0,NETWORKDAYS(E459,Controls!$B$20,Ref!$K$2:$K$42))</f>
        <v/>
      </c>
      <c r="AC459" s="3">
        <f>IF(OR(AF459=1,AND(AA459&gt;0,AB459&gt;=Controls!$B$23*AA459)),1,0)</f>
        <v/>
      </c>
      <c r="AD459" s="3">
        <f>IF(AND(E459&lt;&gt;"",E459&gt;=Controls!$B$21,E459&lt;=Controls!$B$22),1,0)</f>
        <v/>
      </c>
      <c r="AE459" s="3">
        <f>IF(IFERROR(VLOOKUP(D459,Controls!$A$36:$E$46,2,FALSE()),"No")="Yes",1,0)</f>
        <v/>
      </c>
      <c r="AF459" s="3">
        <f>IF(IFERROR(VLOOKUP(D459,Controls!$A$36:$E$46,3,FALSE()),"No")="Yes",1,0)</f>
        <v/>
      </c>
      <c r="AG459" s="3">
        <f>IF(IFERROR(VLOOKUP(D459,Controls!$A$36:$E$46,4,FALSE()),"No")="Yes",1,0)</f>
        <v/>
      </c>
      <c r="AH459" s="3">
        <f>IF(IFERROR(VLOOKUP(D459,Controls!$A$36:$E$46,5,FALSE()),"No")="Yes",1,0)</f>
        <v/>
      </c>
      <c r="AI459" s="3">
        <f>IF(ISNUMBER(MATCH(D459,Controls!$A$36:$A$46,0)),1,0)</f>
        <v/>
      </c>
      <c r="AJ459" s="28">
        <f>Q459-N459</f>
        <v/>
      </c>
      <c r="AK459" s="3">
        <f>IF(AE459=1,MAX(0,N459-Q459),0)</f>
        <v/>
      </c>
      <c r="AL459" s="3">
        <f>IF(OR(V459="",V459=0),0,N459/V459)</f>
        <v/>
      </c>
      <c r="AM459" s="3">
        <f>IF(OR(V459="",V459=0),0,1)</f>
        <v/>
      </c>
      <c r="AN459" s="3">
        <f>IF(OR(E459="",F459=""),0,NETWORKDAYS(E459,F459,Ref!$K$2:$K$42))</f>
        <v/>
      </c>
      <c r="AO459" s="3">
        <f>IF(L459="Renewal",1,0)</f>
        <v/>
      </c>
      <c r="AP459" s="3">
        <f>AC459*AD459</f>
        <v/>
      </c>
      <c r="AQ459" s="3">
        <f>IF(AND(G459&lt;&gt;"",'Historical Score'!$C$6&lt;&gt;""),IF(G459='Historical Score'!$C$6,1,0),0)</f>
        <v/>
      </c>
      <c r="AR459" s="3">
        <f>IF(AND(L459&lt;&gt;"",'Historical Score'!$C$5&lt;&gt;""),IF(L459='Historical Score'!$C$5,1,0),0)</f>
        <v/>
      </c>
      <c r="AS459" s="3">
        <f>IF(AND(Y459&lt;&gt;"",'Historical Score'!$C$7&lt;&gt;""),IF(Y459='Historical Score'!$C$7,1,0),0)</f>
        <v/>
      </c>
      <c r="AT459" s="3">
        <f>IF(AND(K459&lt;&gt;"",'Historical Score'!$C$8&lt;&gt;""),IF(K459='Historical Score'!$C$8,1,0),0)</f>
        <v/>
      </c>
      <c r="AU459" s="3" t="n"/>
      <c r="AV459" s="3" t="n"/>
      <c r="AW459" s="3" t="n"/>
      <c r="AX459" s="3" t="n"/>
      <c r="AY459" s="3" t="n"/>
      <c r="AZ459" s="3" t="n"/>
      <c r="BA459" s="182">
        <f>IF(AD459=1,(AR459*'Historical Score'!$K$29+1-'Historical Score'!$K$29)*(AT459*'Historical Score'!$L$29+1-'Historical Score'!$L$29)*(AS459*'Historical Score'!$M$29+1-'Historical Score'!$M$29)*(AQ459*'Historical Score'!$N$29+1-'Historical Score'!$N$29),0)</f>
        <v/>
      </c>
      <c r="BB459" s="3" t="n"/>
      <c r="BC459" s="3" t="n"/>
    </row>
    <row r="460" ht="15.75" customHeight="1" s="174">
      <c r="A460" s="3" t="inlineStr">
        <is>
          <t>5674174716</t>
        </is>
      </c>
      <c r="B460" s="3" t="inlineStr">
        <is>
          <t>WILLIAMS FIRE PROTECTION</t>
        </is>
      </c>
      <c r="C460" s="3" t="inlineStr">
        <is>
          <t>WILLIAMS FIRE PROTECTION</t>
        </is>
      </c>
      <c r="D460" s="3" t="inlineStr">
        <is>
          <t>Lowered Payments</t>
        </is>
      </c>
      <c r="E460" s="23" t="n">
        <v>46010</v>
      </c>
      <c r="F460" s="23" t="n">
        <v>46227</v>
      </c>
      <c r="G460" s="3" t="n">
        <v>1</v>
      </c>
      <c r="H460" s="3" t="inlineStr">
        <is>
          <t>9224</t>
        </is>
      </c>
      <c r="I460" s="3" t="inlineStr">
        <is>
          <t>92</t>
        </is>
      </c>
      <c r="J460" s="3" t="inlineStr">
        <is>
          <t>CA</t>
        </is>
      </c>
      <c r="K460" s="3" t="inlineStr">
        <is>
          <t>Fundwell</t>
        </is>
      </c>
      <c r="L460" s="3" t="inlineStr">
        <is>
          <t>New Deal</t>
        </is>
      </c>
      <c r="M460" s="3" t="n">
        <v>1.46</v>
      </c>
      <c r="N460" s="28" t="n">
        <v>30000</v>
      </c>
      <c r="O460" s="28" t="n">
        <v>4650</v>
      </c>
      <c r="P460" s="28" t="n">
        <v>43800</v>
      </c>
      <c r="Q460" s="28" t="n">
        <v>13928.32</v>
      </c>
      <c r="R460" s="28" t="n">
        <v>29871.68</v>
      </c>
      <c r="S460" s="42" t="n">
        <v>0.317998173515982</v>
      </c>
      <c r="T460" s="3" t="n">
        <v>30</v>
      </c>
      <c r="U460" s="3" t="n">
        <v>20</v>
      </c>
      <c r="V460" s="3" t="n">
        <v>78496.8</v>
      </c>
      <c r="W460" s="42" t="n">
        <v>0.07439999999999999</v>
      </c>
      <c r="X460" s="23" t="n">
        <v>45273</v>
      </c>
      <c r="Y460" s="3">
        <f>IF(I460="","No SIC",IFERROR(VLOOKUP(I460,Ref!$A$2:$B$65,2,FALSE()),"Unclassified"))</f>
        <v/>
      </c>
      <c r="Z460" s="3">
        <f>IF(T460="","",IF(T460&lt;12,"Daily","Weekly"))</f>
        <v/>
      </c>
      <c r="AA460" s="3">
        <f>IF(T460="",0,IF(T460&lt;12,T460*Controls!$B$13,T460*5))</f>
        <v/>
      </c>
      <c r="AB460" s="3">
        <f>IF(E460="",0,NETWORKDAYS(E460,Controls!$B$20,Ref!$K$2:$K$42))</f>
        <v/>
      </c>
      <c r="AC460" s="3">
        <f>IF(OR(AF460=1,AND(AA460&gt;0,AB460&gt;=Controls!$B$23*AA460)),1,0)</f>
        <v/>
      </c>
      <c r="AD460" s="3">
        <f>IF(AND(E460&lt;&gt;"",E460&gt;=Controls!$B$21,E460&lt;=Controls!$B$22),1,0)</f>
        <v/>
      </c>
      <c r="AE460" s="3">
        <f>IF(IFERROR(VLOOKUP(D460,Controls!$A$36:$E$46,2,FALSE()),"No")="Yes",1,0)</f>
        <v/>
      </c>
      <c r="AF460" s="3">
        <f>IF(IFERROR(VLOOKUP(D460,Controls!$A$36:$E$46,3,FALSE()),"No")="Yes",1,0)</f>
        <v/>
      </c>
      <c r="AG460" s="3">
        <f>IF(IFERROR(VLOOKUP(D460,Controls!$A$36:$E$46,4,FALSE()),"No")="Yes",1,0)</f>
        <v/>
      </c>
      <c r="AH460" s="3">
        <f>IF(IFERROR(VLOOKUP(D460,Controls!$A$36:$E$46,5,FALSE()),"No")="Yes",1,0)</f>
        <v/>
      </c>
      <c r="AI460" s="3">
        <f>IF(ISNUMBER(MATCH(D460,Controls!$A$36:$A$46,0)),1,0)</f>
        <v/>
      </c>
      <c r="AJ460" s="28">
        <f>Q460-N460</f>
        <v/>
      </c>
      <c r="AK460" s="3">
        <f>IF(AE460=1,MAX(0,N460-Q460),0)</f>
        <v/>
      </c>
      <c r="AL460" s="3">
        <f>IF(OR(V460="",V460=0),0,N460/V460)</f>
        <v/>
      </c>
      <c r="AM460" s="3">
        <f>IF(OR(V460="",V460=0),0,1)</f>
        <v/>
      </c>
      <c r="AN460" s="3">
        <f>IF(OR(E460="",F460=""),0,NETWORKDAYS(E460,F460,Ref!$K$2:$K$42))</f>
        <v/>
      </c>
      <c r="AO460" s="3">
        <f>IF(L460="Renewal",1,0)</f>
        <v/>
      </c>
      <c r="AP460" s="3">
        <f>AC460*AD460</f>
        <v/>
      </c>
      <c r="AQ460" s="3">
        <f>IF(AND(G460&lt;&gt;"",'Historical Score'!$C$6&lt;&gt;""),IF(G460='Historical Score'!$C$6,1,0),0)</f>
        <v/>
      </c>
      <c r="AR460" s="3">
        <f>IF(AND(L460&lt;&gt;"",'Historical Score'!$C$5&lt;&gt;""),IF(L460='Historical Score'!$C$5,1,0),0)</f>
        <v/>
      </c>
      <c r="AS460" s="3">
        <f>IF(AND(Y460&lt;&gt;"",'Historical Score'!$C$7&lt;&gt;""),IF(Y460='Historical Score'!$C$7,1,0),0)</f>
        <v/>
      </c>
      <c r="AT460" s="3">
        <f>IF(AND(K460&lt;&gt;"",'Historical Score'!$C$8&lt;&gt;""),IF(K460='Historical Score'!$C$8,1,0),0)</f>
        <v/>
      </c>
      <c r="AU460" s="3" t="n"/>
      <c r="AV460" s="3" t="n"/>
      <c r="AW460" s="3" t="n"/>
      <c r="AX460" s="3" t="n"/>
      <c r="AY460" s="3" t="n"/>
      <c r="AZ460" s="3" t="n"/>
      <c r="BA460" s="182">
        <f>IF(AD460=1,(AR460*'Historical Score'!$K$29+1-'Historical Score'!$K$29)*(AT460*'Historical Score'!$L$29+1-'Historical Score'!$L$29)*(AS460*'Historical Score'!$M$29+1-'Historical Score'!$M$29)*(AQ460*'Historical Score'!$N$29+1-'Historical Score'!$N$29),0)</f>
        <v/>
      </c>
      <c r="BB460" s="3" t="n"/>
      <c r="BC460" s="3" t="n"/>
    </row>
    <row r="461" ht="15.75" customHeight="1" s="174">
      <c r="A461" s="3" t="inlineStr">
        <is>
          <t>5674174762</t>
        </is>
      </c>
      <c r="B461" s="3" t="inlineStr">
        <is>
          <t>ON SITE REPAIR SERVICES LLC</t>
        </is>
      </c>
      <c r="C461" s="3" t="inlineStr">
        <is>
          <t>ON SITE REPAIR SERVICES LLC</t>
        </is>
      </c>
      <c r="D461" s="3" t="inlineStr">
        <is>
          <t>Closed</t>
        </is>
      </c>
      <c r="E461" s="23" t="n">
        <v>46010</v>
      </c>
      <c r="F461" s="23" t="n">
        <v>46113</v>
      </c>
      <c r="G461" s="3" t="n">
        <v>2</v>
      </c>
      <c r="H461" s="3" t="inlineStr">
        <is>
          <t>1522</t>
        </is>
      </c>
      <c r="I461" s="3" t="inlineStr">
        <is>
          <t>15</t>
        </is>
      </c>
      <c r="J461" s="3" t="inlineStr">
        <is>
          <t>TX</t>
        </is>
      </c>
      <c r="K461" s="3" t="inlineStr">
        <is>
          <t>Ballicci</t>
        </is>
      </c>
      <c r="L461" s="3" t="inlineStr">
        <is>
          <t>New Deal</t>
        </is>
      </c>
      <c r="M461" s="3" t="n">
        <v>1.39</v>
      </c>
      <c r="N461" s="28" t="n">
        <v>30000</v>
      </c>
      <c r="O461" s="28" t="n">
        <v>2700</v>
      </c>
      <c r="P461" s="28" t="n">
        <v>41700</v>
      </c>
      <c r="Q461" s="28" t="n">
        <v>41700</v>
      </c>
      <c r="R461" s="28" t="n">
        <v>0</v>
      </c>
      <c r="S461" s="42" t="n">
        <v>1</v>
      </c>
      <c r="T461" s="3" t="n">
        <v>3.607</v>
      </c>
      <c r="U461" s="3" t="n">
        <v>0</v>
      </c>
      <c r="V461" s="3" t="n">
        <v>63010.24</v>
      </c>
      <c r="W461" s="42" t="n">
        <v>0.1263</v>
      </c>
      <c r="X461" s="23" t="n"/>
      <c r="Y461" s="3">
        <f>IF(I461="","No SIC",IFERROR(VLOOKUP(I461,Ref!$A$2:$B$65,2,FALSE()),"Unclassified"))</f>
        <v/>
      </c>
      <c r="Z461" s="3">
        <f>IF(T461="","",IF(T461&lt;12,"Daily","Weekly"))</f>
        <v/>
      </c>
      <c r="AA461" s="3">
        <f>IF(T461="",0,IF(T461&lt;12,T461*Controls!$B$13,T461*5))</f>
        <v/>
      </c>
      <c r="AB461" s="3">
        <f>IF(E461="",0,NETWORKDAYS(E461,Controls!$B$20,Ref!$K$2:$K$42))</f>
        <v/>
      </c>
      <c r="AC461" s="3">
        <f>IF(OR(AF461=1,AND(AA461&gt;0,AB461&gt;=Controls!$B$23*AA461)),1,0)</f>
        <v/>
      </c>
      <c r="AD461" s="3">
        <f>IF(AND(E461&lt;&gt;"",E461&gt;=Controls!$B$21,E461&lt;=Controls!$B$22),1,0)</f>
        <v/>
      </c>
      <c r="AE461" s="3">
        <f>IF(IFERROR(VLOOKUP(D461,Controls!$A$36:$E$46,2,FALSE()),"No")="Yes",1,0)</f>
        <v/>
      </c>
      <c r="AF461" s="3">
        <f>IF(IFERROR(VLOOKUP(D461,Controls!$A$36:$E$46,3,FALSE()),"No")="Yes",1,0)</f>
        <v/>
      </c>
      <c r="AG461" s="3">
        <f>IF(IFERROR(VLOOKUP(D461,Controls!$A$36:$E$46,4,FALSE()),"No")="Yes",1,0)</f>
        <v/>
      </c>
      <c r="AH461" s="3">
        <f>IF(IFERROR(VLOOKUP(D461,Controls!$A$36:$E$46,5,FALSE()),"No")="Yes",1,0)</f>
        <v/>
      </c>
      <c r="AI461" s="3">
        <f>IF(ISNUMBER(MATCH(D461,Controls!$A$36:$A$46,0)),1,0)</f>
        <v/>
      </c>
      <c r="AJ461" s="28">
        <f>Q461-N461</f>
        <v/>
      </c>
      <c r="AK461" s="3">
        <f>IF(AE461=1,MAX(0,N461-Q461),0)</f>
        <v/>
      </c>
      <c r="AL461" s="3">
        <f>IF(OR(V461="",V461=0),0,N461/V461)</f>
        <v/>
      </c>
      <c r="AM461" s="3">
        <f>IF(OR(V461="",V461=0),0,1)</f>
        <v/>
      </c>
      <c r="AN461" s="3">
        <f>IF(OR(E461="",F461=""),0,NETWORKDAYS(E461,F461,Ref!$K$2:$K$42))</f>
        <v/>
      </c>
      <c r="AO461" s="3">
        <f>IF(L461="Renewal",1,0)</f>
        <v/>
      </c>
      <c r="AP461" s="3">
        <f>AC461*AD461</f>
        <v/>
      </c>
      <c r="AQ461" s="3">
        <f>IF(AND(G461&lt;&gt;"",'Historical Score'!$C$6&lt;&gt;""),IF(G461='Historical Score'!$C$6,1,0),0)</f>
        <v/>
      </c>
      <c r="AR461" s="3">
        <f>IF(AND(L461&lt;&gt;"",'Historical Score'!$C$5&lt;&gt;""),IF(L461='Historical Score'!$C$5,1,0),0)</f>
        <v/>
      </c>
      <c r="AS461" s="3">
        <f>IF(AND(Y461&lt;&gt;"",'Historical Score'!$C$7&lt;&gt;""),IF(Y461='Historical Score'!$C$7,1,0),0)</f>
        <v/>
      </c>
      <c r="AT461" s="3">
        <f>IF(AND(K461&lt;&gt;"",'Historical Score'!$C$8&lt;&gt;""),IF(K461='Historical Score'!$C$8,1,0),0)</f>
        <v/>
      </c>
      <c r="AU461" s="3" t="n"/>
      <c r="AV461" s="3" t="n"/>
      <c r="AW461" s="3" t="n"/>
      <c r="AX461" s="3" t="n"/>
      <c r="AY461" s="3" t="n"/>
      <c r="AZ461" s="3" t="n"/>
      <c r="BA461" s="182">
        <f>IF(AD461=1,(AR461*'Historical Score'!$K$29+1-'Historical Score'!$K$29)*(AT461*'Historical Score'!$L$29+1-'Historical Score'!$L$29)*(AS461*'Historical Score'!$M$29+1-'Historical Score'!$M$29)*(AQ461*'Historical Score'!$N$29+1-'Historical Score'!$N$29),0)</f>
        <v/>
      </c>
      <c r="BB461" s="3" t="n"/>
      <c r="BC461" s="3" t="n"/>
    </row>
    <row r="462" ht="15.75" customHeight="1" s="174">
      <c r="A462" s="3" t="inlineStr">
        <is>
          <t>5674174763</t>
        </is>
      </c>
      <c r="B462" s="3" t="inlineStr">
        <is>
          <t>Hd Builders And Construction LLC</t>
        </is>
      </c>
      <c r="C462" s="3" t="inlineStr">
        <is>
          <t>Hd Builders And Construction LLC</t>
        </is>
      </c>
      <c r="D462" s="3" t="inlineStr">
        <is>
          <t>Closed</t>
        </is>
      </c>
      <c r="E462" s="23" t="n">
        <v>46010</v>
      </c>
      <c r="F462" s="23" t="n">
        <v>46090</v>
      </c>
      <c r="G462" s="3" t="n">
        <v>2</v>
      </c>
      <c r="H462" s="3" t="inlineStr">
        <is>
          <t>1521</t>
        </is>
      </c>
      <c r="I462" s="3" t="inlineStr">
        <is>
          <t>15</t>
        </is>
      </c>
      <c r="J462" s="3" t="inlineStr">
        <is>
          <t>NM</t>
        </is>
      </c>
      <c r="K462" s="3" t="inlineStr">
        <is>
          <t>AVON ADVANCE</t>
        </is>
      </c>
      <c r="L462" s="3" t="inlineStr">
        <is>
          <t>New Deal</t>
        </is>
      </c>
      <c r="M462" s="3" t="n">
        <v>1.49</v>
      </c>
      <c r="N462" s="28" t="n">
        <v>6000</v>
      </c>
      <c r="O462" s="28" t="n">
        <v>840</v>
      </c>
      <c r="P462" s="28" t="n">
        <v>8940</v>
      </c>
      <c r="Q462" s="28" t="n">
        <v>8940</v>
      </c>
      <c r="R462" s="28" t="n">
        <v>0</v>
      </c>
      <c r="S462" s="42" t="n">
        <v>1</v>
      </c>
      <c r="T462" s="3" t="n">
        <v>2.623</v>
      </c>
      <c r="U462" s="3" t="n">
        <v>4</v>
      </c>
      <c r="V462" s="3" t="n">
        <v>50226.03</v>
      </c>
      <c r="W462" s="42" t="n">
        <v>0.0467</v>
      </c>
      <c r="X462" s="23" t="n">
        <v>44627</v>
      </c>
      <c r="Y462" s="3">
        <f>IF(I462="","No SIC",IFERROR(VLOOKUP(I462,Ref!$A$2:$B$65,2,FALSE()),"Unclassified"))</f>
        <v/>
      </c>
      <c r="Z462" s="3">
        <f>IF(T462="","",IF(T462&lt;12,"Daily","Weekly"))</f>
        <v/>
      </c>
      <c r="AA462" s="3">
        <f>IF(T462="",0,IF(T462&lt;12,T462*Controls!$B$13,T462*5))</f>
        <v/>
      </c>
      <c r="AB462" s="3">
        <f>IF(E462="",0,NETWORKDAYS(E462,Controls!$B$20,Ref!$K$2:$K$42))</f>
        <v/>
      </c>
      <c r="AC462" s="3">
        <f>IF(OR(AF462=1,AND(AA462&gt;0,AB462&gt;=Controls!$B$23*AA462)),1,0)</f>
        <v/>
      </c>
      <c r="AD462" s="3">
        <f>IF(AND(E462&lt;&gt;"",E462&gt;=Controls!$B$21,E462&lt;=Controls!$B$22),1,0)</f>
        <v/>
      </c>
      <c r="AE462" s="3">
        <f>IF(IFERROR(VLOOKUP(D462,Controls!$A$36:$E$46,2,FALSE()),"No")="Yes",1,0)</f>
        <v/>
      </c>
      <c r="AF462" s="3">
        <f>IF(IFERROR(VLOOKUP(D462,Controls!$A$36:$E$46,3,FALSE()),"No")="Yes",1,0)</f>
        <v/>
      </c>
      <c r="AG462" s="3">
        <f>IF(IFERROR(VLOOKUP(D462,Controls!$A$36:$E$46,4,FALSE()),"No")="Yes",1,0)</f>
        <v/>
      </c>
      <c r="AH462" s="3">
        <f>IF(IFERROR(VLOOKUP(D462,Controls!$A$36:$E$46,5,FALSE()),"No")="Yes",1,0)</f>
        <v/>
      </c>
      <c r="AI462" s="3">
        <f>IF(ISNUMBER(MATCH(D462,Controls!$A$36:$A$46,0)),1,0)</f>
        <v/>
      </c>
      <c r="AJ462" s="28">
        <f>Q462-N462</f>
        <v/>
      </c>
      <c r="AK462" s="3">
        <f>IF(AE462=1,MAX(0,N462-Q462),0)</f>
        <v/>
      </c>
      <c r="AL462" s="3">
        <f>IF(OR(V462="",V462=0),0,N462/V462)</f>
        <v/>
      </c>
      <c r="AM462" s="3">
        <f>IF(OR(V462="",V462=0),0,1)</f>
        <v/>
      </c>
      <c r="AN462" s="3">
        <f>IF(OR(E462="",F462=""),0,NETWORKDAYS(E462,F462,Ref!$K$2:$K$42))</f>
        <v/>
      </c>
      <c r="AO462" s="3">
        <f>IF(L462="Renewal",1,0)</f>
        <v/>
      </c>
      <c r="AP462" s="3">
        <f>AC462*AD462</f>
        <v/>
      </c>
      <c r="AQ462" s="3">
        <f>IF(AND(G462&lt;&gt;"",'Historical Score'!$C$6&lt;&gt;""),IF(G462='Historical Score'!$C$6,1,0),0)</f>
        <v/>
      </c>
      <c r="AR462" s="3">
        <f>IF(AND(L462&lt;&gt;"",'Historical Score'!$C$5&lt;&gt;""),IF(L462='Historical Score'!$C$5,1,0),0)</f>
        <v/>
      </c>
      <c r="AS462" s="3">
        <f>IF(AND(Y462&lt;&gt;"",'Historical Score'!$C$7&lt;&gt;""),IF(Y462='Historical Score'!$C$7,1,0),0)</f>
        <v/>
      </c>
      <c r="AT462" s="3">
        <f>IF(AND(K462&lt;&gt;"",'Historical Score'!$C$8&lt;&gt;""),IF(K462='Historical Score'!$C$8,1,0),0)</f>
        <v/>
      </c>
      <c r="AU462" s="3" t="n"/>
      <c r="AV462" s="3" t="n"/>
      <c r="AW462" s="3" t="n"/>
      <c r="AX462" s="3" t="n"/>
      <c r="AY462" s="3" t="n"/>
      <c r="AZ462" s="3" t="n"/>
      <c r="BA462" s="182">
        <f>IF(AD462=1,(AR462*'Historical Score'!$K$29+1-'Historical Score'!$K$29)*(AT462*'Historical Score'!$L$29+1-'Historical Score'!$L$29)*(AS462*'Historical Score'!$M$29+1-'Historical Score'!$M$29)*(AQ462*'Historical Score'!$N$29+1-'Historical Score'!$N$29),0)</f>
        <v/>
      </c>
      <c r="BB462" s="3" t="n"/>
      <c r="BC462" s="3" t="n"/>
    </row>
    <row r="463" ht="15.75" customHeight="1" s="174">
      <c r="A463" s="3" t="inlineStr">
        <is>
          <t>5674174814</t>
        </is>
      </c>
      <c r="B463" s="3" t="inlineStr">
        <is>
          <t>LOW-COUNTRY INSURANCE SOLUTIONS</t>
        </is>
      </c>
      <c r="C463" s="3" t="inlineStr">
        <is>
          <t>FORREST S SMITH</t>
        </is>
      </c>
      <c r="D463" s="3" t="inlineStr">
        <is>
          <t>Closed</t>
        </is>
      </c>
      <c r="E463" s="23" t="n">
        <v>46013</v>
      </c>
      <c r="F463" s="23" t="n">
        <v>46092</v>
      </c>
      <c r="G463" s="3" t="n">
        <v>1</v>
      </c>
      <c r="H463" s="3" t="inlineStr">
        <is>
          <t>6411</t>
        </is>
      </c>
      <c r="I463" s="3" t="inlineStr">
        <is>
          <t>64</t>
        </is>
      </c>
      <c r="J463" s="3" t="inlineStr">
        <is>
          <t>SC</t>
        </is>
      </c>
      <c r="K463" s="3" t="inlineStr">
        <is>
          <t>United Secured Capital 8</t>
        </is>
      </c>
      <c r="L463" s="3" t="inlineStr">
        <is>
          <t>New Deal</t>
        </is>
      </c>
      <c r="M463" s="3" t="n">
        <v>1.49</v>
      </c>
      <c r="N463" s="28" t="n">
        <v>15000</v>
      </c>
      <c r="O463" s="28" t="n">
        <v>2100</v>
      </c>
      <c r="P463" s="28" t="n">
        <v>22350</v>
      </c>
      <c r="Q463" s="28" t="n">
        <v>22350</v>
      </c>
      <c r="R463" s="28" t="n">
        <v>0</v>
      </c>
      <c r="S463" s="42" t="n">
        <v>1</v>
      </c>
      <c r="T463" s="3" t="n">
        <v>2.951</v>
      </c>
      <c r="U463" s="3" t="n">
        <v>1</v>
      </c>
      <c r="V463" s="3" t="n">
        <v>40000</v>
      </c>
      <c r="W463" s="42" t="n">
        <v>0.1159</v>
      </c>
      <c r="X463" s="23" t="n">
        <v>38325</v>
      </c>
      <c r="Y463" s="3">
        <f>IF(I463="","No SIC",IFERROR(VLOOKUP(I463,Ref!$A$2:$B$65,2,FALSE()),"Unclassified"))</f>
        <v/>
      </c>
      <c r="Z463" s="3">
        <f>IF(T463="","",IF(T463&lt;12,"Daily","Weekly"))</f>
        <v/>
      </c>
      <c r="AA463" s="3">
        <f>IF(T463="",0,IF(T463&lt;12,T463*Controls!$B$13,T463*5))</f>
        <v/>
      </c>
      <c r="AB463" s="3">
        <f>IF(E463="",0,NETWORKDAYS(E463,Controls!$B$20,Ref!$K$2:$K$42))</f>
        <v/>
      </c>
      <c r="AC463" s="3">
        <f>IF(OR(AF463=1,AND(AA463&gt;0,AB463&gt;=Controls!$B$23*AA463)),1,0)</f>
        <v/>
      </c>
      <c r="AD463" s="3">
        <f>IF(AND(E463&lt;&gt;"",E463&gt;=Controls!$B$21,E463&lt;=Controls!$B$22),1,0)</f>
        <v/>
      </c>
      <c r="AE463" s="3">
        <f>IF(IFERROR(VLOOKUP(D463,Controls!$A$36:$E$46,2,FALSE()),"No")="Yes",1,0)</f>
        <v/>
      </c>
      <c r="AF463" s="3">
        <f>IF(IFERROR(VLOOKUP(D463,Controls!$A$36:$E$46,3,FALSE()),"No")="Yes",1,0)</f>
        <v/>
      </c>
      <c r="AG463" s="3">
        <f>IF(IFERROR(VLOOKUP(D463,Controls!$A$36:$E$46,4,FALSE()),"No")="Yes",1,0)</f>
        <v/>
      </c>
      <c r="AH463" s="3">
        <f>IF(IFERROR(VLOOKUP(D463,Controls!$A$36:$E$46,5,FALSE()),"No")="Yes",1,0)</f>
        <v/>
      </c>
      <c r="AI463" s="3">
        <f>IF(ISNUMBER(MATCH(D463,Controls!$A$36:$A$46,0)),1,0)</f>
        <v/>
      </c>
      <c r="AJ463" s="28">
        <f>Q463-N463</f>
        <v/>
      </c>
      <c r="AK463" s="3">
        <f>IF(AE463=1,MAX(0,N463-Q463),0)</f>
        <v/>
      </c>
      <c r="AL463" s="3">
        <f>IF(OR(V463="",V463=0),0,N463/V463)</f>
        <v/>
      </c>
      <c r="AM463" s="3">
        <f>IF(OR(V463="",V463=0),0,1)</f>
        <v/>
      </c>
      <c r="AN463" s="3">
        <f>IF(OR(E463="",F463=""),0,NETWORKDAYS(E463,F463,Ref!$K$2:$K$42))</f>
        <v/>
      </c>
      <c r="AO463" s="3">
        <f>IF(L463="Renewal",1,0)</f>
        <v/>
      </c>
      <c r="AP463" s="3">
        <f>AC463*AD463</f>
        <v/>
      </c>
      <c r="AQ463" s="3">
        <f>IF(AND(G463&lt;&gt;"",'Historical Score'!$C$6&lt;&gt;""),IF(G463='Historical Score'!$C$6,1,0),0)</f>
        <v/>
      </c>
      <c r="AR463" s="3">
        <f>IF(AND(L463&lt;&gt;"",'Historical Score'!$C$5&lt;&gt;""),IF(L463='Historical Score'!$C$5,1,0),0)</f>
        <v/>
      </c>
      <c r="AS463" s="3">
        <f>IF(AND(Y463&lt;&gt;"",'Historical Score'!$C$7&lt;&gt;""),IF(Y463='Historical Score'!$C$7,1,0),0)</f>
        <v/>
      </c>
      <c r="AT463" s="3">
        <f>IF(AND(K463&lt;&gt;"",'Historical Score'!$C$8&lt;&gt;""),IF(K463='Historical Score'!$C$8,1,0),0)</f>
        <v/>
      </c>
      <c r="AU463" s="3" t="n"/>
      <c r="AV463" s="3" t="n"/>
      <c r="AW463" s="3" t="n"/>
      <c r="AX463" s="3" t="n"/>
      <c r="AY463" s="3" t="n"/>
      <c r="AZ463" s="3" t="n"/>
      <c r="BA463" s="182">
        <f>IF(AD463=1,(AR463*'Historical Score'!$K$29+1-'Historical Score'!$K$29)*(AT463*'Historical Score'!$L$29+1-'Historical Score'!$L$29)*(AS463*'Historical Score'!$M$29+1-'Historical Score'!$M$29)*(AQ463*'Historical Score'!$N$29+1-'Historical Score'!$N$29),0)</f>
        <v/>
      </c>
      <c r="BB463" s="3" t="n"/>
      <c r="BC463" s="3" t="n"/>
    </row>
    <row r="464" ht="15.75" customHeight="1" s="174">
      <c r="A464" s="3" t="inlineStr">
        <is>
          <t>5674174820</t>
        </is>
      </c>
      <c r="B464" s="3" t="inlineStr">
        <is>
          <t>Cream Ridge Golf Course</t>
        </is>
      </c>
      <c r="C464" s="3" t="inlineStr">
        <is>
          <t>CR Golf Management LLC</t>
        </is>
      </c>
      <c r="D464" s="3" t="inlineStr">
        <is>
          <t>Lowered Payments</t>
        </is>
      </c>
      <c r="E464" s="23" t="n">
        <v>46013</v>
      </c>
      <c r="F464" s="23" t="n">
        <v>46253</v>
      </c>
      <c r="G464" s="3" t="n">
        <v>1</v>
      </c>
      <c r="H464" s="3" t="inlineStr">
        <is>
          <t>7992</t>
        </is>
      </c>
      <c r="I464" s="3" t="inlineStr">
        <is>
          <t>79</t>
        </is>
      </c>
      <c r="J464" s="3" t="inlineStr">
        <is>
          <t>NJ</t>
        </is>
      </c>
      <c r="K464" s="3" t="inlineStr">
        <is>
          <t>Fundwell</t>
        </is>
      </c>
      <c r="L464" s="3" t="inlineStr">
        <is>
          <t>New Deal</t>
        </is>
      </c>
      <c r="M464" s="3" t="n">
        <v>1.38</v>
      </c>
      <c r="N464" s="28" t="n">
        <v>50000</v>
      </c>
      <c r="O464" s="28" t="n">
        <v>6250</v>
      </c>
      <c r="P464" s="28" t="n">
        <v>69000</v>
      </c>
      <c r="Q464" s="28" t="n">
        <v>37385.22</v>
      </c>
      <c r="R464" s="28" t="n">
        <v>31614.78</v>
      </c>
      <c r="S464" s="42" t="n">
        <v>0.541814782608696</v>
      </c>
      <c r="T464" s="3" t="n">
        <v>24</v>
      </c>
      <c r="U464" s="3" t="n">
        <v>31</v>
      </c>
      <c r="V464" s="3" t="n">
        <v>87944.36</v>
      </c>
      <c r="W464" s="42" t="n">
        <v>0.1308</v>
      </c>
      <c r="X464" s="23" t="n">
        <v>43339</v>
      </c>
      <c r="Y464" s="3">
        <f>IF(I464="","No SIC",IFERROR(VLOOKUP(I464,Ref!$A$2:$B$65,2,FALSE()),"Unclassified"))</f>
        <v/>
      </c>
      <c r="Z464" s="3">
        <f>IF(T464="","",IF(T464&lt;12,"Daily","Weekly"))</f>
        <v/>
      </c>
      <c r="AA464" s="3">
        <f>IF(T464="",0,IF(T464&lt;12,T464*Controls!$B$13,T464*5))</f>
        <v/>
      </c>
      <c r="AB464" s="3">
        <f>IF(E464="",0,NETWORKDAYS(E464,Controls!$B$20,Ref!$K$2:$K$42))</f>
        <v/>
      </c>
      <c r="AC464" s="3">
        <f>IF(OR(AF464=1,AND(AA464&gt;0,AB464&gt;=Controls!$B$23*AA464)),1,0)</f>
        <v/>
      </c>
      <c r="AD464" s="3">
        <f>IF(AND(E464&lt;&gt;"",E464&gt;=Controls!$B$21,E464&lt;=Controls!$B$22),1,0)</f>
        <v/>
      </c>
      <c r="AE464" s="3">
        <f>IF(IFERROR(VLOOKUP(D464,Controls!$A$36:$E$46,2,FALSE()),"No")="Yes",1,0)</f>
        <v/>
      </c>
      <c r="AF464" s="3">
        <f>IF(IFERROR(VLOOKUP(D464,Controls!$A$36:$E$46,3,FALSE()),"No")="Yes",1,0)</f>
        <v/>
      </c>
      <c r="AG464" s="3">
        <f>IF(IFERROR(VLOOKUP(D464,Controls!$A$36:$E$46,4,FALSE()),"No")="Yes",1,0)</f>
        <v/>
      </c>
      <c r="AH464" s="3">
        <f>IF(IFERROR(VLOOKUP(D464,Controls!$A$36:$E$46,5,FALSE()),"No")="Yes",1,0)</f>
        <v/>
      </c>
      <c r="AI464" s="3">
        <f>IF(ISNUMBER(MATCH(D464,Controls!$A$36:$A$46,0)),1,0)</f>
        <v/>
      </c>
      <c r="AJ464" s="28">
        <f>Q464-N464</f>
        <v/>
      </c>
      <c r="AK464" s="3">
        <f>IF(AE464=1,MAX(0,N464-Q464),0)</f>
        <v/>
      </c>
      <c r="AL464" s="3">
        <f>IF(OR(V464="",V464=0),0,N464/V464)</f>
        <v/>
      </c>
      <c r="AM464" s="3">
        <f>IF(OR(V464="",V464=0),0,1)</f>
        <v/>
      </c>
      <c r="AN464" s="3">
        <f>IF(OR(E464="",F464=""),0,NETWORKDAYS(E464,F464,Ref!$K$2:$K$42))</f>
        <v/>
      </c>
      <c r="AO464" s="3">
        <f>IF(L464="Renewal",1,0)</f>
        <v/>
      </c>
      <c r="AP464" s="3">
        <f>AC464*AD464</f>
        <v/>
      </c>
      <c r="AQ464" s="3">
        <f>IF(AND(G464&lt;&gt;"",'Historical Score'!$C$6&lt;&gt;""),IF(G464='Historical Score'!$C$6,1,0),0)</f>
        <v/>
      </c>
      <c r="AR464" s="3">
        <f>IF(AND(L464&lt;&gt;"",'Historical Score'!$C$5&lt;&gt;""),IF(L464='Historical Score'!$C$5,1,0),0)</f>
        <v/>
      </c>
      <c r="AS464" s="3">
        <f>IF(AND(Y464&lt;&gt;"",'Historical Score'!$C$7&lt;&gt;""),IF(Y464='Historical Score'!$C$7,1,0),0)</f>
        <v/>
      </c>
      <c r="AT464" s="3">
        <f>IF(AND(K464&lt;&gt;"",'Historical Score'!$C$8&lt;&gt;""),IF(K464='Historical Score'!$C$8,1,0),0)</f>
        <v/>
      </c>
      <c r="AU464" s="3" t="n"/>
      <c r="AV464" s="3" t="n"/>
      <c r="AW464" s="3" t="n"/>
      <c r="AX464" s="3" t="n"/>
      <c r="AY464" s="3" t="n"/>
      <c r="AZ464" s="3" t="n"/>
      <c r="BA464" s="182">
        <f>IF(AD464=1,(AR464*'Historical Score'!$K$29+1-'Historical Score'!$K$29)*(AT464*'Historical Score'!$L$29+1-'Historical Score'!$L$29)*(AS464*'Historical Score'!$M$29+1-'Historical Score'!$M$29)*(AQ464*'Historical Score'!$N$29+1-'Historical Score'!$N$29),0)</f>
        <v/>
      </c>
      <c r="BB464" s="3" t="n"/>
      <c r="BC464" s="3" t="n"/>
    </row>
    <row r="465" ht="15.75" customHeight="1" s="174">
      <c r="A465" s="3" t="inlineStr">
        <is>
          <t>5674174823</t>
        </is>
      </c>
      <c r="B465" s="3" t="inlineStr">
        <is>
          <t>Jacalito Taqueria Inc</t>
        </is>
      </c>
      <c r="C465" s="3" t="inlineStr">
        <is>
          <t>Jacalito Taqueria Inc</t>
        </is>
      </c>
      <c r="D465" s="3" t="inlineStr">
        <is>
          <t>Open</t>
        </is>
      </c>
      <c r="E465" s="23" t="n">
        <v>46013</v>
      </c>
      <c r="F465" s="23" t="n">
        <v>46253</v>
      </c>
      <c r="G465" s="3" t="n">
        <v>5</v>
      </c>
      <c r="H465" s="3" t="inlineStr">
        <is>
          <t>5812</t>
        </is>
      </c>
      <c r="I465" s="3" t="inlineStr">
        <is>
          <t>58</t>
        </is>
      </c>
      <c r="J465" s="3" t="inlineStr">
        <is>
          <t>FL</t>
        </is>
      </c>
      <c r="K465" s="3" t="inlineStr">
        <is>
          <t>Ballicci</t>
        </is>
      </c>
      <c r="L465" s="3" t="inlineStr">
        <is>
          <t>New Deal</t>
        </is>
      </c>
      <c r="M465" s="3" t="n">
        <v>1.49</v>
      </c>
      <c r="N465" s="28" t="n">
        <v>30000</v>
      </c>
      <c r="O465" s="28" t="n">
        <v>4200</v>
      </c>
      <c r="P465" s="28" t="n">
        <v>44700</v>
      </c>
      <c r="Q465" s="28" t="n">
        <v>32038.44</v>
      </c>
      <c r="R465" s="28" t="n">
        <v>12661.56</v>
      </c>
      <c r="S465" s="42" t="n">
        <v>0.716743624161074</v>
      </c>
      <c r="T465" s="3" t="n">
        <v>3.934</v>
      </c>
      <c r="U465" s="3" t="n">
        <v>81</v>
      </c>
      <c r="V465" s="3" t="n">
        <v>58513.79</v>
      </c>
      <c r="W465" s="42" t="n">
        <v>0.1337</v>
      </c>
      <c r="X465" s="23" t="n">
        <v>40118</v>
      </c>
      <c r="Y465" s="3">
        <f>IF(I465="","No SIC",IFERROR(VLOOKUP(I465,Ref!$A$2:$B$65,2,FALSE()),"Unclassified"))</f>
        <v/>
      </c>
      <c r="Z465" s="3">
        <f>IF(T465="","",IF(T465&lt;12,"Daily","Weekly"))</f>
        <v/>
      </c>
      <c r="AA465" s="3">
        <f>IF(T465="",0,IF(T465&lt;12,T465*Controls!$B$13,T465*5))</f>
        <v/>
      </c>
      <c r="AB465" s="3">
        <f>IF(E465="",0,NETWORKDAYS(E465,Controls!$B$20,Ref!$K$2:$K$42))</f>
        <v/>
      </c>
      <c r="AC465" s="3">
        <f>IF(OR(AF465=1,AND(AA465&gt;0,AB465&gt;=Controls!$B$23*AA465)),1,0)</f>
        <v/>
      </c>
      <c r="AD465" s="3">
        <f>IF(AND(E465&lt;&gt;"",E465&gt;=Controls!$B$21,E465&lt;=Controls!$B$22),1,0)</f>
        <v/>
      </c>
      <c r="AE465" s="3">
        <f>IF(IFERROR(VLOOKUP(D465,Controls!$A$36:$E$46,2,FALSE()),"No")="Yes",1,0)</f>
        <v/>
      </c>
      <c r="AF465" s="3">
        <f>IF(IFERROR(VLOOKUP(D465,Controls!$A$36:$E$46,3,FALSE()),"No")="Yes",1,0)</f>
        <v/>
      </c>
      <c r="AG465" s="3">
        <f>IF(IFERROR(VLOOKUP(D465,Controls!$A$36:$E$46,4,FALSE()),"No")="Yes",1,0)</f>
        <v/>
      </c>
      <c r="AH465" s="3">
        <f>IF(IFERROR(VLOOKUP(D465,Controls!$A$36:$E$46,5,FALSE()),"No")="Yes",1,0)</f>
        <v/>
      </c>
      <c r="AI465" s="3">
        <f>IF(ISNUMBER(MATCH(D465,Controls!$A$36:$A$46,0)),1,0)</f>
        <v/>
      </c>
      <c r="AJ465" s="28">
        <f>Q465-N465</f>
        <v/>
      </c>
      <c r="AK465" s="3">
        <f>IF(AE465=1,MAX(0,N465-Q465),0)</f>
        <v/>
      </c>
      <c r="AL465" s="3">
        <f>IF(OR(V465="",V465=0),0,N465/V465)</f>
        <v/>
      </c>
      <c r="AM465" s="3">
        <f>IF(OR(V465="",V465=0),0,1)</f>
        <v/>
      </c>
      <c r="AN465" s="3">
        <f>IF(OR(E465="",F465=""),0,NETWORKDAYS(E465,F465,Ref!$K$2:$K$42))</f>
        <v/>
      </c>
      <c r="AO465" s="3">
        <f>IF(L465="Renewal",1,0)</f>
        <v/>
      </c>
      <c r="AP465" s="3">
        <f>AC465*AD465</f>
        <v/>
      </c>
      <c r="AQ465" s="3">
        <f>IF(AND(G465&lt;&gt;"",'Historical Score'!$C$6&lt;&gt;""),IF(G465='Historical Score'!$C$6,1,0),0)</f>
        <v/>
      </c>
      <c r="AR465" s="3">
        <f>IF(AND(L465&lt;&gt;"",'Historical Score'!$C$5&lt;&gt;""),IF(L465='Historical Score'!$C$5,1,0),0)</f>
        <v/>
      </c>
      <c r="AS465" s="3">
        <f>IF(AND(Y465&lt;&gt;"",'Historical Score'!$C$7&lt;&gt;""),IF(Y465='Historical Score'!$C$7,1,0),0)</f>
        <v/>
      </c>
      <c r="AT465" s="3">
        <f>IF(AND(K465&lt;&gt;"",'Historical Score'!$C$8&lt;&gt;""),IF(K465='Historical Score'!$C$8,1,0),0)</f>
        <v/>
      </c>
      <c r="AU465" s="3" t="n"/>
      <c r="AV465" s="3" t="n"/>
      <c r="AW465" s="3" t="n"/>
      <c r="AX465" s="3" t="n"/>
      <c r="AY465" s="3" t="n"/>
      <c r="AZ465" s="3" t="n"/>
      <c r="BA465" s="182">
        <f>IF(AD465=1,(AR465*'Historical Score'!$K$29+1-'Historical Score'!$K$29)*(AT465*'Historical Score'!$L$29+1-'Historical Score'!$L$29)*(AS465*'Historical Score'!$M$29+1-'Historical Score'!$M$29)*(AQ465*'Historical Score'!$N$29+1-'Historical Score'!$N$29),0)</f>
        <v/>
      </c>
      <c r="BB465" s="3" t="n"/>
      <c r="BC465" s="3" t="n"/>
    </row>
    <row r="466" ht="15.75" customHeight="1" s="174">
      <c r="A466" s="3" t="inlineStr">
        <is>
          <t>5674174897</t>
        </is>
      </c>
      <c r="B466" s="3" t="inlineStr">
        <is>
          <t>Carlyle Care Clinic PLLC</t>
        </is>
      </c>
      <c r="C466" s="3" t="inlineStr">
        <is>
          <t>Carlyle Care Clinic PLLC</t>
        </is>
      </c>
      <c r="D466" s="3" t="inlineStr">
        <is>
          <t>Legal</t>
        </is>
      </c>
      <c r="E466" s="23" t="n">
        <v>46014</v>
      </c>
      <c r="F466" s="23" t="n">
        <v>46149</v>
      </c>
      <c r="G466" s="3" t="n">
        <v>3</v>
      </c>
      <c r="H466" s="3" t="inlineStr">
        <is>
          <t>8082</t>
        </is>
      </c>
      <c r="I466" s="3" t="inlineStr">
        <is>
          <t>80</t>
        </is>
      </c>
      <c r="J466" s="3" t="inlineStr">
        <is>
          <t>AR</t>
        </is>
      </c>
      <c r="K466" s="3" t="inlineStr">
        <is>
          <t>United Secured Capital 8</t>
        </is>
      </c>
      <c r="L466" s="3" t="inlineStr">
        <is>
          <t>New Deal</t>
        </is>
      </c>
      <c r="M466" s="3" t="n">
        <v>1.49</v>
      </c>
      <c r="N466" s="28" t="n">
        <v>40000</v>
      </c>
      <c r="O466" s="28" t="n">
        <v>0</v>
      </c>
      <c r="P466" s="28" t="n">
        <v>59600</v>
      </c>
      <c r="Q466" s="28" t="n">
        <v>9535.440000000001</v>
      </c>
      <c r="R466" s="28" t="n">
        <v>50064.56</v>
      </c>
      <c r="S466" s="42" t="n">
        <v>0.159990604026846</v>
      </c>
      <c r="T466" s="3" t="n">
        <v>2.459</v>
      </c>
      <c r="U466" s="3" t="n">
        <v>73</v>
      </c>
      <c r="V466" s="3" t="n">
        <v>31520.5</v>
      </c>
      <c r="W466" s="42" t="n">
        <v>0.5294</v>
      </c>
      <c r="X466" s="23" t="n">
        <v>44655</v>
      </c>
      <c r="Y466" s="3">
        <f>IF(I466="","No SIC",IFERROR(VLOOKUP(I466,Ref!$A$2:$B$65,2,FALSE()),"Unclassified"))</f>
        <v/>
      </c>
      <c r="Z466" s="3">
        <f>IF(T466="","",IF(T466&lt;12,"Daily","Weekly"))</f>
        <v/>
      </c>
      <c r="AA466" s="3">
        <f>IF(T466="",0,IF(T466&lt;12,T466*Controls!$B$13,T466*5))</f>
        <v/>
      </c>
      <c r="AB466" s="3">
        <f>IF(E466="",0,NETWORKDAYS(E466,Controls!$B$20,Ref!$K$2:$K$42))</f>
        <v/>
      </c>
      <c r="AC466" s="3">
        <f>IF(OR(AF466=1,AND(AA466&gt;0,AB466&gt;=Controls!$B$23*AA466)),1,0)</f>
        <v/>
      </c>
      <c r="AD466" s="3">
        <f>IF(AND(E466&lt;&gt;"",E466&gt;=Controls!$B$21,E466&lt;=Controls!$B$22),1,0)</f>
        <v/>
      </c>
      <c r="AE466" s="3">
        <f>IF(IFERROR(VLOOKUP(D466,Controls!$A$36:$E$46,2,FALSE()),"No")="Yes",1,0)</f>
        <v/>
      </c>
      <c r="AF466" s="3">
        <f>IF(IFERROR(VLOOKUP(D466,Controls!$A$36:$E$46,3,FALSE()),"No")="Yes",1,0)</f>
        <v/>
      </c>
      <c r="AG466" s="3">
        <f>IF(IFERROR(VLOOKUP(D466,Controls!$A$36:$E$46,4,FALSE()),"No")="Yes",1,0)</f>
        <v/>
      </c>
      <c r="AH466" s="3">
        <f>IF(IFERROR(VLOOKUP(D466,Controls!$A$36:$E$46,5,FALSE()),"No")="Yes",1,0)</f>
        <v/>
      </c>
      <c r="AI466" s="3">
        <f>IF(ISNUMBER(MATCH(D466,Controls!$A$36:$A$46,0)),1,0)</f>
        <v/>
      </c>
      <c r="AJ466" s="28">
        <f>Q466-N466</f>
        <v/>
      </c>
      <c r="AK466" s="3">
        <f>IF(AE466=1,MAX(0,N466-Q466),0)</f>
        <v/>
      </c>
      <c r="AL466" s="3">
        <f>IF(OR(V466="",V466=0),0,N466/V466)</f>
        <v/>
      </c>
      <c r="AM466" s="3">
        <f>IF(OR(V466="",V466=0),0,1)</f>
        <v/>
      </c>
      <c r="AN466" s="3">
        <f>IF(OR(E466="",F466=""),0,NETWORKDAYS(E466,F466,Ref!$K$2:$K$42))</f>
        <v/>
      </c>
      <c r="AO466" s="3">
        <f>IF(L466="Renewal",1,0)</f>
        <v/>
      </c>
      <c r="AP466" s="3">
        <f>AC466*AD466</f>
        <v/>
      </c>
      <c r="AQ466" s="3">
        <f>IF(AND(G466&lt;&gt;"",'Historical Score'!$C$6&lt;&gt;""),IF(G466='Historical Score'!$C$6,1,0),0)</f>
        <v/>
      </c>
      <c r="AR466" s="3">
        <f>IF(AND(L466&lt;&gt;"",'Historical Score'!$C$5&lt;&gt;""),IF(L466='Historical Score'!$C$5,1,0),0)</f>
        <v/>
      </c>
      <c r="AS466" s="3">
        <f>IF(AND(Y466&lt;&gt;"",'Historical Score'!$C$7&lt;&gt;""),IF(Y466='Historical Score'!$C$7,1,0),0)</f>
        <v/>
      </c>
      <c r="AT466" s="3">
        <f>IF(AND(K466&lt;&gt;"",'Historical Score'!$C$8&lt;&gt;""),IF(K466='Historical Score'!$C$8,1,0),0)</f>
        <v/>
      </c>
      <c r="AU466" s="3" t="n"/>
      <c r="AV466" s="3" t="n"/>
      <c r="AW466" s="3" t="n"/>
      <c r="AX466" s="3" t="n"/>
      <c r="AY466" s="3" t="n"/>
      <c r="AZ466" s="3" t="n"/>
      <c r="BA466" s="182">
        <f>IF(AD466=1,(AR466*'Historical Score'!$K$29+1-'Historical Score'!$K$29)*(AT466*'Historical Score'!$L$29+1-'Historical Score'!$L$29)*(AS466*'Historical Score'!$M$29+1-'Historical Score'!$M$29)*(AQ466*'Historical Score'!$N$29+1-'Historical Score'!$N$29),0)</f>
        <v/>
      </c>
      <c r="BB466" s="3" t="n"/>
      <c r="BC466" s="3" t="n"/>
    </row>
    <row r="467" ht="15.75" customHeight="1" s="174">
      <c r="A467" s="3" t="inlineStr">
        <is>
          <t>5674174903</t>
        </is>
      </c>
      <c r="B467" s="3" t="inlineStr">
        <is>
          <t>JB AUTOMOTIVE REPAIRS, JB AUTOMOTIVE</t>
        </is>
      </c>
      <c r="C467" s="3" t="inlineStr">
        <is>
          <t>WILLIAMS MOBILE LLC</t>
        </is>
      </c>
      <c r="D467" s="3" t="inlineStr">
        <is>
          <t>In House Collection</t>
        </is>
      </c>
      <c r="E467" s="23" t="n">
        <v>46014</v>
      </c>
      <c r="F467" s="23" t="n">
        <v>46150</v>
      </c>
      <c r="G467" s="3" t="n">
        <v>1</v>
      </c>
      <c r="H467" s="3" t="inlineStr">
        <is>
          <t>7538</t>
        </is>
      </c>
      <c r="I467" s="3" t="inlineStr">
        <is>
          <t>75</t>
        </is>
      </c>
      <c r="J467" s="3" t="inlineStr">
        <is>
          <t>CA</t>
        </is>
      </c>
      <c r="K467" s="3" t="inlineStr">
        <is>
          <t>PMF</t>
        </is>
      </c>
      <c r="L467" s="3" t="inlineStr">
        <is>
          <t>New Deal</t>
        </is>
      </c>
      <c r="M467" s="3" t="n">
        <v>1.49</v>
      </c>
      <c r="N467" s="28" t="n">
        <v>20000</v>
      </c>
      <c r="O467" s="28" t="n">
        <v>2800</v>
      </c>
      <c r="P467" s="28" t="n">
        <v>29800</v>
      </c>
      <c r="Q467" s="28" t="n">
        <v>13020.24</v>
      </c>
      <c r="R467" s="28" t="n">
        <v>16779.76</v>
      </c>
      <c r="S467" s="42" t="n">
        <v>0.436920805369128</v>
      </c>
      <c r="T467" s="3" t="n">
        <v>26</v>
      </c>
      <c r="U467" s="3" t="n">
        <v>4</v>
      </c>
      <c r="V467" s="3" t="n">
        <v>37862.35</v>
      </c>
      <c r="W467" s="42" t="n">
        <v>0.1211</v>
      </c>
      <c r="X467" s="23" t="n">
        <v>44825</v>
      </c>
      <c r="Y467" s="3">
        <f>IF(I467="","No SIC",IFERROR(VLOOKUP(I467,Ref!$A$2:$B$65,2,FALSE()),"Unclassified"))</f>
        <v/>
      </c>
      <c r="Z467" s="3">
        <f>IF(T467="","",IF(T467&lt;12,"Daily","Weekly"))</f>
        <v/>
      </c>
      <c r="AA467" s="3">
        <f>IF(T467="",0,IF(T467&lt;12,T467*Controls!$B$13,T467*5))</f>
        <v/>
      </c>
      <c r="AB467" s="3">
        <f>IF(E467="",0,NETWORKDAYS(E467,Controls!$B$20,Ref!$K$2:$K$42))</f>
        <v/>
      </c>
      <c r="AC467" s="3">
        <f>IF(OR(AF467=1,AND(AA467&gt;0,AB467&gt;=Controls!$B$23*AA467)),1,0)</f>
        <v/>
      </c>
      <c r="AD467" s="3">
        <f>IF(AND(E467&lt;&gt;"",E467&gt;=Controls!$B$21,E467&lt;=Controls!$B$22),1,0)</f>
        <v/>
      </c>
      <c r="AE467" s="3">
        <f>IF(IFERROR(VLOOKUP(D467,Controls!$A$36:$E$46,2,FALSE()),"No")="Yes",1,0)</f>
        <v/>
      </c>
      <c r="AF467" s="3">
        <f>IF(IFERROR(VLOOKUP(D467,Controls!$A$36:$E$46,3,FALSE()),"No")="Yes",1,0)</f>
        <v/>
      </c>
      <c r="AG467" s="3">
        <f>IF(IFERROR(VLOOKUP(D467,Controls!$A$36:$E$46,4,FALSE()),"No")="Yes",1,0)</f>
        <v/>
      </c>
      <c r="AH467" s="3">
        <f>IF(IFERROR(VLOOKUP(D467,Controls!$A$36:$E$46,5,FALSE()),"No")="Yes",1,0)</f>
        <v/>
      </c>
      <c r="AI467" s="3">
        <f>IF(ISNUMBER(MATCH(D467,Controls!$A$36:$A$46,0)),1,0)</f>
        <v/>
      </c>
      <c r="AJ467" s="28">
        <f>Q467-N467</f>
        <v/>
      </c>
      <c r="AK467" s="3">
        <f>IF(AE467=1,MAX(0,N467-Q467),0)</f>
        <v/>
      </c>
      <c r="AL467" s="3">
        <f>IF(OR(V467="",V467=0),0,N467/V467)</f>
        <v/>
      </c>
      <c r="AM467" s="3">
        <f>IF(OR(V467="",V467=0),0,1)</f>
        <v/>
      </c>
      <c r="AN467" s="3">
        <f>IF(OR(E467="",F467=""),0,NETWORKDAYS(E467,F467,Ref!$K$2:$K$42))</f>
        <v/>
      </c>
      <c r="AO467" s="3">
        <f>IF(L467="Renewal",1,0)</f>
        <v/>
      </c>
      <c r="AP467" s="3">
        <f>AC467*AD467</f>
        <v/>
      </c>
      <c r="AQ467" s="3">
        <f>IF(AND(G467&lt;&gt;"",'Historical Score'!$C$6&lt;&gt;""),IF(G467='Historical Score'!$C$6,1,0),0)</f>
        <v/>
      </c>
      <c r="AR467" s="3">
        <f>IF(AND(L467&lt;&gt;"",'Historical Score'!$C$5&lt;&gt;""),IF(L467='Historical Score'!$C$5,1,0),0)</f>
        <v/>
      </c>
      <c r="AS467" s="3">
        <f>IF(AND(Y467&lt;&gt;"",'Historical Score'!$C$7&lt;&gt;""),IF(Y467='Historical Score'!$C$7,1,0),0)</f>
        <v/>
      </c>
      <c r="AT467" s="3">
        <f>IF(AND(K467&lt;&gt;"",'Historical Score'!$C$8&lt;&gt;""),IF(K467='Historical Score'!$C$8,1,0),0)</f>
        <v/>
      </c>
      <c r="AU467" s="3" t="n"/>
      <c r="AV467" s="3" t="n"/>
      <c r="AW467" s="3" t="n"/>
      <c r="AX467" s="3" t="n"/>
      <c r="AY467" s="3" t="n"/>
      <c r="AZ467" s="3" t="n"/>
      <c r="BA467" s="182">
        <f>IF(AD467=1,(AR467*'Historical Score'!$K$29+1-'Historical Score'!$K$29)*(AT467*'Historical Score'!$L$29+1-'Historical Score'!$L$29)*(AS467*'Historical Score'!$M$29+1-'Historical Score'!$M$29)*(AQ467*'Historical Score'!$N$29+1-'Historical Score'!$N$29),0)</f>
        <v/>
      </c>
      <c r="BB467" s="3" t="n"/>
      <c r="BC467" s="3" t="n"/>
    </row>
    <row r="468" ht="15.75" customHeight="1" s="174">
      <c r="A468" s="3" t="inlineStr">
        <is>
          <t>5674174932</t>
        </is>
      </c>
      <c r="B468" s="3" t="inlineStr">
        <is>
          <t>EL TACO LOCO AL VAPOR II,</t>
        </is>
      </c>
      <c r="C468" s="3" t="inlineStr">
        <is>
          <t>EL TACO LOCO AL VAPOR II,</t>
        </is>
      </c>
      <c r="D468" s="3" t="inlineStr">
        <is>
          <t>Closed</t>
        </is>
      </c>
      <c r="E468" s="23" t="n">
        <v>46014</v>
      </c>
      <c r="F468" s="23" t="n">
        <v>46078</v>
      </c>
      <c r="G468" s="3" t="n">
        <v>1</v>
      </c>
      <c r="H468" s="3" t="inlineStr">
        <is>
          <t>5812</t>
        </is>
      </c>
      <c r="I468" s="3" t="inlineStr">
        <is>
          <t>58</t>
        </is>
      </c>
      <c r="J468" s="3" t="inlineStr">
        <is>
          <t>TX</t>
        </is>
      </c>
      <c r="K468" s="3" t="inlineStr">
        <is>
          <t>Westwood</t>
        </is>
      </c>
      <c r="L468" s="3" t="inlineStr">
        <is>
          <t>New Deal</t>
        </is>
      </c>
      <c r="M468" s="3" t="n">
        <v>1.49</v>
      </c>
      <c r="N468" s="28" t="n">
        <v>12000</v>
      </c>
      <c r="O468" s="28" t="n">
        <v>1680</v>
      </c>
      <c r="P468" s="28" t="n">
        <v>17880</v>
      </c>
      <c r="Q468" s="28" t="n">
        <v>17880</v>
      </c>
      <c r="R468" s="28" t="n">
        <v>0</v>
      </c>
      <c r="S468" s="42" t="n">
        <v>1</v>
      </c>
      <c r="T468" s="3" t="n">
        <v>2.951</v>
      </c>
      <c r="U468" s="3" t="n">
        <v>0</v>
      </c>
      <c r="V468" s="3" t="n">
        <v>30000</v>
      </c>
      <c r="W468" s="42" t="n">
        <v>0.1192</v>
      </c>
      <c r="X468" s="23" t="n"/>
      <c r="Y468" s="3">
        <f>IF(I468="","No SIC",IFERROR(VLOOKUP(I468,Ref!$A$2:$B$65,2,FALSE()),"Unclassified"))</f>
        <v/>
      </c>
      <c r="Z468" s="3">
        <f>IF(T468="","",IF(T468&lt;12,"Daily","Weekly"))</f>
        <v/>
      </c>
      <c r="AA468" s="3">
        <f>IF(T468="",0,IF(T468&lt;12,T468*Controls!$B$13,T468*5))</f>
        <v/>
      </c>
      <c r="AB468" s="3">
        <f>IF(E468="",0,NETWORKDAYS(E468,Controls!$B$20,Ref!$K$2:$K$42))</f>
        <v/>
      </c>
      <c r="AC468" s="3">
        <f>IF(OR(AF468=1,AND(AA468&gt;0,AB468&gt;=Controls!$B$23*AA468)),1,0)</f>
        <v/>
      </c>
      <c r="AD468" s="3">
        <f>IF(AND(E468&lt;&gt;"",E468&gt;=Controls!$B$21,E468&lt;=Controls!$B$22),1,0)</f>
        <v/>
      </c>
      <c r="AE468" s="3">
        <f>IF(IFERROR(VLOOKUP(D468,Controls!$A$36:$E$46,2,FALSE()),"No")="Yes",1,0)</f>
        <v/>
      </c>
      <c r="AF468" s="3">
        <f>IF(IFERROR(VLOOKUP(D468,Controls!$A$36:$E$46,3,FALSE()),"No")="Yes",1,0)</f>
        <v/>
      </c>
      <c r="AG468" s="3">
        <f>IF(IFERROR(VLOOKUP(D468,Controls!$A$36:$E$46,4,FALSE()),"No")="Yes",1,0)</f>
        <v/>
      </c>
      <c r="AH468" s="3">
        <f>IF(IFERROR(VLOOKUP(D468,Controls!$A$36:$E$46,5,FALSE()),"No")="Yes",1,0)</f>
        <v/>
      </c>
      <c r="AI468" s="3">
        <f>IF(ISNUMBER(MATCH(D468,Controls!$A$36:$A$46,0)),1,0)</f>
        <v/>
      </c>
      <c r="AJ468" s="28">
        <f>Q468-N468</f>
        <v/>
      </c>
      <c r="AK468" s="3">
        <f>IF(AE468=1,MAX(0,N468-Q468),0)</f>
        <v/>
      </c>
      <c r="AL468" s="3">
        <f>IF(OR(V468="",V468=0),0,N468/V468)</f>
        <v/>
      </c>
      <c r="AM468" s="3">
        <f>IF(OR(V468="",V468=0),0,1)</f>
        <v/>
      </c>
      <c r="AN468" s="3">
        <f>IF(OR(E468="",F468=""),0,NETWORKDAYS(E468,F468,Ref!$K$2:$K$42))</f>
        <v/>
      </c>
      <c r="AO468" s="3">
        <f>IF(L468="Renewal",1,0)</f>
        <v/>
      </c>
      <c r="AP468" s="3">
        <f>AC468*AD468</f>
        <v/>
      </c>
      <c r="AQ468" s="3">
        <f>IF(AND(G468&lt;&gt;"",'Historical Score'!$C$6&lt;&gt;""),IF(G468='Historical Score'!$C$6,1,0),0)</f>
        <v/>
      </c>
      <c r="AR468" s="3">
        <f>IF(AND(L468&lt;&gt;"",'Historical Score'!$C$5&lt;&gt;""),IF(L468='Historical Score'!$C$5,1,0),0)</f>
        <v/>
      </c>
      <c r="AS468" s="3">
        <f>IF(AND(Y468&lt;&gt;"",'Historical Score'!$C$7&lt;&gt;""),IF(Y468='Historical Score'!$C$7,1,0),0)</f>
        <v/>
      </c>
      <c r="AT468" s="3">
        <f>IF(AND(K468&lt;&gt;"",'Historical Score'!$C$8&lt;&gt;""),IF(K468='Historical Score'!$C$8,1,0),0)</f>
        <v/>
      </c>
      <c r="AU468" s="3" t="n"/>
      <c r="AV468" s="3" t="n"/>
      <c r="AW468" s="3" t="n"/>
      <c r="AX468" s="3" t="n"/>
      <c r="AY468" s="3" t="n"/>
      <c r="AZ468" s="3" t="n"/>
      <c r="BA468" s="182">
        <f>IF(AD468=1,(AR468*'Historical Score'!$K$29+1-'Historical Score'!$K$29)*(AT468*'Historical Score'!$L$29+1-'Historical Score'!$L$29)*(AS468*'Historical Score'!$M$29+1-'Historical Score'!$M$29)*(AQ468*'Historical Score'!$N$29+1-'Historical Score'!$N$29),0)</f>
        <v/>
      </c>
      <c r="BB468" s="3" t="n"/>
      <c r="BC468" s="3" t="n"/>
    </row>
    <row r="469" ht="15.75" customHeight="1" s="174">
      <c r="A469" s="3" t="inlineStr">
        <is>
          <t>5674174937</t>
        </is>
      </c>
      <c r="B469" s="3" t="inlineStr">
        <is>
          <t>JACKS PEST MGMT LLC</t>
        </is>
      </c>
      <c r="C469" s="3" t="inlineStr">
        <is>
          <t>JACKS PEST MGMT LLC</t>
        </is>
      </c>
      <c r="D469" s="3" t="inlineStr">
        <is>
          <t>Closed</t>
        </is>
      </c>
      <c r="E469" s="23" t="n">
        <v>46014</v>
      </c>
      <c r="F469" s="23" t="n">
        <v>46162</v>
      </c>
      <c r="G469" s="3" t="n">
        <v>2</v>
      </c>
      <c r="H469" s="3" t="inlineStr">
        <is>
          <t>7342</t>
        </is>
      </c>
      <c r="I469" s="3" t="inlineStr">
        <is>
          <t>73</t>
        </is>
      </c>
      <c r="J469" s="3" t="inlineStr">
        <is>
          <t>MO</t>
        </is>
      </c>
      <c r="K469" s="3" t="inlineStr">
        <is>
          <t>Samson Funding</t>
        </is>
      </c>
      <c r="L469" s="3" t="inlineStr">
        <is>
          <t>Renewal</t>
        </is>
      </c>
      <c r="M469" s="3" t="n">
        <v>1.45</v>
      </c>
      <c r="N469" s="28" t="n">
        <v>10000</v>
      </c>
      <c r="O469" s="28" t="n">
        <v>1200</v>
      </c>
      <c r="P469" s="28" t="n">
        <v>14500</v>
      </c>
      <c r="Q469" s="28" t="n">
        <v>14500</v>
      </c>
      <c r="R469" s="28" t="n">
        <v>0</v>
      </c>
      <c r="S469" s="42" t="n">
        <v>1</v>
      </c>
      <c r="T469" s="3" t="n">
        <v>3.934</v>
      </c>
      <c r="U469" s="3" t="n">
        <v>0</v>
      </c>
      <c r="V469" s="3" t="n">
        <v>12993</v>
      </c>
      <c r="W469" s="42" t="n">
        <v>0.1953</v>
      </c>
      <c r="X469" s="23" t="n">
        <v>45280</v>
      </c>
      <c r="Y469" s="3">
        <f>IF(I469="","No SIC",IFERROR(VLOOKUP(I469,Ref!$A$2:$B$65,2,FALSE()),"Unclassified"))</f>
        <v/>
      </c>
      <c r="Z469" s="3">
        <f>IF(T469="","",IF(T469&lt;12,"Daily","Weekly"))</f>
        <v/>
      </c>
      <c r="AA469" s="3">
        <f>IF(T469="",0,IF(T469&lt;12,T469*Controls!$B$13,T469*5))</f>
        <v/>
      </c>
      <c r="AB469" s="3">
        <f>IF(E469="",0,NETWORKDAYS(E469,Controls!$B$20,Ref!$K$2:$K$42))</f>
        <v/>
      </c>
      <c r="AC469" s="3">
        <f>IF(OR(AF469=1,AND(AA469&gt;0,AB469&gt;=Controls!$B$23*AA469)),1,0)</f>
        <v/>
      </c>
      <c r="AD469" s="3">
        <f>IF(AND(E469&lt;&gt;"",E469&gt;=Controls!$B$21,E469&lt;=Controls!$B$22),1,0)</f>
        <v/>
      </c>
      <c r="AE469" s="3">
        <f>IF(IFERROR(VLOOKUP(D469,Controls!$A$36:$E$46,2,FALSE()),"No")="Yes",1,0)</f>
        <v/>
      </c>
      <c r="AF469" s="3">
        <f>IF(IFERROR(VLOOKUP(D469,Controls!$A$36:$E$46,3,FALSE()),"No")="Yes",1,0)</f>
        <v/>
      </c>
      <c r="AG469" s="3">
        <f>IF(IFERROR(VLOOKUP(D469,Controls!$A$36:$E$46,4,FALSE()),"No")="Yes",1,0)</f>
        <v/>
      </c>
      <c r="AH469" s="3">
        <f>IF(IFERROR(VLOOKUP(D469,Controls!$A$36:$E$46,5,FALSE()),"No")="Yes",1,0)</f>
        <v/>
      </c>
      <c r="AI469" s="3">
        <f>IF(ISNUMBER(MATCH(D469,Controls!$A$36:$A$46,0)),1,0)</f>
        <v/>
      </c>
      <c r="AJ469" s="28">
        <f>Q469-N469</f>
        <v/>
      </c>
      <c r="AK469" s="3">
        <f>IF(AE469=1,MAX(0,N469-Q469),0)</f>
        <v/>
      </c>
      <c r="AL469" s="3">
        <f>IF(OR(V469="",V469=0),0,N469/V469)</f>
        <v/>
      </c>
      <c r="AM469" s="3">
        <f>IF(OR(V469="",V469=0),0,1)</f>
        <v/>
      </c>
      <c r="AN469" s="3">
        <f>IF(OR(E469="",F469=""),0,NETWORKDAYS(E469,F469,Ref!$K$2:$K$42))</f>
        <v/>
      </c>
      <c r="AO469" s="3">
        <f>IF(L469="Renewal",1,0)</f>
        <v/>
      </c>
      <c r="AP469" s="3">
        <f>AC469*AD469</f>
        <v/>
      </c>
      <c r="AQ469" s="3">
        <f>IF(AND(G469&lt;&gt;"",'Historical Score'!$C$6&lt;&gt;""),IF(G469='Historical Score'!$C$6,1,0),0)</f>
        <v/>
      </c>
      <c r="AR469" s="3">
        <f>IF(AND(L469&lt;&gt;"",'Historical Score'!$C$5&lt;&gt;""),IF(L469='Historical Score'!$C$5,1,0),0)</f>
        <v/>
      </c>
      <c r="AS469" s="3">
        <f>IF(AND(Y469&lt;&gt;"",'Historical Score'!$C$7&lt;&gt;""),IF(Y469='Historical Score'!$C$7,1,0),0)</f>
        <v/>
      </c>
      <c r="AT469" s="3">
        <f>IF(AND(K469&lt;&gt;"",'Historical Score'!$C$8&lt;&gt;""),IF(K469='Historical Score'!$C$8,1,0),0)</f>
        <v/>
      </c>
      <c r="AU469" s="3" t="n"/>
      <c r="AV469" s="3" t="n"/>
      <c r="AW469" s="3" t="n"/>
      <c r="AX469" s="3" t="n"/>
      <c r="AY469" s="3" t="n"/>
      <c r="AZ469" s="3" t="n"/>
      <c r="BA469" s="182">
        <f>IF(AD469=1,(AR469*'Historical Score'!$K$29+1-'Historical Score'!$K$29)*(AT469*'Historical Score'!$L$29+1-'Historical Score'!$L$29)*(AS469*'Historical Score'!$M$29+1-'Historical Score'!$M$29)*(AQ469*'Historical Score'!$N$29+1-'Historical Score'!$N$29),0)</f>
        <v/>
      </c>
      <c r="BB469" s="3" t="n"/>
      <c r="BC469" s="3" t="n"/>
    </row>
    <row r="470" ht="15.75" customHeight="1" s="174">
      <c r="A470" s="3" t="inlineStr">
        <is>
          <t>5674174940</t>
        </is>
      </c>
      <c r="B470" s="3" t="inlineStr">
        <is>
          <t>Precisely Pandas LLC</t>
        </is>
      </c>
      <c r="C470" s="3" t="inlineStr">
        <is>
          <t>Precisely Pandas LLC</t>
        </is>
      </c>
      <c r="D470" s="3" t="inlineStr">
        <is>
          <t>Closed</t>
        </is>
      </c>
      <c r="E470" s="23" t="n">
        <v>46014</v>
      </c>
      <c r="F470" s="23" t="n">
        <v>46223</v>
      </c>
      <c r="G470" s="3" t="n">
        <v>3</v>
      </c>
      <c r="H470" s="3" t="inlineStr">
        <is>
          <t>8351</t>
        </is>
      </c>
      <c r="I470" s="3" t="inlineStr">
        <is>
          <t>83</t>
        </is>
      </c>
      <c r="J470" s="3" t="inlineStr">
        <is>
          <t>CT</t>
        </is>
      </c>
      <c r="K470" s="3" t="inlineStr">
        <is>
          <t>National Business Capital</t>
        </is>
      </c>
      <c r="L470" s="3" t="inlineStr">
        <is>
          <t>Renewal</t>
        </is>
      </c>
      <c r="M470" s="3" t="n">
        <v>1.39</v>
      </c>
      <c r="N470" s="28" t="n">
        <v>30000</v>
      </c>
      <c r="O470" s="28" t="n">
        <v>2700</v>
      </c>
      <c r="P470" s="28" t="n">
        <v>41700</v>
      </c>
      <c r="Q470" s="28" t="n">
        <v>41700</v>
      </c>
      <c r="R470" s="28" t="n">
        <v>0</v>
      </c>
      <c r="S470" s="42" t="n">
        <v>1</v>
      </c>
      <c r="T470" s="3" t="n">
        <v>30</v>
      </c>
      <c r="U470" s="3" t="n">
        <v>1</v>
      </c>
      <c r="V470" s="3" t="n">
        <v>80453.13</v>
      </c>
      <c r="W470" s="42" t="n">
        <v>0.0619</v>
      </c>
      <c r="X470" s="23" t="n"/>
      <c r="Y470" s="3">
        <f>IF(I470="","No SIC",IFERROR(VLOOKUP(I470,Ref!$A$2:$B$65,2,FALSE()),"Unclassified"))</f>
        <v/>
      </c>
      <c r="Z470" s="3">
        <f>IF(T470="","",IF(T470&lt;12,"Daily","Weekly"))</f>
        <v/>
      </c>
      <c r="AA470" s="3">
        <f>IF(T470="",0,IF(T470&lt;12,T470*Controls!$B$13,T470*5))</f>
        <v/>
      </c>
      <c r="AB470" s="3">
        <f>IF(E470="",0,NETWORKDAYS(E470,Controls!$B$20,Ref!$K$2:$K$42))</f>
        <v/>
      </c>
      <c r="AC470" s="3">
        <f>IF(OR(AF470=1,AND(AA470&gt;0,AB470&gt;=Controls!$B$23*AA470)),1,0)</f>
        <v/>
      </c>
      <c r="AD470" s="3">
        <f>IF(AND(E470&lt;&gt;"",E470&gt;=Controls!$B$21,E470&lt;=Controls!$B$22),1,0)</f>
        <v/>
      </c>
      <c r="AE470" s="3">
        <f>IF(IFERROR(VLOOKUP(D470,Controls!$A$36:$E$46,2,FALSE()),"No")="Yes",1,0)</f>
        <v/>
      </c>
      <c r="AF470" s="3">
        <f>IF(IFERROR(VLOOKUP(D470,Controls!$A$36:$E$46,3,FALSE()),"No")="Yes",1,0)</f>
        <v/>
      </c>
      <c r="AG470" s="3">
        <f>IF(IFERROR(VLOOKUP(D470,Controls!$A$36:$E$46,4,FALSE()),"No")="Yes",1,0)</f>
        <v/>
      </c>
      <c r="AH470" s="3">
        <f>IF(IFERROR(VLOOKUP(D470,Controls!$A$36:$E$46,5,FALSE()),"No")="Yes",1,0)</f>
        <v/>
      </c>
      <c r="AI470" s="3">
        <f>IF(ISNUMBER(MATCH(D470,Controls!$A$36:$A$46,0)),1,0)</f>
        <v/>
      </c>
      <c r="AJ470" s="28">
        <f>Q470-N470</f>
        <v/>
      </c>
      <c r="AK470" s="3">
        <f>IF(AE470=1,MAX(0,N470-Q470),0)</f>
        <v/>
      </c>
      <c r="AL470" s="3">
        <f>IF(OR(V470="",V470=0),0,N470/V470)</f>
        <v/>
      </c>
      <c r="AM470" s="3">
        <f>IF(OR(V470="",V470=0),0,1)</f>
        <v/>
      </c>
      <c r="AN470" s="3">
        <f>IF(OR(E470="",F470=""),0,NETWORKDAYS(E470,F470,Ref!$K$2:$K$42))</f>
        <v/>
      </c>
      <c r="AO470" s="3">
        <f>IF(L470="Renewal",1,0)</f>
        <v/>
      </c>
      <c r="AP470" s="3">
        <f>AC470*AD470</f>
        <v/>
      </c>
      <c r="AQ470" s="3">
        <f>IF(AND(G470&lt;&gt;"",'Historical Score'!$C$6&lt;&gt;""),IF(G470='Historical Score'!$C$6,1,0),0)</f>
        <v/>
      </c>
      <c r="AR470" s="3">
        <f>IF(AND(L470&lt;&gt;"",'Historical Score'!$C$5&lt;&gt;""),IF(L470='Historical Score'!$C$5,1,0),0)</f>
        <v/>
      </c>
      <c r="AS470" s="3">
        <f>IF(AND(Y470&lt;&gt;"",'Historical Score'!$C$7&lt;&gt;""),IF(Y470='Historical Score'!$C$7,1,0),0)</f>
        <v/>
      </c>
      <c r="AT470" s="3">
        <f>IF(AND(K470&lt;&gt;"",'Historical Score'!$C$8&lt;&gt;""),IF(K470='Historical Score'!$C$8,1,0),0)</f>
        <v/>
      </c>
      <c r="AU470" s="3" t="n"/>
      <c r="AV470" s="3" t="n"/>
      <c r="AW470" s="3" t="n"/>
      <c r="AX470" s="3" t="n"/>
      <c r="AY470" s="3" t="n"/>
      <c r="AZ470" s="3" t="n"/>
      <c r="BA470" s="182">
        <f>IF(AD470=1,(AR470*'Historical Score'!$K$29+1-'Historical Score'!$K$29)*(AT470*'Historical Score'!$L$29+1-'Historical Score'!$L$29)*(AS470*'Historical Score'!$M$29+1-'Historical Score'!$M$29)*(AQ470*'Historical Score'!$N$29+1-'Historical Score'!$N$29),0)</f>
        <v/>
      </c>
      <c r="BB470" s="3" t="n"/>
      <c r="BC470" s="3" t="n"/>
    </row>
    <row r="471" ht="15.75" customHeight="1" s="174">
      <c r="A471" s="3" t="inlineStr">
        <is>
          <t>5674174945</t>
        </is>
      </c>
      <c r="B471" s="3" t="inlineStr">
        <is>
          <t>S&amp;R JANITORIAL SERVICE LLC</t>
        </is>
      </c>
      <c r="C471" s="3" t="inlineStr">
        <is>
          <t>S&amp;R JANITORIAL SERVICE LLC</t>
        </is>
      </c>
      <c r="D471" s="3" t="inlineStr">
        <is>
          <t>Closed</t>
        </is>
      </c>
      <c r="E471" s="23" t="n">
        <v>46014</v>
      </c>
      <c r="F471" s="23" t="n">
        <v>46163</v>
      </c>
      <c r="G471" s="3" t="n">
        <v>4</v>
      </c>
      <c r="H471" s="3" t="n"/>
      <c r="I471" s="3" t="n"/>
      <c r="J471" s="3" t="inlineStr">
        <is>
          <t>CA</t>
        </is>
      </c>
      <c r="K471" s="3" t="inlineStr">
        <is>
          <t>Linked In Funding</t>
        </is>
      </c>
      <c r="L471" s="3" t="inlineStr">
        <is>
          <t>New Deal</t>
        </is>
      </c>
      <c r="M471" s="3" t="n">
        <v>1.49</v>
      </c>
      <c r="N471" s="28" t="n">
        <v>15000</v>
      </c>
      <c r="O471" s="28" t="n">
        <v>2100</v>
      </c>
      <c r="P471" s="28" t="n">
        <v>22350</v>
      </c>
      <c r="Q471" s="28" t="n">
        <v>22350</v>
      </c>
      <c r="R471" s="28" t="n">
        <v>0</v>
      </c>
      <c r="S471" s="42" t="n">
        <v>1</v>
      </c>
      <c r="T471" s="3" t="n">
        <v>3.279</v>
      </c>
      <c r="U471" s="3" t="n">
        <v>1</v>
      </c>
      <c r="V471" s="3" t="n">
        <v>94527.25999999999</v>
      </c>
      <c r="W471" s="42" t="n">
        <v>0.0497</v>
      </c>
      <c r="X471" s="23" t="n">
        <v>42906</v>
      </c>
      <c r="Y471" s="3">
        <f>IF(I471="","No SIC",IFERROR(VLOOKUP(I471,Ref!$A$2:$B$65,2,FALSE()),"Unclassified"))</f>
        <v/>
      </c>
      <c r="Z471" s="3">
        <f>IF(T471="","",IF(T471&lt;12,"Daily","Weekly"))</f>
        <v/>
      </c>
      <c r="AA471" s="3">
        <f>IF(T471="",0,IF(T471&lt;12,T471*Controls!$B$13,T471*5))</f>
        <v/>
      </c>
      <c r="AB471" s="3">
        <f>IF(E471="",0,NETWORKDAYS(E471,Controls!$B$20,Ref!$K$2:$K$42))</f>
        <v/>
      </c>
      <c r="AC471" s="3">
        <f>IF(OR(AF471=1,AND(AA471&gt;0,AB471&gt;=Controls!$B$23*AA471)),1,0)</f>
        <v/>
      </c>
      <c r="AD471" s="3">
        <f>IF(AND(E471&lt;&gt;"",E471&gt;=Controls!$B$21,E471&lt;=Controls!$B$22),1,0)</f>
        <v/>
      </c>
      <c r="AE471" s="3">
        <f>IF(IFERROR(VLOOKUP(D471,Controls!$A$36:$E$46,2,FALSE()),"No")="Yes",1,0)</f>
        <v/>
      </c>
      <c r="AF471" s="3">
        <f>IF(IFERROR(VLOOKUP(D471,Controls!$A$36:$E$46,3,FALSE()),"No")="Yes",1,0)</f>
        <v/>
      </c>
      <c r="AG471" s="3">
        <f>IF(IFERROR(VLOOKUP(D471,Controls!$A$36:$E$46,4,FALSE()),"No")="Yes",1,0)</f>
        <v/>
      </c>
      <c r="AH471" s="3">
        <f>IF(IFERROR(VLOOKUP(D471,Controls!$A$36:$E$46,5,FALSE()),"No")="Yes",1,0)</f>
        <v/>
      </c>
      <c r="AI471" s="3">
        <f>IF(ISNUMBER(MATCH(D471,Controls!$A$36:$A$46,0)),1,0)</f>
        <v/>
      </c>
      <c r="AJ471" s="28">
        <f>Q471-N471</f>
        <v/>
      </c>
      <c r="AK471" s="3">
        <f>IF(AE471=1,MAX(0,N471-Q471),0)</f>
        <v/>
      </c>
      <c r="AL471" s="3">
        <f>IF(OR(V471="",V471=0),0,N471/V471)</f>
        <v/>
      </c>
      <c r="AM471" s="3">
        <f>IF(OR(V471="",V471=0),0,1)</f>
        <v/>
      </c>
      <c r="AN471" s="3">
        <f>IF(OR(E471="",F471=""),0,NETWORKDAYS(E471,F471,Ref!$K$2:$K$42))</f>
        <v/>
      </c>
      <c r="AO471" s="3">
        <f>IF(L471="Renewal",1,0)</f>
        <v/>
      </c>
      <c r="AP471" s="3">
        <f>AC471*AD471</f>
        <v/>
      </c>
      <c r="AQ471" s="3">
        <f>IF(AND(G471&lt;&gt;"",'Historical Score'!$C$6&lt;&gt;""),IF(G471='Historical Score'!$C$6,1,0),0)</f>
        <v/>
      </c>
      <c r="AR471" s="3">
        <f>IF(AND(L471&lt;&gt;"",'Historical Score'!$C$5&lt;&gt;""),IF(L471='Historical Score'!$C$5,1,0),0)</f>
        <v/>
      </c>
      <c r="AS471" s="3">
        <f>IF(AND(Y471&lt;&gt;"",'Historical Score'!$C$7&lt;&gt;""),IF(Y471='Historical Score'!$C$7,1,0),0)</f>
        <v/>
      </c>
      <c r="AT471" s="3">
        <f>IF(AND(K471&lt;&gt;"",'Historical Score'!$C$8&lt;&gt;""),IF(K471='Historical Score'!$C$8,1,0),0)</f>
        <v/>
      </c>
      <c r="AU471" s="3" t="n"/>
      <c r="AV471" s="3" t="n"/>
      <c r="AW471" s="3" t="n"/>
      <c r="AX471" s="3" t="n"/>
      <c r="AY471" s="3" t="n"/>
      <c r="AZ471" s="3" t="n"/>
      <c r="BA471" s="182">
        <f>IF(AD471=1,(AR471*'Historical Score'!$K$29+1-'Historical Score'!$K$29)*(AT471*'Historical Score'!$L$29+1-'Historical Score'!$L$29)*(AS471*'Historical Score'!$M$29+1-'Historical Score'!$M$29)*(AQ471*'Historical Score'!$N$29+1-'Historical Score'!$N$29),0)</f>
        <v/>
      </c>
      <c r="BB471" s="3" t="n"/>
      <c r="BC471" s="3" t="n"/>
    </row>
    <row r="472" ht="15.75" customHeight="1" s="174">
      <c r="A472" s="3" t="inlineStr">
        <is>
          <t>5674174958</t>
        </is>
      </c>
      <c r="B472" s="3" t="inlineStr">
        <is>
          <t>Oaceus Insurance Services LLC</t>
        </is>
      </c>
      <c r="C472" s="3" t="inlineStr">
        <is>
          <t>Smith Delliquadri &amp; Co</t>
        </is>
      </c>
      <c r="D472" s="3" t="inlineStr">
        <is>
          <t>In House Collection</t>
        </is>
      </c>
      <c r="E472" s="23" t="n">
        <v>46014</v>
      </c>
      <c r="F472" s="23" t="n">
        <v>46252</v>
      </c>
      <c r="G472" s="3" t="n">
        <v>3</v>
      </c>
      <c r="H472" s="3" t="inlineStr">
        <is>
          <t>6311</t>
        </is>
      </c>
      <c r="I472" s="3" t="inlineStr">
        <is>
          <t>63</t>
        </is>
      </c>
      <c r="J472" s="3" t="inlineStr">
        <is>
          <t>CA</t>
        </is>
      </c>
      <c r="K472" s="3" t="inlineStr">
        <is>
          <t>Fundwell</t>
        </is>
      </c>
      <c r="L472" s="3" t="inlineStr">
        <is>
          <t>New Deal</t>
        </is>
      </c>
      <c r="M472" s="3" t="n">
        <v>1.39</v>
      </c>
      <c r="N472" s="28" t="n">
        <v>155000</v>
      </c>
      <c r="O472" s="28" t="n">
        <v>19375</v>
      </c>
      <c r="P472" s="28" t="n">
        <v>215450</v>
      </c>
      <c r="Q472" s="28" t="n">
        <v>132370.03</v>
      </c>
      <c r="R472" s="28" t="n">
        <v>83079.97</v>
      </c>
      <c r="S472" s="42" t="n">
        <v>0.614388628452077</v>
      </c>
      <c r="T472" s="3" t="n">
        <v>30</v>
      </c>
      <c r="U472" s="3" t="n">
        <v>6</v>
      </c>
      <c r="V472" s="3" t="n">
        <v>668121.63</v>
      </c>
      <c r="W472" s="42" t="n">
        <v>0.043</v>
      </c>
      <c r="X472" s="23" t="n">
        <v>43466</v>
      </c>
      <c r="Y472" s="3">
        <f>IF(I472="","No SIC",IFERROR(VLOOKUP(I472,Ref!$A$2:$B$65,2,FALSE()),"Unclassified"))</f>
        <v/>
      </c>
      <c r="Z472" s="3">
        <f>IF(T472="","",IF(T472&lt;12,"Daily","Weekly"))</f>
        <v/>
      </c>
      <c r="AA472" s="3">
        <f>IF(T472="",0,IF(T472&lt;12,T472*Controls!$B$13,T472*5))</f>
        <v/>
      </c>
      <c r="AB472" s="3">
        <f>IF(E472="",0,NETWORKDAYS(E472,Controls!$B$20,Ref!$K$2:$K$42))</f>
        <v/>
      </c>
      <c r="AC472" s="3">
        <f>IF(OR(AF472=1,AND(AA472&gt;0,AB472&gt;=Controls!$B$23*AA472)),1,0)</f>
        <v/>
      </c>
      <c r="AD472" s="3">
        <f>IF(AND(E472&lt;&gt;"",E472&gt;=Controls!$B$21,E472&lt;=Controls!$B$22),1,0)</f>
        <v/>
      </c>
      <c r="AE472" s="3">
        <f>IF(IFERROR(VLOOKUP(D472,Controls!$A$36:$E$46,2,FALSE()),"No")="Yes",1,0)</f>
        <v/>
      </c>
      <c r="AF472" s="3">
        <f>IF(IFERROR(VLOOKUP(D472,Controls!$A$36:$E$46,3,FALSE()),"No")="Yes",1,0)</f>
        <v/>
      </c>
      <c r="AG472" s="3">
        <f>IF(IFERROR(VLOOKUP(D472,Controls!$A$36:$E$46,4,FALSE()),"No")="Yes",1,0)</f>
        <v/>
      </c>
      <c r="AH472" s="3">
        <f>IF(IFERROR(VLOOKUP(D472,Controls!$A$36:$E$46,5,FALSE()),"No")="Yes",1,0)</f>
        <v/>
      </c>
      <c r="AI472" s="3">
        <f>IF(ISNUMBER(MATCH(D472,Controls!$A$36:$A$46,0)),1,0)</f>
        <v/>
      </c>
      <c r="AJ472" s="28">
        <f>Q472-N472</f>
        <v/>
      </c>
      <c r="AK472" s="3">
        <f>IF(AE472=1,MAX(0,N472-Q472),0)</f>
        <v/>
      </c>
      <c r="AL472" s="3">
        <f>IF(OR(V472="",V472=0),0,N472/V472)</f>
        <v/>
      </c>
      <c r="AM472" s="3">
        <f>IF(OR(V472="",V472=0),0,1)</f>
        <v/>
      </c>
      <c r="AN472" s="3">
        <f>IF(OR(E472="",F472=""),0,NETWORKDAYS(E472,F472,Ref!$K$2:$K$42))</f>
        <v/>
      </c>
      <c r="AO472" s="3">
        <f>IF(L472="Renewal",1,0)</f>
        <v/>
      </c>
      <c r="AP472" s="3">
        <f>AC472*AD472</f>
        <v/>
      </c>
      <c r="AQ472" s="3">
        <f>IF(AND(G472&lt;&gt;"",'Historical Score'!$C$6&lt;&gt;""),IF(G472='Historical Score'!$C$6,1,0),0)</f>
        <v/>
      </c>
      <c r="AR472" s="3">
        <f>IF(AND(L472&lt;&gt;"",'Historical Score'!$C$5&lt;&gt;""),IF(L472='Historical Score'!$C$5,1,0),0)</f>
        <v/>
      </c>
      <c r="AS472" s="3">
        <f>IF(AND(Y472&lt;&gt;"",'Historical Score'!$C$7&lt;&gt;""),IF(Y472='Historical Score'!$C$7,1,0),0)</f>
        <v/>
      </c>
      <c r="AT472" s="3">
        <f>IF(AND(K472&lt;&gt;"",'Historical Score'!$C$8&lt;&gt;""),IF(K472='Historical Score'!$C$8,1,0),0)</f>
        <v/>
      </c>
      <c r="AU472" s="3" t="n"/>
      <c r="AV472" s="3" t="n"/>
      <c r="AW472" s="3" t="n"/>
      <c r="AX472" s="3" t="n"/>
      <c r="AY472" s="3" t="n"/>
      <c r="AZ472" s="3" t="n"/>
      <c r="BA472" s="182">
        <f>IF(AD472=1,(AR472*'Historical Score'!$K$29+1-'Historical Score'!$K$29)*(AT472*'Historical Score'!$L$29+1-'Historical Score'!$L$29)*(AS472*'Historical Score'!$M$29+1-'Historical Score'!$M$29)*(AQ472*'Historical Score'!$N$29+1-'Historical Score'!$N$29),0)</f>
        <v/>
      </c>
      <c r="BB472" s="3" t="n"/>
      <c r="BC472" s="3" t="n"/>
    </row>
    <row r="473" ht="15.75" customHeight="1" s="174">
      <c r="A473" s="3" t="inlineStr">
        <is>
          <t>5674174960</t>
        </is>
      </c>
      <c r="B473" s="3" t="inlineStr">
        <is>
          <t>PROSPECT MASTER</t>
        </is>
      </c>
      <c r="C473" s="3" t="inlineStr">
        <is>
          <t>PROSPECT MASTER LLC</t>
        </is>
      </c>
      <c r="D473" s="3" t="inlineStr">
        <is>
          <t>Closed</t>
        </is>
      </c>
      <c r="E473" s="23" t="n">
        <v>46014</v>
      </c>
      <c r="F473" s="23" t="n">
        <v>46100</v>
      </c>
      <c r="G473" s="3" t="n">
        <v>3</v>
      </c>
      <c r="H473" s="3" t="inlineStr">
        <is>
          <t>6531</t>
        </is>
      </c>
      <c r="I473" s="3" t="inlineStr">
        <is>
          <t>65</t>
        </is>
      </c>
      <c r="J473" s="3" t="inlineStr">
        <is>
          <t>FL</t>
        </is>
      </c>
      <c r="K473" s="3" t="inlineStr">
        <is>
          <t>Fundwell</t>
        </is>
      </c>
      <c r="L473" s="3" t="inlineStr">
        <is>
          <t>New Deal</t>
        </is>
      </c>
      <c r="M473" s="3" t="n">
        <v>1.42</v>
      </c>
      <c r="N473" s="28" t="n">
        <v>21500</v>
      </c>
      <c r="O473" s="28" t="n">
        <v>3117.5</v>
      </c>
      <c r="P473" s="28" t="n">
        <v>30530</v>
      </c>
      <c r="Q473" s="28" t="n">
        <v>30530</v>
      </c>
      <c r="R473" s="28" t="n">
        <v>0</v>
      </c>
      <c r="S473" s="42" t="n">
        <v>1</v>
      </c>
      <c r="T473" s="3" t="n">
        <v>3.934</v>
      </c>
      <c r="U473" s="3" t="n">
        <v>0</v>
      </c>
      <c r="V473" s="3" t="n">
        <v>23515.99</v>
      </c>
      <c r="W473" s="42" t="n">
        <v>0.2272</v>
      </c>
      <c r="X473" s="23" t="n">
        <v>42017</v>
      </c>
      <c r="Y473" s="3">
        <f>IF(I473="","No SIC",IFERROR(VLOOKUP(I473,Ref!$A$2:$B$65,2,FALSE()),"Unclassified"))</f>
        <v/>
      </c>
      <c r="Z473" s="3">
        <f>IF(T473="","",IF(T473&lt;12,"Daily","Weekly"))</f>
        <v/>
      </c>
      <c r="AA473" s="3">
        <f>IF(T473="",0,IF(T473&lt;12,T473*Controls!$B$13,T473*5))</f>
        <v/>
      </c>
      <c r="AB473" s="3">
        <f>IF(E473="",0,NETWORKDAYS(E473,Controls!$B$20,Ref!$K$2:$K$42))</f>
        <v/>
      </c>
      <c r="AC473" s="3">
        <f>IF(OR(AF473=1,AND(AA473&gt;0,AB473&gt;=Controls!$B$23*AA473)),1,0)</f>
        <v/>
      </c>
      <c r="AD473" s="3">
        <f>IF(AND(E473&lt;&gt;"",E473&gt;=Controls!$B$21,E473&lt;=Controls!$B$22),1,0)</f>
        <v/>
      </c>
      <c r="AE473" s="3">
        <f>IF(IFERROR(VLOOKUP(D473,Controls!$A$36:$E$46,2,FALSE()),"No")="Yes",1,0)</f>
        <v/>
      </c>
      <c r="AF473" s="3">
        <f>IF(IFERROR(VLOOKUP(D473,Controls!$A$36:$E$46,3,FALSE()),"No")="Yes",1,0)</f>
        <v/>
      </c>
      <c r="AG473" s="3">
        <f>IF(IFERROR(VLOOKUP(D473,Controls!$A$36:$E$46,4,FALSE()),"No")="Yes",1,0)</f>
        <v/>
      </c>
      <c r="AH473" s="3">
        <f>IF(IFERROR(VLOOKUP(D473,Controls!$A$36:$E$46,5,FALSE()),"No")="Yes",1,0)</f>
        <v/>
      </c>
      <c r="AI473" s="3">
        <f>IF(ISNUMBER(MATCH(D473,Controls!$A$36:$A$46,0)),1,0)</f>
        <v/>
      </c>
      <c r="AJ473" s="28">
        <f>Q473-N473</f>
        <v/>
      </c>
      <c r="AK473" s="3">
        <f>IF(AE473=1,MAX(0,N473-Q473),0)</f>
        <v/>
      </c>
      <c r="AL473" s="3">
        <f>IF(OR(V473="",V473=0),0,N473/V473)</f>
        <v/>
      </c>
      <c r="AM473" s="3">
        <f>IF(OR(V473="",V473=0),0,1)</f>
        <v/>
      </c>
      <c r="AN473" s="3">
        <f>IF(OR(E473="",F473=""),0,NETWORKDAYS(E473,F473,Ref!$K$2:$K$42))</f>
        <v/>
      </c>
      <c r="AO473" s="3">
        <f>IF(L473="Renewal",1,0)</f>
        <v/>
      </c>
      <c r="AP473" s="3">
        <f>AC473*AD473</f>
        <v/>
      </c>
      <c r="AQ473" s="3">
        <f>IF(AND(G473&lt;&gt;"",'Historical Score'!$C$6&lt;&gt;""),IF(G473='Historical Score'!$C$6,1,0),0)</f>
        <v/>
      </c>
      <c r="AR473" s="3">
        <f>IF(AND(L473&lt;&gt;"",'Historical Score'!$C$5&lt;&gt;""),IF(L473='Historical Score'!$C$5,1,0),0)</f>
        <v/>
      </c>
      <c r="AS473" s="3">
        <f>IF(AND(Y473&lt;&gt;"",'Historical Score'!$C$7&lt;&gt;""),IF(Y473='Historical Score'!$C$7,1,0),0)</f>
        <v/>
      </c>
      <c r="AT473" s="3">
        <f>IF(AND(K473&lt;&gt;"",'Historical Score'!$C$8&lt;&gt;""),IF(K473='Historical Score'!$C$8,1,0),0)</f>
        <v/>
      </c>
      <c r="AU473" s="3" t="n"/>
      <c r="AV473" s="3" t="n"/>
      <c r="AW473" s="3" t="n"/>
      <c r="AX473" s="3" t="n"/>
      <c r="AY473" s="3" t="n"/>
      <c r="AZ473" s="3" t="n"/>
      <c r="BA473" s="182">
        <f>IF(AD473=1,(AR473*'Historical Score'!$K$29+1-'Historical Score'!$K$29)*(AT473*'Historical Score'!$L$29+1-'Historical Score'!$L$29)*(AS473*'Historical Score'!$M$29+1-'Historical Score'!$M$29)*(AQ473*'Historical Score'!$N$29+1-'Historical Score'!$N$29),0)</f>
        <v/>
      </c>
      <c r="BB473" s="3" t="n"/>
      <c r="BC473" s="3" t="n"/>
    </row>
    <row r="474" ht="15.75" customHeight="1" s="174">
      <c r="A474" s="3" t="inlineStr">
        <is>
          <t>5674174968</t>
        </is>
      </c>
      <c r="B474" s="3" t="inlineStr">
        <is>
          <t>Rodeo 29 Bar &amp; Grill</t>
        </is>
      </c>
      <c r="C474" s="3" t="inlineStr">
        <is>
          <t>Rodeo 29 Bar &amp; Grill</t>
        </is>
      </c>
      <c r="D474" s="3" t="inlineStr">
        <is>
          <t>Closed</t>
        </is>
      </c>
      <c r="E474" s="23" t="n">
        <v>46014</v>
      </c>
      <c r="F474" s="23" t="n">
        <v>46079</v>
      </c>
      <c r="G474" s="3" t="n">
        <v>2</v>
      </c>
      <c r="H474" s="3" t="inlineStr">
        <is>
          <t>5812</t>
        </is>
      </c>
      <c r="I474" s="3" t="inlineStr">
        <is>
          <t>58</t>
        </is>
      </c>
      <c r="J474" s="3" t="inlineStr">
        <is>
          <t>IL</t>
        </is>
      </c>
      <c r="K474" s="3" t="inlineStr">
        <is>
          <t>Ballicci</t>
        </is>
      </c>
      <c r="L474" s="3" t="inlineStr">
        <is>
          <t>New Deal</t>
        </is>
      </c>
      <c r="M474" s="3" t="n">
        <v>1.49</v>
      </c>
      <c r="N474" s="28" t="n">
        <v>20000</v>
      </c>
      <c r="O474" s="28" t="n">
        <v>2800</v>
      </c>
      <c r="P474" s="28" t="n">
        <v>29800</v>
      </c>
      <c r="Q474" s="28" t="n">
        <v>29800</v>
      </c>
      <c r="R474" s="28" t="n">
        <v>0</v>
      </c>
      <c r="S474" s="42" t="n">
        <v>1</v>
      </c>
      <c r="T474" s="3" t="n">
        <v>2.951</v>
      </c>
      <c r="U474" s="3" t="n">
        <v>0</v>
      </c>
      <c r="V474" s="3" t="n">
        <v>51003.83</v>
      </c>
      <c r="W474" s="42" t="n">
        <v>0.1363</v>
      </c>
      <c r="X474" s="23" t="n"/>
      <c r="Y474" s="3">
        <f>IF(I474="","No SIC",IFERROR(VLOOKUP(I474,Ref!$A$2:$B$65,2,FALSE()),"Unclassified"))</f>
        <v/>
      </c>
      <c r="Z474" s="3">
        <f>IF(T474="","",IF(T474&lt;12,"Daily","Weekly"))</f>
        <v/>
      </c>
      <c r="AA474" s="3">
        <f>IF(T474="",0,IF(T474&lt;12,T474*Controls!$B$13,T474*5))</f>
        <v/>
      </c>
      <c r="AB474" s="3">
        <f>IF(E474="",0,NETWORKDAYS(E474,Controls!$B$20,Ref!$K$2:$K$42))</f>
        <v/>
      </c>
      <c r="AC474" s="3">
        <f>IF(OR(AF474=1,AND(AA474&gt;0,AB474&gt;=Controls!$B$23*AA474)),1,0)</f>
        <v/>
      </c>
      <c r="AD474" s="3">
        <f>IF(AND(E474&lt;&gt;"",E474&gt;=Controls!$B$21,E474&lt;=Controls!$B$22),1,0)</f>
        <v/>
      </c>
      <c r="AE474" s="3">
        <f>IF(IFERROR(VLOOKUP(D474,Controls!$A$36:$E$46,2,FALSE()),"No")="Yes",1,0)</f>
        <v/>
      </c>
      <c r="AF474" s="3">
        <f>IF(IFERROR(VLOOKUP(D474,Controls!$A$36:$E$46,3,FALSE()),"No")="Yes",1,0)</f>
        <v/>
      </c>
      <c r="AG474" s="3">
        <f>IF(IFERROR(VLOOKUP(D474,Controls!$A$36:$E$46,4,FALSE()),"No")="Yes",1,0)</f>
        <v/>
      </c>
      <c r="AH474" s="3">
        <f>IF(IFERROR(VLOOKUP(D474,Controls!$A$36:$E$46,5,FALSE()),"No")="Yes",1,0)</f>
        <v/>
      </c>
      <c r="AI474" s="3">
        <f>IF(ISNUMBER(MATCH(D474,Controls!$A$36:$A$46,0)),1,0)</f>
        <v/>
      </c>
      <c r="AJ474" s="28">
        <f>Q474-N474</f>
        <v/>
      </c>
      <c r="AK474" s="3">
        <f>IF(AE474=1,MAX(0,N474-Q474),0)</f>
        <v/>
      </c>
      <c r="AL474" s="3">
        <f>IF(OR(V474="",V474=0),0,N474/V474)</f>
        <v/>
      </c>
      <c r="AM474" s="3">
        <f>IF(OR(V474="",V474=0),0,1)</f>
        <v/>
      </c>
      <c r="AN474" s="3">
        <f>IF(OR(E474="",F474=""),0,NETWORKDAYS(E474,F474,Ref!$K$2:$K$42))</f>
        <v/>
      </c>
      <c r="AO474" s="3">
        <f>IF(L474="Renewal",1,0)</f>
        <v/>
      </c>
      <c r="AP474" s="3">
        <f>AC474*AD474</f>
        <v/>
      </c>
      <c r="AQ474" s="3">
        <f>IF(AND(G474&lt;&gt;"",'Historical Score'!$C$6&lt;&gt;""),IF(G474='Historical Score'!$C$6,1,0),0)</f>
        <v/>
      </c>
      <c r="AR474" s="3">
        <f>IF(AND(L474&lt;&gt;"",'Historical Score'!$C$5&lt;&gt;""),IF(L474='Historical Score'!$C$5,1,0),0)</f>
        <v/>
      </c>
      <c r="AS474" s="3">
        <f>IF(AND(Y474&lt;&gt;"",'Historical Score'!$C$7&lt;&gt;""),IF(Y474='Historical Score'!$C$7,1,0),0)</f>
        <v/>
      </c>
      <c r="AT474" s="3">
        <f>IF(AND(K474&lt;&gt;"",'Historical Score'!$C$8&lt;&gt;""),IF(K474='Historical Score'!$C$8,1,0),0)</f>
        <v/>
      </c>
      <c r="AU474" s="3" t="n"/>
      <c r="AV474" s="3" t="n"/>
      <c r="AW474" s="3" t="n"/>
      <c r="AX474" s="3" t="n"/>
      <c r="AY474" s="3" t="n"/>
      <c r="AZ474" s="3" t="n"/>
      <c r="BA474" s="182">
        <f>IF(AD474=1,(AR474*'Historical Score'!$K$29+1-'Historical Score'!$K$29)*(AT474*'Historical Score'!$L$29+1-'Historical Score'!$L$29)*(AS474*'Historical Score'!$M$29+1-'Historical Score'!$M$29)*(AQ474*'Historical Score'!$N$29+1-'Historical Score'!$N$29),0)</f>
        <v/>
      </c>
      <c r="BB474" s="3" t="n"/>
      <c r="BC474" s="3" t="n"/>
    </row>
    <row r="475" ht="15.75" customHeight="1" s="174">
      <c r="A475" s="3" t="inlineStr">
        <is>
          <t>5674174982</t>
        </is>
      </c>
      <c r="B475" s="3" t="inlineStr">
        <is>
          <t>GEM TAKEOFFS</t>
        </is>
      </c>
      <c r="C475" s="3" t="inlineStr">
        <is>
          <t>GEM TAKEOFFS</t>
        </is>
      </c>
      <c r="D475" s="3" t="inlineStr">
        <is>
          <t>Closed</t>
        </is>
      </c>
      <c r="E475" s="23" t="n">
        <v>46014</v>
      </c>
      <c r="F475" s="23" t="n">
        <v>46105</v>
      </c>
      <c r="G475" s="3" t="n">
        <v>3</v>
      </c>
      <c r="H475" s="3" t="inlineStr">
        <is>
          <t>1499</t>
        </is>
      </c>
      <c r="I475" s="3" t="inlineStr">
        <is>
          <t>14</t>
        </is>
      </c>
      <c r="J475" s="3" t="inlineStr">
        <is>
          <t>TX</t>
        </is>
      </c>
      <c r="K475" s="3" t="inlineStr">
        <is>
          <t>GROWTH RATE CAPITAL INC</t>
        </is>
      </c>
      <c r="L475" s="3" t="inlineStr">
        <is>
          <t>New Deal</t>
        </is>
      </c>
      <c r="M475" s="3" t="n">
        <v>1.499</v>
      </c>
      <c r="N475" s="28" t="n">
        <v>7500</v>
      </c>
      <c r="O475" s="28" t="n">
        <v>1050</v>
      </c>
      <c r="P475" s="28" t="n">
        <v>11242.5</v>
      </c>
      <c r="Q475" s="28" t="n">
        <v>11242.5</v>
      </c>
      <c r="R475" s="28" t="n">
        <v>0</v>
      </c>
      <c r="S475" s="42" t="n">
        <v>1</v>
      </c>
      <c r="T475" s="3" t="n">
        <v>1.967</v>
      </c>
      <c r="U475" s="3" t="n">
        <v>2</v>
      </c>
      <c r="V475" s="3" t="n">
        <v>28125.72</v>
      </c>
      <c r="W475" s="42" t="n">
        <v>0.1297</v>
      </c>
      <c r="X475" s="23" t="n"/>
      <c r="Y475" s="3">
        <f>IF(I475="","No SIC",IFERROR(VLOOKUP(I475,Ref!$A$2:$B$65,2,FALSE()),"Unclassified"))</f>
        <v/>
      </c>
      <c r="Z475" s="3">
        <f>IF(T475="","",IF(T475&lt;12,"Daily","Weekly"))</f>
        <v/>
      </c>
      <c r="AA475" s="3">
        <f>IF(T475="",0,IF(T475&lt;12,T475*Controls!$B$13,T475*5))</f>
        <v/>
      </c>
      <c r="AB475" s="3">
        <f>IF(E475="",0,NETWORKDAYS(E475,Controls!$B$20,Ref!$K$2:$K$42))</f>
        <v/>
      </c>
      <c r="AC475" s="3">
        <f>IF(OR(AF475=1,AND(AA475&gt;0,AB475&gt;=Controls!$B$23*AA475)),1,0)</f>
        <v/>
      </c>
      <c r="AD475" s="3">
        <f>IF(AND(E475&lt;&gt;"",E475&gt;=Controls!$B$21,E475&lt;=Controls!$B$22),1,0)</f>
        <v/>
      </c>
      <c r="AE475" s="3">
        <f>IF(IFERROR(VLOOKUP(D475,Controls!$A$36:$E$46,2,FALSE()),"No")="Yes",1,0)</f>
        <v/>
      </c>
      <c r="AF475" s="3">
        <f>IF(IFERROR(VLOOKUP(D475,Controls!$A$36:$E$46,3,FALSE()),"No")="Yes",1,0)</f>
        <v/>
      </c>
      <c r="AG475" s="3">
        <f>IF(IFERROR(VLOOKUP(D475,Controls!$A$36:$E$46,4,FALSE()),"No")="Yes",1,0)</f>
        <v/>
      </c>
      <c r="AH475" s="3">
        <f>IF(IFERROR(VLOOKUP(D475,Controls!$A$36:$E$46,5,FALSE()),"No")="Yes",1,0)</f>
        <v/>
      </c>
      <c r="AI475" s="3">
        <f>IF(ISNUMBER(MATCH(D475,Controls!$A$36:$A$46,0)),1,0)</f>
        <v/>
      </c>
      <c r="AJ475" s="28">
        <f>Q475-N475</f>
        <v/>
      </c>
      <c r="AK475" s="3">
        <f>IF(AE475=1,MAX(0,N475-Q475),0)</f>
        <v/>
      </c>
      <c r="AL475" s="3">
        <f>IF(OR(V475="",V475=0),0,N475/V475)</f>
        <v/>
      </c>
      <c r="AM475" s="3">
        <f>IF(OR(V475="",V475=0),0,1)</f>
        <v/>
      </c>
      <c r="AN475" s="3">
        <f>IF(OR(E475="",F475=""),0,NETWORKDAYS(E475,F475,Ref!$K$2:$K$42))</f>
        <v/>
      </c>
      <c r="AO475" s="3">
        <f>IF(L475="Renewal",1,0)</f>
        <v/>
      </c>
      <c r="AP475" s="3">
        <f>AC475*AD475</f>
        <v/>
      </c>
      <c r="AQ475" s="3">
        <f>IF(AND(G475&lt;&gt;"",'Historical Score'!$C$6&lt;&gt;""),IF(G475='Historical Score'!$C$6,1,0),0)</f>
        <v/>
      </c>
      <c r="AR475" s="3">
        <f>IF(AND(L475&lt;&gt;"",'Historical Score'!$C$5&lt;&gt;""),IF(L475='Historical Score'!$C$5,1,0),0)</f>
        <v/>
      </c>
      <c r="AS475" s="3">
        <f>IF(AND(Y475&lt;&gt;"",'Historical Score'!$C$7&lt;&gt;""),IF(Y475='Historical Score'!$C$7,1,0),0)</f>
        <v/>
      </c>
      <c r="AT475" s="3">
        <f>IF(AND(K475&lt;&gt;"",'Historical Score'!$C$8&lt;&gt;""),IF(K475='Historical Score'!$C$8,1,0),0)</f>
        <v/>
      </c>
      <c r="AU475" s="3" t="n"/>
      <c r="AV475" s="3" t="n"/>
      <c r="AW475" s="3" t="n"/>
      <c r="AX475" s="3" t="n"/>
      <c r="AY475" s="3" t="n"/>
      <c r="AZ475" s="3" t="n"/>
      <c r="BA475" s="182">
        <f>IF(AD475=1,(AR475*'Historical Score'!$K$29+1-'Historical Score'!$K$29)*(AT475*'Historical Score'!$L$29+1-'Historical Score'!$L$29)*(AS475*'Historical Score'!$M$29+1-'Historical Score'!$M$29)*(AQ475*'Historical Score'!$N$29+1-'Historical Score'!$N$29),0)</f>
        <v/>
      </c>
      <c r="BB475" s="3" t="n"/>
      <c r="BC475" s="3" t="n"/>
    </row>
    <row r="476" ht="15.75" customHeight="1" s="174">
      <c r="A476" s="3" t="inlineStr">
        <is>
          <t>5674175013</t>
        </is>
      </c>
      <c r="B476" s="3" t="inlineStr">
        <is>
          <t>R And R Transit LLC</t>
        </is>
      </c>
      <c r="C476" s="3" t="inlineStr">
        <is>
          <t>R And R Transit LLC</t>
        </is>
      </c>
      <c r="D476" s="3" t="inlineStr">
        <is>
          <t>Closed</t>
        </is>
      </c>
      <c r="E476" s="23" t="n">
        <v>46015</v>
      </c>
      <c r="F476" s="23" t="n">
        <v>46252</v>
      </c>
      <c r="G476" s="3" t="n">
        <v>4</v>
      </c>
      <c r="H476" s="3" t="inlineStr">
        <is>
          <t>4213</t>
        </is>
      </c>
      <c r="I476" s="3" t="inlineStr">
        <is>
          <t>42</t>
        </is>
      </c>
      <c r="J476" s="3" t="inlineStr">
        <is>
          <t>FL</t>
        </is>
      </c>
      <c r="K476" s="3" t="inlineStr">
        <is>
          <t>EZ ADVANCE LLC</t>
        </is>
      </c>
      <c r="L476" s="3" t="inlineStr">
        <is>
          <t>New Deal</t>
        </is>
      </c>
      <c r="M476" s="3" t="n">
        <v>1.49</v>
      </c>
      <c r="N476" s="28" t="n">
        <v>15000</v>
      </c>
      <c r="O476" s="28" t="n">
        <v>2100</v>
      </c>
      <c r="P476" s="28" t="n">
        <v>22350</v>
      </c>
      <c r="Q476" s="28" t="n">
        <v>22350</v>
      </c>
      <c r="R476" s="28" t="n">
        <v>0</v>
      </c>
      <c r="S476" s="42" t="n">
        <v>1</v>
      </c>
      <c r="T476" s="3" t="n">
        <v>24</v>
      </c>
      <c r="U476" s="3" t="n">
        <v>3</v>
      </c>
      <c r="V476" s="3" t="n">
        <v>83734.99000000001</v>
      </c>
      <c r="W476" s="42" t="n">
        <v>0.0445</v>
      </c>
      <c r="X476" s="23" t="n"/>
      <c r="Y476" s="3">
        <f>IF(I476="","No SIC",IFERROR(VLOOKUP(I476,Ref!$A$2:$B$65,2,FALSE()),"Unclassified"))</f>
        <v/>
      </c>
      <c r="Z476" s="3">
        <f>IF(T476="","",IF(T476&lt;12,"Daily","Weekly"))</f>
        <v/>
      </c>
      <c r="AA476" s="3">
        <f>IF(T476="",0,IF(T476&lt;12,T476*Controls!$B$13,T476*5))</f>
        <v/>
      </c>
      <c r="AB476" s="3">
        <f>IF(E476="",0,NETWORKDAYS(E476,Controls!$B$20,Ref!$K$2:$K$42))</f>
        <v/>
      </c>
      <c r="AC476" s="3">
        <f>IF(OR(AF476=1,AND(AA476&gt;0,AB476&gt;=Controls!$B$23*AA476)),1,0)</f>
        <v/>
      </c>
      <c r="AD476" s="3">
        <f>IF(AND(E476&lt;&gt;"",E476&gt;=Controls!$B$21,E476&lt;=Controls!$B$22),1,0)</f>
        <v/>
      </c>
      <c r="AE476" s="3">
        <f>IF(IFERROR(VLOOKUP(D476,Controls!$A$36:$E$46,2,FALSE()),"No")="Yes",1,0)</f>
        <v/>
      </c>
      <c r="AF476" s="3">
        <f>IF(IFERROR(VLOOKUP(D476,Controls!$A$36:$E$46,3,FALSE()),"No")="Yes",1,0)</f>
        <v/>
      </c>
      <c r="AG476" s="3">
        <f>IF(IFERROR(VLOOKUP(D476,Controls!$A$36:$E$46,4,FALSE()),"No")="Yes",1,0)</f>
        <v/>
      </c>
      <c r="AH476" s="3">
        <f>IF(IFERROR(VLOOKUP(D476,Controls!$A$36:$E$46,5,FALSE()),"No")="Yes",1,0)</f>
        <v/>
      </c>
      <c r="AI476" s="3">
        <f>IF(ISNUMBER(MATCH(D476,Controls!$A$36:$A$46,0)),1,0)</f>
        <v/>
      </c>
      <c r="AJ476" s="28">
        <f>Q476-N476</f>
        <v/>
      </c>
      <c r="AK476" s="3">
        <f>IF(AE476=1,MAX(0,N476-Q476),0)</f>
        <v/>
      </c>
      <c r="AL476" s="3">
        <f>IF(OR(V476="",V476=0),0,N476/V476)</f>
        <v/>
      </c>
      <c r="AM476" s="3">
        <f>IF(OR(V476="",V476=0),0,1)</f>
        <v/>
      </c>
      <c r="AN476" s="3">
        <f>IF(OR(E476="",F476=""),0,NETWORKDAYS(E476,F476,Ref!$K$2:$K$42))</f>
        <v/>
      </c>
      <c r="AO476" s="3">
        <f>IF(L476="Renewal",1,0)</f>
        <v/>
      </c>
      <c r="AP476" s="3">
        <f>AC476*AD476</f>
        <v/>
      </c>
      <c r="AQ476" s="3">
        <f>IF(AND(G476&lt;&gt;"",'Historical Score'!$C$6&lt;&gt;""),IF(G476='Historical Score'!$C$6,1,0),0)</f>
        <v/>
      </c>
      <c r="AR476" s="3">
        <f>IF(AND(L476&lt;&gt;"",'Historical Score'!$C$5&lt;&gt;""),IF(L476='Historical Score'!$C$5,1,0),0)</f>
        <v/>
      </c>
      <c r="AS476" s="3">
        <f>IF(AND(Y476&lt;&gt;"",'Historical Score'!$C$7&lt;&gt;""),IF(Y476='Historical Score'!$C$7,1,0),0)</f>
        <v/>
      </c>
      <c r="AT476" s="3">
        <f>IF(AND(K476&lt;&gt;"",'Historical Score'!$C$8&lt;&gt;""),IF(K476='Historical Score'!$C$8,1,0),0)</f>
        <v/>
      </c>
      <c r="AU476" s="3" t="n"/>
      <c r="AV476" s="3" t="n"/>
      <c r="AW476" s="3" t="n"/>
      <c r="AX476" s="3" t="n"/>
      <c r="AY476" s="3" t="n"/>
      <c r="AZ476" s="3" t="n"/>
      <c r="BA476" s="182">
        <f>IF(AD476=1,(AR476*'Historical Score'!$K$29+1-'Historical Score'!$K$29)*(AT476*'Historical Score'!$L$29+1-'Historical Score'!$L$29)*(AS476*'Historical Score'!$M$29+1-'Historical Score'!$M$29)*(AQ476*'Historical Score'!$N$29+1-'Historical Score'!$N$29),0)</f>
        <v/>
      </c>
      <c r="BB476" s="3" t="n"/>
      <c r="BC476" s="3" t="n"/>
    </row>
    <row r="477" ht="15.75" customHeight="1" s="174">
      <c r="A477" s="3" t="inlineStr">
        <is>
          <t>5674175022</t>
        </is>
      </c>
      <c r="B477" s="3" t="inlineStr">
        <is>
          <t>FIT MEDICAL SUPPLY LLC</t>
        </is>
      </c>
      <c r="C477" s="3" t="inlineStr">
        <is>
          <t>FIT MEDICAL SUPPLY LLC</t>
        </is>
      </c>
      <c r="D477" s="3" t="inlineStr">
        <is>
          <t>Lowered Payments</t>
        </is>
      </c>
      <c r="E477" s="23" t="n">
        <v>46015</v>
      </c>
      <c r="F477" s="23" t="n">
        <v>46247</v>
      </c>
      <c r="G477" s="3" t="n">
        <v>2</v>
      </c>
      <c r="H477" s="3" t="inlineStr">
        <is>
          <t>5047</t>
        </is>
      </c>
      <c r="I477" s="3" t="inlineStr">
        <is>
          <t>50</t>
        </is>
      </c>
      <c r="J477" s="3" t="inlineStr">
        <is>
          <t>FL</t>
        </is>
      </c>
      <c r="K477" s="3" t="inlineStr">
        <is>
          <t>Fundwell</t>
        </is>
      </c>
      <c r="L477" s="3" t="inlineStr">
        <is>
          <t>New Deal</t>
        </is>
      </c>
      <c r="M477" s="3" t="n">
        <v>1.38</v>
      </c>
      <c r="N477" s="28" t="n">
        <v>30000</v>
      </c>
      <c r="O477" s="28" t="n">
        <v>3450</v>
      </c>
      <c r="P477" s="28" t="n">
        <v>41400</v>
      </c>
      <c r="Q477" s="28" t="n">
        <v>13926.88</v>
      </c>
      <c r="R477" s="28" t="n">
        <v>27473.12</v>
      </c>
      <c r="S477" s="42" t="n">
        <v>0.33639806763285</v>
      </c>
      <c r="T477" s="3" t="n">
        <v>32</v>
      </c>
      <c r="U477" s="3" t="n">
        <v>0</v>
      </c>
      <c r="V477" s="3" t="n">
        <v>64130.95</v>
      </c>
      <c r="W477" s="42" t="n">
        <v>0.08069999999999999</v>
      </c>
      <c r="X477" s="23" t="n">
        <v>45383</v>
      </c>
      <c r="Y477" s="3">
        <f>IF(I477="","No SIC",IFERROR(VLOOKUP(I477,Ref!$A$2:$B$65,2,FALSE()),"Unclassified"))</f>
        <v/>
      </c>
      <c r="Z477" s="3">
        <f>IF(T477="","",IF(T477&lt;12,"Daily","Weekly"))</f>
        <v/>
      </c>
      <c r="AA477" s="3">
        <f>IF(T477="",0,IF(T477&lt;12,T477*Controls!$B$13,T477*5))</f>
        <v/>
      </c>
      <c r="AB477" s="3">
        <f>IF(E477="",0,NETWORKDAYS(E477,Controls!$B$20,Ref!$K$2:$K$42))</f>
        <v/>
      </c>
      <c r="AC477" s="3">
        <f>IF(OR(AF477=1,AND(AA477&gt;0,AB477&gt;=Controls!$B$23*AA477)),1,0)</f>
        <v/>
      </c>
      <c r="AD477" s="3">
        <f>IF(AND(E477&lt;&gt;"",E477&gt;=Controls!$B$21,E477&lt;=Controls!$B$22),1,0)</f>
        <v/>
      </c>
      <c r="AE477" s="3">
        <f>IF(IFERROR(VLOOKUP(D477,Controls!$A$36:$E$46,2,FALSE()),"No")="Yes",1,0)</f>
        <v/>
      </c>
      <c r="AF477" s="3">
        <f>IF(IFERROR(VLOOKUP(D477,Controls!$A$36:$E$46,3,FALSE()),"No")="Yes",1,0)</f>
        <v/>
      </c>
      <c r="AG477" s="3">
        <f>IF(IFERROR(VLOOKUP(D477,Controls!$A$36:$E$46,4,FALSE()),"No")="Yes",1,0)</f>
        <v/>
      </c>
      <c r="AH477" s="3">
        <f>IF(IFERROR(VLOOKUP(D477,Controls!$A$36:$E$46,5,FALSE()),"No")="Yes",1,0)</f>
        <v/>
      </c>
      <c r="AI477" s="3">
        <f>IF(ISNUMBER(MATCH(D477,Controls!$A$36:$A$46,0)),1,0)</f>
        <v/>
      </c>
      <c r="AJ477" s="28">
        <f>Q477-N477</f>
        <v/>
      </c>
      <c r="AK477" s="3">
        <f>IF(AE477=1,MAX(0,N477-Q477),0)</f>
        <v/>
      </c>
      <c r="AL477" s="3">
        <f>IF(OR(V477="",V477=0),0,N477/V477)</f>
        <v/>
      </c>
      <c r="AM477" s="3">
        <f>IF(OR(V477="",V477=0),0,1)</f>
        <v/>
      </c>
      <c r="AN477" s="3">
        <f>IF(OR(E477="",F477=""),0,NETWORKDAYS(E477,F477,Ref!$K$2:$K$42))</f>
        <v/>
      </c>
      <c r="AO477" s="3">
        <f>IF(L477="Renewal",1,0)</f>
        <v/>
      </c>
      <c r="AP477" s="3">
        <f>AC477*AD477</f>
        <v/>
      </c>
      <c r="AQ477" s="3">
        <f>IF(AND(G477&lt;&gt;"",'Historical Score'!$C$6&lt;&gt;""),IF(G477='Historical Score'!$C$6,1,0),0)</f>
        <v/>
      </c>
      <c r="AR477" s="3">
        <f>IF(AND(L477&lt;&gt;"",'Historical Score'!$C$5&lt;&gt;""),IF(L477='Historical Score'!$C$5,1,0),0)</f>
        <v/>
      </c>
      <c r="AS477" s="3">
        <f>IF(AND(Y477&lt;&gt;"",'Historical Score'!$C$7&lt;&gt;""),IF(Y477='Historical Score'!$C$7,1,0),0)</f>
        <v/>
      </c>
      <c r="AT477" s="3">
        <f>IF(AND(K477&lt;&gt;"",'Historical Score'!$C$8&lt;&gt;""),IF(K477='Historical Score'!$C$8,1,0),0)</f>
        <v/>
      </c>
      <c r="AU477" s="3" t="n"/>
      <c r="AV477" s="3" t="n"/>
      <c r="AW477" s="3" t="n"/>
      <c r="AX477" s="3" t="n"/>
      <c r="AY477" s="3" t="n"/>
      <c r="AZ477" s="3" t="n"/>
      <c r="BA477" s="182">
        <f>IF(AD477=1,(AR477*'Historical Score'!$K$29+1-'Historical Score'!$K$29)*(AT477*'Historical Score'!$L$29+1-'Historical Score'!$L$29)*(AS477*'Historical Score'!$M$29+1-'Historical Score'!$M$29)*(AQ477*'Historical Score'!$N$29+1-'Historical Score'!$N$29),0)</f>
        <v/>
      </c>
      <c r="BB477" s="3" t="n"/>
      <c r="BC477" s="3" t="n"/>
    </row>
    <row r="478" ht="15.75" customHeight="1" s="174">
      <c r="A478" s="3" t="inlineStr">
        <is>
          <t>5674175024</t>
        </is>
      </c>
      <c r="B478" s="3" t="inlineStr">
        <is>
          <t>c BROOKS TRANS LLC</t>
        </is>
      </c>
      <c r="C478" s="3" t="inlineStr">
        <is>
          <t>c BROOKS TRANS LLC</t>
        </is>
      </c>
      <c r="D478" s="3" t="inlineStr">
        <is>
          <t>Closed</t>
        </is>
      </c>
      <c r="E478" s="23" t="n">
        <v>46015</v>
      </c>
      <c r="F478" s="23" t="n">
        <v>46129</v>
      </c>
      <c r="G478" s="3" t="n">
        <v>3</v>
      </c>
      <c r="H478" s="3" t="inlineStr">
        <is>
          <t>4212</t>
        </is>
      </c>
      <c r="I478" s="3" t="inlineStr">
        <is>
          <t>42</t>
        </is>
      </c>
      <c r="J478" s="3" t="inlineStr">
        <is>
          <t>MD</t>
        </is>
      </c>
      <c r="K478" s="3" t="inlineStr">
        <is>
          <t>penco holdings</t>
        </is>
      </c>
      <c r="L478" s="3" t="inlineStr">
        <is>
          <t>New Deal</t>
        </is>
      </c>
      <c r="M478" s="3" t="n">
        <v>1.49</v>
      </c>
      <c r="N478" s="28" t="n">
        <v>3500</v>
      </c>
      <c r="O478" s="28" t="n">
        <v>490</v>
      </c>
      <c r="P478" s="28" t="n">
        <v>5215</v>
      </c>
      <c r="Q478" s="28" t="n">
        <v>5215</v>
      </c>
      <c r="R478" s="28" t="n">
        <v>0</v>
      </c>
      <c r="S478" s="42" t="n">
        <v>1</v>
      </c>
      <c r="T478" s="3" t="n">
        <v>16</v>
      </c>
      <c r="U478" s="3" t="n">
        <v>0</v>
      </c>
      <c r="V478" s="3" t="n">
        <v>21609.52</v>
      </c>
      <c r="W478" s="42" t="n">
        <v>0.0603</v>
      </c>
      <c r="X478" s="23" t="n">
        <v>43277</v>
      </c>
      <c r="Y478" s="3">
        <f>IF(I478="","No SIC",IFERROR(VLOOKUP(I478,Ref!$A$2:$B$65,2,FALSE()),"Unclassified"))</f>
        <v/>
      </c>
      <c r="Z478" s="3">
        <f>IF(T478="","",IF(T478&lt;12,"Daily","Weekly"))</f>
        <v/>
      </c>
      <c r="AA478" s="3">
        <f>IF(T478="",0,IF(T478&lt;12,T478*Controls!$B$13,T478*5))</f>
        <v/>
      </c>
      <c r="AB478" s="3">
        <f>IF(E478="",0,NETWORKDAYS(E478,Controls!$B$20,Ref!$K$2:$K$42))</f>
        <v/>
      </c>
      <c r="AC478" s="3">
        <f>IF(OR(AF478=1,AND(AA478&gt;0,AB478&gt;=Controls!$B$23*AA478)),1,0)</f>
        <v/>
      </c>
      <c r="AD478" s="3">
        <f>IF(AND(E478&lt;&gt;"",E478&gt;=Controls!$B$21,E478&lt;=Controls!$B$22),1,0)</f>
        <v/>
      </c>
      <c r="AE478" s="3">
        <f>IF(IFERROR(VLOOKUP(D478,Controls!$A$36:$E$46,2,FALSE()),"No")="Yes",1,0)</f>
        <v/>
      </c>
      <c r="AF478" s="3">
        <f>IF(IFERROR(VLOOKUP(D478,Controls!$A$36:$E$46,3,FALSE()),"No")="Yes",1,0)</f>
        <v/>
      </c>
      <c r="AG478" s="3">
        <f>IF(IFERROR(VLOOKUP(D478,Controls!$A$36:$E$46,4,FALSE()),"No")="Yes",1,0)</f>
        <v/>
      </c>
      <c r="AH478" s="3">
        <f>IF(IFERROR(VLOOKUP(D478,Controls!$A$36:$E$46,5,FALSE()),"No")="Yes",1,0)</f>
        <v/>
      </c>
      <c r="AI478" s="3">
        <f>IF(ISNUMBER(MATCH(D478,Controls!$A$36:$A$46,0)),1,0)</f>
        <v/>
      </c>
      <c r="AJ478" s="28">
        <f>Q478-N478</f>
        <v/>
      </c>
      <c r="AK478" s="3">
        <f>IF(AE478=1,MAX(0,N478-Q478),0)</f>
        <v/>
      </c>
      <c r="AL478" s="3">
        <f>IF(OR(V478="",V478=0),0,N478/V478)</f>
        <v/>
      </c>
      <c r="AM478" s="3">
        <f>IF(OR(V478="",V478=0),0,1)</f>
        <v/>
      </c>
      <c r="AN478" s="3">
        <f>IF(OR(E478="",F478=""),0,NETWORKDAYS(E478,F478,Ref!$K$2:$K$42))</f>
        <v/>
      </c>
      <c r="AO478" s="3">
        <f>IF(L478="Renewal",1,0)</f>
        <v/>
      </c>
      <c r="AP478" s="3">
        <f>AC478*AD478</f>
        <v/>
      </c>
      <c r="AQ478" s="3">
        <f>IF(AND(G478&lt;&gt;"",'Historical Score'!$C$6&lt;&gt;""),IF(G478='Historical Score'!$C$6,1,0),0)</f>
        <v/>
      </c>
      <c r="AR478" s="3">
        <f>IF(AND(L478&lt;&gt;"",'Historical Score'!$C$5&lt;&gt;""),IF(L478='Historical Score'!$C$5,1,0),0)</f>
        <v/>
      </c>
      <c r="AS478" s="3">
        <f>IF(AND(Y478&lt;&gt;"",'Historical Score'!$C$7&lt;&gt;""),IF(Y478='Historical Score'!$C$7,1,0),0)</f>
        <v/>
      </c>
      <c r="AT478" s="3">
        <f>IF(AND(K478&lt;&gt;"",'Historical Score'!$C$8&lt;&gt;""),IF(K478='Historical Score'!$C$8,1,0),0)</f>
        <v/>
      </c>
      <c r="AU478" s="3" t="n"/>
      <c r="AV478" s="3" t="n"/>
      <c r="AW478" s="3" t="n"/>
      <c r="AX478" s="3" t="n"/>
      <c r="AY478" s="3" t="n"/>
      <c r="AZ478" s="3" t="n"/>
      <c r="BA478" s="182">
        <f>IF(AD478=1,(AR478*'Historical Score'!$K$29+1-'Historical Score'!$K$29)*(AT478*'Historical Score'!$L$29+1-'Historical Score'!$L$29)*(AS478*'Historical Score'!$M$29+1-'Historical Score'!$M$29)*(AQ478*'Historical Score'!$N$29+1-'Historical Score'!$N$29),0)</f>
        <v/>
      </c>
      <c r="BB478" s="3" t="n"/>
      <c r="BC478" s="3" t="n"/>
    </row>
    <row r="479" ht="15.75" customHeight="1" s="174">
      <c r="A479" s="3" t="inlineStr">
        <is>
          <t>5674175027</t>
        </is>
      </c>
      <c r="B479" s="3" t="inlineStr">
        <is>
          <t>A AND K ASSOCIATES</t>
        </is>
      </c>
      <c r="C479" s="3" t="inlineStr">
        <is>
          <t>KAY INVESTMENT INC</t>
        </is>
      </c>
      <c r="D479" s="3" t="inlineStr">
        <is>
          <t>Closed</t>
        </is>
      </c>
      <c r="E479" s="23" t="n">
        <v>46015</v>
      </c>
      <c r="F479" s="23" t="n">
        <v>46140</v>
      </c>
      <c r="G479" s="3" t="n">
        <v>4</v>
      </c>
      <c r="H479" s="3" t="inlineStr">
        <is>
          <t>8748</t>
        </is>
      </c>
      <c r="I479" s="3" t="inlineStr">
        <is>
          <t>87</t>
        </is>
      </c>
      <c r="J479" s="3" t="inlineStr">
        <is>
          <t>TX</t>
        </is>
      </c>
      <c r="K479" s="3" t="inlineStr">
        <is>
          <t>Triumph Cap Fund</t>
        </is>
      </c>
      <c r="L479" s="3" t="inlineStr">
        <is>
          <t>New Deal</t>
        </is>
      </c>
      <c r="M479" s="3" t="n">
        <v>1.49</v>
      </c>
      <c r="N479" s="28" t="n">
        <v>20000</v>
      </c>
      <c r="O479" s="28" t="n">
        <v>2800</v>
      </c>
      <c r="P479" s="28" t="n">
        <v>29800</v>
      </c>
      <c r="Q479" s="28" t="n">
        <v>29800</v>
      </c>
      <c r="R479" s="28" t="n">
        <v>0</v>
      </c>
      <c r="S479" s="42" t="n">
        <v>1</v>
      </c>
      <c r="T479" s="3" t="n">
        <v>22</v>
      </c>
      <c r="U479" s="3" t="n">
        <v>0</v>
      </c>
      <c r="V479" s="3" t="n">
        <v>50516.18</v>
      </c>
      <c r="W479" s="42" t="n">
        <v>0.1073</v>
      </c>
      <c r="X479" s="23" t="n">
        <v>44341</v>
      </c>
      <c r="Y479" s="3">
        <f>IF(I479="","No SIC",IFERROR(VLOOKUP(I479,Ref!$A$2:$B$65,2,FALSE()),"Unclassified"))</f>
        <v/>
      </c>
      <c r="Z479" s="3">
        <f>IF(T479="","",IF(T479&lt;12,"Daily","Weekly"))</f>
        <v/>
      </c>
      <c r="AA479" s="3">
        <f>IF(T479="",0,IF(T479&lt;12,T479*Controls!$B$13,T479*5))</f>
        <v/>
      </c>
      <c r="AB479" s="3">
        <f>IF(E479="",0,NETWORKDAYS(E479,Controls!$B$20,Ref!$K$2:$K$42))</f>
        <v/>
      </c>
      <c r="AC479" s="3">
        <f>IF(OR(AF479=1,AND(AA479&gt;0,AB479&gt;=Controls!$B$23*AA479)),1,0)</f>
        <v/>
      </c>
      <c r="AD479" s="3">
        <f>IF(AND(E479&lt;&gt;"",E479&gt;=Controls!$B$21,E479&lt;=Controls!$B$22),1,0)</f>
        <v/>
      </c>
      <c r="AE479" s="3">
        <f>IF(IFERROR(VLOOKUP(D479,Controls!$A$36:$E$46,2,FALSE()),"No")="Yes",1,0)</f>
        <v/>
      </c>
      <c r="AF479" s="3">
        <f>IF(IFERROR(VLOOKUP(D479,Controls!$A$36:$E$46,3,FALSE()),"No")="Yes",1,0)</f>
        <v/>
      </c>
      <c r="AG479" s="3">
        <f>IF(IFERROR(VLOOKUP(D479,Controls!$A$36:$E$46,4,FALSE()),"No")="Yes",1,0)</f>
        <v/>
      </c>
      <c r="AH479" s="3">
        <f>IF(IFERROR(VLOOKUP(D479,Controls!$A$36:$E$46,5,FALSE()),"No")="Yes",1,0)</f>
        <v/>
      </c>
      <c r="AI479" s="3">
        <f>IF(ISNUMBER(MATCH(D479,Controls!$A$36:$A$46,0)),1,0)</f>
        <v/>
      </c>
      <c r="AJ479" s="28">
        <f>Q479-N479</f>
        <v/>
      </c>
      <c r="AK479" s="3">
        <f>IF(AE479=1,MAX(0,N479-Q479),0)</f>
        <v/>
      </c>
      <c r="AL479" s="3">
        <f>IF(OR(V479="",V479=0),0,N479/V479)</f>
        <v/>
      </c>
      <c r="AM479" s="3">
        <f>IF(OR(V479="",V479=0),0,1)</f>
        <v/>
      </c>
      <c r="AN479" s="3">
        <f>IF(OR(E479="",F479=""),0,NETWORKDAYS(E479,F479,Ref!$K$2:$K$42))</f>
        <v/>
      </c>
      <c r="AO479" s="3">
        <f>IF(L479="Renewal",1,0)</f>
        <v/>
      </c>
      <c r="AP479" s="3">
        <f>AC479*AD479</f>
        <v/>
      </c>
      <c r="AQ479" s="3">
        <f>IF(AND(G479&lt;&gt;"",'Historical Score'!$C$6&lt;&gt;""),IF(G479='Historical Score'!$C$6,1,0),0)</f>
        <v/>
      </c>
      <c r="AR479" s="3">
        <f>IF(AND(L479&lt;&gt;"",'Historical Score'!$C$5&lt;&gt;""),IF(L479='Historical Score'!$C$5,1,0),0)</f>
        <v/>
      </c>
      <c r="AS479" s="3">
        <f>IF(AND(Y479&lt;&gt;"",'Historical Score'!$C$7&lt;&gt;""),IF(Y479='Historical Score'!$C$7,1,0),0)</f>
        <v/>
      </c>
      <c r="AT479" s="3">
        <f>IF(AND(K479&lt;&gt;"",'Historical Score'!$C$8&lt;&gt;""),IF(K479='Historical Score'!$C$8,1,0),0)</f>
        <v/>
      </c>
      <c r="AU479" s="3" t="n"/>
      <c r="AV479" s="3" t="n"/>
      <c r="AW479" s="3" t="n"/>
      <c r="AX479" s="3" t="n"/>
      <c r="AY479" s="3" t="n"/>
      <c r="AZ479" s="3" t="n"/>
      <c r="BA479" s="182">
        <f>IF(AD479=1,(AR479*'Historical Score'!$K$29+1-'Historical Score'!$K$29)*(AT479*'Historical Score'!$L$29+1-'Historical Score'!$L$29)*(AS479*'Historical Score'!$M$29+1-'Historical Score'!$M$29)*(AQ479*'Historical Score'!$N$29+1-'Historical Score'!$N$29),0)</f>
        <v/>
      </c>
      <c r="BB479" s="3" t="n"/>
      <c r="BC479" s="3" t="n"/>
    </row>
    <row r="480" ht="15.75" customHeight="1" s="174">
      <c r="A480" s="3" t="inlineStr">
        <is>
          <t>5674175075</t>
        </is>
      </c>
      <c r="B480" s="3" t="inlineStr">
        <is>
          <t>Cider Hill Construction LLC</t>
        </is>
      </c>
      <c r="C480" s="3" t="inlineStr">
        <is>
          <t>THBH investments Limited LLC</t>
        </is>
      </c>
      <c r="D480" s="3" t="inlineStr">
        <is>
          <t>In House Collection</t>
        </is>
      </c>
      <c r="E480" s="23" t="n">
        <v>46017</v>
      </c>
      <c r="F480" s="23" t="n">
        <v>46206</v>
      </c>
      <c r="G480" s="3" t="n">
        <v>1</v>
      </c>
      <c r="H480" s="3" t="inlineStr">
        <is>
          <t>1521</t>
        </is>
      </c>
      <c r="I480" s="3" t="inlineStr">
        <is>
          <t>15</t>
        </is>
      </c>
      <c r="J480" s="3" t="inlineStr">
        <is>
          <t>SC</t>
        </is>
      </c>
      <c r="K480" s="3" t="inlineStr">
        <is>
          <t>cavala funding</t>
        </is>
      </c>
      <c r="L480" s="3" t="inlineStr">
        <is>
          <t>New Deal</t>
        </is>
      </c>
      <c r="M480" s="3" t="n">
        <v>1.35</v>
      </c>
      <c r="N480" s="28" t="n">
        <v>5000</v>
      </c>
      <c r="O480" s="28" t="n">
        <v>350</v>
      </c>
      <c r="P480" s="28" t="n">
        <v>6750</v>
      </c>
      <c r="Q480" s="28" t="n">
        <v>4371.65</v>
      </c>
      <c r="R480" s="28" t="n">
        <v>2378.35</v>
      </c>
      <c r="S480" s="42" t="n">
        <v>0.647651851851852</v>
      </c>
      <c r="T480" s="3" t="n">
        <v>2.787</v>
      </c>
      <c r="U480" s="3" t="n">
        <v>60</v>
      </c>
      <c r="V480" s="3" t="n">
        <v>25524.55</v>
      </c>
      <c r="W480" s="42" t="n">
        <v>0.0653</v>
      </c>
      <c r="X480" s="23" t="n">
        <v>44993</v>
      </c>
      <c r="Y480" s="3">
        <f>IF(I480="","No SIC",IFERROR(VLOOKUP(I480,Ref!$A$2:$B$65,2,FALSE()),"Unclassified"))</f>
        <v/>
      </c>
      <c r="Z480" s="3">
        <f>IF(T480="","",IF(T480&lt;12,"Daily","Weekly"))</f>
        <v/>
      </c>
      <c r="AA480" s="3">
        <f>IF(T480="",0,IF(T480&lt;12,T480*Controls!$B$13,T480*5))</f>
        <v/>
      </c>
      <c r="AB480" s="3">
        <f>IF(E480="",0,NETWORKDAYS(E480,Controls!$B$20,Ref!$K$2:$K$42))</f>
        <v/>
      </c>
      <c r="AC480" s="3">
        <f>IF(OR(AF480=1,AND(AA480&gt;0,AB480&gt;=Controls!$B$23*AA480)),1,0)</f>
        <v/>
      </c>
      <c r="AD480" s="3">
        <f>IF(AND(E480&lt;&gt;"",E480&gt;=Controls!$B$21,E480&lt;=Controls!$B$22),1,0)</f>
        <v/>
      </c>
      <c r="AE480" s="3">
        <f>IF(IFERROR(VLOOKUP(D480,Controls!$A$36:$E$46,2,FALSE()),"No")="Yes",1,0)</f>
        <v/>
      </c>
      <c r="AF480" s="3">
        <f>IF(IFERROR(VLOOKUP(D480,Controls!$A$36:$E$46,3,FALSE()),"No")="Yes",1,0)</f>
        <v/>
      </c>
      <c r="AG480" s="3">
        <f>IF(IFERROR(VLOOKUP(D480,Controls!$A$36:$E$46,4,FALSE()),"No")="Yes",1,0)</f>
        <v/>
      </c>
      <c r="AH480" s="3">
        <f>IF(IFERROR(VLOOKUP(D480,Controls!$A$36:$E$46,5,FALSE()),"No")="Yes",1,0)</f>
        <v/>
      </c>
      <c r="AI480" s="3">
        <f>IF(ISNUMBER(MATCH(D480,Controls!$A$36:$A$46,0)),1,0)</f>
        <v/>
      </c>
      <c r="AJ480" s="28">
        <f>Q480-N480</f>
        <v/>
      </c>
      <c r="AK480" s="3">
        <f>IF(AE480=1,MAX(0,N480-Q480),0)</f>
        <v/>
      </c>
      <c r="AL480" s="3">
        <f>IF(OR(V480="",V480=0),0,N480/V480)</f>
        <v/>
      </c>
      <c r="AM480" s="3">
        <f>IF(OR(V480="",V480=0),0,1)</f>
        <v/>
      </c>
      <c r="AN480" s="3">
        <f>IF(OR(E480="",F480=""),0,NETWORKDAYS(E480,F480,Ref!$K$2:$K$42))</f>
        <v/>
      </c>
      <c r="AO480" s="3">
        <f>IF(L480="Renewal",1,0)</f>
        <v/>
      </c>
      <c r="AP480" s="3">
        <f>AC480*AD480</f>
        <v/>
      </c>
      <c r="AQ480" s="3">
        <f>IF(AND(G480&lt;&gt;"",'Historical Score'!$C$6&lt;&gt;""),IF(G480='Historical Score'!$C$6,1,0),0)</f>
        <v/>
      </c>
      <c r="AR480" s="3">
        <f>IF(AND(L480&lt;&gt;"",'Historical Score'!$C$5&lt;&gt;""),IF(L480='Historical Score'!$C$5,1,0),0)</f>
        <v/>
      </c>
      <c r="AS480" s="3">
        <f>IF(AND(Y480&lt;&gt;"",'Historical Score'!$C$7&lt;&gt;""),IF(Y480='Historical Score'!$C$7,1,0),0)</f>
        <v/>
      </c>
      <c r="AT480" s="3">
        <f>IF(AND(K480&lt;&gt;"",'Historical Score'!$C$8&lt;&gt;""),IF(K480='Historical Score'!$C$8,1,0),0)</f>
        <v/>
      </c>
      <c r="AU480" s="3" t="n"/>
      <c r="AV480" s="3" t="n"/>
      <c r="AW480" s="3" t="n"/>
      <c r="AX480" s="3" t="n"/>
      <c r="AY480" s="3" t="n"/>
      <c r="AZ480" s="3" t="n"/>
      <c r="BA480" s="182">
        <f>IF(AD480=1,(AR480*'Historical Score'!$K$29+1-'Historical Score'!$K$29)*(AT480*'Historical Score'!$L$29+1-'Historical Score'!$L$29)*(AS480*'Historical Score'!$M$29+1-'Historical Score'!$M$29)*(AQ480*'Historical Score'!$N$29+1-'Historical Score'!$N$29),0)</f>
        <v/>
      </c>
      <c r="BB480" s="3" t="n"/>
      <c r="BC480" s="3" t="n"/>
    </row>
    <row r="481" ht="15.75" customHeight="1" s="174">
      <c r="A481" s="3" t="inlineStr">
        <is>
          <t>5674175090</t>
        </is>
      </c>
      <c r="B481" s="3" t="inlineStr">
        <is>
          <t>LANDSCAPE ASSOCIATES OF GA</t>
        </is>
      </c>
      <c r="C481" s="3" t="inlineStr">
        <is>
          <t>LANDSCAPE ASSOCIATES OF GA LLC</t>
        </is>
      </c>
      <c r="D481" s="3" t="inlineStr">
        <is>
          <t>Closed</t>
        </is>
      </c>
      <c r="E481" s="23" t="n">
        <v>46017</v>
      </c>
      <c r="F481" s="23" t="n">
        <v>46143</v>
      </c>
      <c r="G481" s="3" t="n">
        <v>2</v>
      </c>
      <c r="H481" s="3" t="inlineStr">
        <is>
          <t>0781</t>
        </is>
      </c>
      <c r="I481" s="3" t="inlineStr">
        <is>
          <t>07</t>
        </is>
      </c>
      <c r="J481" s="3" t="inlineStr">
        <is>
          <t>GA</t>
        </is>
      </c>
      <c r="K481" s="3" t="inlineStr">
        <is>
          <t>cavala funding</t>
        </is>
      </c>
      <c r="L481" s="3" t="inlineStr">
        <is>
          <t>New Deal</t>
        </is>
      </c>
      <c r="M481" s="3" t="n">
        <v>1.5</v>
      </c>
      <c r="N481" s="28" t="n">
        <v>22000</v>
      </c>
      <c r="O481" s="28" t="n">
        <v>3080</v>
      </c>
      <c r="P481" s="28" t="n">
        <v>33000</v>
      </c>
      <c r="Q481" s="28" t="n">
        <v>33000</v>
      </c>
      <c r="R481" s="28" t="n">
        <v>0</v>
      </c>
      <c r="S481" s="42" t="n">
        <v>1</v>
      </c>
      <c r="T481" s="3" t="n">
        <v>24</v>
      </c>
      <c r="U481" s="3" t="n">
        <v>0</v>
      </c>
      <c r="V481" s="3" t="n">
        <v>184725.89</v>
      </c>
      <c r="W481" s="42" t="n">
        <v>0.0296</v>
      </c>
      <c r="X481" s="23" t="n">
        <v>36526</v>
      </c>
      <c r="Y481" s="3">
        <f>IF(I481="","No SIC",IFERROR(VLOOKUP(I481,Ref!$A$2:$B$65,2,FALSE()),"Unclassified"))</f>
        <v/>
      </c>
      <c r="Z481" s="3">
        <f>IF(T481="","",IF(T481&lt;12,"Daily","Weekly"))</f>
        <v/>
      </c>
      <c r="AA481" s="3">
        <f>IF(T481="",0,IF(T481&lt;12,T481*Controls!$B$13,T481*5))</f>
        <v/>
      </c>
      <c r="AB481" s="3">
        <f>IF(E481="",0,NETWORKDAYS(E481,Controls!$B$20,Ref!$K$2:$K$42))</f>
        <v/>
      </c>
      <c r="AC481" s="3">
        <f>IF(OR(AF481=1,AND(AA481&gt;0,AB481&gt;=Controls!$B$23*AA481)),1,0)</f>
        <v/>
      </c>
      <c r="AD481" s="3">
        <f>IF(AND(E481&lt;&gt;"",E481&gt;=Controls!$B$21,E481&lt;=Controls!$B$22),1,0)</f>
        <v/>
      </c>
      <c r="AE481" s="3">
        <f>IF(IFERROR(VLOOKUP(D481,Controls!$A$36:$E$46,2,FALSE()),"No")="Yes",1,0)</f>
        <v/>
      </c>
      <c r="AF481" s="3">
        <f>IF(IFERROR(VLOOKUP(D481,Controls!$A$36:$E$46,3,FALSE()),"No")="Yes",1,0)</f>
        <v/>
      </c>
      <c r="AG481" s="3">
        <f>IF(IFERROR(VLOOKUP(D481,Controls!$A$36:$E$46,4,FALSE()),"No")="Yes",1,0)</f>
        <v/>
      </c>
      <c r="AH481" s="3">
        <f>IF(IFERROR(VLOOKUP(D481,Controls!$A$36:$E$46,5,FALSE()),"No")="Yes",1,0)</f>
        <v/>
      </c>
      <c r="AI481" s="3">
        <f>IF(ISNUMBER(MATCH(D481,Controls!$A$36:$A$46,0)),1,0)</f>
        <v/>
      </c>
      <c r="AJ481" s="28">
        <f>Q481-N481</f>
        <v/>
      </c>
      <c r="AK481" s="3">
        <f>IF(AE481=1,MAX(0,N481-Q481),0)</f>
        <v/>
      </c>
      <c r="AL481" s="3">
        <f>IF(OR(V481="",V481=0),0,N481/V481)</f>
        <v/>
      </c>
      <c r="AM481" s="3">
        <f>IF(OR(V481="",V481=0),0,1)</f>
        <v/>
      </c>
      <c r="AN481" s="3">
        <f>IF(OR(E481="",F481=""),0,NETWORKDAYS(E481,F481,Ref!$K$2:$K$42))</f>
        <v/>
      </c>
      <c r="AO481" s="3">
        <f>IF(L481="Renewal",1,0)</f>
        <v/>
      </c>
      <c r="AP481" s="3">
        <f>AC481*AD481</f>
        <v/>
      </c>
      <c r="AQ481" s="3">
        <f>IF(AND(G481&lt;&gt;"",'Historical Score'!$C$6&lt;&gt;""),IF(G481='Historical Score'!$C$6,1,0),0)</f>
        <v/>
      </c>
      <c r="AR481" s="3">
        <f>IF(AND(L481&lt;&gt;"",'Historical Score'!$C$5&lt;&gt;""),IF(L481='Historical Score'!$C$5,1,0),0)</f>
        <v/>
      </c>
      <c r="AS481" s="3">
        <f>IF(AND(Y481&lt;&gt;"",'Historical Score'!$C$7&lt;&gt;""),IF(Y481='Historical Score'!$C$7,1,0),0)</f>
        <v/>
      </c>
      <c r="AT481" s="3">
        <f>IF(AND(K481&lt;&gt;"",'Historical Score'!$C$8&lt;&gt;""),IF(K481='Historical Score'!$C$8,1,0),0)</f>
        <v/>
      </c>
      <c r="AU481" s="3" t="n"/>
      <c r="AV481" s="3" t="n"/>
      <c r="AW481" s="3" t="n"/>
      <c r="AX481" s="3" t="n"/>
      <c r="AY481" s="3" t="n"/>
      <c r="AZ481" s="3" t="n"/>
      <c r="BA481" s="182">
        <f>IF(AD481=1,(AR481*'Historical Score'!$K$29+1-'Historical Score'!$K$29)*(AT481*'Historical Score'!$L$29+1-'Historical Score'!$L$29)*(AS481*'Historical Score'!$M$29+1-'Historical Score'!$M$29)*(AQ481*'Historical Score'!$N$29+1-'Historical Score'!$N$29),0)</f>
        <v/>
      </c>
      <c r="BB481" s="3" t="n"/>
      <c r="BC481" s="3" t="n"/>
    </row>
    <row r="482" ht="15.75" customHeight="1" s="174">
      <c r="A482" s="3" t="inlineStr">
        <is>
          <t>5674175097</t>
        </is>
      </c>
      <c r="B482" s="3" t="inlineStr">
        <is>
          <t>NC Top Service LLC</t>
        </is>
      </c>
      <c r="C482" s="3" t="inlineStr">
        <is>
          <t>NC Top Service LLC</t>
        </is>
      </c>
      <c r="D482" s="3" t="inlineStr">
        <is>
          <t>Closed</t>
        </is>
      </c>
      <c r="E482" s="23" t="n">
        <v>46017</v>
      </c>
      <c r="F482" s="23" t="n">
        <v>46106</v>
      </c>
      <c r="G482" s="3" t="n">
        <v>2</v>
      </c>
      <c r="H482" s="3" t="inlineStr">
        <is>
          <t>1521</t>
        </is>
      </c>
      <c r="I482" s="3" t="inlineStr">
        <is>
          <t>15</t>
        </is>
      </c>
      <c r="J482" s="3" t="inlineStr">
        <is>
          <t>NC</t>
        </is>
      </c>
      <c r="K482" s="3" t="inlineStr">
        <is>
          <t>United Secured Capital 8</t>
        </is>
      </c>
      <c r="L482" s="3" t="inlineStr">
        <is>
          <t>New Deal</t>
        </is>
      </c>
      <c r="M482" s="3" t="n">
        <v>1.42</v>
      </c>
      <c r="N482" s="28" t="n">
        <v>31000</v>
      </c>
      <c r="O482" s="28" t="n">
        <v>3255</v>
      </c>
      <c r="P482" s="28" t="n">
        <v>44020</v>
      </c>
      <c r="Q482" s="28" t="n">
        <v>44020</v>
      </c>
      <c r="R482" s="28" t="n">
        <v>0</v>
      </c>
      <c r="S482" s="42" t="n">
        <v>1</v>
      </c>
      <c r="T482" s="3" t="n">
        <v>28</v>
      </c>
      <c r="U482" s="3" t="n">
        <v>0</v>
      </c>
      <c r="V482" s="3" t="n">
        <v>94340.63</v>
      </c>
      <c r="W482" s="42" t="n">
        <v>0.0667</v>
      </c>
      <c r="X482" s="23" t="n"/>
      <c r="Y482" s="3">
        <f>IF(I482="","No SIC",IFERROR(VLOOKUP(I482,Ref!$A$2:$B$65,2,FALSE()),"Unclassified"))</f>
        <v/>
      </c>
      <c r="Z482" s="3">
        <f>IF(T482="","",IF(T482&lt;12,"Daily","Weekly"))</f>
        <v/>
      </c>
      <c r="AA482" s="3">
        <f>IF(T482="",0,IF(T482&lt;12,T482*Controls!$B$13,T482*5))</f>
        <v/>
      </c>
      <c r="AB482" s="3">
        <f>IF(E482="",0,NETWORKDAYS(E482,Controls!$B$20,Ref!$K$2:$K$42))</f>
        <v/>
      </c>
      <c r="AC482" s="3">
        <f>IF(OR(AF482=1,AND(AA482&gt;0,AB482&gt;=Controls!$B$23*AA482)),1,0)</f>
        <v/>
      </c>
      <c r="AD482" s="3">
        <f>IF(AND(E482&lt;&gt;"",E482&gt;=Controls!$B$21,E482&lt;=Controls!$B$22),1,0)</f>
        <v/>
      </c>
      <c r="AE482" s="3">
        <f>IF(IFERROR(VLOOKUP(D482,Controls!$A$36:$E$46,2,FALSE()),"No")="Yes",1,0)</f>
        <v/>
      </c>
      <c r="AF482" s="3">
        <f>IF(IFERROR(VLOOKUP(D482,Controls!$A$36:$E$46,3,FALSE()),"No")="Yes",1,0)</f>
        <v/>
      </c>
      <c r="AG482" s="3">
        <f>IF(IFERROR(VLOOKUP(D482,Controls!$A$36:$E$46,4,FALSE()),"No")="Yes",1,0)</f>
        <v/>
      </c>
      <c r="AH482" s="3">
        <f>IF(IFERROR(VLOOKUP(D482,Controls!$A$36:$E$46,5,FALSE()),"No")="Yes",1,0)</f>
        <v/>
      </c>
      <c r="AI482" s="3">
        <f>IF(ISNUMBER(MATCH(D482,Controls!$A$36:$A$46,0)),1,0)</f>
        <v/>
      </c>
      <c r="AJ482" s="28">
        <f>Q482-N482</f>
        <v/>
      </c>
      <c r="AK482" s="3">
        <f>IF(AE482=1,MAX(0,N482-Q482),0)</f>
        <v/>
      </c>
      <c r="AL482" s="3">
        <f>IF(OR(V482="",V482=0),0,N482/V482)</f>
        <v/>
      </c>
      <c r="AM482" s="3">
        <f>IF(OR(V482="",V482=0),0,1)</f>
        <v/>
      </c>
      <c r="AN482" s="3">
        <f>IF(OR(E482="",F482=""),0,NETWORKDAYS(E482,F482,Ref!$K$2:$K$42))</f>
        <v/>
      </c>
      <c r="AO482" s="3">
        <f>IF(L482="Renewal",1,0)</f>
        <v/>
      </c>
      <c r="AP482" s="3">
        <f>AC482*AD482</f>
        <v/>
      </c>
      <c r="AQ482" s="3">
        <f>IF(AND(G482&lt;&gt;"",'Historical Score'!$C$6&lt;&gt;""),IF(G482='Historical Score'!$C$6,1,0),0)</f>
        <v/>
      </c>
      <c r="AR482" s="3">
        <f>IF(AND(L482&lt;&gt;"",'Historical Score'!$C$5&lt;&gt;""),IF(L482='Historical Score'!$C$5,1,0),0)</f>
        <v/>
      </c>
      <c r="AS482" s="3">
        <f>IF(AND(Y482&lt;&gt;"",'Historical Score'!$C$7&lt;&gt;""),IF(Y482='Historical Score'!$C$7,1,0),0)</f>
        <v/>
      </c>
      <c r="AT482" s="3">
        <f>IF(AND(K482&lt;&gt;"",'Historical Score'!$C$8&lt;&gt;""),IF(K482='Historical Score'!$C$8,1,0),0)</f>
        <v/>
      </c>
      <c r="AU482" s="3" t="n"/>
      <c r="AV482" s="3" t="n"/>
      <c r="AW482" s="3" t="n"/>
      <c r="AX482" s="3" t="n"/>
      <c r="AY482" s="3" t="n"/>
      <c r="AZ482" s="3" t="n"/>
      <c r="BA482" s="182">
        <f>IF(AD482=1,(AR482*'Historical Score'!$K$29+1-'Historical Score'!$K$29)*(AT482*'Historical Score'!$L$29+1-'Historical Score'!$L$29)*(AS482*'Historical Score'!$M$29+1-'Historical Score'!$M$29)*(AQ482*'Historical Score'!$N$29+1-'Historical Score'!$N$29),0)</f>
        <v/>
      </c>
      <c r="BB482" s="3" t="n"/>
      <c r="BC482" s="3" t="n"/>
    </row>
    <row r="483" ht="15.75" customHeight="1" s="174">
      <c r="A483" s="3" t="inlineStr">
        <is>
          <t>5674175232</t>
        </is>
      </c>
      <c r="B483" s="3" t="inlineStr">
        <is>
          <t>DABUILT HOMES AND CONSTRUCTION</t>
        </is>
      </c>
      <c r="C483" s="3" t="inlineStr">
        <is>
          <t>Dabuilt Homes and Construction LLC</t>
        </is>
      </c>
      <c r="D483" s="3" t="inlineStr">
        <is>
          <t>Closed</t>
        </is>
      </c>
      <c r="E483" s="23" t="n">
        <v>46020</v>
      </c>
      <c r="F483" s="23" t="n">
        <v>46188</v>
      </c>
      <c r="G483" s="3" t="n">
        <v>2</v>
      </c>
      <c r="H483" s="3" t="inlineStr">
        <is>
          <t>1521</t>
        </is>
      </c>
      <c r="I483" s="3" t="inlineStr">
        <is>
          <t>15</t>
        </is>
      </c>
      <c r="J483" s="3" t="inlineStr">
        <is>
          <t>TX</t>
        </is>
      </c>
      <c r="K483" s="3" t="inlineStr">
        <is>
          <t>MONETCAP</t>
        </is>
      </c>
      <c r="L483" s="3" t="inlineStr">
        <is>
          <t>New Deal</t>
        </is>
      </c>
      <c r="M483" s="3" t="n">
        <v>1.49</v>
      </c>
      <c r="N483" s="28" t="n">
        <v>20000</v>
      </c>
      <c r="O483" s="28" t="n">
        <v>2800</v>
      </c>
      <c r="P483" s="28" t="n">
        <v>29800</v>
      </c>
      <c r="Q483" s="28" t="n">
        <v>29800</v>
      </c>
      <c r="R483" s="28" t="n">
        <v>0</v>
      </c>
      <c r="S483" s="42" t="n">
        <v>1</v>
      </c>
      <c r="T483" s="3" t="n">
        <v>3.705</v>
      </c>
      <c r="U483" s="3" t="n">
        <v>4</v>
      </c>
      <c r="V483" s="3" t="n">
        <v>33511.28</v>
      </c>
      <c r="W483" s="42" t="n">
        <v>0.1653</v>
      </c>
      <c r="X483" s="23" t="n">
        <v>44337</v>
      </c>
      <c r="Y483" s="3">
        <f>IF(I483="","No SIC",IFERROR(VLOOKUP(I483,Ref!$A$2:$B$65,2,FALSE()),"Unclassified"))</f>
        <v/>
      </c>
      <c r="Z483" s="3">
        <f>IF(T483="","",IF(T483&lt;12,"Daily","Weekly"))</f>
        <v/>
      </c>
      <c r="AA483" s="3">
        <f>IF(T483="",0,IF(T483&lt;12,T483*Controls!$B$13,T483*5))</f>
        <v/>
      </c>
      <c r="AB483" s="3">
        <f>IF(E483="",0,NETWORKDAYS(E483,Controls!$B$20,Ref!$K$2:$K$42))</f>
        <v/>
      </c>
      <c r="AC483" s="3">
        <f>IF(OR(AF483=1,AND(AA483&gt;0,AB483&gt;=Controls!$B$23*AA483)),1,0)</f>
        <v/>
      </c>
      <c r="AD483" s="3">
        <f>IF(AND(E483&lt;&gt;"",E483&gt;=Controls!$B$21,E483&lt;=Controls!$B$22),1,0)</f>
        <v/>
      </c>
      <c r="AE483" s="3">
        <f>IF(IFERROR(VLOOKUP(D483,Controls!$A$36:$E$46,2,FALSE()),"No")="Yes",1,0)</f>
        <v/>
      </c>
      <c r="AF483" s="3">
        <f>IF(IFERROR(VLOOKUP(D483,Controls!$A$36:$E$46,3,FALSE()),"No")="Yes",1,0)</f>
        <v/>
      </c>
      <c r="AG483" s="3">
        <f>IF(IFERROR(VLOOKUP(D483,Controls!$A$36:$E$46,4,FALSE()),"No")="Yes",1,0)</f>
        <v/>
      </c>
      <c r="AH483" s="3">
        <f>IF(IFERROR(VLOOKUP(D483,Controls!$A$36:$E$46,5,FALSE()),"No")="Yes",1,0)</f>
        <v/>
      </c>
      <c r="AI483" s="3">
        <f>IF(ISNUMBER(MATCH(D483,Controls!$A$36:$A$46,0)),1,0)</f>
        <v/>
      </c>
      <c r="AJ483" s="28">
        <f>Q483-N483</f>
        <v/>
      </c>
      <c r="AK483" s="3">
        <f>IF(AE483=1,MAX(0,N483-Q483),0)</f>
        <v/>
      </c>
      <c r="AL483" s="3">
        <f>IF(OR(V483="",V483=0),0,N483/V483)</f>
        <v/>
      </c>
      <c r="AM483" s="3">
        <f>IF(OR(V483="",V483=0),0,1)</f>
        <v/>
      </c>
      <c r="AN483" s="3">
        <f>IF(OR(E483="",F483=""),0,NETWORKDAYS(E483,F483,Ref!$K$2:$K$42))</f>
        <v/>
      </c>
      <c r="AO483" s="3">
        <f>IF(L483="Renewal",1,0)</f>
        <v/>
      </c>
      <c r="AP483" s="3">
        <f>AC483*AD483</f>
        <v/>
      </c>
      <c r="AQ483" s="3">
        <f>IF(AND(G483&lt;&gt;"",'Historical Score'!$C$6&lt;&gt;""),IF(G483='Historical Score'!$C$6,1,0),0)</f>
        <v/>
      </c>
      <c r="AR483" s="3">
        <f>IF(AND(L483&lt;&gt;"",'Historical Score'!$C$5&lt;&gt;""),IF(L483='Historical Score'!$C$5,1,0),0)</f>
        <v/>
      </c>
      <c r="AS483" s="3">
        <f>IF(AND(Y483&lt;&gt;"",'Historical Score'!$C$7&lt;&gt;""),IF(Y483='Historical Score'!$C$7,1,0),0)</f>
        <v/>
      </c>
      <c r="AT483" s="3">
        <f>IF(AND(K483&lt;&gt;"",'Historical Score'!$C$8&lt;&gt;""),IF(K483='Historical Score'!$C$8,1,0),0)</f>
        <v/>
      </c>
      <c r="AU483" s="3" t="n"/>
      <c r="AV483" s="3" t="n"/>
      <c r="AW483" s="3" t="n"/>
      <c r="AX483" s="3" t="n"/>
      <c r="AY483" s="3" t="n"/>
      <c r="AZ483" s="3" t="n"/>
      <c r="BA483" s="182">
        <f>IF(AD483=1,(AR483*'Historical Score'!$K$29+1-'Historical Score'!$K$29)*(AT483*'Historical Score'!$L$29+1-'Historical Score'!$L$29)*(AS483*'Historical Score'!$M$29+1-'Historical Score'!$M$29)*(AQ483*'Historical Score'!$N$29+1-'Historical Score'!$N$29),0)</f>
        <v/>
      </c>
      <c r="BB483" s="3" t="n"/>
      <c r="BC483" s="3" t="n"/>
    </row>
    <row r="484" ht="15.75" customHeight="1" s="174">
      <c r="A484" s="3" t="inlineStr">
        <is>
          <t>5674175240</t>
        </is>
      </c>
      <c r="B484" s="3" t="inlineStr">
        <is>
          <t>LIT ELECTRICAL CONTRACTORS</t>
        </is>
      </c>
      <c r="C484" s="3" t="inlineStr">
        <is>
          <t>LIT ELECTRICAL CONTRACTORS</t>
        </is>
      </c>
      <c r="D484" s="3" t="inlineStr">
        <is>
          <t>Closed</t>
        </is>
      </c>
      <c r="E484" s="23" t="n">
        <v>46020</v>
      </c>
      <c r="F484" s="23" t="n">
        <v>46185</v>
      </c>
      <c r="G484" s="3" t="n">
        <v>2</v>
      </c>
      <c r="H484" s="3" t="inlineStr">
        <is>
          <t>1731</t>
        </is>
      </c>
      <c r="I484" s="3" t="inlineStr">
        <is>
          <t>17</t>
        </is>
      </c>
      <c r="J484" s="3" t="inlineStr">
        <is>
          <t>CA</t>
        </is>
      </c>
      <c r="K484" s="3" t="inlineStr">
        <is>
          <t>Fidelity Funding</t>
        </is>
      </c>
      <c r="L484" s="3" t="inlineStr">
        <is>
          <t>New Deal</t>
        </is>
      </c>
      <c r="M484" s="3" t="n">
        <v>1.49</v>
      </c>
      <c r="N484" s="28" t="n">
        <v>10000</v>
      </c>
      <c r="O484" s="28" t="n">
        <v>1400</v>
      </c>
      <c r="P484" s="28" t="n">
        <v>14900</v>
      </c>
      <c r="Q484" s="28" t="n">
        <v>14900</v>
      </c>
      <c r="R484" s="28" t="n">
        <v>0</v>
      </c>
      <c r="S484" s="42" t="n">
        <v>1</v>
      </c>
      <c r="T484" s="3" t="n">
        <v>22</v>
      </c>
      <c r="U484" s="3" t="n">
        <v>1</v>
      </c>
      <c r="V484" s="3" t="n">
        <v>61203.48</v>
      </c>
      <c r="W484" s="42" t="n">
        <v>0.0443</v>
      </c>
      <c r="X484" s="23" t="n">
        <v>43770</v>
      </c>
      <c r="Y484" s="3">
        <f>IF(I484="","No SIC",IFERROR(VLOOKUP(I484,Ref!$A$2:$B$65,2,FALSE()),"Unclassified"))</f>
        <v/>
      </c>
      <c r="Z484" s="3">
        <f>IF(T484="","",IF(T484&lt;12,"Daily","Weekly"))</f>
        <v/>
      </c>
      <c r="AA484" s="3">
        <f>IF(T484="",0,IF(T484&lt;12,T484*Controls!$B$13,T484*5))</f>
        <v/>
      </c>
      <c r="AB484" s="3">
        <f>IF(E484="",0,NETWORKDAYS(E484,Controls!$B$20,Ref!$K$2:$K$42))</f>
        <v/>
      </c>
      <c r="AC484" s="3">
        <f>IF(OR(AF484=1,AND(AA484&gt;0,AB484&gt;=Controls!$B$23*AA484)),1,0)</f>
        <v/>
      </c>
      <c r="AD484" s="3">
        <f>IF(AND(E484&lt;&gt;"",E484&gt;=Controls!$B$21,E484&lt;=Controls!$B$22),1,0)</f>
        <v/>
      </c>
      <c r="AE484" s="3">
        <f>IF(IFERROR(VLOOKUP(D484,Controls!$A$36:$E$46,2,FALSE()),"No")="Yes",1,0)</f>
        <v/>
      </c>
      <c r="AF484" s="3">
        <f>IF(IFERROR(VLOOKUP(D484,Controls!$A$36:$E$46,3,FALSE()),"No")="Yes",1,0)</f>
        <v/>
      </c>
      <c r="AG484" s="3">
        <f>IF(IFERROR(VLOOKUP(D484,Controls!$A$36:$E$46,4,FALSE()),"No")="Yes",1,0)</f>
        <v/>
      </c>
      <c r="AH484" s="3">
        <f>IF(IFERROR(VLOOKUP(D484,Controls!$A$36:$E$46,5,FALSE()),"No")="Yes",1,0)</f>
        <v/>
      </c>
      <c r="AI484" s="3">
        <f>IF(ISNUMBER(MATCH(D484,Controls!$A$36:$A$46,0)),1,0)</f>
        <v/>
      </c>
      <c r="AJ484" s="28">
        <f>Q484-N484</f>
        <v/>
      </c>
      <c r="AK484" s="3">
        <f>IF(AE484=1,MAX(0,N484-Q484),0)</f>
        <v/>
      </c>
      <c r="AL484" s="3">
        <f>IF(OR(V484="",V484=0),0,N484/V484)</f>
        <v/>
      </c>
      <c r="AM484" s="3">
        <f>IF(OR(V484="",V484=0),0,1)</f>
        <v/>
      </c>
      <c r="AN484" s="3">
        <f>IF(OR(E484="",F484=""),0,NETWORKDAYS(E484,F484,Ref!$K$2:$K$42))</f>
        <v/>
      </c>
      <c r="AO484" s="3">
        <f>IF(L484="Renewal",1,0)</f>
        <v/>
      </c>
      <c r="AP484" s="3">
        <f>AC484*AD484</f>
        <v/>
      </c>
      <c r="AQ484" s="3">
        <f>IF(AND(G484&lt;&gt;"",'Historical Score'!$C$6&lt;&gt;""),IF(G484='Historical Score'!$C$6,1,0),0)</f>
        <v/>
      </c>
      <c r="AR484" s="3">
        <f>IF(AND(L484&lt;&gt;"",'Historical Score'!$C$5&lt;&gt;""),IF(L484='Historical Score'!$C$5,1,0),0)</f>
        <v/>
      </c>
      <c r="AS484" s="3">
        <f>IF(AND(Y484&lt;&gt;"",'Historical Score'!$C$7&lt;&gt;""),IF(Y484='Historical Score'!$C$7,1,0),0)</f>
        <v/>
      </c>
      <c r="AT484" s="3">
        <f>IF(AND(K484&lt;&gt;"",'Historical Score'!$C$8&lt;&gt;""),IF(K484='Historical Score'!$C$8,1,0),0)</f>
        <v/>
      </c>
      <c r="AU484" s="3" t="n"/>
      <c r="AV484" s="3" t="n"/>
      <c r="AW484" s="3" t="n"/>
      <c r="AX484" s="3" t="n"/>
      <c r="AY484" s="3" t="n"/>
      <c r="AZ484" s="3" t="n"/>
      <c r="BA484" s="182">
        <f>IF(AD484=1,(AR484*'Historical Score'!$K$29+1-'Historical Score'!$K$29)*(AT484*'Historical Score'!$L$29+1-'Historical Score'!$L$29)*(AS484*'Historical Score'!$M$29+1-'Historical Score'!$M$29)*(AQ484*'Historical Score'!$N$29+1-'Historical Score'!$N$29),0)</f>
        <v/>
      </c>
      <c r="BB484" s="3" t="n"/>
      <c r="BC484" s="3" t="n"/>
    </row>
    <row r="485" ht="15.75" customHeight="1" s="174">
      <c r="A485" s="3" t="inlineStr">
        <is>
          <t>5674175248</t>
        </is>
      </c>
      <c r="B485" s="3" t="inlineStr">
        <is>
          <t>503 BUILDERS LLC</t>
        </is>
      </c>
      <c r="C485" s="3" t="inlineStr">
        <is>
          <t>503 Builders LLC</t>
        </is>
      </c>
      <c r="D485" s="3" t="inlineStr">
        <is>
          <t>Closed</t>
        </is>
      </c>
      <c r="E485" s="23" t="n">
        <v>46020</v>
      </c>
      <c r="F485" s="23" t="n">
        <v>46127</v>
      </c>
      <c r="G485" s="3" t="n">
        <v>1</v>
      </c>
      <c r="H485" s="3" t="inlineStr">
        <is>
          <t>1521</t>
        </is>
      </c>
      <c r="I485" s="3" t="inlineStr">
        <is>
          <t>15</t>
        </is>
      </c>
      <c r="J485" s="3" t="inlineStr">
        <is>
          <t>OR</t>
        </is>
      </c>
      <c r="K485" s="3" t="inlineStr">
        <is>
          <t>Biz fuel</t>
        </is>
      </c>
      <c r="L485" s="3" t="inlineStr">
        <is>
          <t>Renewal</t>
        </is>
      </c>
      <c r="M485" s="3" t="n">
        <v>1.49</v>
      </c>
      <c r="N485" s="28" t="n">
        <v>52000</v>
      </c>
      <c r="O485" s="28" t="n">
        <v>7280</v>
      </c>
      <c r="P485" s="28" t="n">
        <v>77480</v>
      </c>
      <c r="Q485" s="28" t="n">
        <v>77480</v>
      </c>
      <c r="R485" s="28" t="n">
        <v>0</v>
      </c>
      <c r="S485" s="42" t="n">
        <v>1</v>
      </c>
      <c r="T485" s="3" t="n">
        <v>28</v>
      </c>
      <c r="U485" s="3" t="n">
        <v>0</v>
      </c>
      <c r="V485" s="3" t="n">
        <v>64267.19</v>
      </c>
      <c r="W485" s="42" t="n">
        <v>0.1569</v>
      </c>
      <c r="X485" s="23" t="n">
        <v>44367</v>
      </c>
      <c r="Y485" s="3">
        <f>IF(I485="","No SIC",IFERROR(VLOOKUP(I485,Ref!$A$2:$B$65,2,FALSE()),"Unclassified"))</f>
        <v/>
      </c>
      <c r="Z485" s="3">
        <f>IF(T485="","",IF(T485&lt;12,"Daily","Weekly"))</f>
        <v/>
      </c>
      <c r="AA485" s="3">
        <f>IF(T485="",0,IF(T485&lt;12,T485*Controls!$B$13,T485*5))</f>
        <v/>
      </c>
      <c r="AB485" s="3">
        <f>IF(E485="",0,NETWORKDAYS(E485,Controls!$B$20,Ref!$K$2:$K$42))</f>
        <v/>
      </c>
      <c r="AC485" s="3">
        <f>IF(OR(AF485=1,AND(AA485&gt;0,AB485&gt;=Controls!$B$23*AA485)),1,0)</f>
        <v/>
      </c>
      <c r="AD485" s="3">
        <f>IF(AND(E485&lt;&gt;"",E485&gt;=Controls!$B$21,E485&lt;=Controls!$B$22),1,0)</f>
        <v/>
      </c>
      <c r="AE485" s="3">
        <f>IF(IFERROR(VLOOKUP(D485,Controls!$A$36:$E$46,2,FALSE()),"No")="Yes",1,0)</f>
        <v/>
      </c>
      <c r="AF485" s="3">
        <f>IF(IFERROR(VLOOKUP(D485,Controls!$A$36:$E$46,3,FALSE()),"No")="Yes",1,0)</f>
        <v/>
      </c>
      <c r="AG485" s="3">
        <f>IF(IFERROR(VLOOKUP(D485,Controls!$A$36:$E$46,4,FALSE()),"No")="Yes",1,0)</f>
        <v/>
      </c>
      <c r="AH485" s="3">
        <f>IF(IFERROR(VLOOKUP(D485,Controls!$A$36:$E$46,5,FALSE()),"No")="Yes",1,0)</f>
        <v/>
      </c>
      <c r="AI485" s="3">
        <f>IF(ISNUMBER(MATCH(D485,Controls!$A$36:$A$46,0)),1,0)</f>
        <v/>
      </c>
      <c r="AJ485" s="28">
        <f>Q485-N485</f>
        <v/>
      </c>
      <c r="AK485" s="3">
        <f>IF(AE485=1,MAX(0,N485-Q485),0)</f>
        <v/>
      </c>
      <c r="AL485" s="3">
        <f>IF(OR(V485="",V485=0),0,N485/V485)</f>
        <v/>
      </c>
      <c r="AM485" s="3">
        <f>IF(OR(V485="",V485=0),0,1)</f>
        <v/>
      </c>
      <c r="AN485" s="3">
        <f>IF(OR(E485="",F485=""),0,NETWORKDAYS(E485,F485,Ref!$K$2:$K$42))</f>
        <v/>
      </c>
      <c r="AO485" s="3">
        <f>IF(L485="Renewal",1,0)</f>
        <v/>
      </c>
      <c r="AP485" s="3">
        <f>AC485*AD485</f>
        <v/>
      </c>
      <c r="AQ485" s="3">
        <f>IF(AND(G485&lt;&gt;"",'Historical Score'!$C$6&lt;&gt;""),IF(G485='Historical Score'!$C$6,1,0),0)</f>
        <v/>
      </c>
      <c r="AR485" s="3">
        <f>IF(AND(L485&lt;&gt;"",'Historical Score'!$C$5&lt;&gt;""),IF(L485='Historical Score'!$C$5,1,0),0)</f>
        <v/>
      </c>
      <c r="AS485" s="3">
        <f>IF(AND(Y485&lt;&gt;"",'Historical Score'!$C$7&lt;&gt;""),IF(Y485='Historical Score'!$C$7,1,0),0)</f>
        <v/>
      </c>
      <c r="AT485" s="3">
        <f>IF(AND(K485&lt;&gt;"",'Historical Score'!$C$8&lt;&gt;""),IF(K485='Historical Score'!$C$8,1,0),0)</f>
        <v/>
      </c>
      <c r="AU485" s="3" t="n"/>
      <c r="AV485" s="3" t="n"/>
      <c r="AW485" s="3" t="n"/>
      <c r="AX485" s="3" t="n"/>
      <c r="AY485" s="3" t="n"/>
      <c r="AZ485" s="3" t="n"/>
      <c r="BA485" s="182">
        <f>IF(AD485=1,(AR485*'Historical Score'!$K$29+1-'Historical Score'!$K$29)*(AT485*'Historical Score'!$L$29+1-'Historical Score'!$L$29)*(AS485*'Historical Score'!$M$29+1-'Historical Score'!$M$29)*(AQ485*'Historical Score'!$N$29+1-'Historical Score'!$N$29),0)</f>
        <v/>
      </c>
      <c r="BB485" s="3" t="n"/>
      <c r="BC485" s="3" t="n"/>
    </row>
    <row r="486" ht="15.75" customHeight="1" s="174">
      <c r="A486" s="3" t="inlineStr">
        <is>
          <t>5674175340</t>
        </is>
      </c>
      <c r="B486" s="3" t="inlineStr">
        <is>
          <t>CROSKEY TRANSPORTATION LLC</t>
        </is>
      </c>
      <c r="C486" s="3" t="inlineStr">
        <is>
          <t>CROSKEY TRANSPORTATION LLC</t>
        </is>
      </c>
      <c r="D486" s="3" t="inlineStr">
        <is>
          <t>Legal</t>
        </is>
      </c>
      <c r="E486" s="23" t="n">
        <v>46021</v>
      </c>
      <c r="F486" s="23" t="n">
        <v>46045</v>
      </c>
      <c r="G486" s="3" t="n">
        <v>4</v>
      </c>
      <c r="H486" s="3" t="inlineStr">
        <is>
          <t>4212</t>
        </is>
      </c>
      <c r="I486" s="3" t="inlineStr">
        <is>
          <t>42</t>
        </is>
      </c>
      <c r="J486" s="3" t="inlineStr">
        <is>
          <t>MI</t>
        </is>
      </c>
      <c r="K486" s="3" t="inlineStr">
        <is>
          <t>LENDCAP SOLUTIONS</t>
        </is>
      </c>
      <c r="L486" s="3" t="inlineStr">
        <is>
          <t>New Deal</t>
        </is>
      </c>
      <c r="M486" s="3" t="n">
        <v>1.499</v>
      </c>
      <c r="N486" s="28" t="n">
        <v>15000</v>
      </c>
      <c r="O486" s="28" t="n">
        <v>0</v>
      </c>
      <c r="P486" s="28" t="n">
        <v>22485</v>
      </c>
      <c r="Q486" s="28" t="n">
        <v>3330.18</v>
      </c>
      <c r="R486" s="28" t="n">
        <v>19154.82</v>
      </c>
      <c r="S486" s="42" t="n">
        <v>0.148106737825217</v>
      </c>
      <c r="T486" s="3" t="n">
        <v>1.967</v>
      </c>
      <c r="U486" s="3" t="n">
        <v>7</v>
      </c>
      <c r="V486" s="3" t="n">
        <v>84368.42</v>
      </c>
      <c r="W486" s="42" t="n">
        <v>0.0921</v>
      </c>
      <c r="X486" s="23" t="n">
        <v>44562</v>
      </c>
      <c r="Y486" s="3">
        <f>IF(I486="","No SIC",IFERROR(VLOOKUP(I486,Ref!$A$2:$B$65,2,FALSE()),"Unclassified"))</f>
        <v/>
      </c>
      <c r="Z486" s="3">
        <f>IF(T486="","",IF(T486&lt;12,"Daily","Weekly"))</f>
        <v/>
      </c>
      <c r="AA486" s="3">
        <f>IF(T486="",0,IF(T486&lt;12,T486*Controls!$B$13,T486*5))</f>
        <v/>
      </c>
      <c r="AB486" s="3">
        <f>IF(E486="",0,NETWORKDAYS(E486,Controls!$B$20,Ref!$K$2:$K$42))</f>
        <v/>
      </c>
      <c r="AC486" s="3">
        <f>IF(OR(AF486=1,AND(AA486&gt;0,AB486&gt;=Controls!$B$23*AA486)),1,0)</f>
        <v/>
      </c>
      <c r="AD486" s="3">
        <f>IF(AND(E486&lt;&gt;"",E486&gt;=Controls!$B$21,E486&lt;=Controls!$B$22),1,0)</f>
        <v/>
      </c>
      <c r="AE486" s="3">
        <f>IF(IFERROR(VLOOKUP(D486,Controls!$A$36:$E$46,2,FALSE()),"No")="Yes",1,0)</f>
        <v/>
      </c>
      <c r="AF486" s="3">
        <f>IF(IFERROR(VLOOKUP(D486,Controls!$A$36:$E$46,3,FALSE()),"No")="Yes",1,0)</f>
        <v/>
      </c>
      <c r="AG486" s="3">
        <f>IF(IFERROR(VLOOKUP(D486,Controls!$A$36:$E$46,4,FALSE()),"No")="Yes",1,0)</f>
        <v/>
      </c>
      <c r="AH486" s="3">
        <f>IF(IFERROR(VLOOKUP(D486,Controls!$A$36:$E$46,5,FALSE()),"No")="Yes",1,0)</f>
        <v/>
      </c>
      <c r="AI486" s="3">
        <f>IF(ISNUMBER(MATCH(D486,Controls!$A$36:$A$46,0)),1,0)</f>
        <v/>
      </c>
      <c r="AJ486" s="28">
        <f>Q486-N486</f>
        <v/>
      </c>
      <c r="AK486" s="3">
        <f>IF(AE486=1,MAX(0,N486-Q486),0)</f>
        <v/>
      </c>
      <c r="AL486" s="3">
        <f>IF(OR(V486="",V486=0),0,N486/V486)</f>
        <v/>
      </c>
      <c r="AM486" s="3">
        <f>IF(OR(V486="",V486=0),0,1)</f>
        <v/>
      </c>
      <c r="AN486" s="3">
        <f>IF(OR(E486="",F486=""),0,NETWORKDAYS(E486,F486,Ref!$K$2:$K$42))</f>
        <v/>
      </c>
      <c r="AO486" s="3">
        <f>IF(L486="Renewal",1,0)</f>
        <v/>
      </c>
      <c r="AP486" s="3">
        <f>AC486*AD486</f>
        <v/>
      </c>
      <c r="AQ486" s="3">
        <f>IF(AND(G486&lt;&gt;"",'Historical Score'!$C$6&lt;&gt;""),IF(G486='Historical Score'!$C$6,1,0),0)</f>
        <v/>
      </c>
      <c r="AR486" s="3">
        <f>IF(AND(L486&lt;&gt;"",'Historical Score'!$C$5&lt;&gt;""),IF(L486='Historical Score'!$C$5,1,0),0)</f>
        <v/>
      </c>
      <c r="AS486" s="3">
        <f>IF(AND(Y486&lt;&gt;"",'Historical Score'!$C$7&lt;&gt;""),IF(Y486='Historical Score'!$C$7,1,0),0)</f>
        <v/>
      </c>
      <c r="AT486" s="3">
        <f>IF(AND(K486&lt;&gt;"",'Historical Score'!$C$8&lt;&gt;""),IF(K486='Historical Score'!$C$8,1,0),0)</f>
        <v/>
      </c>
      <c r="AU486" s="3" t="n"/>
      <c r="AV486" s="3" t="n"/>
      <c r="AW486" s="3" t="n"/>
      <c r="AX486" s="3" t="n"/>
      <c r="AY486" s="3" t="n"/>
      <c r="AZ486" s="3" t="n"/>
      <c r="BA486" s="182">
        <f>IF(AD486=1,(AR486*'Historical Score'!$K$29+1-'Historical Score'!$K$29)*(AT486*'Historical Score'!$L$29+1-'Historical Score'!$L$29)*(AS486*'Historical Score'!$M$29+1-'Historical Score'!$M$29)*(AQ486*'Historical Score'!$N$29+1-'Historical Score'!$N$29),0)</f>
        <v/>
      </c>
      <c r="BB486" s="3" t="n"/>
      <c r="BC486" s="3" t="n"/>
    </row>
    <row r="487" ht="15.75" customHeight="1" s="174">
      <c r="A487" s="3" t="inlineStr">
        <is>
          <t>5674175347</t>
        </is>
      </c>
      <c r="B487" s="3" t="inlineStr">
        <is>
          <t>MRG HEALTH</t>
        </is>
      </c>
      <c r="C487" s="3" t="inlineStr">
        <is>
          <t>MRG HEALTH INC</t>
        </is>
      </c>
      <c r="D487" s="3" t="inlineStr">
        <is>
          <t>Legal</t>
        </is>
      </c>
      <c r="E487" s="23" t="n">
        <v>46021</v>
      </c>
      <c r="F487" s="23" t="n">
        <v>46153</v>
      </c>
      <c r="G487" s="3" t="n">
        <v>3</v>
      </c>
      <c r="H487" s="3" t="inlineStr">
        <is>
          <t>8099</t>
        </is>
      </c>
      <c r="I487" s="3" t="inlineStr">
        <is>
          <t>80</t>
        </is>
      </c>
      <c r="J487" s="3" t="inlineStr">
        <is>
          <t>TX</t>
        </is>
      </c>
      <c r="K487" s="3" t="inlineStr">
        <is>
          <t>J Capital Solutions</t>
        </is>
      </c>
      <c r="L487" s="3" t="inlineStr">
        <is>
          <t>New Deal</t>
        </is>
      </c>
      <c r="M487" s="3" t="n">
        <v>1.49</v>
      </c>
      <c r="N487" s="28" t="n">
        <v>15000</v>
      </c>
      <c r="O487" s="28" t="n">
        <v>0</v>
      </c>
      <c r="P487" s="28" t="n">
        <v>22350</v>
      </c>
      <c r="Q487" s="28" t="n">
        <v>17321.24</v>
      </c>
      <c r="R487" s="28" t="n">
        <v>5028.76</v>
      </c>
      <c r="S487" s="42" t="n">
        <v>0.774999552572707</v>
      </c>
      <c r="T487" s="3" t="n">
        <v>20</v>
      </c>
      <c r="U487" s="3" t="n">
        <v>9</v>
      </c>
      <c r="V487" s="3" t="n">
        <v>39803.13</v>
      </c>
      <c r="W487" s="42" t="n">
        <v>0.1123</v>
      </c>
      <c r="X487" s="23" t="n">
        <v>44581</v>
      </c>
      <c r="Y487" s="3">
        <f>IF(I487="","No SIC",IFERROR(VLOOKUP(I487,Ref!$A$2:$B$65,2,FALSE()),"Unclassified"))</f>
        <v/>
      </c>
      <c r="Z487" s="3">
        <f>IF(T487="","",IF(T487&lt;12,"Daily","Weekly"))</f>
        <v/>
      </c>
      <c r="AA487" s="3">
        <f>IF(T487="",0,IF(T487&lt;12,T487*Controls!$B$13,T487*5))</f>
        <v/>
      </c>
      <c r="AB487" s="3">
        <f>IF(E487="",0,NETWORKDAYS(E487,Controls!$B$20,Ref!$K$2:$K$42))</f>
        <v/>
      </c>
      <c r="AC487" s="3">
        <f>IF(OR(AF487=1,AND(AA487&gt;0,AB487&gt;=Controls!$B$23*AA487)),1,0)</f>
        <v/>
      </c>
      <c r="AD487" s="3">
        <f>IF(AND(E487&lt;&gt;"",E487&gt;=Controls!$B$21,E487&lt;=Controls!$B$22),1,0)</f>
        <v/>
      </c>
      <c r="AE487" s="3">
        <f>IF(IFERROR(VLOOKUP(D487,Controls!$A$36:$E$46,2,FALSE()),"No")="Yes",1,0)</f>
        <v/>
      </c>
      <c r="AF487" s="3">
        <f>IF(IFERROR(VLOOKUP(D487,Controls!$A$36:$E$46,3,FALSE()),"No")="Yes",1,0)</f>
        <v/>
      </c>
      <c r="AG487" s="3">
        <f>IF(IFERROR(VLOOKUP(D487,Controls!$A$36:$E$46,4,FALSE()),"No")="Yes",1,0)</f>
        <v/>
      </c>
      <c r="AH487" s="3">
        <f>IF(IFERROR(VLOOKUP(D487,Controls!$A$36:$E$46,5,FALSE()),"No")="Yes",1,0)</f>
        <v/>
      </c>
      <c r="AI487" s="3">
        <f>IF(ISNUMBER(MATCH(D487,Controls!$A$36:$A$46,0)),1,0)</f>
        <v/>
      </c>
      <c r="AJ487" s="28">
        <f>Q487-N487</f>
        <v/>
      </c>
      <c r="AK487" s="3">
        <f>IF(AE487=1,MAX(0,N487-Q487),0)</f>
        <v/>
      </c>
      <c r="AL487" s="3">
        <f>IF(OR(V487="",V487=0),0,N487/V487)</f>
        <v/>
      </c>
      <c r="AM487" s="3">
        <f>IF(OR(V487="",V487=0),0,1)</f>
        <v/>
      </c>
      <c r="AN487" s="3">
        <f>IF(OR(E487="",F487=""),0,NETWORKDAYS(E487,F487,Ref!$K$2:$K$42))</f>
        <v/>
      </c>
      <c r="AO487" s="3">
        <f>IF(L487="Renewal",1,0)</f>
        <v/>
      </c>
      <c r="AP487" s="3">
        <f>AC487*AD487</f>
        <v/>
      </c>
      <c r="AQ487" s="3">
        <f>IF(AND(G487&lt;&gt;"",'Historical Score'!$C$6&lt;&gt;""),IF(G487='Historical Score'!$C$6,1,0),0)</f>
        <v/>
      </c>
      <c r="AR487" s="3">
        <f>IF(AND(L487&lt;&gt;"",'Historical Score'!$C$5&lt;&gt;""),IF(L487='Historical Score'!$C$5,1,0),0)</f>
        <v/>
      </c>
      <c r="AS487" s="3">
        <f>IF(AND(Y487&lt;&gt;"",'Historical Score'!$C$7&lt;&gt;""),IF(Y487='Historical Score'!$C$7,1,0),0)</f>
        <v/>
      </c>
      <c r="AT487" s="3">
        <f>IF(AND(K487&lt;&gt;"",'Historical Score'!$C$8&lt;&gt;""),IF(K487='Historical Score'!$C$8,1,0),0)</f>
        <v/>
      </c>
      <c r="AU487" s="3" t="n"/>
      <c r="AV487" s="3" t="n"/>
      <c r="AW487" s="3" t="n"/>
      <c r="AX487" s="3" t="n"/>
      <c r="AY487" s="3" t="n"/>
      <c r="AZ487" s="3" t="n"/>
      <c r="BA487" s="182">
        <f>IF(AD487=1,(AR487*'Historical Score'!$K$29+1-'Historical Score'!$K$29)*(AT487*'Historical Score'!$L$29+1-'Historical Score'!$L$29)*(AS487*'Historical Score'!$M$29+1-'Historical Score'!$M$29)*(AQ487*'Historical Score'!$N$29+1-'Historical Score'!$N$29),0)</f>
        <v/>
      </c>
      <c r="BB487" s="3" t="n"/>
      <c r="BC487" s="3" t="n"/>
    </row>
    <row r="488" ht="15.75" customHeight="1" s="174">
      <c r="A488" s="3" t="inlineStr">
        <is>
          <t>5674175350</t>
        </is>
      </c>
      <c r="B488" s="3" t="inlineStr">
        <is>
          <t>MAMA'S &amp; PAPA'S PIZZA GROTTO</t>
        </is>
      </c>
      <c r="C488" s="3" t="inlineStr">
        <is>
          <t>2- FRIENDS, INC.</t>
        </is>
      </c>
      <c r="D488" s="3" t="inlineStr">
        <is>
          <t>Open</t>
        </is>
      </c>
      <c r="E488" s="23" t="n">
        <v>46021</v>
      </c>
      <c r="F488" s="23" t="n">
        <v>46252</v>
      </c>
      <c r="G488" s="3" t="n">
        <v>1</v>
      </c>
      <c r="H488" s="3" t="inlineStr">
        <is>
          <t>3556</t>
        </is>
      </c>
      <c r="I488" s="3" t="inlineStr">
        <is>
          <t>35</t>
        </is>
      </c>
      <c r="J488" s="3" t="inlineStr">
        <is>
          <t>CA</t>
        </is>
      </c>
      <c r="K488" s="3" t="inlineStr">
        <is>
          <t>Fundwell</t>
        </is>
      </c>
      <c r="L488" s="3" t="inlineStr">
        <is>
          <t>New Deal</t>
        </is>
      </c>
      <c r="M488" s="3" t="n">
        <v>1.4</v>
      </c>
      <c r="N488" s="28" t="n">
        <v>30000</v>
      </c>
      <c r="O488" s="28" t="n">
        <v>4050</v>
      </c>
      <c r="P488" s="28" t="n">
        <v>42000</v>
      </c>
      <c r="Q488" s="28" t="n">
        <v>17201.64</v>
      </c>
      <c r="R488" s="28" t="n">
        <v>24798.36</v>
      </c>
      <c r="S488" s="42" t="n">
        <v>0.409562857142857</v>
      </c>
      <c r="T488" s="3" t="n">
        <v>44</v>
      </c>
      <c r="U488" s="3" t="n">
        <v>0</v>
      </c>
      <c r="V488" s="3" t="n">
        <v>135121.36</v>
      </c>
      <c r="W488" s="42" t="n">
        <v>0.0283</v>
      </c>
      <c r="X488" s="23" t="n">
        <v>31616</v>
      </c>
      <c r="Y488" s="3">
        <f>IF(I488="","No SIC",IFERROR(VLOOKUP(I488,Ref!$A$2:$B$65,2,FALSE()),"Unclassified"))</f>
        <v/>
      </c>
      <c r="Z488" s="3">
        <f>IF(T488="","",IF(T488&lt;12,"Daily","Weekly"))</f>
        <v/>
      </c>
      <c r="AA488" s="3">
        <f>IF(T488="",0,IF(T488&lt;12,T488*Controls!$B$13,T488*5))</f>
        <v/>
      </c>
      <c r="AB488" s="3">
        <f>IF(E488="",0,NETWORKDAYS(E488,Controls!$B$20,Ref!$K$2:$K$42))</f>
        <v/>
      </c>
      <c r="AC488" s="3">
        <f>IF(OR(AF488=1,AND(AA488&gt;0,AB488&gt;=Controls!$B$23*AA488)),1,0)</f>
        <v/>
      </c>
      <c r="AD488" s="3">
        <f>IF(AND(E488&lt;&gt;"",E488&gt;=Controls!$B$21,E488&lt;=Controls!$B$22),1,0)</f>
        <v/>
      </c>
      <c r="AE488" s="3">
        <f>IF(IFERROR(VLOOKUP(D488,Controls!$A$36:$E$46,2,FALSE()),"No")="Yes",1,0)</f>
        <v/>
      </c>
      <c r="AF488" s="3">
        <f>IF(IFERROR(VLOOKUP(D488,Controls!$A$36:$E$46,3,FALSE()),"No")="Yes",1,0)</f>
        <v/>
      </c>
      <c r="AG488" s="3">
        <f>IF(IFERROR(VLOOKUP(D488,Controls!$A$36:$E$46,4,FALSE()),"No")="Yes",1,0)</f>
        <v/>
      </c>
      <c r="AH488" s="3">
        <f>IF(IFERROR(VLOOKUP(D488,Controls!$A$36:$E$46,5,FALSE()),"No")="Yes",1,0)</f>
        <v/>
      </c>
      <c r="AI488" s="3">
        <f>IF(ISNUMBER(MATCH(D488,Controls!$A$36:$A$46,0)),1,0)</f>
        <v/>
      </c>
      <c r="AJ488" s="28">
        <f>Q488-N488</f>
        <v/>
      </c>
      <c r="AK488" s="3">
        <f>IF(AE488=1,MAX(0,N488-Q488),0)</f>
        <v/>
      </c>
      <c r="AL488" s="3">
        <f>IF(OR(V488="",V488=0),0,N488/V488)</f>
        <v/>
      </c>
      <c r="AM488" s="3">
        <f>IF(OR(V488="",V488=0),0,1)</f>
        <v/>
      </c>
      <c r="AN488" s="3">
        <f>IF(OR(E488="",F488=""),0,NETWORKDAYS(E488,F488,Ref!$K$2:$K$42))</f>
        <v/>
      </c>
      <c r="AO488" s="3">
        <f>IF(L488="Renewal",1,0)</f>
        <v/>
      </c>
      <c r="AP488" s="3">
        <f>AC488*AD488</f>
        <v/>
      </c>
      <c r="AQ488" s="3">
        <f>IF(AND(G488&lt;&gt;"",'Historical Score'!$C$6&lt;&gt;""),IF(G488='Historical Score'!$C$6,1,0),0)</f>
        <v/>
      </c>
      <c r="AR488" s="3">
        <f>IF(AND(L488&lt;&gt;"",'Historical Score'!$C$5&lt;&gt;""),IF(L488='Historical Score'!$C$5,1,0),0)</f>
        <v/>
      </c>
      <c r="AS488" s="3">
        <f>IF(AND(Y488&lt;&gt;"",'Historical Score'!$C$7&lt;&gt;""),IF(Y488='Historical Score'!$C$7,1,0),0)</f>
        <v/>
      </c>
      <c r="AT488" s="3">
        <f>IF(AND(K488&lt;&gt;"",'Historical Score'!$C$8&lt;&gt;""),IF(K488='Historical Score'!$C$8,1,0),0)</f>
        <v/>
      </c>
      <c r="AU488" s="3" t="n"/>
      <c r="AV488" s="3" t="n"/>
      <c r="AW488" s="3" t="n"/>
      <c r="AX488" s="3" t="n"/>
      <c r="AY488" s="3" t="n"/>
      <c r="AZ488" s="3" t="n"/>
      <c r="BA488" s="182">
        <f>IF(AD488=1,(AR488*'Historical Score'!$K$29+1-'Historical Score'!$K$29)*(AT488*'Historical Score'!$L$29+1-'Historical Score'!$L$29)*(AS488*'Historical Score'!$M$29+1-'Historical Score'!$M$29)*(AQ488*'Historical Score'!$N$29+1-'Historical Score'!$N$29),0)</f>
        <v/>
      </c>
      <c r="BB488" s="3" t="n"/>
      <c r="BC488" s="3" t="n"/>
    </row>
    <row r="489" ht="15.75" customHeight="1" s="174">
      <c r="A489" s="3" t="inlineStr">
        <is>
          <t>5674175372</t>
        </is>
      </c>
      <c r="B489" s="3" t="inlineStr">
        <is>
          <t>Bugged Out Pest Control LLC</t>
        </is>
      </c>
      <c r="C489" s="3" t="inlineStr">
        <is>
          <t>Bugged Out Pest Control LLC</t>
        </is>
      </c>
      <c r="D489" s="3" t="inlineStr">
        <is>
          <t>Closed</t>
        </is>
      </c>
      <c r="E489" s="23" t="n">
        <v>46022</v>
      </c>
      <c r="F489" s="23" t="n">
        <v>46231</v>
      </c>
      <c r="G489" s="3" t="n">
        <v>1</v>
      </c>
      <c r="H489" s="3" t="inlineStr">
        <is>
          <t>7342</t>
        </is>
      </c>
      <c r="I489" s="3" t="inlineStr">
        <is>
          <t>73</t>
        </is>
      </c>
      <c r="J489" s="3" t="inlineStr">
        <is>
          <t>TX</t>
        </is>
      </c>
      <c r="K489" s="3" t="inlineStr">
        <is>
          <t>Shore Funding USA</t>
        </is>
      </c>
      <c r="L489" s="3" t="inlineStr">
        <is>
          <t>Renewal</t>
        </is>
      </c>
      <c r="M489" s="3" t="n">
        <v>1.46</v>
      </c>
      <c r="N489" s="28" t="n">
        <v>13000</v>
      </c>
      <c r="O489" s="28" t="n">
        <v>1625</v>
      </c>
      <c r="P489" s="28" t="n">
        <v>18980</v>
      </c>
      <c r="Q489" s="28" t="n">
        <v>18980</v>
      </c>
      <c r="R489" s="28" t="n">
        <v>0</v>
      </c>
      <c r="S489" s="42" t="n">
        <v>1</v>
      </c>
      <c r="T489" s="3" t="n">
        <v>22</v>
      </c>
      <c r="U489" s="3" t="n">
        <v>8</v>
      </c>
      <c r="V489" s="3" t="n">
        <v>34301.33</v>
      </c>
      <c r="W489" s="42" t="n">
        <v>0.1165</v>
      </c>
      <c r="X489" s="23" t="n">
        <v>42768</v>
      </c>
      <c r="Y489" s="3">
        <f>IF(I489="","No SIC",IFERROR(VLOOKUP(I489,Ref!$A$2:$B$65,2,FALSE()),"Unclassified"))</f>
        <v/>
      </c>
      <c r="Z489" s="3">
        <f>IF(T489="","",IF(T489&lt;12,"Daily","Weekly"))</f>
        <v/>
      </c>
      <c r="AA489" s="3">
        <f>IF(T489="",0,IF(T489&lt;12,T489*Controls!$B$13,T489*5))</f>
        <v/>
      </c>
      <c r="AB489" s="3">
        <f>IF(E489="",0,NETWORKDAYS(E489,Controls!$B$20,Ref!$K$2:$K$42))</f>
        <v/>
      </c>
      <c r="AC489" s="3">
        <f>IF(OR(AF489=1,AND(AA489&gt;0,AB489&gt;=Controls!$B$23*AA489)),1,0)</f>
        <v/>
      </c>
      <c r="AD489" s="3">
        <f>IF(AND(E489&lt;&gt;"",E489&gt;=Controls!$B$21,E489&lt;=Controls!$B$22),1,0)</f>
        <v/>
      </c>
      <c r="AE489" s="3">
        <f>IF(IFERROR(VLOOKUP(D489,Controls!$A$36:$E$46,2,FALSE()),"No")="Yes",1,0)</f>
        <v/>
      </c>
      <c r="AF489" s="3">
        <f>IF(IFERROR(VLOOKUP(D489,Controls!$A$36:$E$46,3,FALSE()),"No")="Yes",1,0)</f>
        <v/>
      </c>
      <c r="AG489" s="3">
        <f>IF(IFERROR(VLOOKUP(D489,Controls!$A$36:$E$46,4,FALSE()),"No")="Yes",1,0)</f>
        <v/>
      </c>
      <c r="AH489" s="3">
        <f>IF(IFERROR(VLOOKUP(D489,Controls!$A$36:$E$46,5,FALSE()),"No")="Yes",1,0)</f>
        <v/>
      </c>
      <c r="AI489" s="3">
        <f>IF(ISNUMBER(MATCH(D489,Controls!$A$36:$A$46,0)),1,0)</f>
        <v/>
      </c>
      <c r="AJ489" s="28">
        <f>Q489-N489</f>
        <v/>
      </c>
      <c r="AK489" s="3">
        <f>IF(AE489=1,MAX(0,N489-Q489),0)</f>
        <v/>
      </c>
      <c r="AL489" s="3">
        <f>IF(OR(V489="",V489=0),0,N489/V489)</f>
        <v/>
      </c>
      <c r="AM489" s="3">
        <f>IF(OR(V489="",V489=0),0,1)</f>
        <v/>
      </c>
      <c r="AN489" s="3">
        <f>IF(OR(E489="",F489=""),0,NETWORKDAYS(E489,F489,Ref!$K$2:$K$42))</f>
        <v/>
      </c>
      <c r="AO489" s="3">
        <f>IF(L489="Renewal",1,0)</f>
        <v/>
      </c>
      <c r="AP489" s="3">
        <f>AC489*AD489</f>
        <v/>
      </c>
      <c r="AQ489" s="3">
        <f>IF(AND(G489&lt;&gt;"",'Historical Score'!$C$6&lt;&gt;""),IF(G489='Historical Score'!$C$6,1,0),0)</f>
        <v/>
      </c>
      <c r="AR489" s="3">
        <f>IF(AND(L489&lt;&gt;"",'Historical Score'!$C$5&lt;&gt;""),IF(L489='Historical Score'!$C$5,1,0),0)</f>
        <v/>
      </c>
      <c r="AS489" s="3">
        <f>IF(AND(Y489&lt;&gt;"",'Historical Score'!$C$7&lt;&gt;""),IF(Y489='Historical Score'!$C$7,1,0),0)</f>
        <v/>
      </c>
      <c r="AT489" s="3">
        <f>IF(AND(K489&lt;&gt;"",'Historical Score'!$C$8&lt;&gt;""),IF(K489='Historical Score'!$C$8,1,0),0)</f>
        <v/>
      </c>
      <c r="AU489" s="3" t="n"/>
      <c r="AV489" s="3" t="n"/>
      <c r="AW489" s="3" t="n"/>
      <c r="AX489" s="3" t="n"/>
      <c r="AY489" s="3" t="n"/>
      <c r="AZ489" s="3" t="n"/>
      <c r="BA489" s="182">
        <f>IF(AD489=1,(AR489*'Historical Score'!$K$29+1-'Historical Score'!$K$29)*(AT489*'Historical Score'!$L$29+1-'Historical Score'!$L$29)*(AS489*'Historical Score'!$M$29+1-'Historical Score'!$M$29)*(AQ489*'Historical Score'!$N$29+1-'Historical Score'!$N$29),0)</f>
        <v/>
      </c>
      <c r="BB489" s="3" t="n"/>
      <c r="BC489" s="3" t="n"/>
    </row>
    <row r="490" ht="15.75" customHeight="1" s="174">
      <c r="A490" s="3" t="inlineStr">
        <is>
          <t>5674175376</t>
        </is>
      </c>
      <c r="B490" s="3" t="inlineStr">
        <is>
          <t>A.L.I.C.E. homecare llc</t>
        </is>
      </c>
      <c r="C490" s="3" t="inlineStr">
        <is>
          <t>A.L.I.C.E. homecare llc</t>
        </is>
      </c>
      <c r="D490" s="3" t="inlineStr">
        <is>
          <t>Lowered Payments</t>
        </is>
      </c>
      <c r="E490" s="23" t="n">
        <v>46022</v>
      </c>
      <c r="F490" s="23" t="n">
        <v>46253</v>
      </c>
      <c r="G490" s="3" t="n">
        <v>1</v>
      </c>
      <c r="H490" s="3" t="inlineStr">
        <is>
          <t>8082</t>
        </is>
      </c>
      <c r="I490" s="3" t="inlineStr">
        <is>
          <t>80</t>
        </is>
      </c>
      <c r="J490" s="3" t="inlineStr">
        <is>
          <t>OH</t>
        </is>
      </c>
      <c r="K490" s="3" t="inlineStr">
        <is>
          <t>peach tree capital</t>
        </is>
      </c>
      <c r="L490" s="3" t="inlineStr">
        <is>
          <t>New Deal</t>
        </is>
      </c>
      <c r="M490" s="3" t="n">
        <v>1.49</v>
      </c>
      <c r="N490" s="28" t="n">
        <v>22000</v>
      </c>
      <c r="O490" s="28" t="n">
        <v>3080</v>
      </c>
      <c r="P490" s="28" t="n">
        <v>32780</v>
      </c>
      <c r="Q490" s="28" t="n">
        <v>21995.28</v>
      </c>
      <c r="R490" s="28" t="n">
        <v>10784.72</v>
      </c>
      <c r="S490" s="42" t="n">
        <v>0.670996949359365</v>
      </c>
      <c r="T490" s="3" t="n">
        <v>26</v>
      </c>
      <c r="U490" s="3" t="n">
        <v>25</v>
      </c>
      <c r="V490" s="3" t="n">
        <v>43430.73</v>
      </c>
      <c r="W490" s="42" t="n">
        <v>0.1161</v>
      </c>
      <c r="X490" s="23" t="n">
        <v>43581</v>
      </c>
      <c r="Y490" s="3">
        <f>IF(I490="","No SIC",IFERROR(VLOOKUP(I490,Ref!$A$2:$B$65,2,FALSE()),"Unclassified"))</f>
        <v/>
      </c>
      <c r="Z490" s="3">
        <f>IF(T490="","",IF(T490&lt;12,"Daily","Weekly"))</f>
        <v/>
      </c>
      <c r="AA490" s="3">
        <f>IF(T490="",0,IF(T490&lt;12,T490*Controls!$B$13,T490*5))</f>
        <v/>
      </c>
      <c r="AB490" s="3">
        <f>IF(E490="",0,NETWORKDAYS(E490,Controls!$B$20,Ref!$K$2:$K$42))</f>
        <v/>
      </c>
      <c r="AC490" s="3">
        <f>IF(OR(AF490=1,AND(AA490&gt;0,AB490&gt;=Controls!$B$23*AA490)),1,0)</f>
        <v/>
      </c>
      <c r="AD490" s="3">
        <f>IF(AND(E490&lt;&gt;"",E490&gt;=Controls!$B$21,E490&lt;=Controls!$B$22),1,0)</f>
        <v/>
      </c>
      <c r="AE490" s="3">
        <f>IF(IFERROR(VLOOKUP(D490,Controls!$A$36:$E$46,2,FALSE()),"No")="Yes",1,0)</f>
        <v/>
      </c>
      <c r="AF490" s="3">
        <f>IF(IFERROR(VLOOKUP(D490,Controls!$A$36:$E$46,3,FALSE()),"No")="Yes",1,0)</f>
        <v/>
      </c>
      <c r="AG490" s="3">
        <f>IF(IFERROR(VLOOKUP(D490,Controls!$A$36:$E$46,4,FALSE()),"No")="Yes",1,0)</f>
        <v/>
      </c>
      <c r="AH490" s="3">
        <f>IF(IFERROR(VLOOKUP(D490,Controls!$A$36:$E$46,5,FALSE()),"No")="Yes",1,0)</f>
        <v/>
      </c>
      <c r="AI490" s="3">
        <f>IF(ISNUMBER(MATCH(D490,Controls!$A$36:$A$46,0)),1,0)</f>
        <v/>
      </c>
      <c r="AJ490" s="28">
        <f>Q490-N490</f>
        <v/>
      </c>
      <c r="AK490" s="3">
        <f>IF(AE490=1,MAX(0,N490-Q490),0)</f>
        <v/>
      </c>
      <c r="AL490" s="3">
        <f>IF(OR(V490="",V490=0),0,N490/V490)</f>
        <v/>
      </c>
      <c r="AM490" s="3">
        <f>IF(OR(V490="",V490=0),0,1)</f>
        <v/>
      </c>
      <c r="AN490" s="3">
        <f>IF(OR(E490="",F490=""),0,NETWORKDAYS(E490,F490,Ref!$K$2:$K$42))</f>
        <v/>
      </c>
      <c r="AO490" s="3">
        <f>IF(L490="Renewal",1,0)</f>
        <v/>
      </c>
      <c r="AP490" s="3">
        <f>AC490*AD490</f>
        <v/>
      </c>
      <c r="AQ490" s="3">
        <f>IF(AND(G490&lt;&gt;"",'Historical Score'!$C$6&lt;&gt;""),IF(G490='Historical Score'!$C$6,1,0),0)</f>
        <v/>
      </c>
      <c r="AR490" s="3">
        <f>IF(AND(L490&lt;&gt;"",'Historical Score'!$C$5&lt;&gt;""),IF(L490='Historical Score'!$C$5,1,0),0)</f>
        <v/>
      </c>
      <c r="AS490" s="3">
        <f>IF(AND(Y490&lt;&gt;"",'Historical Score'!$C$7&lt;&gt;""),IF(Y490='Historical Score'!$C$7,1,0),0)</f>
        <v/>
      </c>
      <c r="AT490" s="3">
        <f>IF(AND(K490&lt;&gt;"",'Historical Score'!$C$8&lt;&gt;""),IF(K490='Historical Score'!$C$8,1,0),0)</f>
        <v/>
      </c>
      <c r="AU490" s="3" t="n"/>
      <c r="AV490" s="3" t="n"/>
      <c r="AW490" s="3" t="n"/>
      <c r="AX490" s="3" t="n"/>
      <c r="AY490" s="3" t="n"/>
      <c r="AZ490" s="3" t="n"/>
      <c r="BA490" s="182">
        <f>IF(AD490=1,(AR490*'Historical Score'!$K$29+1-'Historical Score'!$K$29)*(AT490*'Historical Score'!$L$29+1-'Historical Score'!$L$29)*(AS490*'Historical Score'!$M$29+1-'Historical Score'!$M$29)*(AQ490*'Historical Score'!$N$29+1-'Historical Score'!$N$29),0)</f>
        <v/>
      </c>
      <c r="BB490" s="3" t="n"/>
      <c r="BC490" s="3" t="n"/>
    </row>
    <row r="491" ht="15.75" customHeight="1" s="174">
      <c r="A491" s="3" t="inlineStr">
        <is>
          <t>5674175530</t>
        </is>
      </c>
      <c r="B491" s="3" t="inlineStr">
        <is>
          <t>MARCOS SOULFIRE, LLC</t>
        </is>
      </c>
      <c r="C491" s="3" t="inlineStr">
        <is>
          <t>MARCOS SOULFIRE, LLC</t>
        </is>
      </c>
      <c r="D491" s="3" t="inlineStr">
        <is>
          <t>Legal</t>
        </is>
      </c>
      <c r="E491" s="23" t="n">
        <v>46022</v>
      </c>
      <c r="F491" s="23" t="n">
        <v>46057</v>
      </c>
      <c r="G491" s="3" t="n">
        <v>2</v>
      </c>
      <c r="H491" s="3" t="inlineStr">
        <is>
          <t>3021</t>
        </is>
      </c>
      <c r="I491" s="3" t="inlineStr">
        <is>
          <t>30</t>
        </is>
      </c>
      <c r="J491" s="3" t="inlineStr">
        <is>
          <t>TX</t>
        </is>
      </c>
      <c r="K491" s="3" t="inlineStr">
        <is>
          <t>Fundwell</t>
        </is>
      </c>
      <c r="L491" s="3" t="inlineStr">
        <is>
          <t>New Deal</t>
        </is>
      </c>
      <c r="M491" s="3" t="n">
        <v>1.37</v>
      </c>
      <c r="N491" s="28" t="n">
        <v>15000</v>
      </c>
      <c r="O491" s="28" t="n">
        <v>1575</v>
      </c>
      <c r="P491" s="28" t="n">
        <v>20550</v>
      </c>
      <c r="Q491" s="28" t="n">
        <v>3426.12</v>
      </c>
      <c r="R491" s="28" t="n">
        <v>17123.88</v>
      </c>
      <c r="S491" s="42" t="n">
        <v>0.166721167883212</v>
      </c>
      <c r="T491" s="3" t="n">
        <v>24</v>
      </c>
      <c r="U491" s="3" t="n">
        <v>1</v>
      </c>
      <c r="V491" s="3" t="n">
        <v>26054.26</v>
      </c>
      <c r="W491" s="42" t="n">
        <v>0.1315</v>
      </c>
      <c r="X491" s="23" t="n">
        <v>43966</v>
      </c>
      <c r="Y491" s="3">
        <f>IF(I491="","No SIC",IFERROR(VLOOKUP(I491,Ref!$A$2:$B$65,2,FALSE()),"Unclassified"))</f>
        <v/>
      </c>
      <c r="Z491" s="3">
        <f>IF(T491="","",IF(T491&lt;12,"Daily","Weekly"))</f>
        <v/>
      </c>
      <c r="AA491" s="3">
        <f>IF(T491="",0,IF(T491&lt;12,T491*Controls!$B$13,T491*5))</f>
        <v/>
      </c>
      <c r="AB491" s="3">
        <f>IF(E491="",0,NETWORKDAYS(E491,Controls!$B$20,Ref!$K$2:$K$42))</f>
        <v/>
      </c>
      <c r="AC491" s="3">
        <f>IF(OR(AF491=1,AND(AA491&gt;0,AB491&gt;=Controls!$B$23*AA491)),1,0)</f>
        <v/>
      </c>
      <c r="AD491" s="3">
        <f>IF(AND(E491&lt;&gt;"",E491&gt;=Controls!$B$21,E491&lt;=Controls!$B$22),1,0)</f>
        <v/>
      </c>
      <c r="AE491" s="3">
        <f>IF(IFERROR(VLOOKUP(D491,Controls!$A$36:$E$46,2,FALSE()),"No")="Yes",1,0)</f>
        <v/>
      </c>
      <c r="AF491" s="3">
        <f>IF(IFERROR(VLOOKUP(D491,Controls!$A$36:$E$46,3,FALSE()),"No")="Yes",1,0)</f>
        <v/>
      </c>
      <c r="AG491" s="3">
        <f>IF(IFERROR(VLOOKUP(D491,Controls!$A$36:$E$46,4,FALSE()),"No")="Yes",1,0)</f>
        <v/>
      </c>
      <c r="AH491" s="3">
        <f>IF(IFERROR(VLOOKUP(D491,Controls!$A$36:$E$46,5,FALSE()),"No")="Yes",1,0)</f>
        <v/>
      </c>
      <c r="AI491" s="3">
        <f>IF(ISNUMBER(MATCH(D491,Controls!$A$36:$A$46,0)),1,0)</f>
        <v/>
      </c>
      <c r="AJ491" s="28">
        <f>Q491-N491</f>
        <v/>
      </c>
      <c r="AK491" s="3">
        <f>IF(AE491=1,MAX(0,N491-Q491),0)</f>
        <v/>
      </c>
      <c r="AL491" s="3">
        <f>IF(OR(V491="",V491=0),0,N491/V491)</f>
        <v/>
      </c>
      <c r="AM491" s="3">
        <f>IF(OR(V491="",V491=0),0,1)</f>
        <v/>
      </c>
      <c r="AN491" s="3">
        <f>IF(OR(E491="",F491=""),0,NETWORKDAYS(E491,F491,Ref!$K$2:$K$42))</f>
        <v/>
      </c>
      <c r="AO491" s="3">
        <f>IF(L491="Renewal",1,0)</f>
        <v/>
      </c>
      <c r="AP491" s="3">
        <f>AC491*AD491</f>
        <v/>
      </c>
      <c r="AQ491" s="3">
        <f>IF(AND(G491&lt;&gt;"",'Historical Score'!$C$6&lt;&gt;""),IF(G491='Historical Score'!$C$6,1,0),0)</f>
        <v/>
      </c>
      <c r="AR491" s="3">
        <f>IF(AND(L491&lt;&gt;"",'Historical Score'!$C$5&lt;&gt;""),IF(L491='Historical Score'!$C$5,1,0),0)</f>
        <v/>
      </c>
      <c r="AS491" s="3">
        <f>IF(AND(Y491&lt;&gt;"",'Historical Score'!$C$7&lt;&gt;""),IF(Y491='Historical Score'!$C$7,1,0),0)</f>
        <v/>
      </c>
      <c r="AT491" s="3">
        <f>IF(AND(K491&lt;&gt;"",'Historical Score'!$C$8&lt;&gt;""),IF(K491='Historical Score'!$C$8,1,0),0)</f>
        <v/>
      </c>
      <c r="AU491" s="3" t="n"/>
      <c r="AV491" s="3" t="n"/>
      <c r="AW491" s="3" t="n"/>
      <c r="AX491" s="3" t="n"/>
      <c r="AY491" s="3" t="n"/>
      <c r="AZ491" s="3" t="n"/>
      <c r="BA491" s="182">
        <f>IF(AD491=1,(AR491*'Historical Score'!$K$29+1-'Historical Score'!$K$29)*(AT491*'Historical Score'!$L$29+1-'Historical Score'!$L$29)*(AS491*'Historical Score'!$M$29+1-'Historical Score'!$M$29)*(AQ491*'Historical Score'!$N$29+1-'Historical Score'!$N$29),0)</f>
        <v/>
      </c>
      <c r="BB491" s="3" t="n"/>
      <c r="BC491" s="3" t="n"/>
    </row>
    <row r="492" ht="15.75" customHeight="1" s="174">
      <c r="A492" s="3" t="inlineStr">
        <is>
          <t>5674175538</t>
        </is>
      </c>
      <c r="B492" s="3" t="inlineStr">
        <is>
          <t>C&amp;G Services Systems LLC</t>
        </is>
      </c>
      <c r="C492" s="3" t="inlineStr">
        <is>
          <t>C&amp;G Services Systems LLC</t>
        </is>
      </c>
      <c r="D492" s="3" t="inlineStr">
        <is>
          <t>Closed</t>
        </is>
      </c>
      <c r="E492" s="23" t="n">
        <v>46022</v>
      </c>
      <c r="F492" s="23" t="n">
        <v>46076</v>
      </c>
      <c r="G492" s="3" t="n">
        <v>3</v>
      </c>
      <c r="H492" s="3" t="inlineStr">
        <is>
          <t>4213</t>
        </is>
      </c>
      <c r="I492" s="3" t="inlineStr">
        <is>
          <t>42</t>
        </is>
      </c>
      <c r="J492" s="3" t="inlineStr">
        <is>
          <t>FL</t>
        </is>
      </c>
      <c r="K492" s="3" t="inlineStr">
        <is>
          <t>Fundwell</t>
        </is>
      </c>
      <c r="L492" s="3" t="inlineStr">
        <is>
          <t>New Deal</t>
        </is>
      </c>
      <c r="M492" s="3" t="n">
        <v>1.38</v>
      </c>
      <c r="N492" s="28" t="n">
        <v>10000</v>
      </c>
      <c r="O492" s="28" t="n">
        <v>1250</v>
      </c>
      <c r="P492" s="28" t="n">
        <v>13800</v>
      </c>
      <c r="Q492" s="28" t="n">
        <v>13800</v>
      </c>
      <c r="R492" s="28" t="n">
        <v>-1.81898940354586e-12</v>
      </c>
      <c r="S492" s="42" t="n">
        <v>1</v>
      </c>
      <c r="T492" s="3" t="n">
        <v>2.951</v>
      </c>
      <c r="U492" s="3" t="n">
        <v>0</v>
      </c>
      <c r="V492" s="3" t="n">
        <v>24929.12</v>
      </c>
      <c r="W492" s="42" t="n">
        <v>0.1292</v>
      </c>
      <c r="X492" s="23" t="n">
        <v>44149</v>
      </c>
      <c r="Y492" s="3">
        <f>IF(I492="","No SIC",IFERROR(VLOOKUP(I492,Ref!$A$2:$B$65,2,FALSE()),"Unclassified"))</f>
        <v/>
      </c>
      <c r="Z492" s="3">
        <f>IF(T492="","",IF(T492&lt;12,"Daily","Weekly"))</f>
        <v/>
      </c>
      <c r="AA492" s="3">
        <f>IF(T492="",0,IF(T492&lt;12,T492*Controls!$B$13,T492*5))</f>
        <v/>
      </c>
      <c r="AB492" s="3">
        <f>IF(E492="",0,NETWORKDAYS(E492,Controls!$B$20,Ref!$K$2:$K$42))</f>
        <v/>
      </c>
      <c r="AC492" s="3">
        <f>IF(OR(AF492=1,AND(AA492&gt;0,AB492&gt;=Controls!$B$23*AA492)),1,0)</f>
        <v/>
      </c>
      <c r="AD492" s="3">
        <f>IF(AND(E492&lt;&gt;"",E492&gt;=Controls!$B$21,E492&lt;=Controls!$B$22),1,0)</f>
        <v/>
      </c>
      <c r="AE492" s="3">
        <f>IF(IFERROR(VLOOKUP(D492,Controls!$A$36:$E$46,2,FALSE()),"No")="Yes",1,0)</f>
        <v/>
      </c>
      <c r="AF492" s="3">
        <f>IF(IFERROR(VLOOKUP(D492,Controls!$A$36:$E$46,3,FALSE()),"No")="Yes",1,0)</f>
        <v/>
      </c>
      <c r="AG492" s="3">
        <f>IF(IFERROR(VLOOKUP(D492,Controls!$A$36:$E$46,4,FALSE()),"No")="Yes",1,0)</f>
        <v/>
      </c>
      <c r="AH492" s="3">
        <f>IF(IFERROR(VLOOKUP(D492,Controls!$A$36:$E$46,5,FALSE()),"No")="Yes",1,0)</f>
        <v/>
      </c>
      <c r="AI492" s="3">
        <f>IF(ISNUMBER(MATCH(D492,Controls!$A$36:$A$46,0)),1,0)</f>
        <v/>
      </c>
      <c r="AJ492" s="28">
        <f>Q492-N492</f>
        <v/>
      </c>
      <c r="AK492" s="3">
        <f>IF(AE492=1,MAX(0,N492-Q492),0)</f>
        <v/>
      </c>
      <c r="AL492" s="3">
        <f>IF(OR(V492="",V492=0),0,N492/V492)</f>
        <v/>
      </c>
      <c r="AM492" s="3">
        <f>IF(OR(V492="",V492=0),0,1)</f>
        <v/>
      </c>
      <c r="AN492" s="3">
        <f>IF(OR(E492="",F492=""),0,NETWORKDAYS(E492,F492,Ref!$K$2:$K$42))</f>
        <v/>
      </c>
      <c r="AO492" s="3">
        <f>IF(L492="Renewal",1,0)</f>
        <v/>
      </c>
      <c r="AP492" s="3">
        <f>AC492*AD492</f>
        <v/>
      </c>
      <c r="AQ492" s="3">
        <f>IF(AND(G492&lt;&gt;"",'Historical Score'!$C$6&lt;&gt;""),IF(G492='Historical Score'!$C$6,1,0),0)</f>
        <v/>
      </c>
      <c r="AR492" s="3">
        <f>IF(AND(L492&lt;&gt;"",'Historical Score'!$C$5&lt;&gt;""),IF(L492='Historical Score'!$C$5,1,0),0)</f>
        <v/>
      </c>
      <c r="AS492" s="3">
        <f>IF(AND(Y492&lt;&gt;"",'Historical Score'!$C$7&lt;&gt;""),IF(Y492='Historical Score'!$C$7,1,0),0)</f>
        <v/>
      </c>
      <c r="AT492" s="3">
        <f>IF(AND(K492&lt;&gt;"",'Historical Score'!$C$8&lt;&gt;""),IF(K492='Historical Score'!$C$8,1,0),0)</f>
        <v/>
      </c>
      <c r="AU492" s="3" t="n"/>
      <c r="AV492" s="3" t="n"/>
      <c r="AW492" s="3" t="n"/>
      <c r="AX492" s="3" t="n"/>
      <c r="AY492" s="3" t="n"/>
      <c r="AZ492" s="3" t="n"/>
      <c r="BA492" s="182">
        <f>IF(AD492=1,(AR492*'Historical Score'!$K$29+1-'Historical Score'!$K$29)*(AT492*'Historical Score'!$L$29+1-'Historical Score'!$L$29)*(AS492*'Historical Score'!$M$29+1-'Historical Score'!$M$29)*(AQ492*'Historical Score'!$N$29+1-'Historical Score'!$N$29),0)</f>
        <v/>
      </c>
      <c r="BB492" s="3" t="n"/>
      <c r="BC492" s="3" t="n"/>
    </row>
    <row r="493" ht="15.75" customHeight="1" s="174">
      <c r="A493" s="3" t="inlineStr">
        <is>
          <t>5674175552</t>
        </is>
      </c>
      <c r="B493" s="3" t="inlineStr">
        <is>
          <t>RESOURCE HEALTHCARE</t>
        </is>
      </c>
      <c r="C493" s="3" t="inlineStr">
        <is>
          <t>RESOURCE HEALTHCARE INC</t>
        </is>
      </c>
      <c r="D493" s="3" t="inlineStr">
        <is>
          <t>Open</t>
        </is>
      </c>
      <c r="E493" s="23" t="n">
        <v>46022</v>
      </c>
      <c r="F493" s="23" t="n">
        <v>46248</v>
      </c>
      <c r="G493" s="3" t="n">
        <v>3</v>
      </c>
      <c r="H493" s="3" t="inlineStr">
        <is>
          <t>8099</t>
        </is>
      </c>
      <c r="I493" s="3" t="inlineStr">
        <is>
          <t>80</t>
        </is>
      </c>
      <c r="J493" s="3" t="inlineStr">
        <is>
          <t>AZ</t>
        </is>
      </c>
      <c r="K493" s="3" t="inlineStr">
        <is>
          <t>United Secured Capital 8</t>
        </is>
      </c>
      <c r="L493" s="3" t="inlineStr">
        <is>
          <t>New Deal</t>
        </is>
      </c>
      <c r="M493" s="3" t="n">
        <v>1.45</v>
      </c>
      <c r="N493" s="28" t="n">
        <v>175000</v>
      </c>
      <c r="O493" s="28" t="n">
        <v>21000</v>
      </c>
      <c r="P493" s="28" t="n">
        <v>253750</v>
      </c>
      <c r="Q493" s="28" t="n">
        <v>225637.76</v>
      </c>
      <c r="R493" s="28" t="n">
        <v>28112.24</v>
      </c>
      <c r="S493" s="42" t="n">
        <v>0.88921284729064</v>
      </c>
      <c r="T493" s="3" t="n">
        <v>36</v>
      </c>
      <c r="U493" s="3" t="n">
        <v>0</v>
      </c>
      <c r="V493" s="3" t="n">
        <v>261154.64</v>
      </c>
      <c r="W493" s="42" t="n">
        <v>0.108</v>
      </c>
      <c r="X493" s="23" t="n"/>
      <c r="Y493" s="3">
        <f>IF(I493="","No SIC",IFERROR(VLOOKUP(I493,Ref!$A$2:$B$65,2,FALSE()),"Unclassified"))</f>
        <v/>
      </c>
      <c r="Z493" s="3">
        <f>IF(T493="","",IF(T493&lt;12,"Daily","Weekly"))</f>
        <v/>
      </c>
      <c r="AA493" s="3">
        <f>IF(T493="",0,IF(T493&lt;12,T493*Controls!$B$13,T493*5))</f>
        <v/>
      </c>
      <c r="AB493" s="3">
        <f>IF(E493="",0,NETWORKDAYS(E493,Controls!$B$20,Ref!$K$2:$K$42))</f>
        <v/>
      </c>
      <c r="AC493" s="3">
        <f>IF(OR(AF493=1,AND(AA493&gt;0,AB493&gt;=Controls!$B$23*AA493)),1,0)</f>
        <v/>
      </c>
      <c r="AD493" s="3">
        <f>IF(AND(E493&lt;&gt;"",E493&gt;=Controls!$B$21,E493&lt;=Controls!$B$22),1,0)</f>
        <v/>
      </c>
      <c r="AE493" s="3">
        <f>IF(IFERROR(VLOOKUP(D493,Controls!$A$36:$E$46,2,FALSE()),"No")="Yes",1,0)</f>
        <v/>
      </c>
      <c r="AF493" s="3">
        <f>IF(IFERROR(VLOOKUP(D493,Controls!$A$36:$E$46,3,FALSE()),"No")="Yes",1,0)</f>
        <v/>
      </c>
      <c r="AG493" s="3">
        <f>IF(IFERROR(VLOOKUP(D493,Controls!$A$36:$E$46,4,FALSE()),"No")="Yes",1,0)</f>
        <v/>
      </c>
      <c r="AH493" s="3">
        <f>IF(IFERROR(VLOOKUP(D493,Controls!$A$36:$E$46,5,FALSE()),"No")="Yes",1,0)</f>
        <v/>
      </c>
      <c r="AI493" s="3">
        <f>IF(ISNUMBER(MATCH(D493,Controls!$A$36:$A$46,0)),1,0)</f>
        <v/>
      </c>
      <c r="AJ493" s="28">
        <f>Q493-N493</f>
        <v/>
      </c>
      <c r="AK493" s="3">
        <f>IF(AE493=1,MAX(0,N493-Q493),0)</f>
        <v/>
      </c>
      <c r="AL493" s="3">
        <f>IF(OR(V493="",V493=0),0,N493/V493)</f>
        <v/>
      </c>
      <c r="AM493" s="3">
        <f>IF(OR(V493="",V493=0),0,1)</f>
        <v/>
      </c>
      <c r="AN493" s="3">
        <f>IF(OR(E493="",F493=""),0,NETWORKDAYS(E493,F493,Ref!$K$2:$K$42))</f>
        <v/>
      </c>
      <c r="AO493" s="3">
        <f>IF(L493="Renewal",1,0)</f>
        <v/>
      </c>
      <c r="AP493" s="3">
        <f>AC493*AD493</f>
        <v/>
      </c>
      <c r="AQ493" s="3">
        <f>IF(AND(G493&lt;&gt;"",'Historical Score'!$C$6&lt;&gt;""),IF(G493='Historical Score'!$C$6,1,0),0)</f>
        <v/>
      </c>
      <c r="AR493" s="3">
        <f>IF(AND(L493&lt;&gt;"",'Historical Score'!$C$5&lt;&gt;""),IF(L493='Historical Score'!$C$5,1,0),0)</f>
        <v/>
      </c>
      <c r="AS493" s="3">
        <f>IF(AND(Y493&lt;&gt;"",'Historical Score'!$C$7&lt;&gt;""),IF(Y493='Historical Score'!$C$7,1,0),0)</f>
        <v/>
      </c>
      <c r="AT493" s="3">
        <f>IF(AND(K493&lt;&gt;"",'Historical Score'!$C$8&lt;&gt;""),IF(K493='Historical Score'!$C$8,1,0),0)</f>
        <v/>
      </c>
      <c r="AU493" s="3" t="n"/>
      <c r="AV493" s="3" t="n"/>
      <c r="AW493" s="3" t="n"/>
      <c r="AX493" s="3" t="n"/>
      <c r="AY493" s="3" t="n"/>
      <c r="AZ493" s="3" t="n"/>
      <c r="BA493" s="182">
        <f>IF(AD493=1,(AR493*'Historical Score'!$K$29+1-'Historical Score'!$K$29)*(AT493*'Historical Score'!$L$29+1-'Historical Score'!$L$29)*(AS493*'Historical Score'!$M$29+1-'Historical Score'!$M$29)*(AQ493*'Historical Score'!$N$29+1-'Historical Score'!$N$29),0)</f>
        <v/>
      </c>
      <c r="BB493" s="3" t="n"/>
      <c r="BC493" s="3" t="n"/>
    </row>
    <row r="494" ht="15.75" customHeight="1" s="174">
      <c r="A494" s="3" t="inlineStr">
        <is>
          <t>5674175571</t>
        </is>
      </c>
      <c r="B494" s="3" t="inlineStr">
        <is>
          <t>UNLIMITED BEAUTY LLC</t>
        </is>
      </c>
      <c r="C494" s="3" t="inlineStr">
        <is>
          <t>UNLIMITED BEAUTY LLC</t>
        </is>
      </c>
      <c r="D494" s="3" t="inlineStr">
        <is>
          <t>Closed</t>
        </is>
      </c>
      <c r="E494" s="23" t="n">
        <v>46022</v>
      </c>
      <c r="F494" s="23" t="n">
        <v>46063</v>
      </c>
      <c r="G494" s="3" t="n">
        <v>3</v>
      </c>
      <c r="H494" s="3" t="inlineStr">
        <is>
          <t>7231</t>
        </is>
      </c>
      <c r="I494" s="3" t="inlineStr">
        <is>
          <t>72</t>
        </is>
      </c>
      <c r="J494" s="3" t="inlineStr">
        <is>
          <t>MD</t>
        </is>
      </c>
      <c r="K494" s="3" t="inlineStr">
        <is>
          <t>cenitcapital</t>
        </is>
      </c>
      <c r="L494" s="3" t="inlineStr">
        <is>
          <t>New Deal</t>
        </is>
      </c>
      <c r="M494" s="3" t="n">
        <v>1.49</v>
      </c>
      <c r="N494" s="28" t="n">
        <v>25000</v>
      </c>
      <c r="O494" s="28" t="n">
        <v>3500</v>
      </c>
      <c r="P494" s="28" t="n">
        <v>37250</v>
      </c>
      <c r="Q494" s="28" t="n">
        <v>37250</v>
      </c>
      <c r="R494" s="28" t="n">
        <v>0</v>
      </c>
      <c r="S494" s="42" t="n">
        <v>1</v>
      </c>
      <c r="T494" s="3" t="n">
        <v>3.279</v>
      </c>
      <c r="U494" s="3" t="n">
        <v>0</v>
      </c>
      <c r="V494" s="3" t="n">
        <v>71741.25999999999</v>
      </c>
      <c r="W494" s="42" t="n">
        <v>0.109</v>
      </c>
      <c r="X494" s="23" t="n">
        <v>43269</v>
      </c>
      <c r="Y494" s="3">
        <f>IF(I494="","No SIC",IFERROR(VLOOKUP(I494,Ref!$A$2:$B$65,2,FALSE()),"Unclassified"))</f>
        <v/>
      </c>
      <c r="Z494" s="3">
        <f>IF(T494="","",IF(T494&lt;12,"Daily","Weekly"))</f>
        <v/>
      </c>
      <c r="AA494" s="3">
        <f>IF(T494="",0,IF(T494&lt;12,T494*Controls!$B$13,T494*5))</f>
        <v/>
      </c>
      <c r="AB494" s="3">
        <f>IF(E494="",0,NETWORKDAYS(E494,Controls!$B$20,Ref!$K$2:$K$42))</f>
        <v/>
      </c>
      <c r="AC494" s="3">
        <f>IF(OR(AF494=1,AND(AA494&gt;0,AB494&gt;=Controls!$B$23*AA494)),1,0)</f>
        <v/>
      </c>
      <c r="AD494" s="3">
        <f>IF(AND(E494&lt;&gt;"",E494&gt;=Controls!$B$21,E494&lt;=Controls!$B$22),1,0)</f>
        <v/>
      </c>
      <c r="AE494" s="3">
        <f>IF(IFERROR(VLOOKUP(D494,Controls!$A$36:$E$46,2,FALSE()),"No")="Yes",1,0)</f>
        <v/>
      </c>
      <c r="AF494" s="3">
        <f>IF(IFERROR(VLOOKUP(D494,Controls!$A$36:$E$46,3,FALSE()),"No")="Yes",1,0)</f>
        <v/>
      </c>
      <c r="AG494" s="3">
        <f>IF(IFERROR(VLOOKUP(D494,Controls!$A$36:$E$46,4,FALSE()),"No")="Yes",1,0)</f>
        <v/>
      </c>
      <c r="AH494" s="3">
        <f>IF(IFERROR(VLOOKUP(D494,Controls!$A$36:$E$46,5,FALSE()),"No")="Yes",1,0)</f>
        <v/>
      </c>
      <c r="AI494" s="3">
        <f>IF(ISNUMBER(MATCH(D494,Controls!$A$36:$A$46,0)),1,0)</f>
        <v/>
      </c>
      <c r="AJ494" s="28">
        <f>Q494-N494</f>
        <v/>
      </c>
      <c r="AK494" s="3">
        <f>IF(AE494=1,MAX(0,N494-Q494),0)</f>
        <v/>
      </c>
      <c r="AL494" s="3">
        <f>IF(OR(V494="",V494=0),0,N494/V494)</f>
        <v/>
      </c>
      <c r="AM494" s="3">
        <f>IF(OR(V494="",V494=0),0,1)</f>
        <v/>
      </c>
      <c r="AN494" s="3">
        <f>IF(OR(E494="",F494=""),0,NETWORKDAYS(E494,F494,Ref!$K$2:$K$42))</f>
        <v/>
      </c>
      <c r="AO494" s="3">
        <f>IF(L494="Renewal",1,0)</f>
        <v/>
      </c>
      <c r="AP494" s="3">
        <f>AC494*AD494</f>
        <v/>
      </c>
      <c r="AQ494" s="3">
        <f>IF(AND(G494&lt;&gt;"",'Historical Score'!$C$6&lt;&gt;""),IF(G494='Historical Score'!$C$6,1,0),0)</f>
        <v/>
      </c>
      <c r="AR494" s="3">
        <f>IF(AND(L494&lt;&gt;"",'Historical Score'!$C$5&lt;&gt;""),IF(L494='Historical Score'!$C$5,1,0),0)</f>
        <v/>
      </c>
      <c r="AS494" s="3">
        <f>IF(AND(Y494&lt;&gt;"",'Historical Score'!$C$7&lt;&gt;""),IF(Y494='Historical Score'!$C$7,1,0),0)</f>
        <v/>
      </c>
      <c r="AT494" s="3">
        <f>IF(AND(K494&lt;&gt;"",'Historical Score'!$C$8&lt;&gt;""),IF(K494='Historical Score'!$C$8,1,0),0)</f>
        <v/>
      </c>
      <c r="AU494" s="3" t="n"/>
      <c r="AV494" s="3" t="n"/>
      <c r="AW494" s="3" t="n"/>
      <c r="AX494" s="3" t="n"/>
      <c r="AY494" s="3" t="n"/>
      <c r="AZ494" s="3" t="n"/>
      <c r="BA494" s="182">
        <f>IF(AD494=1,(AR494*'Historical Score'!$K$29+1-'Historical Score'!$K$29)*(AT494*'Historical Score'!$L$29+1-'Historical Score'!$L$29)*(AS494*'Historical Score'!$M$29+1-'Historical Score'!$M$29)*(AQ494*'Historical Score'!$N$29+1-'Historical Score'!$N$29),0)</f>
        <v/>
      </c>
      <c r="BB494" s="3" t="n"/>
      <c r="BC494" s="3" t="n"/>
    </row>
    <row r="495" ht="15.75" customHeight="1" s="174">
      <c r="A495" s="3" t="inlineStr">
        <is>
          <t>5674175597</t>
        </is>
      </c>
      <c r="B495" s="3" t="inlineStr">
        <is>
          <t>Peak Communication LLC</t>
        </is>
      </c>
      <c r="C495" s="3" t="inlineStr">
        <is>
          <t>Peak Communication LLC</t>
        </is>
      </c>
      <c r="D495" s="3" t="inlineStr">
        <is>
          <t>In House Collection</t>
        </is>
      </c>
      <c r="E495" s="23" t="n">
        <v>46022</v>
      </c>
      <c r="F495" s="23" t="n">
        <v>46245</v>
      </c>
      <c r="G495" s="3" t="n">
        <v>5</v>
      </c>
      <c r="H495" s="3" t="inlineStr">
        <is>
          <t>3669</t>
        </is>
      </c>
      <c r="I495" s="3" t="inlineStr">
        <is>
          <t>36</t>
        </is>
      </c>
      <c r="J495" s="3" t="inlineStr">
        <is>
          <t>CO</t>
        </is>
      </c>
      <c r="K495" s="3" t="inlineStr">
        <is>
          <t>Fundwell</t>
        </is>
      </c>
      <c r="L495" s="3" t="inlineStr">
        <is>
          <t>New Deal</t>
        </is>
      </c>
      <c r="M495" s="3" t="n">
        <v>1.4</v>
      </c>
      <c r="N495" s="28" t="n">
        <v>20000</v>
      </c>
      <c r="O495" s="28" t="n">
        <v>2700</v>
      </c>
      <c r="P495" s="28" t="n">
        <v>28000</v>
      </c>
      <c r="Q495" s="28" t="n">
        <v>11581.5</v>
      </c>
      <c r="R495" s="28" t="n">
        <v>16418.5</v>
      </c>
      <c r="S495" s="42" t="n">
        <v>0.413625</v>
      </c>
      <c r="T495" s="3" t="n">
        <v>20</v>
      </c>
      <c r="U495" s="3" t="n">
        <v>10</v>
      </c>
      <c r="V495" s="3" t="n">
        <v>42404.19</v>
      </c>
      <c r="W495" s="42" t="n">
        <v>0.1321</v>
      </c>
      <c r="X495" s="23" t="n"/>
      <c r="Y495" s="3">
        <f>IF(I495="","No SIC",IFERROR(VLOOKUP(I495,Ref!$A$2:$B$65,2,FALSE()),"Unclassified"))</f>
        <v/>
      </c>
      <c r="Z495" s="3">
        <f>IF(T495="","",IF(T495&lt;12,"Daily","Weekly"))</f>
        <v/>
      </c>
      <c r="AA495" s="3">
        <f>IF(T495="",0,IF(T495&lt;12,T495*Controls!$B$13,T495*5))</f>
        <v/>
      </c>
      <c r="AB495" s="3">
        <f>IF(E495="",0,NETWORKDAYS(E495,Controls!$B$20,Ref!$K$2:$K$42))</f>
        <v/>
      </c>
      <c r="AC495" s="3">
        <f>IF(OR(AF495=1,AND(AA495&gt;0,AB495&gt;=Controls!$B$23*AA495)),1,0)</f>
        <v/>
      </c>
      <c r="AD495" s="3">
        <f>IF(AND(E495&lt;&gt;"",E495&gt;=Controls!$B$21,E495&lt;=Controls!$B$22),1,0)</f>
        <v/>
      </c>
      <c r="AE495" s="3">
        <f>IF(IFERROR(VLOOKUP(D495,Controls!$A$36:$E$46,2,FALSE()),"No")="Yes",1,0)</f>
        <v/>
      </c>
      <c r="AF495" s="3">
        <f>IF(IFERROR(VLOOKUP(D495,Controls!$A$36:$E$46,3,FALSE()),"No")="Yes",1,0)</f>
        <v/>
      </c>
      <c r="AG495" s="3">
        <f>IF(IFERROR(VLOOKUP(D495,Controls!$A$36:$E$46,4,FALSE()),"No")="Yes",1,0)</f>
        <v/>
      </c>
      <c r="AH495" s="3">
        <f>IF(IFERROR(VLOOKUP(D495,Controls!$A$36:$E$46,5,FALSE()),"No")="Yes",1,0)</f>
        <v/>
      </c>
      <c r="AI495" s="3">
        <f>IF(ISNUMBER(MATCH(D495,Controls!$A$36:$A$46,0)),1,0)</f>
        <v/>
      </c>
      <c r="AJ495" s="28">
        <f>Q495-N495</f>
        <v/>
      </c>
      <c r="AK495" s="3">
        <f>IF(AE495=1,MAX(0,N495-Q495),0)</f>
        <v/>
      </c>
      <c r="AL495" s="3">
        <f>IF(OR(V495="",V495=0),0,N495/V495)</f>
        <v/>
      </c>
      <c r="AM495" s="3">
        <f>IF(OR(V495="",V495=0),0,1)</f>
        <v/>
      </c>
      <c r="AN495" s="3">
        <f>IF(OR(E495="",F495=""),0,NETWORKDAYS(E495,F495,Ref!$K$2:$K$42))</f>
        <v/>
      </c>
      <c r="AO495" s="3">
        <f>IF(L495="Renewal",1,0)</f>
        <v/>
      </c>
      <c r="AP495" s="3">
        <f>AC495*AD495</f>
        <v/>
      </c>
      <c r="AQ495" s="3">
        <f>IF(AND(G495&lt;&gt;"",'Historical Score'!$C$6&lt;&gt;""),IF(G495='Historical Score'!$C$6,1,0),0)</f>
        <v/>
      </c>
      <c r="AR495" s="3">
        <f>IF(AND(L495&lt;&gt;"",'Historical Score'!$C$5&lt;&gt;""),IF(L495='Historical Score'!$C$5,1,0),0)</f>
        <v/>
      </c>
      <c r="AS495" s="3">
        <f>IF(AND(Y495&lt;&gt;"",'Historical Score'!$C$7&lt;&gt;""),IF(Y495='Historical Score'!$C$7,1,0),0)</f>
        <v/>
      </c>
      <c r="AT495" s="3">
        <f>IF(AND(K495&lt;&gt;"",'Historical Score'!$C$8&lt;&gt;""),IF(K495='Historical Score'!$C$8,1,0),0)</f>
        <v/>
      </c>
      <c r="AU495" s="3" t="n"/>
      <c r="AV495" s="3" t="n"/>
      <c r="AW495" s="3" t="n"/>
      <c r="AX495" s="3" t="n"/>
      <c r="AY495" s="3" t="n"/>
      <c r="AZ495" s="3" t="n"/>
      <c r="BA495" s="182">
        <f>IF(AD495=1,(AR495*'Historical Score'!$K$29+1-'Historical Score'!$K$29)*(AT495*'Historical Score'!$L$29+1-'Historical Score'!$L$29)*(AS495*'Historical Score'!$M$29+1-'Historical Score'!$M$29)*(AQ495*'Historical Score'!$N$29+1-'Historical Score'!$N$29),0)</f>
        <v/>
      </c>
      <c r="BB495" s="3" t="n"/>
      <c r="BC495" s="3" t="n"/>
    </row>
    <row r="496" ht="15.75" customHeight="1" s="174">
      <c r="A496" s="3" t="inlineStr">
        <is>
          <t>5674175602</t>
        </is>
      </c>
      <c r="B496" s="3" t="inlineStr">
        <is>
          <t>WCW TRANSPORTATION LLC</t>
        </is>
      </c>
      <c r="C496" s="3" t="inlineStr">
        <is>
          <t>WCW TRANSPORTATION LLC</t>
        </is>
      </c>
      <c r="D496" s="3" t="inlineStr">
        <is>
          <t>Closed</t>
        </is>
      </c>
      <c r="E496" s="23" t="n">
        <v>46022</v>
      </c>
      <c r="F496" s="23" t="n">
        <v>46112</v>
      </c>
      <c r="G496" s="3" t="n">
        <v>1</v>
      </c>
      <c r="H496" s="3" t="inlineStr">
        <is>
          <t>4212</t>
        </is>
      </c>
      <c r="I496" s="3" t="inlineStr">
        <is>
          <t>42</t>
        </is>
      </c>
      <c r="J496" s="3" t="inlineStr">
        <is>
          <t>OH</t>
        </is>
      </c>
      <c r="K496" s="3" t="inlineStr">
        <is>
          <t>Fundwell</t>
        </is>
      </c>
      <c r="L496" s="3" t="inlineStr">
        <is>
          <t>New Deal</t>
        </is>
      </c>
      <c r="M496" s="3" t="n">
        <v>1.4</v>
      </c>
      <c r="N496" s="28" t="n">
        <v>20000</v>
      </c>
      <c r="O496" s="28" t="n">
        <v>2700</v>
      </c>
      <c r="P496" s="28" t="n">
        <v>28000</v>
      </c>
      <c r="Q496" s="28" t="n">
        <v>28000</v>
      </c>
      <c r="R496" s="28" t="n">
        <v>0</v>
      </c>
      <c r="S496" s="42" t="n">
        <v>1</v>
      </c>
      <c r="T496" s="3" t="n">
        <v>20</v>
      </c>
      <c r="U496" s="3" t="n">
        <v>0</v>
      </c>
      <c r="V496" s="3" t="n">
        <v>36444.36</v>
      </c>
      <c r="W496" s="42" t="n">
        <v>0.1537</v>
      </c>
      <c r="X496" s="23" t="n">
        <v>44958</v>
      </c>
      <c r="Y496" s="3">
        <f>IF(I496="","No SIC",IFERROR(VLOOKUP(I496,Ref!$A$2:$B$65,2,FALSE()),"Unclassified"))</f>
        <v/>
      </c>
      <c r="Z496" s="3">
        <f>IF(T496="","",IF(T496&lt;12,"Daily","Weekly"))</f>
        <v/>
      </c>
      <c r="AA496" s="3">
        <f>IF(T496="",0,IF(T496&lt;12,T496*Controls!$B$13,T496*5))</f>
        <v/>
      </c>
      <c r="AB496" s="3">
        <f>IF(E496="",0,NETWORKDAYS(E496,Controls!$B$20,Ref!$K$2:$K$42))</f>
        <v/>
      </c>
      <c r="AC496" s="3">
        <f>IF(OR(AF496=1,AND(AA496&gt;0,AB496&gt;=Controls!$B$23*AA496)),1,0)</f>
        <v/>
      </c>
      <c r="AD496" s="3">
        <f>IF(AND(E496&lt;&gt;"",E496&gt;=Controls!$B$21,E496&lt;=Controls!$B$22),1,0)</f>
        <v/>
      </c>
      <c r="AE496" s="3">
        <f>IF(IFERROR(VLOOKUP(D496,Controls!$A$36:$E$46,2,FALSE()),"No")="Yes",1,0)</f>
        <v/>
      </c>
      <c r="AF496" s="3">
        <f>IF(IFERROR(VLOOKUP(D496,Controls!$A$36:$E$46,3,FALSE()),"No")="Yes",1,0)</f>
        <v/>
      </c>
      <c r="AG496" s="3">
        <f>IF(IFERROR(VLOOKUP(D496,Controls!$A$36:$E$46,4,FALSE()),"No")="Yes",1,0)</f>
        <v/>
      </c>
      <c r="AH496" s="3">
        <f>IF(IFERROR(VLOOKUP(D496,Controls!$A$36:$E$46,5,FALSE()),"No")="Yes",1,0)</f>
        <v/>
      </c>
      <c r="AI496" s="3">
        <f>IF(ISNUMBER(MATCH(D496,Controls!$A$36:$A$46,0)),1,0)</f>
        <v/>
      </c>
      <c r="AJ496" s="28">
        <f>Q496-N496</f>
        <v/>
      </c>
      <c r="AK496" s="3">
        <f>IF(AE496=1,MAX(0,N496-Q496),0)</f>
        <v/>
      </c>
      <c r="AL496" s="3">
        <f>IF(OR(V496="",V496=0),0,N496/V496)</f>
        <v/>
      </c>
      <c r="AM496" s="3">
        <f>IF(OR(V496="",V496=0),0,1)</f>
        <v/>
      </c>
      <c r="AN496" s="3">
        <f>IF(OR(E496="",F496=""),0,NETWORKDAYS(E496,F496,Ref!$K$2:$K$42))</f>
        <v/>
      </c>
      <c r="AO496" s="3">
        <f>IF(L496="Renewal",1,0)</f>
        <v/>
      </c>
      <c r="AP496" s="3">
        <f>AC496*AD496</f>
        <v/>
      </c>
      <c r="AQ496" s="3">
        <f>IF(AND(G496&lt;&gt;"",'Historical Score'!$C$6&lt;&gt;""),IF(G496='Historical Score'!$C$6,1,0),0)</f>
        <v/>
      </c>
      <c r="AR496" s="3">
        <f>IF(AND(L496&lt;&gt;"",'Historical Score'!$C$5&lt;&gt;""),IF(L496='Historical Score'!$C$5,1,0),0)</f>
        <v/>
      </c>
      <c r="AS496" s="3">
        <f>IF(AND(Y496&lt;&gt;"",'Historical Score'!$C$7&lt;&gt;""),IF(Y496='Historical Score'!$C$7,1,0),0)</f>
        <v/>
      </c>
      <c r="AT496" s="3">
        <f>IF(AND(K496&lt;&gt;"",'Historical Score'!$C$8&lt;&gt;""),IF(K496='Historical Score'!$C$8,1,0),0)</f>
        <v/>
      </c>
      <c r="AU496" s="3" t="n"/>
      <c r="AV496" s="3" t="n"/>
      <c r="AW496" s="3" t="n"/>
      <c r="AX496" s="3" t="n"/>
      <c r="AY496" s="3" t="n"/>
      <c r="AZ496" s="3" t="n"/>
      <c r="BA496" s="182">
        <f>IF(AD496=1,(AR496*'Historical Score'!$K$29+1-'Historical Score'!$K$29)*(AT496*'Historical Score'!$L$29+1-'Historical Score'!$L$29)*(AS496*'Historical Score'!$M$29+1-'Historical Score'!$M$29)*(AQ496*'Historical Score'!$N$29+1-'Historical Score'!$N$29),0)</f>
        <v/>
      </c>
      <c r="BB496" s="3" t="n"/>
      <c r="BC496" s="3" t="n"/>
    </row>
    <row r="497" ht="15.75" customHeight="1" s="174">
      <c r="A497" s="3" t="inlineStr">
        <is>
          <t>5674175609</t>
        </is>
      </c>
      <c r="B497" s="3" t="inlineStr">
        <is>
          <t>Chasing More Vacations</t>
        </is>
      </c>
      <c r="C497" s="3" t="inlineStr">
        <is>
          <t>LORETTA DARNELL</t>
        </is>
      </c>
      <c r="D497" s="3" t="inlineStr">
        <is>
          <t>Closed</t>
        </is>
      </c>
      <c r="E497" s="23" t="n">
        <v>46022</v>
      </c>
      <c r="F497" s="23" t="n">
        <v>46160</v>
      </c>
      <c r="G497" s="3" t="n">
        <v>3</v>
      </c>
      <c r="H497" s="3" t="inlineStr">
        <is>
          <t>4724</t>
        </is>
      </c>
      <c r="I497" s="3" t="inlineStr">
        <is>
          <t>47</t>
        </is>
      </c>
      <c r="J497" s="3" t="inlineStr">
        <is>
          <t>TX</t>
        </is>
      </c>
      <c r="K497" s="3" t="inlineStr">
        <is>
          <t>Fundwell</t>
        </is>
      </c>
      <c r="L497" s="3" t="inlineStr">
        <is>
          <t>Renewal</t>
        </is>
      </c>
      <c r="M497" s="3" t="n">
        <v>1.42</v>
      </c>
      <c r="N497" s="28" t="n">
        <v>10000</v>
      </c>
      <c r="O497" s="28" t="n">
        <v>1450</v>
      </c>
      <c r="P497" s="28" t="n">
        <v>14200</v>
      </c>
      <c r="Q497" s="28" t="n">
        <v>14200</v>
      </c>
      <c r="R497" s="28" t="n">
        <v>0</v>
      </c>
      <c r="S497" s="42" t="n">
        <v>1</v>
      </c>
      <c r="T497" s="3" t="n">
        <v>4.59</v>
      </c>
      <c r="U497" s="3" t="n">
        <v>0</v>
      </c>
      <c r="V497" s="3" t="n">
        <v>11079.08</v>
      </c>
      <c r="W497" s="42" t="n">
        <v>0.2101</v>
      </c>
      <c r="X497" s="23" t="n">
        <v>43299</v>
      </c>
      <c r="Y497" s="3">
        <f>IF(I497="","No SIC",IFERROR(VLOOKUP(I497,Ref!$A$2:$B$65,2,FALSE()),"Unclassified"))</f>
        <v/>
      </c>
      <c r="Z497" s="3">
        <f>IF(T497="","",IF(T497&lt;12,"Daily","Weekly"))</f>
        <v/>
      </c>
      <c r="AA497" s="3">
        <f>IF(T497="",0,IF(T497&lt;12,T497*Controls!$B$13,T497*5))</f>
        <v/>
      </c>
      <c r="AB497" s="3">
        <f>IF(E497="",0,NETWORKDAYS(E497,Controls!$B$20,Ref!$K$2:$K$42))</f>
        <v/>
      </c>
      <c r="AC497" s="3">
        <f>IF(OR(AF497=1,AND(AA497&gt;0,AB497&gt;=Controls!$B$23*AA497)),1,0)</f>
        <v/>
      </c>
      <c r="AD497" s="3">
        <f>IF(AND(E497&lt;&gt;"",E497&gt;=Controls!$B$21,E497&lt;=Controls!$B$22),1,0)</f>
        <v/>
      </c>
      <c r="AE497" s="3">
        <f>IF(IFERROR(VLOOKUP(D497,Controls!$A$36:$E$46,2,FALSE()),"No")="Yes",1,0)</f>
        <v/>
      </c>
      <c r="AF497" s="3">
        <f>IF(IFERROR(VLOOKUP(D497,Controls!$A$36:$E$46,3,FALSE()),"No")="Yes",1,0)</f>
        <v/>
      </c>
      <c r="AG497" s="3">
        <f>IF(IFERROR(VLOOKUP(D497,Controls!$A$36:$E$46,4,FALSE()),"No")="Yes",1,0)</f>
        <v/>
      </c>
      <c r="AH497" s="3">
        <f>IF(IFERROR(VLOOKUP(D497,Controls!$A$36:$E$46,5,FALSE()),"No")="Yes",1,0)</f>
        <v/>
      </c>
      <c r="AI497" s="3">
        <f>IF(ISNUMBER(MATCH(D497,Controls!$A$36:$A$46,0)),1,0)</f>
        <v/>
      </c>
      <c r="AJ497" s="28">
        <f>Q497-N497</f>
        <v/>
      </c>
      <c r="AK497" s="3">
        <f>IF(AE497=1,MAX(0,N497-Q497),0)</f>
        <v/>
      </c>
      <c r="AL497" s="3">
        <f>IF(OR(V497="",V497=0),0,N497/V497)</f>
        <v/>
      </c>
      <c r="AM497" s="3">
        <f>IF(OR(V497="",V497=0),0,1)</f>
        <v/>
      </c>
      <c r="AN497" s="3">
        <f>IF(OR(E497="",F497=""),0,NETWORKDAYS(E497,F497,Ref!$K$2:$K$42))</f>
        <v/>
      </c>
      <c r="AO497" s="3">
        <f>IF(L497="Renewal",1,0)</f>
        <v/>
      </c>
      <c r="AP497" s="3">
        <f>AC497*AD497</f>
        <v/>
      </c>
      <c r="AQ497" s="3">
        <f>IF(AND(G497&lt;&gt;"",'Historical Score'!$C$6&lt;&gt;""),IF(G497='Historical Score'!$C$6,1,0),0)</f>
        <v/>
      </c>
      <c r="AR497" s="3">
        <f>IF(AND(L497&lt;&gt;"",'Historical Score'!$C$5&lt;&gt;""),IF(L497='Historical Score'!$C$5,1,0),0)</f>
        <v/>
      </c>
      <c r="AS497" s="3">
        <f>IF(AND(Y497&lt;&gt;"",'Historical Score'!$C$7&lt;&gt;""),IF(Y497='Historical Score'!$C$7,1,0),0)</f>
        <v/>
      </c>
      <c r="AT497" s="3">
        <f>IF(AND(K497&lt;&gt;"",'Historical Score'!$C$8&lt;&gt;""),IF(K497='Historical Score'!$C$8,1,0),0)</f>
        <v/>
      </c>
      <c r="AU497" s="3" t="n"/>
      <c r="AV497" s="3" t="n"/>
      <c r="AW497" s="3" t="n"/>
      <c r="AX497" s="3" t="n"/>
      <c r="AY497" s="3" t="n"/>
      <c r="AZ497" s="3" t="n"/>
      <c r="BA497" s="182">
        <f>IF(AD497=1,(AR497*'Historical Score'!$K$29+1-'Historical Score'!$K$29)*(AT497*'Historical Score'!$L$29+1-'Historical Score'!$L$29)*(AS497*'Historical Score'!$M$29+1-'Historical Score'!$M$29)*(AQ497*'Historical Score'!$N$29+1-'Historical Score'!$N$29),0)</f>
        <v/>
      </c>
      <c r="BB497" s="3" t="n"/>
      <c r="BC497" s="3" t="n"/>
    </row>
    <row r="498" ht="15.75" customHeight="1" s="174">
      <c r="A498" s="3" t="inlineStr">
        <is>
          <t>5674175655</t>
        </is>
      </c>
      <c r="B498" s="3" t="inlineStr">
        <is>
          <t>Big World Enterprises</t>
        </is>
      </c>
      <c r="C498" s="3" t="inlineStr">
        <is>
          <t>Big World Enterprises</t>
        </is>
      </c>
      <c r="D498" s="3" t="inlineStr">
        <is>
          <t>Legal</t>
        </is>
      </c>
      <c r="E498" s="23" t="n">
        <v>46024</v>
      </c>
      <c r="F498" s="23" t="n">
        <v>46234</v>
      </c>
      <c r="G498" s="3" t="n">
        <v>2</v>
      </c>
      <c r="H498" s="3" t="inlineStr">
        <is>
          <t>7311</t>
        </is>
      </c>
      <c r="I498" s="3" t="inlineStr">
        <is>
          <t>73</t>
        </is>
      </c>
      <c r="J498" s="3" t="inlineStr">
        <is>
          <t>NC</t>
        </is>
      </c>
      <c r="K498" s="3" t="inlineStr">
        <is>
          <t>United Secured Capital 8</t>
        </is>
      </c>
      <c r="L498" s="3" t="inlineStr">
        <is>
          <t>New Deal</t>
        </is>
      </c>
      <c r="M498" s="3" t="n">
        <v>1.49</v>
      </c>
      <c r="N498" s="28" t="n">
        <v>25000</v>
      </c>
      <c r="O498" s="28" t="n">
        <v>0</v>
      </c>
      <c r="P498" s="28" t="n">
        <v>37250</v>
      </c>
      <c r="Q498" s="28" t="n">
        <v>10137.58</v>
      </c>
      <c r="R498" s="28" t="n">
        <v>27112.42</v>
      </c>
      <c r="S498" s="42" t="n">
        <v>0.272149798657718</v>
      </c>
      <c r="T498" s="3" t="n">
        <v>24</v>
      </c>
      <c r="U498" s="3" t="n">
        <v>31</v>
      </c>
      <c r="V498" s="3" t="n">
        <v>43018.1</v>
      </c>
      <c r="W498" s="42" t="n">
        <v>0.1424</v>
      </c>
      <c r="X498" s="23" t="n"/>
      <c r="Y498" s="3">
        <f>IF(I498="","No SIC",IFERROR(VLOOKUP(I498,Ref!$A$2:$B$65,2,FALSE()),"Unclassified"))</f>
        <v/>
      </c>
      <c r="Z498" s="3">
        <f>IF(T498="","",IF(T498&lt;12,"Daily","Weekly"))</f>
        <v/>
      </c>
      <c r="AA498" s="3">
        <f>IF(T498="",0,IF(T498&lt;12,T498*Controls!$B$13,T498*5))</f>
        <v/>
      </c>
      <c r="AB498" s="3">
        <f>IF(E498="",0,NETWORKDAYS(E498,Controls!$B$20,Ref!$K$2:$K$42))</f>
        <v/>
      </c>
      <c r="AC498" s="3">
        <f>IF(OR(AF498=1,AND(AA498&gt;0,AB498&gt;=Controls!$B$23*AA498)),1,0)</f>
        <v/>
      </c>
      <c r="AD498" s="3">
        <f>IF(AND(E498&lt;&gt;"",E498&gt;=Controls!$B$21,E498&lt;=Controls!$B$22),1,0)</f>
        <v/>
      </c>
      <c r="AE498" s="3">
        <f>IF(IFERROR(VLOOKUP(D498,Controls!$A$36:$E$46,2,FALSE()),"No")="Yes",1,0)</f>
        <v/>
      </c>
      <c r="AF498" s="3">
        <f>IF(IFERROR(VLOOKUP(D498,Controls!$A$36:$E$46,3,FALSE()),"No")="Yes",1,0)</f>
        <v/>
      </c>
      <c r="AG498" s="3">
        <f>IF(IFERROR(VLOOKUP(D498,Controls!$A$36:$E$46,4,FALSE()),"No")="Yes",1,0)</f>
        <v/>
      </c>
      <c r="AH498" s="3">
        <f>IF(IFERROR(VLOOKUP(D498,Controls!$A$36:$E$46,5,FALSE()),"No")="Yes",1,0)</f>
        <v/>
      </c>
      <c r="AI498" s="3">
        <f>IF(ISNUMBER(MATCH(D498,Controls!$A$36:$A$46,0)),1,0)</f>
        <v/>
      </c>
      <c r="AJ498" s="28">
        <f>Q498-N498</f>
        <v/>
      </c>
      <c r="AK498" s="3">
        <f>IF(AE498=1,MAX(0,N498-Q498),0)</f>
        <v/>
      </c>
      <c r="AL498" s="3">
        <f>IF(OR(V498="",V498=0),0,N498/V498)</f>
        <v/>
      </c>
      <c r="AM498" s="3">
        <f>IF(OR(V498="",V498=0),0,1)</f>
        <v/>
      </c>
      <c r="AN498" s="3">
        <f>IF(OR(E498="",F498=""),0,NETWORKDAYS(E498,F498,Ref!$K$2:$K$42))</f>
        <v/>
      </c>
      <c r="AO498" s="3">
        <f>IF(L498="Renewal",1,0)</f>
        <v/>
      </c>
      <c r="AP498" s="3">
        <f>AC498*AD498</f>
        <v/>
      </c>
      <c r="AQ498" s="3">
        <f>IF(AND(G498&lt;&gt;"",'Historical Score'!$C$6&lt;&gt;""),IF(G498='Historical Score'!$C$6,1,0),0)</f>
        <v/>
      </c>
      <c r="AR498" s="3">
        <f>IF(AND(L498&lt;&gt;"",'Historical Score'!$C$5&lt;&gt;""),IF(L498='Historical Score'!$C$5,1,0),0)</f>
        <v/>
      </c>
      <c r="AS498" s="3">
        <f>IF(AND(Y498&lt;&gt;"",'Historical Score'!$C$7&lt;&gt;""),IF(Y498='Historical Score'!$C$7,1,0),0)</f>
        <v/>
      </c>
      <c r="AT498" s="3">
        <f>IF(AND(K498&lt;&gt;"",'Historical Score'!$C$8&lt;&gt;""),IF(K498='Historical Score'!$C$8,1,0),0)</f>
        <v/>
      </c>
      <c r="AU498" s="3" t="n"/>
      <c r="AV498" s="3" t="n"/>
      <c r="AW498" s="3" t="n"/>
      <c r="AX498" s="3" t="n"/>
      <c r="AY498" s="3" t="n"/>
      <c r="AZ498" s="3" t="n"/>
      <c r="BA498" s="182">
        <f>IF(AD498=1,(AR498*'Historical Score'!$K$29+1-'Historical Score'!$K$29)*(AT498*'Historical Score'!$L$29+1-'Historical Score'!$L$29)*(AS498*'Historical Score'!$M$29+1-'Historical Score'!$M$29)*(AQ498*'Historical Score'!$N$29+1-'Historical Score'!$N$29),0)</f>
        <v/>
      </c>
      <c r="BB498" s="3" t="n"/>
      <c r="BC498" s="3" t="n"/>
    </row>
    <row r="499" ht="15.75" customHeight="1" s="174">
      <c r="A499" s="3" t="inlineStr">
        <is>
          <t>5674175659</t>
        </is>
      </c>
      <c r="B499" s="3" t="inlineStr">
        <is>
          <t>Buckeye Boring LLC</t>
        </is>
      </c>
      <c r="C499" s="3" t="inlineStr">
        <is>
          <t>Buckeye Boring LLC</t>
        </is>
      </c>
      <c r="D499" s="3" t="inlineStr">
        <is>
          <t>Legal</t>
        </is>
      </c>
      <c r="E499" s="23" t="n">
        <v>46024</v>
      </c>
      <c r="F499" s="23" t="n">
        <v>46233</v>
      </c>
      <c r="G499" s="3" t="n">
        <v>2</v>
      </c>
      <c r="H499" s="3" t="inlineStr">
        <is>
          <t>3669</t>
        </is>
      </c>
      <c r="I499" s="3" t="inlineStr">
        <is>
          <t>36</t>
        </is>
      </c>
      <c r="J499" s="3" t="inlineStr">
        <is>
          <t>OH</t>
        </is>
      </c>
      <c r="K499" s="3" t="inlineStr">
        <is>
          <t>Fundwell</t>
        </is>
      </c>
      <c r="L499" s="3" t="inlineStr">
        <is>
          <t>New Deal</t>
        </is>
      </c>
      <c r="M499" s="3" t="n">
        <v>1.38</v>
      </c>
      <c r="N499" s="28" t="n">
        <v>105000</v>
      </c>
      <c r="O499" s="28" t="n">
        <v>13125</v>
      </c>
      <c r="P499" s="28" t="n">
        <v>144900</v>
      </c>
      <c r="Q499" s="28" t="n">
        <v>47400.18</v>
      </c>
      <c r="R499" s="28" t="n">
        <v>97499.82000000001</v>
      </c>
      <c r="S499" s="42" t="n">
        <v>0.327123395445135</v>
      </c>
      <c r="T499" s="3" t="n">
        <v>52</v>
      </c>
      <c r="U499" s="3" t="n">
        <v>1</v>
      </c>
      <c r="V499" s="3" t="n">
        <v>121993.68</v>
      </c>
      <c r="W499" s="42" t="n">
        <v>0.0914</v>
      </c>
      <c r="X499" s="23" t="n">
        <v>41960</v>
      </c>
      <c r="Y499" s="3">
        <f>IF(I499="","No SIC",IFERROR(VLOOKUP(I499,Ref!$A$2:$B$65,2,FALSE()),"Unclassified"))</f>
        <v/>
      </c>
      <c r="Z499" s="3">
        <f>IF(T499="","",IF(T499&lt;12,"Daily","Weekly"))</f>
        <v/>
      </c>
      <c r="AA499" s="3">
        <f>IF(T499="",0,IF(T499&lt;12,T499*Controls!$B$13,T499*5))</f>
        <v/>
      </c>
      <c r="AB499" s="3">
        <f>IF(E499="",0,NETWORKDAYS(E499,Controls!$B$20,Ref!$K$2:$K$42))</f>
        <v/>
      </c>
      <c r="AC499" s="3">
        <f>IF(OR(AF499=1,AND(AA499&gt;0,AB499&gt;=Controls!$B$23*AA499)),1,0)</f>
        <v/>
      </c>
      <c r="AD499" s="3">
        <f>IF(AND(E499&lt;&gt;"",E499&gt;=Controls!$B$21,E499&lt;=Controls!$B$22),1,0)</f>
        <v/>
      </c>
      <c r="AE499" s="3">
        <f>IF(IFERROR(VLOOKUP(D499,Controls!$A$36:$E$46,2,FALSE()),"No")="Yes",1,0)</f>
        <v/>
      </c>
      <c r="AF499" s="3">
        <f>IF(IFERROR(VLOOKUP(D499,Controls!$A$36:$E$46,3,FALSE()),"No")="Yes",1,0)</f>
        <v/>
      </c>
      <c r="AG499" s="3">
        <f>IF(IFERROR(VLOOKUP(D499,Controls!$A$36:$E$46,4,FALSE()),"No")="Yes",1,0)</f>
        <v/>
      </c>
      <c r="AH499" s="3">
        <f>IF(IFERROR(VLOOKUP(D499,Controls!$A$36:$E$46,5,FALSE()),"No")="Yes",1,0)</f>
        <v/>
      </c>
      <c r="AI499" s="3">
        <f>IF(ISNUMBER(MATCH(D499,Controls!$A$36:$A$46,0)),1,0)</f>
        <v/>
      </c>
      <c r="AJ499" s="28">
        <f>Q499-N499</f>
        <v/>
      </c>
      <c r="AK499" s="3">
        <f>IF(AE499=1,MAX(0,N499-Q499),0)</f>
        <v/>
      </c>
      <c r="AL499" s="3">
        <f>IF(OR(V499="",V499=0),0,N499/V499)</f>
        <v/>
      </c>
      <c r="AM499" s="3">
        <f>IF(OR(V499="",V499=0),0,1)</f>
        <v/>
      </c>
      <c r="AN499" s="3">
        <f>IF(OR(E499="",F499=""),0,NETWORKDAYS(E499,F499,Ref!$K$2:$K$42))</f>
        <v/>
      </c>
      <c r="AO499" s="3">
        <f>IF(L499="Renewal",1,0)</f>
        <v/>
      </c>
      <c r="AP499" s="3">
        <f>AC499*AD499</f>
        <v/>
      </c>
      <c r="AQ499" s="3">
        <f>IF(AND(G499&lt;&gt;"",'Historical Score'!$C$6&lt;&gt;""),IF(G499='Historical Score'!$C$6,1,0),0)</f>
        <v/>
      </c>
      <c r="AR499" s="3">
        <f>IF(AND(L499&lt;&gt;"",'Historical Score'!$C$5&lt;&gt;""),IF(L499='Historical Score'!$C$5,1,0),0)</f>
        <v/>
      </c>
      <c r="AS499" s="3">
        <f>IF(AND(Y499&lt;&gt;"",'Historical Score'!$C$7&lt;&gt;""),IF(Y499='Historical Score'!$C$7,1,0),0)</f>
        <v/>
      </c>
      <c r="AT499" s="3">
        <f>IF(AND(K499&lt;&gt;"",'Historical Score'!$C$8&lt;&gt;""),IF(K499='Historical Score'!$C$8,1,0),0)</f>
        <v/>
      </c>
      <c r="AU499" s="3" t="n"/>
      <c r="AV499" s="3" t="n"/>
      <c r="AW499" s="3" t="n"/>
      <c r="AX499" s="3" t="n"/>
      <c r="AY499" s="3" t="n"/>
      <c r="AZ499" s="3" t="n"/>
      <c r="BA499" s="182">
        <f>IF(AD499=1,(AR499*'Historical Score'!$K$29+1-'Historical Score'!$K$29)*(AT499*'Historical Score'!$L$29+1-'Historical Score'!$L$29)*(AS499*'Historical Score'!$M$29+1-'Historical Score'!$M$29)*(AQ499*'Historical Score'!$N$29+1-'Historical Score'!$N$29),0)</f>
        <v/>
      </c>
      <c r="BB499" s="3" t="n"/>
      <c r="BC499" s="3" t="n"/>
    </row>
    <row r="500" ht="15.75" customHeight="1" s="174">
      <c r="A500" s="3" t="inlineStr">
        <is>
          <t>5674175701</t>
        </is>
      </c>
      <c r="B500" s="3" t="inlineStr">
        <is>
          <t>NEW BARI PIZZA &amp; CHICKEN</t>
        </is>
      </c>
      <c r="C500" s="3" t="inlineStr">
        <is>
          <t>NEW BARI PIZZA &amp; CHICKEN LLC</t>
        </is>
      </c>
      <c r="D500" s="3" t="inlineStr">
        <is>
          <t>In House Collection</t>
        </is>
      </c>
      <c r="E500" s="23" t="n">
        <v>46027</v>
      </c>
      <c r="F500" s="23" t="n">
        <v>46063</v>
      </c>
      <c r="G500" s="3" t="n">
        <v>2</v>
      </c>
      <c r="H500" s="3" t="inlineStr">
        <is>
          <t>5499</t>
        </is>
      </c>
      <c r="I500" s="3" t="inlineStr">
        <is>
          <t>54</t>
        </is>
      </c>
      <c r="J500" s="3" t="inlineStr">
        <is>
          <t>NJ</t>
        </is>
      </c>
      <c r="K500" s="3" t="inlineStr">
        <is>
          <t>Fundwell</t>
        </is>
      </c>
      <c r="L500" s="3" t="inlineStr">
        <is>
          <t>New Deal</t>
        </is>
      </c>
      <c r="M500" s="3" t="n">
        <v>1.49</v>
      </c>
      <c r="N500" s="28" t="n">
        <v>10000</v>
      </c>
      <c r="O500" s="28" t="n">
        <v>1400</v>
      </c>
      <c r="P500" s="28" t="n">
        <v>14900</v>
      </c>
      <c r="Q500" s="28" t="n">
        <v>744.64</v>
      </c>
      <c r="R500" s="28" t="n">
        <v>14155.36</v>
      </c>
      <c r="S500" s="42" t="n">
        <v>0.0499758389261745</v>
      </c>
      <c r="T500" s="3" t="n">
        <v>20</v>
      </c>
      <c r="U500" s="3" t="n">
        <v>12</v>
      </c>
      <c r="V500" s="3" t="n">
        <v>12588.4</v>
      </c>
      <c r="W500" s="42" t="n">
        <v>0.0914</v>
      </c>
      <c r="X500" s="23" t="n">
        <v>45508</v>
      </c>
      <c r="Y500" s="3">
        <f>IF(I500="","No SIC",IFERROR(VLOOKUP(I500,Ref!$A$2:$B$65,2,FALSE()),"Unclassified"))</f>
        <v/>
      </c>
      <c r="Z500" s="3">
        <f>IF(T500="","",IF(T500&lt;12,"Daily","Weekly"))</f>
        <v/>
      </c>
      <c r="AA500" s="3">
        <f>IF(T500="",0,IF(T500&lt;12,T500*Controls!$B$13,T500*5))</f>
        <v/>
      </c>
      <c r="AB500" s="3">
        <f>IF(E500="",0,NETWORKDAYS(E500,Controls!$B$20,Ref!$K$2:$K$42))</f>
        <v/>
      </c>
      <c r="AC500" s="3">
        <f>IF(OR(AF500=1,AND(AA500&gt;0,AB500&gt;=Controls!$B$23*AA500)),1,0)</f>
        <v/>
      </c>
      <c r="AD500" s="3">
        <f>IF(AND(E500&lt;&gt;"",E500&gt;=Controls!$B$21,E500&lt;=Controls!$B$22),1,0)</f>
        <v/>
      </c>
      <c r="AE500" s="3">
        <f>IF(IFERROR(VLOOKUP(D500,Controls!$A$36:$E$46,2,FALSE()),"No")="Yes",1,0)</f>
        <v/>
      </c>
      <c r="AF500" s="3">
        <f>IF(IFERROR(VLOOKUP(D500,Controls!$A$36:$E$46,3,FALSE()),"No")="Yes",1,0)</f>
        <v/>
      </c>
      <c r="AG500" s="3">
        <f>IF(IFERROR(VLOOKUP(D500,Controls!$A$36:$E$46,4,FALSE()),"No")="Yes",1,0)</f>
        <v/>
      </c>
      <c r="AH500" s="3">
        <f>IF(IFERROR(VLOOKUP(D500,Controls!$A$36:$E$46,5,FALSE()),"No")="Yes",1,0)</f>
        <v/>
      </c>
      <c r="AI500" s="3">
        <f>IF(ISNUMBER(MATCH(D500,Controls!$A$36:$A$46,0)),1,0)</f>
        <v/>
      </c>
      <c r="AJ500" s="28">
        <f>Q500-N500</f>
        <v/>
      </c>
      <c r="AK500" s="3">
        <f>IF(AE500=1,MAX(0,N500-Q500),0)</f>
        <v/>
      </c>
      <c r="AL500" s="3">
        <f>IF(OR(V500="",V500=0),0,N500/V500)</f>
        <v/>
      </c>
      <c r="AM500" s="3">
        <f>IF(OR(V500="",V500=0),0,1)</f>
        <v/>
      </c>
      <c r="AN500" s="3">
        <f>IF(OR(E500="",F500=""),0,NETWORKDAYS(E500,F500,Ref!$K$2:$K$42))</f>
        <v/>
      </c>
      <c r="AO500" s="3">
        <f>IF(L500="Renewal",1,0)</f>
        <v/>
      </c>
      <c r="AP500" s="3">
        <f>AC500*AD500</f>
        <v/>
      </c>
      <c r="AQ500" s="3">
        <f>IF(AND(G500&lt;&gt;"",'Historical Score'!$C$6&lt;&gt;""),IF(G500='Historical Score'!$C$6,1,0),0)</f>
        <v/>
      </c>
      <c r="AR500" s="3">
        <f>IF(AND(L500&lt;&gt;"",'Historical Score'!$C$5&lt;&gt;""),IF(L500='Historical Score'!$C$5,1,0),0)</f>
        <v/>
      </c>
      <c r="AS500" s="3">
        <f>IF(AND(Y500&lt;&gt;"",'Historical Score'!$C$7&lt;&gt;""),IF(Y500='Historical Score'!$C$7,1,0),0)</f>
        <v/>
      </c>
      <c r="AT500" s="3">
        <f>IF(AND(K500&lt;&gt;"",'Historical Score'!$C$8&lt;&gt;""),IF(K500='Historical Score'!$C$8,1,0),0)</f>
        <v/>
      </c>
      <c r="AU500" s="3" t="n"/>
      <c r="AV500" s="3" t="n"/>
      <c r="AW500" s="3" t="n"/>
      <c r="AX500" s="3" t="n"/>
      <c r="AY500" s="3" t="n"/>
      <c r="AZ500" s="3" t="n"/>
      <c r="BA500" s="182">
        <f>IF(AD500=1,(AR500*'Historical Score'!$K$29+1-'Historical Score'!$K$29)*(AT500*'Historical Score'!$L$29+1-'Historical Score'!$L$29)*(AS500*'Historical Score'!$M$29+1-'Historical Score'!$M$29)*(AQ500*'Historical Score'!$N$29+1-'Historical Score'!$N$29),0)</f>
        <v/>
      </c>
      <c r="BB500" s="3" t="n"/>
      <c r="BC500" s="3" t="n"/>
    </row>
    <row r="501" ht="15.75" customHeight="1" s="174">
      <c r="A501" s="3" t="inlineStr">
        <is>
          <t>5674175738</t>
        </is>
      </c>
      <c r="B501" s="3" t="inlineStr">
        <is>
          <t>BMP TRADERS</t>
        </is>
      </c>
      <c r="C501" s="3" t="inlineStr">
        <is>
          <t>BMP Traders, LLC</t>
        </is>
      </c>
      <c r="D501" s="3" t="inlineStr">
        <is>
          <t>Closed</t>
        </is>
      </c>
      <c r="E501" s="23" t="n">
        <v>46027</v>
      </c>
      <c r="F501" s="23" t="n">
        <v>46076</v>
      </c>
      <c r="G501" s="3" t="n">
        <v>2</v>
      </c>
      <c r="H501" s="3" t="inlineStr">
        <is>
          <t>1799</t>
        </is>
      </c>
      <c r="I501" s="3" t="inlineStr">
        <is>
          <t>17</t>
        </is>
      </c>
      <c r="J501" s="3" t="inlineStr">
        <is>
          <t>WA</t>
        </is>
      </c>
      <c r="K501" s="3" t="inlineStr">
        <is>
          <t>Fundwell</t>
        </is>
      </c>
      <c r="L501" s="3" t="inlineStr">
        <is>
          <t>New Deal</t>
        </is>
      </c>
      <c r="M501" s="3" t="n">
        <v>1.15</v>
      </c>
      <c r="N501" s="28" t="n">
        <v>75000</v>
      </c>
      <c r="O501" s="28" t="n">
        <v>5250</v>
      </c>
      <c r="P501" s="28" t="n">
        <v>86250</v>
      </c>
      <c r="Q501" s="28" t="n">
        <v>86250</v>
      </c>
      <c r="R501" s="28" t="n">
        <v>0</v>
      </c>
      <c r="S501" s="42" t="n">
        <v>1</v>
      </c>
      <c r="T501" s="3" t="n">
        <v>24</v>
      </c>
      <c r="U501" s="3" t="n">
        <v>0</v>
      </c>
      <c r="V501" s="3" t="n">
        <v>114765.56</v>
      </c>
      <c r="W501" s="42" t="n">
        <v>0.1503</v>
      </c>
      <c r="X501" s="23" t="n">
        <v>44078</v>
      </c>
      <c r="Y501" s="3">
        <f>IF(I501="","No SIC",IFERROR(VLOOKUP(I501,Ref!$A$2:$B$65,2,FALSE()),"Unclassified"))</f>
        <v/>
      </c>
      <c r="Z501" s="3">
        <f>IF(T501="","",IF(T501&lt;12,"Daily","Weekly"))</f>
        <v/>
      </c>
      <c r="AA501" s="3">
        <f>IF(T501="",0,IF(T501&lt;12,T501*Controls!$B$13,T501*5))</f>
        <v/>
      </c>
      <c r="AB501" s="3">
        <f>IF(E501="",0,NETWORKDAYS(E501,Controls!$B$20,Ref!$K$2:$K$42))</f>
        <v/>
      </c>
      <c r="AC501" s="3">
        <f>IF(OR(AF501=1,AND(AA501&gt;0,AB501&gt;=Controls!$B$23*AA501)),1,0)</f>
        <v/>
      </c>
      <c r="AD501" s="3">
        <f>IF(AND(E501&lt;&gt;"",E501&gt;=Controls!$B$21,E501&lt;=Controls!$B$22),1,0)</f>
        <v/>
      </c>
      <c r="AE501" s="3">
        <f>IF(IFERROR(VLOOKUP(D501,Controls!$A$36:$E$46,2,FALSE()),"No")="Yes",1,0)</f>
        <v/>
      </c>
      <c r="AF501" s="3">
        <f>IF(IFERROR(VLOOKUP(D501,Controls!$A$36:$E$46,3,FALSE()),"No")="Yes",1,0)</f>
        <v/>
      </c>
      <c r="AG501" s="3">
        <f>IF(IFERROR(VLOOKUP(D501,Controls!$A$36:$E$46,4,FALSE()),"No")="Yes",1,0)</f>
        <v/>
      </c>
      <c r="AH501" s="3">
        <f>IF(IFERROR(VLOOKUP(D501,Controls!$A$36:$E$46,5,FALSE()),"No")="Yes",1,0)</f>
        <v/>
      </c>
      <c r="AI501" s="3">
        <f>IF(ISNUMBER(MATCH(D501,Controls!$A$36:$A$46,0)),1,0)</f>
        <v/>
      </c>
      <c r="AJ501" s="28">
        <f>Q501-N501</f>
        <v/>
      </c>
      <c r="AK501" s="3">
        <f>IF(AE501=1,MAX(0,N501-Q501),0)</f>
        <v/>
      </c>
      <c r="AL501" s="3">
        <f>IF(OR(V501="",V501=0),0,N501/V501)</f>
        <v/>
      </c>
      <c r="AM501" s="3">
        <f>IF(OR(V501="",V501=0),0,1)</f>
        <v/>
      </c>
      <c r="AN501" s="3">
        <f>IF(OR(E501="",F501=""),0,NETWORKDAYS(E501,F501,Ref!$K$2:$K$42))</f>
        <v/>
      </c>
      <c r="AO501" s="3">
        <f>IF(L501="Renewal",1,0)</f>
        <v/>
      </c>
      <c r="AP501" s="3">
        <f>AC501*AD501</f>
        <v/>
      </c>
      <c r="AQ501" s="3">
        <f>IF(AND(G501&lt;&gt;"",'Historical Score'!$C$6&lt;&gt;""),IF(G501='Historical Score'!$C$6,1,0),0)</f>
        <v/>
      </c>
      <c r="AR501" s="3">
        <f>IF(AND(L501&lt;&gt;"",'Historical Score'!$C$5&lt;&gt;""),IF(L501='Historical Score'!$C$5,1,0),0)</f>
        <v/>
      </c>
      <c r="AS501" s="3">
        <f>IF(AND(Y501&lt;&gt;"",'Historical Score'!$C$7&lt;&gt;""),IF(Y501='Historical Score'!$C$7,1,0),0)</f>
        <v/>
      </c>
      <c r="AT501" s="3">
        <f>IF(AND(K501&lt;&gt;"",'Historical Score'!$C$8&lt;&gt;""),IF(K501='Historical Score'!$C$8,1,0),0)</f>
        <v/>
      </c>
      <c r="AU501" s="3" t="n"/>
      <c r="AV501" s="3" t="n"/>
      <c r="AW501" s="3" t="n"/>
      <c r="AX501" s="3" t="n"/>
      <c r="AY501" s="3" t="n"/>
      <c r="AZ501" s="3" t="n"/>
      <c r="BA501" s="182">
        <f>IF(AD501=1,(AR501*'Historical Score'!$K$29+1-'Historical Score'!$K$29)*(AT501*'Historical Score'!$L$29+1-'Historical Score'!$L$29)*(AS501*'Historical Score'!$M$29+1-'Historical Score'!$M$29)*(AQ501*'Historical Score'!$N$29+1-'Historical Score'!$N$29),0)</f>
        <v/>
      </c>
      <c r="BB501" s="3" t="n"/>
      <c r="BC501" s="3" t="n"/>
    </row>
    <row r="502" ht="15.75" customHeight="1" s="174">
      <c r="A502" s="3" t="inlineStr">
        <is>
          <t>5674175749</t>
        </is>
      </c>
      <c r="B502" s="3" t="inlineStr">
        <is>
          <t>AJ Smith Transport LLC</t>
        </is>
      </c>
      <c r="C502" s="3" t="inlineStr">
        <is>
          <t>AJ Smith Transport LLC</t>
        </is>
      </c>
      <c r="D502" s="3" t="inlineStr">
        <is>
          <t>Settlement Agreement</t>
        </is>
      </c>
      <c r="E502" s="23" t="n">
        <v>46027</v>
      </c>
      <c r="F502" s="23" t="n">
        <v>46247</v>
      </c>
      <c r="G502" s="3" t="n">
        <v>2</v>
      </c>
      <c r="H502" s="3" t="inlineStr">
        <is>
          <t>4731</t>
        </is>
      </c>
      <c r="I502" s="3" t="inlineStr">
        <is>
          <t>47</t>
        </is>
      </c>
      <c r="J502" s="3" t="inlineStr">
        <is>
          <t>OK</t>
        </is>
      </c>
      <c r="K502" s="3" t="inlineStr">
        <is>
          <t>Redline Capital</t>
        </is>
      </c>
      <c r="L502" s="3" t="inlineStr">
        <is>
          <t>New Deal</t>
        </is>
      </c>
      <c r="M502" s="3" t="n">
        <v>1.5</v>
      </c>
      <c r="N502" s="28" t="n">
        <v>5000</v>
      </c>
      <c r="O502" s="28" t="n">
        <v>700</v>
      </c>
      <c r="P502" s="28" t="n">
        <v>7500</v>
      </c>
      <c r="Q502" s="28" t="n">
        <v>2209.64</v>
      </c>
      <c r="R502" s="28" t="n">
        <v>5290.36</v>
      </c>
      <c r="S502" s="42" t="n">
        <v>0.294618666666667</v>
      </c>
      <c r="T502" s="3" t="n">
        <v>2.787</v>
      </c>
      <c r="U502" s="3" t="n">
        <v>20</v>
      </c>
      <c r="V502" s="3" t="n">
        <v>19630.42</v>
      </c>
      <c r="W502" s="42" t="n">
        <v>0.09379999999999999</v>
      </c>
      <c r="X502" s="23" t="n">
        <v>39772</v>
      </c>
      <c r="Y502" s="3">
        <f>IF(I502="","No SIC",IFERROR(VLOOKUP(I502,Ref!$A$2:$B$65,2,FALSE()),"Unclassified"))</f>
        <v/>
      </c>
      <c r="Z502" s="3">
        <f>IF(T502="","",IF(T502&lt;12,"Daily","Weekly"))</f>
        <v/>
      </c>
      <c r="AA502" s="3">
        <f>IF(T502="",0,IF(T502&lt;12,T502*Controls!$B$13,T502*5))</f>
        <v/>
      </c>
      <c r="AB502" s="3">
        <f>IF(E502="",0,NETWORKDAYS(E502,Controls!$B$20,Ref!$K$2:$K$42))</f>
        <v/>
      </c>
      <c r="AC502" s="3">
        <f>IF(OR(AF502=1,AND(AA502&gt;0,AB502&gt;=Controls!$B$23*AA502)),1,0)</f>
        <v/>
      </c>
      <c r="AD502" s="3">
        <f>IF(AND(E502&lt;&gt;"",E502&gt;=Controls!$B$21,E502&lt;=Controls!$B$22),1,0)</f>
        <v/>
      </c>
      <c r="AE502" s="3">
        <f>IF(IFERROR(VLOOKUP(D502,Controls!$A$36:$E$46,2,FALSE()),"No")="Yes",1,0)</f>
        <v/>
      </c>
      <c r="AF502" s="3">
        <f>IF(IFERROR(VLOOKUP(D502,Controls!$A$36:$E$46,3,FALSE()),"No")="Yes",1,0)</f>
        <v/>
      </c>
      <c r="AG502" s="3">
        <f>IF(IFERROR(VLOOKUP(D502,Controls!$A$36:$E$46,4,FALSE()),"No")="Yes",1,0)</f>
        <v/>
      </c>
      <c r="AH502" s="3">
        <f>IF(IFERROR(VLOOKUP(D502,Controls!$A$36:$E$46,5,FALSE()),"No")="Yes",1,0)</f>
        <v/>
      </c>
      <c r="AI502" s="3">
        <f>IF(ISNUMBER(MATCH(D502,Controls!$A$36:$A$46,0)),1,0)</f>
        <v/>
      </c>
      <c r="AJ502" s="28">
        <f>Q502-N502</f>
        <v/>
      </c>
      <c r="AK502" s="3">
        <f>IF(AE502=1,MAX(0,N502-Q502),0)</f>
        <v/>
      </c>
      <c r="AL502" s="3">
        <f>IF(OR(V502="",V502=0),0,N502/V502)</f>
        <v/>
      </c>
      <c r="AM502" s="3">
        <f>IF(OR(V502="",V502=0),0,1)</f>
        <v/>
      </c>
      <c r="AN502" s="3">
        <f>IF(OR(E502="",F502=""),0,NETWORKDAYS(E502,F502,Ref!$K$2:$K$42))</f>
        <v/>
      </c>
      <c r="AO502" s="3">
        <f>IF(L502="Renewal",1,0)</f>
        <v/>
      </c>
      <c r="AP502" s="3">
        <f>AC502*AD502</f>
        <v/>
      </c>
      <c r="AQ502" s="3">
        <f>IF(AND(G502&lt;&gt;"",'Historical Score'!$C$6&lt;&gt;""),IF(G502='Historical Score'!$C$6,1,0),0)</f>
        <v/>
      </c>
      <c r="AR502" s="3">
        <f>IF(AND(L502&lt;&gt;"",'Historical Score'!$C$5&lt;&gt;""),IF(L502='Historical Score'!$C$5,1,0),0)</f>
        <v/>
      </c>
      <c r="AS502" s="3">
        <f>IF(AND(Y502&lt;&gt;"",'Historical Score'!$C$7&lt;&gt;""),IF(Y502='Historical Score'!$C$7,1,0),0)</f>
        <v/>
      </c>
      <c r="AT502" s="3">
        <f>IF(AND(K502&lt;&gt;"",'Historical Score'!$C$8&lt;&gt;""),IF(K502='Historical Score'!$C$8,1,0),0)</f>
        <v/>
      </c>
      <c r="AU502" s="3" t="n"/>
      <c r="AV502" s="3" t="n"/>
      <c r="AW502" s="3" t="n"/>
      <c r="AX502" s="3" t="n"/>
      <c r="AY502" s="3" t="n"/>
      <c r="AZ502" s="3" t="n"/>
      <c r="BA502" s="182">
        <f>IF(AD502=1,(AR502*'Historical Score'!$K$29+1-'Historical Score'!$K$29)*(AT502*'Historical Score'!$L$29+1-'Historical Score'!$L$29)*(AS502*'Historical Score'!$M$29+1-'Historical Score'!$M$29)*(AQ502*'Historical Score'!$N$29+1-'Historical Score'!$N$29),0)</f>
        <v/>
      </c>
      <c r="BB502" s="3" t="n"/>
      <c r="BC502" s="3" t="n"/>
    </row>
    <row r="503" ht="15.75" customHeight="1" s="174">
      <c r="A503" s="3" t="inlineStr">
        <is>
          <t>5674175773</t>
        </is>
      </c>
      <c r="B503" s="3" t="inlineStr">
        <is>
          <t>Yogurtland sendero</t>
        </is>
      </c>
      <c r="C503" s="3" t="inlineStr">
        <is>
          <t>Flavorlust llc</t>
        </is>
      </c>
      <c r="D503" s="3" t="inlineStr">
        <is>
          <t>Closed</t>
        </is>
      </c>
      <c r="E503" s="23" t="n">
        <v>46028</v>
      </c>
      <c r="F503" s="23" t="n">
        <v>46190</v>
      </c>
      <c r="G503" s="3" t="n">
        <v>2</v>
      </c>
      <c r="H503" s="3" t="inlineStr">
        <is>
          <t>5812</t>
        </is>
      </c>
      <c r="I503" s="3" t="inlineStr">
        <is>
          <t>58</t>
        </is>
      </c>
      <c r="J503" s="3" t="inlineStr">
        <is>
          <t>CA</t>
        </is>
      </c>
      <c r="K503" s="3" t="inlineStr">
        <is>
          <t>Simply capital source inc</t>
        </is>
      </c>
      <c r="L503" s="3" t="inlineStr">
        <is>
          <t>New Deal</t>
        </is>
      </c>
      <c r="M503" s="3" t="n">
        <v>1.4</v>
      </c>
      <c r="N503" s="28" t="n">
        <v>30000</v>
      </c>
      <c r="O503" s="28" t="n">
        <v>2850</v>
      </c>
      <c r="P503" s="28" t="n">
        <v>42000</v>
      </c>
      <c r="Q503" s="28" t="n">
        <v>42000</v>
      </c>
      <c r="R503" s="28" t="n">
        <v>0</v>
      </c>
      <c r="S503" s="42" t="n">
        <v>1</v>
      </c>
      <c r="T503" s="3" t="n">
        <v>30</v>
      </c>
      <c r="U503" s="3" t="n">
        <v>0</v>
      </c>
      <c r="V503" s="3" t="n">
        <v>40732.29</v>
      </c>
      <c r="W503" s="42" t="n">
        <v>0.1375</v>
      </c>
      <c r="X503" s="23" t="n">
        <v>43137</v>
      </c>
      <c r="Y503" s="3">
        <f>IF(I503="","No SIC",IFERROR(VLOOKUP(I503,Ref!$A$2:$B$65,2,FALSE()),"Unclassified"))</f>
        <v/>
      </c>
      <c r="Z503" s="3">
        <f>IF(T503="","",IF(T503&lt;12,"Daily","Weekly"))</f>
        <v/>
      </c>
      <c r="AA503" s="3">
        <f>IF(T503="",0,IF(T503&lt;12,T503*Controls!$B$13,T503*5))</f>
        <v/>
      </c>
      <c r="AB503" s="3">
        <f>IF(E503="",0,NETWORKDAYS(E503,Controls!$B$20,Ref!$K$2:$K$42))</f>
        <v/>
      </c>
      <c r="AC503" s="3">
        <f>IF(OR(AF503=1,AND(AA503&gt;0,AB503&gt;=Controls!$B$23*AA503)),1,0)</f>
        <v/>
      </c>
      <c r="AD503" s="3">
        <f>IF(AND(E503&lt;&gt;"",E503&gt;=Controls!$B$21,E503&lt;=Controls!$B$22),1,0)</f>
        <v/>
      </c>
      <c r="AE503" s="3">
        <f>IF(IFERROR(VLOOKUP(D503,Controls!$A$36:$E$46,2,FALSE()),"No")="Yes",1,0)</f>
        <v/>
      </c>
      <c r="AF503" s="3">
        <f>IF(IFERROR(VLOOKUP(D503,Controls!$A$36:$E$46,3,FALSE()),"No")="Yes",1,0)</f>
        <v/>
      </c>
      <c r="AG503" s="3">
        <f>IF(IFERROR(VLOOKUP(D503,Controls!$A$36:$E$46,4,FALSE()),"No")="Yes",1,0)</f>
        <v/>
      </c>
      <c r="AH503" s="3">
        <f>IF(IFERROR(VLOOKUP(D503,Controls!$A$36:$E$46,5,FALSE()),"No")="Yes",1,0)</f>
        <v/>
      </c>
      <c r="AI503" s="3">
        <f>IF(ISNUMBER(MATCH(D503,Controls!$A$36:$A$46,0)),1,0)</f>
        <v/>
      </c>
      <c r="AJ503" s="28">
        <f>Q503-N503</f>
        <v/>
      </c>
      <c r="AK503" s="3">
        <f>IF(AE503=1,MAX(0,N503-Q503),0)</f>
        <v/>
      </c>
      <c r="AL503" s="3">
        <f>IF(OR(V503="",V503=0),0,N503/V503)</f>
        <v/>
      </c>
      <c r="AM503" s="3">
        <f>IF(OR(V503="",V503=0),0,1)</f>
        <v/>
      </c>
      <c r="AN503" s="3">
        <f>IF(OR(E503="",F503=""),0,NETWORKDAYS(E503,F503,Ref!$K$2:$K$42))</f>
        <v/>
      </c>
      <c r="AO503" s="3">
        <f>IF(L503="Renewal",1,0)</f>
        <v/>
      </c>
      <c r="AP503" s="3">
        <f>AC503*AD503</f>
        <v/>
      </c>
      <c r="AQ503" s="3">
        <f>IF(AND(G503&lt;&gt;"",'Historical Score'!$C$6&lt;&gt;""),IF(G503='Historical Score'!$C$6,1,0),0)</f>
        <v/>
      </c>
      <c r="AR503" s="3">
        <f>IF(AND(L503&lt;&gt;"",'Historical Score'!$C$5&lt;&gt;""),IF(L503='Historical Score'!$C$5,1,0),0)</f>
        <v/>
      </c>
      <c r="AS503" s="3">
        <f>IF(AND(Y503&lt;&gt;"",'Historical Score'!$C$7&lt;&gt;""),IF(Y503='Historical Score'!$C$7,1,0),0)</f>
        <v/>
      </c>
      <c r="AT503" s="3">
        <f>IF(AND(K503&lt;&gt;"",'Historical Score'!$C$8&lt;&gt;""),IF(K503='Historical Score'!$C$8,1,0),0)</f>
        <v/>
      </c>
      <c r="AU503" s="3" t="n"/>
      <c r="AV503" s="3" t="n"/>
      <c r="AW503" s="3" t="n"/>
      <c r="AX503" s="3" t="n"/>
      <c r="AY503" s="3" t="n"/>
      <c r="AZ503" s="3" t="n"/>
      <c r="BA503" s="182">
        <f>IF(AD503=1,(AR503*'Historical Score'!$K$29+1-'Historical Score'!$K$29)*(AT503*'Historical Score'!$L$29+1-'Historical Score'!$L$29)*(AS503*'Historical Score'!$M$29+1-'Historical Score'!$M$29)*(AQ503*'Historical Score'!$N$29+1-'Historical Score'!$N$29),0)</f>
        <v/>
      </c>
      <c r="BB503" s="3" t="n"/>
      <c r="BC503" s="3" t="n"/>
    </row>
    <row r="504" ht="15.75" customHeight="1" s="174">
      <c r="A504" s="3" t="inlineStr">
        <is>
          <t>5674175779</t>
        </is>
      </c>
      <c r="B504" s="3" t="inlineStr">
        <is>
          <t>Cuevas Heating &amp; Air LLC</t>
        </is>
      </c>
      <c r="C504" s="3" t="inlineStr">
        <is>
          <t>Cuevas Heating &amp; Air LLC</t>
        </is>
      </c>
      <c r="D504" s="3" t="inlineStr">
        <is>
          <t>Settlement Agreement</t>
        </is>
      </c>
      <c r="E504" s="23" t="n">
        <v>46028</v>
      </c>
      <c r="F504" s="23" t="n">
        <v>46248</v>
      </c>
      <c r="G504" s="3" t="n">
        <v>3</v>
      </c>
      <c r="H504" s="3" t="inlineStr">
        <is>
          <t>3433</t>
        </is>
      </c>
      <c r="I504" s="3" t="inlineStr">
        <is>
          <t>34</t>
        </is>
      </c>
      <c r="J504" s="3" t="inlineStr">
        <is>
          <t>GA</t>
        </is>
      </c>
      <c r="K504" s="3" t="inlineStr">
        <is>
          <t>Ballicci</t>
        </is>
      </c>
      <c r="L504" s="3" t="inlineStr">
        <is>
          <t>New Deal</t>
        </is>
      </c>
      <c r="M504" s="3" t="n">
        <v>1.49</v>
      </c>
      <c r="N504" s="28" t="n">
        <v>15000</v>
      </c>
      <c r="O504" s="28" t="n">
        <v>2100</v>
      </c>
      <c r="P504" s="28" t="n">
        <v>22350</v>
      </c>
      <c r="Q504" s="28" t="n">
        <v>11927.01</v>
      </c>
      <c r="R504" s="28" t="n">
        <v>10422.99</v>
      </c>
      <c r="S504" s="42" t="n">
        <v>0.533646979865772</v>
      </c>
      <c r="T504" s="3" t="n">
        <v>3.279</v>
      </c>
      <c r="U504" s="3" t="n">
        <v>6</v>
      </c>
      <c r="V504" s="3" t="n">
        <v>41458.49</v>
      </c>
      <c r="W504" s="42" t="n">
        <v>0.1132</v>
      </c>
      <c r="X504" s="23" t="n"/>
      <c r="Y504" s="3">
        <f>IF(I504="","No SIC",IFERROR(VLOOKUP(I504,Ref!$A$2:$B$65,2,FALSE()),"Unclassified"))</f>
        <v/>
      </c>
      <c r="Z504" s="3">
        <f>IF(T504="","",IF(T504&lt;12,"Daily","Weekly"))</f>
        <v/>
      </c>
      <c r="AA504" s="3">
        <f>IF(T504="",0,IF(T504&lt;12,T504*Controls!$B$13,T504*5))</f>
        <v/>
      </c>
      <c r="AB504" s="3">
        <f>IF(E504="",0,NETWORKDAYS(E504,Controls!$B$20,Ref!$K$2:$K$42))</f>
        <v/>
      </c>
      <c r="AC504" s="3">
        <f>IF(OR(AF504=1,AND(AA504&gt;0,AB504&gt;=Controls!$B$23*AA504)),1,0)</f>
        <v/>
      </c>
      <c r="AD504" s="3">
        <f>IF(AND(E504&lt;&gt;"",E504&gt;=Controls!$B$21,E504&lt;=Controls!$B$22),1,0)</f>
        <v/>
      </c>
      <c r="AE504" s="3">
        <f>IF(IFERROR(VLOOKUP(D504,Controls!$A$36:$E$46,2,FALSE()),"No")="Yes",1,0)</f>
        <v/>
      </c>
      <c r="AF504" s="3">
        <f>IF(IFERROR(VLOOKUP(D504,Controls!$A$36:$E$46,3,FALSE()),"No")="Yes",1,0)</f>
        <v/>
      </c>
      <c r="AG504" s="3">
        <f>IF(IFERROR(VLOOKUP(D504,Controls!$A$36:$E$46,4,FALSE()),"No")="Yes",1,0)</f>
        <v/>
      </c>
      <c r="AH504" s="3">
        <f>IF(IFERROR(VLOOKUP(D504,Controls!$A$36:$E$46,5,FALSE()),"No")="Yes",1,0)</f>
        <v/>
      </c>
      <c r="AI504" s="3">
        <f>IF(ISNUMBER(MATCH(D504,Controls!$A$36:$A$46,0)),1,0)</f>
        <v/>
      </c>
      <c r="AJ504" s="28">
        <f>Q504-N504</f>
        <v/>
      </c>
      <c r="AK504" s="3">
        <f>IF(AE504=1,MAX(0,N504-Q504),0)</f>
        <v/>
      </c>
      <c r="AL504" s="3">
        <f>IF(OR(V504="",V504=0),0,N504/V504)</f>
        <v/>
      </c>
      <c r="AM504" s="3">
        <f>IF(OR(V504="",V504=0),0,1)</f>
        <v/>
      </c>
      <c r="AN504" s="3">
        <f>IF(OR(E504="",F504=""),0,NETWORKDAYS(E504,F504,Ref!$K$2:$K$42))</f>
        <v/>
      </c>
      <c r="AO504" s="3">
        <f>IF(L504="Renewal",1,0)</f>
        <v/>
      </c>
      <c r="AP504" s="3">
        <f>AC504*AD504</f>
        <v/>
      </c>
      <c r="AQ504" s="3">
        <f>IF(AND(G504&lt;&gt;"",'Historical Score'!$C$6&lt;&gt;""),IF(G504='Historical Score'!$C$6,1,0),0)</f>
        <v/>
      </c>
      <c r="AR504" s="3">
        <f>IF(AND(L504&lt;&gt;"",'Historical Score'!$C$5&lt;&gt;""),IF(L504='Historical Score'!$C$5,1,0),0)</f>
        <v/>
      </c>
      <c r="AS504" s="3">
        <f>IF(AND(Y504&lt;&gt;"",'Historical Score'!$C$7&lt;&gt;""),IF(Y504='Historical Score'!$C$7,1,0),0)</f>
        <v/>
      </c>
      <c r="AT504" s="3">
        <f>IF(AND(K504&lt;&gt;"",'Historical Score'!$C$8&lt;&gt;""),IF(K504='Historical Score'!$C$8,1,0),0)</f>
        <v/>
      </c>
      <c r="AU504" s="3" t="n"/>
      <c r="AV504" s="3" t="n"/>
      <c r="AW504" s="3" t="n"/>
      <c r="AX504" s="3" t="n"/>
      <c r="AY504" s="3" t="n"/>
      <c r="AZ504" s="3" t="n"/>
      <c r="BA504" s="182">
        <f>IF(AD504=1,(AR504*'Historical Score'!$K$29+1-'Historical Score'!$K$29)*(AT504*'Historical Score'!$L$29+1-'Historical Score'!$L$29)*(AS504*'Historical Score'!$M$29+1-'Historical Score'!$M$29)*(AQ504*'Historical Score'!$N$29+1-'Historical Score'!$N$29),0)</f>
        <v/>
      </c>
      <c r="BB504" s="3" t="n"/>
      <c r="BC504" s="3" t="n"/>
    </row>
    <row r="505" ht="15.75" customHeight="1" s="174">
      <c r="A505" s="3" t="inlineStr">
        <is>
          <t>5674175819</t>
        </is>
      </c>
      <c r="B505" s="3" t="inlineStr">
        <is>
          <t>JABC SERVICES GROUP LLC</t>
        </is>
      </c>
      <c r="C505" s="3" t="inlineStr">
        <is>
          <t>JABC SERVICES GROUP LLC</t>
        </is>
      </c>
      <c r="D505" s="3" t="inlineStr">
        <is>
          <t>In House Collection</t>
        </is>
      </c>
      <c r="E505" s="23" t="n">
        <v>46028</v>
      </c>
      <c r="F505" s="23" t="n">
        <v>46057</v>
      </c>
      <c r="G505" s="3" t="n">
        <v>3</v>
      </c>
      <c r="H505" s="3" t="inlineStr">
        <is>
          <t>1799</t>
        </is>
      </c>
      <c r="I505" s="3" t="inlineStr">
        <is>
          <t>17</t>
        </is>
      </c>
      <c r="J505" s="3" t="inlineStr">
        <is>
          <t>AZ</t>
        </is>
      </c>
      <c r="K505" s="3" t="inlineStr">
        <is>
          <t>level 3 funding</t>
        </is>
      </c>
      <c r="L505" s="3" t="inlineStr">
        <is>
          <t>New Deal</t>
        </is>
      </c>
      <c r="M505" s="3" t="n">
        <v>1.499</v>
      </c>
      <c r="N505" s="28" t="n">
        <v>5000</v>
      </c>
      <c r="O505" s="28" t="n">
        <v>700</v>
      </c>
      <c r="P505" s="28" t="n">
        <v>7495</v>
      </c>
      <c r="Q505" s="28" t="n">
        <v>1488.52</v>
      </c>
      <c r="R505" s="28" t="n">
        <v>6006.48</v>
      </c>
      <c r="S505" s="42" t="n">
        <v>0.19860173448966</v>
      </c>
      <c r="T505" s="3" t="n">
        <v>2.787</v>
      </c>
      <c r="U505" s="3" t="n">
        <v>4</v>
      </c>
      <c r="V505" s="3" t="n">
        <v>29049.92</v>
      </c>
      <c r="W505" s="42" t="n">
        <v>0.0633</v>
      </c>
      <c r="X505" s="23" t="n">
        <v>43731</v>
      </c>
      <c r="Y505" s="3">
        <f>IF(I505="","No SIC",IFERROR(VLOOKUP(I505,Ref!$A$2:$B$65,2,FALSE()),"Unclassified"))</f>
        <v/>
      </c>
      <c r="Z505" s="3">
        <f>IF(T505="","",IF(T505&lt;12,"Daily","Weekly"))</f>
        <v/>
      </c>
      <c r="AA505" s="3">
        <f>IF(T505="",0,IF(T505&lt;12,T505*Controls!$B$13,T505*5))</f>
        <v/>
      </c>
      <c r="AB505" s="3">
        <f>IF(E505="",0,NETWORKDAYS(E505,Controls!$B$20,Ref!$K$2:$K$42))</f>
        <v/>
      </c>
      <c r="AC505" s="3">
        <f>IF(OR(AF505=1,AND(AA505&gt;0,AB505&gt;=Controls!$B$23*AA505)),1,0)</f>
        <v/>
      </c>
      <c r="AD505" s="3">
        <f>IF(AND(E505&lt;&gt;"",E505&gt;=Controls!$B$21,E505&lt;=Controls!$B$22),1,0)</f>
        <v/>
      </c>
      <c r="AE505" s="3">
        <f>IF(IFERROR(VLOOKUP(D505,Controls!$A$36:$E$46,2,FALSE()),"No")="Yes",1,0)</f>
        <v/>
      </c>
      <c r="AF505" s="3">
        <f>IF(IFERROR(VLOOKUP(D505,Controls!$A$36:$E$46,3,FALSE()),"No")="Yes",1,0)</f>
        <v/>
      </c>
      <c r="AG505" s="3">
        <f>IF(IFERROR(VLOOKUP(D505,Controls!$A$36:$E$46,4,FALSE()),"No")="Yes",1,0)</f>
        <v/>
      </c>
      <c r="AH505" s="3">
        <f>IF(IFERROR(VLOOKUP(D505,Controls!$A$36:$E$46,5,FALSE()),"No")="Yes",1,0)</f>
        <v/>
      </c>
      <c r="AI505" s="3">
        <f>IF(ISNUMBER(MATCH(D505,Controls!$A$36:$A$46,0)),1,0)</f>
        <v/>
      </c>
      <c r="AJ505" s="28">
        <f>Q505-N505</f>
        <v/>
      </c>
      <c r="AK505" s="3">
        <f>IF(AE505=1,MAX(0,N505-Q505),0)</f>
        <v/>
      </c>
      <c r="AL505" s="3">
        <f>IF(OR(V505="",V505=0),0,N505/V505)</f>
        <v/>
      </c>
      <c r="AM505" s="3">
        <f>IF(OR(V505="",V505=0),0,1)</f>
        <v/>
      </c>
      <c r="AN505" s="3">
        <f>IF(OR(E505="",F505=""),0,NETWORKDAYS(E505,F505,Ref!$K$2:$K$42))</f>
        <v/>
      </c>
      <c r="AO505" s="3">
        <f>IF(L505="Renewal",1,0)</f>
        <v/>
      </c>
      <c r="AP505" s="3">
        <f>AC505*AD505</f>
        <v/>
      </c>
      <c r="AQ505" s="3">
        <f>IF(AND(G505&lt;&gt;"",'Historical Score'!$C$6&lt;&gt;""),IF(G505='Historical Score'!$C$6,1,0),0)</f>
        <v/>
      </c>
      <c r="AR505" s="3">
        <f>IF(AND(L505&lt;&gt;"",'Historical Score'!$C$5&lt;&gt;""),IF(L505='Historical Score'!$C$5,1,0),0)</f>
        <v/>
      </c>
      <c r="AS505" s="3">
        <f>IF(AND(Y505&lt;&gt;"",'Historical Score'!$C$7&lt;&gt;""),IF(Y505='Historical Score'!$C$7,1,0),0)</f>
        <v/>
      </c>
      <c r="AT505" s="3">
        <f>IF(AND(K505&lt;&gt;"",'Historical Score'!$C$8&lt;&gt;""),IF(K505='Historical Score'!$C$8,1,0),0)</f>
        <v/>
      </c>
      <c r="AU505" s="3" t="n"/>
      <c r="AV505" s="3" t="n"/>
      <c r="AW505" s="3" t="n"/>
      <c r="AX505" s="3" t="n"/>
      <c r="AY505" s="3" t="n"/>
      <c r="AZ505" s="3" t="n"/>
      <c r="BA505" s="182">
        <f>IF(AD505=1,(AR505*'Historical Score'!$K$29+1-'Historical Score'!$K$29)*(AT505*'Historical Score'!$L$29+1-'Historical Score'!$L$29)*(AS505*'Historical Score'!$M$29+1-'Historical Score'!$M$29)*(AQ505*'Historical Score'!$N$29+1-'Historical Score'!$N$29),0)</f>
        <v/>
      </c>
      <c r="BB505" s="3" t="n"/>
      <c r="BC505" s="3" t="n"/>
    </row>
    <row r="506" ht="15.75" customHeight="1" s="174">
      <c r="A506" s="3" t="inlineStr">
        <is>
          <t>5674175833</t>
        </is>
      </c>
      <c r="B506" s="3" t="inlineStr">
        <is>
          <t>TOP TO BOTTOM INC</t>
        </is>
      </c>
      <c r="C506" s="3" t="inlineStr">
        <is>
          <t>TOP TO BOTTOM INC</t>
        </is>
      </c>
      <c r="D506" s="3" t="inlineStr">
        <is>
          <t>Bankruptcy</t>
        </is>
      </c>
      <c r="E506" s="23" t="n">
        <v>46028</v>
      </c>
      <c r="F506" s="23" t="n">
        <v>46106</v>
      </c>
      <c r="G506" s="3" t="n">
        <v>3</v>
      </c>
      <c r="H506" s="3" t="inlineStr">
        <is>
          <t>1521</t>
        </is>
      </c>
      <c r="I506" s="3" t="inlineStr">
        <is>
          <t>15</t>
        </is>
      </c>
      <c r="J506" s="3" t="inlineStr">
        <is>
          <t>GA</t>
        </is>
      </c>
      <c r="K506" s="3" t="inlineStr">
        <is>
          <t>Ballicci</t>
        </is>
      </c>
      <c r="L506" s="3" t="inlineStr">
        <is>
          <t>New Deal</t>
        </is>
      </c>
      <c r="M506" s="3" t="n">
        <v>1.49</v>
      </c>
      <c r="N506" s="28" t="n">
        <v>10000</v>
      </c>
      <c r="O506" s="28" t="n">
        <v>1400</v>
      </c>
      <c r="P506" s="28" t="n">
        <v>14900</v>
      </c>
      <c r="Q506" s="28" t="n">
        <v>3642.54</v>
      </c>
      <c r="R506" s="28" t="n">
        <v>11257.46</v>
      </c>
      <c r="S506" s="42" t="n">
        <v>0.244465771812081</v>
      </c>
      <c r="T506" s="3" t="n">
        <v>2.951</v>
      </c>
      <c r="U506" s="3" t="n">
        <v>23</v>
      </c>
      <c r="V506" s="3" t="n">
        <v>25850.74</v>
      </c>
      <c r="W506" s="42" t="n">
        <v>0.1345</v>
      </c>
      <c r="X506" s="23" t="n">
        <v>36434</v>
      </c>
      <c r="Y506" s="3">
        <f>IF(I506="","No SIC",IFERROR(VLOOKUP(I506,Ref!$A$2:$B$65,2,FALSE()),"Unclassified"))</f>
        <v/>
      </c>
      <c r="Z506" s="3">
        <f>IF(T506="","",IF(T506&lt;12,"Daily","Weekly"))</f>
        <v/>
      </c>
      <c r="AA506" s="3">
        <f>IF(T506="",0,IF(T506&lt;12,T506*Controls!$B$13,T506*5))</f>
        <v/>
      </c>
      <c r="AB506" s="3">
        <f>IF(E506="",0,NETWORKDAYS(E506,Controls!$B$20,Ref!$K$2:$K$42))</f>
        <v/>
      </c>
      <c r="AC506" s="3">
        <f>IF(OR(AF506=1,AND(AA506&gt;0,AB506&gt;=Controls!$B$23*AA506)),1,0)</f>
        <v/>
      </c>
      <c r="AD506" s="3">
        <f>IF(AND(E506&lt;&gt;"",E506&gt;=Controls!$B$21,E506&lt;=Controls!$B$22),1,0)</f>
        <v/>
      </c>
      <c r="AE506" s="3">
        <f>IF(IFERROR(VLOOKUP(D506,Controls!$A$36:$E$46,2,FALSE()),"No")="Yes",1,0)</f>
        <v/>
      </c>
      <c r="AF506" s="3">
        <f>IF(IFERROR(VLOOKUP(D506,Controls!$A$36:$E$46,3,FALSE()),"No")="Yes",1,0)</f>
        <v/>
      </c>
      <c r="AG506" s="3">
        <f>IF(IFERROR(VLOOKUP(D506,Controls!$A$36:$E$46,4,FALSE()),"No")="Yes",1,0)</f>
        <v/>
      </c>
      <c r="AH506" s="3">
        <f>IF(IFERROR(VLOOKUP(D506,Controls!$A$36:$E$46,5,FALSE()),"No")="Yes",1,0)</f>
        <v/>
      </c>
      <c r="AI506" s="3">
        <f>IF(ISNUMBER(MATCH(D506,Controls!$A$36:$A$46,0)),1,0)</f>
        <v/>
      </c>
      <c r="AJ506" s="28">
        <f>Q506-N506</f>
        <v/>
      </c>
      <c r="AK506" s="3">
        <f>IF(AE506=1,MAX(0,N506-Q506),0)</f>
        <v/>
      </c>
      <c r="AL506" s="3">
        <f>IF(OR(V506="",V506=0),0,N506/V506)</f>
        <v/>
      </c>
      <c r="AM506" s="3">
        <f>IF(OR(V506="",V506=0),0,1)</f>
        <v/>
      </c>
      <c r="AN506" s="3">
        <f>IF(OR(E506="",F506=""),0,NETWORKDAYS(E506,F506,Ref!$K$2:$K$42))</f>
        <v/>
      </c>
      <c r="AO506" s="3">
        <f>IF(L506="Renewal",1,0)</f>
        <v/>
      </c>
      <c r="AP506" s="3">
        <f>AC506*AD506</f>
        <v/>
      </c>
      <c r="AQ506" s="3">
        <f>IF(AND(G506&lt;&gt;"",'Historical Score'!$C$6&lt;&gt;""),IF(G506='Historical Score'!$C$6,1,0),0)</f>
        <v/>
      </c>
      <c r="AR506" s="3">
        <f>IF(AND(L506&lt;&gt;"",'Historical Score'!$C$5&lt;&gt;""),IF(L506='Historical Score'!$C$5,1,0),0)</f>
        <v/>
      </c>
      <c r="AS506" s="3">
        <f>IF(AND(Y506&lt;&gt;"",'Historical Score'!$C$7&lt;&gt;""),IF(Y506='Historical Score'!$C$7,1,0),0)</f>
        <v/>
      </c>
      <c r="AT506" s="3">
        <f>IF(AND(K506&lt;&gt;"",'Historical Score'!$C$8&lt;&gt;""),IF(K506='Historical Score'!$C$8,1,0),0)</f>
        <v/>
      </c>
      <c r="AU506" s="3" t="n"/>
      <c r="AV506" s="3" t="n"/>
      <c r="AW506" s="3" t="n"/>
      <c r="AX506" s="3" t="n"/>
      <c r="AY506" s="3" t="n"/>
      <c r="AZ506" s="3" t="n"/>
      <c r="BA506" s="182">
        <f>IF(AD506=1,(AR506*'Historical Score'!$K$29+1-'Historical Score'!$K$29)*(AT506*'Historical Score'!$L$29+1-'Historical Score'!$L$29)*(AS506*'Historical Score'!$M$29+1-'Historical Score'!$M$29)*(AQ506*'Historical Score'!$N$29+1-'Historical Score'!$N$29),0)</f>
        <v/>
      </c>
      <c r="BB506" s="3" t="n"/>
      <c r="BC506" s="3" t="n"/>
    </row>
    <row r="507" ht="15.75" customHeight="1" s="174">
      <c r="A507" s="3" t="inlineStr">
        <is>
          <t>5674175850</t>
        </is>
      </c>
      <c r="B507" s="3" t="inlineStr">
        <is>
          <t>GenZy Clothing</t>
        </is>
      </c>
      <c r="C507" s="3" t="inlineStr">
        <is>
          <t>GENZ FASHION LLC</t>
        </is>
      </c>
      <c r="D507" s="3" t="inlineStr">
        <is>
          <t>Closed</t>
        </is>
      </c>
      <c r="E507" s="23" t="n">
        <v>46028</v>
      </c>
      <c r="F507" s="23" t="n">
        <v>46210</v>
      </c>
      <c r="G507" s="3" t="n">
        <v>3</v>
      </c>
      <c r="H507" s="3" t="inlineStr">
        <is>
          <t>5999</t>
        </is>
      </c>
      <c r="I507" s="3" t="inlineStr">
        <is>
          <t>59</t>
        </is>
      </c>
      <c r="J507" s="3" t="inlineStr">
        <is>
          <t>CA</t>
        </is>
      </c>
      <c r="K507" s="3" t="inlineStr">
        <is>
          <t>Fundwell</t>
        </is>
      </c>
      <c r="L507" s="3" t="inlineStr">
        <is>
          <t>New Deal</t>
        </is>
      </c>
      <c r="M507" s="3" t="n">
        <v>1.42</v>
      </c>
      <c r="N507" s="28" t="n">
        <v>30000</v>
      </c>
      <c r="O507" s="28" t="n">
        <v>4350</v>
      </c>
      <c r="P507" s="28" t="n">
        <v>42600</v>
      </c>
      <c r="Q507" s="28" t="n">
        <v>42600</v>
      </c>
      <c r="R507" s="28" t="n">
        <v>0</v>
      </c>
      <c r="S507" s="42" t="n">
        <v>1</v>
      </c>
      <c r="T507" s="3" t="n">
        <v>26</v>
      </c>
      <c r="U507" s="3" t="n">
        <v>1</v>
      </c>
      <c r="V507" s="3" t="n">
        <v>48511.36</v>
      </c>
      <c r="W507" s="42" t="n">
        <v>0.1351</v>
      </c>
      <c r="X507" s="23" t="n">
        <v>45538</v>
      </c>
      <c r="Y507" s="3">
        <f>IF(I507="","No SIC",IFERROR(VLOOKUP(I507,Ref!$A$2:$B$65,2,FALSE()),"Unclassified"))</f>
        <v/>
      </c>
      <c r="Z507" s="3">
        <f>IF(T507="","",IF(T507&lt;12,"Daily","Weekly"))</f>
        <v/>
      </c>
      <c r="AA507" s="3">
        <f>IF(T507="",0,IF(T507&lt;12,T507*Controls!$B$13,T507*5))</f>
        <v/>
      </c>
      <c r="AB507" s="3">
        <f>IF(E507="",0,NETWORKDAYS(E507,Controls!$B$20,Ref!$K$2:$K$42))</f>
        <v/>
      </c>
      <c r="AC507" s="3">
        <f>IF(OR(AF507=1,AND(AA507&gt;0,AB507&gt;=Controls!$B$23*AA507)),1,0)</f>
        <v/>
      </c>
      <c r="AD507" s="3">
        <f>IF(AND(E507&lt;&gt;"",E507&gt;=Controls!$B$21,E507&lt;=Controls!$B$22),1,0)</f>
        <v/>
      </c>
      <c r="AE507" s="3">
        <f>IF(IFERROR(VLOOKUP(D507,Controls!$A$36:$E$46,2,FALSE()),"No")="Yes",1,0)</f>
        <v/>
      </c>
      <c r="AF507" s="3">
        <f>IF(IFERROR(VLOOKUP(D507,Controls!$A$36:$E$46,3,FALSE()),"No")="Yes",1,0)</f>
        <v/>
      </c>
      <c r="AG507" s="3">
        <f>IF(IFERROR(VLOOKUP(D507,Controls!$A$36:$E$46,4,FALSE()),"No")="Yes",1,0)</f>
        <v/>
      </c>
      <c r="AH507" s="3">
        <f>IF(IFERROR(VLOOKUP(D507,Controls!$A$36:$E$46,5,FALSE()),"No")="Yes",1,0)</f>
        <v/>
      </c>
      <c r="AI507" s="3">
        <f>IF(ISNUMBER(MATCH(D507,Controls!$A$36:$A$46,0)),1,0)</f>
        <v/>
      </c>
      <c r="AJ507" s="28">
        <f>Q507-N507</f>
        <v/>
      </c>
      <c r="AK507" s="3">
        <f>IF(AE507=1,MAX(0,N507-Q507),0)</f>
        <v/>
      </c>
      <c r="AL507" s="3">
        <f>IF(OR(V507="",V507=0),0,N507/V507)</f>
        <v/>
      </c>
      <c r="AM507" s="3">
        <f>IF(OR(V507="",V507=0),0,1)</f>
        <v/>
      </c>
      <c r="AN507" s="3">
        <f>IF(OR(E507="",F507=""),0,NETWORKDAYS(E507,F507,Ref!$K$2:$K$42))</f>
        <v/>
      </c>
      <c r="AO507" s="3">
        <f>IF(L507="Renewal",1,0)</f>
        <v/>
      </c>
      <c r="AP507" s="3">
        <f>AC507*AD507</f>
        <v/>
      </c>
      <c r="AQ507" s="3">
        <f>IF(AND(G507&lt;&gt;"",'Historical Score'!$C$6&lt;&gt;""),IF(G507='Historical Score'!$C$6,1,0),0)</f>
        <v/>
      </c>
      <c r="AR507" s="3">
        <f>IF(AND(L507&lt;&gt;"",'Historical Score'!$C$5&lt;&gt;""),IF(L507='Historical Score'!$C$5,1,0),0)</f>
        <v/>
      </c>
      <c r="AS507" s="3">
        <f>IF(AND(Y507&lt;&gt;"",'Historical Score'!$C$7&lt;&gt;""),IF(Y507='Historical Score'!$C$7,1,0),0)</f>
        <v/>
      </c>
      <c r="AT507" s="3">
        <f>IF(AND(K507&lt;&gt;"",'Historical Score'!$C$8&lt;&gt;""),IF(K507='Historical Score'!$C$8,1,0),0)</f>
        <v/>
      </c>
      <c r="AU507" s="3" t="n"/>
      <c r="AV507" s="3" t="n"/>
      <c r="AW507" s="3" t="n"/>
      <c r="AX507" s="3" t="n"/>
      <c r="AY507" s="3" t="n"/>
      <c r="AZ507" s="3" t="n"/>
      <c r="BA507" s="182">
        <f>IF(AD507=1,(AR507*'Historical Score'!$K$29+1-'Historical Score'!$K$29)*(AT507*'Historical Score'!$L$29+1-'Historical Score'!$L$29)*(AS507*'Historical Score'!$M$29+1-'Historical Score'!$M$29)*(AQ507*'Historical Score'!$N$29+1-'Historical Score'!$N$29),0)</f>
        <v/>
      </c>
      <c r="BB507" s="3" t="n"/>
      <c r="BC507" s="3" t="n"/>
    </row>
    <row r="508" ht="15.75" customHeight="1" s="174">
      <c r="A508" s="3" t="inlineStr">
        <is>
          <t>5674175861</t>
        </is>
      </c>
      <c r="B508" s="3" t="inlineStr">
        <is>
          <t>MudHen Brewing Company</t>
        </is>
      </c>
      <c r="C508" s="3" t="inlineStr">
        <is>
          <t>BS Liquor, LLC</t>
        </is>
      </c>
      <c r="D508" s="3" t="inlineStr">
        <is>
          <t>Open</t>
        </is>
      </c>
      <c r="E508" s="23" t="n">
        <v>46028</v>
      </c>
      <c r="F508" s="23" t="n">
        <v>46252</v>
      </c>
      <c r="G508" s="3" t="n">
        <v>7</v>
      </c>
      <c r="H508" s="3" t="inlineStr">
        <is>
          <t>5499</t>
        </is>
      </c>
      <c r="I508" s="3" t="inlineStr">
        <is>
          <t>54</t>
        </is>
      </c>
      <c r="J508" s="3" t="inlineStr">
        <is>
          <t>NJ</t>
        </is>
      </c>
      <c r="K508" s="3" t="inlineStr">
        <is>
          <t>Fundwell</t>
        </is>
      </c>
      <c r="L508" s="3" t="inlineStr">
        <is>
          <t>New Deal</t>
        </is>
      </c>
      <c r="M508" s="3" t="n">
        <v>1.37</v>
      </c>
      <c r="N508" s="28" t="n">
        <v>275000</v>
      </c>
      <c r="O508" s="28" t="n">
        <v>33000</v>
      </c>
      <c r="P508" s="28" t="n">
        <v>376750</v>
      </c>
      <c r="Q508" s="28" t="n">
        <v>287870.23</v>
      </c>
      <c r="R508" s="28" t="n">
        <v>88879.77000000011</v>
      </c>
      <c r="S508" s="42" t="n">
        <v>0.764088201725282</v>
      </c>
      <c r="T508" s="3" t="n">
        <v>36</v>
      </c>
      <c r="U508" s="3" t="n">
        <v>0</v>
      </c>
      <c r="V508" s="3" t="n">
        <v>1789403.57</v>
      </c>
      <c r="W508" s="42" t="n">
        <v>0.0234</v>
      </c>
      <c r="X508" s="23" t="n">
        <v>43203</v>
      </c>
      <c r="Y508" s="3">
        <f>IF(I508="","No SIC",IFERROR(VLOOKUP(I508,Ref!$A$2:$B$65,2,FALSE()),"Unclassified"))</f>
        <v/>
      </c>
      <c r="Z508" s="3">
        <f>IF(T508="","",IF(T508&lt;12,"Daily","Weekly"))</f>
        <v/>
      </c>
      <c r="AA508" s="3">
        <f>IF(T508="",0,IF(T508&lt;12,T508*Controls!$B$13,T508*5))</f>
        <v/>
      </c>
      <c r="AB508" s="3">
        <f>IF(E508="",0,NETWORKDAYS(E508,Controls!$B$20,Ref!$K$2:$K$42))</f>
        <v/>
      </c>
      <c r="AC508" s="3">
        <f>IF(OR(AF508=1,AND(AA508&gt;0,AB508&gt;=Controls!$B$23*AA508)),1,0)</f>
        <v/>
      </c>
      <c r="AD508" s="3">
        <f>IF(AND(E508&lt;&gt;"",E508&gt;=Controls!$B$21,E508&lt;=Controls!$B$22),1,0)</f>
        <v/>
      </c>
      <c r="AE508" s="3">
        <f>IF(IFERROR(VLOOKUP(D508,Controls!$A$36:$E$46,2,FALSE()),"No")="Yes",1,0)</f>
        <v/>
      </c>
      <c r="AF508" s="3">
        <f>IF(IFERROR(VLOOKUP(D508,Controls!$A$36:$E$46,3,FALSE()),"No")="Yes",1,0)</f>
        <v/>
      </c>
      <c r="AG508" s="3">
        <f>IF(IFERROR(VLOOKUP(D508,Controls!$A$36:$E$46,4,FALSE()),"No")="Yes",1,0)</f>
        <v/>
      </c>
      <c r="AH508" s="3">
        <f>IF(IFERROR(VLOOKUP(D508,Controls!$A$36:$E$46,5,FALSE()),"No")="Yes",1,0)</f>
        <v/>
      </c>
      <c r="AI508" s="3">
        <f>IF(ISNUMBER(MATCH(D508,Controls!$A$36:$A$46,0)),1,0)</f>
        <v/>
      </c>
      <c r="AJ508" s="28">
        <f>Q508-N508</f>
        <v/>
      </c>
      <c r="AK508" s="3">
        <f>IF(AE508=1,MAX(0,N508-Q508),0)</f>
        <v/>
      </c>
      <c r="AL508" s="3">
        <f>IF(OR(V508="",V508=0),0,N508/V508)</f>
        <v/>
      </c>
      <c r="AM508" s="3">
        <f>IF(OR(V508="",V508=0),0,1)</f>
        <v/>
      </c>
      <c r="AN508" s="3">
        <f>IF(OR(E508="",F508=""),0,NETWORKDAYS(E508,F508,Ref!$K$2:$K$42))</f>
        <v/>
      </c>
      <c r="AO508" s="3">
        <f>IF(L508="Renewal",1,0)</f>
        <v/>
      </c>
      <c r="AP508" s="3">
        <f>AC508*AD508</f>
        <v/>
      </c>
      <c r="AQ508" s="3">
        <f>IF(AND(G508&lt;&gt;"",'Historical Score'!$C$6&lt;&gt;""),IF(G508='Historical Score'!$C$6,1,0),0)</f>
        <v/>
      </c>
      <c r="AR508" s="3">
        <f>IF(AND(L508&lt;&gt;"",'Historical Score'!$C$5&lt;&gt;""),IF(L508='Historical Score'!$C$5,1,0),0)</f>
        <v/>
      </c>
      <c r="AS508" s="3">
        <f>IF(AND(Y508&lt;&gt;"",'Historical Score'!$C$7&lt;&gt;""),IF(Y508='Historical Score'!$C$7,1,0),0)</f>
        <v/>
      </c>
      <c r="AT508" s="3">
        <f>IF(AND(K508&lt;&gt;"",'Historical Score'!$C$8&lt;&gt;""),IF(K508='Historical Score'!$C$8,1,0),0)</f>
        <v/>
      </c>
      <c r="AU508" s="3" t="n"/>
      <c r="AV508" s="3" t="n"/>
      <c r="AW508" s="3" t="n"/>
      <c r="AX508" s="3" t="n"/>
      <c r="AY508" s="3" t="n"/>
      <c r="AZ508" s="3" t="n"/>
      <c r="BA508" s="182">
        <f>IF(AD508=1,(AR508*'Historical Score'!$K$29+1-'Historical Score'!$K$29)*(AT508*'Historical Score'!$L$29+1-'Historical Score'!$L$29)*(AS508*'Historical Score'!$M$29+1-'Historical Score'!$M$29)*(AQ508*'Historical Score'!$N$29+1-'Historical Score'!$N$29),0)</f>
        <v/>
      </c>
      <c r="BB508" s="3" t="n"/>
      <c r="BC508" s="3" t="n"/>
    </row>
    <row r="509" ht="15.75" customHeight="1" s="174">
      <c r="A509" s="3" t="inlineStr">
        <is>
          <t>5674175888</t>
        </is>
      </c>
      <c r="B509" s="3" t="inlineStr">
        <is>
          <t>SOCAL MEDICAL TRANSPORTATION LLC</t>
        </is>
      </c>
      <c r="C509" s="3" t="inlineStr">
        <is>
          <t>SOCAL MEDICAL TRANSPORTATION LLC</t>
        </is>
      </c>
      <c r="D509" s="3" t="inlineStr">
        <is>
          <t>In House Collection</t>
        </is>
      </c>
      <c r="E509" s="23" t="n">
        <v>46029</v>
      </c>
      <c r="F509" s="23" t="n">
        <v>46251</v>
      </c>
      <c r="G509" s="3" t="n">
        <v>2</v>
      </c>
      <c r="H509" s="3" t="inlineStr">
        <is>
          <t>4729</t>
        </is>
      </c>
      <c r="I509" s="3" t="inlineStr">
        <is>
          <t>47</t>
        </is>
      </c>
      <c r="J509" s="3" t="inlineStr">
        <is>
          <t>CA</t>
        </is>
      </c>
      <c r="K509" s="3" t="inlineStr">
        <is>
          <t>The Funding Channel</t>
        </is>
      </c>
      <c r="L509" s="3" t="inlineStr">
        <is>
          <t>Renewal</t>
        </is>
      </c>
      <c r="M509" s="3" t="n">
        <v>1.49</v>
      </c>
      <c r="N509" s="28" t="n">
        <v>40000</v>
      </c>
      <c r="O509" s="28" t="n">
        <v>5600</v>
      </c>
      <c r="P509" s="28" t="n">
        <v>59600</v>
      </c>
      <c r="Q509" s="28" t="n">
        <v>11496.8</v>
      </c>
      <c r="R509" s="28" t="n">
        <v>48103.2</v>
      </c>
      <c r="S509" s="42" t="n">
        <v>0.19289932885906</v>
      </c>
      <c r="T509" s="3" t="n">
        <v>36</v>
      </c>
      <c r="U509" s="3" t="n">
        <v>21</v>
      </c>
      <c r="V509" s="3" t="n">
        <v>108901.57</v>
      </c>
      <c r="W509" s="42" t="n">
        <v>0.0608</v>
      </c>
      <c r="X509" s="23" t="n">
        <v>45497</v>
      </c>
      <c r="Y509" s="3">
        <f>IF(I509="","No SIC",IFERROR(VLOOKUP(I509,Ref!$A$2:$B$65,2,FALSE()),"Unclassified"))</f>
        <v/>
      </c>
      <c r="Z509" s="3">
        <f>IF(T509="","",IF(T509&lt;12,"Daily","Weekly"))</f>
        <v/>
      </c>
      <c r="AA509" s="3">
        <f>IF(T509="",0,IF(T509&lt;12,T509*Controls!$B$13,T509*5))</f>
        <v/>
      </c>
      <c r="AB509" s="3">
        <f>IF(E509="",0,NETWORKDAYS(E509,Controls!$B$20,Ref!$K$2:$K$42))</f>
        <v/>
      </c>
      <c r="AC509" s="3">
        <f>IF(OR(AF509=1,AND(AA509&gt;0,AB509&gt;=Controls!$B$23*AA509)),1,0)</f>
        <v/>
      </c>
      <c r="AD509" s="3">
        <f>IF(AND(E509&lt;&gt;"",E509&gt;=Controls!$B$21,E509&lt;=Controls!$B$22),1,0)</f>
        <v/>
      </c>
      <c r="AE509" s="3">
        <f>IF(IFERROR(VLOOKUP(D509,Controls!$A$36:$E$46,2,FALSE()),"No")="Yes",1,0)</f>
        <v/>
      </c>
      <c r="AF509" s="3">
        <f>IF(IFERROR(VLOOKUP(D509,Controls!$A$36:$E$46,3,FALSE()),"No")="Yes",1,0)</f>
        <v/>
      </c>
      <c r="AG509" s="3">
        <f>IF(IFERROR(VLOOKUP(D509,Controls!$A$36:$E$46,4,FALSE()),"No")="Yes",1,0)</f>
        <v/>
      </c>
      <c r="AH509" s="3">
        <f>IF(IFERROR(VLOOKUP(D509,Controls!$A$36:$E$46,5,FALSE()),"No")="Yes",1,0)</f>
        <v/>
      </c>
      <c r="AI509" s="3">
        <f>IF(ISNUMBER(MATCH(D509,Controls!$A$36:$A$46,0)),1,0)</f>
        <v/>
      </c>
      <c r="AJ509" s="28">
        <f>Q509-N509</f>
        <v/>
      </c>
      <c r="AK509" s="3">
        <f>IF(AE509=1,MAX(0,N509-Q509),0)</f>
        <v/>
      </c>
      <c r="AL509" s="3">
        <f>IF(OR(V509="",V509=0),0,N509/V509)</f>
        <v/>
      </c>
      <c r="AM509" s="3">
        <f>IF(OR(V509="",V509=0),0,1)</f>
        <v/>
      </c>
      <c r="AN509" s="3">
        <f>IF(OR(E509="",F509=""),0,NETWORKDAYS(E509,F509,Ref!$K$2:$K$42))</f>
        <v/>
      </c>
      <c r="AO509" s="3">
        <f>IF(L509="Renewal",1,0)</f>
        <v/>
      </c>
      <c r="AP509" s="3">
        <f>AC509*AD509</f>
        <v/>
      </c>
      <c r="AQ509" s="3">
        <f>IF(AND(G509&lt;&gt;"",'Historical Score'!$C$6&lt;&gt;""),IF(G509='Historical Score'!$C$6,1,0),0)</f>
        <v/>
      </c>
      <c r="AR509" s="3">
        <f>IF(AND(L509&lt;&gt;"",'Historical Score'!$C$5&lt;&gt;""),IF(L509='Historical Score'!$C$5,1,0),0)</f>
        <v/>
      </c>
      <c r="AS509" s="3">
        <f>IF(AND(Y509&lt;&gt;"",'Historical Score'!$C$7&lt;&gt;""),IF(Y509='Historical Score'!$C$7,1,0),0)</f>
        <v/>
      </c>
      <c r="AT509" s="3">
        <f>IF(AND(K509&lt;&gt;"",'Historical Score'!$C$8&lt;&gt;""),IF(K509='Historical Score'!$C$8,1,0),0)</f>
        <v/>
      </c>
      <c r="AU509" s="3" t="n"/>
      <c r="AV509" s="3" t="n"/>
      <c r="AW509" s="3" t="n"/>
      <c r="AX509" s="3" t="n"/>
      <c r="AY509" s="3" t="n"/>
      <c r="AZ509" s="3" t="n"/>
      <c r="BA509" s="182">
        <f>IF(AD509=1,(AR509*'Historical Score'!$K$29+1-'Historical Score'!$K$29)*(AT509*'Historical Score'!$L$29+1-'Historical Score'!$L$29)*(AS509*'Historical Score'!$M$29+1-'Historical Score'!$M$29)*(AQ509*'Historical Score'!$N$29+1-'Historical Score'!$N$29),0)</f>
        <v/>
      </c>
      <c r="BB509" s="3" t="n"/>
      <c r="BC509" s="3" t="n"/>
    </row>
    <row r="510" ht="15.75" customHeight="1" s="174">
      <c r="A510" s="3" t="inlineStr">
        <is>
          <t>5674175897</t>
        </is>
      </c>
      <c r="B510" s="3" t="inlineStr">
        <is>
          <t>Daurden Arts LLC</t>
        </is>
      </c>
      <c r="C510" s="3" t="inlineStr">
        <is>
          <t>Daurden Arts LLC</t>
        </is>
      </c>
      <c r="D510" s="3" t="inlineStr">
        <is>
          <t>Closed</t>
        </is>
      </c>
      <c r="E510" s="23" t="n">
        <v>46029</v>
      </c>
      <c r="F510" s="23" t="n">
        <v>46087</v>
      </c>
      <c r="G510" s="3" t="n">
        <v>2</v>
      </c>
      <c r="H510" s="3" t="inlineStr">
        <is>
          <t>7911</t>
        </is>
      </c>
      <c r="I510" s="3" t="inlineStr">
        <is>
          <t>79</t>
        </is>
      </c>
      <c r="J510" s="3" t="inlineStr">
        <is>
          <t>CA</t>
        </is>
      </c>
      <c r="K510" s="3" t="inlineStr">
        <is>
          <t>Fundwell</t>
        </is>
      </c>
      <c r="L510" s="3" t="inlineStr">
        <is>
          <t>New Deal</t>
        </is>
      </c>
      <c r="M510" s="3" t="n">
        <v>1.46</v>
      </c>
      <c r="N510" s="28" t="n">
        <v>5000</v>
      </c>
      <c r="O510" s="28" t="n">
        <v>775</v>
      </c>
      <c r="P510" s="28" t="n">
        <v>7300</v>
      </c>
      <c r="Q510" s="28" t="n">
        <v>7300</v>
      </c>
      <c r="R510" s="28" t="n">
        <v>0</v>
      </c>
      <c r="S510" s="42" t="n">
        <v>1</v>
      </c>
      <c r="T510" s="3" t="n">
        <v>1.967</v>
      </c>
      <c r="U510" s="3" t="n">
        <v>0</v>
      </c>
      <c r="V510" s="3" t="n">
        <v>18156.75</v>
      </c>
      <c r="W510" s="42" t="n">
        <v>0.2517</v>
      </c>
      <c r="X510" s="23" t="n">
        <v>40980</v>
      </c>
      <c r="Y510" s="3">
        <f>IF(I510="","No SIC",IFERROR(VLOOKUP(I510,Ref!$A$2:$B$65,2,FALSE()),"Unclassified"))</f>
        <v/>
      </c>
      <c r="Z510" s="3">
        <f>IF(T510="","",IF(T510&lt;12,"Daily","Weekly"))</f>
        <v/>
      </c>
      <c r="AA510" s="3">
        <f>IF(T510="",0,IF(T510&lt;12,T510*Controls!$B$13,T510*5))</f>
        <v/>
      </c>
      <c r="AB510" s="3">
        <f>IF(E510="",0,NETWORKDAYS(E510,Controls!$B$20,Ref!$K$2:$K$42))</f>
        <v/>
      </c>
      <c r="AC510" s="3">
        <f>IF(OR(AF510=1,AND(AA510&gt;0,AB510&gt;=Controls!$B$23*AA510)),1,0)</f>
        <v/>
      </c>
      <c r="AD510" s="3">
        <f>IF(AND(E510&lt;&gt;"",E510&gt;=Controls!$B$21,E510&lt;=Controls!$B$22),1,0)</f>
        <v/>
      </c>
      <c r="AE510" s="3">
        <f>IF(IFERROR(VLOOKUP(D510,Controls!$A$36:$E$46,2,FALSE()),"No")="Yes",1,0)</f>
        <v/>
      </c>
      <c r="AF510" s="3">
        <f>IF(IFERROR(VLOOKUP(D510,Controls!$A$36:$E$46,3,FALSE()),"No")="Yes",1,0)</f>
        <v/>
      </c>
      <c r="AG510" s="3">
        <f>IF(IFERROR(VLOOKUP(D510,Controls!$A$36:$E$46,4,FALSE()),"No")="Yes",1,0)</f>
        <v/>
      </c>
      <c r="AH510" s="3">
        <f>IF(IFERROR(VLOOKUP(D510,Controls!$A$36:$E$46,5,FALSE()),"No")="Yes",1,0)</f>
        <v/>
      </c>
      <c r="AI510" s="3">
        <f>IF(ISNUMBER(MATCH(D510,Controls!$A$36:$A$46,0)),1,0)</f>
        <v/>
      </c>
      <c r="AJ510" s="28">
        <f>Q510-N510</f>
        <v/>
      </c>
      <c r="AK510" s="3">
        <f>IF(AE510=1,MAX(0,N510-Q510),0)</f>
        <v/>
      </c>
      <c r="AL510" s="3">
        <f>IF(OR(V510="",V510=0),0,N510/V510)</f>
        <v/>
      </c>
      <c r="AM510" s="3">
        <f>IF(OR(V510="",V510=0),0,1)</f>
        <v/>
      </c>
      <c r="AN510" s="3">
        <f>IF(OR(E510="",F510=""),0,NETWORKDAYS(E510,F510,Ref!$K$2:$K$42))</f>
        <v/>
      </c>
      <c r="AO510" s="3">
        <f>IF(L510="Renewal",1,0)</f>
        <v/>
      </c>
      <c r="AP510" s="3">
        <f>AC510*AD510</f>
        <v/>
      </c>
      <c r="AQ510" s="3">
        <f>IF(AND(G510&lt;&gt;"",'Historical Score'!$C$6&lt;&gt;""),IF(G510='Historical Score'!$C$6,1,0),0)</f>
        <v/>
      </c>
      <c r="AR510" s="3">
        <f>IF(AND(L510&lt;&gt;"",'Historical Score'!$C$5&lt;&gt;""),IF(L510='Historical Score'!$C$5,1,0),0)</f>
        <v/>
      </c>
      <c r="AS510" s="3">
        <f>IF(AND(Y510&lt;&gt;"",'Historical Score'!$C$7&lt;&gt;""),IF(Y510='Historical Score'!$C$7,1,0),0)</f>
        <v/>
      </c>
      <c r="AT510" s="3">
        <f>IF(AND(K510&lt;&gt;"",'Historical Score'!$C$8&lt;&gt;""),IF(K510='Historical Score'!$C$8,1,0),0)</f>
        <v/>
      </c>
      <c r="AU510" s="3" t="n"/>
      <c r="AV510" s="3" t="n"/>
      <c r="AW510" s="3" t="n"/>
      <c r="AX510" s="3" t="n"/>
      <c r="AY510" s="3" t="n"/>
      <c r="AZ510" s="3" t="n"/>
      <c r="BA510" s="182">
        <f>IF(AD510=1,(AR510*'Historical Score'!$K$29+1-'Historical Score'!$K$29)*(AT510*'Historical Score'!$L$29+1-'Historical Score'!$L$29)*(AS510*'Historical Score'!$M$29+1-'Historical Score'!$M$29)*(AQ510*'Historical Score'!$N$29+1-'Historical Score'!$N$29),0)</f>
        <v/>
      </c>
      <c r="BB510" s="3" t="n"/>
      <c r="BC510" s="3" t="n"/>
    </row>
    <row r="511" ht="15.75" customHeight="1" s="174">
      <c r="A511" s="3" t="inlineStr">
        <is>
          <t>5674175932</t>
        </is>
      </c>
      <c r="B511" s="3" t="inlineStr">
        <is>
          <t>S&amp;K Property Services LLC</t>
        </is>
      </c>
      <c r="C511" s="3" t="inlineStr">
        <is>
          <t>S&amp;K Property Services LLC</t>
        </is>
      </c>
      <c r="D511" s="3" t="inlineStr">
        <is>
          <t>Closed</t>
        </is>
      </c>
      <c r="E511" s="23" t="n">
        <v>46029</v>
      </c>
      <c r="F511" s="23" t="n">
        <v>46129</v>
      </c>
      <c r="G511" s="3" t="n">
        <v>2</v>
      </c>
      <c r="H511" s="3" t="inlineStr">
        <is>
          <t>1521</t>
        </is>
      </c>
      <c r="I511" s="3" t="inlineStr">
        <is>
          <t>15</t>
        </is>
      </c>
      <c r="J511" s="3" t="inlineStr">
        <is>
          <t>GA</t>
        </is>
      </c>
      <c r="K511" s="3" t="inlineStr">
        <is>
          <t>Ballicci</t>
        </is>
      </c>
      <c r="L511" s="3" t="inlineStr">
        <is>
          <t>New Deal</t>
        </is>
      </c>
      <c r="M511" s="3" t="n">
        <v>1.49</v>
      </c>
      <c r="N511" s="28" t="n">
        <v>25000</v>
      </c>
      <c r="O511" s="28" t="n">
        <v>3500</v>
      </c>
      <c r="P511" s="28" t="n">
        <v>37250</v>
      </c>
      <c r="Q511" s="28" t="n">
        <v>37250</v>
      </c>
      <c r="R511" s="28" t="n">
        <v>0</v>
      </c>
      <c r="S511" s="42" t="n">
        <v>1</v>
      </c>
      <c r="T511" s="3" t="n">
        <v>3.279</v>
      </c>
      <c r="U511" s="3" t="n">
        <v>0</v>
      </c>
      <c r="V511" s="3" t="n">
        <v>40259.29</v>
      </c>
      <c r="W511" s="42" t="n">
        <v>0.1943</v>
      </c>
      <c r="X511" s="23" t="n">
        <v>43466</v>
      </c>
      <c r="Y511" s="3">
        <f>IF(I511="","No SIC",IFERROR(VLOOKUP(I511,Ref!$A$2:$B$65,2,FALSE()),"Unclassified"))</f>
        <v/>
      </c>
      <c r="Z511" s="3">
        <f>IF(T511="","",IF(T511&lt;12,"Daily","Weekly"))</f>
        <v/>
      </c>
      <c r="AA511" s="3">
        <f>IF(T511="",0,IF(T511&lt;12,T511*Controls!$B$13,T511*5))</f>
        <v/>
      </c>
      <c r="AB511" s="3">
        <f>IF(E511="",0,NETWORKDAYS(E511,Controls!$B$20,Ref!$K$2:$K$42))</f>
        <v/>
      </c>
      <c r="AC511" s="3">
        <f>IF(OR(AF511=1,AND(AA511&gt;0,AB511&gt;=Controls!$B$23*AA511)),1,0)</f>
        <v/>
      </c>
      <c r="AD511" s="3">
        <f>IF(AND(E511&lt;&gt;"",E511&gt;=Controls!$B$21,E511&lt;=Controls!$B$22),1,0)</f>
        <v/>
      </c>
      <c r="AE511" s="3">
        <f>IF(IFERROR(VLOOKUP(D511,Controls!$A$36:$E$46,2,FALSE()),"No")="Yes",1,0)</f>
        <v/>
      </c>
      <c r="AF511" s="3">
        <f>IF(IFERROR(VLOOKUP(D511,Controls!$A$36:$E$46,3,FALSE()),"No")="Yes",1,0)</f>
        <v/>
      </c>
      <c r="AG511" s="3">
        <f>IF(IFERROR(VLOOKUP(D511,Controls!$A$36:$E$46,4,FALSE()),"No")="Yes",1,0)</f>
        <v/>
      </c>
      <c r="AH511" s="3">
        <f>IF(IFERROR(VLOOKUP(D511,Controls!$A$36:$E$46,5,FALSE()),"No")="Yes",1,0)</f>
        <v/>
      </c>
      <c r="AI511" s="3">
        <f>IF(ISNUMBER(MATCH(D511,Controls!$A$36:$A$46,0)),1,0)</f>
        <v/>
      </c>
      <c r="AJ511" s="28">
        <f>Q511-N511</f>
        <v/>
      </c>
      <c r="AK511" s="3">
        <f>IF(AE511=1,MAX(0,N511-Q511),0)</f>
        <v/>
      </c>
      <c r="AL511" s="3">
        <f>IF(OR(V511="",V511=0),0,N511/V511)</f>
        <v/>
      </c>
      <c r="AM511" s="3">
        <f>IF(OR(V511="",V511=0),0,1)</f>
        <v/>
      </c>
      <c r="AN511" s="3">
        <f>IF(OR(E511="",F511=""),0,NETWORKDAYS(E511,F511,Ref!$K$2:$K$42))</f>
        <v/>
      </c>
      <c r="AO511" s="3">
        <f>IF(L511="Renewal",1,0)</f>
        <v/>
      </c>
      <c r="AP511" s="3">
        <f>AC511*AD511</f>
        <v/>
      </c>
      <c r="AQ511" s="3">
        <f>IF(AND(G511&lt;&gt;"",'Historical Score'!$C$6&lt;&gt;""),IF(G511='Historical Score'!$C$6,1,0),0)</f>
        <v/>
      </c>
      <c r="AR511" s="3">
        <f>IF(AND(L511&lt;&gt;"",'Historical Score'!$C$5&lt;&gt;""),IF(L511='Historical Score'!$C$5,1,0),0)</f>
        <v/>
      </c>
      <c r="AS511" s="3">
        <f>IF(AND(Y511&lt;&gt;"",'Historical Score'!$C$7&lt;&gt;""),IF(Y511='Historical Score'!$C$7,1,0),0)</f>
        <v/>
      </c>
      <c r="AT511" s="3">
        <f>IF(AND(K511&lt;&gt;"",'Historical Score'!$C$8&lt;&gt;""),IF(K511='Historical Score'!$C$8,1,0),0)</f>
        <v/>
      </c>
      <c r="AU511" s="3" t="n"/>
      <c r="AV511" s="3" t="n"/>
      <c r="AW511" s="3" t="n"/>
      <c r="AX511" s="3" t="n"/>
      <c r="AY511" s="3" t="n"/>
      <c r="AZ511" s="3" t="n"/>
      <c r="BA511" s="182">
        <f>IF(AD511=1,(AR511*'Historical Score'!$K$29+1-'Historical Score'!$K$29)*(AT511*'Historical Score'!$L$29+1-'Historical Score'!$L$29)*(AS511*'Historical Score'!$M$29+1-'Historical Score'!$M$29)*(AQ511*'Historical Score'!$N$29+1-'Historical Score'!$N$29),0)</f>
        <v/>
      </c>
      <c r="BB511" s="3" t="n"/>
      <c r="BC511" s="3" t="n"/>
    </row>
    <row r="512" ht="15.75" customHeight="1" s="174">
      <c r="A512" s="3" t="inlineStr">
        <is>
          <t>5674175945</t>
        </is>
      </c>
      <c r="B512" s="3" t="inlineStr">
        <is>
          <t>Exquisite Bride, LLC</t>
        </is>
      </c>
      <c r="C512" s="3" t="inlineStr">
        <is>
          <t>Exquisite Bride, LLC</t>
        </is>
      </c>
      <c r="D512" s="3" t="inlineStr">
        <is>
          <t>Closed</t>
        </is>
      </c>
      <c r="E512" s="23" t="n">
        <v>46029</v>
      </c>
      <c r="F512" s="23" t="n">
        <v>46161</v>
      </c>
      <c r="G512" s="3" t="n">
        <v>3</v>
      </c>
      <c r="H512" s="3" t="inlineStr">
        <is>
          <t>5999</t>
        </is>
      </c>
      <c r="I512" s="3" t="inlineStr">
        <is>
          <t>59</t>
        </is>
      </c>
      <c r="J512" s="3" t="inlineStr">
        <is>
          <t>TX</t>
        </is>
      </c>
      <c r="K512" s="3" t="inlineStr">
        <is>
          <t>Viking Funding LLC</t>
        </is>
      </c>
      <c r="L512" s="3" t="inlineStr">
        <is>
          <t>Renewal</t>
        </is>
      </c>
      <c r="M512" s="3" t="n">
        <v>1.49</v>
      </c>
      <c r="N512" s="28" t="n">
        <v>15000</v>
      </c>
      <c r="O512" s="28" t="n">
        <v>2100</v>
      </c>
      <c r="P512" s="28" t="n">
        <v>22350</v>
      </c>
      <c r="Q512" s="28" t="n">
        <v>22350</v>
      </c>
      <c r="R512" s="28" t="n">
        <v>0</v>
      </c>
      <c r="S512" s="42" t="n">
        <v>1</v>
      </c>
      <c r="T512" s="3" t="n">
        <v>4.098</v>
      </c>
      <c r="U512" s="3" t="n">
        <v>4</v>
      </c>
      <c r="V512" s="3" t="n">
        <v>38438.18</v>
      </c>
      <c r="W512" s="42" t="n">
        <v>0.0977</v>
      </c>
      <c r="X512" s="23" t="n">
        <v>44562</v>
      </c>
      <c r="Y512" s="3">
        <f>IF(I512="","No SIC",IFERROR(VLOOKUP(I512,Ref!$A$2:$B$65,2,FALSE()),"Unclassified"))</f>
        <v/>
      </c>
      <c r="Z512" s="3">
        <f>IF(T512="","",IF(T512&lt;12,"Daily","Weekly"))</f>
        <v/>
      </c>
      <c r="AA512" s="3">
        <f>IF(T512="",0,IF(T512&lt;12,T512*Controls!$B$13,T512*5))</f>
        <v/>
      </c>
      <c r="AB512" s="3">
        <f>IF(E512="",0,NETWORKDAYS(E512,Controls!$B$20,Ref!$K$2:$K$42))</f>
        <v/>
      </c>
      <c r="AC512" s="3">
        <f>IF(OR(AF512=1,AND(AA512&gt;0,AB512&gt;=Controls!$B$23*AA512)),1,0)</f>
        <v/>
      </c>
      <c r="AD512" s="3">
        <f>IF(AND(E512&lt;&gt;"",E512&gt;=Controls!$B$21,E512&lt;=Controls!$B$22),1,0)</f>
        <v/>
      </c>
      <c r="AE512" s="3">
        <f>IF(IFERROR(VLOOKUP(D512,Controls!$A$36:$E$46,2,FALSE()),"No")="Yes",1,0)</f>
        <v/>
      </c>
      <c r="AF512" s="3">
        <f>IF(IFERROR(VLOOKUP(D512,Controls!$A$36:$E$46,3,FALSE()),"No")="Yes",1,0)</f>
        <v/>
      </c>
      <c r="AG512" s="3">
        <f>IF(IFERROR(VLOOKUP(D512,Controls!$A$36:$E$46,4,FALSE()),"No")="Yes",1,0)</f>
        <v/>
      </c>
      <c r="AH512" s="3">
        <f>IF(IFERROR(VLOOKUP(D512,Controls!$A$36:$E$46,5,FALSE()),"No")="Yes",1,0)</f>
        <v/>
      </c>
      <c r="AI512" s="3">
        <f>IF(ISNUMBER(MATCH(D512,Controls!$A$36:$A$46,0)),1,0)</f>
        <v/>
      </c>
      <c r="AJ512" s="28">
        <f>Q512-N512</f>
        <v/>
      </c>
      <c r="AK512" s="3">
        <f>IF(AE512=1,MAX(0,N512-Q512),0)</f>
        <v/>
      </c>
      <c r="AL512" s="3">
        <f>IF(OR(V512="",V512=0),0,N512/V512)</f>
        <v/>
      </c>
      <c r="AM512" s="3">
        <f>IF(OR(V512="",V512=0),0,1)</f>
        <v/>
      </c>
      <c r="AN512" s="3">
        <f>IF(OR(E512="",F512=""),0,NETWORKDAYS(E512,F512,Ref!$K$2:$K$42))</f>
        <v/>
      </c>
      <c r="AO512" s="3">
        <f>IF(L512="Renewal",1,0)</f>
        <v/>
      </c>
      <c r="AP512" s="3">
        <f>AC512*AD512</f>
        <v/>
      </c>
      <c r="AQ512" s="3">
        <f>IF(AND(G512&lt;&gt;"",'Historical Score'!$C$6&lt;&gt;""),IF(G512='Historical Score'!$C$6,1,0),0)</f>
        <v/>
      </c>
      <c r="AR512" s="3">
        <f>IF(AND(L512&lt;&gt;"",'Historical Score'!$C$5&lt;&gt;""),IF(L512='Historical Score'!$C$5,1,0),0)</f>
        <v/>
      </c>
      <c r="AS512" s="3">
        <f>IF(AND(Y512&lt;&gt;"",'Historical Score'!$C$7&lt;&gt;""),IF(Y512='Historical Score'!$C$7,1,0),0)</f>
        <v/>
      </c>
      <c r="AT512" s="3">
        <f>IF(AND(K512&lt;&gt;"",'Historical Score'!$C$8&lt;&gt;""),IF(K512='Historical Score'!$C$8,1,0),0)</f>
        <v/>
      </c>
      <c r="AU512" s="3" t="n"/>
      <c r="AV512" s="3" t="n"/>
      <c r="AW512" s="3" t="n"/>
      <c r="AX512" s="3" t="n"/>
      <c r="AY512" s="3" t="n"/>
      <c r="AZ512" s="3" t="n"/>
      <c r="BA512" s="182">
        <f>IF(AD512=1,(AR512*'Historical Score'!$K$29+1-'Historical Score'!$K$29)*(AT512*'Historical Score'!$L$29+1-'Historical Score'!$L$29)*(AS512*'Historical Score'!$M$29+1-'Historical Score'!$M$29)*(AQ512*'Historical Score'!$N$29+1-'Historical Score'!$N$29),0)</f>
        <v/>
      </c>
      <c r="BB512" s="3" t="n"/>
      <c r="BC512" s="3" t="n"/>
    </row>
    <row r="513" ht="15.75" customHeight="1" s="174">
      <c r="A513" s="3" t="inlineStr">
        <is>
          <t>5674176005</t>
        </is>
      </c>
      <c r="B513" s="3" t="inlineStr">
        <is>
          <t>S&amp;D ELECTRIC</t>
        </is>
      </c>
      <c r="C513" s="3" t="inlineStr">
        <is>
          <t>S&amp;D Electric, LLC</t>
        </is>
      </c>
      <c r="D513" s="3" t="inlineStr">
        <is>
          <t>Legal</t>
        </is>
      </c>
      <c r="E513" s="23" t="n">
        <v>46030</v>
      </c>
      <c r="F513" s="23" t="n">
        <v>46128</v>
      </c>
      <c r="G513" s="3" t="n">
        <v>2</v>
      </c>
      <c r="H513" s="3" t="inlineStr">
        <is>
          <t>1731</t>
        </is>
      </c>
      <c r="I513" s="3" t="inlineStr">
        <is>
          <t>17</t>
        </is>
      </c>
      <c r="J513" s="3" t="inlineStr">
        <is>
          <t>No state</t>
        </is>
      </c>
      <c r="K513" s="3" t="inlineStr">
        <is>
          <t>ecp business capital</t>
        </is>
      </c>
      <c r="L513" s="3" t="inlineStr">
        <is>
          <t>New Deal</t>
        </is>
      </c>
      <c r="M513" s="3" t="n">
        <v>1.5</v>
      </c>
      <c r="N513" s="28" t="n">
        <v>150000</v>
      </c>
      <c r="O513" s="28" t="n">
        <v>21000</v>
      </c>
      <c r="P513" s="28" t="n">
        <v>225000</v>
      </c>
      <c r="Q513" s="28" t="n">
        <v>78903.96000000001</v>
      </c>
      <c r="R513" s="28" t="n">
        <v>146096.04</v>
      </c>
      <c r="S513" s="42" t="n">
        <v>0.350684266666667</v>
      </c>
      <c r="T513" s="3" t="n">
        <v>34</v>
      </c>
      <c r="U513" s="3" t="n">
        <v>2</v>
      </c>
      <c r="V513" s="3" t="n">
        <v>220278.97</v>
      </c>
      <c r="W513" s="42" t="n">
        <v>0.1194</v>
      </c>
      <c r="X513" s="23" t="n">
        <v>43817</v>
      </c>
      <c r="Y513" s="3">
        <f>IF(I513="","No SIC",IFERROR(VLOOKUP(I513,Ref!$A$2:$B$65,2,FALSE()),"Unclassified"))</f>
        <v/>
      </c>
      <c r="Z513" s="3">
        <f>IF(T513="","",IF(T513&lt;12,"Daily","Weekly"))</f>
        <v/>
      </c>
      <c r="AA513" s="3">
        <f>IF(T513="",0,IF(T513&lt;12,T513*Controls!$B$13,T513*5))</f>
        <v/>
      </c>
      <c r="AB513" s="3">
        <f>IF(E513="",0,NETWORKDAYS(E513,Controls!$B$20,Ref!$K$2:$K$42))</f>
        <v/>
      </c>
      <c r="AC513" s="3">
        <f>IF(OR(AF513=1,AND(AA513&gt;0,AB513&gt;=Controls!$B$23*AA513)),1,0)</f>
        <v/>
      </c>
      <c r="AD513" s="3">
        <f>IF(AND(E513&lt;&gt;"",E513&gt;=Controls!$B$21,E513&lt;=Controls!$B$22),1,0)</f>
        <v/>
      </c>
      <c r="AE513" s="3">
        <f>IF(IFERROR(VLOOKUP(D513,Controls!$A$36:$E$46,2,FALSE()),"No")="Yes",1,0)</f>
        <v/>
      </c>
      <c r="AF513" s="3">
        <f>IF(IFERROR(VLOOKUP(D513,Controls!$A$36:$E$46,3,FALSE()),"No")="Yes",1,0)</f>
        <v/>
      </c>
      <c r="AG513" s="3">
        <f>IF(IFERROR(VLOOKUP(D513,Controls!$A$36:$E$46,4,FALSE()),"No")="Yes",1,0)</f>
        <v/>
      </c>
      <c r="AH513" s="3">
        <f>IF(IFERROR(VLOOKUP(D513,Controls!$A$36:$E$46,5,FALSE()),"No")="Yes",1,0)</f>
        <v/>
      </c>
      <c r="AI513" s="3">
        <f>IF(ISNUMBER(MATCH(D513,Controls!$A$36:$A$46,0)),1,0)</f>
        <v/>
      </c>
      <c r="AJ513" s="28">
        <f>Q513-N513</f>
        <v/>
      </c>
      <c r="AK513" s="3">
        <f>IF(AE513=1,MAX(0,N513-Q513),0)</f>
        <v/>
      </c>
      <c r="AL513" s="3">
        <f>IF(OR(V513="",V513=0),0,N513/V513)</f>
        <v/>
      </c>
      <c r="AM513" s="3">
        <f>IF(OR(V513="",V513=0),0,1)</f>
        <v/>
      </c>
      <c r="AN513" s="3">
        <f>IF(OR(E513="",F513=""),0,NETWORKDAYS(E513,F513,Ref!$K$2:$K$42))</f>
        <v/>
      </c>
      <c r="AO513" s="3">
        <f>IF(L513="Renewal",1,0)</f>
        <v/>
      </c>
      <c r="AP513" s="3">
        <f>AC513*AD513</f>
        <v/>
      </c>
      <c r="AQ513" s="3">
        <f>IF(AND(G513&lt;&gt;"",'Historical Score'!$C$6&lt;&gt;""),IF(G513='Historical Score'!$C$6,1,0),0)</f>
        <v/>
      </c>
      <c r="AR513" s="3">
        <f>IF(AND(L513&lt;&gt;"",'Historical Score'!$C$5&lt;&gt;""),IF(L513='Historical Score'!$C$5,1,0),0)</f>
        <v/>
      </c>
      <c r="AS513" s="3">
        <f>IF(AND(Y513&lt;&gt;"",'Historical Score'!$C$7&lt;&gt;""),IF(Y513='Historical Score'!$C$7,1,0),0)</f>
        <v/>
      </c>
      <c r="AT513" s="3">
        <f>IF(AND(K513&lt;&gt;"",'Historical Score'!$C$8&lt;&gt;""),IF(K513='Historical Score'!$C$8,1,0),0)</f>
        <v/>
      </c>
      <c r="AU513" s="3" t="n"/>
      <c r="AV513" s="3" t="n"/>
      <c r="AW513" s="3" t="n"/>
      <c r="AX513" s="3" t="n"/>
      <c r="AY513" s="3" t="n"/>
      <c r="AZ513" s="3" t="n"/>
      <c r="BA513" s="182">
        <f>IF(AD513=1,(AR513*'Historical Score'!$K$29+1-'Historical Score'!$K$29)*(AT513*'Historical Score'!$L$29+1-'Historical Score'!$L$29)*(AS513*'Historical Score'!$M$29+1-'Historical Score'!$M$29)*(AQ513*'Historical Score'!$N$29+1-'Historical Score'!$N$29),0)</f>
        <v/>
      </c>
      <c r="BB513" s="3" t="n"/>
      <c r="BC513" s="3" t="n"/>
    </row>
    <row r="514" ht="15.75" customHeight="1" s="174">
      <c r="A514" s="3" t="inlineStr">
        <is>
          <t>5674176016</t>
        </is>
      </c>
      <c r="B514" s="3" t="inlineStr">
        <is>
          <t>CC REMODELING SERVICES INC</t>
        </is>
      </c>
      <c r="C514" s="3" t="inlineStr">
        <is>
          <t>CC REMODELING SERVICES INC</t>
        </is>
      </c>
      <c r="D514" s="3" t="inlineStr">
        <is>
          <t>In House Collection</t>
        </is>
      </c>
      <c r="E514" s="23" t="n">
        <v>46030</v>
      </c>
      <c r="F514" s="23" t="n">
        <v>46172</v>
      </c>
      <c r="G514" s="3" t="n">
        <v>2</v>
      </c>
      <c r="H514" s="3" t="inlineStr">
        <is>
          <t>1521</t>
        </is>
      </c>
      <c r="I514" s="3" t="inlineStr">
        <is>
          <t>15</t>
        </is>
      </c>
      <c r="J514" s="3" t="inlineStr">
        <is>
          <t>TN</t>
        </is>
      </c>
      <c r="K514" s="3" t="inlineStr">
        <is>
          <t>biz advance now</t>
        </is>
      </c>
      <c r="L514" s="3" t="inlineStr">
        <is>
          <t>Renewal</t>
        </is>
      </c>
      <c r="M514" s="3" t="n">
        <v>1.49</v>
      </c>
      <c r="N514" s="28" t="n">
        <v>20000</v>
      </c>
      <c r="O514" s="28" t="n">
        <v>2800</v>
      </c>
      <c r="P514" s="28" t="n">
        <v>29800</v>
      </c>
      <c r="Q514" s="28" t="n">
        <v>3538.75</v>
      </c>
      <c r="R514" s="28" t="n">
        <v>26261.25</v>
      </c>
      <c r="S514" s="42" t="n">
        <v>0.11875</v>
      </c>
      <c r="T514" s="3" t="n">
        <v>2.951</v>
      </c>
      <c r="U514" s="3" t="n">
        <v>5</v>
      </c>
      <c r="V514" s="3" t="n">
        <v>81491.69</v>
      </c>
      <c r="W514" s="42" t="n">
        <v>0.0853</v>
      </c>
      <c r="X514" s="23" t="n">
        <v>45292</v>
      </c>
      <c r="Y514" s="3">
        <f>IF(I514="","No SIC",IFERROR(VLOOKUP(I514,Ref!$A$2:$B$65,2,FALSE()),"Unclassified"))</f>
        <v/>
      </c>
      <c r="Z514" s="3">
        <f>IF(T514="","",IF(T514&lt;12,"Daily","Weekly"))</f>
        <v/>
      </c>
      <c r="AA514" s="3">
        <f>IF(T514="",0,IF(T514&lt;12,T514*Controls!$B$13,T514*5))</f>
        <v/>
      </c>
      <c r="AB514" s="3">
        <f>IF(E514="",0,NETWORKDAYS(E514,Controls!$B$20,Ref!$K$2:$K$42))</f>
        <v/>
      </c>
      <c r="AC514" s="3">
        <f>IF(OR(AF514=1,AND(AA514&gt;0,AB514&gt;=Controls!$B$23*AA514)),1,0)</f>
        <v/>
      </c>
      <c r="AD514" s="3">
        <f>IF(AND(E514&lt;&gt;"",E514&gt;=Controls!$B$21,E514&lt;=Controls!$B$22),1,0)</f>
        <v/>
      </c>
      <c r="AE514" s="3">
        <f>IF(IFERROR(VLOOKUP(D514,Controls!$A$36:$E$46,2,FALSE()),"No")="Yes",1,0)</f>
        <v/>
      </c>
      <c r="AF514" s="3">
        <f>IF(IFERROR(VLOOKUP(D514,Controls!$A$36:$E$46,3,FALSE()),"No")="Yes",1,0)</f>
        <v/>
      </c>
      <c r="AG514" s="3">
        <f>IF(IFERROR(VLOOKUP(D514,Controls!$A$36:$E$46,4,FALSE()),"No")="Yes",1,0)</f>
        <v/>
      </c>
      <c r="AH514" s="3">
        <f>IF(IFERROR(VLOOKUP(D514,Controls!$A$36:$E$46,5,FALSE()),"No")="Yes",1,0)</f>
        <v/>
      </c>
      <c r="AI514" s="3">
        <f>IF(ISNUMBER(MATCH(D514,Controls!$A$36:$A$46,0)),1,0)</f>
        <v/>
      </c>
      <c r="AJ514" s="28">
        <f>Q514-N514</f>
        <v/>
      </c>
      <c r="AK514" s="3">
        <f>IF(AE514=1,MAX(0,N514-Q514),0)</f>
        <v/>
      </c>
      <c r="AL514" s="3">
        <f>IF(OR(V514="",V514=0),0,N514/V514)</f>
        <v/>
      </c>
      <c r="AM514" s="3">
        <f>IF(OR(V514="",V514=0),0,1)</f>
        <v/>
      </c>
      <c r="AN514" s="3">
        <f>IF(OR(E514="",F514=""),0,NETWORKDAYS(E514,F514,Ref!$K$2:$K$42))</f>
        <v/>
      </c>
      <c r="AO514" s="3">
        <f>IF(L514="Renewal",1,0)</f>
        <v/>
      </c>
      <c r="AP514" s="3">
        <f>AC514*AD514</f>
        <v/>
      </c>
      <c r="AQ514" s="3">
        <f>IF(AND(G514&lt;&gt;"",'Historical Score'!$C$6&lt;&gt;""),IF(G514='Historical Score'!$C$6,1,0),0)</f>
        <v/>
      </c>
      <c r="AR514" s="3">
        <f>IF(AND(L514&lt;&gt;"",'Historical Score'!$C$5&lt;&gt;""),IF(L514='Historical Score'!$C$5,1,0),0)</f>
        <v/>
      </c>
      <c r="AS514" s="3">
        <f>IF(AND(Y514&lt;&gt;"",'Historical Score'!$C$7&lt;&gt;""),IF(Y514='Historical Score'!$C$7,1,0),0)</f>
        <v/>
      </c>
      <c r="AT514" s="3">
        <f>IF(AND(K514&lt;&gt;"",'Historical Score'!$C$8&lt;&gt;""),IF(K514='Historical Score'!$C$8,1,0),0)</f>
        <v/>
      </c>
      <c r="AU514" s="3" t="n"/>
      <c r="AV514" s="3" t="n"/>
      <c r="AW514" s="3" t="n"/>
      <c r="AX514" s="3" t="n"/>
      <c r="AY514" s="3" t="n"/>
      <c r="AZ514" s="3" t="n"/>
      <c r="BA514" s="182">
        <f>IF(AD514=1,(AR514*'Historical Score'!$K$29+1-'Historical Score'!$K$29)*(AT514*'Historical Score'!$L$29+1-'Historical Score'!$L$29)*(AS514*'Historical Score'!$M$29+1-'Historical Score'!$M$29)*(AQ514*'Historical Score'!$N$29+1-'Historical Score'!$N$29),0)</f>
        <v/>
      </c>
      <c r="BB514" s="3" t="n"/>
      <c r="BC514" s="3" t="n"/>
    </row>
    <row r="515" ht="15.75" customHeight="1" s="174">
      <c r="A515" s="3" t="inlineStr">
        <is>
          <t>5674176019</t>
        </is>
      </c>
      <c r="B515" s="3" t="inlineStr">
        <is>
          <t>A-1 CEMENT FINISHING &amp; BOBCAT WORK</t>
        </is>
      </c>
      <c r="C515" s="3" t="inlineStr">
        <is>
          <t>ALAN L LINDSEY</t>
        </is>
      </c>
      <c r="D515" s="3" t="inlineStr">
        <is>
          <t>Legal</t>
        </is>
      </c>
      <c r="E515" s="23" t="n">
        <v>46030</v>
      </c>
      <c r="F515" s="23" t="n">
        <v>46202</v>
      </c>
      <c r="G515" s="3" t="n">
        <v>2</v>
      </c>
      <c r="H515" s="3" t="n"/>
      <c r="I515" s="3" t="n"/>
      <c r="J515" s="3" t="inlineStr">
        <is>
          <t>GA</t>
        </is>
      </c>
      <c r="K515" s="3" t="inlineStr">
        <is>
          <t>Fundwell</t>
        </is>
      </c>
      <c r="L515" s="3" t="inlineStr">
        <is>
          <t>New Deal</t>
        </is>
      </c>
      <c r="M515" s="3" t="n">
        <v>1.49</v>
      </c>
      <c r="N515" s="28" t="n">
        <v>53000</v>
      </c>
      <c r="O515" s="28" t="n">
        <v>8745</v>
      </c>
      <c r="P515" s="28" t="n">
        <v>78970</v>
      </c>
      <c r="Q515" s="28" t="n">
        <v>15870.06</v>
      </c>
      <c r="R515" s="28" t="n">
        <v>63099.94</v>
      </c>
      <c r="S515" s="42" t="n">
        <v>0.200963150563505</v>
      </c>
      <c r="T515" s="3" t="n">
        <v>48</v>
      </c>
      <c r="U515" s="3" t="n">
        <v>1</v>
      </c>
      <c r="V515" s="3" t="n">
        <v>72387.47</v>
      </c>
      <c r="W515" s="42" t="n">
        <v>0.09089999999999999</v>
      </c>
      <c r="X515" s="23" t="n">
        <v>32748</v>
      </c>
      <c r="Y515" s="3">
        <f>IF(I515="","No SIC",IFERROR(VLOOKUP(I515,Ref!$A$2:$B$65,2,FALSE()),"Unclassified"))</f>
        <v/>
      </c>
      <c r="Z515" s="3">
        <f>IF(T515="","",IF(T515&lt;12,"Daily","Weekly"))</f>
        <v/>
      </c>
      <c r="AA515" s="3">
        <f>IF(T515="",0,IF(T515&lt;12,T515*Controls!$B$13,T515*5))</f>
        <v/>
      </c>
      <c r="AB515" s="3">
        <f>IF(E515="",0,NETWORKDAYS(E515,Controls!$B$20,Ref!$K$2:$K$42))</f>
        <v/>
      </c>
      <c r="AC515" s="3">
        <f>IF(OR(AF515=1,AND(AA515&gt;0,AB515&gt;=Controls!$B$23*AA515)),1,0)</f>
        <v/>
      </c>
      <c r="AD515" s="3">
        <f>IF(AND(E515&lt;&gt;"",E515&gt;=Controls!$B$21,E515&lt;=Controls!$B$22),1,0)</f>
        <v/>
      </c>
      <c r="AE515" s="3">
        <f>IF(IFERROR(VLOOKUP(D515,Controls!$A$36:$E$46,2,FALSE()),"No")="Yes",1,0)</f>
        <v/>
      </c>
      <c r="AF515" s="3">
        <f>IF(IFERROR(VLOOKUP(D515,Controls!$A$36:$E$46,3,FALSE()),"No")="Yes",1,0)</f>
        <v/>
      </c>
      <c r="AG515" s="3">
        <f>IF(IFERROR(VLOOKUP(D515,Controls!$A$36:$E$46,4,FALSE()),"No")="Yes",1,0)</f>
        <v/>
      </c>
      <c r="AH515" s="3">
        <f>IF(IFERROR(VLOOKUP(D515,Controls!$A$36:$E$46,5,FALSE()),"No")="Yes",1,0)</f>
        <v/>
      </c>
      <c r="AI515" s="3">
        <f>IF(ISNUMBER(MATCH(D515,Controls!$A$36:$A$46,0)),1,0)</f>
        <v/>
      </c>
      <c r="AJ515" s="28">
        <f>Q515-N515</f>
        <v/>
      </c>
      <c r="AK515" s="3">
        <f>IF(AE515=1,MAX(0,N515-Q515),0)</f>
        <v/>
      </c>
      <c r="AL515" s="3">
        <f>IF(OR(V515="",V515=0),0,N515/V515)</f>
        <v/>
      </c>
      <c r="AM515" s="3">
        <f>IF(OR(V515="",V515=0),0,1)</f>
        <v/>
      </c>
      <c r="AN515" s="3">
        <f>IF(OR(E515="",F515=""),0,NETWORKDAYS(E515,F515,Ref!$K$2:$K$42))</f>
        <v/>
      </c>
      <c r="AO515" s="3">
        <f>IF(L515="Renewal",1,0)</f>
        <v/>
      </c>
      <c r="AP515" s="3">
        <f>AC515*AD515</f>
        <v/>
      </c>
      <c r="AQ515" s="3">
        <f>IF(AND(G515&lt;&gt;"",'Historical Score'!$C$6&lt;&gt;""),IF(G515='Historical Score'!$C$6,1,0),0)</f>
        <v/>
      </c>
      <c r="AR515" s="3">
        <f>IF(AND(L515&lt;&gt;"",'Historical Score'!$C$5&lt;&gt;""),IF(L515='Historical Score'!$C$5,1,0),0)</f>
        <v/>
      </c>
      <c r="AS515" s="3">
        <f>IF(AND(Y515&lt;&gt;"",'Historical Score'!$C$7&lt;&gt;""),IF(Y515='Historical Score'!$C$7,1,0),0)</f>
        <v/>
      </c>
      <c r="AT515" s="3">
        <f>IF(AND(K515&lt;&gt;"",'Historical Score'!$C$8&lt;&gt;""),IF(K515='Historical Score'!$C$8,1,0),0)</f>
        <v/>
      </c>
      <c r="AU515" s="3" t="n"/>
      <c r="AV515" s="3" t="n"/>
      <c r="AW515" s="3" t="n"/>
      <c r="AX515" s="3" t="n"/>
      <c r="AY515" s="3" t="n"/>
      <c r="AZ515" s="3" t="n"/>
      <c r="BA515" s="182">
        <f>IF(AD515=1,(AR515*'Historical Score'!$K$29+1-'Historical Score'!$K$29)*(AT515*'Historical Score'!$L$29+1-'Historical Score'!$L$29)*(AS515*'Historical Score'!$M$29+1-'Historical Score'!$M$29)*(AQ515*'Historical Score'!$N$29+1-'Historical Score'!$N$29),0)</f>
        <v/>
      </c>
      <c r="BB515" s="3" t="n"/>
      <c r="BC515" s="3" t="n"/>
    </row>
    <row r="516" ht="15.75" customHeight="1" s="174">
      <c r="A516" s="3" t="inlineStr">
        <is>
          <t>5674176020</t>
        </is>
      </c>
      <c r="B516" s="3" t="inlineStr">
        <is>
          <t>SR UNBOUNDED</t>
        </is>
      </c>
      <c r="C516" s="3" t="inlineStr">
        <is>
          <t>SR UNBOUNDED</t>
        </is>
      </c>
      <c r="D516" s="3" t="inlineStr">
        <is>
          <t>Closed</t>
        </is>
      </c>
      <c r="E516" s="23" t="n">
        <v>46030</v>
      </c>
      <c r="F516" s="23" t="n">
        <v>46111</v>
      </c>
      <c r="G516" s="3" t="n">
        <v>4</v>
      </c>
      <c r="H516" s="3" t="inlineStr">
        <is>
          <t>5999</t>
        </is>
      </c>
      <c r="I516" s="3" t="inlineStr">
        <is>
          <t>59</t>
        </is>
      </c>
      <c r="J516" s="3" t="inlineStr">
        <is>
          <t>CA</t>
        </is>
      </c>
      <c r="K516" s="3" t="inlineStr">
        <is>
          <t>Shore Funding USA</t>
        </is>
      </c>
      <c r="L516" s="3" t="inlineStr">
        <is>
          <t>Renewal</t>
        </is>
      </c>
      <c r="M516" s="3" t="n">
        <v>1.49</v>
      </c>
      <c r="N516" s="28" t="n">
        <v>11000</v>
      </c>
      <c r="O516" s="28" t="n">
        <v>1540</v>
      </c>
      <c r="P516" s="28" t="n">
        <v>16390</v>
      </c>
      <c r="Q516" s="28" t="n">
        <v>16390</v>
      </c>
      <c r="R516" s="28" t="n">
        <v>0</v>
      </c>
      <c r="S516" s="42" t="n">
        <v>1</v>
      </c>
      <c r="T516" s="3" t="n">
        <v>2.623</v>
      </c>
      <c r="U516" s="3" t="n">
        <v>1</v>
      </c>
      <c r="V516" s="3" t="n">
        <v>18593.14</v>
      </c>
      <c r="W516" s="42" t="n">
        <v>0.2752</v>
      </c>
      <c r="X516" s="23" t="n">
        <v>43863</v>
      </c>
      <c r="Y516" s="3">
        <f>IF(I516="","No SIC",IFERROR(VLOOKUP(I516,Ref!$A$2:$B$65,2,FALSE()),"Unclassified"))</f>
        <v/>
      </c>
      <c r="Z516" s="3">
        <f>IF(T516="","",IF(T516&lt;12,"Daily","Weekly"))</f>
        <v/>
      </c>
      <c r="AA516" s="3">
        <f>IF(T516="",0,IF(T516&lt;12,T516*Controls!$B$13,T516*5))</f>
        <v/>
      </c>
      <c r="AB516" s="3">
        <f>IF(E516="",0,NETWORKDAYS(E516,Controls!$B$20,Ref!$K$2:$K$42))</f>
        <v/>
      </c>
      <c r="AC516" s="3">
        <f>IF(OR(AF516=1,AND(AA516&gt;0,AB516&gt;=Controls!$B$23*AA516)),1,0)</f>
        <v/>
      </c>
      <c r="AD516" s="3">
        <f>IF(AND(E516&lt;&gt;"",E516&gt;=Controls!$B$21,E516&lt;=Controls!$B$22),1,0)</f>
        <v/>
      </c>
      <c r="AE516" s="3">
        <f>IF(IFERROR(VLOOKUP(D516,Controls!$A$36:$E$46,2,FALSE()),"No")="Yes",1,0)</f>
        <v/>
      </c>
      <c r="AF516" s="3">
        <f>IF(IFERROR(VLOOKUP(D516,Controls!$A$36:$E$46,3,FALSE()),"No")="Yes",1,0)</f>
        <v/>
      </c>
      <c r="AG516" s="3">
        <f>IF(IFERROR(VLOOKUP(D516,Controls!$A$36:$E$46,4,FALSE()),"No")="Yes",1,0)</f>
        <v/>
      </c>
      <c r="AH516" s="3">
        <f>IF(IFERROR(VLOOKUP(D516,Controls!$A$36:$E$46,5,FALSE()),"No")="Yes",1,0)</f>
        <v/>
      </c>
      <c r="AI516" s="3">
        <f>IF(ISNUMBER(MATCH(D516,Controls!$A$36:$A$46,0)),1,0)</f>
        <v/>
      </c>
      <c r="AJ516" s="28">
        <f>Q516-N516</f>
        <v/>
      </c>
      <c r="AK516" s="3">
        <f>IF(AE516=1,MAX(0,N516-Q516),0)</f>
        <v/>
      </c>
      <c r="AL516" s="3">
        <f>IF(OR(V516="",V516=0),0,N516/V516)</f>
        <v/>
      </c>
      <c r="AM516" s="3">
        <f>IF(OR(V516="",V516=0),0,1)</f>
        <v/>
      </c>
      <c r="AN516" s="3">
        <f>IF(OR(E516="",F516=""),0,NETWORKDAYS(E516,F516,Ref!$K$2:$K$42))</f>
        <v/>
      </c>
      <c r="AO516" s="3">
        <f>IF(L516="Renewal",1,0)</f>
        <v/>
      </c>
      <c r="AP516" s="3">
        <f>AC516*AD516</f>
        <v/>
      </c>
      <c r="AQ516" s="3">
        <f>IF(AND(G516&lt;&gt;"",'Historical Score'!$C$6&lt;&gt;""),IF(G516='Historical Score'!$C$6,1,0),0)</f>
        <v/>
      </c>
      <c r="AR516" s="3">
        <f>IF(AND(L516&lt;&gt;"",'Historical Score'!$C$5&lt;&gt;""),IF(L516='Historical Score'!$C$5,1,0),0)</f>
        <v/>
      </c>
      <c r="AS516" s="3">
        <f>IF(AND(Y516&lt;&gt;"",'Historical Score'!$C$7&lt;&gt;""),IF(Y516='Historical Score'!$C$7,1,0),0)</f>
        <v/>
      </c>
      <c r="AT516" s="3">
        <f>IF(AND(K516&lt;&gt;"",'Historical Score'!$C$8&lt;&gt;""),IF(K516='Historical Score'!$C$8,1,0),0)</f>
        <v/>
      </c>
      <c r="AU516" s="3" t="n"/>
      <c r="AV516" s="3" t="n"/>
      <c r="AW516" s="3" t="n"/>
      <c r="AX516" s="3" t="n"/>
      <c r="AY516" s="3" t="n"/>
      <c r="AZ516" s="3" t="n"/>
      <c r="BA516" s="182">
        <f>IF(AD516=1,(AR516*'Historical Score'!$K$29+1-'Historical Score'!$K$29)*(AT516*'Historical Score'!$L$29+1-'Historical Score'!$L$29)*(AS516*'Historical Score'!$M$29+1-'Historical Score'!$M$29)*(AQ516*'Historical Score'!$N$29+1-'Historical Score'!$N$29),0)</f>
        <v/>
      </c>
      <c r="BB516" s="3" t="n"/>
      <c r="BC516" s="3" t="n"/>
    </row>
    <row r="517" ht="15.75" customHeight="1" s="174">
      <c r="A517" s="3" t="inlineStr">
        <is>
          <t>5674176053</t>
        </is>
      </c>
      <c r="B517" s="3" t="inlineStr">
        <is>
          <t>ANB PASTRY EMPIRE</t>
        </is>
      </c>
      <c r="C517" s="3" t="inlineStr">
        <is>
          <t>ANB PASTRY EMPIRE LLC</t>
        </is>
      </c>
      <c r="D517" s="3" t="inlineStr">
        <is>
          <t>Closed</t>
        </is>
      </c>
      <c r="E517" s="23" t="n">
        <v>46030</v>
      </c>
      <c r="F517" s="23" t="n">
        <v>46119</v>
      </c>
      <c r="G517" s="3" t="n">
        <v>2</v>
      </c>
      <c r="H517" s="3" t="inlineStr">
        <is>
          <t>5142</t>
        </is>
      </c>
      <c r="I517" s="3" t="inlineStr">
        <is>
          <t>51</t>
        </is>
      </c>
      <c r="J517" s="3" t="inlineStr">
        <is>
          <t>TX</t>
        </is>
      </c>
      <c r="K517" s="3" t="inlineStr">
        <is>
          <t>Fundwell</t>
        </is>
      </c>
      <c r="L517" s="3" t="inlineStr">
        <is>
          <t>New Deal</t>
        </is>
      </c>
      <c r="M517" s="3" t="n">
        <v>1.46</v>
      </c>
      <c r="N517" s="28" t="n">
        <v>8000</v>
      </c>
      <c r="O517" s="28" t="n">
        <v>1240</v>
      </c>
      <c r="P517" s="28" t="n">
        <v>11680</v>
      </c>
      <c r="Q517" s="28" t="n">
        <v>11680</v>
      </c>
      <c r="R517" s="28" t="n">
        <v>0</v>
      </c>
      <c r="S517" s="42" t="n">
        <v>1</v>
      </c>
      <c r="T517" s="3" t="n">
        <v>2.951</v>
      </c>
      <c r="U517" s="3" t="n">
        <v>1</v>
      </c>
      <c r="V517" s="3" t="n">
        <v>25456</v>
      </c>
      <c r="W517" s="42" t="n">
        <v>0.1205</v>
      </c>
      <c r="X517" s="23" t="n">
        <v>43623</v>
      </c>
      <c r="Y517" s="3">
        <f>IF(I517="","No SIC",IFERROR(VLOOKUP(I517,Ref!$A$2:$B$65,2,FALSE()),"Unclassified"))</f>
        <v/>
      </c>
      <c r="Z517" s="3">
        <f>IF(T517="","",IF(T517&lt;12,"Daily","Weekly"))</f>
        <v/>
      </c>
      <c r="AA517" s="3">
        <f>IF(T517="",0,IF(T517&lt;12,T517*Controls!$B$13,T517*5))</f>
        <v/>
      </c>
      <c r="AB517" s="3">
        <f>IF(E517="",0,NETWORKDAYS(E517,Controls!$B$20,Ref!$K$2:$K$42))</f>
        <v/>
      </c>
      <c r="AC517" s="3">
        <f>IF(OR(AF517=1,AND(AA517&gt;0,AB517&gt;=Controls!$B$23*AA517)),1,0)</f>
        <v/>
      </c>
      <c r="AD517" s="3">
        <f>IF(AND(E517&lt;&gt;"",E517&gt;=Controls!$B$21,E517&lt;=Controls!$B$22),1,0)</f>
        <v/>
      </c>
      <c r="AE517" s="3">
        <f>IF(IFERROR(VLOOKUP(D517,Controls!$A$36:$E$46,2,FALSE()),"No")="Yes",1,0)</f>
        <v/>
      </c>
      <c r="AF517" s="3">
        <f>IF(IFERROR(VLOOKUP(D517,Controls!$A$36:$E$46,3,FALSE()),"No")="Yes",1,0)</f>
        <v/>
      </c>
      <c r="AG517" s="3">
        <f>IF(IFERROR(VLOOKUP(D517,Controls!$A$36:$E$46,4,FALSE()),"No")="Yes",1,0)</f>
        <v/>
      </c>
      <c r="AH517" s="3">
        <f>IF(IFERROR(VLOOKUP(D517,Controls!$A$36:$E$46,5,FALSE()),"No")="Yes",1,0)</f>
        <v/>
      </c>
      <c r="AI517" s="3">
        <f>IF(ISNUMBER(MATCH(D517,Controls!$A$36:$A$46,0)),1,0)</f>
        <v/>
      </c>
      <c r="AJ517" s="28">
        <f>Q517-N517</f>
        <v/>
      </c>
      <c r="AK517" s="3">
        <f>IF(AE517=1,MAX(0,N517-Q517),0)</f>
        <v/>
      </c>
      <c r="AL517" s="3">
        <f>IF(OR(V517="",V517=0),0,N517/V517)</f>
        <v/>
      </c>
      <c r="AM517" s="3">
        <f>IF(OR(V517="",V517=0),0,1)</f>
        <v/>
      </c>
      <c r="AN517" s="3">
        <f>IF(OR(E517="",F517=""),0,NETWORKDAYS(E517,F517,Ref!$K$2:$K$42))</f>
        <v/>
      </c>
      <c r="AO517" s="3">
        <f>IF(L517="Renewal",1,0)</f>
        <v/>
      </c>
      <c r="AP517" s="3">
        <f>AC517*AD517</f>
        <v/>
      </c>
      <c r="AQ517" s="3">
        <f>IF(AND(G517&lt;&gt;"",'Historical Score'!$C$6&lt;&gt;""),IF(G517='Historical Score'!$C$6,1,0),0)</f>
        <v/>
      </c>
      <c r="AR517" s="3">
        <f>IF(AND(L517&lt;&gt;"",'Historical Score'!$C$5&lt;&gt;""),IF(L517='Historical Score'!$C$5,1,0),0)</f>
        <v/>
      </c>
      <c r="AS517" s="3">
        <f>IF(AND(Y517&lt;&gt;"",'Historical Score'!$C$7&lt;&gt;""),IF(Y517='Historical Score'!$C$7,1,0),0)</f>
        <v/>
      </c>
      <c r="AT517" s="3">
        <f>IF(AND(K517&lt;&gt;"",'Historical Score'!$C$8&lt;&gt;""),IF(K517='Historical Score'!$C$8,1,0),0)</f>
        <v/>
      </c>
      <c r="AU517" s="3" t="n"/>
      <c r="AV517" s="3" t="n"/>
      <c r="AW517" s="3" t="n"/>
      <c r="AX517" s="3" t="n"/>
      <c r="AY517" s="3" t="n"/>
      <c r="AZ517" s="3" t="n"/>
      <c r="BA517" s="182">
        <f>IF(AD517=1,(AR517*'Historical Score'!$K$29+1-'Historical Score'!$K$29)*(AT517*'Historical Score'!$L$29+1-'Historical Score'!$L$29)*(AS517*'Historical Score'!$M$29+1-'Historical Score'!$M$29)*(AQ517*'Historical Score'!$N$29+1-'Historical Score'!$N$29),0)</f>
        <v/>
      </c>
      <c r="BB517" s="3" t="n"/>
      <c r="BC517" s="3" t="n"/>
    </row>
    <row r="518" ht="15.75" customHeight="1" s="174">
      <c r="A518" s="3" t="inlineStr">
        <is>
          <t>5674176064</t>
        </is>
      </c>
      <c r="B518" s="3" t="inlineStr">
        <is>
          <t>KMT TRUCKING SERVICE LLC</t>
        </is>
      </c>
      <c r="C518" s="3" t="inlineStr">
        <is>
          <t>KMT TRUCKING SERVICE LLC</t>
        </is>
      </c>
      <c r="D518" s="3" t="inlineStr">
        <is>
          <t>Legal</t>
        </is>
      </c>
      <c r="E518" s="23" t="n">
        <v>46030</v>
      </c>
      <c r="F518" s="23" t="n">
        <v>46038</v>
      </c>
      <c r="G518" s="3" t="n">
        <v>3</v>
      </c>
      <c r="H518" s="3" t="inlineStr">
        <is>
          <t>4212</t>
        </is>
      </c>
      <c r="I518" s="3" t="inlineStr">
        <is>
          <t>42</t>
        </is>
      </c>
      <c r="J518" s="3" t="inlineStr">
        <is>
          <t>MS</t>
        </is>
      </c>
      <c r="K518" s="3" t="inlineStr">
        <is>
          <t>United Secured Capital 8</t>
        </is>
      </c>
      <c r="L518" s="3" t="inlineStr">
        <is>
          <t>New Deal</t>
        </is>
      </c>
      <c r="M518" s="3" t="n">
        <v>1.49</v>
      </c>
      <c r="N518" s="28" t="n">
        <v>10000</v>
      </c>
      <c r="O518" s="28" t="n">
        <v>0</v>
      </c>
      <c r="P518" s="28" t="n">
        <v>14900</v>
      </c>
      <c r="Q518" s="28" t="n">
        <v>992.92</v>
      </c>
      <c r="R518" s="28" t="n">
        <v>13907.08</v>
      </c>
      <c r="S518" s="42" t="n">
        <v>0.0666389261744966</v>
      </c>
      <c r="T518" s="3" t="n">
        <v>1.967</v>
      </c>
      <c r="U518" s="3" t="n">
        <v>2</v>
      </c>
      <c r="V518" s="3" t="n">
        <v>100449.21</v>
      </c>
      <c r="W518" s="42" t="n">
        <v>0.0447</v>
      </c>
      <c r="X518" s="23" t="n">
        <v>43101</v>
      </c>
      <c r="Y518" s="3">
        <f>IF(I518="","No SIC",IFERROR(VLOOKUP(I518,Ref!$A$2:$B$65,2,FALSE()),"Unclassified"))</f>
        <v/>
      </c>
      <c r="Z518" s="3">
        <f>IF(T518="","",IF(T518&lt;12,"Daily","Weekly"))</f>
        <v/>
      </c>
      <c r="AA518" s="3">
        <f>IF(T518="",0,IF(T518&lt;12,T518*Controls!$B$13,T518*5))</f>
        <v/>
      </c>
      <c r="AB518" s="3">
        <f>IF(E518="",0,NETWORKDAYS(E518,Controls!$B$20,Ref!$K$2:$K$42))</f>
        <v/>
      </c>
      <c r="AC518" s="3">
        <f>IF(OR(AF518=1,AND(AA518&gt;0,AB518&gt;=Controls!$B$23*AA518)),1,0)</f>
        <v/>
      </c>
      <c r="AD518" s="3">
        <f>IF(AND(E518&lt;&gt;"",E518&gt;=Controls!$B$21,E518&lt;=Controls!$B$22),1,0)</f>
        <v/>
      </c>
      <c r="AE518" s="3">
        <f>IF(IFERROR(VLOOKUP(D518,Controls!$A$36:$E$46,2,FALSE()),"No")="Yes",1,0)</f>
        <v/>
      </c>
      <c r="AF518" s="3">
        <f>IF(IFERROR(VLOOKUP(D518,Controls!$A$36:$E$46,3,FALSE()),"No")="Yes",1,0)</f>
        <v/>
      </c>
      <c r="AG518" s="3">
        <f>IF(IFERROR(VLOOKUP(D518,Controls!$A$36:$E$46,4,FALSE()),"No")="Yes",1,0)</f>
        <v/>
      </c>
      <c r="AH518" s="3">
        <f>IF(IFERROR(VLOOKUP(D518,Controls!$A$36:$E$46,5,FALSE()),"No")="Yes",1,0)</f>
        <v/>
      </c>
      <c r="AI518" s="3">
        <f>IF(ISNUMBER(MATCH(D518,Controls!$A$36:$A$46,0)),1,0)</f>
        <v/>
      </c>
      <c r="AJ518" s="28">
        <f>Q518-N518</f>
        <v/>
      </c>
      <c r="AK518" s="3">
        <f>IF(AE518=1,MAX(0,N518-Q518),0)</f>
        <v/>
      </c>
      <c r="AL518" s="3">
        <f>IF(OR(V518="",V518=0),0,N518/V518)</f>
        <v/>
      </c>
      <c r="AM518" s="3">
        <f>IF(OR(V518="",V518=0),0,1)</f>
        <v/>
      </c>
      <c r="AN518" s="3">
        <f>IF(OR(E518="",F518=""),0,NETWORKDAYS(E518,F518,Ref!$K$2:$K$42))</f>
        <v/>
      </c>
      <c r="AO518" s="3">
        <f>IF(L518="Renewal",1,0)</f>
        <v/>
      </c>
      <c r="AP518" s="3">
        <f>AC518*AD518</f>
        <v/>
      </c>
      <c r="AQ518" s="3">
        <f>IF(AND(G518&lt;&gt;"",'Historical Score'!$C$6&lt;&gt;""),IF(G518='Historical Score'!$C$6,1,0),0)</f>
        <v/>
      </c>
      <c r="AR518" s="3">
        <f>IF(AND(L518&lt;&gt;"",'Historical Score'!$C$5&lt;&gt;""),IF(L518='Historical Score'!$C$5,1,0),0)</f>
        <v/>
      </c>
      <c r="AS518" s="3">
        <f>IF(AND(Y518&lt;&gt;"",'Historical Score'!$C$7&lt;&gt;""),IF(Y518='Historical Score'!$C$7,1,0),0)</f>
        <v/>
      </c>
      <c r="AT518" s="3">
        <f>IF(AND(K518&lt;&gt;"",'Historical Score'!$C$8&lt;&gt;""),IF(K518='Historical Score'!$C$8,1,0),0)</f>
        <v/>
      </c>
      <c r="AU518" s="3" t="n"/>
      <c r="AV518" s="3" t="n"/>
      <c r="AW518" s="3" t="n"/>
      <c r="AX518" s="3" t="n"/>
      <c r="AY518" s="3" t="n"/>
      <c r="AZ518" s="3" t="n"/>
      <c r="BA518" s="182">
        <f>IF(AD518=1,(AR518*'Historical Score'!$K$29+1-'Historical Score'!$K$29)*(AT518*'Historical Score'!$L$29+1-'Historical Score'!$L$29)*(AS518*'Historical Score'!$M$29+1-'Historical Score'!$M$29)*(AQ518*'Historical Score'!$N$29+1-'Historical Score'!$N$29),0)</f>
        <v/>
      </c>
      <c r="BB518" s="3" t="n"/>
      <c r="BC518" s="3" t="n"/>
    </row>
    <row r="519" ht="15.75" customHeight="1" s="174">
      <c r="A519" s="3" t="inlineStr">
        <is>
          <t>5674176066</t>
        </is>
      </c>
      <c r="B519" s="3" t="inlineStr">
        <is>
          <t>TOMPKINS TRANSPORTATION</t>
        </is>
      </c>
      <c r="C519" s="3" t="inlineStr">
        <is>
          <t>TOMPKINS TRANSPORTATION LLC</t>
        </is>
      </c>
      <c r="D519" s="3" t="inlineStr">
        <is>
          <t>Bankruptcy</t>
        </is>
      </c>
      <c r="E519" s="23" t="n">
        <v>46030</v>
      </c>
      <c r="F519" s="23" t="n">
        <v>46052</v>
      </c>
      <c r="G519" s="3" t="n">
        <v>4</v>
      </c>
      <c r="H519" s="3" t="inlineStr">
        <is>
          <t>4212</t>
        </is>
      </c>
      <c r="I519" s="3" t="inlineStr">
        <is>
          <t>42</t>
        </is>
      </c>
      <c r="J519" s="3" t="inlineStr">
        <is>
          <t>VA</t>
        </is>
      </c>
      <c r="K519" s="3" t="inlineStr">
        <is>
          <t>MADVANCEGRP</t>
        </is>
      </c>
      <c r="L519" s="3" t="inlineStr">
        <is>
          <t>New Deal</t>
        </is>
      </c>
      <c r="M519" s="3" t="n">
        <v>1.49</v>
      </c>
      <c r="N519" s="28" t="n">
        <v>25000</v>
      </c>
      <c r="O519" s="28" t="n">
        <v>0</v>
      </c>
      <c r="P519" s="28" t="n">
        <v>37250</v>
      </c>
      <c r="Q519" s="28" t="n">
        <v>3102.18</v>
      </c>
      <c r="R519" s="28" t="n">
        <v>34147.82</v>
      </c>
      <c r="S519" s="42" t="n">
        <v>0.08328000000000001</v>
      </c>
      <c r="T519" s="3" t="n">
        <v>24</v>
      </c>
      <c r="U519" s="3" t="n">
        <v>1</v>
      </c>
      <c r="V519" s="3" t="n">
        <v>71976.14</v>
      </c>
      <c r="W519" s="42" t="n">
        <v>0.0862</v>
      </c>
      <c r="X519" s="23" t="n"/>
      <c r="Y519" s="3">
        <f>IF(I519="","No SIC",IFERROR(VLOOKUP(I519,Ref!$A$2:$B$65,2,FALSE()),"Unclassified"))</f>
        <v/>
      </c>
      <c r="Z519" s="3">
        <f>IF(T519="","",IF(T519&lt;12,"Daily","Weekly"))</f>
        <v/>
      </c>
      <c r="AA519" s="3">
        <f>IF(T519="",0,IF(T519&lt;12,T519*Controls!$B$13,T519*5))</f>
        <v/>
      </c>
      <c r="AB519" s="3">
        <f>IF(E519="",0,NETWORKDAYS(E519,Controls!$B$20,Ref!$K$2:$K$42))</f>
        <v/>
      </c>
      <c r="AC519" s="3">
        <f>IF(OR(AF519=1,AND(AA519&gt;0,AB519&gt;=Controls!$B$23*AA519)),1,0)</f>
        <v/>
      </c>
      <c r="AD519" s="3">
        <f>IF(AND(E519&lt;&gt;"",E519&gt;=Controls!$B$21,E519&lt;=Controls!$B$22),1,0)</f>
        <v/>
      </c>
      <c r="AE519" s="3">
        <f>IF(IFERROR(VLOOKUP(D519,Controls!$A$36:$E$46,2,FALSE()),"No")="Yes",1,0)</f>
        <v/>
      </c>
      <c r="AF519" s="3">
        <f>IF(IFERROR(VLOOKUP(D519,Controls!$A$36:$E$46,3,FALSE()),"No")="Yes",1,0)</f>
        <v/>
      </c>
      <c r="AG519" s="3">
        <f>IF(IFERROR(VLOOKUP(D519,Controls!$A$36:$E$46,4,FALSE()),"No")="Yes",1,0)</f>
        <v/>
      </c>
      <c r="AH519" s="3">
        <f>IF(IFERROR(VLOOKUP(D519,Controls!$A$36:$E$46,5,FALSE()),"No")="Yes",1,0)</f>
        <v/>
      </c>
      <c r="AI519" s="3">
        <f>IF(ISNUMBER(MATCH(D519,Controls!$A$36:$A$46,0)),1,0)</f>
        <v/>
      </c>
      <c r="AJ519" s="28">
        <f>Q519-N519</f>
        <v/>
      </c>
      <c r="AK519" s="3">
        <f>IF(AE519=1,MAX(0,N519-Q519),0)</f>
        <v/>
      </c>
      <c r="AL519" s="3">
        <f>IF(OR(V519="",V519=0),0,N519/V519)</f>
        <v/>
      </c>
      <c r="AM519" s="3">
        <f>IF(OR(V519="",V519=0),0,1)</f>
        <v/>
      </c>
      <c r="AN519" s="3">
        <f>IF(OR(E519="",F519=""),0,NETWORKDAYS(E519,F519,Ref!$K$2:$K$42))</f>
        <v/>
      </c>
      <c r="AO519" s="3">
        <f>IF(L519="Renewal",1,0)</f>
        <v/>
      </c>
      <c r="AP519" s="3">
        <f>AC519*AD519</f>
        <v/>
      </c>
      <c r="AQ519" s="3">
        <f>IF(AND(G519&lt;&gt;"",'Historical Score'!$C$6&lt;&gt;""),IF(G519='Historical Score'!$C$6,1,0),0)</f>
        <v/>
      </c>
      <c r="AR519" s="3">
        <f>IF(AND(L519&lt;&gt;"",'Historical Score'!$C$5&lt;&gt;""),IF(L519='Historical Score'!$C$5,1,0),0)</f>
        <v/>
      </c>
      <c r="AS519" s="3">
        <f>IF(AND(Y519&lt;&gt;"",'Historical Score'!$C$7&lt;&gt;""),IF(Y519='Historical Score'!$C$7,1,0),0)</f>
        <v/>
      </c>
      <c r="AT519" s="3">
        <f>IF(AND(K519&lt;&gt;"",'Historical Score'!$C$8&lt;&gt;""),IF(K519='Historical Score'!$C$8,1,0),0)</f>
        <v/>
      </c>
      <c r="AU519" s="3" t="n"/>
      <c r="AV519" s="3" t="n"/>
      <c r="AW519" s="3" t="n"/>
      <c r="AX519" s="3" t="n"/>
      <c r="AY519" s="3" t="n"/>
      <c r="AZ519" s="3" t="n"/>
      <c r="BA519" s="182">
        <f>IF(AD519=1,(AR519*'Historical Score'!$K$29+1-'Historical Score'!$K$29)*(AT519*'Historical Score'!$L$29+1-'Historical Score'!$L$29)*(AS519*'Historical Score'!$M$29+1-'Historical Score'!$M$29)*(AQ519*'Historical Score'!$N$29+1-'Historical Score'!$N$29),0)</f>
        <v/>
      </c>
      <c r="BB519" s="3" t="n"/>
      <c r="BC519" s="3" t="n"/>
    </row>
    <row r="520" ht="15.75" customHeight="1" s="174">
      <c r="A520" s="3" t="inlineStr">
        <is>
          <t>5674176109</t>
        </is>
      </c>
      <c r="B520" s="3" t="inlineStr">
        <is>
          <t>ImpactPro Parts &amp; Supply Inc</t>
        </is>
      </c>
      <c r="C520" s="3" t="inlineStr">
        <is>
          <t>WM Nohle Inc</t>
        </is>
      </c>
      <c r="D520" s="3" t="inlineStr">
        <is>
          <t>Legal</t>
        </is>
      </c>
      <c r="E520" s="23" t="n">
        <v>46031</v>
      </c>
      <c r="F520" s="23" t="n">
        <v>46065</v>
      </c>
      <c r="G520" s="3" t="n">
        <v>3</v>
      </c>
      <c r="H520" s="3" t="inlineStr">
        <is>
          <t>5531</t>
        </is>
      </c>
      <c r="I520" s="3" t="inlineStr">
        <is>
          <t>55</t>
        </is>
      </c>
      <c r="J520" s="3" t="inlineStr">
        <is>
          <t>VA</t>
        </is>
      </c>
      <c r="K520" s="3" t="inlineStr">
        <is>
          <t>Fundwell</t>
        </is>
      </c>
      <c r="L520" s="3" t="inlineStr">
        <is>
          <t>New Deal</t>
        </is>
      </c>
      <c r="M520" s="3" t="n">
        <v>1.41</v>
      </c>
      <c r="N520" s="28" t="n">
        <v>140000</v>
      </c>
      <c r="O520" s="28" t="n">
        <v>17500</v>
      </c>
      <c r="P520" s="28" t="n">
        <v>197400</v>
      </c>
      <c r="Q520" s="28" t="n">
        <v>13831.7</v>
      </c>
      <c r="R520" s="28" t="n">
        <v>183568.3</v>
      </c>
      <c r="S520" s="42" t="n">
        <v>0.0700694022289767</v>
      </c>
      <c r="T520" s="3" t="n">
        <v>32</v>
      </c>
      <c r="U520" s="3" t="n">
        <v>2</v>
      </c>
      <c r="V520" s="3" t="n">
        <v>285786.95</v>
      </c>
      <c r="W520" s="42" t="n">
        <v>0.0863</v>
      </c>
      <c r="X520" s="23" t="n">
        <v>43405</v>
      </c>
      <c r="Y520" s="3">
        <f>IF(I520="","No SIC",IFERROR(VLOOKUP(I520,Ref!$A$2:$B$65,2,FALSE()),"Unclassified"))</f>
        <v/>
      </c>
      <c r="Z520" s="3">
        <f>IF(T520="","",IF(T520&lt;12,"Daily","Weekly"))</f>
        <v/>
      </c>
      <c r="AA520" s="3">
        <f>IF(T520="",0,IF(T520&lt;12,T520*Controls!$B$13,T520*5))</f>
        <v/>
      </c>
      <c r="AB520" s="3">
        <f>IF(E520="",0,NETWORKDAYS(E520,Controls!$B$20,Ref!$K$2:$K$42))</f>
        <v/>
      </c>
      <c r="AC520" s="3">
        <f>IF(OR(AF520=1,AND(AA520&gt;0,AB520&gt;=Controls!$B$23*AA520)),1,0)</f>
        <v/>
      </c>
      <c r="AD520" s="3">
        <f>IF(AND(E520&lt;&gt;"",E520&gt;=Controls!$B$21,E520&lt;=Controls!$B$22),1,0)</f>
        <v/>
      </c>
      <c r="AE520" s="3">
        <f>IF(IFERROR(VLOOKUP(D520,Controls!$A$36:$E$46,2,FALSE()),"No")="Yes",1,0)</f>
        <v/>
      </c>
      <c r="AF520" s="3">
        <f>IF(IFERROR(VLOOKUP(D520,Controls!$A$36:$E$46,3,FALSE()),"No")="Yes",1,0)</f>
        <v/>
      </c>
      <c r="AG520" s="3">
        <f>IF(IFERROR(VLOOKUP(D520,Controls!$A$36:$E$46,4,FALSE()),"No")="Yes",1,0)</f>
        <v/>
      </c>
      <c r="AH520" s="3">
        <f>IF(IFERROR(VLOOKUP(D520,Controls!$A$36:$E$46,5,FALSE()),"No")="Yes",1,0)</f>
        <v/>
      </c>
      <c r="AI520" s="3">
        <f>IF(ISNUMBER(MATCH(D520,Controls!$A$36:$A$46,0)),1,0)</f>
        <v/>
      </c>
      <c r="AJ520" s="28">
        <f>Q520-N520</f>
        <v/>
      </c>
      <c r="AK520" s="3">
        <f>IF(AE520=1,MAX(0,N520-Q520),0)</f>
        <v/>
      </c>
      <c r="AL520" s="3">
        <f>IF(OR(V520="",V520=0),0,N520/V520)</f>
        <v/>
      </c>
      <c r="AM520" s="3">
        <f>IF(OR(V520="",V520=0),0,1)</f>
        <v/>
      </c>
      <c r="AN520" s="3">
        <f>IF(OR(E520="",F520=""),0,NETWORKDAYS(E520,F520,Ref!$K$2:$K$42))</f>
        <v/>
      </c>
      <c r="AO520" s="3">
        <f>IF(L520="Renewal",1,0)</f>
        <v/>
      </c>
      <c r="AP520" s="3">
        <f>AC520*AD520</f>
        <v/>
      </c>
      <c r="AQ520" s="3">
        <f>IF(AND(G520&lt;&gt;"",'Historical Score'!$C$6&lt;&gt;""),IF(G520='Historical Score'!$C$6,1,0),0)</f>
        <v/>
      </c>
      <c r="AR520" s="3">
        <f>IF(AND(L520&lt;&gt;"",'Historical Score'!$C$5&lt;&gt;""),IF(L520='Historical Score'!$C$5,1,0),0)</f>
        <v/>
      </c>
      <c r="AS520" s="3">
        <f>IF(AND(Y520&lt;&gt;"",'Historical Score'!$C$7&lt;&gt;""),IF(Y520='Historical Score'!$C$7,1,0),0)</f>
        <v/>
      </c>
      <c r="AT520" s="3">
        <f>IF(AND(K520&lt;&gt;"",'Historical Score'!$C$8&lt;&gt;""),IF(K520='Historical Score'!$C$8,1,0),0)</f>
        <v/>
      </c>
      <c r="AU520" s="3" t="n"/>
      <c r="AV520" s="3" t="n"/>
      <c r="AW520" s="3" t="n"/>
      <c r="AX520" s="3" t="n"/>
      <c r="AY520" s="3" t="n"/>
      <c r="AZ520" s="3" t="n"/>
      <c r="BA520" s="182">
        <f>IF(AD520=1,(AR520*'Historical Score'!$K$29+1-'Historical Score'!$K$29)*(AT520*'Historical Score'!$L$29+1-'Historical Score'!$L$29)*(AS520*'Historical Score'!$M$29+1-'Historical Score'!$M$29)*(AQ520*'Historical Score'!$N$29+1-'Historical Score'!$N$29),0)</f>
        <v/>
      </c>
      <c r="BB520" s="3" t="n"/>
      <c r="BC520" s="3" t="n"/>
    </row>
    <row r="521" ht="15.75" customHeight="1" s="174">
      <c r="A521" s="3" t="inlineStr">
        <is>
          <t>5674176146</t>
        </is>
      </c>
      <c r="B521" s="3" t="inlineStr">
        <is>
          <t>A &amp; F SERVICES</t>
        </is>
      </c>
      <c r="C521" s="3" t="inlineStr">
        <is>
          <t>I HAUL ASSOCIATES LLC</t>
        </is>
      </c>
      <c r="D521" s="3" t="inlineStr">
        <is>
          <t>Legal</t>
        </is>
      </c>
      <c r="E521" s="23" t="n">
        <v>46031</v>
      </c>
      <c r="F521" s="23" t="n">
        <v>46178</v>
      </c>
      <c r="G521" s="3" t="n">
        <v>4</v>
      </c>
      <c r="H521" s="3" t="inlineStr">
        <is>
          <t>4212</t>
        </is>
      </c>
      <c r="I521" s="3" t="inlineStr">
        <is>
          <t>42</t>
        </is>
      </c>
      <c r="J521" s="3" t="inlineStr">
        <is>
          <t>NJ</t>
        </is>
      </c>
      <c r="K521" s="3" t="inlineStr">
        <is>
          <t>United Secured Capital 8</t>
        </is>
      </c>
      <c r="L521" s="3" t="inlineStr">
        <is>
          <t>New Deal</t>
        </is>
      </c>
      <c r="M521" s="3" t="n">
        <v>1.49</v>
      </c>
      <c r="N521" s="28" t="n">
        <v>15000</v>
      </c>
      <c r="O521" s="28" t="n">
        <v>2100</v>
      </c>
      <c r="P521" s="28" t="n">
        <v>22350</v>
      </c>
      <c r="Q521" s="28" t="n">
        <v>18121.52</v>
      </c>
      <c r="R521" s="28" t="n">
        <v>4228.48</v>
      </c>
      <c r="S521" s="42" t="n">
        <v>0.810806263982103</v>
      </c>
      <c r="T521" s="3" t="n">
        <v>2.951</v>
      </c>
      <c r="U521" s="3" t="n">
        <v>29</v>
      </c>
      <c r="V521" s="3" t="n">
        <v>336326.24</v>
      </c>
      <c r="W521" s="42" t="n">
        <v>0.0155</v>
      </c>
      <c r="X521" s="23" t="n">
        <v>37155</v>
      </c>
      <c r="Y521" s="3">
        <f>IF(I521="","No SIC",IFERROR(VLOOKUP(I521,Ref!$A$2:$B$65,2,FALSE()),"Unclassified"))</f>
        <v/>
      </c>
      <c r="Z521" s="3">
        <f>IF(T521="","",IF(T521&lt;12,"Daily","Weekly"))</f>
        <v/>
      </c>
      <c r="AA521" s="3">
        <f>IF(T521="",0,IF(T521&lt;12,T521*Controls!$B$13,T521*5))</f>
        <v/>
      </c>
      <c r="AB521" s="3">
        <f>IF(E521="",0,NETWORKDAYS(E521,Controls!$B$20,Ref!$K$2:$K$42))</f>
        <v/>
      </c>
      <c r="AC521" s="3">
        <f>IF(OR(AF521=1,AND(AA521&gt;0,AB521&gt;=Controls!$B$23*AA521)),1,0)</f>
        <v/>
      </c>
      <c r="AD521" s="3">
        <f>IF(AND(E521&lt;&gt;"",E521&gt;=Controls!$B$21,E521&lt;=Controls!$B$22),1,0)</f>
        <v/>
      </c>
      <c r="AE521" s="3">
        <f>IF(IFERROR(VLOOKUP(D521,Controls!$A$36:$E$46,2,FALSE()),"No")="Yes",1,0)</f>
        <v/>
      </c>
      <c r="AF521" s="3">
        <f>IF(IFERROR(VLOOKUP(D521,Controls!$A$36:$E$46,3,FALSE()),"No")="Yes",1,0)</f>
        <v/>
      </c>
      <c r="AG521" s="3">
        <f>IF(IFERROR(VLOOKUP(D521,Controls!$A$36:$E$46,4,FALSE()),"No")="Yes",1,0)</f>
        <v/>
      </c>
      <c r="AH521" s="3">
        <f>IF(IFERROR(VLOOKUP(D521,Controls!$A$36:$E$46,5,FALSE()),"No")="Yes",1,0)</f>
        <v/>
      </c>
      <c r="AI521" s="3">
        <f>IF(ISNUMBER(MATCH(D521,Controls!$A$36:$A$46,0)),1,0)</f>
        <v/>
      </c>
      <c r="AJ521" s="28">
        <f>Q521-N521</f>
        <v/>
      </c>
      <c r="AK521" s="3">
        <f>IF(AE521=1,MAX(0,N521-Q521),0)</f>
        <v/>
      </c>
      <c r="AL521" s="3">
        <f>IF(OR(V521="",V521=0),0,N521/V521)</f>
        <v/>
      </c>
      <c r="AM521" s="3">
        <f>IF(OR(V521="",V521=0),0,1)</f>
        <v/>
      </c>
      <c r="AN521" s="3">
        <f>IF(OR(E521="",F521=""),0,NETWORKDAYS(E521,F521,Ref!$K$2:$K$42))</f>
        <v/>
      </c>
      <c r="AO521" s="3">
        <f>IF(L521="Renewal",1,0)</f>
        <v/>
      </c>
      <c r="AP521" s="3">
        <f>AC521*AD521</f>
        <v/>
      </c>
      <c r="AQ521" s="3">
        <f>IF(AND(G521&lt;&gt;"",'Historical Score'!$C$6&lt;&gt;""),IF(G521='Historical Score'!$C$6,1,0),0)</f>
        <v/>
      </c>
      <c r="AR521" s="3">
        <f>IF(AND(L521&lt;&gt;"",'Historical Score'!$C$5&lt;&gt;""),IF(L521='Historical Score'!$C$5,1,0),0)</f>
        <v/>
      </c>
      <c r="AS521" s="3">
        <f>IF(AND(Y521&lt;&gt;"",'Historical Score'!$C$7&lt;&gt;""),IF(Y521='Historical Score'!$C$7,1,0),0)</f>
        <v/>
      </c>
      <c r="AT521" s="3">
        <f>IF(AND(K521&lt;&gt;"",'Historical Score'!$C$8&lt;&gt;""),IF(K521='Historical Score'!$C$8,1,0),0)</f>
        <v/>
      </c>
      <c r="AU521" s="3" t="n"/>
      <c r="AV521" s="3" t="n"/>
      <c r="AW521" s="3" t="n"/>
      <c r="AX521" s="3" t="n"/>
      <c r="AY521" s="3" t="n"/>
      <c r="AZ521" s="3" t="n"/>
      <c r="BA521" s="182">
        <f>IF(AD521=1,(AR521*'Historical Score'!$K$29+1-'Historical Score'!$K$29)*(AT521*'Historical Score'!$L$29+1-'Historical Score'!$L$29)*(AS521*'Historical Score'!$M$29+1-'Historical Score'!$M$29)*(AQ521*'Historical Score'!$N$29+1-'Historical Score'!$N$29),0)</f>
        <v/>
      </c>
      <c r="BB521" s="3" t="n"/>
      <c r="BC521" s="3" t="n"/>
    </row>
    <row r="522" ht="15.75" customHeight="1" s="174">
      <c r="A522" s="3" t="inlineStr">
        <is>
          <t>5674176152</t>
        </is>
      </c>
      <c r="B522" s="3" t="inlineStr">
        <is>
          <t>QWIK PACK &amp; SHIP</t>
        </is>
      </c>
      <c r="C522" s="3" t="inlineStr">
        <is>
          <t>QWIK PACK &amp; SHIP USA, LLC</t>
        </is>
      </c>
      <c r="D522" s="3" t="inlineStr">
        <is>
          <t>Open</t>
        </is>
      </c>
      <c r="E522" s="23" t="n">
        <v>46031</v>
      </c>
      <c r="F522" s="23" t="n">
        <v>46248</v>
      </c>
      <c r="G522" s="3" t="n">
        <v>2</v>
      </c>
      <c r="H522" s="3" t="inlineStr">
        <is>
          <t>2752</t>
        </is>
      </c>
      <c r="I522" s="3" t="inlineStr">
        <is>
          <t>27</t>
        </is>
      </c>
      <c r="J522" s="3" t="inlineStr">
        <is>
          <t>GA</t>
        </is>
      </c>
      <c r="K522" s="3" t="inlineStr">
        <is>
          <t>Fundwell</t>
        </is>
      </c>
      <c r="L522" s="3" t="inlineStr">
        <is>
          <t>New Deal</t>
        </is>
      </c>
      <c r="M522" s="3" t="n">
        <v>1.4</v>
      </c>
      <c r="N522" s="28" t="n">
        <v>50000</v>
      </c>
      <c r="O522" s="28" t="n">
        <v>6750</v>
      </c>
      <c r="P522" s="28" t="n">
        <v>70000</v>
      </c>
      <c r="Q522" s="28" t="n">
        <v>45219.39</v>
      </c>
      <c r="R522" s="28" t="n">
        <v>24780.61</v>
      </c>
      <c r="S522" s="42" t="n">
        <v>0.645991285714286</v>
      </c>
      <c r="T522" s="3" t="n">
        <v>48</v>
      </c>
      <c r="U522" s="3" t="n">
        <v>0</v>
      </c>
      <c r="V522" s="3" t="n">
        <v>63628.77</v>
      </c>
      <c r="W522" s="42" t="n">
        <v>0.0917</v>
      </c>
      <c r="X522" s="23" t="n">
        <v>33377</v>
      </c>
      <c r="Y522" s="3">
        <f>IF(I522="","No SIC",IFERROR(VLOOKUP(I522,Ref!$A$2:$B$65,2,FALSE()),"Unclassified"))</f>
        <v/>
      </c>
      <c r="Z522" s="3">
        <f>IF(T522="","",IF(T522&lt;12,"Daily","Weekly"))</f>
        <v/>
      </c>
      <c r="AA522" s="3">
        <f>IF(T522="",0,IF(T522&lt;12,T522*Controls!$B$13,T522*5))</f>
        <v/>
      </c>
      <c r="AB522" s="3">
        <f>IF(E522="",0,NETWORKDAYS(E522,Controls!$B$20,Ref!$K$2:$K$42))</f>
        <v/>
      </c>
      <c r="AC522" s="3">
        <f>IF(OR(AF522=1,AND(AA522&gt;0,AB522&gt;=Controls!$B$23*AA522)),1,0)</f>
        <v/>
      </c>
      <c r="AD522" s="3">
        <f>IF(AND(E522&lt;&gt;"",E522&gt;=Controls!$B$21,E522&lt;=Controls!$B$22),1,0)</f>
        <v/>
      </c>
      <c r="AE522" s="3">
        <f>IF(IFERROR(VLOOKUP(D522,Controls!$A$36:$E$46,2,FALSE()),"No")="Yes",1,0)</f>
        <v/>
      </c>
      <c r="AF522" s="3">
        <f>IF(IFERROR(VLOOKUP(D522,Controls!$A$36:$E$46,3,FALSE()),"No")="Yes",1,0)</f>
        <v/>
      </c>
      <c r="AG522" s="3">
        <f>IF(IFERROR(VLOOKUP(D522,Controls!$A$36:$E$46,4,FALSE()),"No")="Yes",1,0)</f>
        <v/>
      </c>
      <c r="AH522" s="3">
        <f>IF(IFERROR(VLOOKUP(D522,Controls!$A$36:$E$46,5,FALSE()),"No")="Yes",1,0)</f>
        <v/>
      </c>
      <c r="AI522" s="3">
        <f>IF(ISNUMBER(MATCH(D522,Controls!$A$36:$A$46,0)),1,0)</f>
        <v/>
      </c>
      <c r="AJ522" s="28">
        <f>Q522-N522</f>
        <v/>
      </c>
      <c r="AK522" s="3">
        <f>IF(AE522=1,MAX(0,N522-Q522),0)</f>
        <v/>
      </c>
      <c r="AL522" s="3">
        <f>IF(OR(V522="",V522=0),0,N522/V522)</f>
        <v/>
      </c>
      <c r="AM522" s="3">
        <f>IF(OR(V522="",V522=0),0,1)</f>
        <v/>
      </c>
      <c r="AN522" s="3">
        <f>IF(OR(E522="",F522=""),0,NETWORKDAYS(E522,F522,Ref!$K$2:$K$42))</f>
        <v/>
      </c>
      <c r="AO522" s="3">
        <f>IF(L522="Renewal",1,0)</f>
        <v/>
      </c>
      <c r="AP522" s="3">
        <f>AC522*AD522</f>
        <v/>
      </c>
      <c r="AQ522" s="3">
        <f>IF(AND(G522&lt;&gt;"",'Historical Score'!$C$6&lt;&gt;""),IF(G522='Historical Score'!$C$6,1,0),0)</f>
        <v/>
      </c>
      <c r="AR522" s="3">
        <f>IF(AND(L522&lt;&gt;"",'Historical Score'!$C$5&lt;&gt;""),IF(L522='Historical Score'!$C$5,1,0),0)</f>
        <v/>
      </c>
      <c r="AS522" s="3">
        <f>IF(AND(Y522&lt;&gt;"",'Historical Score'!$C$7&lt;&gt;""),IF(Y522='Historical Score'!$C$7,1,0),0)</f>
        <v/>
      </c>
      <c r="AT522" s="3">
        <f>IF(AND(K522&lt;&gt;"",'Historical Score'!$C$8&lt;&gt;""),IF(K522='Historical Score'!$C$8,1,0),0)</f>
        <v/>
      </c>
      <c r="AU522" s="3" t="n"/>
      <c r="AV522" s="3" t="n"/>
      <c r="AW522" s="3" t="n"/>
      <c r="AX522" s="3" t="n"/>
      <c r="AY522" s="3" t="n"/>
      <c r="AZ522" s="3" t="n"/>
      <c r="BA522" s="182">
        <f>IF(AD522=1,(AR522*'Historical Score'!$K$29+1-'Historical Score'!$K$29)*(AT522*'Historical Score'!$L$29+1-'Historical Score'!$L$29)*(AS522*'Historical Score'!$M$29+1-'Historical Score'!$M$29)*(AQ522*'Historical Score'!$N$29+1-'Historical Score'!$N$29),0)</f>
        <v/>
      </c>
      <c r="BB522" s="3" t="n"/>
      <c r="BC522" s="3" t="n"/>
    </row>
    <row r="523" ht="15.75" customHeight="1" s="174">
      <c r="A523" s="3" t="inlineStr">
        <is>
          <t>5674176174</t>
        </is>
      </c>
      <c r="B523" s="3" t="inlineStr">
        <is>
          <t>LONDON'S LITTLE ANGELS LEARNING ACADEMY</t>
        </is>
      </c>
      <c r="C523" s="3" t="inlineStr">
        <is>
          <t>LONDON'S LITTLE ANGELS LEARNING ACADEMY INC</t>
        </is>
      </c>
      <c r="D523" s="3" t="inlineStr">
        <is>
          <t>Closed</t>
        </is>
      </c>
      <c r="E523" s="23" t="n">
        <v>46034</v>
      </c>
      <c r="F523" s="23" t="n">
        <v>46122</v>
      </c>
      <c r="G523" s="3" t="n">
        <v>4</v>
      </c>
      <c r="H523" s="3" t="inlineStr">
        <is>
          <t>8211</t>
        </is>
      </c>
      <c r="I523" s="3" t="inlineStr">
        <is>
          <t>82</t>
        </is>
      </c>
      <c r="J523" s="3" t="inlineStr">
        <is>
          <t>GA</t>
        </is>
      </c>
      <c r="K523" s="3" t="inlineStr">
        <is>
          <t>Ballicci</t>
        </is>
      </c>
      <c r="L523" s="3" t="inlineStr">
        <is>
          <t>New Deal</t>
        </is>
      </c>
      <c r="M523" s="3" t="n">
        <v>1.49</v>
      </c>
      <c r="N523" s="28" t="n">
        <v>15000</v>
      </c>
      <c r="O523" s="28" t="n">
        <v>2100</v>
      </c>
      <c r="P523" s="28" t="n">
        <v>22350</v>
      </c>
      <c r="Q523" s="28" t="n">
        <v>22350</v>
      </c>
      <c r="R523" s="28" t="n">
        <v>0</v>
      </c>
      <c r="S523" s="42" t="n">
        <v>1</v>
      </c>
      <c r="T523" s="3" t="n">
        <v>2.951</v>
      </c>
      <c r="U523" s="3" t="n">
        <v>0</v>
      </c>
      <c r="V523" s="3" t="n">
        <v>43810.35</v>
      </c>
      <c r="W523" s="42" t="n">
        <v>0.119</v>
      </c>
      <c r="X523" s="23" t="n">
        <v>43621</v>
      </c>
      <c r="Y523" s="3">
        <f>IF(I523="","No SIC",IFERROR(VLOOKUP(I523,Ref!$A$2:$B$65,2,FALSE()),"Unclassified"))</f>
        <v/>
      </c>
      <c r="Z523" s="3">
        <f>IF(T523="","",IF(T523&lt;12,"Daily","Weekly"))</f>
        <v/>
      </c>
      <c r="AA523" s="3">
        <f>IF(T523="",0,IF(T523&lt;12,T523*Controls!$B$13,T523*5))</f>
        <v/>
      </c>
      <c r="AB523" s="3">
        <f>IF(E523="",0,NETWORKDAYS(E523,Controls!$B$20,Ref!$K$2:$K$42))</f>
        <v/>
      </c>
      <c r="AC523" s="3">
        <f>IF(OR(AF523=1,AND(AA523&gt;0,AB523&gt;=Controls!$B$23*AA523)),1,0)</f>
        <v/>
      </c>
      <c r="AD523" s="3">
        <f>IF(AND(E523&lt;&gt;"",E523&gt;=Controls!$B$21,E523&lt;=Controls!$B$22),1,0)</f>
        <v/>
      </c>
      <c r="AE523" s="3">
        <f>IF(IFERROR(VLOOKUP(D523,Controls!$A$36:$E$46,2,FALSE()),"No")="Yes",1,0)</f>
        <v/>
      </c>
      <c r="AF523" s="3">
        <f>IF(IFERROR(VLOOKUP(D523,Controls!$A$36:$E$46,3,FALSE()),"No")="Yes",1,0)</f>
        <v/>
      </c>
      <c r="AG523" s="3">
        <f>IF(IFERROR(VLOOKUP(D523,Controls!$A$36:$E$46,4,FALSE()),"No")="Yes",1,0)</f>
        <v/>
      </c>
      <c r="AH523" s="3">
        <f>IF(IFERROR(VLOOKUP(D523,Controls!$A$36:$E$46,5,FALSE()),"No")="Yes",1,0)</f>
        <v/>
      </c>
      <c r="AI523" s="3">
        <f>IF(ISNUMBER(MATCH(D523,Controls!$A$36:$A$46,0)),1,0)</f>
        <v/>
      </c>
      <c r="AJ523" s="28">
        <f>Q523-N523</f>
        <v/>
      </c>
      <c r="AK523" s="3">
        <f>IF(AE523=1,MAX(0,N523-Q523),0)</f>
        <v/>
      </c>
      <c r="AL523" s="3">
        <f>IF(OR(V523="",V523=0),0,N523/V523)</f>
        <v/>
      </c>
      <c r="AM523" s="3">
        <f>IF(OR(V523="",V523=0),0,1)</f>
        <v/>
      </c>
      <c r="AN523" s="3">
        <f>IF(OR(E523="",F523=""),0,NETWORKDAYS(E523,F523,Ref!$K$2:$K$42))</f>
        <v/>
      </c>
      <c r="AO523" s="3">
        <f>IF(L523="Renewal",1,0)</f>
        <v/>
      </c>
      <c r="AP523" s="3">
        <f>AC523*AD523</f>
        <v/>
      </c>
      <c r="AQ523" s="3">
        <f>IF(AND(G523&lt;&gt;"",'Historical Score'!$C$6&lt;&gt;""),IF(G523='Historical Score'!$C$6,1,0),0)</f>
        <v/>
      </c>
      <c r="AR523" s="3">
        <f>IF(AND(L523&lt;&gt;"",'Historical Score'!$C$5&lt;&gt;""),IF(L523='Historical Score'!$C$5,1,0),0)</f>
        <v/>
      </c>
      <c r="AS523" s="3">
        <f>IF(AND(Y523&lt;&gt;"",'Historical Score'!$C$7&lt;&gt;""),IF(Y523='Historical Score'!$C$7,1,0),0)</f>
        <v/>
      </c>
      <c r="AT523" s="3">
        <f>IF(AND(K523&lt;&gt;"",'Historical Score'!$C$8&lt;&gt;""),IF(K523='Historical Score'!$C$8,1,0),0)</f>
        <v/>
      </c>
      <c r="AU523" s="3" t="n"/>
      <c r="AV523" s="3" t="n"/>
      <c r="AW523" s="3" t="n"/>
      <c r="AX523" s="3" t="n"/>
      <c r="AY523" s="3" t="n"/>
      <c r="AZ523" s="3" t="n"/>
      <c r="BA523" s="182">
        <f>IF(AD523=1,(AR523*'Historical Score'!$K$29+1-'Historical Score'!$K$29)*(AT523*'Historical Score'!$L$29+1-'Historical Score'!$L$29)*(AS523*'Historical Score'!$M$29+1-'Historical Score'!$M$29)*(AQ523*'Historical Score'!$N$29+1-'Historical Score'!$N$29),0)</f>
        <v/>
      </c>
      <c r="BB523" s="3" t="n"/>
      <c r="BC523" s="3" t="n"/>
    </row>
    <row r="524" ht="15.75" customHeight="1" s="174">
      <c r="A524" s="3" t="inlineStr">
        <is>
          <t>5674176222</t>
        </is>
      </c>
      <c r="B524" s="3" t="inlineStr">
        <is>
          <t>SAYRAS DBA JQ'S QUICK SHOPPE DBA RED AND WHITE DBA CORNER SHOPPE</t>
        </is>
      </c>
      <c r="C524" s="3" t="inlineStr">
        <is>
          <t>SAYRAS LLC</t>
        </is>
      </c>
      <c r="D524" s="3" t="inlineStr">
        <is>
          <t>Closed</t>
        </is>
      </c>
      <c r="E524" s="23" t="n">
        <v>46034</v>
      </c>
      <c r="F524" s="23" t="n">
        <v>46077</v>
      </c>
      <c r="G524" s="3" t="n">
        <v>3</v>
      </c>
      <c r="H524" s="3" t="inlineStr">
        <is>
          <t>5399</t>
        </is>
      </c>
      <c r="I524" s="3" t="inlineStr">
        <is>
          <t>53</t>
        </is>
      </c>
      <c r="J524" s="3" t="inlineStr">
        <is>
          <t>No state</t>
        </is>
      </c>
      <c r="K524" s="3" t="inlineStr">
        <is>
          <t>Amerishop Financial services</t>
        </is>
      </c>
      <c r="L524" s="3" t="inlineStr">
        <is>
          <t>New Deal</t>
        </is>
      </c>
      <c r="M524" s="3" t="n">
        <v>1.41556118</v>
      </c>
      <c r="N524" s="28" t="n">
        <v>85000</v>
      </c>
      <c r="O524" s="28" t="n">
        <v>11900</v>
      </c>
      <c r="P524" s="28" t="n">
        <v>120322.7003</v>
      </c>
      <c r="Q524" s="28" t="n">
        <v>120322.7</v>
      </c>
      <c r="R524" s="28" t="n">
        <v>0.000300000014249235</v>
      </c>
      <c r="S524" s="42" t="n">
        <v>0.999999997506705</v>
      </c>
      <c r="T524" s="3" t="n">
        <v>30</v>
      </c>
      <c r="U524" s="3" t="n">
        <v>0</v>
      </c>
      <c r="V524" s="3" t="n">
        <v>182358.15</v>
      </c>
      <c r="W524" s="42" t="n">
        <v>0.1003</v>
      </c>
      <c r="X524" s="23" t="n"/>
      <c r="Y524" s="3">
        <f>IF(I524="","No SIC",IFERROR(VLOOKUP(I524,Ref!$A$2:$B$65,2,FALSE()),"Unclassified"))</f>
        <v/>
      </c>
      <c r="Z524" s="3">
        <f>IF(T524="","",IF(T524&lt;12,"Daily","Weekly"))</f>
        <v/>
      </c>
      <c r="AA524" s="3">
        <f>IF(T524="",0,IF(T524&lt;12,T524*Controls!$B$13,T524*5))</f>
        <v/>
      </c>
      <c r="AB524" s="3">
        <f>IF(E524="",0,NETWORKDAYS(E524,Controls!$B$20,Ref!$K$2:$K$42))</f>
        <v/>
      </c>
      <c r="AC524" s="3">
        <f>IF(OR(AF524=1,AND(AA524&gt;0,AB524&gt;=Controls!$B$23*AA524)),1,0)</f>
        <v/>
      </c>
      <c r="AD524" s="3">
        <f>IF(AND(E524&lt;&gt;"",E524&gt;=Controls!$B$21,E524&lt;=Controls!$B$22),1,0)</f>
        <v/>
      </c>
      <c r="AE524" s="3">
        <f>IF(IFERROR(VLOOKUP(D524,Controls!$A$36:$E$46,2,FALSE()),"No")="Yes",1,0)</f>
        <v/>
      </c>
      <c r="AF524" s="3">
        <f>IF(IFERROR(VLOOKUP(D524,Controls!$A$36:$E$46,3,FALSE()),"No")="Yes",1,0)</f>
        <v/>
      </c>
      <c r="AG524" s="3">
        <f>IF(IFERROR(VLOOKUP(D524,Controls!$A$36:$E$46,4,FALSE()),"No")="Yes",1,0)</f>
        <v/>
      </c>
      <c r="AH524" s="3">
        <f>IF(IFERROR(VLOOKUP(D524,Controls!$A$36:$E$46,5,FALSE()),"No")="Yes",1,0)</f>
        <v/>
      </c>
      <c r="AI524" s="3">
        <f>IF(ISNUMBER(MATCH(D524,Controls!$A$36:$A$46,0)),1,0)</f>
        <v/>
      </c>
      <c r="AJ524" s="28">
        <f>Q524-N524</f>
        <v/>
      </c>
      <c r="AK524" s="3">
        <f>IF(AE524=1,MAX(0,N524-Q524),0)</f>
        <v/>
      </c>
      <c r="AL524" s="3">
        <f>IF(OR(V524="",V524=0),0,N524/V524)</f>
        <v/>
      </c>
      <c r="AM524" s="3">
        <f>IF(OR(V524="",V524=0),0,1)</f>
        <v/>
      </c>
      <c r="AN524" s="3">
        <f>IF(OR(E524="",F524=""),0,NETWORKDAYS(E524,F524,Ref!$K$2:$K$42))</f>
        <v/>
      </c>
      <c r="AO524" s="3">
        <f>IF(L524="Renewal",1,0)</f>
        <v/>
      </c>
      <c r="AP524" s="3">
        <f>AC524*AD524</f>
        <v/>
      </c>
      <c r="AQ524" s="3">
        <f>IF(AND(G524&lt;&gt;"",'Historical Score'!$C$6&lt;&gt;""),IF(G524='Historical Score'!$C$6,1,0),0)</f>
        <v/>
      </c>
      <c r="AR524" s="3">
        <f>IF(AND(L524&lt;&gt;"",'Historical Score'!$C$5&lt;&gt;""),IF(L524='Historical Score'!$C$5,1,0),0)</f>
        <v/>
      </c>
      <c r="AS524" s="3">
        <f>IF(AND(Y524&lt;&gt;"",'Historical Score'!$C$7&lt;&gt;""),IF(Y524='Historical Score'!$C$7,1,0),0)</f>
        <v/>
      </c>
      <c r="AT524" s="3">
        <f>IF(AND(K524&lt;&gt;"",'Historical Score'!$C$8&lt;&gt;""),IF(K524='Historical Score'!$C$8,1,0),0)</f>
        <v/>
      </c>
      <c r="AU524" s="3" t="n"/>
      <c r="AV524" s="3" t="n"/>
      <c r="AW524" s="3" t="n"/>
      <c r="AX524" s="3" t="n"/>
      <c r="AY524" s="3" t="n"/>
      <c r="AZ524" s="3" t="n"/>
      <c r="BA524" s="182">
        <f>IF(AD524=1,(AR524*'Historical Score'!$K$29+1-'Historical Score'!$K$29)*(AT524*'Historical Score'!$L$29+1-'Historical Score'!$L$29)*(AS524*'Historical Score'!$M$29+1-'Historical Score'!$M$29)*(AQ524*'Historical Score'!$N$29+1-'Historical Score'!$N$29),0)</f>
        <v/>
      </c>
      <c r="BB524" s="3" t="n"/>
      <c r="BC524" s="3" t="n"/>
    </row>
    <row r="525" ht="15.75" customHeight="1" s="174">
      <c r="A525" s="3" t="inlineStr">
        <is>
          <t>5674176242</t>
        </is>
      </c>
      <c r="B525" s="3" t="inlineStr">
        <is>
          <t>Hitaway Baseball Training LLC</t>
        </is>
      </c>
      <c r="C525" s="3" t="inlineStr">
        <is>
          <t>HITAWAY BASEBALL TRAINING LLC</t>
        </is>
      </c>
      <c r="D525" s="3" t="inlineStr">
        <is>
          <t>Lowered Payments</t>
        </is>
      </c>
      <c r="E525" s="23" t="n">
        <v>46034</v>
      </c>
      <c r="F525" s="23" t="n">
        <v>46253</v>
      </c>
      <c r="G525" s="3" t="n">
        <v>1</v>
      </c>
      <c r="H525" s="3" t="inlineStr">
        <is>
          <t>8331</t>
        </is>
      </c>
      <c r="I525" s="3" t="inlineStr">
        <is>
          <t>83</t>
        </is>
      </c>
      <c r="J525" s="3" t="inlineStr">
        <is>
          <t>TX</t>
        </is>
      </c>
      <c r="K525" s="3" t="inlineStr">
        <is>
          <t>Fundwell</t>
        </is>
      </c>
      <c r="L525" s="3" t="inlineStr">
        <is>
          <t>New Deal</t>
        </is>
      </c>
      <c r="M525" s="3" t="n">
        <v>1.49</v>
      </c>
      <c r="N525" s="28" t="n">
        <v>11000</v>
      </c>
      <c r="O525" s="28" t="n">
        <v>1815</v>
      </c>
      <c r="P525" s="28" t="n">
        <v>16390</v>
      </c>
      <c r="Q525" s="28" t="n">
        <v>14561.37</v>
      </c>
      <c r="R525" s="28" t="n">
        <v>1828.63</v>
      </c>
      <c r="S525" s="42" t="n">
        <v>0.888430140329469</v>
      </c>
      <c r="T525" s="3" t="n">
        <v>24</v>
      </c>
      <c r="U525" s="3" t="n">
        <v>12</v>
      </c>
      <c r="V525" s="3" t="n">
        <v>13828.3</v>
      </c>
      <c r="W525" s="42" t="n">
        <v>0.1975</v>
      </c>
      <c r="X525" s="23" t="n">
        <v>44835</v>
      </c>
      <c r="Y525" s="3">
        <f>IF(I525="","No SIC",IFERROR(VLOOKUP(I525,Ref!$A$2:$B$65,2,FALSE()),"Unclassified"))</f>
        <v/>
      </c>
      <c r="Z525" s="3">
        <f>IF(T525="","",IF(T525&lt;12,"Daily","Weekly"))</f>
        <v/>
      </c>
      <c r="AA525" s="3">
        <f>IF(T525="",0,IF(T525&lt;12,T525*Controls!$B$13,T525*5))</f>
        <v/>
      </c>
      <c r="AB525" s="3">
        <f>IF(E525="",0,NETWORKDAYS(E525,Controls!$B$20,Ref!$K$2:$K$42))</f>
        <v/>
      </c>
      <c r="AC525" s="3">
        <f>IF(OR(AF525=1,AND(AA525&gt;0,AB525&gt;=Controls!$B$23*AA525)),1,0)</f>
        <v/>
      </c>
      <c r="AD525" s="3">
        <f>IF(AND(E525&lt;&gt;"",E525&gt;=Controls!$B$21,E525&lt;=Controls!$B$22),1,0)</f>
        <v/>
      </c>
      <c r="AE525" s="3">
        <f>IF(IFERROR(VLOOKUP(D525,Controls!$A$36:$E$46,2,FALSE()),"No")="Yes",1,0)</f>
        <v/>
      </c>
      <c r="AF525" s="3">
        <f>IF(IFERROR(VLOOKUP(D525,Controls!$A$36:$E$46,3,FALSE()),"No")="Yes",1,0)</f>
        <v/>
      </c>
      <c r="AG525" s="3">
        <f>IF(IFERROR(VLOOKUP(D525,Controls!$A$36:$E$46,4,FALSE()),"No")="Yes",1,0)</f>
        <v/>
      </c>
      <c r="AH525" s="3">
        <f>IF(IFERROR(VLOOKUP(D525,Controls!$A$36:$E$46,5,FALSE()),"No")="Yes",1,0)</f>
        <v/>
      </c>
      <c r="AI525" s="3">
        <f>IF(ISNUMBER(MATCH(D525,Controls!$A$36:$A$46,0)),1,0)</f>
        <v/>
      </c>
      <c r="AJ525" s="28">
        <f>Q525-N525</f>
        <v/>
      </c>
      <c r="AK525" s="3">
        <f>IF(AE525=1,MAX(0,N525-Q525),0)</f>
        <v/>
      </c>
      <c r="AL525" s="3">
        <f>IF(OR(V525="",V525=0),0,N525/V525)</f>
        <v/>
      </c>
      <c r="AM525" s="3">
        <f>IF(OR(V525="",V525=0),0,1)</f>
        <v/>
      </c>
      <c r="AN525" s="3">
        <f>IF(OR(E525="",F525=""),0,NETWORKDAYS(E525,F525,Ref!$K$2:$K$42))</f>
        <v/>
      </c>
      <c r="AO525" s="3">
        <f>IF(L525="Renewal",1,0)</f>
        <v/>
      </c>
      <c r="AP525" s="3">
        <f>AC525*AD525</f>
        <v/>
      </c>
      <c r="AQ525" s="3">
        <f>IF(AND(G525&lt;&gt;"",'Historical Score'!$C$6&lt;&gt;""),IF(G525='Historical Score'!$C$6,1,0),0)</f>
        <v/>
      </c>
      <c r="AR525" s="3">
        <f>IF(AND(L525&lt;&gt;"",'Historical Score'!$C$5&lt;&gt;""),IF(L525='Historical Score'!$C$5,1,0),0)</f>
        <v/>
      </c>
      <c r="AS525" s="3">
        <f>IF(AND(Y525&lt;&gt;"",'Historical Score'!$C$7&lt;&gt;""),IF(Y525='Historical Score'!$C$7,1,0),0)</f>
        <v/>
      </c>
      <c r="AT525" s="3">
        <f>IF(AND(K525&lt;&gt;"",'Historical Score'!$C$8&lt;&gt;""),IF(K525='Historical Score'!$C$8,1,0),0)</f>
        <v/>
      </c>
      <c r="AU525" s="3" t="n"/>
      <c r="AV525" s="3" t="n"/>
      <c r="AW525" s="3" t="n"/>
      <c r="AX525" s="3" t="n"/>
      <c r="AY525" s="3" t="n"/>
      <c r="AZ525" s="3" t="n"/>
      <c r="BA525" s="182">
        <f>IF(AD525=1,(AR525*'Historical Score'!$K$29+1-'Historical Score'!$K$29)*(AT525*'Historical Score'!$L$29+1-'Historical Score'!$L$29)*(AS525*'Historical Score'!$M$29+1-'Historical Score'!$M$29)*(AQ525*'Historical Score'!$N$29+1-'Historical Score'!$N$29),0)</f>
        <v/>
      </c>
      <c r="BB525" s="3" t="n"/>
      <c r="BC525" s="3" t="n"/>
    </row>
    <row r="526" ht="15.75" customHeight="1" s="174">
      <c r="A526" s="3" t="inlineStr">
        <is>
          <t>5674176247</t>
        </is>
      </c>
      <c r="B526" s="3" t="inlineStr">
        <is>
          <t>US FOOD TRUCK FACTORY</t>
        </is>
      </c>
      <c r="C526" s="3" t="inlineStr">
        <is>
          <t>NORTHSTAR MILLENIUM LLC</t>
        </is>
      </c>
      <c r="D526" s="3" t="inlineStr">
        <is>
          <t>Lowered Payments</t>
        </is>
      </c>
      <c r="E526" s="23" t="n">
        <v>46034</v>
      </c>
      <c r="F526" s="23" t="n">
        <v>46248</v>
      </c>
      <c r="G526" s="3" t="n">
        <v>3</v>
      </c>
      <c r="H526" s="3" t="inlineStr">
        <is>
          <t>5812</t>
        </is>
      </c>
      <c r="I526" s="3" t="inlineStr">
        <is>
          <t>58</t>
        </is>
      </c>
      <c r="J526" s="3" t="inlineStr">
        <is>
          <t>No state</t>
        </is>
      </c>
      <c r="K526" s="3" t="inlineStr">
        <is>
          <t>Linked In Funding</t>
        </is>
      </c>
      <c r="L526" s="3" t="inlineStr">
        <is>
          <t>New Deal</t>
        </is>
      </c>
      <c r="M526" s="3" t="n">
        <v>1.44</v>
      </c>
      <c r="N526" s="28" t="n">
        <v>22000</v>
      </c>
      <c r="O526" s="28" t="n">
        <v>2530</v>
      </c>
      <c r="P526" s="28" t="n">
        <v>31680</v>
      </c>
      <c r="Q526" s="28" t="n">
        <v>14716.52</v>
      </c>
      <c r="R526" s="28" t="n">
        <v>16963.48</v>
      </c>
      <c r="S526" s="42" t="n">
        <v>0.464536616161616</v>
      </c>
      <c r="T526" s="3" t="n">
        <v>28</v>
      </c>
      <c r="U526" s="3" t="n">
        <v>7</v>
      </c>
      <c r="V526" s="3" t="n">
        <v>79721.31</v>
      </c>
      <c r="W526" s="42" t="n">
        <v>0.0568</v>
      </c>
      <c r="X526" s="23" t="n">
        <v>42449</v>
      </c>
      <c r="Y526" s="3">
        <f>IF(I526="","No SIC",IFERROR(VLOOKUP(I526,Ref!$A$2:$B$65,2,FALSE()),"Unclassified"))</f>
        <v/>
      </c>
      <c r="Z526" s="3">
        <f>IF(T526="","",IF(T526&lt;12,"Daily","Weekly"))</f>
        <v/>
      </c>
      <c r="AA526" s="3">
        <f>IF(T526="",0,IF(T526&lt;12,T526*Controls!$B$13,T526*5))</f>
        <v/>
      </c>
      <c r="AB526" s="3">
        <f>IF(E526="",0,NETWORKDAYS(E526,Controls!$B$20,Ref!$K$2:$K$42))</f>
        <v/>
      </c>
      <c r="AC526" s="3">
        <f>IF(OR(AF526=1,AND(AA526&gt;0,AB526&gt;=Controls!$B$23*AA526)),1,0)</f>
        <v/>
      </c>
      <c r="AD526" s="3">
        <f>IF(AND(E526&lt;&gt;"",E526&gt;=Controls!$B$21,E526&lt;=Controls!$B$22),1,0)</f>
        <v/>
      </c>
      <c r="AE526" s="3">
        <f>IF(IFERROR(VLOOKUP(D526,Controls!$A$36:$E$46,2,FALSE()),"No")="Yes",1,0)</f>
        <v/>
      </c>
      <c r="AF526" s="3">
        <f>IF(IFERROR(VLOOKUP(D526,Controls!$A$36:$E$46,3,FALSE()),"No")="Yes",1,0)</f>
        <v/>
      </c>
      <c r="AG526" s="3">
        <f>IF(IFERROR(VLOOKUP(D526,Controls!$A$36:$E$46,4,FALSE()),"No")="Yes",1,0)</f>
        <v/>
      </c>
      <c r="AH526" s="3">
        <f>IF(IFERROR(VLOOKUP(D526,Controls!$A$36:$E$46,5,FALSE()),"No")="Yes",1,0)</f>
        <v/>
      </c>
      <c r="AI526" s="3">
        <f>IF(ISNUMBER(MATCH(D526,Controls!$A$36:$A$46,0)),1,0)</f>
        <v/>
      </c>
      <c r="AJ526" s="28">
        <f>Q526-N526</f>
        <v/>
      </c>
      <c r="AK526" s="3">
        <f>IF(AE526=1,MAX(0,N526-Q526),0)</f>
        <v/>
      </c>
      <c r="AL526" s="3">
        <f>IF(OR(V526="",V526=0),0,N526/V526)</f>
        <v/>
      </c>
      <c r="AM526" s="3">
        <f>IF(OR(V526="",V526=0),0,1)</f>
        <v/>
      </c>
      <c r="AN526" s="3">
        <f>IF(OR(E526="",F526=""),0,NETWORKDAYS(E526,F526,Ref!$K$2:$K$42))</f>
        <v/>
      </c>
      <c r="AO526" s="3">
        <f>IF(L526="Renewal",1,0)</f>
        <v/>
      </c>
      <c r="AP526" s="3">
        <f>AC526*AD526</f>
        <v/>
      </c>
      <c r="AQ526" s="3">
        <f>IF(AND(G526&lt;&gt;"",'Historical Score'!$C$6&lt;&gt;""),IF(G526='Historical Score'!$C$6,1,0),0)</f>
        <v/>
      </c>
      <c r="AR526" s="3">
        <f>IF(AND(L526&lt;&gt;"",'Historical Score'!$C$5&lt;&gt;""),IF(L526='Historical Score'!$C$5,1,0),0)</f>
        <v/>
      </c>
      <c r="AS526" s="3">
        <f>IF(AND(Y526&lt;&gt;"",'Historical Score'!$C$7&lt;&gt;""),IF(Y526='Historical Score'!$C$7,1,0),0)</f>
        <v/>
      </c>
      <c r="AT526" s="3">
        <f>IF(AND(K526&lt;&gt;"",'Historical Score'!$C$8&lt;&gt;""),IF(K526='Historical Score'!$C$8,1,0),0)</f>
        <v/>
      </c>
      <c r="AU526" s="3" t="n"/>
      <c r="AV526" s="3" t="n"/>
      <c r="AW526" s="3" t="n"/>
      <c r="AX526" s="3" t="n"/>
      <c r="AY526" s="3" t="n"/>
      <c r="AZ526" s="3" t="n"/>
      <c r="BA526" s="182">
        <f>IF(AD526=1,(AR526*'Historical Score'!$K$29+1-'Historical Score'!$K$29)*(AT526*'Historical Score'!$L$29+1-'Historical Score'!$L$29)*(AS526*'Historical Score'!$M$29+1-'Historical Score'!$M$29)*(AQ526*'Historical Score'!$N$29+1-'Historical Score'!$N$29),0)</f>
        <v/>
      </c>
      <c r="BB526" s="3" t="n"/>
      <c r="BC526" s="3" t="n"/>
    </row>
    <row r="527" ht="15.75" customHeight="1" s="174">
      <c r="A527" s="3" t="inlineStr">
        <is>
          <t>5674176262</t>
        </is>
      </c>
      <c r="B527" s="3" t="inlineStr">
        <is>
          <t>Marcus, Fairall, Bristol + Co., PLLC</t>
        </is>
      </c>
      <c r="C527" s="3" t="inlineStr">
        <is>
          <t>Marcus, Fairall, Bristol + Co., PLLC</t>
        </is>
      </c>
      <c r="D527" s="3" t="inlineStr">
        <is>
          <t>Open</t>
        </is>
      </c>
      <c r="E527" s="23" t="n">
        <v>46034</v>
      </c>
      <c r="F527" s="23" t="n">
        <v>46251</v>
      </c>
      <c r="G527" s="3" t="n">
        <v>3</v>
      </c>
      <c r="H527" s="3" t="n"/>
      <c r="I527" s="3" t="n"/>
      <c r="J527" s="3" t="inlineStr">
        <is>
          <t>No state</t>
        </is>
      </c>
      <c r="K527" s="3" t="inlineStr">
        <is>
          <t>Fundwell</t>
        </is>
      </c>
      <c r="L527" s="3" t="inlineStr">
        <is>
          <t>New Deal</t>
        </is>
      </c>
      <c r="M527" s="3" t="n">
        <v>1.4</v>
      </c>
      <c r="N527" s="28" t="n">
        <v>30000</v>
      </c>
      <c r="O527" s="28" t="n">
        <v>4050</v>
      </c>
      <c r="P527" s="28" t="n">
        <v>42000</v>
      </c>
      <c r="Q527" s="28" t="n">
        <v>40685.64</v>
      </c>
      <c r="R527" s="28" t="n">
        <v>1314.36</v>
      </c>
      <c r="S527" s="42" t="n">
        <v>0.9687057142857139</v>
      </c>
      <c r="T527" s="3" t="n">
        <v>32</v>
      </c>
      <c r="U527" s="3" t="n">
        <v>0</v>
      </c>
      <c r="V527" s="3" t="n">
        <v>66468.22</v>
      </c>
      <c r="W527" s="42" t="n">
        <v>0.1026</v>
      </c>
      <c r="X527" s="23" t="n">
        <v>32994</v>
      </c>
      <c r="Y527" s="3">
        <f>IF(I527="","No SIC",IFERROR(VLOOKUP(I527,Ref!$A$2:$B$65,2,FALSE()),"Unclassified"))</f>
        <v/>
      </c>
      <c r="Z527" s="3">
        <f>IF(T527="","",IF(T527&lt;12,"Daily","Weekly"))</f>
        <v/>
      </c>
      <c r="AA527" s="3">
        <f>IF(T527="",0,IF(T527&lt;12,T527*Controls!$B$13,T527*5))</f>
        <v/>
      </c>
      <c r="AB527" s="3">
        <f>IF(E527="",0,NETWORKDAYS(E527,Controls!$B$20,Ref!$K$2:$K$42))</f>
        <v/>
      </c>
      <c r="AC527" s="3">
        <f>IF(OR(AF527=1,AND(AA527&gt;0,AB527&gt;=Controls!$B$23*AA527)),1,0)</f>
        <v/>
      </c>
      <c r="AD527" s="3">
        <f>IF(AND(E527&lt;&gt;"",E527&gt;=Controls!$B$21,E527&lt;=Controls!$B$22),1,0)</f>
        <v/>
      </c>
      <c r="AE527" s="3">
        <f>IF(IFERROR(VLOOKUP(D527,Controls!$A$36:$E$46,2,FALSE()),"No")="Yes",1,0)</f>
        <v/>
      </c>
      <c r="AF527" s="3">
        <f>IF(IFERROR(VLOOKUP(D527,Controls!$A$36:$E$46,3,FALSE()),"No")="Yes",1,0)</f>
        <v/>
      </c>
      <c r="AG527" s="3">
        <f>IF(IFERROR(VLOOKUP(D527,Controls!$A$36:$E$46,4,FALSE()),"No")="Yes",1,0)</f>
        <v/>
      </c>
      <c r="AH527" s="3">
        <f>IF(IFERROR(VLOOKUP(D527,Controls!$A$36:$E$46,5,FALSE()),"No")="Yes",1,0)</f>
        <v/>
      </c>
      <c r="AI527" s="3">
        <f>IF(ISNUMBER(MATCH(D527,Controls!$A$36:$A$46,0)),1,0)</f>
        <v/>
      </c>
      <c r="AJ527" s="28">
        <f>Q527-N527</f>
        <v/>
      </c>
      <c r="AK527" s="3">
        <f>IF(AE527=1,MAX(0,N527-Q527),0)</f>
        <v/>
      </c>
      <c r="AL527" s="3">
        <f>IF(OR(V527="",V527=0),0,N527/V527)</f>
        <v/>
      </c>
      <c r="AM527" s="3">
        <f>IF(OR(V527="",V527=0),0,1)</f>
        <v/>
      </c>
      <c r="AN527" s="3">
        <f>IF(OR(E527="",F527=""),0,NETWORKDAYS(E527,F527,Ref!$K$2:$K$42))</f>
        <v/>
      </c>
      <c r="AO527" s="3">
        <f>IF(L527="Renewal",1,0)</f>
        <v/>
      </c>
      <c r="AP527" s="3">
        <f>AC527*AD527</f>
        <v/>
      </c>
      <c r="AQ527" s="3">
        <f>IF(AND(G527&lt;&gt;"",'Historical Score'!$C$6&lt;&gt;""),IF(G527='Historical Score'!$C$6,1,0),0)</f>
        <v/>
      </c>
      <c r="AR527" s="3">
        <f>IF(AND(L527&lt;&gt;"",'Historical Score'!$C$5&lt;&gt;""),IF(L527='Historical Score'!$C$5,1,0),0)</f>
        <v/>
      </c>
      <c r="AS527" s="3">
        <f>IF(AND(Y527&lt;&gt;"",'Historical Score'!$C$7&lt;&gt;""),IF(Y527='Historical Score'!$C$7,1,0),0)</f>
        <v/>
      </c>
      <c r="AT527" s="3">
        <f>IF(AND(K527&lt;&gt;"",'Historical Score'!$C$8&lt;&gt;""),IF(K527='Historical Score'!$C$8,1,0),0)</f>
        <v/>
      </c>
      <c r="AU527" s="3" t="n"/>
      <c r="AV527" s="3" t="n"/>
      <c r="AW527" s="3" t="n"/>
      <c r="AX527" s="3" t="n"/>
      <c r="AY527" s="3" t="n"/>
      <c r="AZ527" s="3" t="n"/>
      <c r="BA527" s="182">
        <f>IF(AD527=1,(AR527*'Historical Score'!$K$29+1-'Historical Score'!$K$29)*(AT527*'Historical Score'!$L$29+1-'Historical Score'!$L$29)*(AS527*'Historical Score'!$M$29+1-'Historical Score'!$M$29)*(AQ527*'Historical Score'!$N$29+1-'Historical Score'!$N$29),0)</f>
        <v/>
      </c>
      <c r="BB527" s="3" t="n"/>
      <c r="BC527" s="3" t="n"/>
    </row>
    <row r="528" ht="15.75" customHeight="1" s="174">
      <c r="A528" s="3" t="inlineStr">
        <is>
          <t>5674176267</t>
        </is>
      </c>
      <c r="B528" s="3" t="inlineStr">
        <is>
          <t>HJM CONSTRUCTION DBA HOLLY SERVIN MBR</t>
        </is>
      </c>
      <c r="C528" s="3" t="inlineStr">
        <is>
          <t>HJM Construction LLC</t>
        </is>
      </c>
      <c r="D528" s="3" t="inlineStr">
        <is>
          <t>Legal</t>
        </is>
      </c>
      <c r="E528" s="23" t="n">
        <v>46035</v>
      </c>
      <c r="F528" s="23" t="n">
        <v>46218</v>
      </c>
      <c r="G528" s="3" t="n">
        <v>3</v>
      </c>
      <c r="H528" s="3" t="inlineStr">
        <is>
          <t>0781</t>
        </is>
      </c>
      <c r="I528" s="3" t="inlineStr">
        <is>
          <t>07</t>
        </is>
      </c>
      <c r="J528" s="3" t="inlineStr">
        <is>
          <t>TX</t>
        </is>
      </c>
      <c r="K528" s="3" t="inlineStr">
        <is>
          <t>ecp business capital</t>
        </is>
      </c>
      <c r="L528" s="3" t="inlineStr">
        <is>
          <t>New Deal</t>
        </is>
      </c>
      <c r="M528" s="3" t="n">
        <v>1.49</v>
      </c>
      <c r="N528" s="28" t="n">
        <v>105000</v>
      </c>
      <c r="O528" s="28" t="n">
        <v>14700</v>
      </c>
      <c r="P528" s="28" t="n">
        <v>156450</v>
      </c>
      <c r="Q528" s="28" t="n">
        <v>108640</v>
      </c>
      <c r="R528" s="28" t="n">
        <v>47810</v>
      </c>
      <c r="S528" s="42" t="n">
        <v>0.694407158836689</v>
      </c>
      <c r="T528" s="3" t="n">
        <v>36</v>
      </c>
      <c r="U528" s="3" t="n">
        <v>1</v>
      </c>
      <c r="V528" s="3" t="n">
        <v>256000.15</v>
      </c>
      <c r="W528" s="42" t="n">
        <v>0.0679</v>
      </c>
      <c r="X528" s="23" t="n">
        <v>43604</v>
      </c>
      <c r="Y528" s="3">
        <f>IF(I528="","No SIC",IFERROR(VLOOKUP(I528,Ref!$A$2:$B$65,2,FALSE()),"Unclassified"))</f>
        <v/>
      </c>
      <c r="Z528" s="3">
        <f>IF(T528="","",IF(T528&lt;12,"Daily","Weekly"))</f>
        <v/>
      </c>
      <c r="AA528" s="3">
        <f>IF(T528="",0,IF(T528&lt;12,T528*Controls!$B$13,T528*5))</f>
        <v/>
      </c>
      <c r="AB528" s="3">
        <f>IF(E528="",0,NETWORKDAYS(E528,Controls!$B$20,Ref!$K$2:$K$42))</f>
        <v/>
      </c>
      <c r="AC528" s="3">
        <f>IF(OR(AF528=1,AND(AA528&gt;0,AB528&gt;=Controls!$B$23*AA528)),1,0)</f>
        <v/>
      </c>
      <c r="AD528" s="3">
        <f>IF(AND(E528&lt;&gt;"",E528&gt;=Controls!$B$21,E528&lt;=Controls!$B$22),1,0)</f>
        <v/>
      </c>
      <c r="AE528" s="3">
        <f>IF(IFERROR(VLOOKUP(D528,Controls!$A$36:$E$46,2,FALSE()),"No")="Yes",1,0)</f>
        <v/>
      </c>
      <c r="AF528" s="3">
        <f>IF(IFERROR(VLOOKUP(D528,Controls!$A$36:$E$46,3,FALSE()),"No")="Yes",1,0)</f>
        <v/>
      </c>
      <c r="AG528" s="3">
        <f>IF(IFERROR(VLOOKUP(D528,Controls!$A$36:$E$46,4,FALSE()),"No")="Yes",1,0)</f>
        <v/>
      </c>
      <c r="AH528" s="3">
        <f>IF(IFERROR(VLOOKUP(D528,Controls!$A$36:$E$46,5,FALSE()),"No")="Yes",1,0)</f>
        <v/>
      </c>
      <c r="AI528" s="3">
        <f>IF(ISNUMBER(MATCH(D528,Controls!$A$36:$A$46,0)),1,0)</f>
        <v/>
      </c>
      <c r="AJ528" s="28">
        <f>Q528-N528</f>
        <v/>
      </c>
      <c r="AK528" s="3">
        <f>IF(AE528=1,MAX(0,N528-Q528),0)</f>
        <v/>
      </c>
      <c r="AL528" s="3">
        <f>IF(OR(V528="",V528=0),0,N528/V528)</f>
        <v/>
      </c>
      <c r="AM528" s="3">
        <f>IF(OR(V528="",V528=0),0,1)</f>
        <v/>
      </c>
      <c r="AN528" s="3">
        <f>IF(OR(E528="",F528=""),0,NETWORKDAYS(E528,F528,Ref!$K$2:$K$42))</f>
        <v/>
      </c>
      <c r="AO528" s="3">
        <f>IF(L528="Renewal",1,0)</f>
        <v/>
      </c>
      <c r="AP528" s="3">
        <f>AC528*AD528</f>
        <v/>
      </c>
      <c r="AQ528" s="3">
        <f>IF(AND(G528&lt;&gt;"",'Historical Score'!$C$6&lt;&gt;""),IF(G528='Historical Score'!$C$6,1,0),0)</f>
        <v/>
      </c>
      <c r="AR528" s="3">
        <f>IF(AND(L528&lt;&gt;"",'Historical Score'!$C$5&lt;&gt;""),IF(L528='Historical Score'!$C$5,1,0),0)</f>
        <v/>
      </c>
      <c r="AS528" s="3">
        <f>IF(AND(Y528&lt;&gt;"",'Historical Score'!$C$7&lt;&gt;""),IF(Y528='Historical Score'!$C$7,1,0),0)</f>
        <v/>
      </c>
      <c r="AT528" s="3">
        <f>IF(AND(K528&lt;&gt;"",'Historical Score'!$C$8&lt;&gt;""),IF(K528='Historical Score'!$C$8,1,0),0)</f>
        <v/>
      </c>
      <c r="AU528" s="3" t="n"/>
      <c r="AV528" s="3" t="n"/>
      <c r="AW528" s="3" t="n"/>
      <c r="AX528" s="3" t="n"/>
      <c r="AY528" s="3" t="n"/>
      <c r="AZ528" s="3" t="n"/>
      <c r="BA528" s="182">
        <f>IF(AD528=1,(AR528*'Historical Score'!$K$29+1-'Historical Score'!$K$29)*(AT528*'Historical Score'!$L$29+1-'Historical Score'!$L$29)*(AS528*'Historical Score'!$M$29+1-'Historical Score'!$M$29)*(AQ528*'Historical Score'!$N$29+1-'Historical Score'!$N$29),0)</f>
        <v/>
      </c>
      <c r="BB528" s="3" t="n"/>
      <c r="BC528" s="3" t="n"/>
    </row>
    <row r="529" ht="15.75" customHeight="1" s="174">
      <c r="A529" s="3" t="inlineStr">
        <is>
          <t>5674176304</t>
        </is>
      </c>
      <c r="B529" s="3" t="inlineStr">
        <is>
          <t>BLUEPRINT GLOBAL USA, LLC</t>
        </is>
      </c>
      <c r="C529" s="3" t="inlineStr">
        <is>
          <t>BLUEPRINT GLOBAL USA, LLC</t>
        </is>
      </c>
      <c r="D529" s="3" t="inlineStr">
        <is>
          <t>Open</t>
        </is>
      </c>
      <c r="E529" s="23" t="n">
        <v>46035</v>
      </c>
      <c r="F529" s="23" t="n">
        <v>46248</v>
      </c>
      <c r="G529" s="3" t="n">
        <v>1</v>
      </c>
      <c r="H529" s="3" t="inlineStr">
        <is>
          <t>1629</t>
        </is>
      </c>
      <c r="I529" s="3" t="inlineStr">
        <is>
          <t>16</t>
        </is>
      </c>
      <c r="J529" s="3" t="inlineStr">
        <is>
          <t>TX</t>
        </is>
      </c>
      <c r="K529" s="3" t="inlineStr">
        <is>
          <t>Fundwell</t>
        </is>
      </c>
      <c r="L529" s="3" t="inlineStr">
        <is>
          <t>New Deal</t>
        </is>
      </c>
      <c r="M529" s="3" t="n">
        <v>1.38</v>
      </c>
      <c r="N529" s="28" t="n">
        <v>150000</v>
      </c>
      <c r="O529" s="28" t="n">
        <v>17250</v>
      </c>
      <c r="P529" s="28" t="n">
        <v>207000</v>
      </c>
      <c r="Q529" s="28" t="n">
        <v>119389.2</v>
      </c>
      <c r="R529" s="28" t="n">
        <v>87610.8</v>
      </c>
      <c r="S529" s="42" t="n">
        <v>0.5767594202898551</v>
      </c>
      <c r="T529" s="3" t="n">
        <v>52</v>
      </c>
      <c r="U529" s="3" t="n">
        <v>0</v>
      </c>
      <c r="V529" s="3" t="n">
        <v>329576.44</v>
      </c>
      <c r="W529" s="42" t="n">
        <v>0.0483</v>
      </c>
      <c r="X529" s="23" t="n">
        <v>43574</v>
      </c>
      <c r="Y529" s="3">
        <f>IF(I529="","No SIC",IFERROR(VLOOKUP(I529,Ref!$A$2:$B$65,2,FALSE()),"Unclassified"))</f>
        <v/>
      </c>
      <c r="Z529" s="3">
        <f>IF(T529="","",IF(T529&lt;12,"Daily","Weekly"))</f>
        <v/>
      </c>
      <c r="AA529" s="3">
        <f>IF(T529="",0,IF(T529&lt;12,T529*Controls!$B$13,T529*5))</f>
        <v/>
      </c>
      <c r="AB529" s="3">
        <f>IF(E529="",0,NETWORKDAYS(E529,Controls!$B$20,Ref!$K$2:$K$42))</f>
        <v/>
      </c>
      <c r="AC529" s="3">
        <f>IF(OR(AF529=1,AND(AA529&gt;0,AB529&gt;=Controls!$B$23*AA529)),1,0)</f>
        <v/>
      </c>
      <c r="AD529" s="3">
        <f>IF(AND(E529&lt;&gt;"",E529&gt;=Controls!$B$21,E529&lt;=Controls!$B$22),1,0)</f>
        <v/>
      </c>
      <c r="AE529" s="3">
        <f>IF(IFERROR(VLOOKUP(D529,Controls!$A$36:$E$46,2,FALSE()),"No")="Yes",1,0)</f>
        <v/>
      </c>
      <c r="AF529" s="3">
        <f>IF(IFERROR(VLOOKUP(D529,Controls!$A$36:$E$46,3,FALSE()),"No")="Yes",1,0)</f>
        <v/>
      </c>
      <c r="AG529" s="3">
        <f>IF(IFERROR(VLOOKUP(D529,Controls!$A$36:$E$46,4,FALSE()),"No")="Yes",1,0)</f>
        <v/>
      </c>
      <c r="AH529" s="3">
        <f>IF(IFERROR(VLOOKUP(D529,Controls!$A$36:$E$46,5,FALSE()),"No")="Yes",1,0)</f>
        <v/>
      </c>
      <c r="AI529" s="3">
        <f>IF(ISNUMBER(MATCH(D529,Controls!$A$36:$A$46,0)),1,0)</f>
        <v/>
      </c>
      <c r="AJ529" s="28">
        <f>Q529-N529</f>
        <v/>
      </c>
      <c r="AK529" s="3">
        <f>IF(AE529=1,MAX(0,N529-Q529),0)</f>
        <v/>
      </c>
      <c r="AL529" s="3">
        <f>IF(OR(V529="",V529=0),0,N529/V529)</f>
        <v/>
      </c>
      <c r="AM529" s="3">
        <f>IF(OR(V529="",V529=0),0,1)</f>
        <v/>
      </c>
      <c r="AN529" s="3">
        <f>IF(OR(E529="",F529=""),0,NETWORKDAYS(E529,F529,Ref!$K$2:$K$42))</f>
        <v/>
      </c>
      <c r="AO529" s="3">
        <f>IF(L529="Renewal",1,0)</f>
        <v/>
      </c>
      <c r="AP529" s="3">
        <f>AC529*AD529</f>
        <v/>
      </c>
      <c r="AQ529" s="3">
        <f>IF(AND(G529&lt;&gt;"",'Historical Score'!$C$6&lt;&gt;""),IF(G529='Historical Score'!$C$6,1,0),0)</f>
        <v/>
      </c>
      <c r="AR529" s="3">
        <f>IF(AND(L529&lt;&gt;"",'Historical Score'!$C$5&lt;&gt;""),IF(L529='Historical Score'!$C$5,1,0),0)</f>
        <v/>
      </c>
      <c r="AS529" s="3">
        <f>IF(AND(Y529&lt;&gt;"",'Historical Score'!$C$7&lt;&gt;""),IF(Y529='Historical Score'!$C$7,1,0),0)</f>
        <v/>
      </c>
      <c r="AT529" s="3">
        <f>IF(AND(K529&lt;&gt;"",'Historical Score'!$C$8&lt;&gt;""),IF(K529='Historical Score'!$C$8,1,0),0)</f>
        <v/>
      </c>
      <c r="AU529" s="3" t="n"/>
      <c r="AV529" s="3" t="n"/>
      <c r="AW529" s="3" t="n"/>
      <c r="AX529" s="3" t="n"/>
      <c r="AY529" s="3" t="n"/>
      <c r="AZ529" s="3" t="n"/>
      <c r="BA529" s="182">
        <f>IF(AD529=1,(AR529*'Historical Score'!$K$29+1-'Historical Score'!$K$29)*(AT529*'Historical Score'!$L$29+1-'Historical Score'!$L$29)*(AS529*'Historical Score'!$M$29+1-'Historical Score'!$M$29)*(AQ529*'Historical Score'!$N$29+1-'Historical Score'!$N$29),0)</f>
        <v/>
      </c>
      <c r="BB529" s="3" t="n"/>
      <c r="BC529" s="3" t="n"/>
    </row>
    <row r="530" ht="15.75" customHeight="1" s="174">
      <c r="A530" s="3" t="inlineStr">
        <is>
          <t>5674176318</t>
        </is>
      </c>
      <c r="B530" s="3" t="inlineStr">
        <is>
          <t>Tw services llc</t>
        </is>
      </c>
      <c r="C530" s="3" t="inlineStr">
        <is>
          <t>Tw services llc</t>
        </is>
      </c>
      <c r="D530" s="3" t="inlineStr">
        <is>
          <t>Legal</t>
        </is>
      </c>
      <c r="E530" s="23" t="n">
        <v>46035</v>
      </c>
      <c r="F530" s="23" t="n">
        <v>46196</v>
      </c>
      <c r="G530" s="3" t="n">
        <v>4</v>
      </c>
      <c r="H530" s="3" t="inlineStr">
        <is>
          <t>7211</t>
        </is>
      </c>
      <c r="I530" s="3" t="inlineStr">
        <is>
          <t>72</t>
        </is>
      </c>
      <c r="J530" s="3" t="inlineStr">
        <is>
          <t>TX</t>
        </is>
      </c>
      <c r="K530" s="3" t="inlineStr">
        <is>
          <t>Fundwell</t>
        </is>
      </c>
      <c r="L530" s="3" t="inlineStr">
        <is>
          <t>New Deal</t>
        </is>
      </c>
      <c r="M530" s="3" t="n">
        <v>1.46</v>
      </c>
      <c r="N530" s="28" t="n">
        <v>20000</v>
      </c>
      <c r="O530" s="28" t="n">
        <v>3300</v>
      </c>
      <c r="P530" s="28" t="n">
        <v>29200</v>
      </c>
      <c r="Q530" s="28" t="n">
        <v>21885.72</v>
      </c>
      <c r="R530" s="28" t="n">
        <v>7314.28</v>
      </c>
      <c r="S530" s="42" t="n">
        <v>0.74951095890411</v>
      </c>
      <c r="T530" s="3" t="n">
        <v>16</v>
      </c>
      <c r="U530" s="3" t="n">
        <v>11</v>
      </c>
      <c r="V530" s="3" t="n">
        <v>108721.93</v>
      </c>
      <c r="W530" s="42" t="n">
        <v>0.06710000000000001</v>
      </c>
      <c r="X530" s="23" t="n">
        <v>45275</v>
      </c>
      <c r="Y530" s="3">
        <f>IF(I530="","No SIC",IFERROR(VLOOKUP(I530,Ref!$A$2:$B$65,2,FALSE()),"Unclassified"))</f>
        <v/>
      </c>
      <c r="Z530" s="3">
        <f>IF(T530="","",IF(T530&lt;12,"Daily","Weekly"))</f>
        <v/>
      </c>
      <c r="AA530" s="3">
        <f>IF(T530="",0,IF(T530&lt;12,T530*Controls!$B$13,T530*5))</f>
        <v/>
      </c>
      <c r="AB530" s="3">
        <f>IF(E530="",0,NETWORKDAYS(E530,Controls!$B$20,Ref!$K$2:$K$42))</f>
        <v/>
      </c>
      <c r="AC530" s="3">
        <f>IF(OR(AF530=1,AND(AA530&gt;0,AB530&gt;=Controls!$B$23*AA530)),1,0)</f>
        <v/>
      </c>
      <c r="AD530" s="3">
        <f>IF(AND(E530&lt;&gt;"",E530&gt;=Controls!$B$21,E530&lt;=Controls!$B$22),1,0)</f>
        <v/>
      </c>
      <c r="AE530" s="3">
        <f>IF(IFERROR(VLOOKUP(D530,Controls!$A$36:$E$46,2,FALSE()),"No")="Yes",1,0)</f>
        <v/>
      </c>
      <c r="AF530" s="3">
        <f>IF(IFERROR(VLOOKUP(D530,Controls!$A$36:$E$46,3,FALSE()),"No")="Yes",1,0)</f>
        <v/>
      </c>
      <c r="AG530" s="3">
        <f>IF(IFERROR(VLOOKUP(D530,Controls!$A$36:$E$46,4,FALSE()),"No")="Yes",1,0)</f>
        <v/>
      </c>
      <c r="AH530" s="3">
        <f>IF(IFERROR(VLOOKUP(D530,Controls!$A$36:$E$46,5,FALSE()),"No")="Yes",1,0)</f>
        <v/>
      </c>
      <c r="AI530" s="3">
        <f>IF(ISNUMBER(MATCH(D530,Controls!$A$36:$A$46,0)),1,0)</f>
        <v/>
      </c>
      <c r="AJ530" s="28">
        <f>Q530-N530</f>
        <v/>
      </c>
      <c r="AK530" s="3">
        <f>IF(AE530=1,MAX(0,N530-Q530),0)</f>
        <v/>
      </c>
      <c r="AL530" s="3">
        <f>IF(OR(V530="",V530=0),0,N530/V530)</f>
        <v/>
      </c>
      <c r="AM530" s="3">
        <f>IF(OR(V530="",V530=0),0,1)</f>
        <v/>
      </c>
      <c r="AN530" s="3">
        <f>IF(OR(E530="",F530=""),0,NETWORKDAYS(E530,F530,Ref!$K$2:$K$42))</f>
        <v/>
      </c>
      <c r="AO530" s="3">
        <f>IF(L530="Renewal",1,0)</f>
        <v/>
      </c>
      <c r="AP530" s="3">
        <f>AC530*AD530</f>
        <v/>
      </c>
      <c r="AQ530" s="3">
        <f>IF(AND(G530&lt;&gt;"",'Historical Score'!$C$6&lt;&gt;""),IF(G530='Historical Score'!$C$6,1,0),0)</f>
        <v/>
      </c>
      <c r="AR530" s="3">
        <f>IF(AND(L530&lt;&gt;"",'Historical Score'!$C$5&lt;&gt;""),IF(L530='Historical Score'!$C$5,1,0),0)</f>
        <v/>
      </c>
      <c r="AS530" s="3">
        <f>IF(AND(Y530&lt;&gt;"",'Historical Score'!$C$7&lt;&gt;""),IF(Y530='Historical Score'!$C$7,1,0),0)</f>
        <v/>
      </c>
      <c r="AT530" s="3">
        <f>IF(AND(K530&lt;&gt;"",'Historical Score'!$C$8&lt;&gt;""),IF(K530='Historical Score'!$C$8,1,0),0)</f>
        <v/>
      </c>
      <c r="AU530" s="3" t="n"/>
      <c r="AV530" s="3" t="n"/>
      <c r="AW530" s="3" t="n"/>
      <c r="AX530" s="3" t="n"/>
      <c r="AY530" s="3" t="n"/>
      <c r="AZ530" s="3" t="n"/>
      <c r="BA530" s="182">
        <f>IF(AD530=1,(AR530*'Historical Score'!$K$29+1-'Historical Score'!$K$29)*(AT530*'Historical Score'!$L$29+1-'Historical Score'!$L$29)*(AS530*'Historical Score'!$M$29+1-'Historical Score'!$M$29)*(AQ530*'Historical Score'!$N$29+1-'Historical Score'!$N$29),0)</f>
        <v/>
      </c>
      <c r="BB530" s="3" t="n"/>
      <c r="BC530" s="3" t="n"/>
    </row>
    <row r="531" ht="15.75" customHeight="1" s="174">
      <c r="A531" s="3" t="inlineStr">
        <is>
          <t>5674176320</t>
        </is>
      </c>
      <c r="B531" s="3" t="inlineStr">
        <is>
          <t>TJ&amp;ASSOCIATES LLC</t>
        </is>
      </c>
      <c r="C531" s="3" t="inlineStr">
        <is>
          <t>TJ&amp;ASSOCIATES LLC</t>
        </is>
      </c>
      <c r="D531" s="3" t="inlineStr">
        <is>
          <t>Open</t>
        </is>
      </c>
      <c r="E531" s="23" t="n">
        <v>46035</v>
      </c>
      <c r="F531" s="23" t="n">
        <v>46240</v>
      </c>
      <c r="G531" s="3" t="n">
        <v>6</v>
      </c>
      <c r="H531" s="3" t="inlineStr">
        <is>
          <t>8111</t>
        </is>
      </c>
      <c r="I531" s="3" t="inlineStr">
        <is>
          <t>81</t>
        </is>
      </c>
      <c r="J531" s="3" t="inlineStr">
        <is>
          <t>AL</t>
        </is>
      </c>
      <c r="K531" s="3" t="inlineStr">
        <is>
          <t>Westwood</t>
        </is>
      </c>
      <c r="L531" s="3" t="inlineStr">
        <is>
          <t>New Deal</t>
        </is>
      </c>
      <c r="M531" s="3" t="n">
        <v>1.49</v>
      </c>
      <c r="N531" s="28" t="n">
        <v>13500</v>
      </c>
      <c r="O531" s="28" t="n">
        <v>1890</v>
      </c>
      <c r="P531" s="28" t="n">
        <v>20115</v>
      </c>
      <c r="Q531" s="28" t="n">
        <v>12906.94</v>
      </c>
      <c r="R531" s="28" t="n">
        <v>7208.06</v>
      </c>
      <c r="S531" s="42" t="n">
        <v>0.641657469550087</v>
      </c>
      <c r="T531" s="3" t="n">
        <v>1.967</v>
      </c>
      <c r="U531" s="3" t="n">
        <v>53</v>
      </c>
      <c r="V531" s="3" t="n">
        <v>39717.24</v>
      </c>
      <c r="W531" s="42" t="n">
        <v>0.1773</v>
      </c>
      <c r="X531" s="23" t="n">
        <v>44193</v>
      </c>
      <c r="Y531" s="3">
        <f>IF(I531="","No SIC",IFERROR(VLOOKUP(I531,Ref!$A$2:$B$65,2,FALSE()),"Unclassified"))</f>
        <v/>
      </c>
      <c r="Z531" s="3">
        <f>IF(T531="","",IF(T531&lt;12,"Daily","Weekly"))</f>
        <v/>
      </c>
      <c r="AA531" s="3">
        <f>IF(T531="",0,IF(T531&lt;12,T531*Controls!$B$13,T531*5))</f>
        <v/>
      </c>
      <c r="AB531" s="3">
        <f>IF(E531="",0,NETWORKDAYS(E531,Controls!$B$20,Ref!$K$2:$K$42))</f>
        <v/>
      </c>
      <c r="AC531" s="3">
        <f>IF(OR(AF531=1,AND(AA531&gt;0,AB531&gt;=Controls!$B$23*AA531)),1,0)</f>
        <v/>
      </c>
      <c r="AD531" s="3">
        <f>IF(AND(E531&lt;&gt;"",E531&gt;=Controls!$B$21,E531&lt;=Controls!$B$22),1,0)</f>
        <v/>
      </c>
      <c r="AE531" s="3">
        <f>IF(IFERROR(VLOOKUP(D531,Controls!$A$36:$E$46,2,FALSE()),"No")="Yes",1,0)</f>
        <v/>
      </c>
      <c r="AF531" s="3">
        <f>IF(IFERROR(VLOOKUP(D531,Controls!$A$36:$E$46,3,FALSE()),"No")="Yes",1,0)</f>
        <v/>
      </c>
      <c r="AG531" s="3">
        <f>IF(IFERROR(VLOOKUP(D531,Controls!$A$36:$E$46,4,FALSE()),"No")="Yes",1,0)</f>
        <v/>
      </c>
      <c r="AH531" s="3">
        <f>IF(IFERROR(VLOOKUP(D531,Controls!$A$36:$E$46,5,FALSE()),"No")="Yes",1,0)</f>
        <v/>
      </c>
      <c r="AI531" s="3">
        <f>IF(ISNUMBER(MATCH(D531,Controls!$A$36:$A$46,0)),1,0)</f>
        <v/>
      </c>
      <c r="AJ531" s="28">
        <f>Q531-N531</f>
        <v/>
      </c>
      <c r="AK531" s="3">
        <f>IF(AE531=1,MAX(0,N531-Q531),0)</f>
        <v/>
      </c>
      <c r="AL531" s="3">
        <f>IF(OR(V531="",V531=0),0,N531/V531)</f>
        <v/>
      </c>
      <c r="AM531" s="3">
        <f>IF(OR(V531="",V531=0),0,1)</f>
        <v/>
      </c>
      <c r="AN531" s="3">
        <f>IF(OR(E531="",F531=""),0,NETWORKDAYS(E531,F531,Ref!$K$2:$K$42))</f>
        <v/>
      </c>
      <c r="AO531" s="3">
        <f>IF(L531="Renewal",1,0)</f>
        <v/>
      </c>
      <c r="AP531" s="3">
        <f>AC531*AD531</f>
        <v/>
      </c>
      <c r="AQ531" s="3">
        <f>IF(AND(G531&lt;&gt;"",'Historical Score'!$C$6&lt;&gt;""),IF(G531='Historical Score'!$C$6,1,0),0)</f>
        <v/>
      </c>
      <c r="AR531" s="3">
        <f>IF(AND(L531&lt;&gt;"",'Historical Score'!$C$5&lt;&gt;""),IF(L531='Historical Score'!$C$5,1,0),0)</f>
        <v/>
      </c>
      <c r="AS531" s="3">
        <f>IF(AND(Y531&lt;&gt;"",'Historical Score'!$C$7&lt;&gt;""),IF(Y531='Historical Score'!$C$7,1,0),0)</f>
        <v/>
      </c>
      <c r="AT531" s="3">
        <f>IF(AND(K531&lt;&gt;"",'Historical Score'!$C$8&lt;&gt;""),IF(K531='Historical Score'!$C$8,1,0),0)</f>
        <v/>
      </c>
      <c r="AU531" s="3" t="n"/>
      <c r="AV531" s="3" t="n"/>
      <c r="AW531" s="3" t="n"/>
      <c r="AX531" s="3" t="n"/>
      <c r="AY531" s="3" t="n"/>
      <c r="AZ531" s="3" t="n"/>
      <c r="BA531" s="182">
        <f>IF(AD531=1,(AR531*'Historical Score'!$K$29+1-'Historical Score'!$K$29)*(AT531*'Historical Score'!$L$29+1-'Historical Score'!$L$29)*(AS531*'Historical Score'!$M$29+1-'Historical Score'!$M$29)*(AQ531*'Historical Score'!$N$29+1-'Historical Score'!$N$29),0)</f>
        <v/>
      </c>
      <c r="BB531" s="3" t="n"/>
      <c r="BC531" s="3" t="n"/>
    </row>
    <row r="532" ht="15.75" customHeight="1" s="174">
      <c r="A532" s="3" t="inlineStr">
        <is>
          <t>5674176323</t>
        </is>
      </c>
      <c r="B532" s="3" t="inlineStr">
        <is>
          <t>Medina And Associates PC</t>
        </is>
      </c>
      <c r="C532" s="3" t="inlineStr">
        <is>
          <t>Medina And Associates PC</t>
        </is>
      </c>
      <c r="D532" s="3" t="inlineStr">
        <is>
          <t>Closed</t>
        </is>
      </c>
      <c r="E532" s="23" t="n">
        <v>46035</v>
      </c>
      <c r="F532" s="23" t="n">
        <v>46168</v>
      </c>
      <c r="G532" s="3" t="n">
        <v>5</v>
      </c>
      <c r="H532" s="3" t="inlineStr">
        <is>
          <t>8111</t>
        </is>
      </c>
      <c r="I532" s="3" t="inlineStr">
        <is>
          <t>81</t>
        </is>
      </c>
      <c r="J532" s="3" t="inlineStr">
        <is>
          <t>MD</t>
        </is>
      </c>
      <c r="K532" s="3" t="inlineStr">
        <is>
          <t>Premium Capital (AMRK)</t>
        </is>
      </c>
      <c r="L532" s="3" t="inlineStr">
        <is>
          <t>Renewal</t>
        </is>
      </c>
      <c r="M532" s="3" t="n">
        <v>1.49</v>
      </c>
      <c r="N532" s="28" t="n">
        <v>65000</v>
      </c>
      <c r="O532" s="28" t="n">
        <v>9100</v>
      </c>
      <c r="P532" s="28" t="n">
        <v>96850</v>
      </c>
      <c r="Q532" s="28" t="n">
        <v>96850</v>
      </c>
      <c r="R532" s="28" t="n">
        <v>0</v>
      </c>
      <c r="S532" s="42" t="n">
        <v>1</v>
      </c>
      <c r="T532" s="3" t="n">
        <v>32</v>
      </c>
      <c r="U532" s="3" t="n">
        <v>3</v>
      </c>
      <c r="V532" s="3" t="n">
        <v>122458.04</v>
      </c>
      <c r="W532" s="42" t="n">
        <v>0.1041</v>
      </c>
      <c r="X532" s="23" t="n"/>
      <c r="Y532" s="3">
        <f>IF(I532="","No SIC",IFERROR(VLOOKUP(I532,Ref!$A$2:$B$65,2,FALSE()),"Unclassified"))</f>
        <v/>
      </c>
      <c r="Z532" s="3">
        <f>IF(T532="","",IF(T532&lt;12,"Daily","Weekly"))</f>
        <v/>
      </c>
      <c r="AA532" s="3">
        <f>IF(T532="",0,IF(T532&lt;12,T532*Controls!$B$13,T532*5))</f>
        <v/>
      </c>
      <c r="AB532" s="3">
        <f>IF(E532="",0,NETWORKDAYS(E532,Controls!$B$20,Ref!$K$2:$K$42))</f>
        <v/>
      </c>
      <c r="AC532" s="3">
        <f>IF(OR(AF532=1,AND(AA532&gt;0,AB532&gt;=Controls!$B$23*AA532)),1,0)</f>
        <v/>
      </c>
      <c r="AD532" s="3">
        <f>IF(AND(E532&lt;&gt;"",E532&gt;=Controls!$B$21,E532&lt;=Controls!$B$22),1,0)</f>
        <v/>
      </c>
      <c r="AE532" s="3">
        <f>IF(IFERROR(VLOOKUP(D532,Controls!$A$36:$E$46,2,FALSE()),"No")="Yes",1,0)</f>
        <v/>
      </c>
      <c r="AF532" s="3">
        <f>IF(IFERROR(VLOOKUP(D532,Controls!$A$36:$E$46,3,FALSE()),"No")="Yes",1,0)</f>
        <v/>
      </c>
      <c r="AG532" s="3">
        <f>IF(IFERROR(VLOOKUP(D532,Controls!$A$36:$E$46,4,FALSE()),"No")="Yes",1,0)</f>
        <v/>
      </c>
      <c r="AH532" s="3">
        <f>IF(IFERROR(VLOOKUP(D532,Controls!$A$36:$E$46,5,FALSE()),"No")="Yes",1,0)</f>
        <v/>
      </c>
      <c r="AI532" s="3">
        <f>IF(ISNUMBER(MATCH(D532,Controls!$A$36:$A$46,0)),1,0)</f>
        <v/>
      </c>
      <c r="AJ532" s="28">
        <f>Q532-N532</f>
        <v/>
      </c>
      <c r="AK532" s="3">
        <f>IF(AE532=1,MAX(0,N532-Q532),0)</f>
        <v/>
      </c>
      <c r="AL532" s="3">
        <f>IF(OR(V532="",V532=0),0,N532/V532)</f>
        <v/>
      </c>
      <c r="AM532" s="3">
        <f>IF(OR(V532="",V532=0),0,1)</f>
        <v/>
      </c>
      <c r="AN532" s="3">
        <f>IF(OR(E532="",F532=""),0,NETWORKDAYS(E532,F532,Ref!$K$2:$K$42))</f>
        <v/>
      </c>
      <c r="AO532" s="3">
        <f>IF(L532="Renewal",1,0)</f>
        <v/>
      </c>
      <c r="AP532" s="3">
        <f>AC532*AD532</f>
        <v/>
      </c>
      <c r="AQ532" s="3">
        <f>IF(AND(G532&lt;&gt;"",'Historical Score'!$C$6&lt;&gt;""),IF(G532='Historical Score'!$C$6,1,0),0)</f>
        <v/>
      </c>
      <c r="AR532" s="3">
        <f>IF(AND(L532&lt;&gt;"",'Historical Score'!$C$5&lt;&gt;""),IF(L532='Historical Score'!$C$5,1,0),0)</f>
        <v/>
      </c>
      <c r="AS532" s="3">
        <f>IF(AND(Y532&lt;&gt;"",'Historical Score'!$C$7&lt;&gt;""),IF(Y532='Historical Score'!$C$7,1,0),0)</f>
        <v/>
      </c>
      <c r="AT532" s="3">
        <f>IF(AND(K532&lt;&gt;"",'Historical Score'!$C$8&lt;&gt;""),IF(K532='Historical Score'!$C$8,1,0),0)</f>
        <v/>
      </c>
      <c r="AU532" s="3" t="n"/>
      <c r="AV532" s="3" t="n"/>
      <c r="AW532" s="3" t="n"/>
      <c r="AX532" s="3" t="n"/>
      <c r="AY532" s="3" t="n"/>
      <c r="AZ532" s="3" t="n"/>
      <c r="BA532" s="182">
        <f>IF(AD532=1,(AR532*'Historical Score'!$K$29+1-'Historical Score'!$K$29)*(AT532*'Historical Score'!$L$29+1-'Historical Score'!$L$29)*(AS532*'Historical Score'!$M$29+1-'Historical Score'!$M$29)*(AQ532*'Historical Score'!$N$29+1-'Historical Score'!$N$29),0)</f>
        <v/>
      </c>
      <c r="BB532" s="3" t="n"/>
      <c r="BC532" s="3" t="n"/>
    </row>
    <row r="533" ht="15.75" customHeight="1" s="174">
      <c r="A533" s="3" t="inlineStr">
        <is>
          <t>5674176347</t>
        </is>
      </c>
      <c r="B533" s="3" t="inlineStr">
        <is>
          <t>MOISES MARES AGUILAR</t>
        </is>
      </c>
      <c r="C533" s="3" t="inlineStr">
        <is>
          <t>MOISES MARES AGUILAR</t>
        </is>
      </c>
      <c r="D533" s="3" t="inlineStr">
        <is>
          <t>Closed</t>
        </is>
      </c>
      <c r="E533" s="23" t="n">
        <v>46035</v>
      </c>
      <c r="F533" s="23" t="n">
        <v>46155</v>
      </c>
      <c r="G533" s="3" t="n">
        <v>5</v>
      </c>
      <c r="H533" s="3" t="inlineStr">
        <is>
          <t>7538</t>
        </is>
      </c>
      <c r="I533" s="3" t="inlineStr">
        <is>
          <t>75</t>
        </is>
      </c>
      <c r="J533" s="3" t="inlineStr">
        <is>
          <t>TX</t>
        </is>
      </c>
      <c r="K533" s="3" t="inlineStr">
        <is>
          <t>United Secured Capital 8</t>
        </is>
      </c>
      <c r="L533" s="3" t="inlineStr">
        <is>
          <t>New Deal</t>
        </is>
      </c>
      <c r="M533" s="3" t="n">
        <v>1.49</v>
      </c>
      <c r="N533" s="28" t="n">
        <v>35000</v>
      </c>
      <c r="O533" s="28" t="n">
        <v>4900</v>
      </c>
      <c r="P533" s="28" t="n">
        <v>52150</v>
      </c>
      <c r="Q533" s="28" t="n">
        <v>52150</v>
      </c>
      <c r="R533" s="28" t="n">
        <v>0</v>
      </c>
      <c r="S533" s="42" t="n">
        <v>1</v>
      </c>
      <c r="T533" s="3" t="n">
        <v>3.607</v>
      </c>
      <c r="U533" s="3" t="n">
        <v>0</v>
      </c>
      <c r="V533" s="3" t="n">
        <v>135177.51</v>
      </c>
      <c r="W533" s="42" t="n">
        <v>0.0737</v>
      </c>
      <c r="X533" s="23" t="n"/>
      <c r="Y533" s="3">
        <f>IF(I533="","No SIC",IFERROR(VLOOKUP(I533,Ref!$A$2:$B$65,2,FALSE()),"Unclassified"))</f>
        <v/>
      </c>
      <c r="Z533" s="3">
        <f>IF(T533="","",IF(T533&lt;12,"Daily","Weekly"))</f>
        <v/>
      </c>
      <c r="AA533" s="3">
        <f>IF(T533="",0,IF(T533&lt;12,T533*Controls!$B$13,T533*5))</f>
        <v/>
      </c>
      <c r="AB533" s="3">
        <f>IF(E533="",0,NETWORKDAYS(E533,Controls!$B$20,Ref!$K$2:$K$42))</f>
        <v/>
      </c>
      <c r="AC533" s="3">
        <f>IF(OR(AF533=1,AND(AA533&gt;0,AB533&gt;=Controls!$B$23*AA533)),1,0)</f>
        <v/>
      </c>
      <c r="AD533" s="3">
        <f>IF(AND(E533&lt;&gt;"",E533&gt;=Controls!$B$21,E533&lt;=Controls!$B$22),1,0)</f>
        <v/>
      </c>
      <c r="AE533" s="3">
        <f>IF(IFERROR(VLOOKUP(D533,Controls!$A$36:$E$46,2,FALSE()),"No")="Yes",1,0)</f>
        <v/>
      </c>
      <c r="AF533" s="3">
        <f>IF(IFERROR(VLOOKUP(D533,Controls!$A$36:$E$46,3,FALSE()),"No")="Yes",1,0)</f>
        <v/>
      </c>
      <c r="AG533" s="3">
        <f>IF(IFERROR(VLOOKUP(D533,Controls!$A$36:$E$46,4,FALSE()),"No")="Yes",1,0)</f>
        <v/>
      </c>
      <c r="AH533" s="3">
        <f>IF(IFERROR(VLOOKUP(D533,Controls!$A$36:$E$46,5,FALSE()),"No")="Yes",1,0)</f>
        <v/>
      </c>
      <c r="AI533" s="3">
        <f>IF(ISNUMBER(MATCH(D533,Controls!$A$36:$A$46,0)),1,0)</f>
        <v/>
      </c>
      <c r="AJ533" s="28">
        <f>Q533-N533</f>
        <v/>
      </c>
      <c r="AK533" s="3">
        <f>IF(AE533=1,MAX(0,N533-Q533),0)</f>
        <v/>
      </c>
      <c r="AL533" s="3">
        <f>IF(OR(V533="",V533=0),0,N533/V533)</f>
        <v/>
      </c>
      <c r="AM533" s="3">
        <f>IF(OR(V533="",V533=0),0,1)</f>
        <v/>
      </c>
      <c r="AN533" s="3">
        <f>IF(OR(E533="",F533=""),0,NETWORKDAYS(E533,F533,Ref!$K$2:$K$42))</f>
        <v/>
      </c>
      <c r="AO533" s="3">
        <f>IF(L533="Renewal",1,0)</f>
        <v/>
      </c>
      <c r="AP533" s="3">
        <f>AC533*AD533</f>
        <v/>
      </c>
      <c r="AQ533" s="3">
        <f>IF(AND(G533&lt;&gt;"",'Historical Score'!$C$6&lt;&gt;""),IF(G533='Historical Score'!$C$6,1,0),0)</f>
        <v/>
      </c>
      <c r="AR533" s="3">
        <f>IF(AND(L533&lt;&gt;"",'Historical Score'!$C$5&lt;&gt;""),IF(L533='Historical Score'!$C$5,1,0),0)</f>
        <v/>
      </c>
      <c r="AS533" s="3">
        <f>IF(AND(Y533&lt;&gt;"",'Historical Score'!$C$7&lt;&gt;""),IF(Y533='Historical Score'!$C$7,1,0),0)</f>
        <v/>
      </c>
      <c r="AT533" s="3">
        <f>IF(AND(K533&lt;&gt;"",'Historical Score'!$C$8&lt;&gt;""),IF(K533='Historical Score'!$C$8,1,0),0)</f>
        <v/>
      </c>
      <c r="AU533" s="3" t="n"/>
      <c r="AV533" s="3" t="n"/>
      <c r="AW533" s="3" t="n"/>
      <c r="AX533" s="3" t="n"/>
      <c r="AY533" s="3" t="n"/>
      <c r="AZ533" s="3" t="n"/>
      <c r="BA533" s="182">
        <f>IF(AD533=1,(AR533*'Historical Score'!$K$29+1-'Historical Score'!$K$29)*(AT533*'Historical Score'!$L$29+1-'Historical Score'!$L$29)*(AS533*'Historical Score'!$M$29+1-'Historical Score'!$M$29)*(AQ533*'Historical Score'!$N$29+1-'Historical Score'!$N$29),0)</f>
        <v/>
      </c>
      <c r="BB533" s="3" t="n"/>
      <c r="BC533" s="3" t="n"/>
    </row>
    <row r="534" ht="15.75" customHeight="1" s="174">
      <c r="A534" s="3" t="inlineStr">
        <is>
          <t>5674176350</t>
        </is>
      </c>
      <c r="B534" s="3" t="inlineStr">
        <is>
          <t>Baby Boss Auto Shop</t>
        </is>
      </c>
      <c r="C534" s="3" t="inlineStr">
        <is>
          <t>Carlos A Jamie</t>
        </is>
      </c>
      <c r="D534" s="3" t="inlineStr">
        <is>
          <t>Closed</t>
        </is>
      </c>
      <c r="E534" s="23" t="n">
        <v>46035</v>
      </c>
      <c r="F534" s="23" t="n">
        <v>46112</v>
      </c>
      <c r="G534" s="3" t="n">
        <v>5</v>
      </c>
      <c r="H534" s="3" t="inlineStr">
        <is>
          <t>7538</t>
        </is>
      </c>
      <c r="I534" s="3" t="inlineStr">
        <is>
          <t>75</t>
        </is>
      </c>
      <c r="J534" s="3" t="inlineStr">
        <is>
          <t>TX</t>
        </is>
      </c>
      <c r="K534" s="3" t="inlineStr">
        <is>
          <t>Ballicci</t>
        </is>
      </c>
      <c r="L534" s="3" t="inlineStr">
        <is>
          <t>New Deal</t>
        </is>
      </c>
      <c r="M534" s="3" t="n">
        <v>1.49</v>
      </c>
      <c r="N534" s="28" t="n">
        <v>20000</v>
      </c>
      <c r="O534" s="28" t="n">
        <v>2800</v>
      </c>
      <c r="P534" s="28" t="n">
        <v>29800</v>
      </c>
      <c r="Q534" s="28" t="n">
        <v>29800</v>
      </c>
      <c r="R534" s="28" t="n">
        <v>0</v>
      </c>
      <c r="S534" s="42" t="n">
        <v>1</v>
      </c>
      <c r="T534" s="3" t="n">
        <v>2.951</v>
      </c>
      <c r="U534" s="3" t="n">
        <v>0</v>
      </c>
      <c r="V534" s="3" t="n">
        <v>50675.93</v>
      </c>
      <c r="W534" s="42" t="n">
        <v>0.1372</v>
      </c>
      <c r="X534" s="23" t="n">
        <v>44845</v>
      </c>
      <c r="Y534" s="3">
        <f>IF(I534="","No SIC",IFERROR(VLOOKUP(I534,Ref!$A$2:$B$65,2,FALSE()),"Unclassified"))</f>
        <v/>
      </c>
      <c r="Z534" s="3">
        <f>IF(T534="","",IF(T534&lt;12,"Daily","Weekly"))</f>
        <v/>
      </c>
      <c r="AA534" s="3">
        <f>IF(T534="",0,IF(T534&lt;12,T534*Controls!$B$13,T534*5))</f>
        <v/>
      </c>
      <c r="AB534" s="3">
        <f>IF(E534="",0,NETWORKDAYS(E534,Controls!$B$20,Ref!$K$2:$K$42))</f>
        <v/>
      </c>
      <c r="AC534" s="3">
        <f>IF(OR(AF534=1,AND(AA534&gt;0,AB534&gt;=Controls!$B$23*AA534)),1,0)</f>
        <v/>
      </c>
      <c r="AD534" s="3">
        <f>IF(AND(E534&lt;&gt;"",E534&gt;=Controls!$B$21,E534&lt;=Controls!$B$22),1,0)</f>
        <v/>
      </c>
      <c r="AE534" s="3">
        <f>IF(IFERROR(VLOOKUP(D534,Controls!$A$36:$E$46,2,FALSE()),"No")="Yes",1,0)</f>
        <v/>
      </c>
      <c r="AF534" s="3">
        <f>IF(IFERROR(VLOOKUP(D534,Controls!$A$36:$E$46,3,FALSE()),"No")="Yes",1,0)</f>
        <v/>
      </c>
      <c r="AG534" s="3">
        <f>IF(IFERROR(VLOOKUP(D534,Controls!$A$36:$E$46,4,FALSE()),"No")="Yes",1,0)</f>
        <v/>
      </c>
      <c r="AH534" s="3">
        <f>IF(IFERROR(VLOOKUP(D534,Controls!$A$36:$E$46,5,FALSE()),"No")="Yes",1,0)</f>
        <v/>
      </c>
      <c r="AI534" s="3">
        <f>IF(ISNUMBER(MATCH(D534,Controls!$A$36:$A$46,0)),1,0)</f>
        <v/>
      </c>
      <c r="AJ534" s="28">
        <f>Q534-N534</f>
        <v/>
      </c>
      <c r="AK534" s="3">
        <f>IF(AE534=1,MAX(0,N534-Q534),0)</f>
        <v/>
      </c>
      <c r="AL534" s="3">
        <f>IF(OR(V534="",V534=0),0,N534/V534)</f>
        <v/>
      </c>
      <c r="AM534" s="3">
        <f>IF(OR(V534="",V534=0),0,1)</f>
        <v/>
      </c>
      <c r="AN534" s="3">
        <f>IF(OR(E534="",F534=""),0,NETWORKDAYS(E534,F534,Ref!$K$2:$K$42))</f>
        <v/>
      </c>
      <c r="AO534" s="3">
        <f>IF(L534="Renewal",1,0)</f>
        <v/>
      </c>
      <c r="AP534" s="3">
        <f>AC534*AD534</f>
        <v/>
      </c>
      <c r="AQ534" s="3">
        <f>IF(AND(G534&lt;&gt;"",'Historical Score'!$C$6&lt;&gt;""),IF(G534='Historical Score'!$C$6,1,0),0)</f>
        <v/>
      </c>
      <c r="AR534" s="3">
        <f>IF(AND(L534&lt;&gt;"",'Historical Score'!$C$5&lt;&gt;""),IF(L534='Historical Score'!$C$5,1,0),0)</f>
        <v/>
      </c>
      <c r="AS534" s="3">
        <f>IF(AND(Y534&lt;&gt;"",'Historical Score'!$C$7&lt;&gt;""),IF(Y534='Historical Score'!$C$7,1,0),0)</f>
        <v/>
      </c>
      <c r="AT534" s="3">
        <f>IF(AND(K534&lt;&gt;"",'Historical Score'!$C$8&lt;&gt;""),IF(K534='Historical Score'!$C$8,1,0),0)</f>
        <v/>
      </c>
      <c r="AU534" s="3" t="n"/>
      <c r="AV534" s="3" t="n"/>
      <c r="AW534" s="3" t="n"/>
      <c r="AX534" s="3" t="n"/>
      <c r="AY534" s="3" t="n"/>
      <c r="AZ534" s="3" t="n"/>
      <c r="BA534" s="182">
        <f>IF(AD534=1,(AR534*'Historical Score'!$K$29+1-'Historical Score'!$K$29)*(AT534*'Historical Score'!$L$29+1-'Historical Score'!$L$29)*(AS534*'Historical Score'!$M$29+1-'Historical Score'!$M$29)*(AQ534*'Historical Score'!$N$29+1-'Historical Score'!$N$29),0)</f>
        <v/>
      </c>
      <c r="BB534" s="3" t="n"/>
      <c r="BC534" s="3" t="n"/>
    </row>
    <row r="535" ht="15.75" customHeight="1" s="174">
      <c r="A535" s="3" t="inlineStr">
        <is>
          <t>5674176418</t>
        </is>
      </c>
      <c r="B535" s="3" t="inlineStr">
        <is>
          <t>Southern Panc Eat Good LLC DBA Southern Pancake House</t>
        </is>
      </c>
      <c r="C535" s="3" t="inlineStr">
        <is>
          <t>Let'em Eat Good LLC</t>
        </is>
      </c>
      <c r="D535" s="3" t="inlineStr">
        <is>
          <t>Closed</t>
        </is>
      </c>
      <c r="E535" s="23" t="n">
        <v>46036</v>
      </c>
      <c r="F535" s="23" t="n">
        <v>46184</v>
      </c>
      <c r="G535" s="3" t="n">
        <v>1</v>
      </c>
      <c r="H535" s="3" t="inlineStr">
        <is>
          <t>5812</t>
        </is>
      </c>
      <c r="I535" s="3" t="inlineStr">
        <is>
          <t>58</t>
        </is>
      </c>
      <c r="J535" s="3" t="inlineStr">
        <is>
          <t>VA</t>
        </is>
      </c>
      <c r="K535" s="3" t="inlineStr">
        <is>
          <t>Premium Capital (AMRK)</t>
        </is>
      </c>
      <c r="L535" s="3" t="inlineStr">
        <is>
          <t>Renewal</t>
        </is>
      </c>
      <c r="M535" s="3" t="n">
        <v>1.45</v>
      </c>
      <c r="N535" s="28" t="n">
        <v>65000</v>
      </c>
      <c r="O535" s="28" t="n">
        <v>7800</v>
      </c>
      <c r="P535" s="28" t="n">
        <v>94250</v>
      </c>
      <c r="Q535" s="28" t="n">
        <v>94250</v>
      </c>
      <c r="R535" s="28" t="n">
        <v>0</v>
      </c>
      <c r="S535" s="42" t="n">
        <v>1</v>
      </c>
      <c r="T535" s="3" t="n">
        <v>5.246</v>
      </c>
      <c r="U535" s="3" t="n">
        <v>9</v>
      </c>
      <c r="V535" s="3" t="n">
        <v>73218.44</v>
      </c>
      <c r="W535" s="42" t="n">
        <v>0.169</v>
      </c>
      <c r="X535" s="23" t="n"/>
      <c r="Y535" s="3">
        <f>IF(I535="","No SIC",IFERROR(VLOOKUP(I535,Ref!$A$2:$B$65,2,FALSE()),"Unclassified"))</f>
        <v/>
      </c>
      <c r="Z535" s="3">
        <f>IF(T535="","",IF(T535&lt;12,"Daily","Weekly"))</f>
        <v/>
      </c>
      <c r="AA535" s="3">
        <f>IF(T535="",0,IF(T535&lt;12,T535*Controls!$B$13,T535*5))</f>
        <v/>
      </c>
      <c r="AB535" s="3">
        <f>IF(E535="",0,NETWORKDAYS(E535,Controls!$B$20,Ref!$K$2:$K$42))</f>
        <v/>
      </c>
      <c r="AC535" s="3">
        <f>IF(OR(AF535=1,AND(AA535&gt;0,AB535&gt;=Controls!$B$23*AA535)),1,0)</f>
        <v/>
      </c>
      <c r="AD535" s="3">
        <f>IF(AND(E535&lt;&gt;"",E535&gt;=Controls!$B$21,E535&lt;=Controls!$B$22),1,0)</f>
        <v/>
      </c>
      <c r="AE535" s="3">
        <f>IF(IFERROR(VLOOKUP(D535,Controls!$A$36:$E$46,2,FALSE()),"No")="Yes",1,0)</f>
        <v/>
      </c>
      <c r="AF535" s="3">
        <f>IF(IFERROR(VLOOKUP(D535,Controls!$A$36:$E$46,3,FALSE()),"No")="Yes",1,0)</f>
        <v/>
      </c>
      <c r="AG535" s="3">
        <f>IF(IFERROR(VLOOKUP(D535,Controls!$A$36:$E$46,4,FALSE()),"No")="Yes",1,0)</f>
        <v/>
      </c>
      <c r="AH535" s="3">
        <f>IF(IFERROR(VLOOKUP(D535,Controls!$A$36:$E$46,5,FALSE()),"No")="Yes",1,0)</f>
        <v/>
      </c>
      <c r="AI535" s="3">
        <f>IF(ISNUMBER(MATCH(D535,Controls!$A$36:$A$46,0)),1,0)</f>
        <v/>
      </c>
      <c r="AJ535" s="28">
        <f>Q535-N535</f>
        <v/>
      </c>
      <c r="AK535" s="3">
        <f>IF(AE535=1,MAX(0,N535-Q535),0)</f>
        <v/>
      </c>
      <c r="AL535" s="3">
        <f>IF(OR(V535="",V535=0),0,N535/V535)</f>
        <v/>
      </c>
      <c r="AM535" s="3">
        <f>IF(OR(V535="",V535=0),0,1)</f>
        <v/>
      </c>
      <c r="AN535" s="3">
        <f>IF(OR(E535="",F535=""),0,NETWORKDAYS(E535,F535,Ref!$K$2:$K$42))</f>
        <v/>
      </c>
      <c r="AO535" s="3">
        <f>IF(L535="Renewal",1,0)</f>
        <v/>
      </c>
      <c r="AP535" s="3">
        <f>AC535*AD535</f>
        <v/>
      </c>
      <c r="AQ535" s="3">
        <f>IF(AND(G535&lt;&gt;"",'Historical Score'!$C$6&lt;&gt;""),IF(G535='Historical Score'!$C$6,1,0),0)</f>
        <v/>
      </c>
      <c r="AR535" s="3">
        <f>IF(AND(L535&lt;&gt;"",'Historical Score'!$C$5&lt;&gt;""),IF(L535='Historical Score'!$C$5,1,0),0)</f>
        <v/>
      </c>
      <c r="AS535" s="3">
        <f>IF(AND(Y535&lt;&gt;"",'Historical Score'!$C$7&lt;&gt;""),IF(Y535='Historical Score'!$C$7,1,0),0)</f>
        <v/>
      </c>
      <c r="AT535" s="3">
        <f>IF(AND(K535&lt;&gt;"",'Historical Score'!$C$8&lt;&gt;""),IF(K535='Historical Score'!$C$8,1,0),0)</f>
        <v/>
      </c>
      <c r="AU535" s="3" t="n"/>
      <c r="AV535" s="3" t="n"/>
      <c r="AW535" s="3" t="n"/>
      <c r="AX535" s="3" t="n"/>
      <c r="AY535" s="3" t="n"/>
      <c r="AZ535" s="3" t="n"/>
      <c r="BA535" s="182">
        <f>IF(AD535=1,(AR535*'Historical Score'!$K$29+1-'Historical Score'!$K$29)*(AT535*'Historical Score'!$L$29+1-'Historical Score'!$L$29)*(AS535*'Historical Score'!$M$29+1-'Historical Score'!$M$29)*(AQ535*'Historical Score'!$N$29+1-'Historical Score'!$N$29),0)</f>
        <v/>
      </c>
      <c r="BB535" s="3" t="n"/>
      <c r="BC535" s="3" t="n"/>
    </row>
    <row r="536" ht="15.75" customHeight="1" s="174">
      <c r="A536" s="3" t="inlineStr">
        <is>
          <t>5674176425</t>
        </is>
      </c>
      <c r="B536" s="3" t="inlineStr">
        <is>
          <t>Hot Lava Agency</t>
        </is>
      </c>
      <c r="C536" s="3" t="inlineStr">
        <is>
          <t>HOT LAVA AGENCY LLC</t>
        </is>
      </c>
      <c r="D536" s="3" t="inlineStr">
        <is>
          <t>Open</t>
        </is>
      </c>
      <c r="E536" s="23" t="n">
        <v>46036</v>
      </c>
      <c r="F536" s="23" t="n">
        <v>46240</v>
      </c>
      <c r="G536" s="3" t="n">
        <v>2</v>
      </c>
      <c r="H536" s="3" t="inlineStr">
        <is>
          <t>0139</t>
        </is>
      </c>
      <c r="I536" s="3" t="inlineStr">
        <is>
          <t>01</t>
        </is>
      </c>
      <c r="J536" s="3" t="inlineStr">
        <is>
          <t>CA</t>
        </is>
      </c>
      <c r="K536" s="3" t="inlineStr">
        <is>
          <t>Fundwell</t>
        </is>
      </c>
      <c r="L536" s="3" t="inlineStr">
        <is>
          <t>New Deal</t>
        </is>
      </c>
      <c r="M536" s="3" t="n">
        <v>1.339</v>
      </c>
      <c r="N536" s="28" t="n">
        <v>100000</v>
      </c>
      <c r="O536" s="28" t="n">
        <v>8000</v>
      </c>
      <c r="P536" s="28" t="n">
        <v>133900</v>
      </c>
      <c r="Q536" s="28" t="n">
        <v>83782.49000000001</v>
      </c>
      <c r="R536" s="28" t="n">
        <v>50117.51</v>
      </c>
      <c r="S536" s="42" t="n">
        <v>0.625709410007468</v>
      </c>
      <c r="T536" s="3" t="n">
        <v>48</v>
      </c>
      <c r="U536" s="3" t="n">
        <v>0</v>
      </c>
      <c r="V536" s="3" t="n">
        <v>389233.5</v>
      </c>
      <c r="W536" s="42" t="n">
        <v>0.0287</v>
      </c>
      <c r="X536" s="23" t="n">
        <v>45244</v>
      </c>
      <c r="Y536" s="3">
        <f>IF(I536="","No SIC",IFERROR(VLOOKUP(I536,Ref!$A$2:$B$65,2,FALSE()),"Unclassified"))</f>
        <v/>
      </c>
      <c r="Z536" s="3">
        <f>IF(T536="","",IF(T536&lt;12,"Daily","Weekly"))</f>
        <v/>
      </c>
      <c r="AA536" s="3">
        <f>IF(T536="",0,IF(T536&lt;12,T536*Controls!$B$13,T536*5))</f>
        <v/>
      </c>
      <c r="AB536" s="3">
        <f>IF(E536="",0,NETWORKDAYS(E536,Controls!$B$20,Ref!$K$2:$K$42))</f>
        <v/>
      </c>
      <c r="AC536" s="3">
        <f>IF(OR(AF536=1,AND(AA536&gt;0,AB536&gt;=Controls!$B$23*AA536)),1,0)</f>
        <v/>
      </c>
      <c r="AD536" s="3">
        <f>IF(AND(E536&lt;&gt;"",E536&gt;=Controls!$B$21,E536&lt;=Controls!$B$22),1,0)</f>
        <v/>
      </c>
      <c r="AE536" s="3">
        <f>IF(IFERROR(VLOOKUP(D536,Controls!$A$36:$E$46,2,FALSE()),"No")="Yes",1,0)</f>
        <v/>
      </c>
      <c r="AF536" s="3">
        <f>IF(IFERROR(VLOOKUP(D536,Controls!$A$36:$E$46,3,FALSE()),"No")="Yes",1,0)</f>
        <v/>
      </c>
      <c r="AG536" s="3">
        <f>IF(IFERROR(VLOOKUP(D536,Controls!$A$36:$E$46,4,FALSE()),"No")="Yes",1,0)</f>
        <v/>
      </c>
      <c r="AH536" s="3">
        <f>IF(IFERROR(VLOOKUP(D536,Controls!$A$36:$E$46,5,FALSE()),"No")="Yes",1,0)</f>
        <v/>
      </c>
      <c r="AI536" s="3">
        <f>IF(ISNUMBER(MATCH(D536,Controls!$A$36:$A$46,0)),1,0)</f>
        <v/>
      </c>
      <c r="AJ536" s="28">
        <f>Q536-N536</f>
        <v/>
      </c>
      <c r="AK536" s="3">
        <f>IF(AE536=1,MAX(0,N536-Q536),0)</f>
        <v/>
      </c>
      <c r="AL536" s="3">
        <f>IF(OR(V536="",V536=0),0,N536/V536)</f>
        <v/>
      </c>
      <c r="AM536" s="3">
        <f>IF(OR(V536="",V536=0),0,1)</f>
        <v/>
      </c>
      <c r="AN536" s="3">
        <f>IF(OR(E536="",F536=""),0,NETWORKDAYS(E536,F536,Ref!$K$2:$K$42))</f>
        <v/>
      </c>
      <c r="AO536" s="3">
        <f>IF(L536="Renewal",1,0)</f>
        <v/>
      </c>
      <c r="AP536" s="3">
        <f>AC536*AD536</f>
        <v/>
      </c>
      <c r="AQ536" s="3">
        <f>IF(AND(G536&lt;&gt;"",'Historical Score'!$C$6&lt;&gt;""),IF(G536='Historical Score'!$C$6,1,0),0)</f>
        <v/>
      </c>
      <c r="AR536" s="3">
        <f>IF(AND(L536&lt;&gt;"",'Historical Score'!$C$5&lt;&gt;""),IF(L536='Historical Score'!$C$5,1,0),0)</f>
        <v/>
      </c>
      <c r="AS536" s="3">
        <f>IF(AND(Y536&lt;&gt;"",'Historical Score'!$C$7&lt;&gt;""),IF(Y536='Historical Score'!$C$7,1,0),0)</f>
        <v/>
      </c>
      <c r="AT536" s="3">
        <f>IF(AND(K536&lt;&gt;"",'Historical Score'!$C$8&lt;&gt;""),IF(K536='Historical Score'!$C$8,1,0),0)</f>
        <v/>
      </c>
      <c r="AU536" s="3" t="n"/>
      <c r="AV536" s="3" t="n"/>
      <c r="AW536" s="3" t="n"/>
      <c r="AX536" s="3" t="n"/>
      <c r="AY536" s="3" t="n"/>
      <c r="AZ536" s="3" t="n"/>
      <c r="BA536" s="182">
        <f>IF(AD536=1,(AR536*'Historical Score'!$K$29+1-'Historical Score'!$K$29)*(AT536*'Historical Score'!$L$29+1-'Historical Score'!$L$29)*(AS536*'Historical Score'!$M$29+1-'Historical Score'!$M$29)*(AQ536*'Historical Score'!$N$29+1-'Historical Score'!$N$29),0)</f>
        <v/>
      </c>
      <c r="BB536" s="3" t="n"/>
      <c r="BC536" s="3" t="n"/>
    </row>
    <row r="537" ht="15.75" customHeight="1" s="174">
      <c r="A537" s="3" t="inlineStr">
        <is>
          <t>5674176533</t>
        </is>
      </c>
      <c r="B537" s="3" t="inlineStr">
        <is>
          <t>BRIAN K MOTZ DDS PC</t>
        </is>
      </c>
      <c r="C537" s="3" t="inlineStr">
        <is>
          <t>BRIAN K MOTZ DDS PC</t>
        </is>
      </c>
      <c r="D537" s="3" t="inlineStr">
        <is>
          <t>Closed</t>
        </is>
      </c>
      <c r="E537" s="23" t="n">
        <v>46037</v>
      </c>
      <c r="F537" s="23" t="n">
        <v>46119</v>
      </c>
      <c r="G537" s="3" t="n">
        <v>1</v>
      </c>
      <c r="H537" s="3" t="inlineStr">
        <is>
          <t>8021</t>
        </is>
      </c>
      <c r="I537" s="3" t="inlineStr">
        <is>
          <t>80</t>
        </is>
      </c>
      <c r="J537" s="3" t="inlineStr">
        <is>
          <t>MD</t>
        </is>
      </c>
      <c r="K537" s="3" t="inlineStr">
        <is>
          <t>United Secured Capital 8</t>
        </is>
      </c>
      <c r="L537" s="3" t="inlineStr">
        <is>
          <t>New Deal</t>
        </is>
      </c>
      <c r="M537" s="3" t="n">
        <v>1.47533333</v>
      </c>
      <c r="N537" s="28" t="n">
        <v>22500</v>
      </c>
      <c r="O537" s="28" t="n">
        <v>3150</v>
      </c>
      <c r="P537" s="28" t="n">
        <v>33194.999925</v>
      </c>
      <c r="Q537" s="28" t="n">
        <v>33195</v>
      </c>
      <c r="R537" s="28" t="n">
        <v>-7.50000035623089e-05</v>
      </c>
      <c r="S537" s="42" t="n">
        <v>1.00000000225938</v>
      </c>
      <c r="T537" s="3" t="n">
        <v>22</v>
      </c>
      <c r="U537" s="3" t="n">
        <v>0</v>
      </c>
      <c r="V537" s="3" t="n">
        <v>85821.21000000001</v>
      </c>
      <c r="W537" s="42" t="n">
        <v>0.07099999999999999</v>
      </c>
      <c r="X537" s="23" t="n"/>
      <c r="Y537" s="3">
        <f>IF(I537="","No SIC",IFERROR(VLOOKUP(I537,Ref!$A$2:$B$65,2,FALSE()),"Unclassified"))</f>
        <v/>
      </c>
      <c r="Z537" s="3">
        <f>IF(T537="","",IF(T537&lt;12,"Daily","Weekly"))</f>
        <v/>
      </c>
      <c r="AA537" s="3">
        <f>IF(T537="",0,IF(T537&lt;12,T537*Controls!$B$13,T537*5))</f>
        <v/>
      </c>
      <c r="AB537" s="3">
        <f>IF(E537="",0,NETWORKDAYS(E537,Controls!$B$20,Ref!$K$2:$K$42))</f>
        <v/>
      </c>
      <c r="AC537" s="3">
        <f>IF(OR(AF537=1,AND(AA537&gt;0,AB537&gt;=Controls!$B$23*AA537)),1,0)</f>
        <v/>
      </c>
      <c r="AD537" s="3">
        <f>IF(AND(E537&lt;&gt;"",E537&gt;=Controls!$B$21,E537&lt;=Controls!$B$22),1,0)</f>
        <v/>
      </c>
      <c r="AE537" s="3">
        <f>IF(IFERROR(VLOOKUP(D537,Controls!$A$36:$E$46,2,FALSE()),"No")="Yes",1,0)</f>
        <v/>
      </c>
      <c r="AF537" s="3">
        <f>IF(IFERROR(VLOOKUP(D537,Controls!$A$36:$E$46,3,FALSE()),"No")="Yes",1,0)</f>
        <v/>
      </c>
      <c r="AG537" s="3">
        <f>IF(IFERROR(VLOOKUP(D537,Controls!$A$36:$E$46,4,FALSE()),"No")="Yes",1,0)</f>
        <v/>
      </c>
      <c r="AH537" s="3">
        <f>IF(IFERROR(VLOOKUP(D537,Controls!$A$36:$E$46,5,FALSE()),"No")="Yes",1,0)</f>
        <v/>
      </c>
      <c r="AI537" s="3">
        <f>IF(ISNUMBER(MATCH(D537,Controls!$A$36:$A$46,0)),1,0)</f>
        <v/>
      </c>
      <c r="AJ537" s="28">
        <f>Q537-N537</f>
        <v/>
      </c>
      <c r="AK537" s="3">
        <f>IF(AE537=1,MAX(0,N537-Q537),0)</f>
        <v/>
      </c>
      <c r="AL537" s="3">
        <f>IF(OR(V537="",V537=0),0,N537/V537)</f>
        <v/>
      </c>
      <c r="AM537" s="3">
        <f>IF(OR(V537="",V537=0),0,1)</f>
        <v/>
      </c>
      <c r="AN537" s="3">
        <f>IF(OR(E537="",F537=""),0,NETWORKDAYS(E537,F537,Ref!$K$2:$K$42))</f>
        <v/>
      </c>
      <c r="AO537" s="3">
        <f>IF(L537="Renewal",1,0)</f>
        <v/>
      </c>
      <c r="AP537" s="3">
        <f>AC537*AD537</f>
        <v/>
      </c>
      <c r="AQ537" s="3">
        <f>IF(AND(G537&lt;&gt;"",'Historical Score'!$C$6&lt;&gt;""),IF(G537='Historical Score'!$C$6,1,0),0)</f>
        <v/>
      </c>
      <c r="AR537" s="3">
        <f>IF(AND(L537&lt;&gt;"",'Historical Score'!$C$5&lt;&gt;""),IF(L537='Historical Score'!$C$5,1,0),0)</f>
        <v/>
      </c>
      <c r="AS537" s="3">
        <f>IF(AND(Y537&lt;&gt;"",'Historical Score'!$C$7&lt;&gt;""),IF(Y537='Historical Score'!$C$7,1,0),0)</f>
        <v/>
      </c>
      <c r="AT537" s="3">
        <f>IF(AND(K537&lt;&gt;"",'Historical Score'!$C$8&lt;&gt;""),IF(K537='Historical Score'!$C$8,1,0),0)</f>
        <v/>
      </c>
      <c r="AU537" s="3" t="n"/>
      <c r="AV537" s="3" t="n"/>
      <c r="AW537" s="3" t="n"/>
      <c r="AX537" s="3" t="n"/>
      <c r="AY537" s="3" t="n"/>
      <c r="AZ537" s="3" t="n"/>
      <c r="BA537" s="182">
        <f>IF(AD537=1,(AR537*'Historical Score'!$K$29+1-'Historical Score'!$K$29)*(AT537*'Historical Score'!$L$29+1-'Historical Score'!$L$29)*(AS537*'Historical Score'!$M$29+1-'Historical Score'!$M$29)*(AQ537*'Historical Score'!$N$29+1-'Historical Score'!$N$29),0)</f>
        <v/>
      </c>
      <c r="BB537" s="3" t="n"/>
      <c r="BC537" s="3" t="n"/>
    </row>
    <row r="538" ht="15.75" customHeight="1" s="174">
      <c r="A538" s="3" t="inlineStr">
        <is>
          <t>5674176539</t>
        </is>
      </c>
      <c r="B538" s="3" t="inlineStr">
        <is>
          <t>MAPD HELPDESK INSURANCE AGENCY</t>
        </is>
      </c>
      <c r="C538" s="3" t="inlineStr">
        <is>
          <t>MAPD HELPDESK INSURANCE AGENCY</t>
        </is>
      </c>
      <c r="D538" s="3" t="inlineStr">
        <is>
          <t>Legal</t>
        </is>
      </c>
      <c r="E538" s="23" t="n">
        <v>46037</v>
      </c>
      <c r="F538" s="23" t="n">
        <v>46058</v>
      </c>
      <c r="G538" s="3" t="n">
        <v>4</v>
      </c>
      <c r="H538" s="3" t="inlineStr">
        <is>
          <t>6411</t>
        </is>
      </c>
      <c r="I538" s="3" t="inlineStr">
        <is>
          <t>64</t>
        </is>
      </c>
      <c r="J538" s="3" t="inlineStr">
        <is>
          <t>FL</t>
        </is>
      </c>
      <c r="K538" s="3" t="inlineStr">
        <is>
          <t>Top Floor Advance</t>
        </is>
      </c>
      <c r="L538" s="3" t="inlineStr">
        <is>
          <t>New Deal</t>
        </is>
      </c>
      <c r="M538" s="3" t="n">
        <v>1.49</v>
      </c>
      <c r="N538" s="28" t="n">
        <v>20000</v>
      </c>
      <c r="O538" s="28" t="n">
        <v>2800</v>
      </c>
      <c r="P538" s="28" t="n">
        <v>29800</v>
      </c>
      <c r="Q538" s="28" t="n">
        <v>1991.06</v>
      </c>
      <c r="R538" s="28" t="n">
        <v>27808.94</v>
      </c>
      <c r="S538" s="42" t="n">
        <v>0.06681409395973149</v>
      </c>
      <c r="T538" s="3" t="n">
        <v>30</v>
      </c>
      <c r="U538" s="3" t="n">
        <v>1</v>
      </c>
      <c r="V538" s="3" t="n">
        <v>228857.97</v>
      </c>
      <c r="W538" s="42" t="n">
        <v>0.0174</v>
      </c>
      <c r="X538" s="23" t="n">
        <v>44149</v>
      </c>
      <c r="Y538" s="3">
        <f>IF(I538="","No SIC",IFERROR(VLOOKUP(I538,Ref!$A$2:$B$65,2,FALSE()),"Unclassified"))</f>
        <v/>
      </c>
      <c r="Z538" s="3">
        <f>IF(T538="","",IF(T538&lt;12,"Daily","Weekly"))</f>
        <v/>
      </c>
      <c r="AA538" s="3">
        <f>IF(T538="",0,IF(T538&lt;12,T538*Controls!$B$13,T538*5))</f>
        <v/>
      </c>
      <c r="AB538" s="3">
        <f>IF(E538="",0,NETWORKDAYS(E538,Controls!$B$20,Ref!$K$2:$K$42))</f>
        <v/>
      </c>
      <c r="AC538" s="3">
        <f>IF(OR(AF538=1,AND(AA538&gt;0,AB538&gt;=Controls!$B$23*AA538)),1,0)</f>
        <v/>
      </c>
      <c r="AD538" s="3">
        <f>IF(AND(E538&lt;&gt;"",E538&gt;=Controls!$B$21,E538&lt;=Controls!$B$22),1,0)</f>
        <v/>
      </c>
      <c r="AE538" s="3">
        <f>IF(IFERROR(VLOOKUP(D538,Controls!$A$36:$E$46,2,FALSE()),"No")="Yes",1,0)</f>
        <v/>
      </c>
      <c r="AF538" s="3">
        <f>IF(IFERROR(VLOOKUP(D538,Controls!$A$36:$E$46,3,FALSE()),"No")="Yes",1,0)</f>
        <v/>
      </c>
      <c r="AG538" s="3">
        <f>IF(IFERROR(VLOOKUP(D538,Controls!$A$36:$E$46,4,FALSE()),"No")="Yes",1,0)</f>
        <v/>
      </c>
      <c r="AH538" s="3">
        <f>IF(IFERROR(VLOOKUP(D538,Controls!$A$36:$E$46,5,FALSE()),"No")="Yes",1,0)</f>
        <v/>
      </c>
      <c r="AI538" s="3">
        <f>IF(ISNUMBER(MATCH(D538,Controls!$A$36:$A$46,0)),1,0)</f>
        <v/>
      </c>
      <c r="AJ538" s="28">
        <f>Q538-N538</f>
        <v/>
      </c>
      <c r="AK538" s="3">
        <f>IF(AE538=1,MAX(0,N538-Q538),0)</f>
        <v/>
      </c>
      <c r="AL538" s="3">
        <f>IF(OR(V538="",V538=0),0,N538/V538)</f>
        <v/>
      </c>
      <c r="AM538" s="3">
        <f>IF(OR(V538="",V538=0),0,1)</f>
        <v/>
      </c>
      <c r="AN538" s="3">
        <f>IF(OR(E538="",F538=""),0,NETWORKDAYS(E538,F538,Ref!$K$2:$K$42))</f>
        <v/>
      </c>
      <c r="AO538" s="3">
        <f>IF(L538="Renewal",1,0)</f>
        <v/>
      </c>
      <c r="AP538" s="3">
        <f>AC538*AD538</f>
        <v/>
      </c>
      <c r="AQ538" s="3">
        <f>IF(AND(G538&lt;&gt;"",'Historical Score'!$C$6&lt;&gt;""),IF(G538='Historical Score'!$C$6,1,0),0)</f>
        <v/>
      </c>
      <c r="AR538" s="3">
        <f>IF(AND(L538&lt;&gt;"",'Historical Score'!$C$5&lt;&gt;""),IF(L538='Historical Score'!$C$5,1,0),0)</f>
        <v/>
      </c>
      <c r="AS538" s="3">
        <f>IF(AND(Y538&lt;&gt;"",'Historical Score'!$C$7&lt;&gt;""),IF(Y538='Historical Score'!$C$7,1,0),0)</f>
        <v/>
      </c>
      <c r="AT538" s="3">
        <f>IF(AND(K538&lt;&gt;"",'Historical Score'!$C$8&lt;&gt;""),IF(K538='Historical Score'!$C$8,1,0),0)</f>
        <v/>
      </c>
      <c r="AU538" s="3" t="n"/>
      <c r="AV538" s="3" t="n"/>
      <c r="AW538" s="3" t="n"/>
      <c r="AX538" s="3" t="n"/>
      <c r="AY538" s="3" t="n"/>
      <c r="AZ538" s="3" t="n"/>
      <c r="BA538" s="182">
        <f>IF(AD538=1,(AR538*'Historical Score'!$K$29+1-'Historical Score'!$K$29)*(AT538*'Historical Score'!$L$29+1-'Historical Score'!$L$29)*(AS538*'Historical Score'!$M$29+1-'Historical Score'!$M$29)*(AQ538*'Historical Score'!$N$29+1-'Historical Score'!$N$29),0)</f>
        <v/>
      </c>
      <c r="BB538" s="3" t="n"/>
      <c r="BC538" s="3" t="n"/>
    </row>
    <row r="539" ht="15.75" customHeight="1" s="174">
      <c r="A539" s="3" t="inlineStr">
        <is>
          <t>5674176546</t>
        </is>
      </c>
      <c r="B539" s="3" t="inlineStr">
        <is>
          <t>INTOWN DOOR SERVICES</t>
        </is>
      </c>
      <c r="C539" s="3" t="inlineStr">
        <is>
          <t>Intown Door Services LLC</t>
        </is>
      </c>
      <c r="D539" s="3" t="inlineStr">
        <is>
          <t>Open</t>
        </is>
      </c>
      <c r="E539" s="23" t="n">
        <v>46037</v>
      </c>
      <c r="F539" s="23" t="n">
        <v>46247</v>
      </c>
      <c r="G539" s="3" t="n">
        <v>1</v>
      </c>
      <c r="H539" s="3" t="inlineStr">
        <is>
          <t>3442</t>
        </is>
      </c>
      <c r="I539" s="3" t="inlineStr">
        <is>
          <t>34</t>
        </is>
      </c>
      <c r="J539" s="3" t="inlineStr">
        <is>
          <t>GA</t>
        </is>
      </c>
      <c r="K539" s="3" t="inlineStr">
        <is>
          <t>Fundwell</t>
        </is>
      </c>
      <c r="L539" s="3" t="inlineStr">
        <is>
          <t>New Deal</t>
        </is>
      </c>
      <c r="M539" s="3" t="n">
        <v>1.36</v>
      </c>
      <c r="N539" s="28" t="n">
        <v>25000</v>
      </c>
      <c r="O539" s="28" t="n">
        <v>2625</v>
      </c>
      <c r="P539" s="28" t="n">
        <v>34000</v>
      </c>
      <c r="Q539" s="28" t="n">
        <v>26577</v>
      </c>
      <c r="R539" s="28" t="n">
        <v>7423</v>
      </c>
      <c r="S539" s="42" t="n">
        <v>0.781676470588235</v>
      </c>
      <c r="T539" s="3" t="n">
        <v>32</v>
      </c>
      <c r="U539" s="3" t="n">
        <v>6</v>
      </c>
      <c r="V539" s="3" t="n">
        <v>82891.31</v>
      </c>
      <c r="W539" s="42" t="n">
        <v>0.0513</v>
      </c>
      <c r="X539" s="23" t="n">
        <v>41690</v>
      </c>
      <c r="Y539" s="3">
        <f>IF(I539="","No SIC",IFERROR(VLOOKUP(I539,Ref!$A$2:$B$65,2,FALSE()),"Unclassified"))</f>
        <v/>
      </c>
      <c r="Z539" s="3">
        <f>IF(T539="","",IF(T539&lt;12,"Daily","Weekly"))</f>
        <v/>
      </c>
      <c r="AA539" s="3">
        <f>IF(T539="",0,IF(T539&lt;12,T539*Controls!$B$13,T539*5))</f>
        <v/>
      </c>
      <c r="AB539" s="3">
        <f>IF(E539="",0,NETWORKDAYS(E539,Controls!$B$20,Ref!$K$2:$K$42))</f>
        <v/>
      </c>
      <c r="AC539" s="3">
        <f>IF(OR(AF539=1,AND(AA539&gt;0,AB539&gt;=Controls!$B$23*AA539)),1,0)</f>
        <v/>
      </c>
      <c r="AD539" s="3">
        <f>IF(AND(E539&lt;&gt;"",E539&gt;=Controls!$B$21,E539&lt;=Controls!$B$22),1,0)</f>
        <v/>
      </c>
      <c r="AE539" s="3">
        <f>IF(IFERROR(VLOOKUP(D539,Controls!$A$36:$E$46,2,FALSE()),"No")="Yes",1,0)</f>
        <v/>
      </c>
      <c r="AF539" s="3">
        <f>IF(IFERROR(VLOOKUP(D539,Controls!$A$36:$E$46,3,FALSE()),"No")="Yes",1,0)</f>
        <v/>
      </c>
      <c r="AG539" s="3">
        <f>IF(IFERROR(VLOOKUP(D539,Controls!$A$36:$E$46,4,FALSE()),"No")="Yes",1,0)</f>
        <v/>
      </c>
      <c r="AH539" s="3">
        <f>IF(IFERROR(VLOOKUP(D539,Controls!$A$36:$E$46,5,FALSE()),"No")="Yes",1,0)</f>
        <v/>
      </c>
      <c r="AI539" s="3">
        <f>IF(ISNUMBER(MATCH(D539,Controls!$A$36:$A$46,0)),1,0)</f>
        <v/>
      </c>
      <c r="AJ539" s="28">
        <f>Q539-N539</f>
        <v/>
      </c>
      <c r="AK539" s="3">
        <f>IF(AE539=1,MAX(0,N539-Q539),0)</f>
        <v/>
      </c>
      <c r="AL539" s="3">
        <f>IF(OR(V539="",V539=0),0,N539/V539)</f>
        <v/>
      </c>
      <c r="AM539" s="3">
        <f>IF(OR(V539="",V539=0),0,1)</f>
        <v/>
      </c>
      <c r="AN539" s="3">
        <f>IF(OR(E539="",F539=""),0,NETWORKDAYS(E539,F539,Ref!$K$2:$K$42))</f>
        <v/>
      </c>
      <c r="AO539" s="3">
        <f>IF(L539="Renewal",1,0)</f>
        <v/>
      </c>
      <c r="AP539" s="3">
        <f>AC539*AD539</f>
        <v/>
      </c>
      <c r="AQ539" s="3">
        <f>IF(AND(G539&lt;&gt;"",'Historical Score'!$C$6&lt;&gt;""),IF(G539='Historical Score'!$C$6,1,0),0)</f>
        <v/>
      </c>
      <c r="AR539" s="3">
        <f>IF(AND(L539&lt;&gt;"",'Historical Score'!$C$5&lt;&gt;""),IF(L539='Historical Score'!$C$5,1,0),0)</f>
        <v/>
      </c>
      <c r="AS539" s="3">
        <f>IF(AND(Y539&lt;&gt;"",'Historical Score'!$C$7&lt;&gt;""),IF(Y539='Historical Score'!$C$7,1,0),0)</f>
        <v/>
      </c>
      <c r="AT539" s="3">
        <f>IF(AND(K539&lt;&gt;"",'Historical Score'!$C$8&lt;&gt;""),IF(K539='Historical Score'!$C$8,1,0),0)</f>
        <v/>
      </c>
      <c r="AU539" s="3" t="n"/>
      <c r="AV539" s="3" t="n"/>
      <c r="AW539" s="3" t="n"/>
      <c r="AX539" s="3" t="n"/>
      <c r="AY539" s="3" t="n"/>
      <c r="AZ539" s="3" t="n"/>
      <c r="BA539" s="182">
        <f>IF(AD539=1,(AR539*'Historical Score'!$K$29+1-'Historical Score'!$K$29)*(AT539*'Historical Score'!$L$29+1-'Historical Score'!$L$29)*(AS539*'Historical Score'!$M$29+1-'Historical Score'!$M$29)*(AQ539*'Historical Score'!$N$29+1-'Historical Score'!$N$29),0)</f>
        <v/>
      </c>
      <c r="BB539" s="3" t="n"/>
      <c r="BC539" s="3" t="n"/>
    </row>
    <row r="540" ht="15.75" customHeight="1" s="174">
      <c r="A540" s="3" t="inlineStr">
        <is>
          <t>5674176547</t>
        </is>
      </c>
      <c r="B540" s="3" t="inlineStr">
        <is>
          <t>MONTROSE CONCRETE, INC.</t>
        </is>
      </c>
      <c r="C540" s="3" t="inlineStr">
        <is>
          <t>MONTROSE CONCRETE, INC.</t>
        </is>
      </c>
      <c r="D540" s="3" t="inlineStr">
        <is>
          <t>Open</t>
        </is>
      </c>
      <c r="E540" s="23" t="n">
        <v>46037</v>
      </c>
      <c r="F540" s="23" t="n">
        <v>46253</v>
      </c>
      <c r="G540" s="3" t="n">
        <v>2</v>
      </c>
      <c r="H540" s="3" t="inlineStr">
        <is>
          <t>1771</t>
        </is>
      </c>
      <c r="I540" s="3" t="inlineStr">
        <is>
          <t>17</t>
        </is>
      </c>
      <c r="J540" s="3" t="inlineStr">
        <is>
          <t>TX</t>
        </is>
      </c>
      <c r="K540" s="3" t="inlineStr">
        <is>
          <t>Fundwell</t>
        </is>
      </c>
      <c r="L540" s="3" t="inlineStr">
        <is>
          <t>New Deal</t>
        </is>
      </c>
      <c r="M540" s="3" t="n">
        <v>1.38</v>
      </c>
      <c r="N540" s="28" t="n">
        <v>30000</v>
      </c>
      <c r="O540" s="28" t="n">
        <v>3450</v>
      </c>
      <c r="P540" s="28" t="n">
        <v>41400</v>
      </c>
      <c r="Q540" s="28" t="n">
        <v>38833.5</v>
      </c>
      <c r="R540" s="28" t="n">
        <v>2566.5</v>
      </c>
      <c r="S540" s="42" t="n">
        <v>0.938007246376812</v>
      </c>
      <c r="T540" s="3" t="n">
        <v>32</v>
      </c>
      <c r="U540" s="3" t="n">
        <v>1</v>
      </c>
      <c r="V540" s="3" t="n">
        <v>118154.64</v>
      </c>
      <c r="W540" s="42" t="n">
        <v>0.058</v>
      </c>
      <c r="X540" s="23" t="n">
        <v>29495</v>
      </c>
      <c r="Y540" s="3">
        <f>IF(I540="","No SIC",IFERROR(VLOOKUP(I540,Ref!$A$2:$B$65,2,FALSE()),"Unclassified"))</f>
        <v/>
      </c>
      <c r="Z540" s="3">
        <f>IF(T540="","",IF(T540&lt;12,"Daily","Weekly"))</f>
        <v/>
      </c>
      <c r="AA540" s="3">
        <f>IF(T540="",0,IF(T540&lt;12,T540*Controls!$B$13,T540*5))</f>
        <v/>
      </c>
      <c r="AB540" s="3">
        <f>IF(E540="",0,NETWORKDAYS(E540,Controls!$B$20,Ref!$K$2:$K$42))</f>
        <v/>
      </c>
      <c r="AC540" s="3">
        <f>IF(OR(AF540=1,AND(AA540&gt;0,AB540&gt;=Controls!$B$23*AA540)),1,0)</f>
        <v/>
      </c>
      <c r="AD540" s="3">
        <f>IF(AND(E540&lt;&gt;"",E540&gt;=Controls!$B$21,E540&lt;=Controls!$B$22),1,0)</f>
        <v/>
      </c>
      <c r="AE540" s="3">
        <f>IF(IFERROR(VLOOKUP(D540,Controls!$A$36:$E$46,2,FALSE()),"No")="Yes",1,0)</f>
        <v/>
      </c>
      <c r="AF540" s="3">
        <f>IF(IFERROR(VLOOKUP(D540,Controls!$A$36:$E$46,3,FALSE()),"No")="Yes",1,0)</f>
        <v/>
      </c>
      <c r="AG540" s="3">
        <f>IF(IFERROR(VLOOKUP(D540,Controls!$A$36:$E$46,4,FALSE()),"No")="Yes",1,0)</f>
        <v/>
      </c>
      <c r="AH540" s="3">
        <f>IF(IFERROR(VLOOKUP(D540,Controls!$A$36:$E$46,5,FALSE()),"No")="Yes",1,0)</f>
        <v/>
      </c>
      <c r="AI540" s="3">
        <f>IF(ISNUMBER(MATCH(D540,Controls!$A$36:$A$46,0)),1,0)</f>
        <v/>
      </c>
      <c r="AJ540" s="28">
        <f>Q540-N540</f>
        <v/>
      </c>
      <c r="AK540" s="3">
        <f>IF(AE540=1,MAX(0,N540-Q540),0)</f>
        <v/>
      </c>
      <c r="AL540" s="3">
        <f>IF(OR(V540="",V540=0),0,N540/V540)</f>
        <v/>
      </c>
      <c r="AM540" s="3">
        <f>IF(OR(V540="",V540=0),0,1)</f>
        <v/>
      </c>
      <c r="AN540" s="3">
        <f>IF(OR(E540="",F540=""),0,NETWORKDAYS(E540,F540,Ref!$K$2:$K$42))</f>
        <v/>
      </c>
      <c r="AO540" s="3">
        <f>IF(L540="Renewal",1,0)</f>
        <v/>
      </c>
      <c r="AP540" s="3">
        <f>AC540*AD540</f>
        <v/>
      </c>
      <c r="AQ540" s="3">
        <f>IF(AND(G540&lt;&gt;"",'Historical Score'!$C$6&lt;&gt;""),IF(G540='Historical Score'!$C$6,1,0),0)</f>
        <v/>
      </c>
      <c r="AR540" s="3">
        <f>IF(AND(L540&lt;&gt;"",'Historical Score'!$C$5&lt;&gt;""),IF(L540='Historical Score'!$C$5,1,0),0)</f>
        <v/>
      </c>
      <c r="AS540" s="3">
        <f>IF(AND(Y540&lt;&gt;"",'Historical Score'!$C$7&lt;&gt;""),IF(Y540='Historical Score'!$C$7,1,0),0)</f>
        <v/>
      </c>
      <c r="AT540" s="3">
        <f>IF(AND(K540&lt;&gt;"",'Historical Score'!$C$8&lt;&gt;""),IF(K540='Historical Score'!$C$8,1,0),0)</f>
        <v/>
      </c>
      <c r="AU540" s="3" t="n"/>
      <c r="AV540" s="3" t="n"/>
      <c r="AW540" s="3" t="n"/>
      <c r="AX540" s="3" t="n"/>
      <c r="AY540" s="3" t="n"/>
      <c r="AZ540" s="3" t="n"/>
      <c r="BA540" s="182">
        <f>IF(AD540=1,(AR540*'Historical Score'!$K$29+1-'Historical Score'!$K$29)*(AT540*'Historical Score'!$L$29+1-'Historical Score'!$L$29)*(AS540*'Historical Score'!$M$29+1-'Historical Score'!$M$29)*(AQ540*'Historical Score'!$N$29+1-'Historical Score'!$N$29),0)</f>
        <v/>
      </c>
      <c r="BB540" s="3" t="n"/>
      <c r="BC540" s="3" t="n"/>
    </row>
    <row r="541" ht="15.75" customHeight="1" s="174">
      <c r="A541" s="3" t="inlineStr">
        <is>
          <t>5674176597</t>
        </is>
      </c>
      <c r="B541" s="3" t="inlineStr">
        <is>
          <t>Simco Building and Remodeling</t>
        </is>
      </c>
      <c r="C541" s="3" t="inlineStr">
        <is>
          <t>Simco Building and Remodeling</t>
        </is>
      </c>
      <c r="D541" s="3" t="inlineStr">
        <is>
          <t>Legal</t>
        </is>
      </c>
      <c r="E541" s="23" t="n">
        <v>46037</v>
      </c>
      <c r="F541" s="23" t="n">
        <v>46122</v>
      </c>
      <c r="G541" s="3" t="n">
        <v>1</v>
      </c>
      <c r="H541" s="3" t="inlineStr">
        <is>
          <t>1521</t>
        </is>
      </c>
      <c r="I541" s="3" t="inlineStr">
        <is>
          <t>15</t>
        </is>
      </c>
      <c r="J541" s="3" t="inlineStr">
        <is>
          <t>MO</t>
        </is>
      </c>
      <c r="K541" s="3" t="inlineStr">
        <is>
          <t>TRUSTFI</t>
        </is>
      </c>
      <c r="L541" s="3" t="inlineStr">
        <is>
          <t>New Deal</t>
        </is>
      </c>
      <c r="M541" s="3" t="n">
        <v>1.49</v>
      </c>
      <c r="N541" s="28" t="n">
        <v>20000</v>
      </c>
      <c r="O541" s="28" t="n">
        <v>2800</v>
      </c>
      <c r="P541" s="28" t="n">
        <v>29800</v>
      </c>
      <c r="Q541" s="28" t="n">
        <v>13409.37</v>
      </c>
      <c r="R541" s="28" t="n">
        <v>16390.63</v>
      </c>
      <c r="S541" s="42" t="n">
        <v>0.449978859060403</v>
      </c>
      <c r="T541" s="3" t="n">
        <v>20</v>
      </c>
      <c r="U541" s="3" t="n">
        <v>3</v>
      </c>
      <c r="V541" s="3" t="n">
        <v>36141.37</v>
      </c>
      <c r="W541" s="42" t="n">
        <v>0.1649</v>
      </c>
      <c r="X541" s="23" t="n">
        <v>45078</v>
      </c>
      <c r="Y541" s="3">
        <f>IF(I541="","No SIC",IFERROR(VLOOKUP(I541,Ref!$A$2:$B$65,2,FALSE()),"Unclassified"))</f>
        <v/>
      </c>
      <c r="Z541" s="3">
        <f>IF(T541="","",IF(T541&lt;12,"Daily","Weekly"))</f>
        <v/>
      </c>
      <c r="AA541" s="3">
        <f>IF(T541="",0,IF(T541&lt;12,T541*Controls!$B$13,T541*5))</f>
        <v/>
      </c>
      <c r="AB541" s="3">
        <f>IF(E541="",0,NETWORKDAYS(E541,Controls!$B$20,Ref!$K$2:$K$42))</f>
        <v/>
      </c>
      <c r="AC541" s="3">
        <f>IF(OR(AF541=1,AND(AA541&gt;0,AB541&gt;=Controls!$B$23*AA541)),1,0)</f>
        <v/>
      </c>
      <c r="AD541" s="3">
        <f>IF(AND(E541&lt;&gt;"",E541&gt;=Controls!$B$21,E541&lt;=Controls!$B$22),1,0)</f>
        <v/>
      </c>
      <c r="AE541" s="3">
        <f>IF(IFERROR(VLOOKUP(D541,Controls!$A$36:$E$46,2,FALSE()),"No")="Yes",1,0)</f>
        <v/>
      </c>
      <c r="AF541" s="3">
        <f>IF(IFERROR(VLOOKUP(D541,Controls!$A$36:$E$46,3,FALSE()),"No")="Yes",1,0)</f>
        <v/>
      </c>
      <c r="AG541" s="3">
        <f>IF(IFERROR(VLOOKUP(D541,Controls!$A$36:$E$46,4,FALSE()),"No")="Yes",1,0)</f>
        <v/>
      </c>
      <c r="AH541" s="3">
        <f>IF(IFERROR(VLOOKUP(D541,Controls!$A$36:$E$46,5,FALSE()),"No")="Yes",1,0)</f>
        <v/>
      </c>
      <c r="AI541" s="3">
        <f>IF(ISNUMBER(MATCH(D541,Controls!$A$36:$A$46,0)),1,0)</f>
        <v/>
      </c>
      <c r="AJ541" s="28">
        <f>Q541-N541</f>
        <v/>
      </c>
      <c r="AK541" s="3">
        <f>IF(AE541=1,MAX(0,N541-Q541),0)</f>
        <v/>
      </c>
      <c r="AL541" s="3">
        <f>IF(OR(V541="",V541=0),0,N541/V541)</f>
        <v/>
      </c>
      <c r="AM541" s="3">
        <f>IF(OR(V541="",V541=0),0,1)</f>
        <v/>
      </c>
      <c r="AN541" s="3">
        <f>IF(OR(E541="",F541=""),0,NETWORKDAYS(E541,F541,Ref!$K$2:$K$42))</f>
        <v/>
      </c>
      <c r="AO541" s="3">
        <f>IF(L541="Renewal",1,0)</f>
        <v/>
      </c>
      <c r="AP541" s="3">
        <f>AC541*AD541</f>
        <v/>
      </c>
      <c r="AQ541" s="3">
        <f>IF(AND(G541&lt;&gt;"",'Historical Score'!$C$6&lt;&gt;""),IF(G541='Historical Score'!$C$6,1,0),0)</f>
        <v/>
      </c>
      <c r="AR541" s="3">
        <f>IF(AND(L541&lt;&gt;"",'Historical Score'!$C$5&lt;&gt;""),IF(L541='Historical Score'!$C$5,1,0),0)</f>
        <v/>
      </c>
      <c r="AS541" s="3">
        <f>IF(AND(Y541&lt;&gt;"",'Historical Score'!$C$7&lt;&gt;""),IF(Y541='Historical Score'!$C$7,1,0),0)</f>
        <v/>
      </c>
      <c r="AT541" s="3">
        <f>IF(AND(K541&lt;&gt;"",'Historical Score'!$C$8&lt;&gt;""),IF(K541='Historical Score'!$C$8,1,0),0)</f>
        <v/>
      </c>
      <c r="AU541" s="3" t="n"/>
      <c r="AV541" s="3" t="n"/>
      <c r="AW541" s="3" t="n"/>
      <c r="AX541" s="3" t="n"/>
      <c r="AY541" s="3" t="n"/>
      <c r="AZ541" s="3" t="n"/>
      <c r="BA541" s="182">
        <f>IF(AD541=1,(AR541*'Historical Score'!$K$29+1-'Historical Score'!$K$29)*(AT541*'Historical Score'!$L$29+1-'Historical Score'!$L$29)*(AS541*'Historical Score'!$M$29+1-'Historical Score'!$M$29)*(AQ541*'Historical Score'!$N$29+1-'Historical Score'!$N$29),0)</f>
        <v/>
      </c>
      <c r="BB541" s="3" t="n"/>
      <c r="BC541" s="3" t="n"/>
    </row>
    <row r="542" ht="15.75" customHeight="1" s="174">
      <c r="A542" s="3" t="inlineStr">
        <is>
          <t>5674176604</t>
        </is>
      </c>
      <c r="B542" s="3" t="inlineStr">
        <is>
          <t>LOS ALVAREZ CONSTRUCTION SERVICE CORP</t>
        </is>
      </c>
      <c r="C542" s="3" t="inlineStr">
        <is>
          <t>LOS ALVAREZ CONSTRUCTION SERVICE CORP</t>
        </is>
      </c>
      <c r="D542" s="3" t="inlineStr">
        <is>
          <t>Legal</t>
        </is>
      </c>
      <c r="E542" s="23" t="n">
        <v>46037</v>
      </c>
      <c r="F542" s="23" t="n">
        <v>46136</v>
      </c>
      <c r="G542" s="3" t="n">
        <v>1</v>
      </c>
      <c r="H542" s="3" t="inlineStr">
        <is>
          <t>1521</t>
        </is>
      </c>
      <c r="I542" s="3" t="inlineStr">
        <is>
          <t>15</t>
        </is>
      </c>
      <c r="J542" s="3" t="inlineStr">
        <is>
          <t>FL</t>
        </is>
      </c>
      <c r="K542" s="3" t="inlineStr">
        <is>
          <t>Ballicci</t>
        </is>
      </c>
      <c r="L542" s="3" t="inlineStr">
        <is>
          <t>New Deal</t>
        </is>
      </c>
      <c r="M542" s="3" t="n">
        <v>1.49</v>
      </c>
      <c r="N542" s="28" t="n">
        <v>25000</v>
      </c>
      <c r="O542" s="28" t="n">
        <v>3500</v>
      </c>
      <c r="P542" s="28" t="n">
        <v>37250</v>
      </c>
      <c r="Q542" s="28" t="n">
        <v>413.84</v>
      </c>
      <c r="R542" s="28" t="n">
        <v>36836.16</v>
      </c>
      <c r="S542" s="42" t="n">
        <v>0.0111097986577181</v>
      </c>
      <c r="T542" s="3" t="n">
        <v>2.951</v>
      </c>
      <c r="U542" s="3" t="n">
        <v>12</v>
      </c>
      <c r="V542" s="3" t="n">
        <v>48578.52</v>
      </c>
      <c r="W542" s="42" t="n">
        <v>0.1789</v>
      </c>
      <c r="X542" s="23" t="n">
        <v>45510</v>
      </c>
      <c r="Y542" s="3">
        <f>IF(I542="","No SIC",IFERROR(VLOOKUP(I542,Ref!$A$2:$B$65,2,FALSE()),"Unclassified"))</f>
        <v/>
      </c>
      <c r="Z542" s="3">
        <f>IF(T542="","",IF(T542&lt;12,"Daily","Weekly"))</f>
        <v/>
      </c>
      <c r="AA542" s="3">
        <f>IF(T542="",0,IF(T542&lt;12,T542*Controls!$B$13,T542*5))</f>
        <v/>
      </c>
      <c r="AB542" s="3">
        <f>IF(E542="",0,NETWORKDAYS(E542,Controls!$B$20,Ref!$K$2:$K$42))</f>
        <v/>
      </c>
      <c r="AC542" s="3">
        <f>IF(OR(AF542=1,AND(AA542&gt;0,AB542&gt;=Controls!$B$23*AA542)),1,0)</f>
        <v/>
      </c>
      <c r="AD542" s="3">
        <f>IF(AND(E542&lt;&gt;"",E542&gt;=Controls!$B$21,E542&lt;=Controls!$B$22),1,0)</f>
        <v/>
      </c>
      <c r="AE542" s="3">
        <f>IF(IFERROR(VLOOKUP(D542,Controls!$A$36:$E$46,2,FALSE()),"No")="Yes",1,0)</f>
        <v/>
      </c>
      <c r="AF542" s="3">
        <f>IF(IFERROR(VLOOKUP(D542,Controls!$A$36:$E$46,3,FALSE()),"No")="Yes",1,0)</f>
        <v/>
      </c>
      <c r="AG542" s="3">
        <f>IF(IFERROR(VLOOKUP(D542,Controls!$A$36:$E$46,4,FALSE()),"No")="Yes",1,0)</f>
        <v/>
      </c>
      <c r="AH542" s="3">
        <f>IF(IFERROR(VLOOKUP(D542,Controls!$A$36:$E$46,5,FALSE()),"No")="Yes",1,0)</f>
        <v/>
      </c>
      <c r="AI542" s="3">
        <f>IF(ISNUMBER(MATCH(D542,Controls!$A$36:$A$46,0)),1,0)</f>
        <v/>
      </c>
      <c r="AJ542" s="28">
        <f>Q542-N542</f>
        <v/>
      </c>
      <c r="AK542" s="3">
        <f>IF(AE542=1,MAX(0,N542-Q542),0)</f>
        <v/>
      </c>
      <c r="AL542" s="3">
        <f>IF(OR(V542="",V542=0),0,N542/V542)</f>
        <v/>
      </c>
      <c r="AM542" s="3">
        <f>IF(OR(V542="",V542=0),0,1)</f>
        <v/>
      </c>
      <c r="AN542" s="3">
        <f>IF(OR(E542="",F542=""),0,NETWORKDAYS(E542,F542,Ref!$K$2:$K$42))</f>
        <v/>
      </c>
      <c r="AO542" s="3">
        <f>IF(L542="Renewal",1,0)</f>
        <v/>
      </c>
      <c r="AP542" s="3">
        <f>AC542*AD542</f>
        <v/>
      </c>
      <c r="AQ542" s="3">
        <f>IF(AND(G542&lt;&gt;"",'Historical Score'!$C$6&lt;&gt;""),IF(G542='Historical Score'!$C$6,1,0),0)</f>
        <v/>
      </c>
      <c r="AR542" s="3">
        <f>IF(AND(L542&lt;&gt;"",'Historical Score'!$C$5&lt;&gt;""),IF(L542='Historical Score'!$C$5,1,0),0)</f>
        <v/>
      </c>
      <c r="AS542" s="3">
        <f>IF(AND(Y542&lt;&gt;"",'Historical Score'!$C$7&lt;&gt;""),IF(Y542='Historical Score'!$C$7,1,0),0)</f>
        <v/>
      </c>
      <c r="AT542" s="3">
        <f>IF(AND(K542&lt;&gt;"",'Historical Score'!$C$8&lt;&gt;""),IF(K542='Historical Score'!$C$8,1,0),0)</f>
        <v/>
      </c>
      <c r="AU542" s="3" t="n"/>
      <c r="AV542" s="3" t="n"/>
      <c r="AW542" s="3" t="n"/>
      <c r="AX542" s="3" t="n"/>
      <c r="AY542" s="3" t="n"/>
      <c r="AZ542" s="3" t="n"/>
      <c r="BA542" s="182">
        <f>IF(AD542=1,(AR542*'Historical Score'!$K$29+1-'Historical Score'!$K$29)*(AT542*'Historical Score'!$L$29+1-'Historical Score'!$L$29)*(AS542*'Historical Score'!$M$29+1-'Historical Score'!$M$29)*(AQ542*'Historical Score'!$N$29+1-'Historical Score'!$N$29),0)</f>
        <v/>
      </c>
      <c r="BB542" s="3" t="n"/>
      <c r="BC542" s="3" t="n"/>
    </row>
    <row r="543" ht="15.75" customHeight="1" s="174">
      <c r="A543" s="3" t="inlineStr">
        <is>
          <t>5674176627</t>
        </is>
      </c>
      <c r="B543" s="3" t="inlineStr">
        <is>
          <t>SIERRA SHRED</t>
        </is>
      </c>
      <c r="C543" s="3" t="inlineStr">
        <is>
          <t>SIERRA SHRED LLC</t>
        </is>
      </c>
      <c r="D543" s="3" t="inlineStr">
        <is>
          <t>Settlement Agreement</t>
        </is>
      </c>
      <c r="E543" s="23" t="n">
        <v>46037</v>
      </c>
      <c r="F543" s="23" t="n">
        <v>46238</v>
      </c>
      <c r="G543" s="3" t="n">
        <v>1</v>
      </c>
      <c r="H543" s="3" t="inlineStr">
        <is>
          <t>5093</t>
        </is>
      </c>
      <c r="I543" s="3" t="inlineStr">
        <is>
          <t>50</t>
        </is>
      </c>
      <c r="J543" s="3" t="inlineStr">
        <is>
          <t>TX</t>
        </is>
      </c>
      <c r="K543" s="3" t="inlineStr">
        <is>
          <t>secure way capital</t>
        </is>
      </c>
      <c r="L543" s="3" t="inlineStr">
        <is>
          <t>New Deal</t>
        </is>
      </c>
      <c r="M543" s="3" t="n">
        <v>1.4</v>
      </c>
      <c r="N543" s="28" t="n">
        <v>40000</v>
      </c>
      <c r="O543" s="28" t="n">
        <v>3800</v>
      </c>
      <c r="P543" s="28" t="n">
        <v>56000</v>
      </c>
      <c r="Q543" s="28" t="n">
        <v>45344.94</v>
      </c>
      <c r="R543" s="28" t="n">
        <v>10655.06</v>
      </c>
      <c r="S543" s="42" t="n">
        <v>0.809731071428572</v>
      </c>
      <c r="T543" s="3" t="n">
        <v>2.459</v>
      </c>
      <c r="U543" s="3" t="n">
        <v>31</v>
      </c>
      <c r="V543" s="3" t="n">
        <v>300161.23</v>
      </c>
      <c r="W543" s="42" t="n">
        <v>0.0468</v>
      </c>
      <c r="X543" s="23" t="n">
        <v>38951</v>
      </c>
      <c r="Y543" s="3">
        <f>IF(I543="","No SIC",IFERROR(VLOOKUP(I543,Ref!$A$2:$B$65,2,FALSE()),"Unclassified"))</f>
        <v/>
      </c>
      <c r="Z543" s="3">
        <f>IF(T543="","",IF(T543&lt;12,"Daily","Weekly"))</f>
        <v/>
      </c>
      <c r="AA543" s="3">
        <f>IF(T543="",0,IF(T543&lt;12,T543*Controls!$B$13,T543*5))</f>
        <v/>
      </c>
      <c r="AB543" s="3">
        <f>IF(E543="",0,NETWORKDAYS(E543,Controls!$B$20,Ref!$K$2:$K$42))</f>
        <v/>
      </c>
      <c r="AC543" s="3">
        <f>IF(OR(AF543=1,AND(AA543&gt;0,AB543&gt;=Controls!$B$23*AA543)),1,0)</f>
        <v/>
      </c>
      <c r="AD543" s="3">
        <f>IF(AND(E543&lt;&gt;"",E543&gt;=Controls!$B$21,E543&lt;=Controls!$B$22),1,0)</f>
        <v/>
      </c>
      <c r="AE543" s="3">
        <f>IF(IFERROR(VLOOKUP(D543,Controls!$A$36:$E$46,2,FALSE()),"No")="Yes",1,0)</f>
        <v/>
      </c>
      <c r="AF543" s="3">
        <f>IF(IFERROR(VLOOKUP(D543,Controls!$A$36:$E$46,3,FALSE()),"No")="Yes",1,0)</f>
        <v/>
      </c>
      <c r="AG543" s="3">
        <f>IF(IFERROR(VLOOKUP(D543,Controls!$A$36:$E$46,4,FALSE()),"No")="Yes",1,0)</f>
        <v/>
      </c>
      <c r="AH543" s="3">
        <f>IF(IFERROR(VLOOKUP(D543,Controls!$A$36:$E$46,5,FALSE()),"No")="Yes",1,0)</f>
        <v/>
      </c>
      <c r="AI543" s="3">
        <f>IF(ISNUMBER(MATCH(D543,Controls!$A$36:$A$46,0)),1,0)</f>
        <v/>
      </c>
      <c r="AJ543" s="28">
        <f>Q543-N543</f>
        <v/>
      </c>
      <c r="AK543" s="3">
        <f>IF(AE543=1,MAX(0,N543-Q543),0)</f>
        <v/>
      </c>
      <c r="AL543" s="3">
        <f>IF(OR(V543="",V543=0),0,N543/V543)</f>
        <v/>
      </c>
      <c r="AM543" s="3">
        <f>IF(OR(V543="",V543=0),0,1)</f>
        <v/>
      </c>
      <c r="AN543" s="3">
        <f>IF(OR(E543="",F543=""),0,NETWORKDAYS(E543,F543,Ref!$K$2:$K$42))</f>
        <v/>
      </c>
      <c r="AO543" s="3">
        <f>IF(L543="Renewal",1,0)</f>
        <v/>
      </c>
      <c r="AP543" s="3">
        <f>AC543*AD543</f>
        <v/>
      </c>
      <c r="AQ543" s="3">
        <f>IF(AND(G543&lt;&gt;"",'Historical Score'!$C$6&lt;&gt;""),IF(G543='Historical Score'!$C$6,1,0),0)</f>
        <v/>
      </c>
      <c r="AR543" s="3">
        <f>IF(AND(L543&lt;&gt;"",'Historical Score'!$C$5&lt;&gt;""),IF(L543='Historical Score'!$C$5,1,0),0)</f>
        <v/>
      </c>
      <c r="AS543" s="3">
        <f>IF(AND(Y543&lt;&gt;"",'Historical Score'!$C$7&lt;&gt;""),IF(Y543='Historical Score'!$C$7,1,0),0)</f>
        <v/>
      </c>
      <c r="AT543" s="3">
        <f>IF(AND(K543&lt;&gt;"",'Historical Score'!$C$8&lt;&gt;""),IF(K543='Historical Score'!$C$8,1,0),0)</f>
        <v/>
      </c>
      <c r="AU543" s="3" t="n"/>
      <c r="AV543" s="3" t="n"/>
      <c r="AW543" s="3" t="n"/>
      <c r="AX543" s="3" t="n"/>
      <c r="AY543" s="3" t="n"/>
      <c r="AZ543" s="3" t="n"/>
      <c r="BA543" s="182">
        <f>IF(AD543=1,(AR543*'Historical Score'!$K$29+1-'Historical Score'!$K$29)*(AT543*'Historical Score'!$L$29+1-'Historical Score'!$L$29)*(AS543*'Historical Score'!$M$29+1-'Historical Score'!$M$29)*(AQ543*'Historical Score'!$N$29+1-'Historical Score'!$N$29),0)</f>
        <v/>
      </c>
      <c r="BB543" s="3" t="n"/>
      <c r="BC543" s="3" t="n"/>
    </row>
    <row r="544" ht="15.75" customHeight="1" s="174">
      <c r="A544" s="3" t="inlineStr">
        <is>
          <t>5674176677</t>
        </is>
      </c>
      <c r="B544" s="3" t="inlineStr">
        <is>
          <t>T &amp; B LOGISTICS INC</t>
        </is>
      </c>
      <c r="C544" s="3" t="inlineStr">
        <is>
          <t>T &amp; B LOGISTICS INC</t>
        </is>
      </c>
      <c r="D544" s="3" t="inlineStr">
        <is>
          <t>In House Collection</t>
        </is>
      </c>
      <c r="E544" s="23" t="n">
        <v>46038</v>
      </c>
      <c r="F544" s="23" t="n">
        <v>46094</v>
      </c>
      <c r="G544" s="3" t="n">
        <v>1</v>
      </c>
      <c r="H544" s="3" t="inlineStr">
        <is>
          <t>4212</t>
        </is>
      </c>
      <c r="I544" s="3" t="inlineStr">
        <is>
          <t>42</t>
        </is>
      </c>
      <c r="J544" s="3" t="inlineStr">
        <is>
          <t>CA</t>
        </is>
      </c>
      <c r="K544" s="3" t="inlineStr">
        <is>
          <t>United Secured Capital 8</t>
        </is>
      </c>
      <c r="L544" s="3" t="inlineStr">
        <is>
          <t>New Deal</t>
        </is>
      </c>
      <c r="M544" s="3" t="n">
        <v>1.49</v>
      </c>
      <c r="N544" s="28" t="n">
        <v>20000</v>
      </c>
      <c r="O544" s="28" t="n">
        <v>2800</v>
      </c>
      <c r="P544" s="28" t="n">
        <v>29800</v>
      </c>
      <c r="Q544" s="28" t="n">
        <v>10431.54</v>
      </c>
      <c r="R544" s="28" t="n">
        <v>19368.46</v>
      </c>
      <c r="S544" s="42" t="n">
        <v>0.350051677852349</v>
      </c>
      <c r="T544" s="3" t="n">
        <v>20</v>
      </c>
      <c r="U544" s="3" t="n">
        <v>1</v>
      </c>
      <c r="V544" s="3" t="n">
        <v>20871.48</v>
      </c>
      <c r="W544" s="42" t="n">
        <v>0.2856</v>
      </c>
      <c r="X544" s="23" t="n">
        <v>44562</v>
      </c>
      <c r="Y544" s="3">
        <f>IF(I544="","No SIC",IFERROR(VLOOKUP(I544,Ref!$A$2:$B$65,2,FALSE()),"Unclassified"))</f>
        <v/>
      </c>
      <c r="Z544" s="3">
        <f>IF(T544="","",IF(T544&lt;12,"Daily","Weekly"))</f>
        <v/>
      </c>
      <c r="AA544" s="3">
        <f>IF(T544="",0,IF(T544&lt;12,T544*Controls!$B$13,T544*5))</f>
        <v/>
      </c>
      <c r="AB544" s="3">
        <f>IF(E544="",0,NETWORKDAYS(E544,Controls!$B$20,Ref!$K$2:$K$42))</f>
        <v/>
      </c>
      <c r="AC544" s="3">
        <f>IF(OR(AF544=1,AND(AA544&gt;0,AB544&gt;=Controls!$B$23*AA544)),1,0)</f>
        <v/>
      </c>
      <c r="AD544" s="3">
        <f>IF(AND(E544&lt;&gt;"",E544&gt;=Controls!$B$21,E544&lt;=Controls!$B$22),1,0)</f>
        <v/>
      </c>
      <c r="AE544" s="3">
        <f>IF(IFERROR(VLOOKUP(D544,Controls!$A$36:$E$46,2,FALSE()),"No")="Yes",1,0)</f>
        <v/>
      </c>
      <c r="AF544" s="3">
        <f>IF(IFERROR(VLOOKUP(D544,Controls!$A$36:$E$46,3,FALSE()),"No")="Yes",1,0)</f>
        <v/>
      </c>
      <c r="AG544" s="3">
        <f>IF(IFERROR(VLOOKUP(D544,Controls!$A$36:$E$46,4,FALSE()),"No")="Yes",1,0)</f>
        <v/>
      </c>
      <c r="AH544" s="3">
        <f>IF(IFERROR(VLOOKUP(D544,Controls!$A$36:$E$46,5,FALSE()),"No")="Yes",1,0)</f>
        <v/>
      </c>
      <c r="AI544" s="3">
        <f>IF(ISNUMBER(MATCH(D544,Controls!$A$36:$A$46,0)),1,0)</f>
        <v/>
      </c>
      <c r="AJ544" s="28">
        <f>Q544-N544</f>
        <v/>
      </c>
      <c r="AK544" s="3">
        <f>IF(AE544=1,MAX(0,N544-Q544),0)</f>
        <v/>
      </c>
      <c r="AL544" s="3">
        <f>IF(OR(V544="",V544=0),0,N544/V544)</f>
        <v/>
      </c>
      <c r="AM544" s="3">
        <f>IF(OR(V544="",V544=0),0,1)</f>
        <v/>
      </c>
      <c r="AN544" s="3">
        <f>IF(OR(E544="",F544=""),0,NETWORKDAYS(E544,F544,Ref!$K$2:$K$42))</f>
        <v/>
      </c>
      <c r="AO544" s="3">
        <f>IF(L544="Renewal",1,0)</f>
        <v/>
      </c>
      <c r="AP544" s="3">
        <f>AC544*AD544</f>
        <v/>
      </c>
      <c r="AQ544" s="3">
        <f>IF(AND(G544&lt;&gt;"",'Historical Score'!$C$6&lt;&gt;""),IF(G544='Historical Score'!$C$6,1,0),0)</f>
        <v/>
      </c>
      <c r="AR544" s="3">
        <f>IF(AND(L544&lt;&gt;"",'Historical Score'!$C$5&lt;&gt;""),IF(L544='Historical Score'!$C$5,1,0),0)</f>
        <v/>
      </c>
      <c r="AS544" s="3">
        <f>IF(AND(Y544&lt;&gt;"",'Historical Score'!$C$7&lt;&gt;""),IF(Y544='Historical Score'!$C$7,1,0),0)</f>
        <v/>
      </c>
      <c r="AT544" s="3">
        <f>IF(AND(K544&lt;&gt;"",'Historical Score'!$C$8&lt;&gt;""),IF(K544='Historical Score'!$C$8,1,0),0)</f>
        <v/>
      </c>
      <c r="AU544" s="3" t="n"/>
      <c r="AV544" s="3" t="n"/>
      <c r="AW544" s="3" t="n"/>
      <c r="AX544" s="3" t="n"/>
      <c r="AY544" s="3" t="n"/>
      <c r="AZ544" s="3" t="n"/>
      <c r="BA544" s="182">
        <f>IF(AD544=1,(AR544*'Historical Score'!$K$29+1-'Historical Score'!$K$29)*(AT544*'Historical Score'!$L$29+1-'Historical Score'!$L$29)*(AS544*'Historical Score'!$M$29+1-'Historical Score'!$M$29)*(AQ544*'Historical Score'!$N$29+1-'Historical Score'!$N$29),0)</f>
        <v/>
      </c>
      <c r="BB544" s="3" t="n"/>
      <c r="BC544" s="3" t="n"/>
    </row>
    <row r="545" ht="15.75" customHeight="1" s="174">
      <c r="A545" s="3" t="inlineStr">
        <is>
          <t>5674176696</t>
        </is>
      </c>
      <c r="B545" s="3" t="inlineStr">
        <is>
          <t>FIRST GENERATION GASTRONOMY CO</t>
        </is>
      </c>
      <c r="C545" s="3" t="inlineStr">
        <is>
          <t>FIRST GENERATION GASTRONOMY CO</t>
        </is>
      </c>
      <c r="D545" s="3" t="inlineStr">
        <is>
          <t>In House Collection</t>
        </is>
      </c>
      <c r="E545" s="23" t="n">
        <v>46038</v>
      </c>
      <c r="F545" s="23" t="n">
        <v>46211</v>
      </c>
      <c r="G545" s="3" t="n">
        <v>1</v>
      </c>
      <c r="H545" s="3" t="inlineStr">
        <is>
          <t>5812</t>
        </is>
      </c>
      <c r="I545" s="3" t="inlineStr">
        <is>
          <t>58</t>
        </is>
      </c>
      <c r="J545" s="3" t="inlineStr">
        <is>
          <t>GA</t>
        </is>
      </c>
      <c r="K545" s="3" t="inlineStr">
        <is>
          <t>Ballicci</t>
        </is>
      </c>
      <c r="L545" s="3" t="inlineStr">
        <is>
          <t>New Deal</t>
        </is>
      </c>
      <c r="M545" s="3" t="n">
        <v>1.49</v>
      </c>
      <c r="N545" s="28" t="n">
        <v>30000</v>
      </c>
      <c r="O545" s="28" t="n">
        <v>0</v>
      </c>
      <c r="P545" s="28" t="n">
        <v>44700</v>
      </c>
      <c r="Q545" s="28" t="n">
        <v>2322.27</v>
      </c>
      <c r="R545" s="28" t="n">
        <v>42377.73</v>
      </c>
      <c r="S545" s="42" t="n">
        <v>0.0519523489932886</v>
      </c>
      <c r="T545" s="3" t="n">
        <v>3.934</v>
      </c>
      <c r="U545" s="3" t="n">
        <v>45</v>
      </c>
      <c r="V545" s="3" t="n">
        <v>95106.64</v>
      </c>
      <c r="W545" s="42" t="n">
        <v>0.0822</v>
      </c>
      <c r="X545" s="23" t="n">
        <v>45927</v>
      </c>
      <c r="Y545" s="3">
        <f>IF(I545="","No SIC",IFERROR(VLOOKUP(I545,Ref!$A$2:$B$65,2,FALSE()),"Unclassified"))</f>
        <v/>
      </c>
      <c r="Z545" s="3">
        <f>IF(T545="","",IF(T545&lt;12,"Daily","Weekly"))</f>
        <v/>
      </c>
      <c r="AA545" s="3">
        <f>IF(T545="",0,IF(T545&lt;12,T545*Controls!$B$13,T545*5))</f>
        <v/>
      </c>
      <c r="AB545" s="3">
        <f>IF(E545="",0,NETWORKDAYS(E545,Controls!$B$20,Ref!$K$2:$K$42))</f>
        <v/>
      </c>
      <c r="AC545" s="3">
        <f>IF(OR(AF545=1,AND(AA545&gt;0,AB545&gt;=Controls!$B$23*AA545)),1,0)</f>
        <v/>
      </c>
      <c r="AD545" s="3">
        <f>IF(AND(E545&lt;&gt;"",E545&gt;=Controls!$B$21,E545&lt;=Controls!$B$22),1,0)</f>
        <v/>
      </c>
      <c r="AE545" s="3">
        <f>IF(IFERROR(VLOOKUP(D545,Controls!$A$36:$E$46,2,FALSE()),"No")="Yes",1,0)</f>
        <v/>
      </c>
      <c r="AF545" s="3">
        <f>IF(IFERROR(VLOOKUP(D545,Controls!$A$36:$E$46,3,FALSE()),"No")="Yes",1,0)</f>
        <v/>
      </c>
      <c r="AG545" s="3">
        <f>IF(IFERROR(VLOOKUP(D545,Controls!$A$36:$E$46,4,FALSE()),"No")="Yes",1,0)</f>
        <v/>
      </c>
      <c r="AH545" s="3">
        <f>IF(IFERROR(VLOOKUP(D545,Controls!$A$36:$E$46,5,FALSE()),"No")="Yes",1,0)</f>
        <v/>
      </c>
      <c r="AI545" s="3">
        <f>IF(ISNUMBER(MATCH(D545,Controls!$A$36:$A$46,0)),1,0)</f>
        <v/>
      </c>
      <c r="AJ545" s="28">
        <f>Q545-N545</f>
        <v/>
      </c>
      <c r="AK545" s="3">
        <f>IF(AE545=1,MAX(0,N545-Q545),0)</f>
        <v/>
      </c>
      <c r="AL545" s="3">
        <f>IF(OR(V545="",V545=0),0,N545/V545)</f>
        <v/>
      </c>
      <c r="AM545" s="3">
        <f>IF(OR(V545="",V545=0),0,1)</f>
        <v/>
      </c>
      <c r="AN545" s="3">
        <f>IF(OR(E545="",F545=""),0,NETWORKDAYS(E545,F545,Ref!$K$2:$K$42))</f>
        <v/>
      </c>
      <c r="AO545" s="3">
        <f>IF(L545="Renewal",1,0)</f>
        <v/>
      </c>
      <c r="AP545" s="3">
        <f>AC545*AD545</f>
        <v/>
      </c>
      <c r="AQ545" s="3">
        <f>IF(AND(G545&lt;&gt;"",'Historical Score'!$C$6&lt;&gt;""),IF(G545='Historical Score'!$C$6,1,0),0)</f>
        <v/>
      </c>
      <c r="AR545" s="3">
        <f>IF(AND(L545&lt;&gt;"",'Historical Score'!$C$5&lt;&gt;""),IF(L545='Historical Score'!$C$5,1,0),0)</f>
        <v/>
      </c>
      <c r="AS545" s="3">
        <f>IF(AND(Y545&lt;&gt;"",'Historical Score'!$C$7&lt;&gt;""),IF(Y545='Historical Score'!$C$7,1,0),0)</f>
        <v/>
      </c>
      <c r="AT545" s="3">
        <f>IF(AND(K545&lt;&gt;"",'Historical Score'!$C$8&lt;&gt;""),IF(K545='Historical Score'!$C$8,1,0),0)</f>
        <v/>
      </c>
      <c r="AU545" s="3" t="n"/>
      <c r="AV545" s="3" t="n"/>
      <c r="AW545" s="3" t="n"/>
      <c r="AX545" s="3" t="n"/>
      <c r="AY545" s="3" t="n"/>
      <c r="AZ545" s="3" t="n"/>
      <c r="BA545" s="182">
        <f>IF(AD545=1,(AR545*'Historical Score'!$K$29+1-'Historical Score'!$K$29)*(AT545*'Historical Score'!$L$29+1-'Historical Score'!$L$29)*(AS545*'Historical Score'!$M$29+1-'Historical Score'!$M$29)*(AQ545*'Historical Score'!$N$29+1-'Historical Score'!$N$29),0)</f>
        <v/>
      </c>
      <c r="BB545" s="3" t="n"/>
      <c r="BC545" s="3" t="n"/>
    </row>
    <row r="546" ht="15.75" customHeight="1" s="174">
      <c r="A546" s="3" t="inlineStr">
        <is>
          <t>5674176709</t>
        </is>
      </c>
      <c r="B546" s="3" t="inlineStr">
        <is>
          <t>REP Provisions</t>
        </is>
      </c>
      <c r="C546" s="3" t="inlineStr">
        <is>
          <t>REP Provisions LLC</t>
        </is>
      </c>
      <c r="D546" s="3" t="inlineStr">
        <is>
          <t>Closed</t>
        </is>
      </c>
      <c r="E546" s="23" t="n">
        <v>46038</v>
      </c>
      <c r="F546" s="23" t="n">
        <v>46241</v>
      </c>
      <c r="G546" s="3" t="n">
        <v>3</v>
      </c>
      <c r="H546" s="3" t="inlineStr">
        <is>
          <t>5147</t>
        </is>
      </c>
      <c r="I546" s="3" t="inlineStr">
        <is>
          <t>51</t>
        </is>
      </c>
      <c r="J546" s="3" t="inlineStr">
        <is>
          <t>OK</t>
        </is>
      </c>
      <c r="K546" s="3" t="inlineStr">
        <is>
          <t>Fundwell</t>
        </is>
      </c>
      <c r="L546" s="3" t="inlineStr">
        <is>
          <t>New Deal</t>
        </is>
      </c>
      <c r="M546" s="3" t="n">
        <v>1.38</v>
      </c>
      <c r="N546" s="28" t="n">
        <v>175000</v>
      </c>
      <c r="O546" s="28" t="n">
        <v>19250</v>
      </c>
      <c r="P546" s="28" t="n">
        <v>241500</v>
      </c>
      <c r="Q546" s="28" t="n">
        <v>241500</v>
      </c>
      <c r="R546" s="28" t="n">
        <v>-2.91038304567337e-11</v>
      </c>
      <c r="S546" s="42" t="n">
        <v>1</v>
      </c>
      <c r="T546" s="3" t="n">
        <v>40</v>
      </c>
      <c r="U546" s="3" t="n">
        <v>0</v>
      </c>
      <c r="V546" s="3" t="n">
        <v>425126.47</v>
      </c>
      <c r="W546" s="42" t="n">
        <v>0.0568</v>
      </c>
      <c r="X546" s="23" t="n">
        <v>43159</v>
      </c>
      <c r="Y546" s="3">
        <f>IF(I546="","No SIC",IFERROR(VLOOKUP(I546,Ref!$A$2:$B$65,2,FALSE()),"Unclassified"))</f>
        <v/>
      </c>
      <c r="Z546" s="3">
        <f>IF(T546="","",IF(T546&lt;12,"Daily","Weekly"))</f>
        <v/>
      </c>
      <c r="AA546" s="3">
        <f>IF(T546="",0,IF(T546&lt;12,T546*Controls!$B$13,T546*5))</f>
        <v/>
      </c>
      <c r="AB546" s="3">
        <f>IF(E546="",0,NETWORKDAYS(E546,Controls!$B$20,Ref!$K$2:$K$42))</f>
        <v/>
      </c>
      <c r="AC546" s="3">
        <f>IF(OR(AF546=1,AND(AA546&gt;0,AB546&gt;=Controls!$B$23*AA546)),1,0)</f>
        <v/>
      </c>
      <c r="AD546" s="3">
        <f>IF(AND(E546&lt;&gt;"",E546&gt;=Controls!$B$21,E546&lt;=Controls!$B$22),1,0)</f>
        <v/>
      </c>
      <c r="AE546" s="3">
        <f>IF(IFERROR(VLOOKUP(D546,Controls!$A$36:$E$46,2,FALSE()),"No")="Yes",1,0)</f>
        <v/>
      </c>
      <c r="AF546" s="3">
        <f>IF(IFERROR(VLOOKUP(D546,Controls!$A$36:$E$46,3,FALSE()),"No")="Yes",1,0)</f>
        <v/>
      </c>
      <c r="AG546" s="3">
        <f>IF(IFERROR(VLOOKUP(D546,Controls!$A$36:$E$46,4,FALSE()),"No")="Yes",1,0)</f>
        <v/>
      </c>
      <c r="AH546" s="3">
        <f>IF(IFERROR(VLOOKUP(D546,Controls!$A$36:$E$46,5,FALSE()),"No")="Yes",1,0)</f>
        <v/>
      </c>
      <c r="AI546" s="3">
        <f>IF(ISNUMBER(MATCH(D546,Controls!$A$36:$A$46,0)),1,0)</f>
        <v/>
      </c>
      <c r="AJ546" s="28">
        <f>Q546-N546</f>
        <v/>
      </c>
      <c r="AK546" s="3">
        <f>IF(AE546=1,MAX(0,N546-Q546),0)</f>
        <v/>
      </c>
      <c r="AL546" s="3">
        <f>IF(OR(V546="",V546=0),0,N546/V546)</f>
        <v/>
      </c>
      <c r="AM546" s="3">
        <f>IF(OR(V546="",V546=0),0,1)</f>
        <v/>
      </c>
      <c r="AN546" s="3">
        <f>IF(OR(E546="",F546=""),0,NETWORKDAYS(E546,F546,Ref!$K$2:$K$42))</f>
        <v/>
      </c>
      <c r="AO546" s="3">
        <f>IF(L546="Renewal",1,0)</f>
        <v/>
      </c>
      <c r="AP546" s="3">
        <f>AC546*AD546</f>
        <v/>
      </c>
      <c r="AQ546" s="3">
        <f>IF(AND(G546&lt;&gt;"",'Historical Score'!$C$6&lt;&gt;""),IF(G546='Historical Score'!$C$6,1,0),0)</f>
        <v/>
      </c>
      <c r="AR546" s="3">
        <f>IF(AND(L546&lt;&gt;"",'Historical Score'!$C$5&lt;&gt;""),IF(L546='Historical Score'!$C$5,1,0),0)</f>
        <v/>
      </c>
      <c r="AS546" s="3">
        <f>IF(AND(Y546&lt;&gt;"",'Historical Score'!$C$7&lt;&gt;""),IF(Y546='Historical Score'!$C$7,1,0),0)</f>
        <v/>
      </c>
      <c r="AT546" s="3">
        <f>IF(AND(K546&lt;&gt;"",'Historical Score'!$C$8&lt;&gt;""),IF(K546='Historical Score'!$C$8,1,0),0)</f>
        <v/>
      </c>
      <c r="AU546" s="3" t="n"/>
      <c r="AV546" s="3" t="n"/>
      <c r="AW546" s="3" t="n"/>
      <c r="AX546" s="3" t="n"/>
      <c r="AY546" s="3" t="n"/>
      <c r="AZ546" s="3" t="n"/>
      <c r="BA546" s="182">
        <f>IF(AD546=1,(AR546*'Historical Score'!$K$29+1-'Historical Score'!$K$29)*(AT546*'Historical Score'!$L$29+1-'Historical Score'!$L$29)*(AS546*'Historical Score'!$M$29+1-'Historical Score'!$M$29)*(AQ546*'Historical Score'!$N$29+1-'Historical Score'!$N$29),0)</f>
        <v/>
      </c>
      <c r="BB546" s="3" t="n"/>
      <c r="BC546" s="3" t="n"/>
    </row>
    <row r="547" ht="15.75" customHeight="1" s="174">
      <c r="A547" s="3" t="inlineStr">
        <is>
          <t>5674176711</t>
        </is>
      </c>
      <c r="B547" s="3" t="inlineStr">
        <is>
          <t>Performance DSD, LLC</t>
        </is>
      </c>
      <c r="C547" s="3" t="inlineStr">
        <is>
          <t>Performance DSD, LLC</t>
        </is>
      </c>
      <c r="D547" s="3" t="inlineStr">
        <is>
          <t>Open</t>
        </is>
      </c>
      <c r="E547" s="23" t="n">
        <v>46038</v>
      </c>
      <c r="F547" s="23" t="n">
        <v>46248</v>
      </c>
      <c r="G547" s="3" t="n">
        <v>1</v>
      </c>
      <c r="H547" s="3" t="inlineStr">
        <is>
          <t>4212</t>
        </is>
      </c>
      <c r="I547" s="3" t="inlineStr">
        <is>
          <t>42</t>
        </is>
      </c>
      <c r="J547" s="3" t="inlineStr">
        <is>
          <t>GA</t>
        </is>
      </c>
      <c r="K547" s="3" t="inlineStr">
        <is>
          <t>Fundwell</t>
        </is>
      </c>
      <c r="L547" s="3" t="inlineStr">
        <is>
          <t>New Deal</t>
        </is>
      </c>
      <c r="M547" s="3" t="n">
        <v>1.39</v>
      </c>
      <c r="N547" s="28" t="n">
        <v>75000</v>
      </c>
      <c r="O547" s="28" t="n">
        <v>9375</v>
      </c>
      <c r="P547" s="28" t="n">
        <v>104250</v>
      </c>
      <c r="Q547" s="28" t="n">
        <v>65148</v>
      </c>
      <c r="R547" s="28" t="n">
        <v>39102</v>
      </c>
      <c r="S547" s="42" t="n">
        <v>0.624920863309353</v>
      </c>
      <c r="T547" s="3" t="n">
        <v>48</v>
      </c>
      <c r="U547" s="3" t="n">
        <v>0</v>
      </c>
      <c r="V547" s="3" t="n">
        <v>129454.36</v>
      </c>
      <c r="W547" s="42" t="n">
        <v>0.06710000000000001</v>
      </c>
      <c r="X547" s="23" t="n">
        <v>42803</v>
      </c>
      <c r="Y547" s="3">
        <f>IF(I547="","No SIC",IFERROR(VLOOKUP(I547,Ref!$A$2:$B$65,2,FALSE()),"Unclassified"))</f>
        <v/>
      </c>
      <c r="Z547" s="3">
        <f>IF(T547="","",IF(T547&lt;12,"Daily","Weekly"))</f>
        <v/>
      </c>
      <c r="AA547" s="3">
        <f>IF(T547="",0,IF(T547&lt;12,T547*Controls!$B$13,T547*5))</f>
        <v/>
      </c>
      <c r="AB547" s="3">
        <f>IF(E547="",0,NETWORKDAYS(E547,Controls!$B$20,Ref!$K$2:$K$42))</f>
        <v/>
      </c>
      <c r="AC547" s="3">
        <f>IF(OR(AF547=1,AND(AA547&gt;0,AB547&gt;=Controls!$B$23*AA547)),1,0)</f>
        <v/>
      </c>
      <c r="AD547" s="3">
        <f>IF(AND(E547&lt;&gt;"",E547&gt;=Controls!$B$21,E547&lt;=Controls!$B$22),1,0)</f>
        <v/>
      </c>
      <c r="AE547" s="3">
        <f>IF(IFERROR(VLOOKUP(D547,Controls!$A$36:$E$46,2,FALSE()),"No")="Yes",1,0)</f>
        <v/>
      </c>
      <c r="AF547" s="3">
        <f>IF(IFERROR(VLOOKUP(D547,Controls!$A$36:$E$46,3,FALSE()),"No")="Yes",1,0)</f>
        <v/>
      </c>
      <c r="AG547" s="3">
        <f>IF(IFERROR(VLOOKUP(D547,Controls!$A$36:$E$46,4,FALSE()),"No")="Yes",1,0)</f>
        <v/>
      </c>
      <c r="AH547" s="3">
        <f>IF(IFERROR(VLOOKUP(D547,Controls!$A$36:$E$46,5,FALSE()),"No")="Yes",1,0)</f>
        <v/>
      </c>
      <c r="AI547" s="3">
        <f>IF(ISNUMBER(MATCH(D547,Controls!$A$36:$A$46,0)),1,0)</f>
        <v/>
      </c>
      <c r="AJ547" s="28">
        <f>Q547-N547</f>
        <v/>
      </c>
      <c r="AK547" s="3">
        <f>IF(AE547=1,MAX(0,N547-Q547),0)</f>
        <v/>
      </c>
      <c r="AL547" s="3">
        <f>IF(OR(V547="",V547=0),0,N547/V547)</f>
        <v/>
      </c>
      <c r="AM547" s="3">
        <f>IF(OR(V547="",V547=0),0,1)</f>
        <v/>
      </c>
      <c r="AN547" s="3">
        <f>IF(OR(E547="",F547=""),0,NETWORKDAYS(E547,F547,Ref!$K$2:$K$42))</f>
        <v/>
      </c>
      <c r="AO547" s="3">
        <f>IF(L547="Renewal",1,0)</f>
        <v/>
      </c>
      <c r="AP547" s="3">
        <f>AC547*AD547</f>
        <v/>
      </c>
      <c r="AQ547" s="3">
        <f>IF(AND(G547&lt;&gt;"",'Historical Score'!$C$6&lt;&gt;""),IF(G547='Historical Score'!$C$6,1,0),0)</f>
        <v/>
      </c>
      <c r="AR547" s="3">
        <f>IF(AND(L547&lt;&gt;"",'Historical Score'!$C$5&lt;&gt;""),IF(L547='Historical Score'!$C$5,1,0),0)</f>
        <v/>
      </c>
      <c r="AS547" s="3">
        <f>IF(AND(Y547&lt;&gt;"",'Historical Score'!$C$7&lt;&gt;""),IF(Y547='Historical Score'!$C$7,1,0),0)</f>
        <v/>
      </c>
      <c r="AT547" s="3">
        <f>IF(AND(K547&lt;&gt;"",'Historical Score'!$C$8&lt;&gt;""),IF(K547='Historical Score'!$C$8,1,0),0)</f>
        <v/>
      </c>
      <c r="AU547" s="3" t="n"/>
      <c r="AV547" s="3" t="n"/>
      <c r="AW547" s="3" t="n"/>
      <c r="AX547" s="3" t="n"/>
      <c r="AY547" s="3" t="n"/>
      <c r="AZ547" s="3" t="n"/>
      <c r="BA547" s="182">
        <f>IF(AD547=1,(AR547*'Historical Score'!$K$29+1-'Historical Score'!$K$29)*(AT547*'Historical Score'!$L$29+1-'Historical Score'!$L$29)*(AS547*'Historical Score'!$M$29+1-'Historical Score'!$M$29)*(AQ547*'Historical Score'!$N$29+1-'Historical Score'!$N$29),0)</f>
        <v/>
      </c>
      <c r="BB547" s="3" t="n"/>
      <c r="BC547" s="3" t="n"/>
    </row>
    <row r="548" ht="15.75" customHeight="1" s="174">
      <c r="A548" s="3" t="inlineStr">
        <is>
          <t>5674176795</t>
        </is>
      </c>
      <c r="B548" s="3" t="inlineStr">
        <is>
          <t>Stampmill Inn</t>
        </is>
      </c>
      <c r="C548" s="3" t="inlineStr">
        <is>
          <t>Renaissance Concepts Llc</t>
        </is>
      </c>
      <c r="D548" s="3" t="inlineStr">
        <is>
          <t>Closed</t>
        </is>
      </c>
      <c r="E548" s="23" t="n">
        <v>46042</v>
      </c>
      <c r="F548" s="23" t="n">
        <v>46114</v>
      </c>
      <c r="G548" s="3" t="n">
        <v>2</v>
      </c>
      <c r="H548" s="3" t="inlineStr">
        <is>
          <t>7011</t>
        </is>
      </c>
      <c r="I548" s="3" t="inlineStr">
        <is>
          <t>70</t>
        </is>
      </c>
      <c r="J548" s="3" t="inlineStr">
        <is>
          <t>SD</t>
        </is>
      </c>
      <c r="K548" s="3" t="inlineStr">
        <is>
          <t>Ballicci</t>
        </is>
      </c>
      <c r="L548" s="3" t="inlineStr">
        <is>
          <t>New Deal</t>
        </is>
      </c>
      <c r="M548" s="3" t="n">
        <v>1.49</v>
      </c>
      <c r="N548" s="28" t="n">
        <v>25000</v>
      </c>
      <c r="O548" s="28" t="n">
        <v>3500</v>
      </c>
      <c r="P548" s="28" t="n">
        <v>37250</v>
      </c>
      <c r="Q548" s="28" t="n">
        <v>37250</v>
      </c>
      <c r="R548" s="28" t="n">
        <v>0</v>
      </c>
      <c r="S548" s="42" t="n">
        <v>1</v>
      </c>
      <c r="T548" s="3" t="n">
        <v>2.951</v>
      </c>
      <c r="U548" s="3" t="n">
        <v>1</v>
      </c>
      <c r="V548" s="3" t="n">
        <v>28006.87</v>
      </c>
      <c r="W548" s="42" t="n">
        <v>0.3103</v>
      </c>
      <c r="X548" s="23" t="n"/>
      <c r="Y548" s="3">
        <f>IF(I548="","No SIC",IFERROR(VLOOKUP(I548,Ref!$A$2:$B$65,2,FALSE()),"Unclassified"))</f>
        <v/>
      </c>
      <c r="Z548" s="3">
        <f>IF(T548="","",IF(T548&lt;12,"Daily","Weekly"))</f>
        <v/>
      </c>
      <c r="AA548" s="3">
        <f>IF(T548="",0,IF(T548&lt;12,T548*Controls!$B$13,T548*5))</f>
        <v/>
      </c>
      <c r="AB548" s="3">
        <f>IF(E548="",0,NETWORKDAYS(E548,Controls!$B$20,Ref!$K$2:$K$42))</f>
        <v/>
      </c>
      <c r="AC548" s="3">
        <f>IF(OR(AF548=1,AND(AA548&gt;0,AB548&gt;=Controls!$B$23*AA548)),1,0)</f>
        <v/>
      </c>
      <c r="AD548" s="3">
        <f>IF(AND(E548&lt;&gt;"",E548&gt;=Controls!$B$21,E548&lt;=Controls!$B$22),1,0)</f>
        <v/>
      </c>
      <c r="AE548" s="3">
        <f>IF(IFERROR(VLOOKUP(D548,Controls!$A$36:$E$46,2,FALSE()),"No")="Yes",1,0)</f>
        <v/>
      </c>
      <c r="AF548" s="3">
        <f>IF(IFERROR(VLOOKUP(D548,Controls!$A$36:$E$46,3,FALSE()),"No")="Yes",1,0)</f>
        <v/>
      </c>
      <c r="AG548" s="3">
        <f>IF(IFERROR(VLOOKUP(D548,Controls!$A$36:$E$46,4,FALSE()),"No")="Yes",1,0)</f>
        <v/>
      </c>
      <c r="AH548" s="3">
        <f>IF(IFERROR(VLOOKUP(D548,Controls!$A$36:$E$46,5,FALSE()),"No")="Yes",1,0)</f>
        <v/>
      </c>
      <c r="AI548" s="3">
        <f>IF(ISNUMBER(MATCH(D548,Controls!$A$36:$A$46,0)),1,0)</f>
        <v/>
      </c>
      <c r="AJ548" s="28">
        <f>Q548-N548</f>
        <v/>
      </c>
      <c r="AK548" s="3">
        <f>IF(AE548=1,MAX(0,N548-Q548),0)</f>
        <v/>
      </c>
      <c r="AL548" s="3">
        <f>IF(OR(V548="",V548=0),0,N548/V548)</f>
        <v/>
      </c>
      <c r="AM548" s="3">
        <f>IF(OR(V548="",V548=0),0,1)</f>
        <v/>
      </c>
      <c r="AN548" s="3">
        <f>IF(OR(E548="",F548=""),0,NETWORKDAYS(E548,F548,Ref!$K$2:$K$42))</f>
        <v/>
      </c>
      <c r="AO548" s="3">
        <f>IF(L548="Renewal",1,0)</f>
        <v/>
      </c>
      <c r="AP548" s="3">
        <f>AC548*AD548</f>
        <v/>
      </c>
      <c r="AQ548" s="3">
        <f>IF(AND(G548&lt;&gt;"",'Historical Score'!$C$6&lt;&gt;""),IF(G548='Historical Score'!$C$6,1,0),0)</f>
        <v/>
      </c>
      <c r="AR548" s="3">
        <f>IF(AND(L548&lt;&gt;"",'Historical Score'!$C$5&lt;&gt;""),IF(L548='Historical Score'!$C$5,1,0),0)</f>
        <v/>
      </c>
      <c r="AS548" s="3">
        <f>IF(AND(Y548&lt;&gt;"",'Historical Score'!$C$7&lt;&gt;""),IF(Y548='Historical Score'!$C$7,1,0),0)</f>
        <v/>
      </c>
      <c r="AT548" s="3">
        <f>IF(AND(K548&lt;&gt;"",'Historical Score'!$C$8&lt;&gt;""),IF(K548='Historical Score'!$C$8,1,0),0)</f>
        <v/>
      </c>
      <c r="AU548" s="3" t="n"/>
      <c r="AV548" s="3" t="n"/>
      <c r="AW548" s="3" t="n"/>
      <c r="AX548" s="3" t="n"/>
      <c r="AY548" s="3" t="n"/>
      <c r="AZ548" s="3" t="n"/>
      <c r="BA548" s="182">
        <f>IF(AD548=1,(AR548*'Historical Score'!$K$29+1-'Historical Score'!$K$29)*(AT548*'Historical Score'!$L$29+1-'Historical Score'!$L$29)*(AS548*'Historical Score'!$M$29+1-'Historical Score'!$M$29)*(AQ548*'Historical Score'!$N$29+1-'Historical Score'!$N$29),0)</f>
        <v/>
      </c>
      <c r="BB548" s="3" t="n"/>
      <c r="BC548" s="3" t="n"/>
    </row>
    <row r="549" ht="15.75" customHeight="1" s="174">
      <c r="A549" s="3" t="inlineStr">
        <is>
          <t>5674176799</t>
        </is>
      </c>
      <c r="B549" s="3" t="inlineStr">
        <is>
          <t>ONELLA HOME CARE LLC</t>
        </is>
      </c>
      <c r="C549" s="3" t="inlineStr">
        <is>
          <t>ONELLA HOME CARE LLC</t>
        </is>
      </c>
      <c r="D549" s="3" t="inlineStr">
        <is>
          <t>Legal</t>
        </is>
      </c>
      <c r="E549" s="23" t="n">
        <v>46042</v>
      </c>
      <c r="F549" s="23" t="n">
        <v>46091</v>
      </c>
      <c r="G549" s="3" t="n">
        <v>1</v>
      </c>
      <c r="H549" s="3" t="inlineStr">
        <is>
          <t>8082</t>
        </is>
      </c>
      <c r="I549" s="3" t="inlineStr">
        <is>
          <t>80</t>
        </is>
      </c>
      <c r="J549" s="3" t="inlineStr">
        <is>
          <t>TX</t>
        </is>
      </c>
      <c r="K549" s="3" t="inlineStr">
        <is>
          <t>United Secured Capital 8</t>
        </is>
      </c>
      <c r="L549" s="3" t="inlineStr">
        <is>
          <t>New Deal</t>
        </is>
      </c>
      <c r="M549" s="3" t="n">
        <v>1.49</v>
      </c>
      <c r="N549" s="28" t="n">
        <v>10000</v>
      </c>
      <c r="O549" s="28" t="n">
        <v>1400</v>
      </c>
      <c r="P549" s="28" t="n">
        <v>14900</v>
      </c>
      <c r="Q549" s="28" t="n">
        <v>3806.96</v>
      </c>
      <c r="R549" s="28" t="n">
        <v>11093.04</v>
      </c>
      <c r="S549" s="42" t="n">
        <v>0.25550067114094</v>
      </c>
      <c r="T549" s="3" t="n">
        <v>2.951</v>
      </c>
      <c r="U549" s="3" t="n">
        <v>12</v>
      </c>
      <c r="V549" s="3" t="n">
        <v>19571.08</v>
      </c>
      <c r="W549" s="42" t="n">
        <v>0.1776</v>
      </c>
      <c r="X549" s="23" t="n"/>
      <c r="Y549" s="3">
        <f>IF(I549="","No SIC",IFERROR(VLOOKUP(I549,Ref!$A$2:$B$65,2,FALSE()),"Unclassified"))</f>
        <v/>
      </c>
      <c r="Z549" s="3">
        <f>IF(T549="","",IF(T549&lt;12,"Daily","Weekly"))</f>
        <v/>
      </c>
      <c r="AA549" s="3">
        <f>IF(T549="",0,IF(T549&lt;12,T549*Controls!$B$13,T549*5))</f>
        <v/>
      </c>
      <c r="AB549" s="3">
        <f>IF(E549="",0,NETWORKDAYS(E549,Controls!$B$20,Ref!$K$2:$K$42))</f>
        <v/>
      </c>
      <c r="AC549" s="3">
        <f>IF(OR(AF549=1,AND(AA549&gt;0,AB549&gt;=Controls!$B$23*AA549)),1,0)</f>
        <v/>
      </c>
      <c r="AD549" s="3">
        <f>IF(AND(E549&lt;&gt;"",E549&gt;=Controls!$B$21,E549&lt;=Controls!$B$22),1,0)</f>
        <v/>
      </c>
      <c r="AE549" s="3">
        <f>IF(IFERROR(VLOOKUP(D549,Controls!$A$36:$E$46,2,FALSE()),"No")="Yes",1,0)</f>
        <v/>
      </c>
      <c r="AF549" s="3">
        <f>IF(IFERROR(VLOOKUP(D549,Controls!$A$36:$E$46,3,FALSE()),"No")="Yes",1,0)</f>
        <v/>
      </c>
      <c r="AG549" s="3">
        <f>IF(IFERROR(VLOOKUP(D549,Controls!$A$36:$E$46,4,FALSE()),"No")="Yes",1,0)</f>
        <v/>
      </c>
      <c r="AH549" s="3">
        <f>IF(IFERROR(VLOOKUP(D549,Controls!$A$36:$E$46,5,FALSE()),"No")="Yes",1,0)</f>
        <v/>
      </c>
      <c r="AI549" s="3">
        <f>IF(ISNUMBER(MATCH(D549,Controls!$A$36:$A$46,0)),1,0)</f>
        <v/>
      </c>
      <c r="AJ549" s="28">
        <f>Q549-N549</f>
        <v/>
      </c>
      <c r="AK549" s="3">
        <f>IF(AE549=1,MAX(0,N549-Q549),0)</f>
        <v/>
      </c>
      <c r="AL549" s="3">
        <f>IF(OR(V549="",V549=0),0,N549/V549)</f>
        <v/>
      </c>
      <c r="AM549" s="3">
        <f>IF(OR(V549="",V549=0),0,1)</f>
        <v/>
      </c>
      <c r="AN549" s="3">
        <f>IF(OR(E549="",F549=""),0,NETWORKDAYS(E549,F549,Ref!$K$2:$K$42))</f>
        <v/>
      </c>
      <c r="AO549" s="3">
        <f>IF(L549="Renewal",1,0)</f>
        <v/>
      </c>
      <c r="AP549" s="3">
        <f>AC549*AD549</f>
        <v/>
      </c>
      <c r="AQ549" s="3">
        <f>IF(AND(G549&lt;&gt;"",'Historical Score'!$C$6&lt;&gt;""),IF(G549='Historical Score'!$C$6,1,0),0)</f>
        <v/>
      </c>
      <c r="AR549" s="3">
        <f>IF(AND(L549&lt;&gt;"",'Historical Score'!$C$5&lt;&gt;""),IF(L549='Historical Score'!$C$5,1,0),0)</f>
        <v/>
      </c>
      <c r="AS549" s="3">
        <f>IF(AND(Y549&lt;&gt;"",'Historical Score'!$C$7&lt;&gt;""),IF(Y549='Historical Score'!$C$7,1,0),0)</f>
        <v/>
      </c>
      <c r="AT549" s="3">
        <f>IF(AND(K549&lt;&gt;"",'Historical Score'!$C$8&lt;&gt;""),IF(K549='Historical Score'!$C$8,1,0),0)</f>
        <v/>
      </c>
      <c r="AU549" s="3" t="n"/>
      <c r="AV549" s="3" t="n"/>
      <c r="AW549" s="3" t="n"/>
      <c r="AX549" s="3" t="n"/>
      <c r="AY549" s="3" t="n"/>
      <c r="AZ549" s="3" t="n"/>
      <c r="BA549" s="182">
        <f>IF(AD549=1,(AR549*'Historical Score'!$K$29+1-'Historical Score'!$K$29)*(AT549*'Historical Score'!$L$29+1-'Historical Score'!$L$29)*(AS549*'Historical Score'!$M$29+1-'Historical Score'!$M$29)*(AQ549*'Historical Score'!$N$29+1-'Historical Score'!$N$29),0)</f>
        <v/>
      </c>
      <c r="BB549" s="3" t="n"/>
      <c r="BC549" s="3" t="n"/>
    </row>
    <row r="550" ht="15.75" customHeight="1" s="174">
      <c r="A550" s="3" t="inlineStr">
        <is>
          <t>5674176820</t>
        </is>
      </c>
      <c r="B550" s="3" t="inlineStr">
        <is>
          <t>Starter Cars</t>
        </is>
      </c>
      <c r="C550" s="3" t="inlineStr">
        <is>
          <t>SCOTT R DEGOL</t>
        </is>
      </c>
      <c r="D550" s="3" t="inlineStr">
        <is>
          <t>Open</t>
        </is>
      </c>
      <c r="E550" s="23" t="n">
        <v>46042</v>
      </c>
      <c r="F550" s="23" t="n">
        <v>46247</v>
      </c>
      <c r="G550" s="3" t="n">
        <v>1</v>
      </c>
      <c r="H550" s="3" t="inlineStr">
        <is>
          <t>5511</t>
        </is>
      </c>
      <c r="I550" s="3" t="inlineStr">
        <is>
          <t>55</t>
        </is>
      </c>
      <c r="J550" s="3" t="inlineStr">
        <is>
          <t>No state</t>
        </is>
      </c>
      <c r="K550" s="3" t="inlineStr">
        <is>
          <t>PMF</t>
        </is>
      </c>
      <c r="L550" s="3" t="inlineStr">
        <is>
          <t>New Deal</t>
        </is>
      </c>
      <c r="M550" s="3" t="n">
        <v>1.4</v>
      </c>
      <c r="N550" s="28" t="n">
        <v>100000</v>
      </c>
      <c r="O550" s="28" t="n">
        <v>8500</v>
      </c>
      <c r="P550" s="28" t="n">
        <v>140000</v>
      </c>
      <c r="Q550" s="28" t="n">
        <v>115432.24</v>
      </c>
      <c r="R550" s="28" t="n">
        <v>24567.76</v>
      </c>
      <c r="S550" s="42" t="n">
        <v>0.824516</v>
      </c>
      <c r="T550" s="3" t="n">
        <v>34</v>
      </c>
      <c r="U550" s="3" t="n">
        <v>0</v>
      </c>
      <c r="V550" s="3" t="n">
        <v>596441.6</v>
      </c>
      <c r="W550" s="42" t="n">
        <v>0.032</v>
      </c>
      <c r="X550" s="23" t="n">
        <v>40522</v>
      </c>
      <c r="Y550" s="3">
        <f>IF(I550="","No SIC",IFERROR(VLOOKUP(I550,Ref!$A$2:$B$65,2,FALSE()),"Unclassified"))</f>
        <v/>
      </c>
      <c r="Z550" s="3">
        <f>IF(T550="","",IF(T550&lt;12,"Daily","Weekly"))</f>
        <v/>
      </c>
      <c r="AA550" s="3">
        <f>IF(T550="",0,IF(T550&lt;12,T550*Controls!$B$13,T550*5))</f>
        <v/>
      </c>
      <c r="AB550" s="3">
        <f>IF(E550="",0,NETWORKDAYS(E550,Controls!$B$20,Ref!$K$2:$K$42))</f>
        <v/>
      </c>
      <c r="AC550" s="3">
        <f>IF(OR(AF550=1,AND(AA550&gt;0,AB550&gt;=Controls!$B$23*AA550)),1,0)</f>
        <v/>
      </c>
      <c r="AD550" s="3">
        <f>IF(AND(E550&lt;&gt;"",E550&gt;=Controls!$B$21,E550&lt;=Controls!$B$22),1,0)</f>
        <v/>
      </c>
      <c r="AE550" s="3">
        <f>IF(IFERROR(VLOOKUP(D550,Controls!$A$36:$E$46,2,FALSE()),"No")="Yes",1,0)</f>
        <v/>
      </c>
      <c r="AF550" s="3">
        <f>IF(IFERROR(VLOOKUP(D550,Controls!$A$36:$E$46,3,FALSE()),"No")="Yes",1,0)</f>
        <v/>
      </c>
      <c r="AG550" s="3">
        <f>IF(IFERROR(VLOOKUP(D550,Controls!$A$36:$E$46,4,FALSE()),"No")="Yes",1,0)</f>
        <v/>
      </c>
      <c r="AH550" s="3">
        <f>IF(IFERROR(VLOOKUP(D550,Controls!$A$36:$E$46,5,FALSE()),"No")="Yes",1,0)</f>
        <v/>
      </c>
      <c r="AI550" s="3">
        <f>IF(ISNUMBER(MATCH(D550,Controls!$A$36:$A$46,0)),1,0)</f>
        <v/>
      </c>
      <c r="AJ550" s="28">
        <f>Q550-N550</f>
        <v/>
      </c>
      <c r="AK550" s="3">
        <f>IF(AE550=1,MAX(0,N550-Q550),0)</f>
        <v/>
      </c>
      <c r="AL550" s="3">
        <f>IF(OR(V550="",V550=0),0,N550/V550)</f>
        <v/>
      </c>
      <c r="AM550" s="3">
        <f>IF(OR(V550="",V550=0),0,1)</f>
        <v/>
      </c>
      <c r="AN550" s="3">
        <f>IF(OR(E550="",F550=""),0,NETWORKDAYS(E550,F550,Ref!$K$2:$K$42))</f>
        <v/>
      </c>
      <c r="AO550" s="3">
        <f>IF(L550="Renewal",1,0)</f>
        <v/>
      </c>
      <c r="AP550" s="3">
        <f>AC550*AD550</f>
        <v/>
      </c>
      <c r="AQ550" s="3">
        <f>IF(AND(G550&lt;&gt;"",'Historical Score'!$C$6&lt;&gt;""),IF(G550='Historical Score'!$C$6,1,0),0)</f>
        <v/>
      </c>
      <c r="AR550" s="3">
        <f>IF(AND(L550&lt;&gt;"",'Historical Score'!$C$5&lt;&gt;""),IF(L550='Historical Score'!$C$5,1,0),0)</f>
        <v/>
      </c>
      <c r="AS550" s="3">
        <f>IF(AND(Y550&lt;&gt;"",'Historical Score'!$C$7&lt;&gt;""),IF(Y550='Historical Score'!$C$7,1,0),0)</f>
        <v/>
      </c>
      <c r="AT550" s="3">
        <f>IF(AND(K550&lt;&gt;"",'Historical Score'!$C$8&lt;&gt;""),IF(K550='Historical Score'!$C$8,1,0),0)</f>
        <v/>
      </c>
      <c r="AU550" s="3" t="n"/>
      <c r="AV550" s="3" t="n"/>
      <c r="AW550" s="3" t="n"/>
      <c r="AX550" s="3" t="n"/>
      <c r="AY550" s="3" t="n"/>
      <c r="AZ550" s="3" t="n"/>
      <c r="BA550" s="182">
        <f>IF(AD550=1,(AR550*'Historical Score'!$K$29+1-'Historical Score'!$K$29)*(AT550*'Historical Score'!$L$29+1-'Historical Score'!$L$29)*(AS550*'Historical Score'!$M$29+1-'Historical Score'!$M$29)*(AQ550*'Historical Score'!$N$29+1-'Historical Score'!$N$29),0)</f>
        <v/>
      </c>
      <c r="BB550" s="3" t="n"/>
      <c r="BC550" s="3" t="n"/>
    </row>
    <row r="551" ht="15.75" customHeight="1" s="174">
      <c r="A551" s="3" t="inlineStr">
        <is>
          <t>5674176864</t>
        </is>
      </c>
      <c r="B551" s="3" t="inlineStr">
        <is>
          <t>National Food Equipment LLC</t>
        </is>
      </c>
      <c r="C551" s="3" t="inlineStr">
        <is>
          <t>National Food Equipment LLC</t>
        </is>
      </c>
      <c r="D551" s="3" t="inlineStr">
        <is>
          <t>Closed</t>
        </is>
      </c>
      <c r="E551" s="23" t="n">
        <v>46043</v>
      </c>
      <c r="F551" s="23" t="n">
        <v>46122</v>
      </c>
      <c r="G551" s="3" t="n">
        <v>2</v>
      </c>
      <c r="H551" s="3" t="inlineStr">
        <is>
          <t>5812</t>
        </is>
      </c>
      <c r="I551" s="3" t="inlineStr">
        <is>
          <t>58</t>
        </is>
      </c>
      <c r="J551" s="3" t="inlineStr">
        <is>
          <t>CA</t>
        </is>
      </c>
      <c r="K551" s="3" t="inlineStr">
        <is>
          <t>AVON ADVANCE</t>
        </is>
      </c>
      <c r="L551" s="3" t="inlineStr">
        <is>
          <t>New Deal</t>
        </is>
      </c>
      <c r="M551" s="3" t="n">
        <v>1.49</v>
      </c>
      <c r="N551" s="28" t="n">
        <v>7000</v>
      </c>
      <c r="O551" s="28" t="n">
        <v>980</v>
      </c>
      <c r="P551" s="28" t="n">
        <v>10430</v>
      </c>
      <c r="Q551" s="28" t="n">
        <v>10430</v>
      </c>
      <c r="R551" s="28" t="n">
        <v>0</v>
      </c>
      <c r="S551" s="42" t="n">
        <v>1</v>
      </c>
      <c r="T551" s="3" t="n">
        <v>2.131</v>
      </c>
      <c r="U551" s="3" t="n">
        <v>1</v>
      </c>
      <c r="V551" s="3" t="n">
        <v>25605.71</v>
      </c>
      <c r="W551" s="42" t="n">
        <v>0.1316</v>
      </c>
      <c r="X551" s="23" t="n">
        <v>42370</v>
      </c>
      <c r="Y551" s="3">
        <f>IF(I551="","No SIC",IFERROR(VLOOKUP(I551,Ref!$A$2:$B$65,2,FALSE()),"Unclassified"))</f>
        <v/>
      </c>
      <c r="Z551" s="3">
        <f>IF(T551="","",IF(T551&lt;12,"Daily","Weekly"))</f>
        <v/>
      </c>
      <c r="AA551" s="3">
        <f>IF(T551="",0,IF(T551&lt;12,T551*Controls!$B$13,T551*5))</f>
        <v/>
      </c>
      <c r="AB551" s="3">
        <f>IF(E551="",0,NETWORKDAYS(E551,Controls!$B$20,Ref!$K$2:$K$42))</f>
        <v/>
      </c>
      <c r="AC551" s="3">
        <f>IF(OR(AF551=1,AND(AA551&gt;0,AB551&gt;=Controls!$B$23*AA551)),1,0)</f>
        <v/>
      </c>
      <c r="AD551" s="3">
        <f>IF(AND(E551&lt;&gt;"",E551&gt;=Controls!$B$21,E551&lt;=Controls!$B$22),1,0)</f>
        <v/>
      </c>
      <c r="AE551" s="3">
        <f>IF(IFERROR(VLOOKUP(D551,Controls!$A$36:$E$46,2,FALSE()),"No")="Yes",1,0)</f>
        <v/>
      </c>
      <c r="AF551" s="3">
        <f>IF(IFERROR(VLOOKUP(D551,Controls!$A$36:$E$46,3,FALSE()),"No")="Yes",1,0)</f>
        <v/>
      </c>
      <c r="AG551" s="3">
        <f>IF(IFERROR(VLOOKUP(D551,Controls!$A$36:$E$46,4,FALSE()),"No")="Yes",1,0)</f>
        <v/>
      </c>
      <c r="AH551" s="3">
        <f>IF(IFERROR(VLOOKUP(D551,Controls!$A$36:$E$46,5,FALSE()),"No")="Yes",1,0)</f>
        <v/>
      </c>
      <c r="AI551" s="3">
        <f>IF(ISNUMBER(MATCH(D551,Controls!$A$36:$A$46,0)),1,0)</f>
        <v/>
      </c>
      <c r="AJ551" s="28">
        <f>Q551-N551</f>
        <v/>
      </c>
      <c r="AK551" s="3">
        <f>IF(AE551=1,MAX(0,N551-Q551),0)</f>
        <v/>
      </c>
      <c r="AL551" s="3">
        <f>IF(OR(V551="",V551=0),0,N551/V551)</f>
        <v/>
      </c>
      <c r="AM551" s="3">
        <f>IF(OR(V551="",V551=0),0,1)</f>
        <v/>
      </c>
      <c r="AN551" s="3">
        <f>IF(OR(E551="",F551=""),0,NETWORKDAYS(E551,F551,Ref!$K$2:$K$42))</f>
        <v/>
      </c>
      <c r="AO551" s="3">
        <f>IF(L551="Renewal",1,0)</f>
        <v/>
      </c>
      <c r="AP551" s="3">
        <f>AC551*AD551</f>
        <v/>
      </c>
      <c r="AQ551" s="3">
        <f>IF(AND(G551&lt;&gt;"",'Historical Score'!$C$6&lt;&gt;""),IF(G551='Historical Score'!$C$6,1,0),0)</f>
        <v/>
      </c>
      <c r="AR551" s="3">
        <f>IF(AND(L551&lt;&gt;"",'Historical Score'!$C$5&lt;&gt;""),IF(L551='Historical Score'!$C$5,1,0),0)</f>
        <v/>
      </c>
      <c r="AS551" s="3">
        <f>IF(AND(Y551&lt;&gt;"",'Historical Score'!$C$7&lt;&gt;""),IF(Y551='Historical Score'!$C$7,1,0),0)</f>
        <v/>
      </c>
      <c r="AT551" s="3">
        <f>IF(AND(K551&lt;&gt;"",'Historical Score'!$C$8&lt;&gt;""),IF(K551='Historical Score'!$C$8,1,0),0)</f>
        <v/>
      </c>
      <c r="AU551" s="3" t="n"/>
      <c r="AV551" s="3" t="n"/>
      <c r="AW551" s="3" t="n"/>
      <c r="AX551" s="3" t="n"/>
      <c r="AY551" s="3" t="n"/>
      <c r="AZ551" s="3" t="n"/>
      <c r="BA551" s="182">
        <f>IF(AD551=1,(AR551*'Historical Score'!$K$29+1-'Historical Score'!$K$29)*(AT551*'Historical Score'!$L$29+1-'Historical Score'!$L$29)*(AS551*'Historical Score'!$M$29+1-'Historical Score'!$M$29)*(AQ551*'Historical Score'!$N$29+1-'Historical Score'!$N$29),0)</f>
        <v/>
      </c>
      <c r="BB551" s="3" t="n"/>
      <c r="BC551" s="3" t="n"/>
    </row>
    <row r="552" ht="15.75" customHeight="1" s="174">
      <c r="A552" s="3" t="inlineStr">
        <is>
          <t>5674176899</t>
        </is>
      </c>
      <c r="B552" s="3" t="inlineStr">
        <is>
          <t>EMPIRE DENTAL SUPPLIES &amp; SERVICE</t>
        </is>
      </c>
      <c r="C552" s="3" t="inlineStr">
        <is>
          <t>EMPIRE DENTAL SUPPLIES &amp; SERVICE</t>
        </is>
      </c>
      <c r="D552" s="3" t="inlineStr">
        <is>
          <t>Legal</t>
        </is>
      </c>
      <c r="E552" s="23" t="n">
        <v>46043</v>
      </c>
      <c r="F552" s="23" t="n">
        <v>46233</v>
      </c>
      <c r="G552" s="3" t="n">
        <v>1</v>
      </c>
      <c r="H552" s="3" t="inlineStr">
        <is>
          <t>8021</t>
        </is>
      </c>
      <c r="I552" s="3" t="inlineStr">
        <is>
          <t>80</t>
        </is>
      </c>
      <c r="J552" s="3" t="inlineStr">
        <is>
          <t>CA</t>
        </is>
      </c>
      <c r="K552" s="3" t="inlineStr">
        <is>
          <t>Fundwell</t>
        </is>
      </c>
      <c r="L552" s="3" t="inlineStr">
        <is>
          <t>Renewal</t>
        </is>
      </c>
      <c r="M552" s="3" t="n">
        <v>1.4</v>
      </c>
      <c r="N552" s="28" t="n">
        <v>35000</v>
      </c>
      <c r="O552" s="28" t="n">
        <v>4550</v>
      </c>
      <c r="P552" s="28" t="n">
        <v>49000</v>
      </c>
      <c r="Q552" s="28" t="n">
        <v>14241.96</v>
      </c>
      <c r="R552" s="28" t="n">
        <v>34758.04</v>
      </c>
      <c r="S552" s="42" t="n">
        <v>0.290652244897959</v>
      </c>
      <c r="T552" s="3" t="n">
        <v>3.279</v>
      </c>
      <c r="U552" s="3" t="n">
        <v>8</v>
      </c>
      <c r="V552" s="3" t="n">
        <v>138102.73</v>
      </c>
      <c r="W552" s="42" t="n">
        <v>0.0752</v>
      </c>
      <c r="X552" s="23" t="n"/>
      <c r="Y552" s="3">
        <f>IF(I552="","No SIC",IFERROR(VLOOKUP(I552,Ref!$A$2:$B$65,2,FALSE()),"Unclassified"))</f>
        <v/>
      </c>
      <c r="Z552" s="3">
        <f>IF(T552="","",IF(T552&lt;12,"Daily","Weekly"))</f>
        <v/>
      </c>
      <c r="AA552" s="3">
        <f>IF(T552="",0,IF(T552&lt;12,T552*Controls!$B$13,T552*5))</f>
        <v/>
      </c>
      <c r="AB552" s="3">
        <f>IF(E552="",0,NETWORKDAYS(E552,Controls!$B$20,Ref!$K$2:$K$42))</f>
        <v/>
      </c>
      <c r="AC552" s="3">
        <f>IF(OR(AF552=1,AND(AA552&gt;0,AB552&gt;=Controls!$B$23*AA552)),1,0)</f>
        <v/>
      </c>
      <c r="AD552" s="3">
        <f>IF(AND(E552&lt;&gt;"",E552&gt;=Controls!$B$21,E552&lt;=Controls!$B$22),1,0)</f>
        <v/>
      </c>
      <c r="AE552" s="3">
        <f>IF(IFERROR(VLOOKUP(D552,Controls!$A$36:$E$46,2,FALSE()),"No")="Yes",1,0)</f>
        <v/>
      </c>
      <c r="AF552" s="3">
        <f>IF(IFERROR(VLOOKUP(D552,Controls!$A$36:$E$46,3,FALSE()),"No")="Yes",1,0)</f>
        <v/>
      </c>
      <c r="AG552" s="3">
        <f>IF(IFERROR(VLOOKUP(D552,Controls!$A$36:$E$46,4,FALSE()),"No")="Yes",1,0)</f>
        <v/>
      </c>
      <c r="AH552" s="3">
        <f>IF(IFERROR(VLOOKUP(D552,Controls!$A$36:$E$46,5,FALSE()),"No")="Yes",1,0)</f>
        <v/>
      </c>
      <c r="AI552" s="3">
        <f>IF(ISNUMBER(MATCH(D552,Controls!$A$36:$A$46,0)),1,0)</f>
        <v/>
      </c>
      <c r="AJ552" s="28">
        <f>Q552-N552</f>
        <v/>
      </c>
      <c r="AK552" s="3">
        <f>IF(AE552=1,MAX(0,N552-Q552),0)</f>
        <v/>
      </c>
      <c r="AL552" s="3">
        <f>IF(OR(V552="",V552=0),0,N552/V552)</f>
        <v/>
      </c>
      <c r="AM552" s="3">
        <f>IF(OR(V552="",V552=0),0,1)</f>
        <v/>
      </c>
      <c r="AN552" s="3">
        <f>IF(OR(E552="",F552=""),0,NETWORKDAYS(E552,F552,Ref!$K$2:$K$42))</f>
        <v/>
      </c>
      <c r="AO552" s="3">
        <f>IF(L552="Renewal",1,0)</f>
        <v/>
      </c>
      <c r="AP552" s="3">
        <f>AC552*AD552</f>
        <v/>
      </c>
      <c r="AQ552" s="3">
        <f>IF(AND(G552&lt;&gt;"",'Historical Score'!$C$6&lt;&gt;""),IF(G552='Historical Score'!$C$6,1,0),0)</f>
        <v/>
      </c>
      <c r="AR552" s="3">
        <f>IF(AND(L552&lt;&gt;"",'Historical Score'!$C$5&lt;&gt;""),IF(L552='Historical Score'!$C$5,1,0),0)</f>
        <v/>
      </c>
      <c r="AS552" s="3">
        <f>IF(AND(Y552&lt;&gt;"",'Historical Score'!$C$7&lt;&gt;""),IF(Y552='Historical Score'!$C$7,1,0),0)</f>
        <v/>
      </c>
      <c r="AT552" s="3">
        <f>IF(AND(K552&lt;&gt;"",'Historical Score'!$C$8&lt;&gt;""),IF(K552='Historical Score'!$C$8,1,0),0)</f>
        <v/>
      </c>
      <c r="AU552" s="3" t="n"/>
      <c r="AV552" s="3" t="n"/>
      <c r="AW552" s="3" t="n"/>
      <c r="AX552" s="3" t="n"/>
      <c r="AY552" s="3" t="n"/>
      <c r="AZ552" s="3" t="n"/>
      <c r="BA552" s="182">
        <f>IF(AD552=1,(AR552*'Historical Score'!$K$29+1-'Historical Score'!$K$29)*(AT552*'Historical Score'!$L$29+1-'Historical Score'!$L$29)*(AS552*'Historical Score'!$M$29+1-'Historical Score'!$M$29)*(AQ552*'Historical Score'!$N$29+1-'Historical Score'!$N$29),0)</f>
        <v/>
      </c>
      <c r="BB552" s="3" t="n"/>
      <c r="BC552" s="3" t="n"/>
    </row>
    <row r="553" ht="15.75" customHeight="1" s="174">
      <c r="A553" s="3" t="inlineStr">
        <is>
          <t>5674176909</t>
        </is>
      </c>
      <c r="B553" s="3" t="inlineStr">
        <is>
          <t>Das Contractors</t>
        </is>
      </c>
      <c r="C553" s="3" t="inlineStr">
        <is>
          <t>Das Contractors</t>
        </is>
      </c>
      <c r="D553" s="3" t="inlineStr">
        <is>
          <t>Legal</t>
        </is>
      </c>
      <c r="E553" s="23" t="n">
        <v>46043</v>
      </c>
      <c r="F553" s="23" t="n">
        <v>46073</v>
      </c>
      <c r="G553" s="3" t="n">
        <v>3</v>
      </c>
      <c r="H553" s="3" t="inlineStr">
        <is>
          <t>1521</t>
        </is>
      </c>
      <c r="I553" s="3" t="inlineStr">
        <is>
          <t>15</t>
        </is>
      </c>
      <c r="J553" s="3" t="inlineStr">
        <is>
          <t>TX</t>
        </is>
      </c>
      <c r="K553" s="3" t="inlineStr">
        <is>
          <t>PMF</t>
        </is>
      </c>
      <c r="L553" s="3" t="inlineStr">
        <is>
          <t>New Deal</t>
        </is>
      </c>
      <c r="M553" s="3" t="n">
        <v>1.45</v>
      </c>
      <c r="N553" s="28" t="n">
        <v>30000</v>
      </c>
      <c r="O553" s="28" t="n">
        <v>0</v>
      </c>
      <c r="P553" s="28" t="n">
        <v>43500</v>
      </c>
      <c r="Q553" s="28" t="n">
        <v>6691.16</v>
      </c>
      <c r="R553" s="28" t="n">
        <v>36808.84</v>
      </c>
      <c r="S553" s="42" t="n">
        <v>0.153819770114943</v>
      </c>
      <c r="T553" s="3" t="n">
        <v>26</v>
      </c>
      <c r="U553" s="3" t="n">
        <v>1</v>
      </c>
      <c r="V553" s="3" t="n">
        <v>106887.32</v>
      </c>
      <c r="W553" s="42" t="n">
        <v>0.0626</v>
      </c>
      <c r="X553" s="23" t="n">
        <v>42095</v>
      </c>
      <c r="Y553" s="3">
        <f>IF(I553="","No SIC",IFERROR(VLOOKUP(I553,Ref!$A$2:$B$65,2,FALSE()),"Unclassified"))</f>
        <v/>
      </c>
      <c r="Z553" s="3">
        <f>IF(T553="","",IF(T553&lt;12,"Daily","Weekly"))</f>
        <v/>
      </c>
      <c r="AA553" s="3">
        <f>IF(T553="",0,IF(T553&lt;12,T553*Controls!$B$13,T553*5))</f>
        <v/>
      </c>
      <c r="AB553" s="3">
        <f>IF(E553="",0,NETWORKDAYS(E553,Controls!$B$20,Ref!$K$2:$K$42))</f>
        <v/>
      </c>
      <c r="AC553" s="3">
        <f>IF(OR(AF553=1,AND(AA553&gt;0,AB553&gt;=Controls!$B$23*AA553)),1,0)</f>
        <v/>
      </c>
      <c r="AD553" s="3">
        <f>IF(AND(E553&lt;&gt;"",E553&gt;=Controls!$B$21,E553&lt;=Controls!$B$22),1,0)</f>
        <v/>
      </c>
      <c r="AE553" s="3">
        <f>IF(IFERROR(VLOOKUP(D553,Controls!$A$36:$E$46,2,FALSE()),"No")="Yes",1,0)</f>
        <v/>
      </c>
      <c r="AF553" s="3">
        <f>IF(IFERROR(VLOOKUP(D553,Controls!$A$36:$E$46,3,FALSE()),"No")="Yes",1,0)</f>
        <v/>
      </c>
      <c r="AG553" s="3">
        <f>IF(IFERROR(VLOOKUP(D553,Controls!$A$36:$E$46,4,FALSE()),"No")="Yes",1,0)</f>
        <v/>
      </c>
      <c r="AH553" s="3">
        <f>IF(IFERROR(VLOOKUP(D553,Controls!$A$36:$E$46,5,FALSE()),"No")="Yes",1,0)</f>
        <v/>
      </c>
      <c r="AI553" s="3">
        <f>IF(ISNUMBER(MATCH(D553,Controls!$A$36:$A$46,0)),1,0)</f>
        <v/>
      </c>
      <c r="AJ553" s="28">
        <f>Q553-N553</f>
        <v/>
      </c>
      <c r="AK553" s="3">
        <f>IF(AE553=1,MAX(0,N553-Q553),0)</f>
        <v/>
      </c>
      <c r="AL553" s="3">
        <f>IF(OR(V553="",V553=0),0,N553/V553)</f>
        <v/>
      </c>
      <c r="AM553" s="3">
        <f>IF(OR(V553="",V553=0),0,1)</f>
        <v/>
      </c>
      <c r="AN553" s="3">
        <f>IF(OR(E553="",F553=""),0,NETWORKDAYS(E553,F553,Ref!$K$2:$K$42))</f>
        <v/>
      </c>
      <c r="AO553" s="3">
        <f>IF(L553="Renewal",1,0)</f>
        <v/>
      </c>
      <c r="AP553" s="3">
        <f>AC553*AD553</f>
        <v/>
      </c>
      <c r="AQ553" s="3">
        <f>IF(AND(G553&lt;&gt;"",'Historical Score'!$C$6&lt;&gt;""),IF(G553='Historical Score'!$C$6,1,0),0)</f>
        <v/>
      </c>
      <c r="AR553" s="3">
        <f>IF(AND(L553&lt;&gt;"",'Historical Score'!$C$5&lt;&gt;""),IF(L553='Historical Score'!$C$5,1,0),0)</f>
        <v/>
      </c>
      <c r="AS553" s="3">
        <f>IF(AND(Y553&lt;&gt;"",'Historical Score'!$C$7&lt;&gt;""),IF(Y553='Historical Score'!$C$7,1,0),0)</f>
        <v/>
      </c>
      <c r="AT553" s="3">
        <f>IF(AND(K553&lt;&gt;"",'Historical Score'!$C$8&lt;&gt;""),IF(K553='Historical Score'!$C$8,1,0),0)</f>
        <v/>
      </c>
      <c r="AU553" s="3" t="n"/>
      <c r="AV553" s="3" t="n"/>
      <c r="AW553" s="3" t="n"/>
      <c r="AX553" s="3" t="n"/>
      <c r="AY553" s="3" t="n"/>
      <c r="AZ553" s="3" t="n"/>
      <c r="BA553" s="182">
        <f>IF(AD553=1,(AR553*'Historical Score'!$K$29+1-'Historical Score'!$K$29)*(AT553*'Historical Score'!$L$29+1-'Historical Score'!$L$29)*(AS553*'Historical Score'!$M$29+1-'Historical Score'!$M$29)*(AQ553*'Historical Score'!$N$29+1-'Historical Score'!$N$29),0)</f>
        <v/>
      </c>
      <c r="BB553" s="3" t="n"/>
      <c r="BC553" s="3" t="n"/>
    </row>
    <row r="554" ht="15.75" customHeight="1" s="174">
      <c r="A554" s="3" t="inlineStr">
        <is>
          <t>5674176973</t>
        </is>
      </c>
      <c r="B554" s="3" t="inlineStr">
        <is>
          <t>Shawnee Litigator Law</t>
        </is>
      </c>
      <c r="C554" s="3" t="inlineStr">
        <is>
          <t>Shelley L Levisay PLLC</t>
        </is>
      </c>
      <c r="D554" s="3" t="inlineStr">
        <is>
          <t>In House Collection</t>
        </is>
      </c>
      <c r="E554" s="23" t="n">
        <v>46044</v>
      </c>
      <c r="F554" s="23" t="n">
        <v>46142</v>
      </c>
      <c r="G554" s="3" t="n">
        <v>2</v>
      </c>
      <c r="H554" s="3" t="inlineStr">
        <is>
          <t>8111</t>
        </is>
      </c>
      <c r="I554" s="3" t="inlineStr">
        <is>
          <t>81</t>
        </is>
      </c>
      <c r="J554" s="3" t="inlineStr">
        <is>
          <t>OK</t>
        </is>
      </c>
      <c r="K554" s="3" t="inlineStr">
        <is>
          <t>Ballicci</t>
        </is>
      </c>
      <c r="L554" s="3" t="inlineStr">
        <is>
          <t>New Deal</t>
        </is>
      </c>
      <c r="M554" s="3" t="n">
        <v>1.49</v>
      </c>
      <c r="N554" s="28" t="n">
        <v>20000</v>
      </c>
      <c r="O554" s="28" t="n">
        <v>2800</v>
      </c>
      <c r="P554" s="28" t="n">
        <v>29800</v>
      </c>
      <c r="Q554" s="28" t="n">
        <v>4221.1</v>
      </c>
      <c r="R554" s="28" t="n">
        <v>25578.9</v>
      </c>
      <c r="S554" s="42" t="n">
        <v>0.141647651006711</v>
      </c>
      <c r="T554" s="3" t="n">
        <v>3.934</v>
      </c>
      <c r="U554" s="3" t="n">
        <v>7</v>
      </c>
      <c r="V554" s="3" t="n">
        <v>73234.22</v>
      </c>
      <c r="W554" s="42" t="n">
        <v>0.0712</v>
      </c>
      <c r="X554" s="23" t="n">
        <v>41921</v>
      </c>
      <c r="Y554" s="3">
        <f>IF(I554="","No SIC",IFERROR(VLOOKUP(I554,Ref!$A$2:$B$65,2,FALSE()),"Unclassified"))</f>
        <v/>
      </c>
      <c r="Z554" s="3">
        <f>IF(T554="","",IF(T554&lt;12,"Daily","Weekly"))</f>
        <v/>
      </c>
      <c r="AA554" s="3">
        <f>IF(T554="",0,IF(T554&lt;12,T554*Controls!$B$13,T554*5))</f>
        <v/>
      </c>
      <c r="AB554" s="3">
        <f>IF(E554="",0,NETWORKDAYS(E554,Controls!$B$20,Ref!$K$2:$K$42))</f>
        <v/>
      </c>
      <c r="AC554" s="3">
        <f>IF(OR(AF554=1,AND(AA554&gt;0,AB554&gt;=Controls!$B$23*AA554)),1,0)</f>
        <v/>
      </c>
      <c r="AD554" s="3">
        <f>IF(AND(E554&lt;&gt;"",E554&gt;=Controls!$B$21,E554&lt;=Controls!$B$22),1,0)</f>
        <v/>
      </c>
      <c r="AE554" s="3">
        <f>IF(IFERROR(VLOOKUP(D554,Controls!$A$36:$E$46,2,FALSE()),"No")="Yes",1,0)</f>
        <v/>
      </c>
      <c r="AF554" s="3">
        <f>IF(IFERROR(VLOOKUP(D554,Controls!$A$36:$E$46,3,FALSE()),"No")="Yes",1,0)</f>
        <v/>
      </c>
      <c r="AG554" s="3">
        <f>IF(IFERROR(VLOOKUP(D554,Controls!$A$36:$E$46,4,FALSE()),"No")="Yes",1,0)</f>
        <v/>
      </c>
      <c r="AH554" s="3">
        <f>IF(IFERROR(VLOOKUP(D554,Controls!$A$36:$E$46,5,FALSE()),"No")="Yes",1,0)</f>
        <v/>
      </c>
      <c r="AI554" s="3">
        <f>IF(ISNUMBER(MATCH(D554,Controls!$A$36:$A$46,0)),1,0)</f>
        <v/>
      </c>
      <c r="AJ554" s="28">
        <f>Q554-N554</f>
        <v/>
      </c>
      <c r="AK554" s="3">
        <f>IF(AE554=1,MAX(0,N554-Q554),0)</f>
        <v/>
      </c>
      <c r="AL554" s="3">
        <f>IF(OR(V554="",V554=0),0,N554/V554)</f>
        <v/>
      </c>
      <c r="AM554" s="3">
        <f>IF(OR(V554="",V554=0),0,1)</f>
        <v/>
      </c>
      <c r="AN554" s="3">
        <f>IF(OR(E554="",F554=""),0,NETWORKDAYS(E554,F554,Ref!$K$2:$K$42))</f>
        <v/>
      </c>
      <c r="AO554" s="3">
        <f>IF(L554="Renewal",1,0)</f>
        <v/>
      </c>
      <c r="AP554" s="3">
        <f>AC554*AD554</f>
        <v/>
      </c>
      <c r="AQ554" s="3">
        <f>IF(AND(G554&lt;&gt;"",'Historical Score'!$C$6&lt;&gt;""),IF(G554='Historical Score'!$C$6,1,0),0)</f>
        <v/>
      </c>
      <c r="AR554" s="3">
        <f>IF(AND(L554&lt;&gt;"",'Historical Score'!$C$5&lt;&gt;""),IF(L554='Historical Score'!$C$5,1,0),0)</f>
        <v/>
      </c>
      <c r="AS554" s="3">
        <f>IF(AND(Y554&lt;&gt;"",'Historical Score'!$C$7&lt;&gt;""),IF(Y554='Historical Score'!$C$7,1,0),0)</f>
        <v/>
      </c>
      <c r="AT554" s="3">
        <f>IF(AND(K554&lt;&gt;"",'Historical Score'!$C$8&lt;&gt;""),IF(K554='Historical Score'!$C$8,1,0),0)</f>
        <v/>
      </c>
      <c r="AU554" s="3" t="n"/>
      <c r="AV554" s="3" t="n"/>
      <c r="AW554" s="3" t="n"/>
      <c r="AX554" s="3" t="n"/>
      <c r="AY554" s="3" t="n"/>
      <c r="AZ554" s="3" t="n"/>
      <c r="BA554" s="182">
        <f>IF(AD554=1,(AR554*'Historical Score'!$K$29+1-'Historical Score'!$K$29)*(AT554*'Historical Score'!$L$29+1-'Historical Score'!$L$29)*(AS554*'Historical Score'!$M$29+1-'Historical Score'!$M$29)*(AQ554*'Historical Score'!$N$29+1-'Historical Score'!$N$29),0)</f>
        <v/>
      </c>
      <c r="BB554" s="3" t="n"/>
      <c r="BC554" s="3" t="n"/>
    </row>
    <row r="555" ht="15.75" customHeight="1" s="174">
      <c r="A555" s="3" t="inlineStr">
        <is>
          <t>5674176997</t>
        </is>
      </c>
      <c r="B555" s="3" t="inlineStr">
        <is>
          <t>APPALACHIAN LANDSCAPING</t>
        </is>
      </c>
      <c r="C555" s="3" t="inlineStr">
        <is>
          <t>APPALACHIAN LANDSCAPING</t>
        </is>
      </c>
      <c r="D555" s="3" t="inlineStr">
        <is>
          <t>In House Collection</t>
        </is>
      </c>
      <c r="E555" s="23" t="n">
        <v>46044</v>
      </c>
      <c r="F555" s="23" t="n">
        <v>46240</v>
      </c>
      <c r="G555" s="3" t="n">
        <v>3</v>
      </c>
      <c r="H555" s="3" t="inlineStr">
        <is>
          <t>0781</t>
        </is>
      </c>
      <c r="I555" s="3" t="inlineStr">
        <is>
          <t>07</t>
        </is>
      </c>
      <c r="J555" s="3" t="inlineStr">
        <is>
          <t>TN</t>
        </is>
      </c>
      <c r="K555" s="3" t="inlineStr">
        <is>
          <t>PMF</t>
        </is>
      </c>
      <c r="L555" s="3" t="inlineStr">
        <is>
          <t>New Deal</t>
        </is>
      </c>
      <c r="M555" s="3" t="n">
        <v>1.42</v>
      </c>
      <c r="N555" s="28" t="n">
        <v>40000</v>
      </c>
      <c r="O555" s="28" t="n">
        <v>4200</v>
      </c>
      <c r="P555" s="28" t="n">
        <v>56800</v>
      </c>
      <c r="Q555" s="28" t="n">
        <v>19155.34</v>
      </c>
      <c r="R555" s="28" t="n">
        <v>37644.66</v>
      </c>
      <c r="S555" s="42" t="n">
        <v>0.337241901408451</v>
      </c>
      <c r="T555" s="3" t="n">
        <v>4.59</v>
      </c>
      <c r="U555" s="3" t="n">
        <v>22</v>
      </c>
      <c r="V555" s="3" t="n">
        <v>271905.48</v>
      </c>
      <c r="W555" s="42" t="n">
        <v>0.0852</v>
      </c>
      <c r="X555" s="23" t="n">
        <v>37377</v>
      </c>
      <c r="Y555" s="3">
        <f>IF(I555="","No SIC",IFERROR(VLOOKUP(I555,Ref!$A$2:$B$65,2,FALSE()),"Unclassified"))</f>
        <v/>
      </c>
      <c r="Z555" s="3">
        <f>IF(T555="","",IF(T555&lt;12,"Daily","Weekly"))</f>
        <v/>
      </c>
      <c r="AA555" s="3">
        <f>IF(T555="",0,IF(T555&lt;12,T555*Controls!$B$13,T555*5))</f>
        <v/>
      </c>
      <c r="AB555" s="3">
        <f>IF(E555="",0,NETWORKDAYS(E555,Controls!$B$20,Ref!$K$2:$K$42))</f>
        <v/>
      </c>
      <c r="AC555" s="3">
        <f>IF(OR(AF555=1,AND(AA555&gt;0,AB555&gt;=Controls!$B$23*AA555)),1,0)</f>
        <v/>
      </c>
      <c r="AD555" s="3">
        <f>IF(AND(E555&lt;&gt;"",E555&gt;=Controls!$B$21,E555&lt;=Controls!$B$22),1,0)</f>
        <v/>
      </c>
      <c r="AE555" s="3">
        <f>IF(IFERROR(VLOOKUP(D555,Controls!$A$36:$E$46,2,FALSE()),"No")="Yes",1,0)</f>
        <v/>
      </c>
      <c r="AF555" s="3">
        <f>IF(IFERROR(VLOOKUP(D555,Controls!$A$36:$E$46,3,FALSE()),"No")="Yes",1,0)</f>
        <v/>
      </c>
      <c r="AG555" s="3">
        <f>IF(IFERROR(VLOOKUP(D555,Controls!$A$36:$E$46,4,FALSE()),"No")="Yes",1,0)</f>
        <v/>
      </c>
      <c r="AH555" s="3">
        <f>IF(IFERROR(VLOOKUP(D555,Controls!$A$36:$E$46,5,FALSE()),"No")="Yes",1,0)</f>
        <v/>
      </c>
      <c r="AI555" s="3">
        <f>IF(ISNUMBER(MATCH(D555,Controls!$A$36:$A$46,0)),1,0)</f>
        <v/>
      </c>
      <c r="AJ555" s="28">
        <f>Q555-N555</f>
        <v/>
      </c>
      <c r="AK555" s="3">
        <f>IF(AE555=1,MAX(0,N555-Q555),0)</f>
        <v/>
      </c>
      <c r="AL555" s="3">
        <f>IF(OR(V555="",V555=0),0,N555/V555)</f>
        <v/>
      </c>
      <c r="AM555" s="3">
        <f>IF(OR(V555="",V555=0),0,1)</f>
        <v/>
      </c>
      <c r="AN555" s="3">
        <f>IF(OR(E555="",F555=""),0,NETWORKDAYS(E555,F555,Ref!$K$2:$K$42))</f>
        <v/>
      </c>
      <c r="AO555" s="3">
        <f>IF(L555="Renewal",1,0)</f>
        <v/>
      </c>
      <c r="AP555" s="3">
        <f>AC555*AD555</f>
        <v/>
      </c>
      <c r="AQ555" s="3">
        <f>IF(AND(G555&lt;&gt;"",'Historical Score'!$C$6&lt;&gt;""),IF(G555='Historical Score'!$C$6,1,0),0)</f>
        <v/>
      </c>
      <c r="AR555" s="3">
        <f>IF(AND(L555&lt;&gt;"",'Historical Score'!$C$5&lt;&gt;""),IF(L555='Historical Score'!$C$5,1,0),0)</f>
        <v/>
      </c>
      <c r="AS555" s="3">
        <f>IF(AND(Y555&lt;&gt;"",'Historical Score'!$C$7&lt;&gt;""),IF(Y555='Historical Score'!$C$7,1,0),0)</f>
        <v/>
      </c>
      <c r="AT555" s="3">
        <f>IF(AND(K555&lt;&gt;"",'Historical Score'!$C$8&lt;&gt;""),IF(K555='Historical Score'!$C$8,1,0),0)</f>
        <v/>
      </c>
      <c r="AU555" s="3" t="n"/>
      <c r="AV555" s="3" t="n"/>
      <c r="AW555" s="3" t="n"/>
      <c r="AX555" s="3" t="n"/>
      <c r="AY555" s="3" t="n"/>
      <c r="AZ555" s="3" t="n"/>
      <c r="BA555" s="182">
        <f>IF(AD555=1,(AR555*'Historical Score'!$K$29+1-'Historical Score'!$K$29)*(AT555*'Historical Score'!$L$29+1-'Historical Score'!$L$29)*(AS555*'Historical Score'!$M$29+1-'Historical Score'!$M$29)*(AQ555*'Historical Score'!$N$29+1-'Historical Score'!$N$29),0)</f>
        <v/>
      </c>
      <c r="BB555" s="3" t="n"/>
      <c r="BC555" s="3" t="n"/>
    </row>
    <row r="556" ht="15.75" customHeight="1" s="174">
      <c r="A556" s="3" t="inlineStr">
        <is>
          <t>5674177004</t>
        </is>
      </c>
      <c r="B556" s="3" t="inlineStr">
        <is>
          <t>Summit Solar Solutions, LLC</t>
        </is>
      </c>
      <c r="C556" s="3" t="inlineStr">
        <is>
          <t>Summit Solar Solutions, LLC</t>
        </is>
      </c>
      <c r="D556" s="3" t="inlineStr">
        <is>
          <t>Legal</t>
        </is>
      </c>
      <c r="E556" s="23" t="n">
        <v>46044</v>
      </c>
      <c r="F556" s="23" t="n">
        <v>46205</v>
      </c>
      <c r="G556" s="3" t="n">
        <v>3</v>
      </c>
      <c r="H556" s="3" t="inlineStr">
        <is>
          <t>1711</t>
        </is>
      </c>
      <c r="I556" s="3" t="inlineStr">
        <is>
          <t>17</t>
        </is>
      </c>
      <c r="J556" s="3" t="inlineStr">
        <is>
          <t>MA</t>
        </is>
      </c>
      <c r="K556" s="3" t="inlineStr">
        <is>
          <t>PMF</t>
        </is>
      </c>
      <c r="L556" s="3" t="inlineStr">
        <is>
          <t>New Deal</t>
        </is>
      </c>
      <c r="M556" s="3" t="n">
        <v>1.43</v>
      </c>
      <c r="N556" s="28" t="n">
        <v>175000</v>
      </c>
      <c r="O556" s="28" t="n">
        <v>15750</v>
      </c>
      <c r="P556" s="28" t="n">
        <v>250250</v>
      </c>
      <c r="Q556" s="28" t="n">
        <v>51015.73</v>
      </c>
      <c r="R556" s="28" t="n">
        <v>199234.27</v>
      </c>
      <c r="S556" s="42" t="n">
        <v>0.203859060939061</v>
      </c>
      <c r="T556" s="3" t="n">
        <v>38</v>
      </c>
      <c r="U556" s="3" t="n">
        <v>3</v>
      </c>
      <c r="V556" s="3" t="n">
        <v>2347109.12</v>
      </c>
      <c r="W556" s="42" t="n">
        <v>0.0112</v>
      </c>
      <c r="X556" s="23" t="n">
        <v>42632</v>
      </c>
      <c r="Y556" s="3">
        <f>IF(I556="","No SIC",IFERROR(VLOOKUP(I556,Ref!$A$2:$B$65,2,FALSE()),"Unclassified"))</f>
        <v/>
      </c>
      <c r="Z556" s="3">
        <f>IF(T556="","",IF(T556&lt;12,"Daily","Weekly"))</f>
        <v/>
      </c>
      <c r="AA556" s="3">
        <f>IF(T556="",0,IF(T556&lt;12,T556*Controls!$B$13,T556*5))</f>
        <v/>
      </c>
      <c r="AB556" s="3">
        <f>IF(E556="",0,NETWORKDAYS(E556,Controls!$B$20,Ref!$K$2:$K$42))</f>
        <v/>
      </c>
      <c r="AC556" s="3">
        <f>IF(OR(AF556=1,AND(AA556&gt;0,AB556&gt;=Controls!$B$23*AA556)),1,0)</f>
        <v/>
      </c>
      <c r="AD556" s="3">
        <f>IF(AND(E556&lt;&gt;"",E556&gt;=Controls!$B$21,E556&lt;=Controls!$B$22),1,0)</f>
        <v/>
      </c>
      <c r="AE556" s="3">
        <f>IF(IFERROR(VLOOKUP(D556,Controls!$A$36:$E$46,2,FALSE()),"No")="Yes",1,0)</f>
        <v/>
      </c>
      <c r="AF556" s="3">
        <f>IF(IFERROR(VLOOKUP(D556,Controls!$A$36:$E$46,3,FALSE()),"No")="Yes",1,0)</f>
        <v/>
      </c>
      <c r="AG556" s="3">
        <f>IF(IFERROR(VLOOKUP(D556,Controls!$A$36:$E$46,4,FALSE()),"No")="Yes",1,0)</f>
        <v/>
      </c>
      <c r="AH556" s="3">
        <f>IF(IFERROR(VLOOKUP(D556,Controls!$A$36:$E$46,5,FALSE()),"No")="Yes",1,0)</f>
        <v/>
      </c>
      <c r="AI556" s="3">
        <f>IF(ISNUMBER(MATCH(D556,Controls!$A$36:$A$46,0)),1,0)</f>
        <v/>
      </c>
      <c r="AJ556" s="28">
        <f>Q556-N556</f>
        <v/>
      </c>
      <c r="AK556" s="3">
        <f>IF(AE556=1,MAX(0,N556-Q556),0)</f>
        <v/>
      </c>
      <c r="AL556" s="3">
        <f>IF(OR(V556="",V556=0),0,N556/V556)</f>
        <v/>
      </c>
      <c r="AM556" s="3">
        <f>IF(OR(V556="",V556=0),0,1)</f>
        <v/>
      </c>
      <c r="AN556" s="3">
        <f>IF(OR(E556="",F556=""),0,NETWORKDAYS(E556,F556,Ref!$K$2:$K$42))</f>
        <v/>
      </c>
      <c r="AO556" s="3">
        <f>IF(L556="Renewal",1,0)</f>
        <v/>
      </c>
      <c r="AP556" s="3">
        <f>AC556*AD556</f>
        <v/>
      </c>
      <c r="AQ556" s="3">
        <f>IF(AND(G556&lt;&gt;"",'Historical Score'!$C$6&lt;&gt;""),IF(G556='Historical Score'!$C$6,1,0),0)</f>
        <v/>
      </c>
      <c r="AR556" s="3">
        <f>IF(AND(L556&lt;&gt;"",'Historical Score'!$C$5&lt;&gt;""),IF(L556='Historical Score'!$C$5,1,0),0)</f>
        <v/>
      </c>
      <c r="AS556" s="3">
        <f>IF(AND(Y556&lt;&gt;"",'Historical Score'!$C$7&lt;&gt;""),IF(Y556='Historical Score'!$C$7,1,0),0)</f>
        <v/>
      </c>
      <c r="AT556" s="3">
        <f>IF(AND(K556&lt;&gt;"",'Historical Score'!$C$8&lt;&gt;""),IF(K556='Historical Score'!$C$8,1,0),0)</f>
        <v/>
      </c>
      <c r="AU556" s="3" t="n"/>
      <c r="AV556" s="3" t="n"/>
      <c r="AW556" s="3" t="n"/>
      <c r="AX556" s="3" t="n"/>
      <c r="AY556" s="3" t="n"/>
      <c r="AZ556" s="3" t="n"/>
      <c r="BA556" s="182">
        <f>IF(AD556=1,(AR556*'Historical Score'!$K$29+1-'Historical Score'!$K$29)*(AT556*'Historical Score'!$L$29+1-'Historical Score'!$L$29)*(AS556*'Historical Score'!$M$29+1-'Historical Score'!$M$29)*(AQ556*'Historical Score'!$N$29+1-'Historical Score'!$N$29),0)</f>
        <v/>
      </c>
      <c r="BB556" s="3" t="n"/>
      <c r="BC556" s="3" t="n"/>
    </row>
    <row r="557" ht="15.75" customHeight="1" s="174">
      <c r="A557" s="3" t="inlineStr">
        <is>
          <t>5674177010</t>
        </is>
      </c>
      <c r="B557" s="3" t="inlineStr">
        <is>
          <t>ABOUT ANYWHERE PORTA POTTY AND SEPTIC LLC</t>
        </is>
      </c>
      <c r="C557" s="3" t="inlineStr">
        <is>
          <t>ABOUT ANYWHERE PORTA POTTY AND SEPTIC LLC</t>
        </is>
      </c>
      <c r="D557" s="3" t="inlineStr">
        <is>
          <t>Settlement Agreement</t>
        </is>
      </c>
      <c r="E557" s="23" t="n">
        <v>46044</v>
      </c>
      <c r="F557" s="23" t="n">
        <v>46248</v>
      </c>
      <c r="G557" s="3" t="n">
        <v>3</v>
      </c>
      <c r="H557" s="3" t="inlineStr">
        <is>
          <t>4959</t>
        </is>
      </c>
      <c r="I557" s="3" t="inlineStr">
        <is>
          <t>49</t>
        </is>
      </c>
      <c r="J557" s="3" t="inlineStr">
        <is>
          <t>MO</t>
        </is>
      </c>
      <c r="K557" s="3" t="inlineStr">
        <is>
          <t>Can I Have Money</t>
        </is>
      </c>
      <c r="L557" s="3" t="inlineStr">
        <is>
          <t>New Deal</t>
        </is>
      </c>
      <c r="M557" s="3" t="n">
        <v>1.49</v>
      </c>
      <c r="N557" s="28" t="n">
        <v>9000</v>
      </c>
      <c r="O557" s="28" t="n">
        <v>1260</v>
      </c>
      <c r="P557" s="28" t="n">
        <v>13410</v>
      </c>
      <c r="Q557" s="28" t="n">
        <v>6996.22</v>
      </c>
      <c r="R557" s="28" t="n">
        <v>6413.78</v>
      </c>
      <c r="S557" s="42" t="n">
        <v>0.521716629381059</v>
      </c>
      <c r="T557" s="3" t="n">
        <v>2.623</v>
      </c>
      <c r="U557" s="3" t="n">
        <v>4</v>
      </c>
      <c r="V557" s="3" t="n">
        <v>22520.35</v>
      </c>
      <c r="W557" s="42" t="n">
        <v>0.1563</v>
      </c>
      <c r="X557" s="23" t="n">
        <v>39833</v>
      </c>
      <c r="Y557" s="3">
        <f>IF(I557="","No SIC",IFERROR(VLOOKUP(I557,Ref!$A$2:$B$65,2,FALSE()),"Unclassified"))</f>
        <v/>
      </c>
      <c r="Z557" s="3">
        <f>IF(T557="","",IF(T557&lt;12,"Daily","Weekly"))</f>
        <v/>
      </c>
      <c r="AA557" s="3">
        <f>IF(T557="",0,IF(T557&lt;12,T557*Controls!$B$13,T557*5))</f>
        <v/>
      </c>
      <c r="AB557" s="3">
        <f>IF(E557="",0,NETWORKDAYS(E557,Controls!$B$20,Ref!$K$2:$K$42))</f>
        <v/>
      </c>
      <c r="AC557" s="3">
        <f>IF(OR(AF557=1,AND(AA557&gt;0,AB557&gt;=Controls!$B$23*AA557)),1,0)</f>
        <v/>
      </c>
      <c r="AD557" s="3">
        <f>IF(AND(E557&lt;&gt;"",E557&gt;=Controls!$B$21,E557&lt;=Controls!$B$22),1,0)</f>
        <v/>
      </c>
      <c r="AE557" s="3">
        <f>IF(IFERROR(VLOOKUP(D557,Controls!$A$36:$E$46,2,FALSE()),"No")="Yes",1,0)</f>
        <v/>
      </c>
      <c r="AF557" s="3">
        <f>IF(IFERROR(VLOOKUP(D557,Controls!$A$36:$E$46,3,FALSE()),"No")="Yes",1,0)</f>
        <v/>
      </c>
      <c r="AG557" s="3">
        <f>IF(IFERROR(VLOOKUP(D557,Controls!$A$36:$E$46,4,FALSE()),"No")="Yes",1,0)</f>
        <v/>
      </c>
      <c r="AH557" s="3">
        <f>IF(IFERROR(VLOOKUP(D557,Controls!$A$36:$E$46,5,FALSE()),"No")="Yes",1,0)</f>
        <v/>
      </c>
      <c r="AI557" s="3">
        <f>IF(ISNUMBER(MATCH(D557,Controls!$A$36:$A$46,0)),1,0)</f>
        <v/>
      </c>
      <c r="AJ557" s="28">
        <f>Q557-N557</f>
        <v/>
      </c>
      <c r="AK557" s="3">
        <f>IF(AE557=1,MAX(0,N557-Q557),0)</f>
        <v/>
      </c>
      <c r="AL557" s="3">
        <f>IF(OR(V557="",V557=0),0,N557/V557)</f>
        <v/>
      </c>
      <c r="AM557" s="3">
        <f>IF(OR(V557="",V557=0),0,1)</f>
        <v/>
      </c>
      <c r="AN557" s="3">
        <f>IF(OR(E557="",F557=""),0,NETWORKDAYS(E557,F557,Ref!$K$2:$K$42))</f>
        <v/>
      </c>
      <c r="AO557" s="3">
        <f>IF(L557="Renewal",1,0)</f>
        <v/>
      </c>
      <c r="AP557" s="3">
        <f>AC557*AD557</f>
        <v/>
      </c>
      <c r="AQ557" s="3">
        <f>IF(AND(G557&lt;&gt;"",'Historical Score'!$C$6&lt;&gt;""),IF(G557='Historical Score'!$C$6,1,0),0)</f>
        <v/>
      </c>
      <c r="AR557" s="3">
        <f>IF(AND(L557&lt;&gt;"",'Historical Score'!$C$5&lt;&gt;""),IF(L557='Historical Score'!$C$5,1,0),0)</f>
        <v/>
      </c>
      <c r="AS557" s="3">
        <f>IF(AND(Y557&lt;&gt;"",'Historical Score'!$C$7&lt;&gt;""),IF(Y557='Historical Score'!$C$7,1,0),0)</f>
        <v/>
      </c>
      <c r="AT557" s="3">
        <f>IF(AND(K557&lt;&gt;"",'Historical Score'!$C$8&lt;&gt;""),IF(K557='Historical Score'!$C$8,1,0),0)</f>
        <v/>
      </c>
      <c r="AU557" s="3" t="n"/>
      <c r="AV557" s="3" t="n"/>
      <c r="AW557" s="3" t="n"/>
      <c r="AX557" s="3" t="n"/>
      <c r="AY557" s="3" t="n"/>
      <c r="AZ557" s="3" t="n"/>
      <c r="BA557" s="182">
        <f>IF(AD557=1,(AR557*'Historical Score'!$K$29+1-'Historical Score'!$K$29)*(AT557*'Historical Score'!$L$29+1-'Historical Score'!$L$29)*(AS557*'Historical Score'!$M$29+1-'Historical Score'!$M$29)*(AQ557*'Historical Score'!$N$29+1-'Historical Score'!$N$29),0)</f>
        <v/>
      </c>
      <c r="BB557" s="3" t="n"/>
      <c r="BC557" s="3" t="n"/>
    </row>
    <row r="558" ht="15.75" customHeight="1" s="174">
      <c r="A558" s="3" t="inlineStr">
        <is>
          <t>5674177016</t>
        </is>
      </c>
      <c r="B558" s="3" t="inlineStr">
        <is>
          <t>RS WELDING CONSTRUCTION LLC</t>
        </is>
      </c>
      <c r="C558" s="3" t="inlineStr">
        <is>
          <t>RS WELDING CONSTRUCTION LLC</t>
        </is>
      </c>
      <c r="D558" s="3" t="inlineStr">
        <is>
          <t>Legal</t>
        </is>
      </c>
      <c r="E558" s="23" t="n">
        <v>46044</v>
      </c>
      <c r="F558" s="23" t="n">
        <v>46108</v>
      </c>
      <c r="G558" s="3" t="n">
        <v>2</v>
      </c>
      <c r="H558" s="3" t="inlineStr">
        <is>
          <t>7692</t>
        </is>
      </c>
      <c r="I558" s="3" t="inlineStr">
        <is>
          <t>76</t>
        </is>
      </c>
      <c r="J558" s="3" t="inlineStr">
        <is>
          <t>TX</t>
        </is>
      </c>
      <c r="K558" s="3" t="inlineStr">
        <is>
          <t>Ballicci</t>
        </is>
      </c>
      <c r="L558" s="3" t="inlineStr">
        <is>
          <t>New Deal</t>
        </is>
      </c>
      <c r="M558" s="3" t="n">
        <v>1.49</v>
      </c>
      <c r="N558" s="28" t="n">
        <v>30000</v>
      </c>
      <c r="O558" s="28" t="n">
        <v>4200</v>
      </c>
      <c r="P558" s="28" t="n">
        <v>44700</v>
      </c>
      <c r="Q558" s="28" t="n">
        <v>5215.14</v>
      </c>
      <c r="R558" s="28" t="n">
        <v>39484.86</v>
      </c>
      <c r="S558" s="42" t="n">
        <v>0.116669798657718</v>
      </c>
      <c r="T558" s="3" t="n">
        <v>3.934</v>
      </c>
      <c r="U558" s="3" t="n">
        <v>29</v>
      </c>
      <c r="V558" s="3" t="n">
        <v>79986.60000000001</v>
      </c>
      <c r="W558" s="42" t="n">
        <v>0.0978</v>
      </c>
      <c r="X558" s="23" t="n">
        <v>45642</v>
      </c>
      <c r="Y558" s="3">
        <f>IF(I558="","No SIC",IFERROR(VLOOKUP(I558,Ref!$A$2:$B$65,2,FALSE()),"Unclassified"))</f>
        <v/>
      </c>
      <c r="Z558" s="3">
        <f>IF(T558="","",IF(T558&lt;12,"Daily","Weekly"))</f>
        <v/>
      </c>
      <c r="AA558" s="3">
        <f>IF(T558="",0,IF(T558&lt;12,T558*Controls!$B$13,T558*5))</f>
        <v/>
      </c>
      <c r="AB558" s="3">
        <f>IF(E558="",0,NETWORKDAYS(E558,Controls!$B$20,Ref!$K$2:$K$42))</f>
        <v/>
      </c>
      <c r="AC558" s="3">
        <f>IF(OR(AF558=1,AND(AA558&gt;0,AB558&gt;=Controls!$B$23*AA558)),1,0)</f>
        <v/>
      </c>
      <c r="AD558" s="3">
        <f>IF(AND(E558&lt;&gt;"",E558&gt;=Controls!$B$21,E558&lt;=Controls!$B$22),1,0)</f>
        <v/>
      </c>
      <c r="AE558" s="3">
        <f>IF(IFERROR(VLOOKUP(D558,Controls!$A$36:$E$46,2,FALSE()),"No")="Yes",1,0)</f>
        <v/>
      </c>
      <c r="AF558" s="3">
        <f>IF(IFERROR(VLOOKUP(D558,Controls!$A$36:$E$46,3,FALSE()),"No")="Yes",1,0)</f>
        <v/>
      </c>
      <c r="AG558" s="3">
        <f>IF(IFERROR(VLOOKUP(D558,Controls!$A$36:$E$46,4,FALSE()),"No")="Yes",1,0)</f>
        <v/>
      </c>
      <c r="AH558" s="3">
        <f>IF(IFERROR(VLOOKUP(D558,Controls!$A$36:$E$46,5,FALSE()),"No")="Yes",1,0)</f>
        <v/>
      </c>
      <c r="AI558" s="3">
        <f>IF(ISNUMBER(MATCH(D558,Controls!$A$36:$A$46,0)),1,0)</f>
        <v/>
      </c>
      <c r="AJ558" s="28">
        <f>Q558-N558</f>
        <v/>
      </c>
      <c r="AK558" s="3">
        <f>IF(AE558=1,MAX(0,N558-Q558),0)</f>
        <v/>
      </c>
      <c r="AL558" s="3">
        <f>IF(OR(V558="",V558=0),0,N558/V558)</f>
        <v/>
      </c>
      <c r="AM558" s="3">
        <f>IF(OR(V558="",V558=0),0,1)</f>
        <v/>
      </c>
      <c r="AN558" s="3">
        <f>IF(OR(E558="",F558=""),0,NETWORKDAYS(E558,F558,Ref!$K$2:$K$42))</f>
        <v/>
      </c>
      <c r="AO558" s="3">
        <f>IF(L558="Renewal",1,0)</f>
        <v/>
      </c>
      <c r="AP558" s="3">
        <f>AC558*AD558</f>
        <v/>
      </c>
      <c r="AQ558" s="3">
        <f>IF(AND(G558&lt;&gt;"",'Historical Score'!$C$6&lt;&gt;""),IF(G558='Historical Score'!$C$6,1,0),0)</f>
        <v/>
      </c>
      <c r="AR558" s="3">
        <f>IF(AND(L558&lt;&gt;"",'Historical Score'!$C$5&lt;&gt;""),IF(L558='Historical Score'!$C$5,1,0),0)</f>
        <v/>
      </c>
      <c r="AS558" s="3">
        <f>IF(AND(Y558&lt;&gt;"",'Historical Score'!$C$7&lt;&gt;""),IF(Y558='Historical Score'!$C$7,1,0),0)</f>
        <v/>
      </c>
      <c r="AT558" s="3">
        <f>IF(AND(K558&lt;&gt;"",'Historical Score'!$C$8&lt;&gt;""),IF(K558='Historical Score'!$C$8,1,0),0)</f>
        <v/>
      </c>
      <c r="AU558" s="3" t="n"/>
      <c r="AV558" s="3" t="n"/>
      <c r="AW558" s="3" t="n"/>
      <c r="AX558" s="3" t="n"/>
      <c r="AY558" s="3" t="n"/>
      <c r="AZ558" s="3" t="n"/>
      <c r="BA558" s="182">
        <f>IF(AD558=1,(AR558*'Historical Score'!$K$29+1-'Historical Score'!$K$29)*(AT558*'Historical Score'!$L$29+1-'Historical Score'!$L$29)*(AS558*'Historical Score'!$M$29+1-'Historical Score'!$M$29)*(AQ558*'Historical Score'!$N$29+1-'Historical Score'!$N$29),0)</f>
        <v/>
      </c>
      <c r="BB558" s="3" t="n"/>
      <c r="BC558" s="3" t="n"/>
    </row>
    <row r="559" ht="15.75" customHeight="1" s="174">
      <c r="A559" s="3" t="inlineStr">
        <is>
          <t>5674177060</t>
        </is>
      </c>
      <c r="B559" s="3" t="inlineStr">
        <is>
          <t>WINNING MENTALITY INVESTMENTS</t>
        </is>
      </c>
      <c r="C559" s="3" t="inlineStr">
        <is>
          <t>WINNING MENTALITY INVESTMENTS INC</t>
        </is>
      </c>
      <c r="D559" s="3" t="inlineStr">
        <is>
          <t>In House Collection</t>
        </is>
      </c>
      <c r="E559" s="23" t="n">
        <v>46045</v>
      </c>
      <c r="F559" s="23" t="n">
        <v>46093</v>
      </c>
      <c r="G559" s="3" t="n">
        <v>2</v>
      </c>
      <c r="H559" s="3" t="inlineStr">
        <is>
          <t>7538</t>
        </is>
      </c>
      <c r="I559" s="3" t="inlineStr">
        <is>
          <t>75</t>
        </is>
      </c>
      <c r="J559" s="3" t="inlineStr">
        <is>
          <t>CA</t>
        </is>
      </c>
      <c r="K559" s="3" t="inlineStr">
        <is>
          <t>Tech Consulting Pro LLC D/B/A: Nationwide Advance</t>
        </is>
      </c>
      <c r="L559" s="3" t="inlineStr">
        <is>
          <t>New Deal</t>
        </is>
      </c>
      <c r="M559" s="3" t="n">
        <v>1.49</v>
      </c>
      <c r="N559" s="28" t="n">
        <v>25000</v>
      </c>
      <c r="O559" s="28" t="n">
        <v>3500</v>
      </c>
      <c r="P559" s="28" t="n">
        <v>37250</v>
      </c>
      <c r="Q559" s="28" t="n">
        <v>9316.5</v>
      </c>
      <c r="R559" s="28" t="n">
        <v>27933.5</v>
      </c>
      <c r="S559" s="42" t="n">
        <v>0.250107382550336</v>
      </c>
      <c r="T559" s="3" t="n">
        <v>3.934</v>
      </c>
      <c r="U559" s="3" t="n">
        <v>4</v>
      </c>
      <c r="V559" s="3" t="n">
        <v>74873.96000000001</v>
      </c>
      <c r="W559" s="42" t="n">
        <v>0.0871</v>
      </c>
      <c r="X559" s="23" t="n"/>
      <c r="Y559" s="3">
        <f>IF(I559="","No SIC",IFERROR(VLOOKUP(I559,Ref!$A$2:$B$65,2,FALSE()),"Unclassified"))</f>
        <v/>
      </c>
      <c r="Z559" s="3">
        <f>IF(T559="","",IF(T559&lt;12,"Daily","Weekly"))</f>
        <v/>
      </c>
      <c r="AA559" s="3">
        <f>IF(T559="",0,IF(T559&lt;12,T559*Controls!$B$13,T559*5))</f>
        <v/>
      </c>
      <c r="AB559" s="3">
        <f>IF(E559="",0,NETWORKDAYS(E559,Controls!$B$20,Ref!$K$2:$K$42))</f>
        <v/>
      </c>
      <c r="AC559" s="3">
        <f>IF(OR(AF559=1,AND(AA559&gt;0,AB559&gt;=Controls!$B$23*AA559)),1,0)</f>
        <v/>
      </c>
      <c r="AD559" s="3">
        <f>IF(AND(E559&lt;&gt;"",E559&gt;=Controls!$B$21,E559&lt;=Controls!$B$22),1,0)</f>
        <v/>
      </c>
      <c r="AE559" s="3">
        <f>IF(IFERROR(VLOOKUP(D559,Controls!$A$36:$E$46,2,FALSE()),"No")="Yes",1,0)</f>
        <v/>
      </c>
      <c r="AF559" s="3">
        <f>IF(IFERROR(VLOOKUP(D559,Controls!$A$36:$E$46,3,FALSE()),"No")="Yes",1,0)</f>
        <v/>
      </c>
      <c r="AG559" s="3">
        <f>IF(IFERROR(VLOOKUP(D559,Controls!$A$36:$E$46,4,FALSE()),"No")="Yes",1,0)</f>
        <v/>
      </c>
      <c r="AH559" s="3">
        <f>IF(IFERROR(VLOOKUP(D559,Controls!$A$36:$E$46,5,FALSE()),"No")="Yes",1,0)</f>
        <v/>
      </c>
      <c r="AI559" s="3">
        <f>IF(ISNUMBER(MATCH(D559,Controls!$A$36:$A$46,0)),1,0)</f>
        <v/>
      </c>
      <c r="AJ559" s="28">
        <f>Q559-N559</f>
        <v/>
      </c>
      <c r="AK559" s="3">
        <f>IF(AE559=1,MAX(0,N559-Q559),0)</f>
        <v/>
      </c>
      <c r="AL559" s="3">
        <f>IF(OR(V559="",V559=0),0,N559/V559)</f>
        <v/>
      </c>
      <c r="AM559" s="3">
        <f>IF(OR(V559="",V559=0),0,1)</f>
        <v/>
      </c>
      <c r="AN559" s="3">
        <f>IF(OR(E559="",F559=""),0,NETWORKDAYS(E559,F559,Ref!$K$2:$K$42))</f>
        <v/>
      </c>
      <c r="AO559" s="3">
        <f>IF(L559="Renewal",1,0)</f>
        <v/>
      </c>
      <c r="AP559" s="3">
        <f>AC559*AD559</f>
        <v/>
      </c>
      <c r="AQ559" s="3">
        <f>IF(AND(G559&lt;&gt;"",'Historical Score'!$C$6&lt;&gt;""),IF(G559='Historical Score'!$C$6,1,0),0)</f>
        <v/>
      </c>
      <c r="AR559" s="3">
        <f>IF(AND(L559&lt;&gt;"",'Historical Score'!$C$5&lt;&gt;""),IF(L559='Historical Score'!$C$5,1,0),0)</f>
        <v/>
      </c>
      <c r="AS559" s="3">
        <f>IF(AND(Y559&lt;&gt;"",'Historical Score'!$C$7&lt;&gt;""),IF(Y559='Historical Score'!$C$7,1,0),0)</f>
        <v/>
      </c>
      <c r="AT559" s="3">
        <f>IF(AND(K559&lt;&gt;"",'Historical Score'!$C$8&lt;&gt;""),IF(K559='Historical Score'!$C$8,1,0),0)</f>
        <v/>
      </c>
      <c r="AU559" s="3" t="n"/>
      <c r="AV559" s="3" t="n"/>
      <c r="AW559" s="3" t="n"/>
      <c r="AX559" s="3" t="n"/>
      <c r="AY559" s="3" t="n"/>
      <c r="AZ559" s="3" t="n"/>
      <c r="BA559" s="182">
        <f>IF(AD559=1,(AR559*'Historical Score'!$K$29+1-'Historical Score'!$K$29)*(AT559*'Historical Score'!$L$29+1-'Historical Score'!$L$29)*(AS559*'Historical Score'!$M$29+1-'Historical Score'!$M$29)*(AQ559*'Historical Score'!$N$29+1-'Historical Score'!$N$29),0)</f>
        <v/>
      </c>
      <c r="BB559" s="3" t="n"/>
      <c r="BC559" s="3" t="n"/>
    </row>
    <row r="560" ht="15.75" customHeight="1" s="174">
      <c r="A560" s="3" t="inlineStr">
        <is>
          <t>5674177082</t>
        </is>
      </c>
      <c r="B560" s="3" t="inlineStr">
        <is>
          <t>RAUL B. RODRIGUEZ LAW PC</t>
        </is>
      </c>
      <c r="C560" s="3" t="inlineStr">
        <is>
          <t>RAUL B. RODRIGUEZ LAW PC.</t>
        </is>
      </c>
      <c r="D560" s="3" t="inlineStr">
        <is>
          <t>Closed</t>
        </is>
      </c>
      <c r="E560" s="23" t="n">
        <v>46045</v>
      </c>
      <c r="F560" s="23" t="n">
        <v>46171</v>
      </c>
      <c r="G560" s="3" t="n">
        <v>3</v>
      </c>
      <c r="H560" s="3" t="inlineStr">
        <is>
          <t>8111</t>
        </is>
      </c>
      <c r="I560" s="3" t="inlineStr">
        <is>
          <t>81</t>
        </is>
      </c>
      <c r="J560" s="3" t="inlineStr">
        <is>
          <t>TX</t>
        </is>
      </c>
      <c r="K560" s="3" t="inlineStr">
        <is>
          <t>Lightning SBA Loans</t>
        </is>
      </c>
      <c r="L560" s="3" t="inlineStr">
        <is>
          <t>New Deal</t>
        </is>
      </c>
      <c r="M560" s="3" t="n">
        <v>1.49</v>
      </c>
      <c r="N560" s="28" t="n">
        <v>150000</v>
      </c>
      <c r="O560" s="28" t="n">
        <v>21000</v>
      </c>
      <c r="P560" s="28" t="n">
        <v>223500</v>
      </c>
      <c r="Q560" s="28" t="n">
        <v>223500</v>
      </c>
      <c r="R560" s="28" t="n">
        <v>0</v>
      </c>
      <c r="S560" s="42" t="n">
        <v>1</v>
      </c>
      <c r="T560" s="3" t="n">
        <v>35</v>
      </c>
      <c r="U560" s="3" t="n">
        <v>0</v>
      </c>
      <c r="V560" s="3" t="n">
        <v>919255.72</v>
      </c>
      <c r="W560" s="42" t="n">
        <v>0.0278</v>
      </c>
      <c r="X560" s="23" t="n">
        <v>43818</v>
      </c>
      <c r="Y560" s="3">
        <f>IF(I560="","No SIC",IFERROR(VLOOKUP(I560,Ref!$A$2:$B$65,2,FALSE()),"Unclassified"))</f>
        <v/>
      </c>
      <c r="Z560" s="3">
        <f>IF(T560="","",IF(T560&lt;12,"Daily","Weekly"))</f>
        <v/>
      </c>
      <c r="AA560" s="3">
        <f>IF(T560="",0,IF(T560&lt;12,T560*Controls!$B$13,T560*5))</f>
        <v/>
      </c>
      <c r="AB560" s="3">
        <f>IF(E560="",0,NETWORKDAYS(E560,Controls!$B$20,Ref!$K$2:$K$42))</f>
        <v/>
      </c>
      <c r="AC560" s="3">
        <f>IF(OR(AF560=1,AND(AA560&gt;0,AB560&gt;=Controls!$B$23*AA560)),1,0)</f>
        <v/>
      </c>
      <c r="AD560" s="3">
        <f>IF(AND(E560&lt;&gt;"",E560&gt;=Controls!$B$21,E560&lt;=Controls!$B$22),1,0)</f>
        <v/>
      </c>
      <c r="AE560" s="3">
        <f>IF(IFERROR(VLOOKUP(D560,Controls!$A$36:$E$46,2,FALSE()),"No")="Yes",1,0)</f>
        <v/>
      </c>
      <c r="AF560" s="3">
        <f>IF(IFERROR(VLOOKUP(D560,Controls!$A$36:$E$46,3,FALSE()),"No")="Yes",1,0)</f>
        <v/>
      </c>
      <c r="AG560" s="3">
        <f>IF(IFERROR(VLOOKUP(D560,Controls!$A$36:$E$46,4,FALSE()),"No")="Yes",1,0)</f>
        <v/>
      </c>
      <c r="AH560" s="3">
        <f>IF(IFERROR(VLOOKUP(D560,Controls!$A$36:$E$46,5,FALSE()),"No")="Yes",1,0)</f>
        <v/>
      </c>
      <c r="AI560" s="3">
        <f>IF(ISNUMBER(MATCH(D560,Controls!$A$36:$A$46,0)),1,0)</f>
        <v/>
      </c>
      <c r="AJ560" s="28">
        <f>Q560-N560</f>
        <v/>
      </c>
      <c r="AK560" s="3">
        <f>IF(AE560=1,MAX(0,N560-Q560),0)</f>
        <v/>
      </c>
      <c r="AL560" s="3">
        <f>IF(OR(V560="",V560=0),0,N560/V560)</f>
        <v/>
      </c>
      <c r="AM560" s="3">
        <f>IF(OR(V560="",V560=0),0,1)</f>
        <v/>
      </c>
      <c r="AN560" s="3">
        <f>IF(OR(E560="",F560=""),0,NETWORKDAYS(E560,F560,Ref!$K$2:$K$42))</f>
        <v/>
      </c>
      <c r="AO560" s="3">
        <f>IF(L560="Renewal",1,0)</f>
        <v/>
      </c>
      <c r="AP560" s="3">
        <f>AC560*AD560</f>
        <v/>
      </c>
      <c r="AQ560" s="3">
        <f>IF(AND(G560&lt;&gt;"",'Historical Score'!$C$6&lt;&gt;""),IF(G560='Historical Score'!$C$6,1,0),0)</f>
        <v/>
      </c>
      <c r="AR560" s="3">
        <f>IF(AND(L560&lt;&gt;"",'Historical Score'!$C$5&lt;&gt;""),IF(L560='Historical Score'!$C$5,1,0),0)</f>
        <v/>
      </c>
      <c r="AS560" s="3">
        <f>IF(AND(Y560&lt;&gt;"",'Historical Score'!$C$7&lt;&gt;""),IF(Y560='Historical Score'!$C$7,1,0),0)</f>
        <v/>
      </c>
      <c r="AT560" s="3">
        <f>IF(AND(K560&lt;&gt;"",'Historical Score'!$C$8&lt;&gt;""),IF(K560='Historical Score'!$C$8,1,0),0)</f>
        <v/>
      </c>
      <c r="AU560" s="3" t="n"/>
      <c r="AV560" s="3" t="n"/>
      <c r="AW560" s="3" t="n"/>
      <c r="AX560" s="3" t="n"/>
      <c r="AY560" s="3" t="n"/>
      <c r="AZ560" s="3" t="n"/>
      <c r="BA560" s="182">
        <f>IF(AD560=1,(AR560*'Historical Score'!$K$29+1-'Historical Score'!$K$29)*(AT560*'Historical Score'!$L$29+1-'Historical Score'!$L$29)*(AS560*'Historical Score'!$M$29+1-'Historical Score'!$M$29)*(AQ560*'Historical Score'!$N$29+1-'Historical Score'!$N$29),0)</f>
        <v/>
      </c>
      <c r="BB560" s="3" t="n"/>
      <c r="BC560" s="3" t="n"/>
    </row>
    <row r="561" ht="15.75" customHeight="1" s="174">
      <c r="A561" s="3" t="inlineStr">
        <is>
          <t>5674177100</t>
        </is>
      </c>
      <c r="B561" s="3" t="inlineStr">
        <is>
          <t>Sand Trap Bar &amp; Grill</t>
        </is>
      </c>
      <c r="C561" s="3" t="inlineStr">
        <is>
          <t>C &amp; a Restaurant Group Llc</t>
        </is>
      </c>
      <c r="D561" s="3" t="inlineStr">
        <is>
          <t>Legal</t>
        </is>
      </c>
      <c r="E561" s="23" t="n">
        <v>46045</v>
      </c>
      <c r="F561" s="23" t="n">
        <v>46139</v>
      </c>
      <c r="G561" s="3" t="n">
        <v>4</v>
      </c>
      <c r="H561" s="3" t="inlineStr">
        <is>
          <t>5812</t>
        </is>
      </c>
      <c r="I561" s="3" t="inlineStr">
        <is>
          <t>58</t>
        </is>
      </c>
      <c r="J561" s="3" t="inlineStr">
        <is>
          <t>WI</t>
        </is>
      </c>
      <c r="K561" s="3" t="inlineStr">
        <is>
          <t>Ballicci</t>
        </is>
      </c>
      <c r="L561" s="3" t="inlineStr">
        <is>
          <t>New Deal</t>
        </is>
      </c>
      <c r="M561" s="3" t="n">
        <v>1.49</v>
      </c>
      <c r="N561" s="28" t="n">
        <v>15000</v>
      </c>
      <c r="O561" s="28" t="n">
        <v>2100</v>
      </c>
      <c r="P561" s="28" t="n">
        <v>22350</v>
      </c>
      <c r="Q561" s="28" t="n">
        <v>8102.89</v>
      </c>
      <c r="R561" s="28" t="n">
        <v>14247.11</v>
      </c>
      <c r="S561" s="42" t="n">
        <v>0.362545413870246</v>
      </c>
      <c r="T561" s="3" t="n">
        <v>2.623</v>
      </c>
      <c r="U561" s="3" t="n">
        <v>17</v>
      </c>
      <c r="V561" s="3" t="n">
        <v>21046.18</v>
      </c>
      <c r="W561" s="42" t="n">
        <v>0.2788</v>
      </c>
      <c r="X561" s="23" t="n">
        <v>45658</v>
      </c>
      <c r="Y561" s="3">
        <f>IF(I561="","No SIC",IFERROR(VLOOKUP(I561,Ref!$A$2:$B$65,2,FALSE()),"Unclassified"))</f>
        <v/>
      </c>
      <c r="Z561" s="3">
        <f>IF(T561="","",IF(T561&lt;12,"Daily","Weekly"))</f>
        <v/>
      </c>
      <c r="AA561" s="3">
        <f>IF(T561="",0,IF(T561&lt;12,T561*Controls!$B$13,T561*5))</f>
        <v/>
      </c>
      <c r="AB561" s="3">
        <f>IF(E561="",0,NETWORKDAYS(E561,Controls!$B$20,Ref!$K$2:$K$42))</f>
        <v/>
      </c>
      <c r="AC561" s="3">
        <f>IF(OR(AF561=1,AND(AA561&gt;0,AB561&gt;=Controls!$B$23*AA561)),1,0)</f>
        <v/>
      </c>
      <c r="AD561" s="3">
        <f>IF(AND(E561&lt;&gt;"",E561&gt;=Controls!$B$21,E561&lt;=Controls!$B$22),1,0)</f>
        <v/>
      </c>
      <c r="AE561" s="3">
        <f>IF(IFERROR(VLOOKUP(D561,Controls!$A$36:$E$46,2,FALSE()),"No")="Yes",1,0)</f>
        <v/>
      </c>
      <c r="AF561" s="3">
        <f>IF(IFERROR(VLOOKUP(D561,Controls!$A$36:$E$46,3,FALSE()),"No")="Yes",1,0)</f>
        <v/>
      </c>
      <c r="AG561" s="3">
        <f>IF(IFERROR(VLOOKUP(D561,Controls!$A$36:$E$46,4,FALSE()),"No")="Yes",1,0)</f>
        <v/>
      </c>
      <c r="AH561" s="3">
        <f>IF(IFERROR(VLOOKUP(D561,Controls!$A$36:$E$46,5,FALSE()),"No")="Yes",1,0)</f>
        <v/>
      </c>
      <c r="AI561" s="3">
        <f>IF(ISNUMBER(MATCH(D561,Controls!$A$36:$A$46,0)),1,0)</f>
        <v/>
      </c>
      <c r="AJ561" s="28">
        <f>Q561-N561</f>
        <v/>
      </c>
      <c r="AK561" s="3">
        <f>IF(AE561=1,MAX(0,N561-Q561),0)</f>
        <v/>
      </c>
      <c r="AL561" s="3">
        <f>IF(OR(V561="",V561=0),0,N561/V561)</f>
        <v/>
      </c>
      <c r="AM561" s="3">
        <f>IF(OR(V561="",V561=0),0,1)</f>
        <v/>
      </c>
      <c r="AN561" s="3">
        <f>IF(OR(E561="",F561=""),0,NETWORKDAYS(E561,F561,Ref!$K$2:$K$42))</f>
        <v/>
      </c>
      <c r="AO561" s="3">
        <f>IF(L561="Renewal",1,0)</f>
        <v/>
      </c>
      <c r="AP561" s="3">
        <f>AC561*AD561</f>
        <v/>
      </c>
      <c r="AQ561" s="3">
        <f>IF(AND(G561&lt;&gt;"",'Historical Score'!$C$6&lt;&gt;""),IF(G561='Historical Score'!$C$6,1,0),0)</f>
        <v/>
      </c>
      <c r="AR561" s="3">
        <f>IF(AND(L561&lt;&gt;"",'Historical Score'!$C$5&lt;&gt;""),IF(L561='Historical Score'!$C$5,1,0),0)</f>
        <v/>
      </c>
      <c r="AS561" s="3">
        <f>IF(AND(Y561&lt;&gt;"",'Historical Score'!$C$7&lt;&gt;""),IF(Y561='Historical Score'!$C$7,1,0),0)</f>
        <v/>
      </c>
      <c r="AT561" s="3">
        <f>IF(AND(K561&lt;&gt;"",'Historical Score'!$C$8&lt;&gt;""),IF(K561='Historical Score'!$C$8,1,0),0)</f>
        <v/>
      </c>
      <c r="AU561" s="3" t="n"/>
      <c r="AV561" s="3" t="n"/>
      <c r="AW561" s="3" t="n"/>
      <c r="AX561" s="3" t="n"/>
      <c r="AY561" s="3" t="n"/>
      <c r="AZ561" s="3" t="n"/>
      <c r="BA561" s="182">
        <f>IF(AD561=1,(AR561*'Historical Score'!$K$29+1-'Historical Score'!$K$29)*(AT561*'Historical Score'!$L$29+1-'Historical Score'!$L$29)*(AS561*'Historical Score'!$M$29+1-'Historical Score'!$M$29)*(AQ561*'Historical Score'!$N$29+1-'Historical Score'!$N$29),0)</f>
        <v/>
      </c>
      <c r="BB561" s="3" t="n"/>
      <c r="BC561" s="3" t="n"/>
    </row>
    <row r="562" ht="15.75" customHeight="1" s="174">
      <c r="A562" s="3" t="inlineStr">
        <is>
          <t>5674177103</t>
        </is>
      </c>
      <c r="B562" s="3" t="inlineStr">
        <is>
          <t>JN JA AUTOS</t>
        </is>
      </c>
      <c r="C562" s="3" t="inlineStr">
        <is>
          <t>JN JA Autos, LLC</t>
        </is>
      </c>
      <c r="D562" s="3" t="inlineStr">
        <is>
          <t>Legal</t>
        </is>
      </c>
      <c r="E562" s="23" t="n">
        <v>46045</v>
      </c>
      <c r="F562" s="23" t="n">
        <v>46063</v>
      </c>
      <c r="G562" s="3" t="n">
        <v>4</v>
      </c>
      <c r="H562" s="3" t="inlineStr">
        <is>
          <t>5511</t>
        </is>
      </c>
      <c r="I562" s="3" t="inlineStr">
        <is>
          <t>55</t>
        </is>
      </c>
      <c r="J562" s="3" t="inlineStr">
        <is>
          <t>NM</t>
        </is>
      </c>
      <c r="K562" s="3" t="inlineStr">
        <is>
          <t>Ballicci</t>
        </is>
      </c>
      <c r="L562" s="3" t="inlineStr">
        <is>
          <t>New Deal</t>
        </is>
      </c>
      <c r="M562" s="3" t="n">
        <v>1.49</v>
      </c>
      <c r="N562" s="28" t="n">
        <v>40000</v>
      </c>
      <c r="O562" s="28" t="n">
        <v>0</v>
      </c>
      <c r="P562" s="28" t="n">
        <v>59600</v>
      </c>
      <c r="Q562" s="28" t="n">
        <v>4127.67</v>
      </c>
      <c r="R562" s="28" t="n">
        <v>55472.33</v>
      </c>
      <c r="S562" s="42" t="n">
        <v>0.0692562080536913</v>
      </c>
      <c r="T562" s="3" t="n">
        <v>4.262</v>
      </c>
      <c r="U562" s="3" t="n">
        <v>4</v>
      </c>
      <c r="V562" s="3" t="n">
        <v>136957.4</v>
      </c>
      <c r="W562" s="42" t="n">
        <v>0.0885</v>
      </c>
      <c r="X562" s="23" t="n">
        <v>44276</v>
      </c>
      <c r="Y562" s="3">
        <f>IF(I562="","No SIC",IFERROR(VLOOKUP(I562,Ref!$A$2:$B$65,2,FALSE()),"Unclassified"))</f>
        <v/>
      </c>
      <c r="Z562" s="3">
        <f>IF(T562="","",IF(T562&lt;12,"Daily","Weekly"))</f>
        <v/>
      </c>
      <c r="AA562" s="3">
        <f>IF(T562="",0,IF(T562&lt;12,T562*Controls!$B$13,T562*5))</f>
        <v/>
      </c>
      <c r="AB562" s="3">
        <f>IF(E562="",0,NETWORKDAYS(E562,Controls!$B$20,Ref!$K$2:$K$42))</f>
        <v/>
      </c>
      <c r="AC562" s="3">
        <f>IF(OR(AF562=1,AND(AA562&gt;0,AB562&gt;=Controls!$B$23*AA562)),1,0)</f>
        <v/>
      </c>
      <c r="AD562" s="3">
        <f>IF(AND(E562&lt;&gt;"",E562&gt;=Controls!$B$21,E562&lt;=Controls!$B$22),1,0)</f>
        <v/>
      </c>
      <c r="AE562" s="3">
        <f>IF(IFERROR(VLOOKUP(D562,Controls!$A$36:$E$46,2,FALSE()),"No")="Yes",1,0)</f>
        <v/>
      </c>
      <c r="AF562" s="3">
        <f>IF(IFERROR(VLOOKUP(D562,Controls!$A$36:$E$46,3,FALSE()),"No")="Yes",1,0)</f>
        <v/>
      </c>
      <c r="AG562" s="3">
        <f>IF(IFERROR(VLOOKUP(D562,Controls!$A$36:$E$46,4,FALSE()),"No")="Yes",1,0)</f>
        <v/>
      </c>
      <c r="AH562" s="3">
        <f>IF(IFERROR(VLOOKUP(D562,Controls!$A$36:$E$46,5,FALSE()),"No")="Yes",1,0)</f>
        <v/>
      </c>
      <c r="AI562" s="3">
        <f>IF(ISNUMBER(MATCH(D562,Controls!$A$36:$A$46,0)),1,0)</f>
        <v/>
      </c>
      <c r="AJ562" s="28">
        <f>Q562-N562</f>
        <v/>
      </c>
      <c r="AK562" s="3">
        <f>IF(AE562=1,MAX(0,N562-Q562),0)</f>
        <v/>
      </c>
      <c r="AL562" s="3">
        <f>IF(OR(V562="",V562=0),0,N562/V562)</f>
        <v/>
      </c>
      <c r="AM562" s="3">
        <f>IF(OR(V562="",V562=0),0,1)</f>
        <v/>
      </c>
      <c r="AN562" s="3">
        <f>IF(OR(E562="",F562=""),0,NETWORKDAYS(E562,F562,Ref!$K$2:$K$42))</f>
        <v/>
      </c>
      <c r="AO562" s="3">
        <f>IF(L562="Renewal",1,0)</f>
        <v/>
      </c>
      <c r="AP562" s="3">
        <f>AC562*AD562</f>
        <v/>
      </c>
      <c r="AQ562" s="3">
        <f>IF(AND(G562&lt;&gt;"",'Historical Score'!$C$6&lt;&gt;""),IF(G562='Historical Score'!$C$6,1,0),0)</f>
        <v/>
      </c>
      <c r="AR562" s="3">
        <f>IF(AND(L562&lt;&gt;"",'Historical Score'!$C$5&lt;&gt;""),IF(L562='Historical Score'!$C$5,1,0),0)</f>
        <v/>
      </c>
      <c r="AS562" s="3">
        <f>IF(AND(Y562&lt;&gt;"",'Historical Score'!$C$7&lt;&gt;""),IF(Y562='Historical Score'!$C$7,1,0),0)</f>
        <v/>
      </c>
      <c r="AT562" s="3">
        <f>IF(AND(K562&lt;&gt;"",'Historical Score'!$C$8&lt;&gt;""),IF(K562='Historical Score'!$C$8,1,0),0)</f>
        <v/>
      </c>
      <c r="AU562" s="3" t="n"/>
      <c r="AV562" s="3" t="n"/>
      <c r="AW562" s="3" t="n"/>
      <c r="AX562" s="3" t="n"/>
      <c r="AY562" s="3" t="n"/>
      <c r="AZ562" s="3" t="n"/>
      <c r="BA562" s="182">
        <f>IF(AD562=1,(AR562*'Historical Score'!$K$29+1-'Historical Score'!$K$29)*(AT562*'Historical Score'!$L$29+1-'Historical Score'!$L$29)*(AS562*'Historical Score'!$M$29+1-'Historical Score'!$M$29)*(AQ562*'Historical Score'!$N$29+1-'Historical Score'!$N$29),0)</f>
        <v/>
      </c>
      <c r="BB562" s="3" t="n"/>
      <c r="BC562" s="3" t="n"/>
    </row>
    <row r="563" ht="15.75" customHeight="1" s="174">
      <c r="A563" s="3" t="inlineStr">
        <is>
          <t>5674177114</t>
        </is>
      </c>
      <c r="B563" s="3" t="inlineStr">
        <is>
          <t>MH CONSTRUCTION</t>
        </is>
      </c>
      <c r="C563" s="3" t="inlineStr">
        <is>
          <t>MH Construction Inc.</t>
        </is>
      </c>
      <c r="D563" s="3" t="inlineStr">
        <is>
          <t>Open</t>
        </is>
      </c>
      <c r="E563" s="23" t="n">
        <v>46045</v>
      </c>
      <c r="F563" s="23" t="n">
        <v>46247</v>
      </c>
      <c r="G563" s="3" t="n">
        <v>2</v>
      </c>
      <c r="H563" s="3" t="inlineStr">
        <is>
          <t>1521</t>
        </is>
      </c>
      <c r="I563" s="3" t="inlineStr">
        <is>
          <t>15</t>
        </is>
      </c>
      <c r="J563" s="3" t="inlineStr">
        <is>
          <t>PA</t>
        </is>
      </c>
      <c r="K563" s="3" t="inlineStr">
        <is>
          <t>PMF</t>
        </is>
      </c>
      <c r="L563" s="3" t="inlineStr">
        <is>
          <t>New Deal</t>
        </is>
      </c>
      <c r="M563" s="3" t="n">
        <v>1.45</v>
      </c>
      <c r="N563" s="28" t="n">
        <v>50000</v>
      </c>
      <c r="O563" s="28" t="n">
        <v>6000</v>
      </c>
      <c r="P563" s="28" t="n">
        <v>72500</v>
      </c>
      <c r="Q563" s="28" t="n">
        <v>34449.63</v>
      </c>
      <c r="R563" s="28" t="n">
        <v>38050.37</v>
      </c>
      <c r="S563" s="42" t="n">
        <v>0.475167310344828</v>
      </c>
      <c r="T563" s="3" t="n">
        <v>38</v>
      </c>
      <c r="U563" s="3" t="n">
        <v>0</v>
      </c>
      <c r="V563" s="3" t="n">
        <v>134030.67</v>
      </c>
      <c r="W563" s="42" t="n">
        <v>0.0569</v>
      </c>
      <c r="X563" s="23" t="n">
        <v>43164</v>
      </c>
      <c r="Y563" s="3">
        <f>IF(I563="","No SIC",IFERROR(VLOOKUP(I563,Ref!$A$2:$B$65,2,FALSE()),"Unclassified"))</f>
        <v/>
      </c>
      <c r="Z563" s="3">
        <f>IF(T563="","",IF(T563&lt;12,"Daily","Weekly"))</f>
        <v/>
      </c>
      <c r="AA563" s="3">
        <f>IF(T563="",0,IF(T563&lt;12,T563*Controls!$B$13,T563*5))</f>
        <v/>
      </c>
      <c r="AB563" s="3">
        <f>IF(E563="",0,NETWORKDAYS(E563,Controls!$B$20,Ref!$K$2:$K$42))</f>
        <v/>
      </c>
      <c r="AC563" s="3">
        <f>IF(OR(AF563=1,AND(AA563&gt;0,AB563&gt;=Controls!$B$23*AA563)),1,0)</f>
        <v/>
      </c>
      <c r="AD563" s="3">
        <f>IF(AND(E563&lt;&gt;"",E563&gt;=Controls!$B$21,E563&lt;=Controls!$B$22),1,0)</f>
        <v/>
      </c>
      <c r="AE563" s="3">
        <f>IF(IFERROR(VLOOKUP(D563,Controls!$A$36:$E$46,2,FALSE()),"No")="Yes",1,0)</f>
        <v/>
      </c>
      <c r="AF563" s="3">
        <f>IF(IFERROR(VLOOKUP(D563,Controls!$A$36:$E$46,3,FALSE()),"No")="Yes",1,0)</f>
        <v/>
      </c>
      <c r="AG563" s="3">
        <f>IF(IFERROR(VLOOKUP(D563,Controls!$A$36:$E$46,4,FALSE()),"No")="Yes",1,0)</f>
        <v/>
      </c>
      <c r="AH563" s="3">
        <f>IF(IFERROR(VLOOKUP(D563,Controls!$A$36:$E$46,5,FALSE()),"No")="Yes",1,0)</f>
        <v/>
      </c>
      <c r="AI563" s="3">
        <f>IF(ISNUMBER(MATCH(D563,Controls!$A$36:$A$46,0)),1,0)</f>
        <v/>
      </c>
      <c r="AJ563" s="28">
        <f>Q563-N563</f>
        <v/>
      </c>
      <c r="AK563" s="3">
        <f>IF(AE563=1,MAX(0,N563-Q563),0)</f>
        <v/>
      </c>
      <c r="AL563" s="3">
        <f>IF(OR(V563="",V563=0),0,N563/V563)</f>
        <v/>
      </c>
      <c r="AM563" s="3">
        <f>IF(OR(V563="",V563=0),0,1)</f>
        <v/>
      </c>
      <c r="AN563" s="3">
        <f>IF(OR(E563="",F563=""),0,NETWORKDAYS(E563,F563,Ref!$K$2:$K$42))</f>
        <v/>
      </c>
      <c r="AO563" s="3">
        <f>IF(L563="Renewal",1,0)</f>
        <v/>
      </c>
      <c r="AP563" s="3">
        <f>AC563*AD563</f>
        <v/>
      </c>
      <c r="AQ563" s="3">
        <f>IF(AND(G563&lt;&gt;"",'Historical Score'!$C$6&lt;&gt;""),IF(G563='Historical Score'!$C$6,1,0),0)</f>
        <v/>
      </c>
      <c r="AR563" s="3">
        <f>IF(AND(L563&lt;&gt;"",'Historical Score'!$C$5&lt;&gt;""),IF(L563='Historical Score'!$C$5,1,0),0)</f>
        <v/>
      </c>
      <c r="AS563" s="3">
        <f>IF(AND(Y563&lt;&gt;"",'Historical Score'!$C$7&lt;&gt;""),IF(Y563='Historical Score'!$C$7,1,0),0)</f>
        <v/>
      </c>
      <c r="AT563" s="3">
        <f>IF(AND(K563&lt;&gt;"",'Historical Score'!$C$8&lt;&gt;""),IF(K563='Historical Score'!$C$8,1,0),0)</f>
        <v/>
      </c>
      <c r="AU563" s="3" t="n"/>
      <c r="AV563" s="3" t="n"/>
      <c r="AW563" s="3" t="n"/>
      <c r="AX563" s="3" t="n"/>
      <c r="AY563" s="3" t="n"/>
      <c r="AZ563" s="3" t="n"/>
      <c r="BA563" s="182">
        <f>IF(AD563=1,(AR563*'Historical Score'!$K$29+1-'Historical Score'!$K$29)*(AT563*'Historical Score'!$L$29+1-'Historical Score'!$L$29)*(AS563*'Historical Score'!$M$29+1-'Historical Score'!$M$29)*(AQ563*'Historical Score'!$N$29+1-'Historical Score'!$N$29),0)</f>
        <v/>
      </c>
      <c r="BB563" s="3" t="n"/>
      <c r="BC563" s="3" t="n"/>
    </row>
    <row r="564" ht="15.75" customHeight="1" s="174">
      <c r="A564" s="3" t="inlineStr">
        <is>
          <t>5674177115</t>
        </is>
      </c>
      <c r="B564" s="3" t="inlineStr">
        <is>
          <t>BOWL OF FUN LANES LLC</t>
        </is>
      </c>
      <c r="C564" s="3" t="inlineStr">
        <is>
          <t>BOWL OF FUN LANES LLC</t>
        </is>
      </c>
      <c r="D564" s="3" t="inlineStr">
        <is>
          <t>Closed</t>
        </is>
      </c>
      <c r="E564" s="23" t="n">
        <v>46045</v>
      </c>
      <c r="F564" s="23" t="n">
        <v>46184</v>
      </c>
      <c r="G564" s="3" t="n">
        <v>3</v>
      </c>
      <c r="H564" s="3" t="inlineStr">
        <is>
          <t>7933</t>
        </is>
      </c>
      <c r="I564" s="3" t="inlineStr">
        <is>
          <t>79</t>
        </is>
      </c>
      <c r="J564" s="3" t="inlineStr">
        <is>
          <t>FL</t>
        </is>
      </c>
      <c r="K564" s="3" t="inlineStr">
        <is>
          <t>United Secured Capital 8</t>
        </is>
      </c>
      <c r="L564" s="3" t="inlineStr">
        <is>
          <t>New Deal</t>
        </is>
      </c>
      <c r="M564" s="3" t="n">
        <v>1.49</v>
      </c>
      <c r="N564" s="28" t="n">
        <v>20000</v>
      </c>
      <c r="O564" s="28" t="n">
        <v>2800</v>
      </c>
      <c r="P564" s="28" t="n">
        <v>29800</v>
      </c>
      <c r="Q564" s="28" t="n">
        <v>29800</v>
      </c>
      <c r="R564" s="28" t="n">
        <v>0</v>
      </c>
      <c r="S564" s="42" t="n">
        <v>1</v>
      </c>
      <c r="T564" s="3" t="n">
        <v>3.279</v>
      </c>
      <c r="U564" s="3" t="n">
        <v>0</v>
      </c>
      <c r="V564" s="3" t="n">
        <v>76345.67</v>
      </c>
      <c r="W564" s="42" t="n">
        <v>0.082</v>
      </c>
      <c r="X564" s="23" t="n"/>
      <c r="Y564" s="3">
        <f>IF(I564="","No SIC",IFERROR(VLOOKUP(I564,Ref!$A$2:$B$65,2,FALSE()),"Unclassified"))</f>
        <v/>
      </c>
      <c r="Z564" s="3">
        <f>IF(T564="","",IF(T564&lt;12,"Daily","Weekly"))</f>
        <v/>
      </c>
      <c r="AA564" s="3">
        <f>IF(T564="",0,IF(T564&lt;12,T564*Controls!$B$13,T564*5))</f>
        <v/>
      </c>
      <c r="AB564" s="3">
        <f>IF(E564="",0,NETWORKDAYS(E564,Controls!$B$20,Ref!$K$2:$K$42))</f>
        <v/>
      </c>
      <c r="AC564" s="3">
        <f>IF(OR(AF564=1,AND(AA564&gt;0,AB564&gt;=Controls!$B$23*AA564)),1,0)</f>
        <v/>
      </c>
      <c r="AD564" s="3">
        <f>IF(AND(E564&lt;&gt;"",E564&gt;=Controls!$B$21,E564&lt;=Controls!$B$22),1,0)</f>
        <v/>
      </c>
      <c r="AE564" s="3">
        <f>IF(IFERROR(VLOOKUP(D564,Controls!$A$36:$E$46,2,FALSE()),"No")="Yes",1,0)</f>
        <v/>
      </c>
      <c r="AF564" s="3">
        <f>IF(IFERROR(VLOOKUP(D564,Controls!$A$36:$E$46,3,FALSE()),"No")="Yes",1,0)</f>
        <v/>
      </c>
      <c r="AG564" s="3">
        <f>IF(IFERROR(VLOOKUP(D564,Controls!$A$36:$E$46,4,FALSE()),"No")="Yes",1,0)</f>
        <v/>
      </c>
      <c r="AH564" s="3">
        <f>IF(IFERROR(VLOOKUP(D564,Controls!$A$36:$E$46,5,FALSE()),"No")="Yes",1,0)</f>
        <v/>
      </c>
      <c r="AI564" s="3">
        <f>IF(ISNUMBER(MATCH(D564,Controls!$A$36:$A$46,0)),1,0)</f>
        <v/>
      </c>
      <c r="AJ564" s="28">
        <f>Q564-N564</f>
        <v/>
      </c>
      <c r="AK564" s="3">
        <f>IF(AE564=1,MAX(0,N564-Q564),0)</f>
        <v/>
      </c>
      <c r="AL564" s="3">
        <f>IF(OR(V564="",V564=0),0,N564/V564)</f>
        <v/>
      </c>
      <c r="AM564" s="3">
        <f>IF(OR(V564="",V564=0),0,1)</f>
        <v/>
      </c>
      <c r="AN564" s="3">
        <f>IF(OR(E564="",F564=""),0,NETWORKDAYS(E564,F564,Ref!$K$2:$K$42))</f>
        <v/>
      </c>
      <c r="AO564" s="3">
        <f>IF(L564="Renewal",1,0)</f>
        <v/>
      </c>
      <c r="AP564" s="3">
        <f>AC564*AD564</f>
        <v/>
      </c>
      <c r="AQ564" s="3">
        <f>IF(AND(G564&lt;&gt;"",'Historical Score'!$C$6&lt;&gt;""),IF(G564='Historical Score'!$C$6,1,0),0)</f>
        <v/>
      </c>
      <c r="AR564" s="3">
        <f>IF(AND(L564&lt;&gt;"",'Historical Score'!$C$5&lt;&gt;""),IF(L564='Historical Score'!$C$5,1,0),0)</f>
        <v/>
      </c>
      <c r="AS564" s="3">
        <f>IF(AND(Y564&lt;&gt;"",'Historical Score'!$C$7&lt;&gt;""),IF(Y564='Historical Score'!$C$7,1,0),0)</f>
        <v/>
      </c>
      <c r="AT564" s="3">
        <f>IF(AND(K564&lt;&gt;"",'Historical Score'!$C$8&lt;&gt;""),IF(K564='Historical Score'!$C$8,1,0),0)</f>
        <v/>
      </c>
      <c r="AU564" s="3" t="n"/>
      <c r="AV564" s="3" t="n"/>
      <c r="AW564" s="3" t="n"/>
      <c r="AX564" s="3" t="n"/>
      <c r="AY564" s="3" t="n"/>
      <c r="AZ564" s="3" t="n"/>
      <c r="BA564" s="182">
        <f>IF(AD564=1,(AR564*'Historical Score'!$K$29+1-'Historical Score'!$K$29)*(AT564*'Historical Score'!$L$29+1-'Historical Score'!$L$29)*(AS564*'Historical Score'!$M$29+1-'Historical Score'!$M$29)*(AQ564*'Historical Score'!$N$29+1-'Historical Score'!$N$29),0)</f>
        <v/>
      </c>
      <c r="BB564" s="3" t="n"/>
      <c r="BC564" s="3" t="n"/>
    </row>
    <row r="565" ht="15.75" customHeight="1" s="174">
      <c r="A565" s="3" t="inlineStr">
        <is>
          <t>5674177117</t>
        </is>
      </c>
      <c r="B565" s="3" t="inlineStr">
        <is>
          <t>TEAMWORK TOWN INC</t>
        </is>
      </c>
      <c r="C565" s="3" t="inlineStr">
        <is>
          <t>TEAMWORK TOWN INC</t>
        </is>
      </c>
      <c r="D565" s="3" t="inlineStr">
        <is>
          <t>Closed</t>
        </is>
      </c>
      <c r="E565" s="23" t="n">
        <v>46045</v>
      </c>
      <c r="F565" s="23" t="n">
        <v>46224</v>
      </c>
      <c r="G565" s="3" t="n">
        <v>2</v>
      </c>
      <c r="H565" s="3" t="inlineStr">
        <is>
          <t>1521</t>
        </is>
      </c>
      <c r="I565" s="3" t="inlineStr">
        <is>
          <t>15</t>
        </is>
      </c>
      <c r="J565" s="3" t="inlineStr">
        <is>
          <t>TX</t>
        </is>
      </c>
      <c r="K565" s="3" t="inlineStr">
        <is>
          <t>Westwood</t>
        </is>
      </c>
      <c r="L565" s="3" t="inlineStr">
        <is>
          <t>New Deal</t>
        </is>
      </c>
      <c r="M565" s="3" t="n">
        <v>1.4</v>
      </c>
      <c r="N565" s="28" t="n">
        <v>30000</v>
      </c>
      <c r="O565" s="28" t="n">
        <v>2850</v>
      </c>
      <c r="P565" s="28" t="n">
        <v>42000</v>
      </c>
      <c r="Q565" s="28" t="n">
        <v>42000</v>
      </c>
      <c r="R565" s="28" t="n">
        <v>0</v>
      </c>
      <c r="S565" s="42" t="n">
        <v>1</v>
      </c>
      <c r="T565" s="3" t="n">
        <v>20</v>
      </c>
      <c r="U565" s="3" t="n">
        <v>5</v>
      </c>
      <c r="V565" s="3" t="n">
        <v>159888.75</v>
      </c>
      <c r="W565" s="42" t="n">
        <v>0.0525</v>
      </c>
      <c r="X565" s="23" t="n">
        <v>44094</v>
      </c>
      <c r="Y565" s="3">
        <f>IF(I565="","No SIC",IFERROR(VLOOKUP(I565,Ref!$A$2:$B$65,2,FALSE()),"Unclassified"))</f>
        <v/>
      </c>
      <c r="Z565" s="3">
        <f>IF(T565="","",IF(T565&lt;12,"Daily","Weekly"))</f>
        <v/>
      </c>
      <c r="AA565" s="3">
        <f>IF(T565="",0,IF(T565&lt;12,T565*Controls!$B$13,T565*5))</f>
        <v/>
      </c>
      <c r="AB565" s="3">
        <f>IF(E565="",0,NETWORKDAYS(E565,Controls!$B$20,Ref!$K$2:$K$42))</f>
        <v/>
      </c>
      <c r="AC565" s="3">
        <f>IF(OR(AF565=1,AND(AA565&gt;0,AB565&gt;=Controls!$B$23*AA565)),1,0)</f>
        <v/>
      </c>
      <c r="AD565" s="3">
        <f>IF(AND(E565&lt;&gt;"",E565&gt;=Controls!$B$21,E565&lt;=Controls!$B$22),1,0)</f>
        <v/>
      </c>
      <c r="AE565" s="3">
        <f>IF(IFERROR(VLOOKUP(D565,Controls!$A$36:$E$46,2,FALSE()),"No")="Yes",1,0)</f>
        <v/>
      </c>
      <c r="AF565" s="3">
        <f>IF(IFERROR(VLOOKUP(D565,Controls!$A$36:$E$46,3,FALSE()),"No")="Yes",1,0)</f>
        <v/>
      </c>
      <c r="AG565" s="3">
        <f>IF(IFERROR(VLOOKUP(D565,Controls!$A$36:$E$46,4,FALSE()),"No")="Yes",1,0)</f>
        <v/>
      </c>
      <c r="AH565" s="3">
        <f>IF(IFERROR(VLOOKUP(D565,Controls!$A$36:$E$46,5,FALSE()),"No")="Yes",1,0)</f>
        <v/>
      </c>
      <c r="AI565" s="3">
        <f>IF(ISNUMBER(MATCH(D565,Controls!$A$36:$A$46,0)),1,0)</f>
        <v/>
      </c>
      <c r="AJ565" s="28">
        <f>Q565-N565</f>
        <v/>
      </c>
      <c r="AK565" s="3">
        <f>IF(AE565=1,MAX(0,N565-Q565),0)</f>
        <v/>
      </c>
      <c r="AL565" s="3">
        <f>IF(OR(V565="",V565=0),0,N565/V565)</f>
        <v/>
      </c>
      <c r="AM565" s="3">
        <f>IF(OR(V565="",V565=0),0,1)</f>
        <v/>
      </c>
      <c r="AN565" s="3">
        <f>IF(OR(E565="",F565=""),0,NETWORKDAYS(E565,F565,Ref!$K$2:$K$42))</f>
        <v/>
      </c>
      <c r="AO565" s="3">
        <f>IF(L565="Renewal",1,0)</f>
        <v/>
      </c>
      <c r="AP565" s="3">
        <f>AC565*AD565</f>
        <v/>
      </c>
      <c r="AQ565" s="3">
        <f>IF(AND(G565&lt;&gt;"",'Historical Score'!$C$6&lt;&gt;""),IF(G565='Historical Score'!$C$6,1,0),0)</f>
        <v/>
      </c>
      <c r="AR565" s="3">
        <f>IF(AND(L565&lt;&gt;"",'Historical Score'!$C$5&lt;&gt;""),IF(L565='Historical Score'!$C$5,1,0),0)</f>
        <v/>
      </c>
      <c r="AS565" s="3">
        <f>IF(AND(Y565&lt;&gt;"",'Historical Score'!$C$7&lt;&gt;""),IF(Y565='Historical Score'!$C$7,1,0),0)</f>
        <v/>
      </c>
      <c r="AT565" s="3">
        <f>IF(AND(K565&lt;&gt;"",'Historical Score'!$C$8&lt;&gt;""),IF(K565='Historical Score'!$C$8,1,0),0)</f>
        <v/>
      </c>
      <c r="AU565" s="3" t="n"/>
      <c r="AV565" s="3" t="n"/>
      <c r="AW565" s="3" t="n"/>
      <c r="AX565" s="3" t="n"/>
      <c r="AY565" s="3" t="n"/>
      <c r="AZ565" s="3" t="n"/>
      <c r="BA565" s="182">
        <f>IF(AD565=1,(AR565*'Historical Score'!$K$29+1-'Historical Score'!$K$29)*(AT565*'Historical Score'!$L$29+1-'Historical Score'!$L$29)*(AS565*'Historical Score'!$M$29+1-'Historical Score'!$M$29)*(AQ565*'Historical Score'!$N$29+1-'Historical Score'!$N$29),0)</f>
        <v/>
      </c>
      <c r="BB565" s="3" t="n"/>
      <c r="BC565" s="3" t="n"/>
    </row>
    <row r="566" ht="15.75" customHeight="1" s="174">
      <c r="A566" s="3" t="inlineStr">
        <is>
          <t>5674177118</t>
        </is>
      </c>
      <c r="B566" s="3" t="inlineStr">
        <is>
          <t>SKEENS RESTORATION &amp; CONSTRUCTION LLC</t>
        </is>
      </c>
      <c r="C566" s="3" t="inlineStr">
        <is>
          <t>SKEENS RESTORATION &amp; CONSTRUCTION LLC</t>
        </is>
      </c>
      <c r="D566" s="3" t="inlineStr">
        <is>
          <t>Closed</t>
        </is>
      </c>
      <c r="E566" s="23" t="n">
        <v>46045</v>
      </c>
      <c r="F566" s="23" t="n">
        <v>46156</v>
      </c>
      <c r="G566" s="3" t="n">
        <v>2</v>
      </c>
      <c r="H566" s="3" t="inlineStr">
        <is>
          <t>1521</t>
        </is>
      </c>
      <c r="I566" s="3" t="inlineStr">
        <is>
          <t>15</t>
        </is>
      </c>
      <c r="J566" s="3" t="inlineStr">
        <is>
          <t>TN</t>
        </is>
      </c>
      <c r="K566" s="3" t="inlineStr">
        <is>
          <t>United Secured Capital 8</t>
        </is>
      </c>
      <c r="L566" s="3" t="inlineStr">
        <is>
          <t>New Deal</t>
        </is>
      </c>
      <c r="M566" s="3" t="n">
        <v>1.49</v>
      </c>
      <c r="N566" s="28" t="n">
        <v>10000</v>
      </c>
      <c r="O566" s="28" t="n">
        <v>1400</v>
      </c>
      <c r="P566" s="28" t="n">
        <v>14900</v>
      </c>
      <c r="Q566" s="28" t="n">
        <v>14900</v>
      </c>
      <c r="R566" s="28" t="n">
        <v>0</v>
      </c>
      <c r="S566" s="42" t="n">
        <v>1</v>
      </c>
      <c r="T566" s="3" t="n">
        <v>24</v>
      </c>
      <c r="U566" s="3" t="n">
        <v>1</v>
      </c>
      <c r="V566" s="3" t="n">
        <v>117415.63</v>
      </c>
      <c r="W566" s="42" t="n">
        <v>0.0211</v>
      </c>
      <c r="X566" s="23" t="n"/>
      <c r="Y566" s="3">
        <f>IF(I566="","No SIC",IFERROR(VLOOKUP(I566,Ref!$A$2:$B$65,2,FALSE()),"Unclassified"))</f>
        <v/>
      </c>
      <c r="Z566" s="3">
        <f>IF(T566="","",IF(T566&lt;12,"Daily","Weekly"))</f>
        <v/>
      </c>
      <c r="AA566" s="3">
        <f>IF(T566="",0,IF(T566&lt;12,T566*Controls!$B$13,T566*5))</f>
        <v/>
      </c>
      <c r="AB566" s="3">
        <f>IF(E566="",0,NETWORKDAYS(E566,Controls!$B$20,Ref!$K$2:$K$42))</f>
        <v/>
      </c>
      <c r="AC566" s="3">
        <f>IF(OR(AF566=1,AND(AA566&gt;0,AB566&gt;=Controls!$B$23*AA566)),1,0)</f>
        <v/>
      </c>
      <c r="AD566" s="3">
        <f>IF(AND(E566&lt;&gt;"",E566&gt;=Controls!$B$21,E566&lt;=Controls!$B$22),1,0)</f>
        <v/>
      </c>
      <c r="AE566" s="3">
        <f>IF(IFERROR(VLOOKUP(D566,Controls!$A$36:$E$46,2,FALSE()),"No")="Yes",1,0)</f>
        <v/>
      </c>
      <c r="AF566" s="3">
        <f>IF(IFERROR(VLOOKUP(D566,Controls!$A$36:$E$46,3,FALSE()),"No")="Yes",1,0)</f>
        <v/>
      </c>
      <c r="AG566" s="3">
        <f>IF(IFERROR(VLOOKUP(D566,Controls!$A$36:$E$46,4,FALSE()),"No")="Yes",1,0)</f>
        <v/>
      </c>
      <c r="AH566" s="3">
        <f>IF(IFERROR(VLOOKUP(D566,Controls!$A$36:$E$46,5,FALSE()),"No")="Yes",1,0)</f>
        <v/>
      </c>
      <c r="AI566" s="3">
        <f>IF(ISNUMBER(MATCH(D566,Controls!$A$36:$A$46,0)),1,0)</f>
        <v/>
      </c>
      <c r="AJ566" s="28">
        <f>Q566-N566</f>
        <v/>
      </c>
      <c r="AK566" s="3">
        <f>IF(AE566=1,MAX(0,N566-Q566),0)</f>
        <v/>
      </c>
      <c r="AL566" s="3">
        <f>IF(OR(V566="",V566=0),0,N566/V566)</f>
        <v/>
      </c>
      <c r="AM566" s="3">
        <f>IF(OR(V566="",V566=0),0,1)</f>
        <v/>
      </c>
      <c r="AN566" s="3">
        <f>IF(OR(E566="",F566=""),0,NETWORKDAYS(E566,F566,Ref!$K$2:$K$42))</f>
        <v/>
      </c>
      <c r="AO566" s="3">
        <f>IF(L566="Renewal",1,0)</f>
        <v/>
      </c>
      <c r="AP566" s="3">
        <f>AC566*AD566</f>
        <v/>
      </c>
      <c r="AQ566" s="3">
        <f>IF(AND(G566&lt;&gt;"",'Historical Score'!$C$6&lt;&gt;""),IF(G566='Historical Score'!$C$6,1,0),0)</f>
        <v/>
      </c>
      <c r="AR566" s="3">
        <f>IF(AND(L566&lt;&gt;"",'Historical Score'!$C$5&lt;&gt;""),IF(L566='Historical Score'!$C$5,1,0),0)</f>
        <v/>
      </c>
      <c r="AS566" s="3">
        <f>IF(AND(Y566&lt;&gt;"",'Historical Score'!$C$7&lt;&gt;""),IF(Y566='Historical Score'!$C$7,1,0),0)</f>
        <v/>
      </c>
      <c r="AT566" s="3">
        <f>IF(AND(K566&lt;&gt;"",'Historical Score'!$C$8&lt;&gt;""),IF(K566='Historical Score'!$C$8,1,0),0)</f>
        <v/>
      </c>
      <c r="AU566" s="3" t="n"/>
      <c r="AV566" s="3" t="n"/>
      <c r="AW566" s="3" t="n"/>
      <c r="AX566" s="3" t="n"/>
      <c r="AY566" s="3" t="n"/>
      <c r="AZ566" s="3" t="n"/>
      <c r="BA566" s="182">
        <f>IF(AD566=1,(AR566*'Historical Score'!$K$29+1-'Historical Score'!$K$29)*(AT566*'Historical Score'!$L$29+1-'Historical Score'!$L$29)*(AS566*'Historical Score'!$M$29+1-'Historical Score'!$M$29)*(AQ566*'Historical Score'!$N$29+1-'Historical Score'!$N$29),0)</f>
        <v/>
      </c>
      <c r="BB566" s="3" t="n"/>
      <c r="BC566" s="3" t="n"/>
    </row>
    <row r="567" ht="15.75" customHeight="1" s="174">
      <c r="A567" s="3" t="inlineStr">
        <is>
          <t>5674177144</t>
        </is>
      </c>
      <c r="B567" s="3" t="inlineStr">
        <is>
          <t>Terry Mann Floors</t>
        </is>
      </c>
      <c r="C567" s="3" t="inlineStr">
        <is>
          <t>Terry Mann LLC</t>
        </is>
      </c>
      <c r="D567" s="3" t="inlineStr">
        <is>
          <t>Closed</t>
        </is>
      </c>
      <c r="E567" s="23" t="n">
        <v>46048</v>
      </c>
      <c r="F567" s="23" t="n">
        <v>46170</v>
      </c>
      <c r="G567" s="3" t="n">
        <v>1</v>
      </c>
      <c r="H567" s="3" t="inlineStr">
        <is>
          <t>1521</t>
        </is>
      </c>
      <c r="I567" s="3" t="inlineStr">
        <is>
          <t>15</t>
        </is>
      </c>
      <c r="J567" s="3" t="inlineStr">
        <is>
          <t>TX</t>
        </is>
      </c>
      <c r="K567" s="3" t="inlineStr">
        <is>
          <t>Merchant ReFi</t>
        </is>
      </c>
      <c r="L567" s="3" t="inlineStr">
        <is>
          <t>Renewal</t>
        </is>
      </c>
      <c r="M567" s="3" t="n">
        <v>1.49</v>
      </c>
      <c r="N567" s="28" t="n">
        <v>25000</v>
      </c>
      <c r="O567" s="28" t="n">
        <v>3500</v>
      </c>
      <c r="P567" s="28" t="n">
        <v>37250</v>
      </c>
      <c r="Q567" s="28" t="n">
        <v>37250</v>
      </c>
      <c r="R567" s="28" t="n">
        <v>0</v>
      </c>
      <c r="S567" s="42" t="n">
        <v>1</v>
      </c>
      <c r="T567" s="3" t="n">
        <v>22</v>
      </c>
      <c r="U567" s="3" t="n">
        <v>0</v>
      </c>
      <c r="V567" s="3" t="n">
        <v>117856.17</v>
      </c>
      <c r="W567" s="42" t="n">
        <v>0.0683</v>
      </c>
      <c r="X567" s="23" t="n">
        <v>43329</v>
      </c>
      <c r="Y567" s="3">
        <f>IF(I567="","No SIC",IFERROR(VLOOKUP(I567,Ref!$A$2:$B$65,2,FALSE()),"Unclassified"))</f>
        <v/>
      </c>
      <c r="Z567" s="3">
        <f>IF(T567="","",IF(T567&lt;12,"Daily","Weekly"))</f>
        <v/>
      </c>
      <c r="AA567" s="3">
        <f>IF(T567="",0,IF(T567&lt;12,T567*Controls!$B$13,T567*5))</f>
        <v/>
      </c>
      <c r="AB567" s="3">
        <f>IF(E567="",0,NETWORKDAYS(E567,Controls!$B$20,Ref!$K$2:$K$42))</f>
        <v/>
      </c>
      <c r="AC567" s="3">
        <f>IF(OR(AF567=1,AND(AA567&gt;0,AB567&gt;=Controls!$B$23*AA567)),1,0)</f>
        <v/>
      </c>
      <c r="AD567" s="3">
        <f>IF(AND(E567&lt;&gt;"",E567&gt;=Controls!$B$21,E567&lt;=Controls!$B$22),1,0)</f>
        <v/>
      </c>
      <c r="AE567" s="3">
        <f>IF(IFERROR(VLOOKUP(D567,Controls!$A$36:$E$46,2,FALSE()),"No")="Yes",1,0)</f>
        <v/>
      </c>
      <c r="AF567" s="3">
        <f>IF(IFERROR(VLOOKUP(D567,Controls!$A$36:$E$46,3,FALSE()),"No")="Yes",1,0)</f>
        <v/>
      </c>
      <c r="AG567" s="3">
        <f>IF(IFERROR(VLOOKUP(D567,Controls!$A$36:$E$46,4,FALSE()),"No")="Yes",1,0)</f>
        <v/>
      </c>
      <c r="AH567" s="3">
        <f>IF(IFERROR(VLOOKUP(D567,Controls!$A$36:$E$46,5,FALSE()),"No")="Yes",1,0)</f>
        <v/>
      </c>
      <c r="AI567" s="3">
        <f>IF(ISNUMBER(MATCH(D567,Controls!$A$36:$A$46,0)),1,0)</f>
        <v/>
      </c>
      <c r="AJ567" s="28">
        <f>Q567-N567</f>
        <v/>
      </c>
      <c r="AK567" s="3">
        <f>IF(AE567=1,MAX(0,N567-Q567),0)</f>
        <v/>
      </c>
      <c r="AL567" s="3">
        <f>IF(OR(V567="",V567=0),0,N567/V567)</f>
        <v/>
      </c>
      <c r="AM567" s="3">
        <f>IF(OR(V567="",V567=0),0,1)</f>
        <v/>
      </c>
      <c r="AN567" s="3">
        <f>IF(OR(E567="",F567=""),0,NETWORKDAYS(E567,F567,Ref!$K$2:$K$42))</f>
        <v/>
      </c>
      <c r="AO567" s="3">
        <f>IF(L567="Renewal",1,0)</f>
        <v/>
      </c>
      <c r="AP567" s="3">
        <f>AC567*AD567</f>
        <v/>
      </c>
      <c r="AQ567" s="3">
        <f>IF(AND(G567&lt;&gt;"",'Historical Score'!$C$6&lt;&gt;""),IF(G567='Historical Score'!$C$6,1,0),0)</f>
        <v/>
      </c>
      <c r="AR567" s="3">
        <f>IF(AND(L567&lt;&gt;"",'Historical Score'!$C$5&lt;&gt;""),IF(L567='Historical Score'!$C$5,1,0),0)</f>
        <v/>
      </c>
      <c r="AS567" s="3">
        <f>IF(AND(Y567&lt;&gt;"",'Historical Score'!$C$7&lt;&gt;""),IF(Y567='Historical Score'!$C$7,1,0),0)</f>
        <v/>
      </c>
      <c r="AT567" s="3">
        <f>IF(AND(K567&lt;&gt;"",'Historical Score'!$C$8&lt;&gt;""),IF(K567='Historical Score'!$C$8,1,0),0)</f>
        <v/>
      </c>
      <c r="AU567" s="3" t="n"/>
      <c r="AV567" s="3" t="n"/>
      <c r="AW567" s="3" t="n"/>
      <c r="AX567" s="3" t="n"/>
      <c r="AY567" s="3" t="n"/>
      <c r="AZ567" s="3" t="n"/>
      <c r="BA567" s="182">
        <f>IF(AD567=1,(AR567*'Historical Score'!$K$29+1-'Historical Score'!$K$29)*(AT567*'Historical Score'!$L$29+1-'Historical Score'!$L$29)*(AS567*'Historical Score'!$M$29+1-'Historical Score'!$M$29)*(AQ567*'Historical Score'!$N$29+1-'Historical Score'!$N$29),0)</f>
        <v/>
      </c>
      <c r="BB567" s="3" t="n"/>
      <c r="BC567" s="3" t="n"/>
    </row>
    <row r="568" ht="15.75" customHeight="1" s="174">
      <c r="A568" s="3" t="inlineStr">
        <is>
          <t>5674177170</t>
        </is>
      </c>
      <c r="B568" s="3" t="inlineStr">
        <is>
          <t>TASHAV'S CARIBBEAN &amp; SOUL FOOD CUISINE</t>
        </is>
      </c>
      <c r="C568" s="3" t="inlineStr">
        <is>
          <t>TASHA'S CARIBBEAN &amp; SOUL FOOD</t>
        </is>
      </c>
      <c r="D568" s="3" t="inlineStr">
        <is>
          <t>Closed</t>
        </is>
      </c>
      <c r="E568" s="23" t="n">
        <v>46048</v>
      </c>
      <c r="F568" s="23" t="n">
        <v>46162</v>
      </c>
      <c r="G568" s="3" t="n">
        <v>2</v>
      </c>
      <c r="H568" s="3" t="inlineStr">
        <is>
          <t>5812</t>
        </is>
      </c>
      <c r="I568" s="3" t="inlineStr">
        <is>
          <t>58</t>
        </is>
      </c>
      <c r="J568" s="3" t="inlineStr">
        <is>
          <t>NJ</t>
        </is>
      </c>
      <c r="K568" s="3" t="inlineStr">
        <is>
          <t>Ballicci</t>
        </is>
      </c>
      <c r="L568" s="3" t="inlineStr">
        <is>
          <t>New Deal</t>
        </is>
      </c>
      <c r="M568" s="3" t="n">
        <v>1.49</v>
      </c>
      <c r="N568" s="28" t="n">
        <v>12000</v>
      </c>
      <c r="O568" s="28" t="n">
        <v>1680</v>
      </c>
      <c r="P568" s="28" t="n">
        <v>17880</v>
      </c>
      <c r="Q568" s="28" t="n">
        <v>17880</v>
      </c>
      <c r="R568" s="28" t="n">
        <v>0</v>
      </c>
      <c r="S568" s="42" t="n">
        <v>1</v>
      </c>
      <c r="T568" s="3" t="n">
        <v>20</v>
      </c>
      <c r="U568" s="3" t="n">
        <v>0</v>
      </c>
      <c r="V568" s="3" t="n">
        <v>39147.9</v>
      </c>
      <c r="W568" s="42" t="n">
        <v>0.09130000000000001</v>
      </c>
      <c r="X568" s="23" t="n">
        <v>43466</v>
      </c>
      <c r="Y568" s="3">
        <f>IF(I568="","No SIC",IFERROR(VLOOKUP(I568,Ref!$A$2:$B$65,2,FALSE()),"Unclassified"))</f>
        <v/>
      </c>
      <c r="Z568" s="3">
        <f>IF(T568="","",IF(T568&lt;12,"Daily","Weekly"))</f>
        <v/>
      </c>
      <c r="AA568" s="3">
        <f>IF(T568="",0,IF(T568&lt;12,T568*Controls!$B$13,T568*5))</f>
        <v/>
      </c>
      <c r="AB568" s="3">
        <f>IF(E568="",0,NETWORKDAYS(E568,Controls!$B$20,Ref!$K$2:$K$42))</f>
        <v/>
      </c>
      <c r="AC568" s="3">
        <f>IF(OR(AF568=1,AND(AA568&gt;0,AB568&gt;=Controls!$B$23*AA568)),1,0)</f>
        <v/>
      </c>
      <c r="AD568" s="3">
        <f>IF(AND(E568&lt;&gt;"",E568&gt;=Controls!$B$21,E568&lt;=Controls!$B$22),1,0)</f>
        <v/>
      </c>
      <c r="AE568" s="3">
        <f>IF(IFERROR(VLOOKUP(D568,Controls!$A$36:$E$46,2,FALSE()),"No")="Yes",1,0)</f>
        <v/>
      </c>
      <c r="AF568" s="3">
        <f>IF(IFERROR(VLOOKUP(D568,Controls!$A$36:$E$46,3,FALSE()),"No")="Yes",1,0)</f>
        <v/>
      </c>
      <c r="AG568" s="3">
        <f>IF(IFERROR(VLOOKUP(D568,Controls!$A$36:$E$46,4,FALSE()),"No")="Yes",1,0)</f>
        <v/>
      </c>
      <c r="AH568" s="3">
        <f>IF(IFERROR(VLOOKUP(D568,Controls!$A$36:$E$46,5,FALSE()),"No")="Yes",1,0)</f>
        <v/>
      </c>
      <c r="AI568" s="3">
        <f>IF(ISNUMBER(MATCH(D568,Controls!$A$36:$A$46,0)),1,0)</f>
        <v/>
      </c>
      <c r="AJ568" s="28">
        <f>Q568-N568</f>
        <v/>
      </c>
      <c r="AK568" s="3">
        <f>IF(AE568=1,MAX(0,N568-Q568),0)</f>
        <v/>
      </c>
      <c r="AL568" s="3">
        <f>IF(OR(V568="",V568=0),0,N568/V568)</f>
        <v/>
      </c>
      <c r="AM568" s="3">
        <f>IF(OR(V568="",V568=0),0,1)</f>
        <v/>
      </c>
      <c r="AN568" s="3">
        <f>IF(OR(E568="",F568=""),0,NETWORKDAYS(E568,F568,Ref!$K$2:$K$42))</f>
        <v/>
      </c>
      <c r="AO568" s="3">
        <f>IF(L568="Renewal",1,0)</f>
        <v/>
      </c>
      <c r="AP568" s="3">
        <f>AC568*AD568</f>
        <v/>
      </c>
      <c r="AQ568" s="3">
        <f>IF(AND(G568&lt;&gt;"",'Historical Score'!$C$6&lt;&gt;""),IF(G568='Historical Score'!$C$6,1,0),0)</f>
        <v/>
      </c>
      <c r="AR568" s="3">
        <f>IF(AND(L568&lt;&gt;"",'Historical Score'!$C$5&lt;&gt;""),IF(L568='Historical Score'!$C$5,1,0),0)</f>
        <v/>
      </c>
      <c r="AS568" s="3">
        <f>IF(AND(Y568&lt;&gt;"",'Historical Score'!$C$7&lt;&gt;""),IF(Y568='Historical Score'!$C$7,1,0),0)</f>
        <v/>
      </c>
      <c r="AT568" s="3">
        <f>IF(AND(K568&lt;&gt;"",'Historical Score'!$C$8&lt;&gt;""),IF(K568='Historical Score'!$C$8,1,0),0)</f>
        <v/>
      </c>
      <c r="AU568" s="3" t="n"/>
      <c r="AV568" s="3" t="n"/>
      <c r="AW568" s="3" t="n"/>
      <c r="AX568" s="3" t="n"/>
      <c r="AY568" s="3" t="n"/>
      <c r="AZ568" s="3" t="n"/>
      <c r="BA568" s="182">
        <f>IF(AD568=1,(AR568*'Historical Score'!$K$29+1-'Historical Score'!$K$29)*(AT568*'Historical Score'!$L$29+1-'Historical Score'!$L$29)*(AS568*'Historical Score'!$M$29+1-'Historical Score'!$M$29)*(AQ568*'Historical Score'!$N$29+1-'Historical Score'!$N$29),0)</f>
        <v/>
      </c>
      <c r="BB568" s="3" t="n"/>
      <c r="BC568" s="3" t="n"/>
    </row>
    <row r="569" ht="15.75" customHeight="1" s="174">
      <c r="A569" s="3" t="inlineStr">
        <is>
          <t>5674177183</t>
        </is>
      </c>
      <c r="B569" s="3" t="inlineStr">
        <is>
          <t>JWS OUTPOST 421 LLC</t>
        </is>
      </c>
      <c r="C569" s="3" t="inlineStr">
        <is>
          <t>JWS OUTPOST 421 LLC</t>
        </is>
      </c>
      <c r="D569" s="3" t="inlineStr">
        <is>
          <t>Legal</t>
        </is>
      </c>
      <c r="E569" s="23" t="n">
        <v>46048</v>
      </c>
      <c r="F569" s="23" t="n">
        <v>46150</v>
      </c>
      <c r="G569" s="3" t="n">
        <v>1</v>
      </c>
      <c r="H569" s="3" t="inlineStr">
        <is>
          <t>5399</t>
        </is>
      </c>
      <c r="I569" s="3" t="inlineStr">
        <is>
          <t>53</t>
        </is>
      </c>
      <c r="J569" s="3" t="inlineStr">
        <is>
          <t>IN</t>
        </is>
      </c>
      <c r="K569" s="3" t="inlineStr">
        <is>
          <t>United Secured Capital 8</t>
        </is>
      </c>
      <c r="L569" s="3" t="inlineStr">
        <is>
          <t>New Deal</t>
        </is>
      </c>
      <c r="M569" s="3" t="n">
        <v>1.49</v>
      </c>
      <c r="N569" s="28" t="n">
        <v>21000</v>
      </c>
      <c r="O569" s="28" t="n">
        <v>0</v>
      </c>
      <c r="P569" s="28" t="n">
        <v>31290</v>
      </c>
      <c r="Q569" s="28" t="n">
        <v>3489.82</v>
      </c>
      <c r="R569" s="28" t="n">
        <v>27800.18</v>
      </c>
      <c r="S569" s="42" t="n">
        <v>0.111531479705976</v>
      </c>
      <c r="T569" s="3" t="n">
        <v>24</v>
      </c>
      <c r="U569" s="3" t="n">
        <v>13</v>
      </c>
      <c r="V569" s="3" t="n">
        <v>93274.12</v>
      </c>
      <c r="W569" s="42" t="n">
        <v>0.0559</v>
      </c>
      <c r="X569" s="23" t="n"/>
      <c r="Y569" s="3">
        <f>IF(I569="","No SIC",IFERROR(VLOOKUP(I569,Ref!$A$2:$B$65,2,FALSE()),"Unclassified"))</f>
        <v/>
      </c>
      <c r="Z569" s="3">
        <f>IF(T569="","",IF(T569&lt;12,"Daily","Weekly"))</f>
        <v/>
      </c>
      <c r="AA569" s="3">
        <f>IF(T569="",0,IF(T569&lt;12,T569*Controls!$B$13,T569*5))</f>
        <v/>
      </c>
      <c r="AB569" s="3">
        <f>IF(E569="",0,NETWORKDAYS(E569,Controls!$B$20,Ref!$K$2:$K$42))</f>
        <v/>
      </c>
      <c r="AC569" s="3">
        <f>IF(OR(AF569=1,AND(AA569&gt;0,AB569&gt;=Controls!$B$23*AA569)),1,0)</f>
        <v/>
      </c>
      <c r="AD569" s="3">
        <f>IF(AND(E569&lt;&gt;"",E569&gt;=Controls!$B$21,E569&lt;=Controls!$B$22),1,0)</f>
        <v/>
      </c>
      <c r="AE569" s="3">
        <f>IF(IFERROR(VLOOKUP(D569,Controls!$A$36:$E$46,2,FALSE()),"No")="Yes",1,0)</f>
        <v/>
      </c>
      <c r="AF569" s="3">
        <f>IF(IFERROR(VLOOKUP(D569,Controls!$A$36:$E$46,3,FALSE()),"No")="Yes",1,0)</f>
        <v/>
      </c>
      <c r="AG569" s="3">
        <f>IF(IFERROR(VLOOKUP(D569,Controls!$A$36:$E$46,4,FALSE()),"No")="Yes",1,0)</f>
        <v/>
      </c>
      <c r="AH569" s="3">
        <f>IF(IFERROR(VLOOKUP(D569,Controls!$A$36:$E$46,5,FALSE()),"No")="Yes",1,0)</f>
        <v/>
      </c>
      <c r="AI569" s="3">
        <f>IF(ISNUMBER(MATCH(D569,Controls!$A$36:$A$46,0)),1,0)</f>
        <v/>
      </c>
      <c r="AJ569" s="28">
        <f>Q569-N569</f>
        <v/>
      </c>
      <c r="AK569" s="3">
        <f>IF(AE569=1,MAX(0,N569-Q569),0)</f>
        <v/>
      </c>
      <c r="AL569" s="3">
        <f>IF(OR(V569="",V569=0),0,N569/V569)</f>
        <v/>
      </c>
      <c r="AM569" s="3">
        <f>IF(OR(V569="",V569=0),0,1)</f>
        <v/>
      </c>
      <c r="AN569" s="3">
        <f>IF(OR(E569="",F569=""),0,NETWORKDAYS(E569,F569,Ref!$K$2:$K$42))</f>
        <v/>
      </c>
      <c r="AO569" s="3">
        <f>IF(L569="Renewal",1,0)</f>
        <v/>
      </c>
      <c r="AP569" s="3">
        <f>AC569*AD569</f>
        <v/>
      </c>
      <c r="AQ569" s="3">
        <f>IF(AND(G569&lt;&gt;"",'Historical Score'!$C$6&lt;&gt;""),IF(G569='Historical Score'!$C$6,1,0),0)</f>
        <v/>
      </c>
      <c r="AR569" s="3">
        <f>IF(AND(L569&lt;&gt;"",'Historical Score'!$C$5&lt;&gt;""),IF(L569='Historical Score'!$C$5,1,0),0)</f>
        <v/>
      </c>
      <c r="AS569" s="3">
        <f>IF(AND(Y569&lt;&gt;"",'Historical Score'!$C$7&lt;&gt;""),IF(Y569='Historical Score'!$C$7,1,0),0)</f>
        <v/>
      </c>
      <c r="AT569" s="3">
        <f>IF(AND(K569&lt;&gt;"",'Historical Score'!$C$8&lt;&gt;""),IF(K569='Historical Score'!$C$8,1,0),0)</f>
        <v/>
      </c>
      <c r="AU569" s="3" t="n"/>
      <c r="AV569" s="3" t="n"/>
      <c r="AW569" s="3" t="n"/>
      <c r="AX569" s="3" t="n"/>
      <c r="AY569" s="3" t="n"/>
      <c r="AZ569" s="3" t="n"/>
      <c r="BA569" s="182">
        <f>IF(AD569=1,(AR569*'Historical Score'!$K$29+1-'Historical Score'!$K$29)*(AT569*'Historical Score'!$L$29+1-'Historical Score'!$L$29)*(AS569*'Historical Score'!$M$29+1-'Historical Score'!$M$29)*(AQ569*'Historical Score'!$N$29+1-'Historical Score'!$N$29),0)</f>
        <v/>
      </c>
      <c r="BB569" s="3" t="n"/>
      <c r="BC569" s="3" t="n"/>
    </row>
    <row r="570" ht="15.75" customHeight="1" s="174">
      <c r="A570" s="3" t="inlineStr">
        <is>
          <t>5674177232</t>
        </is>
      </c>
      <c r="B570" s="3" t="inlineStr">
        <is>
          <t>Good Living Expositions Inc</t>
        </is>
      </c>
      <c r="C570" s="3" t="inlineStr">
        <is>
          <t>Good Living Expositions Inc</t>
        </is>
      </c>
      <c r="D570" s="3" t="inlineStr">
        <is>
          <t>In House Collection</t>
        </is>
      </c>
      <c r="E570" s="23" t="n">
        <v>46049</v>
      </c>
      <c r="F570" s="23" t="n">
        <v>46135</v>
      </c>
      <c r="G570" s="3" t="n">
        <v>3</v>
      </c>
      <c r="H570" s="3" t="inlineStr">
        <is>
          <t>5999</t>
        </is>
      </c>
      <c r="I570" s="3" t="inlineStr">
        <is>
          <t>59</t>
        </is>
      </c>
      <c r="J570" s="3" t="inlineStr">
        <is>
          <t>FL</t>
        </is>
      </c>
      <c r="K570" s="3" t="inlineStr">
        <is>
          <t>Ballicci</t>
        </is>
      </c>
      <c r="L570" s="3" t="inlineStr">
        <is>
          <t>New Deal</t>
        </is>
      </c>
      <c r="M570" s="3" t="n">
        <v>1.49</v>
      </c>
      <c r="N570" s="28" t="n">
        <v>40000</v>
      </c>
      <c r="O570" s="28" t="n">
        <v>5600</v>
      </c>
      <c r="P570" s="28" t="n">
        <v>59600</v>
      </c>
      <c r="Q570" s="28" t="n">
        <v>21775.7</v>
      </c>
      <c r="R570" s="28" t="n">
        <v>37824.3</v>
      </c>
      <c r="S570" s="42" t="n">
        <v>0.365364093959732</v>
      </c>
      <c r="T570" s="3" t="n">
        <v>28</v>
      </c>
      <c r="U570" s="3" t="n">
        <v>1</v>
      </c>
      <c r="V570" s="3" t="n">
        <v>56572.13</v>
      </c>
      <c r="W570" s="42" t="n">
        <v>0.1505</v>
      </c>
      <c r="X570" s="23" t="n"/>
      <c r="Y570" s="3">
        <f>IF(I570="","No SIC",IFERROR(VLOOKUP(I570,Ref!$A$2:$B$65,2,FALSE()),"Unclassified"))</f>
        <v/>
      </c>
      <c r="Z570" s="3">
        <f>IF(T570="","",IF(T570&lt;12,"Daily","Weekly"))</f>
        <v/>
      </c>
      <c r="AA570" s="3">
        <f>IF(T570="",0,IF(T570&lt;12,T570*Controls!$B$13,T570*5))</f>
        <v/>
      </c>
      <c r="AB570" s="3">
        <f>IF(E570="",0,NETWORKDAYS(E570,Controls!$B$20,Ref!$K$2:$K$42))</f>
        <v/>
      </c>
      <c r="AC570" s="3">
        <f>IF(OR(AF570=1,AND(AA570&gt;0,AB570&gt;=Controls!$B$23*AA570)),1,0)</f>
        <v/>
      </c>
      <c r="AD570" s="3">
        <f>IF(AND(E570&lt;&gt;"",E570&gt;=Controls!$B$21,E570&lt;=Controls!$B$22),1,0)</f>
        <v/>
      </c>
      <c r="AE570" s="3">
        <f>IF(IFERROR(VLOOKUP(D570,Controls!$A$36:$E$46,2,FALSE()),"No")="Yes",1,0)</f>
        <v/>
      </c>
      <c r="AF570" s="3">
        <f>IF(IFERROR(VLOOKUP(D570,Controls!$A$36:$E$46,3,FALSE()),"No")="Yes",1,0)</f>
        <v/>
      </c>
      <c r="AG570" s="3">
        <f>IF(IFERROR(VLOOKUP(D570,Controls!$A$36:$E$46,4,FALSE()),"No")="Yes",1,0)</f>
        <v/>
      </c>
      <c r="AH570" s="3">
        <f>IF(IFERROR(VLOOKUP(D570,Controls!$A$36:$E$46,5,FALSE()),"No")="Yes",1,0)</f>
        <v/>
      </c>
      <c r="AI570" s="3">
        <f>IF(ISNUMBER(MATCH(D570,Controls!$A$36:$A$46,0)),1,0)</f>
        <v/>
      </c>
      <c r="AJ570" s="28">
        <f>Q570-N570</f>
        <v/>
      </c>
      <c r="AK570" s="3">
        <f>IF(AE570=1,MAX(0,N570-Q570),0)</f>
        <v/>
      </c>
      <c r="AL570" s="3">
        <f>IF(OR(V570="",V570=0),0,N570/V570)</f>
        <v/>
      </c>
      <c r="AM570" s="3">
        <f>IF(OR(V570="",V570=0),0,1)</f>
        <v/>
      </c>
      <c r="AN570" s="3">
        <f>IF(OR(E570="",F570=""),0,NETWORKDAYS(E570,F570,Ref!$K$2:$K$42))</f>
        <v/>
      </c>
      <c r="AO570" s="3">
        <f>IF(L570="Renewal",1,0)</f>
        <v/>
      </c>
      <c r="AP570" s="3">
        <f>AC570*AD570</f>
        <v/>
      </c>
      <c r="AQ570" s="3">
        <f>IF(AND(G570&lt;&gt;"",'Historical Score'!$C$6&lt;&gt;""),IF(G570='Historical Score'!$C$6,1,0),0)</f>
        <v/>
      </c>
      <c r="AR570" s="3">
        <f>IF(AND(L570&lt;&gt;"",'Historical Score'!$C$5&lt;&gt;""),IF(L570='Historical Score'!$C$5,1,0),0)</f>
        <v/>
      </c>
      <c r="AS570" s="3">
        <f>IF(AND(Y570&lt;&gt;"",'Historical Score'!$C$7&lt;&gt;""),IF(Y570='Historical Score'!$C$7,1,0),0)</f>
        <v/>
      </c>
      <c r="AT570" s="3">
        <f>IF(AND(K570&lt;&gt;"",'Historical Score'!$C$8&lt;&gt;""),IF(K570='Historical Score'!$C$8,1,0),0)</f>
        <v/>
      </c>
      <c r="AU570" s="3" t="n"/>
      <c r="AV570" s="3" t="n"/>
      <c r="AW570" s="3" t="n"/>
      <c r="AX570" s="3" t="n"/>
      <c r="AY570" s="3" t="n"/>
      <c r="AZ570" s="3" t="n"/>
      <c r="BA570" s="182">
        <f>IF(AD570=1,(AR570*'Historical Score'!$K$29+1-'Historical Score'!$K$29)*(AT570*'Historical Score'!$L$29+1-'Historical Score'!$L$29)*(AS570*'Historical Score'!$M$29+1-'Historical Score'!$M$29)*(AQ570*'Historical Score'!$N$29+1-'Historical Score'!$N$29),0)</f>
        <v/>
      </c>
      <c r="BB570" s="3" t="n"/>
      <c r="BC570" s="3" t="n"/>
    </row>
    <row r="571" ht="15.75" customHeight="1" s="174">
      <c r="A571" s="3" t="inlineStr">
        <is>
          <t>5674177238</t>
        </is>
      </c>
      <c r="B571" s="3" t="inlineStr">
        <is>
          <t>MEHFIL INDIAN BISTRO LLC</t>
        </is>
      </c>
      <c r="C571" s="3" t="inlineStr">
        <is>
          <t>MEHFIL INDIAN BISTRO LLC</t>
        </is>
      </c>
      <c r="D571" s="3" t="inlineStr">
        <is>
          <t>Legal</t>
        </is>
      </c>
      <c r="E571" s="23" t="n">
        <v>46049</v>
      </c>
      <c r="F571" s="23" t="n">
        <v>46085</v>
      </c>
      <c r="G571" s="3" t="n">
        <v>3</v>
      </c>
      <c r="H571" s="3" t="inlineStr">
        <is>
          <t>5812</t>
        </is>
      </c>
      <c r="I571" s="3" t="inlineStr">
        <is>
          <t>58</t>
        </is>
      </c>
      <c r="J571" s="3" t="inlineStr">
        <is>
          <t>CA</t>
        </is>
      </c>
      <c r="K571" s="3" t="inlineStr">
        <is>
          <t>United Secured Capital 8</t>
        </is>
      </c>
      <c r="L571" s="3" t="inlineStr">
        <is>
          <t>New Deal</t>
        </is>
      </c>
      <c r="M571" s="3" t="n">
        <v>1.49</v>
      </c>
      <c r="N571" s="28" t="n">
        <v>20000</v>
      </c>
      <c r="O571" s="28" t="n">
        <v>2800</v>
      </c>
      <c r="P571" s="28" t="n">
        <v>29800</v>
      </c>
      <c r="Q571" s="28" t="n">
        <v>5626.49</v>
      </c>
      <c r="R571" s="28" t="n">
        <v>24173.51</v>
      </c>
      <c r="S571" s="42" t="n">
        <v>0.188808389261745</v>
      </c>
      <c r="T571" s="3" t="n">
        <v>2.951</v>
      </c>
      <c r="U571" s="3" t="n">
        <v>8</v>
      </c>
      <c r="V571" s="3" t="n">
        <v>125457.59</v>
      </c>
      <c r="W571" s="42" t="n">
        <v>0.0554</v>
      </c>
      <c r="X571" s="23" t="n"/>
      <c r="Y571" s="3">
        <f>IF(I571="","No SIC",IFERROR(VLOOKUP(I571,Ref!$A$2:$B$65,2,FALSE()),"Unclassified"))</f>
        <v/>
      </c>
      <c r="Z571" s="3">
        <f>IF(T571="","",IF(T571&lt;12,"Daily","Weekly"))</f>
        <v/>
      </c>
      <c r="AA571" s="3">
        <f>IF(T571="",0,IF(T571&lt;12,T571*Controls!$B$13,T571*5))</f>
        <v/>
      </c>
      <c r="AB571" s="3">
        <f>IF(E571="",0,NETWORKDAYS(E571,Controls!$B$20,Ref!$K$2:$K$42))</f>
        <v/>
      </c>
      <c r="AC571" s="3">
        <f>IF(OR(AF571=1,AND(AA571&gt;0,AB571&gt;=Controls!$B$23*AA571)),1,0)</f>
        <v/>
      </c>
      <c r="AD571" s="3">
        <f>IF(AND(E571&lt;&gt;"",E571&gt;=Controls!$B$21,E571&lt;=Controls!$B$22),1,0)</f>
        <v/>
      </c>
      <c r="AE571" s="3">
        <f>IF(IFERROR(VLOOKUP(D571,Controls!$A$36:$E$46,2,FALSE()),"No")="Yes",1,0)</f>
        <v/>
      </c>
      <c r="AF571" s="3">
        <f>IF(IFERROR(VLOOKUP(D571,Controls!$A$36:$E$46,3,FALSE()),"No")="Yes",1,0)</f>
        <v/>
      </c>
      <c r="AG571" s="3">
        <f>IF(IFERROR(VLOOKUP(D571,Controls!$A$36:$E$46,4,FALSE()),"No")="Yes",1,0)</f>
        <v/>
      </c>
      <c r="AH571" s="3">
        <f>IF(IFERROR(VLOOKUP(D571,Controls!$A$36:$E$46,5,FALSE()),"No")="Yes",1,0)</f>
        <v/>
      </c>
      <c r="AI571" s="3">
        <f>IF(ISNUMBER(MATCH(D571,Controls!$A$36:$A$46,0)),1,0)</f>
        <v/>
      </c>
      <c r="AJ571" s="28">
        <f>Q571-N571</f>
        <v/>
      </c>
      <c r="AK571" s="3">
        <f>IF(AE571=1,MAX(0,N571-Q571),0)</f>
        <v/>
      </c>
      <c r="AL571" s="3">
        <f>IF(OR(V571="",V571=0),0,N571/V571)</f>
        <v/>
      </c>
      <c r="AM571" s="3">
        <f>IF(OR(V571="",V571=0),0,1)</f>
        <v/>
      </c>
      <c r="AN571" s="3">
        <f>IF(OR(E571="",F571=""),0,NETWORKDAYS(E571,F571,Ref!$K$2:$K$42))</f>
        <v/>
      </c>
      <c r="AO571" s="3">
        <f>IF(L571="Renewal",1,0)</f>
        <v/>
      </c>
      <c r="AP571" s="3">
        <f>AC571*AD571</f>
        <v/>
      </c>
      <c r="AQ571" s="3">
        <f>IF(AND(G571&lt;&gt;"",'Historical Score'!$C$6&lt;&gt;""),IF(G571='Historical Score'!$C$6,1,0),0)</f>
        <v/>
      </c>
      <c r="AR571" s="3">
        <f>IF(AND(L571&lt;&gt;"",'Historical Score'!$C$5&lt;&gt;""),IF(L571='Historical Score'!$C$5,1,0),0)</f>
        <v/>
      </c>
      <c r="AS571" s="3">
        <f>IF(AND(Y571&lt;&gt;"",'Historical Score'!$C$7&lt;&gt;""),IF(Y571='Historical Score'!$C$7,1,0),0)</f>
        <v/>
      </c>
      <c r="AT571" s="3">
        <f>IF(AND(K571&lt;&gt;"",'Historical Score'!$C$8&lt;&gt;""),IF(K571='Historical Score'!$C$8,1,0),0)</f>
        <v/>
      </c>
      <c r="AU571" s="3" t="n"/>
      <c r="AV571" s="3" t="n"/>
      <c r="AW571" s="3" t="n"/>
      <c r="AX571" s="3" t="n"/>
      <c r="AY571" s="3" t="n"/>
      <c r="AZ571" s="3" t="n"/>
      <c r="BA571" s="182">
        <f>IF(AD571=1,(AR571*'Historical Score'!$K$29+1-'Historical Score'!$K$29)*(AT571*'Historical Score'!$L$29+1-'Historical Score'!$L$29)*(AS571*'Historical Score'!$M$29+1-'Historical Score'!$M$29)*(AQ571*'Historical Score'!$N$29+1-'Historical Score'!$N$29),0)</f>
        <v/>
      </c>
      <c r="BB571" s="3" t="n"/>
      <c r="BC571" s="3" t="n"/>
    </row>
    <row r="572" ht="15.75" customHeight="1" s="174">
      <c r="A572" s="3" t="inlineStr">
        <is>
          <t>5674177241</t>
        </is>
      </c>
      <c r="B572" s="3" t="inlineStr">
        <is>
          <t>LIL EXPLORERS</t>
        </is>
      </c>
      <c r="C572" s="3" t="inlineStr">
        <is>
          <t>LIL EXPLORERS OF BOERNE LLC</t>
        </is>
      </c>
      <c r="D572" s="3" t="inlineStr">
        <is>
          <t>Legal</t>
        </is>
      </c>
      <c r="E572" s="23" t="n">
        <v>46049</v>
      </c>
      <c r="F572" s="23" t="n">
        <v>46069</v>
      </c>
      <c r="G572" s="3" t="n">
        <v>3</v>
      </c>
      <c r="H572" s="3" t="inlineStr">
        <is>
          <t>8351</t>
        </is>
      </c>
      <c r="I572" s="3" t="inlineStr">
        <is>
          <t>83</t>
        </is>
      </c>
      <c r="J572" s="3" t="inlineStr">
        <is>
          <t>TX</t>
        </is>
      </c>
      <c r="K572" s="3" t="inlineStr">
        <is>
          <t>Top Floor Advance</t>
        </is>
      </c>
      <c r="L572" s="3" t="inlineStr">
        <is>
          <t>New Deal</t>
        </is>
      </c>
      <c r="M572" s="3" t="n">
        <v>1.49</v>
      </c>
      <c r="N572" s="28" t="n">
        <v>30000</v>
      </c>
      <c r="O572" s="28" t="n">
        <v>4200</v>
      </c>
      <c r="P572" s="28" t="n">
        <v>44700</v>
      </c>
      <c r="Q572" s="28" t="n">
        <v>4970.44</v>
      </c>
      <c r="R572" s="28" t="n">
        <v>39729.56</v>
      </c>
      <c r="S572" s="42" t="n">
        <v>0.111195525727069</v>
      </c>
      <c r="T572" s="3" t="n">
        <v>18</v>
      </c>
      <c r="U572" s="3" t="n">
        <v>1</v>
      </c>
      <c r="V572" s="3" t="n">
        <v>186158.49</v>
      </c>
      <c r="W572" s="42" t="n">
        <v>0.0534</v>
      </c>
      <c r="X572" s="23" t="n">
        <v>26065</v>
      </c>
      <c r="Y572" s="3">
        <f>IF(I572="","No SIC",IFERROR(VLOOKUP(I572,Ref!$A$2:$B$65,2,FALSE()),"Unclassified"))</f>
        <v/>
      </c>
      <c r="Z572" s="3">
        <f>IF(T572="","",IF(T572&lt;12,"Daily","Weekly"))</f>
        <v/>
      </c>
      <c r="AA572" s="3">
        <f>IF(T572="",0,IF(T572&lt;12,T572*Controls!$B$13,T572*5))</f>
        <v/>
      </c>
      <c r="AB572" s="3">
        <f>IF(E572="",0,NETWORKDAYS(E572,Controls!$B$20,Ref!$K$2:$K$42))</f>
        <v/>
      </c>
      <c r="AC572" s="3">
        <f>IF(OR(AF572=1,AND(AA572&gt;0,AB572&gt;=Controls!$B$23*AA572)),1,0)</f>
        <v/>
      </c>
      <c r="AD572" s="3">
        <f>IF(AND(E572&lt;&gt;"",E572&gt;=Controls!$B$21,E572&lt;=Controls!$B$22),1,0)</f>
        <v/>
      </c>
      <c r="AE572" s="3">
        <f>IF(IFERROR(VLOOKUP(D572,Controls!$A$36:$E$46,2,FALSE()),"No")="Yes",1,0)</f>
        <v/>
      </c>
      <c r="AF572" s="3">
        <f>IF(IFERROR(VLOOKUP(D572,Controls!$A$36:$E$46,3,FALSE()),"No")="Yes",1,0)</f>
        <v/>
      </c>
      <c r="AG572" s="3">
        <f>IF(IFERROR(VLOOKUP(D572,Controls!$A$36:$E$46,4,FALSE()),"No")="Yes",1,0)</f>
        <v/>
      </c>
      <c r="AH572" s="3">
        <f>IF(IFERROR(VLOOKUP(D572,Controls!$A$36:$E$46,5,FALSE()),"No")="Yes",1,0)</f>
        <v/>
      </c>
      <c r="AI572" s="3">
        <f>IF(ISNUMBER(MATCH(D572,Controls!$A$36:$A$46,0)),1,0)</f>
        <v/>
      </c>
      <c r="AJ572" s="28">
        <f>Q572-N572</f>
        <v/>
      </c>
      <c r="AK572" s="3">
        <f>IF(AE572=1,MAX(0,N572-Q572),0)</f>
        <v/>
      </c>
      <c r="AL572" s="3">
        <f>IF(OR(V572="",V572=0),0,N572/V572)</f>
        <v/>
      </c>
      <c r="AM572" s="3">
        <f>IF(OR(V572="",V572=0),0,1)</f>
        <v/>
      </c>
      <c r="AN572" s="3">
        <f>IF(OR(E572="",F572=""),0,NETWORKDAYS(E572,F572,Ref!$K$2:$K$42))</f>
        <v/>
      </c>
      <c r="AO572" s="3">
        <f>IF(L572="Renewal",1,0)</f>
        <v/>
      </c>
      <c r="AP572" s="3">
        <f>AC572*AD572</f>
        <v/>
      </c>
      <c r="AQ572" s="3">
        <f>IF(AND(G572&lt;&gt;"",'Historical Score'!$C$6&lt;&gt;""),IF(G572='Historical Score'!$C$6,1,0),0)</f>
        <v/>
      </c>
      <c r="AR572" s="3">
        <f>IF(AND(L572&lt;&gt;"",'Historical Score'!$C$5&lt;&gt;""),IF(L572='Historical Score'!$C$5,1,0),0)</f>
        <v/>
      </c>
      <c r="AS572" s="3">
        <f>IF(AND(Y572&lt;&gt;"",'Historical Score'!$C$7&lt;&gt;""),IF(Y572='Historical Score'!$C$7,1,0),0)</f>
        <v/>
      </c>
      <c r="AT572" s="3">
        <f>IF(AND(K572&lt;&gt;"",'Historical Score'!$C$8&lt;&gt;""),IF(K572='Historical Score'!$C$8,1,0),0)</f>
        <v/>
      </c>
      <c r="AU572" s="3" t="n"/>
      <c r="AV572" s="3" t="n"/>
      <c r="AW572" s="3" t="n"/>
      <c r="AX572" s="3" t="n"/>
      <c r="AY572" s="3" t="n"/>
      <c r="AZ572" s="3" t="n"/>
      <c r="BA572" s="182">
        <f>IF(AD572=1,(AR572*'Historical Score'!$K$29+1-'Historical Score'!$K$29)*(AT572*'Historical Score'!$L$29+1-'Historical Score'!$L$29)*(AS572*'Historical Score'!$M$29+1-'Historical Score'!$M$29)*(AQ572*'Historical Score'!$N$29+1-'Historical Score'!$N$29),0)</f>
        <v/>
      </c>
      <c r="BB572" s="3" t="n"/>
      <c r="BC572" s="3" t="n"/>
    </row>
    <row r="573" ht="15.75" customHeight="1" s="174">
      <c r="A573" s="3" t="inlineStr">
        <is>
          <t>5674177264</t>
        </is>
      </c>
      <c r="B573" s="3" t="inlineStr">
        <is>
          <t>TANG DYNASTY LLC</t>
        </is>
      </c>
      <c r="C573" s="3" t="inlineStr">
        <is>
          <t>TANG &amp; LLANTINO ENTERPRISES LLC</t>
        </is>
      </c>
      <c r="D573" s="3" t="inlineStr">
        <is>
          <t>Open</t>
        </is>
      </c>
      <c r="E573" s="23" t="n">
        <v>46049</v>
      </c>
      <c r="F573" s="23" t="n">
        <v>46247</v>
      </c>
      <c r="G573" s="3" t="n">
        <v>3</v>
      </c>
      <c r="H573" s="3" t="inlineStr">
        <is>
          <t>5812</t>
        </is>
      </c>
      <c r="I573" s="3" t="inlineStr">
        <is>
          <t>58</t>
        </is>
      </c>
      <c r="J573" s="3" t="inlineStr">
        <is>
          <t>TX</t>
        </is>
      </c>
      <c r="K573" s="3" t="inlineStr">
        <is>
          <t>Top Floor Advance</t>
        </is>
      </c>
      <c r="L573" s="3" t="inlineStr">
        <is>
          <t>New Deal</t>
        </is>
      </c>
      <c r="M573" s="3" t="n">
        <v>1.4</v>
      </c>
      <c r="N573" s="28" t="n">
        <v>25000</v>
      </c>
      <c r="O573" s="28" t="n">
        <v>2375</v>
      </c>
      <c r="P573" s="28" t="n">
        <v>35000</v>
      </c>
      <c r="Q573" s="28" t="n">
        <v>12258.75</v>
      </c>
      <c r="R573" s="28" t="n">
        <v>22741.25</v>
      </c>
      <c r="S573" s="42" t="n">
        <v>0.35025</v>
      </c>
      <c r="T573" s="3" t="n">
        <v>20</v>
      </c>
      <c r="U573" s="3" t="n">
        <v>23</v>
      </c>
      <c r="V573" s="3" t="n">
        <v>60000</v>
      </c>
      <c r="W573" s="42" t="n">
        <v>0.0467</v>
      </c>
      <c r="X573" s="23" t="n">
        <v>43897</v>
      </c>
      <c r="Y573" s="3">
        <f>IF(I573="","No SIC",IFERROR(VLOOKUP(I573,Ref!$A$2:$B$65,2,FALSE()),"Unclassified"))</f>
        <v/>
      </c>
      <c r="Z573" s="3">
        <f>IF(T573="","",IF(T573&lt;12,"Daily","Weekly"))</f>
        <v/>
      </c>
      <c r="AA573" s="3">
        <f>IF(T573="",0,IF(T573&lt;12,T573*Controls!$B$13,T573*5))</f>
        <v/>
      </c>
      <c r="AB573" s="3">
        <f>IF(E573="",0,NETWORKDAYS(E573,Controls!$B$20,Ref!$K$2:$K$42))</f>
        <v/>
      </c>
      <c r="AC573" s="3">
        <f>IF(OR(AF573=1,AND(AA573&gt;0,AB573&gt;=Controls!$B$23*AA573)),1,0)</f>
        <v/>
      </c>
      <c r="AD573" s="3">
        <f>IF(AND(E573&lt;&gt;"",E573&gt;=Controls!$B$21,E573&lt;=Controls!$B$22),1,0)</f>
        <v/>
      </c>
      <c r="AE573" s="3">
        <f>IF(IFERROR(VLOOKUP(D573,Controls!$A$36:$E$46,2,FALSE()),"No")="Yes",1,0)</f>
        <v/>
      </c>
      <c r="AF573" s="3">
        <f>IF(IFERROR(VLOOKUP(D573,Controls!$A$36:$E$46,3,FALSE()),"No")="Yes",1,0)</f>
        <v/>
      </c>
      <c r="AG573" s="3">
        <f>IF(IFERROR(VLOOKUP(D573,Controls!$A$36:$E$46,4,FALSE()),"No")="Yes",1,0)</f>
        <v/>
      </c>
      <c r="AH573" s="3">
        <f>IF(IFERROR(VLOOKUP(D573,Controls!$A$36:$E$46,5,FALSE()),"No")="Yes",1,0)</f>
        <v/>
      </c>
      <c r="AI573" s="3">
        <f>IF(ISNUMBER(MATCH(D573,Controls!$A$36:$A$46,0)),1,0)</f>
        <v/>
      </c>
      <c r="AJ573" s="28">
        <f>Q573-N573</f>
        <v/>
      </c>
      <c r="AK573" s="3">
        <f>IF(AE573=1,MAX(0,N573-Q573),0)</f>
        <v/>
      </c>
      <c r="AL573" s="3">
        <f>IF(OR(V573="",V573=0),0,N573/V573)</f>
        <v/>
      </c>
      <c r="AM573" s="3">
        <f>IF(OR(V573="",V573=0),0,1)</f>
        <v/>
      </c>
      <c r="AN573" s="3">
        <f>IF(OR(E573="",F573=""),0,NETWORKDAYS(E573,F573,Ref!$K$2:$K$42))</f>
        <v/>
      </c>
      <c r="AO573" s="3">
        <f>IF(L573="Renewal",1,0)</f>
        <v/>
      </c>
      <c r="AP573" s="3">
        <f>AC573*AD573</f>
        <v/>
      </c>
      <c r="AQ573" s="3">
        <f>IF(AND(G573&lt;&gt;"",'Historical Score'!$C$6&lt;&gt;""),IF(G573='Historical Score'!$C$6,1,0),0)</f>
        <v/>
      </c>
      <c r="AR573" s="3">
        <f>IF(AND(L573&lt;&gt;"",'Historical Score'!$C$5&lt;&gt;""),IF(L573='Historical Score'!$C$5,1,0),0)</f>
        <v/>
      </c>
      <c r="AS573" s="3">
        <f>IF(AND(Y573&lt;&gt;"",'Historical Score'!$C$7&lt;&gt;""),IF(Y573='Historical Score'!$C$7,1,0),0)</f>
        <v/>
      </c>
      <c r="AT573" s="3">
        <f>IF(AND(K573&lt;&gt;"",'Historical Score'!$C$8&lt;&gt;""),IF(K573='Historical Score'!$C$8,1,0),0)</f>
        <v/>
      </c>
      <c r="AU573" s="3" t="n"/>
      <c r="AV573" s="3" t="n"/>
      <c r="AW573" s="3" t="n"/>
      <c r="AX573" s="3" t="n"/>
      <c r="AY573" s="3" t="n"/>
      <c r="AZ573" s="3" t="n"/>
      <c r="BA573" s="182">
        <f>IF(AD573=1,(AR573*'Historical Score'!$K$29+1-'Historical Score'!$K$29)*(AT573*'Historical Score'!$L$29+1-'Historical Score'!$L$29)*(AS573*'Historical Score'!$M$29+1-'Historical Score'!$M$29)*(AQ573*'Historical Score'!$N$29+1-'Historical Score'!$N$29),0)</f>
        <v/>
      </c>
      <c r="BB573" s="3" t="n"/>
      <c r="BC573" s="3" t="n"/>
    </row>
    <row r="574" ht="15.75" customHeight="1" s="174">
      <c r="A574" s="3" t="inlineStr">
        <is>
          <t>5674177267</t>
        </is>
      </c>
      <c r="B574" s="3" t="inlineStr">
        <is>
          <t>JUICE FIX</t>
        </is>
      </c>
      <c r="C574" s="3" t="inlineStr">
        <is>
          <t>JUICE FIX LLC</t>
        </is>
      </c>
      <c r="D574" s="3" t="inlineStr">
        <is>
          <t>Open</t>
        </is>
      </c>
      <c r="E574" s="23" t="n">
        <v>46049</v>
      </c>
      <c r="F574" s="23" t="n">
        <v>46248</v>
      </c>
      <c r="G574" s="3" t="n">
        <v>3</v>
      </c>
      <c r="H574" s="3" t="inlineStr">
        <is>
          <t>5812</t>
        </is>
      </c>
      <c r="I574" s="3" t="inlineStr">
        <is>
          <t>58</t>
        </is>
      </c>
      <c r="J574" s="3" t="inlineStr">
        <is>
          <t>CA</t>
        </is>
      </c>
      <c r="K574" s="3" t="inlineStr">
        <is>
          <t>TRUSTFI</t>
        </is>
      </c>
      <c r="L574" s="3" t="inlineStr">
        <is>
          <t>New Deal</t>
        </is>
      </c>
      <c r="M574" s="3" t="n">
        <v>1.45</v>
      </c>
      <c r="N574" s="28" t="n">
        <v>25000</v>
      </c>
      <c r="O574" s="28" t="n">
        <v>3000</v>
      </c>
      <c r="P574" s="28" t="n">
        <v>36250</v>
      </c>
      <c r="Q574" s="28" t="n">
        <v>19632.47</v>
      </c>
      <c r="R574" s="28" t="n">
        <v>16617.53</v>
      </c>
      <c r="S574" s="42" t="n">
        <v>0.541585379310345</v>
      </c>
      <c r="T574" s="3" t="n">
        <v>24</v>
      </c>
      <c r="U574" s="3" t="n">
        <v>15</v>
      </c>
      <c r="V574" s="3" t="n">
        <v>39925.65</v>
      </c>
      <c r="W574" s="42" t="n">
        <v>0.1513</v>
      </c>
      <c r="X574" s="23" t="n">
        <v>42690</v>
      </c>
      <c r="Y574" s="3">
        <f>IF(I574="","No SIC",IFERROR(VLOOKUP(I574,Ref!$A$2:$B$65,2,FALSE()),"Unclassified"))</f>
        <v/>
      </c>
      <c r="Z574" s="3">
        <f>IF(T574="","",IF(T574&lt;12,"Daily","Weekly"))</f>
        <v/>
      </c>
      <c r="AA574" s="3">
        <f>IF(T574="",0,IF(T574&lt;12,T574*Controls!$B$13,T574*5))</f>
        <v/>
      </c>
      <c r="AB574" s="3">
        <f>IF(E574="",0,NETWORKDAYS(E574,Controls!$B$20,Ref!$K$2:$K$42))</f>
        <v/>
      </c>
      <c r="AC574" s="3">
        <f>IF(OR(AF574=1,AND(AA574&gt;0,AB574&gt;=Controls!$B$23*AA574)),1,0)</f>
        <v/>
      </c>
      <c r="AD574" s="3">
        <f>IF(AND(E574&lt;&gt;"",E574&gt;=Controls!$B$21,E574&lt;=Controls!$B$22),1,0)</f>
        <v/>
      </c>
      <c r="AE574" s="3">
        <f>IF(IFERROR(VLOOKUP(D574,Controls!$A$36:$E$46,2,FALSE()),"No")="Yes",1,0)</f>
        <v/>
      </c>
      <c r="AF574" s="3">
        <f>IF(IFERROR(VLOOKUP(D574,Controls!$A$36:$E$46,3,FALSE()),"No")="Yes",1,0)</f>
        <v/>
      </c>
      <c r="AG574" s="3">
        <f>IF(IFERROR(VLOOKUP(D574,Controls!$A$36:$E$46,4,FALSE()),"No")="Yes",1,0)</f>
        <v/>
      </c>
      <c r="AH574" s="3">
        <f>IF(IFERROR(VLOOKUP(D574,Controls!$A$36:$E$46,5,FALSE()),"No")="Yes",1,0)</f>
        <v/>
      </c>
      <c r="AI574" s="3">
        <f>IF(ISNUMBER(MATCH(D574,Controls!$A$36:$A$46,0)),1,0)</f>
        <v/>
      </c>
      <c r="AJ574" s="28">
        <f>Q574-N574</f>
        <v/>
      </c>
      <c r="AK574" s="3">
        <f>IF(AE574=1,MAX(0,N574-Q574),0)</f>
        <v/>
      </c>
      <c r="AL574" s="3">
        <f>IF(OR(V574="",V574=0),0,N574/V574)</f>
        <v/>
      </c>
      <c r="AM574" s="3">
        <f>IF(OR(V574="",V574=0),0,1)</f>
        <v/>
      </c>
      <c r="AN574" s="3">
        <f>IF(OR(E574="",F574=""),0,NETWORKDAYS(E574,F574,Ref!$K$2:$K$42))</f>
        <v/>
      </c>
      <c r="AO574" s="3">
        <f>IF(L574="Renewal",1,0)</f>
        <v/>
      </c>
      <c r="AP574" s="3">
        <f>AC574*AD574</f>
        <v/>
      </c>
      <c r="AQ574" s="3">
        <f>IF(AND(G574&lt;&gt;"",'Historical Score'!$C$6&lt;&gt;""),IF(G574='Historical Score'!$C$6,1,0),0)</f>
        <v/>
      </c>
      <c r="AR574" s="3">
        <f>IF(AND(L574&lt;&gt;"",'Historical Score'!$C$5&lt;&gt;""),IF(L574='Historical Score'!$C$5,1,0),0)</f>
        <v/>
      </c>
      <c r="AS574" s="3">
        <f>IF(AND(Y574&lt;&gt;"",'Historical Score'!$C$7&lt;&gt;""),IF(Y574='Historical Score'!$C$7,1,0),0)</f>
        <v/>
      </c>
      <c r="AT574" s="3">
        <f>IF(AND(K574&lt;&gt;"",'Historical Score'!$C$8&lt;&gt;""),IF(K574='Historical Score'!$C$8,1,0),0)</f>
        <v/>
      </c>
      <c r="AU574" s="3" t="n"/>
      <c r="AV574" s="3" t="n"/>
      <c r="AW574" s="3" t="n"/>
      <c r="AX574" s="3" t="n"/>
      <c r="AY574" s="3" t="n"/>
      <c r="AZ574" s="3" t="n"/>
      <c r="BA574" s="182">
        <f>IF(AD574=1,(AR574*'Historical Score'!$K$29+1-'Historical Score'!$K$29)*(AT574*'Historical Score'!$L$29+1-'Historical Score'!$L$29)*(AS574*'Historical Score'!$M$29+1-'Historical Score'!$M$29)*(AQ574*'Historical Score'!$N$29+1-'Historical Score'!$N$29),0)</f>
        <v/>
      </c>
      <c r="BB574" s="3" t="n"/>
      <c r="BC574" s="3" t="n"/>
    </row>
    <row r="575" ht="15.75" customHeight="1" s="174">
      <c r="A575" s="3" t="inlineStr">
        <is>
          <t>5674177318</t>
        </is>
      </c>
      <c r="B575" s="3" t="inlineStr">
        <is>
          <t>SS Property Rental Management LLC</t>
        </is>
      </c>
      <c r="C575" s="3" t="inlineStr">
        <is>
          <t>SS Property Rental Management LLC</t>
        </is>
      </c>
      <c r="D575" s="3" t="inlineStr">
        <is>
          <t>Open</t>
        </is>
      </c>
      <c r="E575" s="23" t="n">
        <v>46050</v>
      </c>
      <c r="F575" s="23" t="n">
        <v>46253</v>
      </c>
      <c r="G575" s="3" t="n">
        <v>3</v>
      </c>
      <c r="H575" s="3" t="inlineStr">
        <is>
          <t>6531</t>
        </is>
      </c>
      <c r="I575" s="3" t="inlineStr">
        <is>
          <t>65</t>
        </is>
      </c>
      <c r="J575" s="3" t="inlineStr">
        <is>
          <t>TN</t>
        </is>
      </c>
      <c r="K575" s="3" t="inlineStr">
        <is>
          <t>Pathway Catalyst</t>
        </is>
      </c>
      <c r="L575" s="3" t="inlineStr">
        <is>
          <t>New Deal</t>
        </is>
      </c>
      <c r="M575" s="3" t="n">
        <v>1.49</v>
      </c>
      <c r="N575" s="28" t="n">
        <v>30000</v>
      </c>
      <c r="O575" s="28" t="n">
        <v>4200</v>
      </c>
      <c r="P575" s="28" t="n">
        <v>44700</v>
      </c>
      <c r="Q575" s="28" t="n">
        <v>28163.52</v>
      </c>
      <c r="R575" s="28" t="n">
        <v>16536.48</v>
      </c>
      <c r="S575" s="42" t="n">
        <v>0.630056375838926</v>
      </c>
      <c r="T575" s="3" t="n">
        <v>3.279</v>
      </c>
      <c r="U575" s="3" t="n">
        <v>25</v>
      </c>
      <c r="V575" s="3" t="n">
        <v>123524.26</v>
      </c>
      <c r="W575" s="42" t="n">
        <v>0.076</v>
      </c>
      <c r="X575" s="23" t="n">
        <v>45236</v>
      </c>
      <c r="Y575" s="3">
        <f>IF(I575="","No SIC",IFERROR(VLOOKUP(I575,Ref!$A$2:$B$65,2,FALSE()),"Unclassified"))</f>
        <v/>
      </c>
      <c r="Z575" s="3">
        <f>IF(T575="","",IF(T575&lt;12,"Daily","Weekly"))</f>
        <v/>
      </c>
      <c r="AA575" s="3">
        <f>IF(T575="",0,IF(T575&lt;12,T575*Controls!$B$13,T575*5))</f>
        <v/>
      </c>
      <c r="AB575" s="3">
        <f>IF(E575="",0,NETWORKDAYS(E575,Controls!$B$20,Ref!$K$2:$K$42))</f>
        <v/>
      </c>
      <c r="AC575" s="3">
        <f>IF(OR(AF575=1,AND(AA575&gt;0,AB575&gt;=Controls!$B$23*AA575)),1,0)</f>
        <v/>
      </c>
      <c r="AD575" s="3">
        <f>IF(AND(E575&lt;&gt;"",E575&gt;=Controls!$B$21,E575&lt;=Controls!$B$22),1,0)</f>
        <v/>
      </c>
      <c r="AE575" s="3">
        <f>IF(IFERROR(VLOOKUP(D575,Controls!$A$36:$E$46,2,FALSE()),"No")="Yes",1,0)</f>
        <v/>
      </c>
      <c r="AF575" s="3">
        <f>IF(IFERROR(VLOOKUP(D575,Controls!$A$36:$E$46,3,FALSE()),"No")="Yes",1,0)</f>
        <v/>
      </c>
      <c r="AG575" s="3">
        <f>IF(IFERROR(VLOOKUP(D575,Controls!$A$36:$E$46,4,FALSE()),"No")="Yes",1,0)</f>
        <v/>
      </c>
      <c r="AH575" s="3">
        <f>IF(IFERROR(VLOOKUP(D575,Controls!$A$36:$E$46,5,FALSE()),"No")="Yes",1,0)</f>
        <v/>
      </c>
      <c r="AI575" s="3">
        <f>IF(ISNUMBER(MATCH(D575,Controls!$A$36:$A$46,0)),1,0)</f>
        <v/>
      </c>
      <c r="AJ575" s="28">
        <f>Q575-N575</f>
        <v/>
      </c>
      <c r="AK575" s="3">
        <f>IF(AE575=1,MAX(0,N575-Q575),0)</f>
        <v/>
      </c>
      <c r="AL575" s="3">
        <f>IF(OR(V575="",V575=0),0,N575/V575)</f>
        <v/>
      </c>
      <c r="AM575" s="3">
        <f>IF(OR(V575="",V575=0),0,1)</f>
        <v/>
      </c>
      <c r="AN575" s="3">
        <f>IF(OR(E575="",F575=""),0,NETWORKDAYS(E575,F575,Ref!$K$2:$K$42))</f>
        <v/>
      </c>
      <c r="AO575" s="3">
        <f>IF(L575="Renewal",1,0)</f>
        <v/>
      </c>
      <c r="AP575" s="3">
        <f>AC575*AD575</f>
        <v/>
      </c>
      <c r="AQ575" s="3">
        <f>IF(AND(G575&lt;&gt;"",'Historical Score'!$C$6&lt;&gt;""),IF(G575='Historical Score'!$C$6,1,0),0)</f>
        <v/>
      </c>
      <c r="AR575" s="3">
        <f>IF(AND(L575&lt;&gt;"",'Historical Score'!$C$5&lt;&gt;""),IF(L575='Historical Score'!$C$5,1,0),0)</f>
        <v/>
      </c>
      <c r="AS575" s="3">
        <f>IF(AND(Y575&lt;&gt;"",'Historical Score'!$C$7&lt;&gt;""),IF(Y575='Historical Score'!$C$7,1,0),0)</f>
        <v/>
      </c>
      <c r="AT575" s="3">
        <f>IF(AND(K575&lt;&gt;"",'Historical Score'!$C$8&lt;&gt;""),IF(K575='Historical Score'!$C$8,1,0),0)</f>
        <v/>
      </c>
      <c r="AU575" s="3" t="n"/>
      <c r="AV575" s="3" t="n"/>
      <c r="AW575" s="3" t="n"/>
      <c r="AX575" s="3" t="n"/>
      <c r="AY575" s="3" t="n"/>
      <c r="AZ575" s="3" t="n"/>
      <c r="BA575" s="182">
        <f>IF(AD575=1,(AR575*'Historical Score'!$K$29+1-'Historical Score'!$K$29)*(AT575*'Historical Score'!$L$29+1-'Historical Score'!$L$29)*(AS575*'Historical Score'!$M$29+1-'Historical Score'!$M$29)*(AQ575*'Historical Score'!$N$29+1-'Historical Score'!$N$29),0)</f>
        <v/>
      </c>
      <c r="BB575" s="3" t="n"/>
      <c r="BC575" s="3" t="n"/>
    </row>
    <row r="576" ht="15.75" customHeight="1" s="174">
      <c r="A576" s="3" t="inlineStr">
        <is>
          <t>5674177342</t>
        </is>
      </c>
      <c r="B576" s="3" t="inlineStr">
        <is>
          <t>BCD ACADEMY</t>
        </is>
      </c>
      <c r="C576" s="3" t="inlineStr">
        <is>
          <t>B.C.D ACADEMY LLC</t>
        </is>
      </c>
      <c r="D576" s="3" t="inlineStr">
        <is>
          <t>Lowered Payments</t>
        </is>
      </c>
      <c r="E576" s="23" t="n">
        <v>46050</v>
      </c>
      <c r="F576" s="23" t="n">
        <v>46253</v>
      </c>
      <c r="G576" s="3" t="n">
        <v>2</v>
      </c>
      <c r="H576" s="3" t="inlineStr">
        <is>
          <t>8741</t>
        </is>
      </c>
      <c r="I576" s="3" t="inlineStr">
        <is>
          <t>87</t>
        </is>
      </c>
      <c r="J576" s="3" t="inlineStr">
        <is>
          <t>CA</t>
        </is>
      </c>
      <c r="K576" s="3" t="inlineStr">
        <is>
          <t>Fundwell</t>
        </is>
      </c>
      <c r="L576" s="3" t="inlineStr">
        <is>
          <t>Renewal</t>
        </is>
      </c>
      <c r="M576" s="3" t="n">
        <v>1.4</v>
      </c>
      <c r="N576" s="28" t="n">
        <v>30000</v>
      </c>
      <c r="O576" s="28" t="n">
        <v>4200</v>
      </c>
      <c r="P576" s="28" t="n">
        <v>42000</v>
      </c>
      <c r="Q576" s="28" t="n">
        <v>35154.29</v>
      </c>
      <c r="R576" s="28" t="n">
        <v>6845.71</v>
      </c>
      <c r="S576" s="42" t="n">
        <v>0.837006904761905</v>
      </c>
      <c r="T576" s="3" t="n">
        <v>28</v>
      </c>
      <c r="U576" s="3" t="n">
        <v>0</v>
      </c>
      <c r="V576" s="3" t="n">
        <v>59991.65</v>
      </c>
      <c r="W576" s="42" t="n">
        <v>0.1606</v>
      </c>
      <c r="X576" s="23" t="n">
        <v>45170</v>
      </c>
      <c r="Y576" s="3">
        <f>IF(I576="","No SIC",IFERROR(VLOOKUP(I576,Ref!$A$2:$B$65,2,FALSE()),"Unclassified"))</f>
        <v/>
      </c>
      <c r="Z576" s="3">
        <f>IF(T576="","",IF(T576&lt;12,"Daily","Weekly"))</f>
        <v/>
      </c>
      <c r="AA576" s="3">
        <f>IF(T576="",0,IF(T576&lt;12,T576*Controls!$B$13,T576*5))</f>
        <v/>
      </c>
      <c r="AB576" s="3">
        <f>IF(E576="",0,NETWORKDAYS(E576,Controls!$B$20,Ref!$K$2:$K$42))</f>
        <v/>
      </c>
      <c r="AC576" s="3">
        <f>IF(OR(AF576=1,AND(AA576&gt;0,AB576&gt;=Controls!$B$23*AA576)),1,0)</f>
        <v/>
      </c>
      <c r="AD576" s="3">
        <f>IF(AND(E576&lt;&gt;"",E576&gt;=Controls!$B$21,E576&lt;=Controls!$B$22),1,0)</f>
        <v/>
      </c>
      <c r="AE576" s="3">
        <f>IF(IFERROR(VLOOKUP(D576,Controls!$A$36:$E$46,2,FALSE()),"No")="Yes",1,0)</f>
        <v/>
      </c>
      <c r="AF576" s="3">
        <f>IF(IFERROR(VLOOKUP(D576,Controls!$A$36:$E$46,3,FALSE()),"No")="Yes",1,0)</f>
        <v/>
      </c>
      <c r="AG576" s="3">
        <f>IF(IFERROR(VLOOKUP(D576,Controls!$A$36:$E$46,4,FALSE()),"No")="Yes",1,0)</f>
        <v/>
      </c>
      <c r="AH576" s="3">
        <f>IF(IFERROR(VLOOKUP(D576,Controls!$A$36:$E$46,5,FALSE()),"No")="Yes",1,0)</f>
        <v/>
      </c>
      <c r="AI576" s="3">
        <f>IF(ISNUMBER(MATCH(D576,Controls!$A$36:$A$46,0)),1,0)</f>
        <v/>
      </c>
      <c r="AJ576" s="28">
        <f>Q576-N576</f>
        <v/>
      </c>
      <c r="AK576" s="3">
        <f>IF(AE576=1,MAX(0,N576-Q576),0)</f>
        <v/>
      </c>
      <c r="AL576" s="3">
        <f>IF(OR(V576="",V576=0),0,N576/V576)</f>
        <v/>
      </c>
      <c r="AM576" s="3">
        <f>IF(OR(V576="",V576=0),0,1)</f>
        <v/>
      </c>
      <c r="AN576" s="3">
        <f>IF(OR(E576="",F576=""),0,NETWORKDAYS(E576,F576,Ref!$K$2:$K$42))</f>
        <v/>
      </c>
      <c r="AO576" s="3">
        <f>IF(L576="Renewal",1,0)</f>
        <v/>
      </c>
      <c r="AP576" s="3">
        <f>AC576*AD576</f>
        <v/>
      </c>
      <c r="AQ576" s="3">
        <f>IF(AND(G576&lt;&gt;"",'Historical Score'!$C$6&lt;&gt;""),IF(G576='Historical Score'!$C$6,1,0),0)</f>
        <v/>
      </c>
      <c r="AR576" s="3">
        <f>IF(AND(L576&lt;&gt;"",'Historical Score'!$C$5&lt;&gt;""),IF(L576='Historical Score'!$C$5,1,0),0)</f>
        <v/>
      </c>
      <c r="AS576" s="3">
        <f>IF(AND(Y576&lt;&gt;"",'Historical Score'!$C$7&lt;&gt;""),IF(Y576='Historical Score'!$C$7,1,0),0)</f>
        <v/>
      </c>
      <c r="AT576" s="3">
        <f>IF(AND(K576&lt;&gt;"",'Historical Score'!$C$8&lt;&gt;""),IF(K576='Historical Score'!$C$8,1,0),0)</f>
        <v/>
      </c>
      <c r="AU576" s="3" t="n"/>
      <c r="AV576" s="3" t="n"/>
      <c r="AW576" s="3" t="n"/>
      <c r="AX576" s="3" t="n"/>
      <c r="AY576" s="3" t="n"/>
      <c r="AZ576" s="3" t="n"/>
      <c r="BA576" s="182">
        <f>IF(AD576=1,(AR576*'Historical Score'!$K$29+1-'Historical Score'!$K$29)*(AT576*'Historical Score'!$L$29+1-'Historical Score'!$L$29)*(AS576*'Historical Score'!$M$29+1-'Historical Score'!$M$29)*(AQ576*'Historical Score'!$N$29+1-'Historical Score'!$N$29),0)</f>
        <v/>
      </c>
      <c r="BB576" s="3" t="n"/>
      <c r="BC576" s="3" t="n"/>
    </row>
    <row r="577" ht="15.75" customHeight="1" s="174">
      <c r="A577" s="3" t="inlineStr">
        <is>
          <t>5674177343</t>
        </is>
      </c>
      <c r="B577" s="3" t="inlineStr">
        <is>
          <t>Homebase</t>
        </is>
      </c>
      <c r="C577" s="3" t="inlineStr">
        <is>
          <t>HOMEBASE DC LLC</t>
        </is>
      </c>
      <c r="D577" s="3" t="inlineStr">
        <is>
          <t>Written-Off</t>
        </is>
      </c>
      <c r="E577" s="23" t="n">
        <v>46050</v>
      </c>
      <c r="F577" s="23" t="n">
        <v>46125</v>
      </c>
      <c r="G577" s="3" t="n">
        <v>3</v>
      </c>
      <c r="H577" s="3" t="inlineStr">
        <is>
          <t>8699</t>
        </is>
      </c>
      <c r="I577" s="3" t="inlineStr">
        <is>
          <t>86</t>
        </is>
      </c>
      <c r="J577" s="3" t="inlineStr">
        <is>
          <t>DC</t>
        </is>
      </c>
      <c r="K577" s="3" t="inlineStr">
        <is>
          <t>ROYAL FUNDING GROUP</t>
        </is>
      </c>
      <c r="L577" s="3" t="inlineStr">
        <is>
          <t>New Deal</t>
        </is>
      </c>
      <c r="M577" s="3" t="n">
        <v>1.4</v>
      </c>
      <c r="N577" s="28" t="n">
        <v>30000</v>
      </c>
      <c r="O577" s="28" t="n">
        <v>0</v>
      </c>
      <c r="P577" s="28" t="n">
        <v>42000</v>
      </c>
      <c r="Q577" s="28" t="n">
        <v>988.62</v>
      </c>
      <c r="R577" s="28" t="n">
        <v>41011.38</v>
      </c>
      <c r="S577" s="42" t="n">
        <v>0.0235385714285714</v>
      </c>
      <c r="T577" s="3" t="n">
        <v>2.787</v>
      </c>
      <c r="U577" s="3" t="n">
        <v>46</v>
      </c>
      <c r="V577" s="3" t="n">
        <v>174168.83</v>
      </c>
      <c r="W577" s="42" t="n">
        <v>0.0596</v>
      </c>
      <c r="X577" s="23" t="n">
        <v>44348</v>
      </c>
      <c r="Y577" s="3">
        <f>IF(I577="","No SIC",IFERROR(VLOOKUP(I577,Ref!$A$2:$B$65,2,FALSE()),"Unclassified"))</f>
        <v/>
      </c>
      <c r="Z577" s="3">
        <f>IF(T577="","",IF(T577&lt;12,"Daily","Weekly"))</f>
        <v/>
      </c>
      <c r="AA577" s="3">
        <f>IF(T577="",0,IF(T577&lt;12,T577*Controls!$B$13,T577*5))</f>
        <v/>
      </c>
      <c r="AB577" s="3">
        <f>IF(E577="",0,NETWORKDAYS(E577,Controls!$B$20,Ref!$K$2:$K$42))</f>
        <v/>
      </c>
      <c r="AC577" s="3">
        <f>IF(OR(AF577=1,AND(AA577&gt;0,AB577&gt;=Controls!$B$23*AA577)),1,0)</f>
        <v/>
      </c>
      <c r="AD577" s="3">
        <f>IF(AND(E577&lt;&gt;"",E577&gt;=Controls!$B$21,E577&lt;=Controls!$B$22),1,0)</f>
        <v/>
      </c>
      <c r="AE577" s="3">
        <f>IF(IFERROR(VLOOKUP(D577,Controls!$A$36:$E$46,2,FALSE()),"No")="Yes",1,0)</f>
        <v/>
      </c>
      <c r="AF577" s="3">
        <f>IF(IFERROR(VLOOKUP(D577,Controls!$A$36:$E$46,3,FALSE()),"No")="Yes",1,0)</f>
        <v/>
      </c>
      <c r="AG577" s="3">
        <f>IF(IFERROR(VLOOKUP(D577,Controls!$A$36:$E$46,4,FALSE()),"No")="Yes",1,0)</f>
        <v/>
      </c>
      <c r="AH577" s="3">
        <f>IF(IFERROR(VLOOKUP(D577,Controls!$A$36:$E$46,5,FALSE()),"No")="Yes",1,0)</f>
        <v/>
      </c>
      <c r="AI577" s="3">
        <f>IF(ISNUMBER(MATCH(D577,Controls!$A$36:$A$46,0)),1,0)</f>
        <v/>
      </c>
      <c r="AJ577" s="28">
        <f>Q577-N577</f>
        <v/>
      </c>
      <c r="AK577" s="3">
        <f>IF(AE577=1,MAX(0,N577-Q577),0)</f>
        <v/>
      </c>
      <c r="AL577" s="3">
        <f>IF(OR(V577="",V577=0),0,N577/V577)</f>
        <v/>
      </c>
      <c r="AM577" s="3">
        <f>IF(OR(V577="",V577=0),0,1)</f>
        <v/>
      </c>
      <c r="AN577" s="3">
        <f>IF(OR(E577="",F577=""),0,NETWORKDAYS(E577,F577,Ref!$K$2:$K$42))</f>
        <v/>
      </c>
      <c r="AO577" s="3">
        <f>IF(L577="Renewal",1,0)</f>
        <v/>
      </c>
      <c r="AP577" s="3">
        <f>AC577*AD577</f>
        <v/>
      </c>
      <c r="AQ577" s="3">
        <f>IF(AND(G577&lt;&gt;"",'Historical Score'!$C$6&lt;&gt;""),IF(G577='Historical Score'!$C$6,1,0),0)</f>
        <v/>
      </c>
      <c r="AR577" s="3">
        <f>IF(AND(L577&lt;&gt;"",'Historical Score'!$C$5&lt;&gt;""),IF(L577='Historical Score'!$C$5,1,0),0)</f>
        <v/>
      </c>
      <c r="AS577" s="3">
        <f>IF(AND(Y577&lt;&gt;"",'Historical Score'!$C$7&lt;&gt;""),IF(Y577='Historical Score'!$C$7,1,0),0)</f>
        <v/>
      </c>
      <c r="AT577" s="3">
        <f>IF(AND(K577&lt;&gt;"",'Historical Score'!$C$8&lt;&gt;""),IF(K577='Historical Score'!$C$8,1,0),0)</f>
        <v/>
      </c>
      <c r="AU577" s="3" t="n"/>
      <c r="AV577" s="3" t="n"/>
      <c r="AW577" s="3" t="n"/>
      <c r="AX577" s="3" t="n"/>
      <c r="AY577" s="3" t="n"/>
      <c r="AZ577" s="3" t="n"/>
      <c r="BA577" s="182">
        <f>IF(AD577=1,(AR577*'Historical Score'!$K$29+1-'Historical Score'!$K$29)*(AT577*'Historical Score'!$L$29+1-'Historical Score'!$L$29)*(AS577*'Historical Score'!$M$29+1-'Historical Score'!$M$29)*(AQ577*'Historical Score'!$N$29+1-'Historical Score'!$N$29),0)</f>
        <v/>
      </c>
      <c r="BB577" s="3" t="n"/>
      <c r="BC577" s="3" t="n"/>
    </row>
    <row r="578" ht="15.75" customHeight="1" s="174">
      <c r="A578" s="3" t="inlineStr">
        <is>
          <t>5674177367</t>
        </is>
      </c>
      <c r="B578" s="3" t="inlineStr">
        <is>
          <t>HOUSTON CONSULTING GROUP LLC</t>
        </is>
      </c>
      <c r="C578" s="3" t="inlineStr">
        <is>
          <t>HOUSTON CONSULTING GROUP LLC</t>
        </is>
      </c>
      <c r="D578" s="3" t="inlineStr">
        <is>
          <t>Lowered Payments</t>
        </is>
      </c>
      <c r="E578" s="23" t="n">
        <v>46050</v>
      </c>
      <c r="F578" s="23" t="n">
        <v>46248</v>
      </c>
      <c r="G578" s="3" t="n">
        <v>3</v>
      </c>
      <c r="H578" s="3" t="inlineStr">
        <is>
          <t>8748</t>
        </is>
      </c>
      <c r="I578" s="3" t="inlineStr">
        <is>
          <t>87</t>
        </is>
      </c>
      <c r="J578" s="3" t="inlineStr">
        <is>
          <t>GA</t>
        </is>
      </c>
      <c r="K578" s="3" t="inlineStr">
        <is>
          <t>United Secured Capital 8</t>
        </is>
      </c>
      <c r="L578" s="3" t="inlineStr">
        <is>
          <t>New Deal</t>
        </is>
      </c>
      <c r="M578" s="3" t="n">
        <v>1.37</v>
      </c>
      <c r="N578" s="28" t="n">
        <v>30000</v>
      </c>
      <c r="O578" s="28" t="n">
        <v>2400</v>
      </c>
      <c r="P578" s="28" t="n">
        <v>41100</v>
      </c>
      <c r="Q578" s="28" t="n">
        <v>19181.07</v>
      </c>
      <c r="R578" s="28" t="n">
        <v>21918.93</v>
      </c>
      <c r="S578" s="42" t="n">
        <v>0.466692700729927</v>
      </c>
      <c r="T578" s="3" t="n">
        <v>26</v>
      </c>
      <c r="U578" s="3" t="n">
        <v>5</v>
      </c>
      <c r="V578" s="3" t="n">
        <v>120245.69</v>
      </c>
      <c r="W578" s="42" t="n">
        <v>0.0526</v>
      </c>
      <c r="X578" s="23" t="n"/>
      <c r="Y578" s="3">
        <f>IF(I578="","No SIC",IFERROR(VLOOKUP(I578,Ref!$A$2:$B$65,2,FALSE()),"Unclassified"))</f>
        <v/>
      </c>
      <c r="Z578" s="3">
        <f>IF(T578="","",IF(T578&lt;12,"Daily","Weekly"))</f>
        <v/>
      </c>
      <c r="AA578" s="3">
        <f>IF(T578="",0,IF(T578&lt;12,T578*Controls!$B$13,T578*5))</f>
        <v/>
      </c>
      <c r="AB578" s="3">
        <f>IF(E578="",0,NETWORKDAYS(E578,Controls!$B$20,Ref!$K$2:$K$42))</f>
        <v/>
      </c>
      <c r="AC578" s="3">
        <f>IF(OR(AF578=1,AND(AA578&gt;0,AB578&gt;=Controls!$B$23*AA578)),1,0)</f>
        <v/>
      </c>
      <c r="AD578" s="3">
        <f>IF(AND(E578&lt;&gt;"",E578&gt;=Controls!$B$21,E578&lt;=Controls!$B$22),1,0)</f>
        <v/>
      </c>
      <c r="AE578" s="3">
        <f>IF(IFERROR(VLOOKUP(D578,Controls!$A$36:$E$46,2,FALSE()),"No")="Yes",1,0)</f>
        <v/>
      </c>
      <c r="AF578" s="3">
        <f>IF(IFERROR(VLOOKUP(D578,Controls!$A$36:$E$46,3,FALSE()),"No")="Yes",1,0)</f>
        <v/>
      </c>
      <c r="AG578" s="3">
        <f>IF(IFERROR(VLOOKUP(D578,Controls!$A$36:$E$46,4,FALSE()),"No")="Yes",1,0)</f>
        <v/>
      </c>
      <c r="AH578" s="3">
        <f>IF(IFERROR(VLOOKUP(D578,Controls!$A$36:$E$46,5,FALSE()),"No")="Yes",1,0)</f>
        <v/>
      </c>
      <c r="AI578" s="3">
        <f>IF(ISNUMBER(MATCH(D578,Controls!$A$36:$A$46,0)),1,0)</f>
        <v/>
      </c>
      <c r="AJ578" s="28">
        <f>Q578-N578</f>
        <v/>
      </c>
      <c r="AK578" s="3">
        <f>IF(AE578=1,MAX(0,N578-Q578),0)</f>
        <v/>
      </c>
      <c r="AL578" s="3">
        <f>IF(OR(V578="",V578=0),0,N578/V578)</f>
        <v/>
      </c>
      <c r="AM578" s="3">
        <f>IF(OR(V578="",V578=0),0,1)</f>
        <v/>
      </c>
      <c r="AN578" s="3">
        <f>IF(OR(E578="",F578=""),0,NETWORKDAYS(E578,F578,Ref!$K$2:$K$42))</f>
        <v/>
      </c>
      <c r="AO578" s="3">
        <f>IF(L578="Renewal",1,0)</f>
        <v/>
      </c>
      <c r="AP578" s="3">
        <f>AC578*AD578</f>
        <v/>
      </c>
      <c r="AQ578" s="3">
        <f>IF(AND(G578&lt;&gt;"",'Historical Score'!$C$6&lt;&gt;""),IF(G578='Historical Score'!$C$6,1,0),0)</f>
        <v/>
      </c>
      <c r="AR578" s="3">
        <f>IF(AND(L578&lt;&gt;"",'Historical Score'!$C$5&lt;&gt;""),IF(L578='Historical Score'!$C$5,1,0),0)</f>
        <v/>
      </c>
      <c r="AS578" s="3">
        <f>IF(AND(Y578&lt;&gt;"",'Historical Score'!$C$7&lt;&gt;""),IF(Y578='Historical Score'!$C$7,1,0),0)</f>
        <v/>
      </c>
      <c r="AT578" s="3">
        <f>IF(AND(K578&lt;&gt;"",'Historical Score'!$C$8&lt;&gt;""),IF(K578='Historical Score'!$C$8,1,0),0)</f>
        <v/>
      </c>
      <c r="AU578" s="3" t="n"/>
      <c r="AV578" s="3" t="n"/>
      <c r="AW578" s="3" t="n"/>
      <c r="AX578" s="3" t="n"/>
      <c r="AY578" s="3" t="n"/>
      <c r="AZ578" s="3" t="n"/>
      <c r="BA578" s="182">
        <f>IF(AD578=1,(AR578*'Historical Score'!$K$29+1-'Historical Score'!$K$29)*(AT578*'Historical Score'!$L$29+1-'Historical Score'!$L$29)*(AS578*'Historical Score'!$M$29+1-'Historical Score'!$M$29)*(AQ578*'Historical Score'!$N$29+1-'Historical Score'!$N$29),0)</f>
        <v/>
      </c>
      <c r="BB578" s="3" t="n"/>
      <c r="BC578" s="3" t="n"/>
    </row>
    <row r="579" ht="15.75" customHeight="1" s="174">
      <c r="A579" s="3" t="inlineStr">
        <is>
          <t>5674177406</t>
        </is>
      </c>
      <c r="B579" s="3" t="inlineStr">
        <is>
          <t>24 HOURS TOWING AND ROADSIDE LLC</t>
        </is>
      </c>
      <c r="C579" s="3" t="inlineStr">
        <is>
          <t>24 HOURS TOWING AND ROADSIDE LLC</t>
        </is>
      </c>
      <c r="D579" s="3" t="inlineStr">
        <is>
          <t>Open</t>
        </is>
      </c>
      <c r="E579" s="23" t="n">
        <v>46051</v>
      </c>
      <c r="F579" s="23" t="n">
        <v>46253</v>
      </c>
      <c r="G579" s="3" t="n">
        <v>2</v>
      </c>
      <c r="H579" s="3" t="inlineStr">
        <is>
          <t>4499</t>
        </is>
      </c>
      <c r="I579" s="3" t="inlineStr">
        <is>
          <t>44</t>
        </is>
      </c>
      <c r="J579" s="3" t="inlineStr">
        <is>
          <t>GA</t>
        </is>
      </c>
      <c r="K579" s="3" t="inlineStr">
        <is>
          <t>Westwood</t>
        </is>
      </c>
      <c r="L579" s="3" t="inlineStr">
        <is>
          <t>New Deal</t>
        </is>
      </c>
      <c r="M579" s="3" t="n">
        <v>1.49</v>
      </c>
      <c r="N579" s="28" t="n">
        <v>15000</v>
      </c>
      <c r="O579" s="28" t="n">
        <v>2100</v>
      </c>
      <c r="P579" s="28" t="n">
        <v>22350</v>
      </c>
      <c r="Q579" s="28" t="n">
        <v>8678.700000000001</v>
      </c>
      <c r="R579" s="28" t="n">
        <v>13671.3</v>
      </c>
      <c r="S579" s="42" t="n">
        <v>0.388308724832215</v>
      </c>
      <c r="T579" s="3" t="n">
        <v>22</v>
      </c>
      <c r="U579" s="3" t="n">
        <v>56</v>
      </c>
      <c r="V579" s="3" t="n">
        <v>78435.88</v>
      </c>
      <c r="W579" s="42" t="n">
        <v>0.0518</v>
      </c>
      <c r="X579" s="23" t="n">
        <v>45616</v>
      </c>
      <c r="Y579" s="3">
        <f>IF(I579="","No SIC",IFERROR(VLOOKUP(I579,Ref!$A$2:$B$65,2,FALSE()),"Unclassified"))</f>
        <v/>
      </c>
      <c r="Z579" s="3">
        <f>IF(T579="","",IF(T579&lt;12,"Daily","Weekly"))</f>
        <v/>
      </c>
      <c r="AA579" s="3">
        <f>IF(T579="",0,IF(T579&lt;12,T579*Controls!$B$13,T579*5))</f>
        <v/>
      </c>
      <c r="AB579" s="3">
        <f>IF(E579="",0,NETWORKDAYS(E579,Controls!$B$20,Ref!$K$2:$K$42))</f>
        <v/>
      </c>
      <c r="AC579" s="3">
        <f>IF(OR(AF579=1,AND(AA579&gt;0,AB579&gt;=Controls!$B$23*AA579)),1,0)</f>
        <v/>
      </c>
      <c r="AD579" s="3">
        <f>IF(AND(E579&lt;&gt;"",E579&gt;=Controls!$B$21,E579&lt;=Controls!$B$22),1,0)</f>
        <v/>
      </c>
      <c r="AE579" s="3">
        <f>IF(IFERROR(VLOOKUP(D579,Controls!$A$36:$E$46,2,FALSE()),"No")="Yes",1,0)</f>
        <v/>
      </c>
      <c r="AF579" s="3">
        <f>IF(IFERROR(VLOOKUP(D579,Controls!$A$36:$E$46,3,FALSE()),"No")="Yes",1,0)</f>
        <v/>
      </c>
      <c r="AG579" s="3">
        <f>IF(IFERROR(VLOOKUP(D579,Controls!$A$36:$E$46,4,FALSE()),"No")="Yes",1,0)</f>
        <v/>
      </c>
      <c r="AH579" s="3">
        <f>IF(IFERROR(VLOOKUP(D579,Controls!$A$36:$E$46,5,FALSE()),"No")="Yes",1,0)</f>
        <v/>
      </c>
      <c r="AI579" s="3">
        <f>IF(ISNUMBER(MATCH(D579,Controls!$A$36:$A$46,0)),1,0)</f>
        <v/>
      </c>
      <c r="AJ579" s="28">
        <f>Q579-N579</f>
        <v/>
      </c>
      <c r="AK579" s="3">
        <f>IF(AE579=1,MAX(0,N579-Q579),0)</f>
        <v/>
      </c>
      <c r="AL579" s="3">
        <f>IF(OR(V579="",V579=0),0,N579/V579)</f>
        <v/>
      </c>
      <c r="AM579" s="3">
        <f>IF(OR(V579="",V579=0),0,1)</f>
        <v/>
      </c>
      <c r="AN579" s="3">
        <f>IF(OR(E579="",F579=""),0,NETWORKDAYS(E579,F579,Ref!$K$2:$K$42))</f>
        <v/>
      </c>
      <c r="AO579" s="3">
        <f>IF(L579="Renewal",1,0)</f>
        <v/>
      </c>
      <c r="AP579" s="3">
        <f>AC579*AD579</f>
        <v/>
      </c>
      <c r="AQ579" s="3">
        <f>IF(AND(G579&lt;&gt;"",'Historical Score'!$C$6&lt;&gt;""),IF(G579='Historical Score'!$C$6,1,0),0)</f>
        <v/>
      </c>
      <c r="AR579" s="3">
        <f>IF(AND(L579&lt;&gt;"",'Historical Score'!$C$5&lt;&gt;""),IF(L579='Historical Score'!$C$5,1,0),0)</f>
        <v/>
      </c>
      <c r="AS579" s="3">
        <f>IF(AND(Y579&lt;&gt;"",'Historical Score'!$C$7&lt;&gt;""),IF(Y579='Historical Score'!$C$7,1,0),0)</f>
        <v/>
      </c>
      <c r="AT579" s="3">
        <f>IF(AND(K579&lt;&gt;"",'Historical Score'!$C$8&lt;&gt;""),IF(K579='Historical Score'!$C$8,1,0),0)</f>
        <v/>
      </c>
      <c r="AU579" s="3" t="n"/>
      <c r="AV579" s="3" t="n"/>
      <c r="AW579" s="3" t="n"/>
      <c r="AX579" s="3" t="n"/>
      <c r="AY579" s="3" t="n"/>
      <c r="AZ579" s="3" t="n"/>
      <c r="BA579" s="182">
        <f>IF(AD579=1,(AR579*'Historical Score'!$K$29+1-'Historical Score'!$K$29)*(AT579*'Historical Score'!$L$29+1-'Historical Score'!$L$29)*(AS579*'Historical Score'!$M$29+1-'Historical Score'!$M$29)*(AQ579*'Historical Score'!$N$29+1-'Historical Score'!$N$29),0)</f>
        <v/>
      </c>
      <c r="BB579" s="3" t="n"/>
      <c r="BC579" s="3" t="n"/>
    </row>
    <row r="580" ht="15.75" customHeight="1" s="174">
      <c r="A580" s="3" t="inlineStr">
        <is>
          <t>5674177418</t>
        </is>
      </c>
      <c r="B580" s="3" t="inlineStr">
        <is>
          <t>COMFORT ZONE EVOLUTION</t>
        </is>
      </c>
      <c r="C580" s="3" t="inlineStr">
        <is>
          <t>COMFORT ZONE EVOLUTION INC</t>
        </is>
      </c>
      <c r="D580" s="3" t="inlineStr">
        <is>
          <t>Open</t>
        </is>
      </c>
      <c r="E580" s="23" t="n">
        <v>46051</v>
      </c>
      <c r="F580" s="23" t="n">
        <v>46248</v>
      </c>
      <c r="G580" s="3" t="n">
        <v>1</v>
      </c>
      <c r="H580" s="3" t="inlineStr">
        <is>
          <t>5712</t>
        </is>
      </c>
      <c r="I580" s="3" t="inlineStr">
        <is>
          <t>57</t>
        </is>
      </c>
      <c r="J580" s="3" t="inlineStr">
        <is>
          <t>FL</t>
        </is>
      </c>
      <c r="K580" s="3" t="inlineStr">
        <is>
          <t>Fidelity Funding</t>
        </is>
      </c>
      <c r="L580" s="3" t="inlineStr">
        <is>
          <t>New Deal</t>
        </is>
      </c>
      <c r="M580" s="3" t="n">
        <v>1.44</v>
      </c>
      <c r="N580" s="28" t="n">
        <v>15000</v>
      </c>
      <c r="O580" s="28" t="n">
        <v>1725</v>
      </c>
      <c r="P580" s="28" t="n">
        <v>21600</v>
      </c>
      <c r="Q580" s="28" t="n">
        <v>13751.64</v>
      </c>
      <c r="R580" s="28" t="n">
        <v>7848.36</v>
      </c>
      <c r="S580" s="42" t="n">
        <v>0.63665</v>
      </c>
      <c r="T580" s="3" t="n">
        <v>44</v>
      </c>
      <c r="U580" s="3" t="n">
        <v>0</v>
      </c>
      <c r="V580" s="3" t="n">
        <v>31482.51</v>
      </c>
      <c r="W580" s="42" t="n">
        <v>0.0624</v>
      </c>
      <c r="X580" s="23" t="n">
        <v>37773</v>
      </c>
      <c r="Y580" s="3">
        <f>IF(I580="","No SIC",IFERROR(VLOOKUP(I580,Ref!$A$2:$B$65,2,FALSE()),"Unclassified"))</f>
        <v/>
      </c>
      <c r="Z580" s="3">
        <f>IF(T580="","",IF(T580&lt;12,"Daily","Weekly"))</f>
        <v/>
      </c>
      <c r="AA580" s="3">
        <f>IF(T580="",0,IF(T580&lt;12,T580*Controls!$B$13,T580*5))</f>
        <v/>
      </c>
      <c r="AB580" s="3">
        <f>IF(E580="",0,NETWORKDAYS(E580,Controls!$B$20,Ref!$K$2:$K$42))</f>
        <v/>
      </c>
      <c r="AC580" s="3">
        <f>IF(OR(AF580=1,AND(AA580&gt;0,AB580&gt;=Controls!$B$23*AA580)),1,0)</f>
        <v/>
      </c>
      <c r="AD580" s="3">
        <f>IF(AND(E580&lt;&gt;"",E580&gt;=Controls!$B$21,E580&lt;=Controls!$B$22),1,0)</f>
        <v/>
      </c>
      <c r="AE580" s="3">
        <f>IF(IFERROR(VLOOKUP(D580,Controls!$A$36:$E$46,2,FALSE()),"No")="Yes",1,0)</f>
        <v/>
      </c>
      <c r="AF580" s="3">
        <f>IF(IFERROR(VLOOKUP(D580,Controls!$A$36:$E$46,3,FALSE()),"No")="Yes",1,0)</f>
        <v/>
      </c>
      <c r="AG580" s="3">
        <f>IF(IFERROR(VLOOKUP(D580,Controls!$A$36:$E$46,4,FALSE()),"No")="Yes",1,0)</f>
        <v/>
      </c>
      <c r="AH580" s="3">
        <f>IF(IFERROR(VLOOKUP(D580,Controls!$A$36:$E$46,5,FALSE()),"No")="Yes",1,0)</f>
        <v/>
      </c>
      <c r="AI580" s="3">
        <f>IF(ISNUMBER(MATCH(D580,Controls!$A$36:$A$46,0)),1,0)</f>
        <v/>
      </c>
      <c r="AJ580" s="28">
        <f>Q580-N580</f>
        <v/>
      </c>
      <c r="AK580" s="3">
        <f>IF(AE580=1,MAX(0,N580-Q580),0)</f>
        <v/>
      </c>
      <c r="AL580" s="3">
        <f>IF(OR(V580="",V580=0),0,N580/V580)</f>
        <v/>
      </c>
      <c r="AM580" s="3">
        <f>IF(OR(V580="",V580=0),0,1)</f>
        <v/>
      </c>
      <c r="AN580" s="3">
        <f>IF(OR(E580="",F580=""),0,NETWORKDAYS(E580,F580,Ref!$K$2:$K$42))</f>
        <v/>
      </c>
      <c r="AO580" s="3">
        <f>IF(L580="Renewal",1,0)</f>
        <v/>
      </c>
      <c r="AP580" s="3">
        <f>AC580*AD580</f>
        <v/>
      </c>
      <c r="AQ580" s="3">
        <f>IF(AND(G580&lt;&gt;"",'Historical Score'!$C$6&lt;&gt;""),IF(G580='Historical Score'!$C$6,1,0),0)</f>
        <v/>
      </c>
      <c r="AR580" s="3">
        <f>IF(AND(L580&lt;&gt;"",'Historical Score'!$C$5&lt;&gt;""),IF(L580='Historical Score'!$C$5,1,0),0)</f>
        <v/>
      </c>
      <c r="AS580" s="3">
        <f>IF(AND(Y580&lt;&gt;"",'Historical Score'!$C$7&lt;&gt;""),IF(Y580='Historical Score'!$C$7,1,0),0)</f>
        <v/>
      </c>
      <c r="AT580" s="3">
        <f>IF(AND(K580&lt;&gt;"",'Historical Score'!$C$8&lt;&gt;""),IF(K580='Historical Score'!$C$8,1,0),0)</f>
        <v/>
      </c>
      <c r="AU580" s="3" t="n"/>
      <c r="AV580" s="3" t="n"/>
      <c r="AW580" s="3" t="n"/>
      <c r="AX580" s="3" t="n"/>
      <c r="AY580" s="3" t="n"/>
      <c r="AZ580" s="3" t="n"/>
      <c r="BA580" s="182">
        <f>IF(AD580=1,(AR580*'Historical Score'!$K$29+1-'Historical Score'!$K$29)*(AT580*'Historical Score'!$L$29+1-'Historical Score'!$L$29)*(AS580*'Historical Score'!$M$29+1-'Historical Score'!$M$29)*(AQ580*'Historical Score'!$N$29+1-'Historical Score'!$N$29),0)</f>
        <v/>
      </c>
      <c r="BB580" s="3" t="n"/>
      <c r="BC580" s="3" t="n"/>
    </row>
    <row r="581" ht="15.75" customHeight="1" s="174">
      <c r="A581" s="3" t="inlineStr">
        <is>
          <t>5674177420</t>
        </is>
      </c>
      <c r="B581" s="3" t="inlineStr">
        <is>
          <t>CASTROS CARGO EXPRESS LLC</t>
        </is>
      </c>
      <c r="C581" s="3" t="inlineStr">
        <is>
          <t>CASTROS CARGO EXPRESS LLC</t>
        </is>
      </c>
      <c r="D581" s="3" t="inlineStr">
        <is>
          <t>Legal</t>
        </is>
      </c>
      <c r="E581" s="23" t="n">
        <v>46051</v>
      </c>
      <c r="F581" s="23" t="n">
        <v>46121</v>
      </c>
      <c r="G581" s="3" t="n">
        <v>3</v>
      </c>
      <c r="H581" s="3" t="inlineStr">
        <is>
          <t>4212</t>
        </is>
      </c>
      <c r="I581" s="3" t="inlineStr">
        <is>
          <t>42</t>
        </is>
      </c>
      <c r="J581" s="3" t="inlineStr">
        <is>
          <t>NJ</t>
        </is>
      </c>
      <c r="K581" s="3" t="inlineStr">
        <is>
          <t>United Secured Capital 8</t>
        </is>
      </c>
      <c r="L581" s="3" t="inlineStr">
        <is>
          <t>Renewal</t>
        </is>
      </c>
      <c r="M581" s="3" t="n">
        <v>1.49</v>
      </c>
      <c r="N581" s="28" t="n">
        <v>16000</v>
      </c>
      <c r="O581" s="28" t="n">
        <v>2240</v>
      </c>
      <c r="P581" s="28" t="n">
        <v>23840</v>
      </c>
      <c r="Q581" s="28" t="n">
        <v>9281.16</v>
      </c>
      <c r="R581" s="28" t="n">
        <v>14558.84</v>
      </c>
      <c r="S581" s="42" t="n">
        <v>0.389310402684564</v>
      </c>
      <c r="T581" s="3" t="n">
        <v>3.934</v>
      </c>
      <c r="U581" s="3" t="n">
        <v>4</v>
      </c>
      <c r="V581" s="3" t="n">
        <v>8926.51</v>
      </c>
      <c r="W581" s="42" t="n">
        <v>0.4674</v>
      </c>
      <c r="X581" s="23" t="n"/>
      <c r="Y581" s="3">
        <f>IF(I581="","No SIC",IFERROR(VLOOKUP(I581,Ref!$A$2:$B$65,2,FALSE()),"Unclassified"))</f>
        <v/>
      </c>
      <c r="Z581" s="3">
        <f>IF(T581="","",IF(T581&lt;12,"Daily","Weekly"))</f>
        <v/>
      </c>
      <c r="AA581" s="3">
        <f>IF(T581="",0,IF(T581&lt;12,T581*Controls!$B$13,T581*5))</f>
        <v/>
      </c>
      <c r="AB581" s="3">
        <f>IF(E581="",0,NETWORKDAYS(E581,Controls!$B$20,Ref!$K$2:$K$42))</f>
        <v/>
      </c>
      <c r="AC581" s="3">
        <f>IF(OR(AF581=1,AND(AA581&gt;0,AB581&gt;=Controls!$B$23*AA581)),1,0)</f>
        <v/>
      </c>
      <c r="AD581" s="3">
        <f>IF(AND(E581&lt;&gt;"",E581&gt;=Controls!$B$21,E581&lt;=Controls!$B$22),1,0)</f>
        <v/>
      </c>
      <c r="AE581" s="3">
        <f>IF(IFERROR(VLOOKUP(D581,Controls!$A$36:$E$46,2,FALSE()),"No")="Yes",1,0)</f>
        <v/>
      </c>
      <c r="AF581" s="3">
        <f>IF(IFERROR(VLOOKUP(D581,Controls!$A$36:$E$46,3,FALSE()),"No")="Yes",1,0)</f>
        <v/>
      </c>
      <c r="AG581" s="3">
        <f>IF(IFERROR(VLOOKUP(D581,Controls!$A$36:$E$46,4,FALSE()),"No")="Yes",1,0)</f>
        <v/>
      </c>
      <c r="AH581" s="3">
        <f>IF(IFERROR(VLOOKUP(D581,Controls!$A$36:$E$46,5,FALSE()),"No")="Yes",1,0)</f>
        <v/>
      </c>
      <c r="AI581" s="3">
        <f>IF(ISNUMBER(MATCH(D581,Controls!$A$36:$A$46,0)),1,0)</f>
        <v/>
      </c>
      <c r="AJ581" s="28">
        <f>Q581-N581</f>
        <v/>
      </c>
      <c r="AK581" s="3">
        <f>IF(AE581=1,MAX(0,N581-Q581),0)</f>
        <v/>
      </c>
      <c r="AL581" s="3">
        <f>IF(OR(V581="",V581=0),0,N581/V581)</f>
        <v/>
      </c>
      <c r="AM581" s="3">
        <f>IF(OR(V581="",V581=0),0,1)</f>
        <v/>
      </c>
      <c r="AN581" s="3">
        <f>IF(OR(E581="",F581=""),0,NETWORKDAYS(E581,F581,Ref!$K$2:$K$42))</f>
        <v/>
      </c>
      <c r="AO581" s="3">
        <f>IF(L581="Renewal",1,0)</f>
        <v/>
      </c>
      <c r="AP581" s="3">
        <f>AC581*AD581</f>
        <v/>
      </c>
      <c r="AQ581" s="3">
        <f>IF(AND(G581&lt;&gt;"",'Historical Score'!$C$6&lt;&gt;""),IF(G581='Historical Score'!$C$6,1,0),0)</f>
        <v/>
      </c>
      <c r="AR581" s="3">
        <f>IF(AND(L581&lt;&gt;"",'Historical Score'!$C$5&lt;&gt;""),IF(L581='Historical Score'!$C$5,1,0),0)</f>
        <v/>
      </c>
      <c r="AS581" s="3">
        <f>IF(AND(Y581&lt;&gt;"",'Historical Score'!$C$7&lt;&gt;""),IF(Y581='Historical Score'!$C$7,1,0),0)</f>
        <v/>
      </c>
      <c r="AT581" s="3">
        <f>IF(AND(K581&lt;&gt;"",'Historical Score'!$C$8&lt;&gt;""),IF(K581='Historical Score'!$C$8,1,0),0)</f>
        <v/>
      </c>
      <c r="AU581" s="3" t="n"/>
      <c r="AV581" s="3" t="n"/>
      <c r="AW581" s="3" t="n"/>
      <c r="AX581" s="3" t="n"/>
      <c r="AY581" s="3" t="n"/>
      <c r="AZ581" s="3" t="n"/>
      <c r="BA581" s="182">
        <f>IF(AD581=1,(AR581*'Historical Score'!$K$29+1-'Historical Score'!$K$29)*(AT581*'Historical Score'!$L$29+1-'Historical Score'!$L$29)*(AS581*'Historical Score'!$M$29+1-'Historical Score'!$M$29)*(AQ581*'Historical Score'!$N$29+1-'Historical Score'!$N$29),0)</f>
        <v/>
      </c>
      <c r="BB581" s="3" t="n"/>
      <c r="BC581" s="3" t="n"/>
    </row>
    <row r="582" ht="15.75" customHeight="1" s="174">
      <c r="A582" s="3" t="inlineStr">
        <is>
          <t>5674177428</t>
        </is>
      </c>
      <c r="B582" s="3" t="inlineStr">
        <is>
          <t>THE HOUSE OF JIREH MINISTRIES</t>
        </is>
      </c>
      <c r="C582" s="3" t="inlineStr">
        <is>
          <t>THE HOUSE OF JIREH MINISTRIES, INC.</t>
        </is>
      </c>
      <c r="D582" s="3" t="inlineStr">
        <is>
          <t>Legal</t>
        </is>
      </c>
      <c r="E582" s="23" t="n">
        <v>46051</v>
      </c>
      <c r="F582" s="23" t="n">
        <v>46237</v>
      </c>
      <c r="G582" s="3" t="n">
        <v>3</v>
      </c>
      <c r="H582" s="3" t="inlineStr">
        <is>
          <t>8661</t>
        </is>
      </c>
      <c r="I582" s="3" t="inlineStr">
        <is>
          <t>86</t>
        </is>
      </c>
      <c r="J582" s="3" t="inlineStr">
        <is>
          <t>NH</t>
        </is>
      </c>
      <c r="K582" s="3" t="inlineStr">
        <is>
          <t>United Secured Capital 8</t>
        </is>
      </c>
      <c r="L582" s="3" t="inlineStr">
        <is>
          <t>Renewal</t>
        </is>
      </c>
      <c r="M582" s="3" t="n">
        <v>1.49</v>
      </c>
      <c r="N582" s="28" t="n">
        <v>24000</v>
      </c>
      <c r="O582" s="28" t="n">
        <v>3360</v>
      </c>
      <c r="P582" s="28" t="n">
        <v>35760</v>
      </c>
      <c r="Q582" s="28" t="n">
        <v>17908.63</v>
      </c>
      <c r="R582" s="28" t="n">
        <v>17851.37</v>
      </c>
      <c r="S582" s="42" t="n">
        <v>0.5008006152125281</v>
      </c>
      <c r="T582" s="3" t="n">
        <v>3.934</v>
      </c>
      <c r="U582" s="3" t="n">
        <v>12</v>
      </c>
      <c r="V582" s="3" t="n">
        <v>57074.76</v>
      </c>
      <c r="W582" s="42" t="n">
        <v>0.1096</v>
      </c>
      <c r="X582" s="23" t="n"/>
      <c r="Y582" s="3">
        <f>IF(I582="","No SIC",IFERROR(VLOOKUP(I582,Ref!$A$2:$B$65,2,FALSE()),"Unclassified"))</f>
        <v/>
      </c>
      <c r="Z582" s="3">
        <f>IF(T582="","",IF(T582&lt;12,"Daily","Weekly"))</f>
        <v/>
      </c>
      <c r="AA582" s="3">
        <f>IF(T582="",0,IF(T582&lt;12,T582*Controls!$B$13,T582*5))</f>
        <v/>
      </c>
      <c r="AB582" s="3">
        <f>IF(E582="",0,NETWORKDAYS(E582,Controls!$B$20,Ref!$K$2:$K$42))</f>
        <v/>
      </c>
      <c r="AC582" s="3">
        <f>IF(OR(AF582=1,AND(AA582&gt;0,AB582&gt;=Controls!$B$23*AA582)),1,0)</f>
        <v/>
      </c>
      <c r="AD582" s="3">
        <f>IF(AND(E582&lt;&gt;"",E582&gt;=Controls!$B$21,E582&lt;=Controls!$B$22),1,0)</f>
        <v/>
      </c>
      <c r="AE582" s="3">
        <f>IF(IFERROR(VLOOKUP(D582,Controls!$A$36:$E$46,2,FALSE()),"No")="Yes",1,0)</f>
        <v/>
      </c>
      <c r="AF582" s="3">
        <f>IF(IFERROR(VLOOKUP(D582,Controls!$A$36:$E$46,3,FALSE()),"No")="Yes",1,0)</f>
        <v/>
      </c>
      <c r="AG582" s="3">
        <f>IF(IFERROR(VLOOKUP(D582,Controls!$A$36:$E$46,4,FALSE()),"No")="Yes",1,0)</f>
        <v/>
      </c>
      <c r="AH582" s="3">
        <f>IF(IFERROR(VLOOKUP(D582,Controls!$A$36:$E$46,5,FALSE()),"No")="Yes",1,0)</f>
        <v/>
      </c>
      <c r="AI582" s="3">
        <f>IF(ISNUMBER(MATCH(D582,Controls!$A$36:$A$46,0)),1,0)</f>
        <v/>
      </c>
      <c r="AJ582" s="28">
        <f>Q582-N582</f>
        <v/>
      </c>
      <c r="AK582" s="3">
        <f>IF(AE582=1,MAX(0,N582-Q582),0)</f>
        <v/>
      </c>
      <c r="AL582" s="3">
        <f>IF(OR(V582="",V582=0),0,N582/V582)</f>
        <v/>
      </c>
      <c r="AM582" s="3">
        <f>IF(OR(V582="",V582=0),0,1)</f>
        <v/>
      </c>
      <c r="AN582" s="3">
        <f>IF(OR(E582="",F582=""),0,NETWORKDAYS(E582,F582,Ref!$K$2:$K$42))</f>
        <v/>
      </c>
      <c r="AO582" s="3">
        <f>IF(L582="Renewal",1,0)</f>
        <v/>
      </c>
      <c r="AP582" s="3">
        <f>AC582*AD582</f>
        <v/>
      </c>
      <c r="AQ582" s="3">
        <f>IF(AND(G582&lt;&gt;"",'Historical Score'!$C$6&lt;&gt;""),IF(G582='Historical Score'!$C$6,1,0),0)</f>
        <v/>
      </c>
      <c r="AR582" s="3">
        <f>IF(AND(L582&lt;&gt;"",'Historical Score'!$C$5&lt;&gt;""),IF(L582='Historical Score'!$C$5,1,0),0)</f>
        <v/>
      </c>
      <c r="AS582" s="3">
        <f>IF(AND(Y582&lt;&gt;"",'Historical Score'!$C$7&lt;&gt;""),IF(Y582='Historical Score'!$C$7,1,0),0)</f>
        <v/>
      </c>
      <c r="AT582" s="3">
        <f>IF(AND(K582&lt;&gt;"",'Historical Score'!$C$8&lt;&gt;""),IF(K582='Historical Score'!$C$8,1,0),0)</f>
        <v/>
      </c>
      <c r="AU582" s="3" t="n"/>
      <c r="AV582" s="3" t="n"/>
      <c r="AW582" s="3" t="n"/>
      <c r="AX582" s="3" t="n"/>
      <c r="AY582" s="3" t="n"/>
      <c r="AZ582" s="3" t="n"/>
      <c r="BA582" s="182">
        <f>IF(AD582=1,(AR582*'Historical Score'!$K$29+1-'Historical Score'!$K$29)*(AT582*'Historical Score'!$L$29+1-'Historical Score'!$L$29)*(AS582*'Historical Score'!$M$29+1-'Historical Score'!$M$29)*(AQ582*'Historical Score'!$N$29+1-'Historical Score'!$N$29),0)</f>
        <v/>
      </c>
      <c r="BB582" s="3" t="n"/>
      <c r="BC582" s="3" t="n"/>
    </row>
    <row r="583" ht="15.75" customHeight="1" s="174">
      <c r="A583" s="3" t="inlineStr">
        <is>
          <t>5674177451</t>
        </is>
      </c>
      <c r="B583" s="3" t="inlineStr">
        <is>
          <t>JF3 HOLDINGS LLC</t>
        </is>
      </c>
      <c r="C583" s="3" t="inlineStr">
        <is>
          <t>JF3 HOLDINGS LLC</t>
        </is>
      </c>
      <c r="D583" s="3" t="inlineStr">
        <is>
          <t>Legal</t>
        </is>
      </c>
      <c r="E583" s="23" t="n">
        <v>46051</v>
      </c>
      <c r="F583" s="23" t="n">
        <v>46126</v>
      </c>
      <c r="G583" s="3" t="n">
        <v>3</v>
      </c>
      <c r="H583" s="3" t="inlineStr">
        <is>
          <t>5399</t>
        </is>
      </c>
      <c r="I583" s="3" t="inlineStr">
        <is>
          <t>53</t>
        </is>
      </c>
      <c r="J583" s="3" t="inlineStr">
        <is>
          <t>OH</t>
        </is>
      </c>
      <c r="K583" s="3" t="inlineStr">
        <is>
          <t>United Secured Capital 8</t>
        </is>
      </c>
      <c r="L583" s="3" t="inlineStr">
        <is>
          <t>New Deal</t>
        </is>
      </c>
      <c r="M583" s="3" t="n">
        <v>1.49</v>
      </c>
      <c r="N583" s="28" t="n">
        <v>8000</v>
      </c>
      <c r="O583" s="28" t="n">
        <v>0</v>
      </c>
      <c r="P583" s="28" t="n">
        <v>11920</v>
      </c>
      <c r="Q583" s="28" t="n">
        <v>2583.1</v>
      </c>
      <c r="R583" s="28" t="n">
        <v>9336.9</v>
      </c>
      <c r="S583" s="42" t="n">
        <v>0.216703020134228</v>
      </c>
      <c r="T583" s="3" t="n">
        <v>1.967</v>
      </c>
      <c r="U583" s="3" t="n">
        <v>37</v>
      </c>
      <c r="V583" s="3" t="n">
        <v>26851.08</v>
      </c>
      <c r="W583" s="42" t="n">
        <v>0.1554</v>
      </c>
      <c r="X583" s="23" t="n"/>
      <c r="Y583" s="3">
        <f>IF(I583="","No SIC",IFERROR(VLOOKUP(I583,Ref!$A$2:$B$65,2,FALSE()),"Unclassified"))</f>
        <v/>
      </c>
      <c r="Z583" s="3">
        <f>IF(T583="","",IF(T583&lt;12,"Daily","Weekly"))</f>
        <v/>
      </c>
      <c r="AA583" s="3">
        <f>IF(T583="",0,IF(T583&lt;12,T583*Controls!$B$13,T583*5))</f>
        <v/>
      </c>
      <c r="AB583" s="3">
        <f>IF(E583="",0,NETWORKDAYS(E583,Controls!$B$20,Ref!$K$2:$K$42))</f>
        <v/>
      </c>
      <c r="AC583" s="3">
        <f>IF(OR(AF583=1,AND(AA583&gt;0,AB583&gt;=Controls!$B$23*AA583)),1,0)</f>
        <v/>
      </c>
      <c r="AD583" s="3">
        <f>IF(AND(E583&lt;&gt;"",E583&gt;=Controls!$B$21,E583&lt;=Controls!$B$22),1,0)</f>
        <v/>
      </c>
      <c r="AE583" s="3">
        <f>IF(IFERROR(VLOOKUP(D583,Controls!$A$36:$E$46,2,FALSE()),"No")="Yes",1,0)</f>
        <v/>
      </c>
      <c r="AF583" s="3">
        <f>IF(IFERROR(VLOOKUP(D583,Controls!$A$36:$E$46,3,FALSE()),"No")="Yes",1,0)</f>
        <v/>
      </c>
      <c r="AG583" s="3">
        <f>IF(IFERROR(VLOOKUP(D583,Controls!$A$36:$E$46,4,FALSE()),"No")="Yes",1,0)</f>
        <v/>
      </c>
      <c r="AH583" s="3">
        <f>IF(IFERROR(VLOOKUP(D583,Controls!$A$36:$E$46,5,FALSE()),"No")="Yes",1,0)</f>
        <v/>
      </c>
      <c r="AI583" s="3">
        <f>IF(ISNUMBER(MATCH(D583,Controls!$A$36:$A$46,0)),1,0)</f>
        <v/>
      </c>
      <c r="AJ583" s="28">
        <f>Q583-N583</f>
        <v/>
      </c>
      <c r="AK583" s="3">
        <f>IF(AE583=1,MAX(0,N583-Q583),0)</f>
        <v/>
      </c>
      <c r="AL583" s="3">
        <f>IF(OR(V583="",V583=0),0,N583/V583)</f>
        <v/>
      </c>
      <c r="AM583" s="3">
        <f>IF(OR(V583="",V583=0),0,1)</f>
        <v/>
      </c>
      <c r="AN583" s="3">
        <f>IF(OR(E583="",F583=""),0,NETWORKDAYS(E583,F583,Ref!$K$2:$K$42))</f>
        <v/>
      </c>
      <c r="AO583" s="3">
        <f>IF(L583="Renewal",1,0)</f>
        <v/>
      </c>
      <c r="AP583" s="3">
        <f>AC583*AD583</f>
        <v/>
      </c>
      <c r="AQ583" s="3">
        <f>IF(AND(G583&lt;&gt;"",'Historical Score'!$C$6&lt;&gt;""),IF(G583='Historical Score'!$C$6,1,0),0)</f>
        <v/>
      </c>
      <c r="AR583" s="3">
        <f>IF(AND(L583&lt;&gt;"",'Historical Score'!$C$5&lt;&gt;""),IF(L583='Historical Score'!$C$5,1,0),0)</f>
        <v/>
      </c>
      <c r="AS583" s="3">
        <f>IF(AND(Y583&lt;&gt;"",'Historical Score'!$C$7&lt;&gt;""),IF(Y583='Historical Score'!$C$7,1,0),0)</f>
        <v/>
      </c>
      <c r="AT583" s="3">
        <f>IF(AND(K583&lt;&gt;"",'Historical Score'!$C$8&lt;&gt;""),IF(K583='Historical Score'!$C$8,1,0),0)</f>
        <v/>
      </c>
      <c r="AU583" s="3" t="n"/>
      <c r="AV583" s="3" t="n"/>
      <c r="AW583" s="3" t="n"/>
      <c r="AX583" s="3" t="n"/>
      <c r="AY583" s="3" t="n"/>
      <c r="AZ583" s="3" t="n"/>
      <c r="BA583" s="182">
        <f>IF(AD583=1,(AR583*'Historical Score'!$K$29+1-'Historical Score'!$K$29)*(AT583*'Historical Score'!$L$29+1-'Historical Score'!$L$29)*(AS583*'Historical Score'!$M$29+1-'Historical Score'!$M$29)*(AQ583*'Historical Score'!$N$29+1-'Historical Score'!$N$29),0)</f>
        <v/>
      </c>
      <c r="BB583" s="3" t="n"/>
      <c r="BC583" s="3" t="n"/>
    </row>
    <row r="584" ht="15.75" customHeight="1" s="174">
      <c r="A584" s="3" t="inlineStr">
        <is>
          <t>5674177455</t>
        </is>
      </c>
      <c r="B584" s="3" t="inlineStr">
        <is>
          <t>Little Magic Bar</t>
        </is>
      </c>
      <c r="C584" s="3" t="inlineStr">
        <is>
          <t>VOODOO MAGIC LLC</t>
        </is>
      </c>
      <c r="D584" s="3" t="inlineStr">
        <is>
          <t>Open</t>
        </is>
      </c>
      <c r="E584" s="23" t="n">
        <v>46051</v>
      </c>
      <c r="F584" s="23" t="n">
        <v>46248</v>
      </c>
      <c r="G584" s="3" t="n">
        <v>3</v>
      </c>
      <c r="H584" s="3" t="inlineStr">
        <is>
          <t>5812</t>
        </is>
      </c>
      <c r="I584" s="3" t="inlineStr">
        <is>
          <t>58</t>
        </is>
      </c>
      <c r="J584" s="3" t="inlineStr">
        <is>
          <t>TN</t>
        </is>
      </c>
      <c r="K584" s="3" t="inlineStr">
        <is>
          <t>Fundible</t>
        </is>
      </c>
      <c r="L584" s="3" t="inlineStr">
        <is>
          <t>Renewal</t>
        </is>
      </c>
      <c r="M584" s="3" t="n">
        <v>1.49</v>
      </c>
      <c r="N584" s="28" t="n">
        <v>50000</v>
      </c>
      <c r="O584" s="28" t="n">
        <v>7000</v>
      </c>
      <c r="P584" s="28" t="n">
        <v>74500</v>
      </c>
      <c r="Q584" s="28" t="n">
        <v>63268.42</v>
      </c>
      <c r="R584" s="28" t="n">
        <v>11231.58</v>
      </c>
      <c r="S584" s="42" t="n">
        <v>0.849240536912752</v>
      </c>
      <c r="T584" s="3" t="n">
        <v>32</v>
      </c>
      <c r="U584" s="3" t="n">
        <v>1</v>
      </c>
      <c r="V584" s="3" t="n">
        <v>131755.44</v>
      </c>
      <c r="W584" s="42" t="n">
        <v>0.0707</v>
      </c>
      <c r="X584" s="23" t="n">
        <v>45320</v>
      </c>
      <c r="Y584" s="3">
        <f>IF(I584="","No SIC",IFERROR(VLOOKUP(I584,Ref!$A$2:$B$65,2,FALSE()),"Unclassified"))</f>
        <v/>
      </c>
      <c r="Z584" s="3">
        <f>IF(T584="","",IF(T584&lt;12,"Daily","Weekly"))</f>
        <v/>
      </c>
      <c r="AA584" s="3">
        <f>IF(T584="",0,IF(T584&lt;12,T584*Controls!$B$13,T584*5))</f>
        <v/>
      </c>
      <c r="AB584" s="3">
        <f>IF(E584="",0,NETWORKDAYS(E584,Controls!$B$20,Ref!$K$2:$K$42))</f>
        <v/>
      </c>
      <c r="AC584" s="3">
        <f>IF(OR(AF584=1,AND(AA584&gt;0,AB584&gt;=Controls!$B$23*AA584)),1,0)</f>
        <v/>
      </c>
      <c r="AD584" s="3">
        <f>IF(AND(E584&lt;&gt;"",E584&gt;=Controls!$B$21,E584&lt;=Controls!$B$22),1,0)</f>
        <v/>
      </c>
      <c r="AE584" s="3">
        <f>IF(IFERROR(VLOOKUP(D584,Controls!$A$36:$E$46,2,FALSE()),"No")="Yes",1,0)</f>
        <v/>
      </c>
      <c r="AF584" s="3">
        <f>IF(IFERROR(VLOOKUP(D584,Controls!$A$36:$E$46,3,FALSE()),"No")="Yes",1,0)</f>
        <v/>
      </c>
      <c r="AG584" s="3">
        <f>IF(IFERROR(VLOOKUP(D584,Controls!$A$36:$E$46,4,FALSE()),"No")="Yes",1,0)</f>
        <v/>
      </c>
      <c r="AH584" s="3">
        <f>IF(IFERROR(VLOOKUP(D584,Controls!$A$36:$E$46,5,FALSE()),"No")="Yes",1,0)</f>
        <v/>
      </c>
      <c r="AI584" s="3">
        <f>IF(ISNUMBER(MATCH(D584,Controls!$A$36:$A$46,0)),1,0)</f>
        <v/>
      </c>
      <c r="AJ584" s="28">
        <f>Q584-N584</f>
        <v/>
      </c>
      <c r="AK584" s="3">
        <f>IF(AE584=1,MAX(0,N584-Q584),0)</f>
        <v/>
      </c>
      <c r="AL584" s="3">
        <f>IF(OR(V584="",V584=0),0,N584/V584)</f>
        <v/>
      </c>
      <c r="AM584" s="3">
        <f>IF(OR(V584="",V584=0),0,1)</f>
        <v/>
      </c>
      <c r="AN584" s="3">
        <f>IF(OR(E584="",F584=""),0,NETWORKDAYS(E584,F584,Ref!$K$2:$K$42))</f>
        <v/>
      </c>
      <c r="AO584" s="3">
        <f>IF(L584="Renewal",1,0)</f>
        <v/>
      </c>
      <c r="AP584" s="3">
        <f>AC584*AD584</f>
        <v/>
      </c>
      <c r="AQ584" s="3">
        <f>IF(AND(G584&lt;&gt;"",'Historical Score'!$C$6&lt;&gt;""),IF(G584='Historical Score'!$C$6,1,0),0)</f>
        <v/>
      </c>
      <c r="AR584" s="3">
        <f>IF(AND(L584&lt;&gt;"",'Historical Score'!$C$5&lt;&gt;""),IF(L584='Historical Score'!$C$5,1,0),0)</f>
        <v/>
      </c>
      <c r="AS584" s="3">
        <f>IF(AND(Y584&lt;&gt;"",'Historical Score'!$C$7&lt;&gt;""),IF(Y584='Historical Score'!$C$7,1,0),0)</f>
        <v/>
      </c>
      <c r="AT584" s="3">
        <f>IF(AND(K584&lt;&gt;"",'Historical Score'!$C$8&lt;&gt;""),IF(K584='Historical Score'!$C$8,1,0),0)</f>
        <v/>
      </c>
      <c r="AU584" s="3" t="n"/>
      <c r="AV584" s="3" t="n"/>
      <c r="AW584" s="3" t="n"/>
      <c r="AX584" s="3" t="n"/>
      <c r="AY584" s="3" t="n"/>
      <c r="AZ584" s="3" t="n"/>
      <c r="BA584" s="182">
        <f>IF(AD584=1,(AR584*'Historical Score'!$K$29+1-'Historical Score'!$K$29)*(AT584*'Historical Score'!$L$29+1-'Historical Score'!$L$29)*(AS584*'Historical Score'!$M$29+1-'Historical Score'!$M$29)*(AQ584*'Historical Score'!$N$29+1-'Historical Score'!$N$29),0)</f>
        <v/>
      </c>
      <c r="BB584" s="3" t="n"/>
      <c r="BC584" s="3" t="n"/>
    </row>
    <row r="585" ht="15.75" customHeight="1" s="174">
      <c r="A585" s="3" t="inlineStr">
        <is>
          <t>5674177471</t>
        </is>
      </c>
      <c r="B585" s="3" t="inlineStr">
        <is>
          <t>JIU HONG CANYIN YULE, INC</t>
        </is>
      </c>
      <c r="C585" s="3" t="inlineStr">
        <is>
          <t>JIU HONG CANYIN YULE, INC</t>
        </is>
      </c>
      <c r="D585" s="3" t="inlineStr">
        <is>
          <t>Closed</t>
        </is>
      </c>
      <c r="E585" s="23" t="n">
        <v>46051</v>
      </c>
      <c r="F585" s="23" t="n">
        <v>46141</v>
      </c>
      <c r="G585" s="3" t="n">
        <v>3</v>
      </c>
      <c r="H585" s="3" t="inlineStr">
        <is>
          <t>5812</t>
        </is>
      </c>
      <c r="I585" s="3" t="inlineStr">
        <is>
          <t>58</t>
        </is>
      </c>
      <c r="J585" s="3" t="inlineStr">
        <is>
          <t>CO</t>
        </is>
      </c>
      <c r="K585" s="3" t="inlineStr">
        <is>
          <t>United Secured Capital 8</t>
        </is>
      </c>
      <c r="L585" s="3" t="inlineStr">
        <is>
          <t>Renewal</t>
        </is>
      </c>
      <c r="M585" s="3" t="n">
        <v>1.49</v>
      </c>
      <c r="N585" s="28" t="n">
        <v>36000</v>
      </c>
      <c r="O585" s="28" t="n">
        <v>5040</v>
      </c>
      <c r="P585" s="28" t="n">
        <v>53640</v>
      </c>
      <c r="Q585" s="28" t="n">
        <v>53640</v>
      </c>
      <c r="R585" s="28" t="n">
        <v>0</v>
      </c>
      <c r="S585" s="42" t="n">
        <v>1</v>
      </c>
      <c r="T585" s="3" t="n">
        <v>4.59</v>
      </c>
      <c r="U585" s="3" t="n">
        <v>0</v>
      </c>
      <c r="V585" s="3" t="n">
        <v>42013.9</v>
      </c>
      <c r="W585" s="42" t="n">
        <v>0.1915</v>
      </c>
      <c r="X585" s="23" t="n"/>
      <c r="Y585" s="3">
        <f>IF(I585="","No SIC",IFERROR(VLOOKUP(I585,Ref!$A$2:$B$65,2,FALSE()),"Unclassified"))</f>
        <v/>
      </c>
      <c r="Z585" s="3">
        <f>IF(T585="","",IF(T585&lt;12,"Daily","Weekly"))</f>
        <v/>
      </c>
      <c r="AA585" s="3">
        <f>IF(T585="",0,IF(T585&lt;12,T585*Controls!$B$13,T585*5))</f>
        <v/>
      </c>
      <c r="AB585" s="3">
        <f>IF(E585="",0,NETWORKDAYS(E585,Controls!$B$20,Ref!$K$2:$K$42))</f>
        <v/>
      </c>
      <c r="AC585" s="3">
        <f>IF(OR(AF585=1,AND(AA585&gt;0,AB585&gt;=Controls!$B$23*AA585)),1,0)</f>
        <v/>
      </c>
      <c r="AD585" s="3">
        <f>IF(AND(E585&lt;&gt;"",E585&gt;=Controls!$B$21,E585&lt;=Controls!$B$22),1,0)</f>
        <v/>
      </c>
      <c r="AE585" s="3">
        <f>IF(IFERROR(VLOOKUP(D585,Controls!$A$36:$E$46,2,FALSE()),"No")="Yes",1,0)</f>
        <v/>
      </c>
      <c r="AF585" s="3">
        <f>IF(IFERROR(VLOOKUP(D585,Controls!$A$36:$E$46,3,FALSE()),"No")="Yes",1,0)</f>
        <v/>
      </c>
      <c r="AG585" s="3">
        <f>IF(IFERROR(VLOOKUP(D585,Controls!$A$36:$E$46,4,FALSE()),"No")="Yes",1,0)</f>
        <v/>
      </c>
      <c r="AH585" s="3">
        <f>IF(IFERROR(VLOOKUP(D585,Controls!$A$36:$E$46,5,FALSE()),"No")="Yes",1,0)</f>
        <v/>
      </c>
      <c r="AI585" s="3">
        <f>IF(ISNUMBER(MATCH(D585,Controls!$A$36:$A$46,0)),1,0)</f>
        <v/>
      </c>
      <c r="AJ585" s="28">
        <f>Q585-N585</f>
        <v/>
      </c>
      <c r="AK585" s="3">
        <f>IF(AE585=1,MAX(0,N585-Q585),0)</f>
        <v/>
      </c>
      <c r="AL585" s="3">
        <f>IF(OR(V585="",V585=0),0,N585/V585)</f>
        <v/>
      </c>
      <c r="AM585" s="3">
        <f>IF(OR(V585="",V585=0),0,1)</f>
        <v/>
      </c>
      <c r="AN585" s="3">
        <f>IF(OR(E585="",F585=""),0,NETWORKDAYS(E585,F585,Ref!$K$2:$K$42))</f>
        <v/>
      </c>
      <c r="AO585" s="3">
        <f>IF(L585="Renewal",1,0)</f>
        <v/>
      </c>
      <c r="AP585" s="3">
        <f>AC585*AD585</f>
        <v/>
      </c>
      <c r="AQ585" s="3">
        <f>IF(AND(G585&lt;&gt;"",'Historical Score'!$C$6&lt;&gt;""),IF(G585='Historical Score'!$C$6,1,0),0)</f>
        <v/>
      </c>
      <c r="AR585" s="3">
        <f>IF(AND(L585&lt;&gt;"",'Historical Score'!$C$5&lt;&gt;""),IF(L585='Historical Score'!$C$5,1,0),0)</f>
        <v/>
      </c>
      <c r="AS585" s="3">
        <f>IF(AND(Y585&lt;&gt;"",'Historical Score'!$C$7&lt;&gt;""),IF(Y585='Historical Score'!$C$7,1,0),0)</f>
        <v/>
      </c>
      <c r="AT585" s="3">
        <f>IF(AND(K585&lt;&gt;"",'Historical Score'!$C$8&lt;&gt;""),IF(K585='Historical Score'!$C$8,1,0),0)</f>
        <v/>
      </c>
      <c r="AU585" s="3" t="n"/>
      <c r="AV585" s="3" t="n"/>
      <c r="AW585" s="3" t="n"/>
      <c r="AX585" s="3" t="n"/>
      <c r="AY585" s="3" t="n"/>
      <c r="AZ585" s="3" t="n"/>
      <c r="BA585" s="182">
        <f>IF(AD585=1,(AR585*'Historical Score'!$K$29+1-'Historical Score'!$K$29)*(AT585*'Historical Score'!$L$29+1-'Historical Score'!$L$29)*(AS585*'Historical Score'!$M$29+1-'Historical Score'!$M$29)*(AQ585*'Historical Score'!$N$29+1-'Historical Score'!$N$29),0)</f>
        <v/>
      </c>
      <c r="BB585" s="3" t="n"/>
      <c r="BC585" s="3" t="n"/>
    </row>
    <row r="586" ht="15.75" customHeight="1" s="174">
      <c r="A586" s="3" t="inlineStr">
        <is>
          <t>5674177483</t>
        </is>
      </c>
      <c r="B586" s="3" t="inlineStr">
        <is>
          <t>VALOR TOURS LTD</t>
        </is>
      </c>
      <c r="C586" s="3" t="inlineStr">
        <is>
          <t>VALOR TOURS LTD</t>
        </is>
      </c>
      <c r="D586" s="3" t="inlineStr">
        <is>
          <t>In House Collection</t>
        </is>
      </c>
      <c r="E586" s="23" t="n">
        <v>46051</v>
      </c>
      <c r="F586" s="23" t="n">
        <v>46170</v>
      </c>
      <c r="G586" s="3" t="n">
        <v>3</v>
      </c>
      <c r="H586" s="3" t="inlineStr">
        <is>
          <t>4725</t>
        </is>
      </c>
      <c r="I586" s="3" t="inlineStr">
        <is>
          <t>47</t>
        </is>
      </c>
      <c r="J586" s="3" t="inlineStr">
        <is>
          <t>CA</t>
        </is>
      </c>
      <c r="K586" s="3" t="inlineStr">
        <is>
          <t>Westwood</t>
        </is>
      </c>
      <c r="L586" s="3" t="inlineStr">
        <is>
          <t>Renewal</t>
        </is>
      </c>
      <c r="M586" s="3" t="n">
        <v>1.49</v>
      </c>
      <c r="N586" s="28" t="n">
        <v>24000</v>
      </c>
      <c r="O586" s="28" t="n">
        <v>3360</v>
      </c>
      <c r="P586" s="28" t="n">
        <v>35760</v>
      </c>
      <c r="Q586" s="28" t="n">
        <v>23943.92</v>
      </c>
      <c r="R586" s="28" t="n">
        <v>11816.08</v>
      </c>
      <c r="S586" s="42" t="n">
        <v>0.6695727069351231</v>
      </c>
      <c r="T586" s="3" t="n">
        <v>3.77</v>
      </c>
      <c r="U586" s="3" t="n">
        <v>5</v>
      </c>
      <c r="V586" s="3" t="n">
        <v>48699.19</v>
      </c>
      <c r="W586" s="42" t="n">
        <v>0.13</v>
      </c>
      <c r="X586" s="23" t="n">
        <v>42917</v>
      </c>
      <c r="Y586" s="3">
        <f>IF(I586="","No SIC",IFERROR(VLOOKUP(I586,Ref!$A$2:$B$65,2,FALSE()),"Unclassified"))</f>
        <v/>
      </c>
      <c r="Z586" s="3">
        <f>IF(T586="","",IF(T586&lt;12,"Daily","Weekly"))</f>
        <v/>
      </c>
      <c r="AA586" s="3">
        <f>IF(T586="",0,IF(T586&lt;12,T586*Controls!$B$13,T586*5))</f>
        <v/>
      </c>
      <c r="AB586" s="3">
        <f>IF(E586="",0,NETWORKDAYS(E586,Controls!$B$20,Ref!$K$2:$K$42))</f>
        <v/>
      </c>
      <c r="AC586" s="3">
        <f>IF(OR(AF586=1,AND(AA586&gt;0,AB586&gt;=Controls!$B$23*AA586)),1,0)</f>
        <v/>
      </c>
      <c r="AD586" s="3">
        <f>IF(AND(E586&lt;&gt;"",E586&gt;=Controls!$B$21,E586&lt;=Controls!$B$22),1,0)</f>
        <v/>
      </c>
      <c r="AE586" s="3">
        <f>IF(IFERROR(VLOOKUP(D586,Controls!$A$36:$E$46,2,FALSE()),"No")="Yes",1,0)</f>
        <v/>
      </c>
      <c r="AF586" s="3">
        <f>IF(IFERROR(VLOOKUP(D586,Controls!$A$36:$E$46,3,FALSE()),"No")="Yes",1,0)</f>
        <v/>
      </c>
      <c r="AG586" s="3">
        <f>IF(IFERROR(VLOOKUP(D586,Controls!$A$36:$E$46,4,FALSE()),"No")="Yes",1,0)</f>
        <v/>
      </c>
      <c r="AH586" s="3">
        <f>IF(IFERROR(VLOOKUP(D586,Controls!$A$36:$E$46,5,FALSE()),"No")="Yes",1,0)</f>
        <v/>
      </c>
      <c r="AI586" s="3">
        <f>IF(ISNUMBER(MATCH(D586,Controls!$A$36:$A$46,0)),1,0)</f>
        <v/>
      </c>
      <c r="AJ586" s="28">
        <f>Q586-N586</f>
        <v/>
      </c>
      <c r="AK586" s="3">
        <f>IF(AE586=1,MAX(0,N586-Q586),0)</f>
        <v/>
      </c>
      <c r="AL586" s="3">
        <f>IF(OR(V586="",V586=0),0,N586/V586)</f>
        <v/>
      </c>
      <c r="AM586" s="3">
        <f>IF(OR(V586="",V586=0),0,1)</f>
        <v/>
      </c>
      <c r="AN586" s="3">
        <f>IF(OR(E586="",F586=""),0,NETWORKDAYS(E586,F586,Ref!$K$2:$K$42))</f>
        <v/>
      </c>
      <c r="AO586" s="3">
        <f>IF(L586="Renewal",1,0)</f>
        <v/>
      </c>
      <c r="AP586" s="3">
        <f>AC586*AD586</f>
        <v/>
      </c>
      <c r="AQ586" s="3">
        <f>IF(AND(G586&lt;&gt;"",'Historical Score'!$C$6&lt;&gt;""),IF(G586='Historical Score'!$C$6,1,0),0)</f>
        <v/>
      </c>
      <c r="AR586" s="3">
        <f>IF(AND(L586&lt;&gt;"",'Historical Score'!$C$5&lt;&gt;""),IF(L586='Historical Score'!$C$5,1,0),0)</f>
        <v/>
      </c>
      <c r="AS586" s="3">
        <f>IF(AND(Y586&lt;&gt;"",'Historical Score'!$C$7&lt;&gt;""),IF(Y586='Historical Score'!$C$7,1,0),0)</f>
        <v/>
      </c>
      <c r="AT586" s="3">
        <f>IF(AND(K586&lt;&gt;"",'Historical Score'!$C$8&lt;&gt;""),IF(K586='Historical Score'!$C$8,1,0),0)</f>
        <v/>
      </c>
      <c r="AU586" s="3" t="n"/>
      <c r="AV586" s="3" t="n"/>
      <c r="AW586" s="3" t="n"/>
      <c r="AX586" s="3" t="n"/>
      <c r="AY586" s="3" t="n"/>
      <c r="AZ586" s="3" t="n"/>
      <c r="BA586" s="182">
        <f>IF(AD586=1,(AR586*'Historical Score'!$K$29+1-'Historical Score'!$K$29)*(AT586*'Historical Score'!$L$29+1-'Historical Score'!$L$29)*(AS586*'Historical Score'!$M$29+1-'Historical Score'!$M$29)*(AQ586*'Historical Score'!$N$29+1-'Historical Score'!$N$29),0)</f>
        <v/>
      </c>
      <c r="BB586" s="3" t="n"/>
      <c r="BC586" s="3" t="n"/>
    </row>
    <row r="587" ht="15.75" customHeight="1" s="174">
      <c r="A587" s="3" t="inlineStr">
        <is>
          <t>5674177552</t>
        </is>
      </c>
      <c r="B587" s="3" t="inlineStr">
        <is>
          <t>Fjord Builders and Design Partners LLC</t>
        </is>
      </c>
      <c r="C587" s="3" t="inlineStr">
        <is>
          <t>Fjord Builders and Design Partners LLC</t>
        </is>
      </c>
      <c r="D587" s="3" t="inlineStr">
        <is>
          <t>Legal</t>
        </is>
      </c>
      <c r="E587" s="23" t="n">
        <v>46052</v>
      </c>
      <c r="F587" s="23" t="n">
        <v>46094</v>
      </c>
      <c r="G587" s="3" t="n">
        <v>1</v>
      </c>
      <c r="H587" s="3" t="inlineStr">
        <is>
          <t>1521</t>
        </is>
      </c>
      <c r="I587" s="3" t="inlineStr">
        <is>
          <t>15</t>
        </is>
      </c>
      <c r="J587" s="3" t="inlineStr">
        <is>
          <t>TX</t>
        </is>
      </c>
      <c r="K587" s="3" t="inlineStr">
        <is>
          <t>cavala funding</t>
        </is>
      </c>
      <c r="L587" s="3" t="inlineStr">
        <is>
          <t>New Deal</t>
        </is>
      </c>
      <c r="M587" s="3" t="n">
        <v>1.49</v>
      </c>
      <c r="N587" s="28" t="n">
        <v>30000</v>
      </c>
      <c r="O587" s="28" t="n">
        <v>4200</v>
      </c>
      <c r="P587" s="28" t="n">
        <v>44700</v>
      </c>
      <c r="Q587" s="28" t="n">
        <v>3723</v>
      </c>
      <c r="R587" s="28" t="n">
        <v>40977</v>
      </c>
      <c r="S587" s="42" t="n">
        <v>0.08328859060402689</v>
      </c>
      <c r="T587" s="3" t="n">
        <v>24</v>
      </c>
      <c r="U587" s="3" t="n">
        <v>3</v>
      </c>
      <c r="V587" s="3" t="n">
        <v>110638.91</v>
      </c>
      <c r="W587" s="42" t="n">
        <v>0.0673</v>
      </c>
      <c r="X587" s="23" t="n">
        <v>43120</v>
      </c>
      <c r="Y587" s="3">
        <f>IF(I587="","No SIC",IFERROR(VLOOKUP(I587,Ref!$A$2:$B$65,2,FALSE()),"Unclassified"))</f>
        <v/>
      </c>
      <c r="Z587" s="3">
        <f>IF(T587="","",IF(T587&lt;12,"Daily","Weekly"))</f>
        <v/>
      </c>
      <c r="AA587" s="3">
        <f>IF(T587="",0,IF(T587&lt;12,T587*Controls!$B$13,T587*5))</f>
        <v/>
      </c>
      <c r="AB587" s="3">
        <f>IF(E587="",0,NETWORKDAYS(E587,Controls!$B$20,Ref!$K$2:$K$42))</f>
        <v/>
      </c>
      <c r="AC587" s="3">
        <f>IF(OR(AF587=1,AND(AA587&gt;0,AB587&gt;=Controls!$B$23*AA587)),1,0)</f>
        <v/>
      </c>
      <c r="AD587" s="3">
        <f>IF(AND(E587&lt;&gt;"",E587&gt;=Controls!$B$21,E587&lt;=Controls!$B$22),1,0)</f>
        <v/>
      </c>
      <c r="AE587" s="3">
        <f>IF(IFERROR(VLOOKUP(D587,Controls!$A$36:$E$46,2,FALSE()),"No")="Yes",1,0)</f>
        <v/>
      </c>
      <c r="AF587" s="3">
        <f>IF(IFERROR(VLOOKUP(D587,Controls!$A$36:$E$46,3,FALSE()),"No")="Yes",1,0)</f>
        <v/>
      </c>
      <c r="AG587" s="3">
        <f>IF(IFERROR(VLOOKUP(D587,Controls!$A$36:$E$46,4,FALSE()),"No")="Yes",1,0)</f>
        <v/>
      </c>
      <c r="AH587" s="3">
        <f>IF(IFERROR(VLOOKUP(D587,Controls!$A$36:$E$46,5,FALSE()),"No")="Yes",1,0)</f>
        <v/>
      </c>
      <c r="AI587" s="3">
        <f>IF(ISNUMBER(MATCH(D587,Controls!$A$36:$A$46,0)),1,0)</f>
        <v/>
      </c>
      <c r="AJ587" s="28">
        <f>Q587-N587</f>
        <v/>
      </c>
      <c r="AK587" s="3">
        <f>IF(AE587=1,MAX(0,N587-Q587),0)</f>
        <v/>
      </c>
      <c r="AL587" s="3">
        <f>IF(OR(V587="",V587=0),0,N587/V587)</f>
        <v/>
      </c>
      <c r="AM587" s="3">
        <f>IF(OR(V587="",V587=0),0,1)</f>
        <v/>
      </c>
      <c r="AN587" s="3">
        <f>IF(OR(E587="",F587=""),0,NETWORKDAYS(E587,F587,Ref!$K$2:$K$42))</f>
        <v/>
      </c>
      <c r="AO587" s="3">
        <f>IF(L587="Renewal",1,0)</f>
        <v/>
      </c>
      <c r="AP587" s="3">
        <f>AC587*AD587</f>
        <v/>
      </c>
      <c r="AQ587" s="3">
        <f>IF(AND(G587&lt;&gt;"",'Historical Score'!$C$6&lt;&gt;""),IF(G587='Historical Score'!$C$6,1,0),0)</f>
        <v/>
      </c>
      <c r="AR587" s="3">
        <f>IF(AND(L587&lt;&gt;"",'Historical Score'!$C$5&lt;&gt;""),IF(L587='Historical Score'!$C$5,1,0),0)</f>
        <v/>
      </c>
      <c r="AS587" s="3">
        <f>IF(AND(Y587&lt;&gt;"",'Historical Score'!$C$7&lt;&gt;""),IF(Y587='Historical Score'!$C$7,1,0),0)</f>
        <v/>
      </c>
      <c r="AT587" s="3">
        <f>IF(AND(K587&lt;&gt;"",'Historical Score'!$C$8&lt;&gt;""),IF(K587='Historical Score'!$C$8,1,0),0)</f>
        <v/>
      </c>
      <c r="AU587" s="3" t="n"/>
      <c r="AV587" s="3" t="n"/>
      <c r="AW587" s="3" t="n"/>
      <c r="AX587" s="3" t="n"/>
      <c r="AY587" s="3" t="n"/>
      <c r="AZ587" s="3" t="n"/>
      <c r="BA587" s="182">
        <f>IF(AD587=1,(AR587*'Historical Score'!$K$29+1-'Historical Score'!$K$29)*(AT587*'Historical Score'!$L$29+1-'Historical Score'!$L$29)*(AS587*'Historical Score'!$M$29+1-'Historical Score'!$M$29)*(AQ587*'Historical Score'!$N$29+1-'Historical Score'!$N$29),0)</f>
        <v/>
      </c>
      <c r="BB587" s="3" t="n"/>
      <c r="BC587" s="3" t="n"/>
    </row>
    <row r="588" ht="15.75" customHeight="1" s="174">
      <c r="A588" s="3" t="inlineStr">
        <is>
          <t>5674177628</t>
        </is>
      </c>
      <c r="B588" s="3" t="inlineStr">
        <is>
          <t>Bland Funeral Home, LLC</t>
        </is>
      </c>
      <c r="C588" s="3" t="inlineStr">
        <is>
          <t>Bland Funeral Home, LLC</t>
        </is>
      </c>
      <c r="D588" s="3" t="inlineStr">
        <is>
          <t>Closed</t>
        </is>
      </c>
      <c r="E588" s="23" t="n">
        <v>46055</v>
      </c>
      <c r="F588" s="23" t="n">
        <v>46136</v>
      </c>
      <c r="G588" s="3" t="n">
        <v>3</v>
      </c>
      <c r="H588" s="3" t="inlineStr">
        <is>
          <t>7261</t>
        </is>
      </c>
      <c r="I588" s="3" t="inlineStr">
        <is>
          <t>72</t>
        </is>
      </c>
      <c r="J588" s="3" t="inlineStr">
        <is>
          <t>VA</t>
        </is>
      </c>
      <c r="K588" s="3" t="inlineStr">
        <is>
          <t>Ballicci</t>
        </is>
      </c>
      <c r="L588" s="3" t="inlineStr">
        <is>
          <t>New Deal</t>
        </is>
      </c>
      <c r="M588" s="3" t="n">
        <v>1.49</v>
      </c>
      <c r="N588" s="28" t="n">
        <v>30000</v>
      </c>
      <c r="O588" s="28" t="n">
        <v>4200</v>
      </c>
      <c r="P588" s="28" t="n">
        <v>44700</v>
      </c>
      <c r="Q588" s="28" t="n">
        <v>44700</v>
      </c>
      <c r="R588" s="28" t="n">
        <v>0</v>
      </c>
      <c r="S588" s="42" t="n">
        <v>1</v>
      </c>
      <c r="T588" s="3" t="n">
        <v>2.951</v>
      </c>
      <c r="U588" s="3" t="n">
        <v>7</v>
      </c>
      <c r="V588" s="3" t="n">
        <v>57502.52</v>
      </c>
      <c r="W588" s="42" t="n">
        <v>0.1814</v>
      </c>
      <c r="X588" s="23" t="n"/>
      <c r="Y588" s="3">
        <f>IF(I588="","No SIC",IFERROR(VLOOKUP(I588,Ref!$A$2:$B$65,2,FALSE()),"Unclassified"))</f>
        <v/>
      </c>
      <c r="Z588" s="3">
        <f>IF(T588="","",IF(T588&lt;12,"Daily","Weekly"))</f>
        <v/>
      </c>
      <c r="AA588" s="3">
        <f>IF(T588="",0,IF(T588&lt;12,T588*Controls!$B$13,T588*5))</f>
        <v/>
      </c>
      <c r="AB588" s="3">
        <f>IF(E588="",0,NETWORKDAYS(E588,Controls!$B$20,Ref!$K$2:$K$42))</f>
        <v/>
      </c>
      <c r="AC588" s="3">
        <f>IF(OR(AF588=1,AND(AA588&gt;0,AB588&gt;=Controls!$B$23*AA588)),1,0)</f>
        <v/>
      </c>
      <c r="AD588" s="3">
        <f>IF(AND(E588&lt;&gt;"",E588&gt;=Controls!$B$21,E588&lt;=Controls!$B$22),1,0)</f>
        <v/>
      </c>
      <c r="AE588" s="3">
        <f>IF(IFERROR(VLOOKUP(D588,Controls!$A$36:$E$46,2,FALSE()),"No")="Yes",1,0)</f>
        <v/>
      </c>
      <c r="AF588" s="3">
        <f>IF(IFERROR(VLOOKUP(D588,Controls!$A$36:$E$46,3,FALSE()),"No")="Yes",1,0)</f>
        <v/>
      </c>
      <c r="AG588" s="3">
        <f>IF(IFERROR(VLOOKUP(D588,Controls!$A$36:$E$46,4,FALSE()),"No")="Yes",1,0)</f>
        <v/>
      </c>
      <c r="AH588" s="3">
        <f>IF(IFERROR(VLOOKUP(D588,Controls!$A$36:$E$46,5,FALSE()),"No")="Yes",1,0)</f>
        <v/>
      </c>
      <c r="AI588" s="3">
        <f>IF(ISNUMBER(MATCH(D588,Controls!$A$36:$A$46,0)),1,0)</f>
        <v/>
      </c>
      <c r="AJ588" s="28">
        <f>Q588-N588</f>
        <v/>
      </c>
      <c r="AK588" s="3">
        <f>IF(AE588=1,MAX(0,N588-Q588),0)</f>
        <v/>
      </c>
      <c r="AL588" s="3">
        <f>IF(OR(V588="",V588=0),0,N588/V588)</f>
        <v/>
      </c>
      <c r="AM588" s="3">
        <f>IF(OR(V588="",V588=0),0,1)</f>
        <v/>
      </c>
      <c r="AN588" s="3">
        <f>IF(OR(E588="",F588=""),0,NETWORKDAYS(E588,F588,Ref!$K$2:$K$42))</f>
        <v/>
      </c>
      <c r="AO588" s="3">
        <f>IF(L588="Renewal",1,0)</f>
        <v/>
      </c>
      <c r="AP588" s="3">
        <f>AC588*AD588</f>
        <v/>
      </c>
      <c r="AQ588" s="3">
        <f>IF(AND(G588&lt;&gt;"",'Historical Score'!$C$6&lt;&gt;""),IF(G588='Historical Score'!$C$6,1,0),0)</f>
        <v/>
      </c>
      <c r="AR588" s="3">
        <f>IF(AND(L588&lt;&gt;"",'Historical Score'!$C$5&lt;&gt;""),IF(L588='Historical Score'!$C$5,1,0),0)</f>
        <v/>
      </c>
      <c r="AS588" s="3">
        <f>IF(AND(Y588&lt;&gt;"",'Historical Score'!$C$7&lt;&gt;""),IF(Y588='Historical Score'!$C$7,1,0),0)</f>
        <v/>
      </c>
      <c r="AT588" s="3">
        <f>IF(AND(K588&lt;&gt;"",'Historical Score'!$C$8&lt;&gt;""),IF(K588='Historical Score'!$C$8,1,0),0)</f>
        <v/>
      </c>
      <c r="AU588" s="3" t="n"/>
      <c r="AV588" s="3" t="n"/>
      <c r="AW588" s="3" t="n"/>
      <c r="AX588" s="3" t="n"/>
      <c r="AY588" s="3" t="n"/>
      <c r="AZ588" s="3" t="n"/>
      <c r="BA588" s="182">
        <f>IF(AD588=1,(AR588*'Historical Score'!$K$29+1-'Historical Score'!$K$29)*(AT588*'Historical Score'!$L$29+1-'Historical Score'!$L$29)*(AS588*'Historical Score'!$M$29+1-'Historical Score'!$M$29)*(AQ588*'Historical Score'!$N$29+1-'Historical Score'!$N$29),0)</f>
        <v/>
      </c>
      <c r="BB588" s="3" t="n"/>
      <c r="BC588" s="3" t="n"/>
    </row>
    <row r="589" ht="15.75" customHeight="1" s="174">
      <c r="A589" s="3" t="inlineStr">
        <is>
          <t>5674177634</t>
        </is>
      </c>
      <c r="B589" s="3" t="inlineStr">
        <is>
          <t>PAUGUS BAY LANDSCAPE LLC</t>
        </is>
      </c>
      <c r="C589" s="3" t="inlineStr">
        <is>
          <t>PAUGUS BAY LANDSCAPE LLC</t>
        </is>
      </c>
      <c r="D589" s="3" t="inlineStr">
        <is>
          <t>Legal</t>
        </is>
      </c>
      <c r="E589" s="23" t="n">
        <v>46055</v>
      </c>
      <c r="F589" s="23" t="n">
        <v>46234</v>
      </c>
      <c r="G589" s="3" t="n">
        <v>3</v>
      </c>
      <c r="H589" s="3" t="inlineStr">
        <is>
          <t>0781</t>
        </is>
      </c>
      <c r="I589" s="3" t="inlineStr">
        <is>
          <t>07</t>
        </is>
      </c>
      <c r="J589" s="3" t="inlineStr">
        <is>
          <t>NH</t>
        </is>
      </c>
      <c r="K589" s="3" t="inlineStr">
        <is>
          <t>United Secured Capital 8</t>
        </is>
      </c>
      <c r="L589" s="3" t="inlineStr">
        <is>
          <t>Renewal</t>
        </is>
      </c>
      <c r="M589" s="3" t="n">
        <v>1.49</v>
      </c>
      <c r="N589" s="28" t="n">
        <v>15000</v>
      </c>
      <c r="O589" s="28" t="n">
        <v>2100</v>
      </c>
      <c r="P589" s="28" t="n">
        <v>22350</v>
      </c>
      <c r="Q589" s="28" t="n">
        <v>3083.53</v>
      </c>
      <c r="R589" s="28" t="n">
        <v>19266.47</v>
      </c>
      <c r="S589" s="42" t="n">
        <v>0.137965548098434</v>
      </c>
      <c r="T589" s="3" t="n">
        <v>3.934</v>
      </c>
      <c r="U589" s="3" t="n">
        <v>33</v>
      </c>
      <c r="V589" s="3" t="n">
        <v>25000</v>
      </c>
      <c r="W589" s="42" t="n">
        <v>0.2114</v>
      </c>
      <c r="X589" s="23" t="n">
        <v>45292</v>
      </c>
      <c r="Y589" s="3">
        <f>IF(I589="","No SIC",IFERROR(VLOOKUP(I589,Ref!$A$2:$B$65,2,FALSE()),"Unclassified"))</f>
        <v/>
      </c>
      <c r="Z589" s="3">
        <f>IF(T589="","",IF(T589&lt;12,"Daily","Weekly"))</f>
        <v/>
      </c>
      <c r="AA589" s="3">
        <f>IF(T589="",0,IF(T589&lt;12,T589*Controls!$B$13,T589*5))</f>
        <v/>
      </c>
      <c r="AB589" s="3">
        <f>IF(E589="",0,NETWORKDAYS(E589,Controls!$B$20,Ref!$K$2:$K$42))</f>
        <v/>
      </c>
      <c r="AC589" s="3">
        <f>IF(OR(AF589=1,AND(AA589&gt;0,AB589&gt;=Controls!$B$23*AA589)),1,0)</f>
        <v/>
      </c>
      <c r="AD589" s="3">
        <f>IF(AND(E589&lt;&gt;"",E589&gt;=Controls!$B$21,E589&lt;=Controls!$B$22),1,0)</f>
        <v/>
      </c>
      <c r="AE589" s="3">
        <f>IF(IFERROR(VLOOKUP(D589,Controls!$A$36:$E$46,2,FALSE()),"No")="Yes",1,0)</f>
        <v/>
      </c>
      <c r="AF589" s="3">
        <f>IF(IFERROR(VLOOKUP(D589,Controls!$A$36:$E$46,3,FALSE()),"No")="Yes",1,0)</f>
        <v/>
      </c>
      <c r="AG589" s="3">
        <f>IF(IFERROR(VLOOKUP(D589,Controls!$A$36:$E$46,4,FALSE()),"No")="Yes",1,0)</f>
        <v/>
      </c>
      <c r="AH589" s="3">
        <f>IF(IFERROR(VLOOKUP(D589,Controls!$A$36:$E$46,5,FALSE()),"No")="Yes",1,0)</f>
        <v/>
      </c>
      <c r="AI589" s="3">
        <f>IF(ISNUMBER(MATCH(D589,Controls!$A$36:$A$46,0)),1,0)</f>
        <v/>
      </c>
      <c r="AJ589" s="28">
        <f>Q589-N589</f>
        <v/>
      </c>
      <c r="AK589" s="3">
        <f>IF(AE589=1,MAX(0,N589-Q589),0)</f>
        <v/>
      </c>
      <c r="AL589" s="3">
        <f>IF(OR(V589="",V589=0),0,N589/V589)</f>
        <v/>
      </c>
      <c r="AM589" s="3">
        <f>IF(OR(V589="",V589=0),0,1)</f>
        <v/>
      </c>
      <c r="AN589" s="3">
        <f>IF(OR(E589="",F589=""),0,NETWORKDAYS(E589,F589,Ref!$K$2:$K$42))</f>
        <v/>
      </c>
      <c r="AO589" s="3">
        <f>IF(L589="Renewal",1,0)</f>
        <v/>
      </c>
      <c r="AP589" s="3">
        <f>AC589*AD589</f>
        <v/>
      </c>
      <c r="AQ589" s="3">
        <f>IF(AND(G589&lt;&gt;"",'Historical Score'!$C$6&lt;&gt;""),IF(G589='Historical Score'!$C$6,1,0),0)</f>
        <v/>
      </c>
      <c r="AR589" s="3">
        <f>IF(AND(L589&lt;&gt;"",'Historical Score'!$C$5&lt;&gt;""),IF(L589='Historical Score'!$C$5,1,0),0)</f>
        <v/>
      </c>
      <c r="AS589" s="3">
        <f>IF(AND(Y589&lt;&gt;"",'Historical Score'!$C$7&lt;&gt;""),IF(Y589='Historical Score'!$C$7,1,0),0)</f>
        <v/>
      </c>
      <c r="AT589" s="3">
        <f>IF(AND(K589&lt;&gt;"",'Historical Score'!$C$8&lt;&gt;""),IF(K589='Historical Score'!$C$8,1,0),0)</f>
        <v/>
      </c>
      <c r="AU589" s="3" t="n"/>
      <c r="AV589" s="3" t="n"/>
      <c r="AW589" s="3" t="n"/>
      <c r="AX589" s="3" t="n"/>
      <c r="AY589" s="3" t="n"/>
      <c r="AZ589" s="3" t="n"/>
      <c r="BA589" s="182">
        <f>IF(AD589=1,(AR589*'Historical Score'!$K$29+1-'Historical Score'!$K$29)*(AT589*'Historical Score'!$L$29+1-'Historical Score'!$L$29)*(AS589*'Historical Score'!$M$29+1-'Historical Score'!$M$29)*(AQ589*'Historical Score'!$N$29+1-'Historical Score'!$N$29),0)</f>
        <v/>
      </c>
      <c r="BB589" s="3" t="n"/>
      <c r="BC589" s="3" t="n"/>
    </row>
    <row r="590" ht="15.75" customHeight="1" s="174">
      <c r="A590" s="3" t="inlineStr">
        <is>
          <t>5674177660</t>
        </is>
      </c>
      <c r="B590" s="3" t="inlineStr">
        <is>
          <t>SURF &amp; TURF STEAKHOUSE</t>
        </is>
      </c>
      <c r="C590" s="3" t="inlineStr">
        <is>
          <t>SURF &amp; TURF STEAKHOUSE LLC</t>
        </is>
      </c>
      <c r="D590" s="3" t="inlineStr">
        <is>
          <t>Open</t>
        </is>
      </c>
      <c r="E590" s="23" t="n">
        <v>46055</v>
      </c>
      <c r="F590" s="23" t="n">
        <v>46253</v>
      </c>
      <c r="G590" s="3" t="n">
        <v>3</v>
      </c>
      <c r="H590" s="3" t="inlineStr">
        <is>
          <t>5812</t>
        </is>
      </c>
      <c r="I590" s="3" t="inlineStr">
        <is>
          <t>58</t>
        </is>
      </c>
      <c r="J590" s="3" t="inlineStr">
        <is>
          <t>DE</t>
        </is>
      </c>
      <c r="K590" s="3" t="inlineStr">
        <is>
          <t>TRUSTFI</t>
        </is>
      </c>
      <c r="L590" s="3" t="inlineStr">
        <is>
          <t>New Deal</t>
        </is>
      </c>
      <c r="M590" s="3" t="n">
        <v>1.36</v>
      </c>
      <c r="N590" s="28" t="n">
        <v>200000</v>
      </c>
      <c r="O590" s="28" t="n">
        <v>15000</v>
      </c>
      <c r="P590" s="28" t="n">
        <v>272000</v>
      </c>
      <c r="Q590" s="28" t="n">
        <v>166900</v>
      </c>
      <c r="R590" s="28" t="n">
        <v>105100</v>
      </c>
      <c r="S590" s="42" t="n">
        <v>0.613602941176471</v>
      </c>
      <c r="T590" s="3" t="n">
        <v>5.246</v>
      </c>
      <c r="U590" s="3" t="n">
        <v>7</v>
      </c>
      <c r="V590" s="3" t="n">
        <v>478091.76</v>
      </c>
      <c r="W590" s="42" t="n">
        <v>0.0583</v>
      </c>
      <c r="X590" s="23" t="n">
        <v>44329</v>
      </c>
      <c r="Y590" s="3">
        <f>IF(I590="","No SIC",IFERROR(VLOOKUP(I590,Ref!$A$2:$B$65,2,FALSE()),"Unclassified"))</f>
        <v/>
      </c>
      <c r="Z590" s="3">
        <f>IF(T590="","",IF(T590&lt;12,"Daily","Weekly"))</f>
        <v/>
      </c>
      <c r="AA590" s="3">
        <f>IF(T590="",0,IF(T590&lt;12,T590*Controls!$B$13,T590*5))</f>
        <v/>
      </c>
      <c r="AB590" s="3">
        <f>IF(E590="",0,NETWORKDAYS(E590,Controls!$B$20,Ref!$K$2:$K$42))</f>
        <v/>
      </c>
      <c r="AC590" s="3">
        <f>IF(OR(AF590=1,AND(AA590&gt;0,AB590&gt;=Controls!$B$23*AA590)),1,0)</f>
        <v/>
      </c>
      <c r="AD590" s="3">
        <f>IF(AND(E590&lt;&gt;"",E590&gt;=Controls!$B$21,E590&lt;=Controls!$B$22),1,0)</f>
        <v/>
      </c>
      <c r="AE590" s="3">
        <f>IF(IFERROR(VLOOKUP(D590,Controls!$A$36:$E$46,2,FALSE()),"No")="Yes",1,0)</f>
        <v/>
      </c>
      <c r="AF590" s="3">
        <f>IF(IFERROR(VLOOKUP(D590,Controls!$A$36:$E$46,3,FALSE()),"No")="Yes",1,0)</f>
        <v/>
      </c>
      <c r="AG590" s="3">
        <f>IF(IFERROR(VLOOKUP(D590,Controls!$A$36:$E$46,4,FALSE()),"No")="Yes",1,0)</f>
        <v/>
      </c>
      <c r="AH590" s="3">
        <f>IF(IFERROR(VLOOKUP(D590,Controls!$A$36:$E$46,5,FALSE()),"No")="Yes",1,0)</f>
        <v/>
      </c>
      <c r="AI590" s="3">
        <f>IF(ISNUMBER(MATCH(D590,Controls!$A$36:$A$46,0)),1,0)</f>
        <v/>
      </c>
      <c r="AJ590" s="28">
        <f>Q590-N590</f>
        <v/>
      </c>
      <c r="AK590" s="3">
        <f>IF(AE590=1,MAX(0,N590-Q590),0)</f>
        <v/>
      </c>
      <c r="AL590" s="3">
        <f>IF(OR(V590="",V590=0),0,N590/V590)</f>
        <v/>
      </c>
      <c r="AM590" s="3">
        <f>IF(OR(V590="",V590=0),0,1)</f>
        <v/>
      </c>
      <c r="AN590" s="3">
        <f>IF(OR(E590="",F590=""),0,NETWORKDAYS(E590,F590,Ref!$K$2:$K$42))</f>
        <v/>
      </c>
      <c r="AO590" s="3">
        <f>IF(L590="Renewal",1,0)</f>
        <v/>
      </c>
      <c r="AP590" s="3">
        <f>AC590*AD590</f>
        <v/>
      </c>
      <c r="AQ590" s="3">
        <f>IF(AND(G590&lt;&gt;"",'Historical Score'!$C$6&lt;&gt;""),IF(G590='Historical Score'!$C$6,1,0),0)</f>
        <v/>
      </c>
      <c r="AR590" s="3">
        <f>IF(AND(L590&lt;&gt;"",'Historical Score'!$C$5&lt;&gt;""),IF(L590='Historical Score'!$C$5,1,0),0)</f>
        <v/>
      </c>
      <c r="AS590" s="3">
        <f>IF(AND(Y590&lt;&gt;"",'Historical Score'!$C$7&lt;&gt;""),IF(Y590='Historical Score'!$C$7,1,0),0)</f>
        <v/>
      </c>
      <c r="AT590" s="3">
        <f>IF(AND(K590&lt;&gt;"",'Historical Score'!$C$8&lt;&gt;""),IF(K590='Historical Score'!$C$8,1,0),0)</f>
        <v/>
      </c>
      <c r="AU590" s="3" t="n"/>
      <c r="AV590" s="3" t="n"/>
      <c r="AW590" s="3" t="n"/>
      <c r="AX590" s="3" t="n"/>
      <c r="AY590" s="3" t="n"/>
      <c r="AZ590" s="3" t="n"/>
      <c r="BA590" s="182">
        <f>IF(AD590=1,(AR590*'Historical Score'!$K$29+1-'Historical Score'!$K$29)*(AT590*'Historical Score'!$L$29+1-'Historical Score'!$L$29)*(AS590*'Historical Score'!$M$29+1-'Historical Score'!$M$29)*(AQ590*'Historical Score'!$N$29+1-'Historical Score'!$N$29),0)</f>
        <v/>
      </c>
      <c r="BB590" s="3" t="n"/>
      <c r="BC590" s="3" t="n"/>
    </row>
    <row r="591" ht="15.75" customHeight="1" s="174">
      <c r="A591" s="3" t="inlineStr">
        <is>
          <t>5674177701</t>
        </is>
      </c>
      <c r="B591" s="3" t="inlineStr">
        <is>
          <t>The Dent Mann</t>
        </is>
      </c>
      <c r="C591" s="3" t="inlineStr">
        <is>
          <t>The Dent Mann</t>
        </is>
      </c>
      <c r="D591" s="3" t="inlineStr">
        <is>
          <t>Closed/NSF</t>
        </is>
      </c>
      <c r="E591" s="23" t="n">
        <v>46056</v>
      </c>
      <c r="F591" s="23" t="n">
        <v>46216</v>
      </c>
      <c r="G591" s="3" t="n">
        <v>2</v>
      </c>
      <c r="H591" s="3" t="inlineStr">
        <is>
          <t>7538</t>
        </is>
      </c>
      <c r="I591" s="3" t="inlineStr">
        <is>
          <t>75</t>
        </is>
      </c>
      <c r="J591" s="3" t="inlineStr">
        <is>
          <t>OK</t>
        </is>
      </c>
      <c r="K591" s="3" t="inlineStr">
        <is>
          <t>AVON ADVANCE</t>
        </is>
      </c>
      <c r="L591" s="3" t="inlineStr">
        <is>
          <t>New Deal</t>
        </is>
      </c>
      <c r="M591" s="3" t="n">
        <v>1.49</v>
      </c>
      <c r="N591" s="28" t="n">
        <v>25000</v>
      </c>
      <c r="O591" s="28" t="n">
        <v>3500</v>
      </c>
      <c r="P591" s="28" t="n">
        <v>37250</v>
      </c>
      <c r="Q591" s="28" t="n">
        <v>37250</v>
      </c>
      <c r="R591" s="28" t="n">
        <v>0</v>
      </c>
      <c r="S591" s="42" t="n">
        <v>1</v>
      </c>
      <c r="T591" s="3" t="n">
        <v>3.279</v>
      </c>
      <c r="U591" s="3" t="n">
        <v>13</v>
      </c>
      <c r="V591" s="3" t="n">
        <v>32903.61</v>
      </c>
      <c r="W591" s="42" t="n">
        <v>0.2377</v>
      </c>
      <c r="X591" s="23" t="n"/>
      <c r="Y591" s="3">
        <f>IF(I591="","No SIC",IFERROR(VLOOKUP(I591,Ref!$A$2:$B$65,2,FALSE()),"Unclassified"))</f>
        <v/>
      </c>
      <c r="Z591" s="3">
        <f>IF(T591="","",IF(T591&lt;12,"Daily","Weekly"))</f>
        <v/>
      </c>
      <c r="AA591" s="3">
        <f>IF(T591="",0,IF(T591&lt;12,T591*Controls!$B$13,T591*5))</f>
        <v/>
      </c>
      <c r="AB591" s="3">
        <f>IF(E591="",0,NETWORKDAYS(E591,Controls!$B$20,Ref!$K$2:$K$42))</f>
        <v/>
      </c>
      <c r="AC591" s="3">
        <f>IF(OR(AF591=1,AND(AA591&gt;0,AB591&gt;=Controls!$B$23*AA591)),1,0)</f>
        <v/>
      </c>
      <c r="AD591" s="3">
        <f>IF(AND(E591&lt;&gt;"",E591&gt;=Controls!$B$21,E591&lt;=Controls!$B$22),1,0)</f>
        <v/>
      </c>
      <c r="AE591" s="3">
        <f>IF(IFERROR(VLOOKUP(D591,Controls!$A$36:$E$46,2,FALSE()),"No")="Yes",1,0)</f>
        <v/>
      </c>
      <c r="AF591" s="3">
        <f>IF(IFERROR(VLOOKUP(D591,Controls!$A$36:$E$46,3,FALSE()),"No")="Yes",1,0)</f>
        <v/>
      </c>
      <c r="AG591" s="3">
        <f>IF(IFERROR(VLOOKUP(D591,Controls!$A$36:$E$46,4,FALSE()),"No")="Yes",1,0)</f>
        <v/>
      </c>
      <c r="AH591" s="3">
        <f>IF(IFERROR(VLOOKUP(D591,Controls!$A$36:$E$46,5,FALSE()),"No")="Yes",1,0)</f>
        <v/>
      </c>
      <c r="AI591" s="3">
        <f>IF(ISNUMBER(MATCH(D591,Controls!$A$36:$A$46,0)),1,0)</f>
        <v/>
      </c>
      <c r="AJ591" s="28">
        <f>Q591-N591</f>
        <v/>
      </c>
      <c r="AK591" s="3">
        <f>IF(AE591=1,MAX(0,N591-Q591),0)</f>
        <v/>
      </c>
      <c r="AL591" s="3">
        <f>IF(OR(V591="",V591=0),0,N591/V591)</f>
        <v/>
      </c>
      <c r="AM591" s="3">
        <f>IF(OR(V591="",V591=0),0,1)</f>
        <v/>
      </c>
      <c r="AN591" s="3">
        <f>IF(OR(E591="",F591=""),0,NETWORKDAYS(E591,F591,Ref!$K$2:$K$42))</f>
        <v/>
      </c>
      <c r="AO591" s="3">
        <f>IF(L591="Renewal",1,0)</f>
        <v/>
      </c>
      <c r="AP591" s="3">
        <f>AC591*AD591</f>
        <v/>
      </c>
      <c r="AQ591" s="3">
        <f>IF(AND(G591&lt;&gt;"",'Historical Score'!$C$6&lt;&gt;""),IF(G591='Historical Score'!$C$6,1,0),0)</f>
        <v/>
      </c>
      <c r="AR591" s="3">
        <f>IF(AND(L591&lt;&gt;"",'Historical Score'!$C$5&lt;&gt;""),IF(L591='Historical Score'!$C$5,1,0),0)</f>
        <v/>
      </c>
      <c r="AS591" s="3">
        <f>IF(AND(Y591&lt;&gt;"",'Historical Score'!$C$7&lt;&gt;""),IF(Y591='Historical Score'!$C$7,1,0),0)</f>
        <v/>
      </c>
      <c r="AT591" s="3">
        <f>IF(AND(K591&lt;&gt;"",'Historical Score'!$C$8&lt;&gt;""),IF(K591='Historical Score'!$C$8,1,0),0)</f>
        <v/>
      </c>
      <c r="AU591" s="3" t="n"/>
      <c r="AV591" s="3" t="n"/>
      <c r="AW591" s="3" t="n"/>
      <c r="AX591" s="3" t="n"/>
      <c r="AY591" s="3" t="n"/>
      <c r="AZ591" s="3" t="n"/>
      <c r="BA591" s="182">
        <f>IF(AD591=1,(AR591*'Historical Score'!$K$29+1-'Historical Score'!$K$29)*(AT591*'Historical Score'!$L$29+1-'Historical Score'!$L$29)*(AS591*'Historical Score'!$M$29+1-'Historical Score'!$M$29)*(AQ591*'Historical Score'!$N$29+1-'Historical Score'!$N$29),0)</f>
        <v/>
      </c>
      <c r="BB591" s="3" t="n"/>
      <c r="BC591" s="3" t="n"/>
    </row>
    <row r="592" ht="15.75" customHeight="1" s="174">
      <c r="A592" s="3" t="inlineStr">
        <is>
          <t>5674177709</t>
        </is>
      </c>
      <c r="B592" s="3" t="inlineStr">
        <is>
          <t>JB ACCOUNTING &amp; TAX GROUP AAC</t>
        </is>
      </c>
      <c r="C592" s="3" t="inlineStr">
        <is>
          <t>JB ACCOUNTING &amp; TAX GROUP AAC</t>
        </is>
      </c>
      <c r="D592" s="3" t="inlineStr">
        <is>
          <t>Open</t>
        </is>
      </c>
      <c r="E592" s="23" t="n">
        <v>46056</v>
      </c>
      <c r="F592" s="23" t="n">
        <v>46253</v>
      </c>
      <c r="G592" s="3" t="n">
        <v>2</v>
      </c>
      <c r="H592" s="3" t="inlineStr">
        <is>
          <t>7291</t>
        </is>
      </c>
      <c r="I592" s="3" t="inlineStr">
        <is>
          <t>72</t>
        </is>
      </c>
      <c r="J592" s="3" t="inlineStr">
        <is>
          <t>TN</t>
        </is>
      </c>
      <c r="K592" s="3" t="inlineStr">
        <is>
          <t>penco holdings</t>
        </is>
      </c>
      <c r="L592" s="3" t="inlineStr">
        <is>
          <t>New Deal</t>
        </is>
      </c>
      <c r="M592" s="3" t="n">
        <v>1.45</v>
      </c>
      <c r="N592" s="28" t="n">
        <v>25000</v>
      </c>
      <c r="O592" s="28" t="n">
        <v>3000</v>
      </c>
      <c r="P592" s="28" t="n">
        <v>36250</v>
      </c>
      <c r="Q592" s="28" t="n">
        <v>32612.76</v>
      </c>
      <c r="R592" s="28" t="n">
        <v>3637.24</v>
      </c>
      <c r="S592" s="42" t="n">
        <v>0.899662344827586</v>
      </c>
      <c r="T592" s="3" t="n">
        <v>3.934</v>
      </c>
      <c r="U592" s="3" t="n">
        <v>23</v>
      </c>
      <c r="V592" s="3" t="n">
        <v>64774.47</v>
      </c>
      <c r="W592" s="42" t="n">
        <v>0.0979</v>
      </c>
      <c r="X592" s="23" t="n">
        <v>45643</v>
      </c>
      <c r="Y592" s="3">
        <f>IF(I592="","No SIC",IFERROR(VLOOKUP(I592,Ref!$A$2:$B$65,2,FALSE()),"Unclassified"))</f>
        <v/>
      </c>
      <c r="Z592" s="3">
        <f>IF(T592="","",IF(T592&lt;12,"Daily","Weekly"))</f>
        <v/>
      </c>
      <c r="AA592" s="3">
        <f>IF(T592="",0,IF(T592&lt;12,T592*Controls!$B$13,T592*5))</f>
        <v/>
      </c>
      <c r="AB592" s="3">
        <f>IF(E592="",0,NETWORKDAYS(E592,Controls!$B$20,Ref!$K$2:$K$42))</f>
        <v/>
      </c>
      <c r="AC592" s="3">
        <f>IF(OR(AF592=1,AND(AA592&gt;0,AB592&gt;=Controls!$B$23*AA592)),1,0)</f>
        <v/>
      </c>
      <c r="AD592" s="3">
        <f>IF(AND(E592&lt;&gt;"",E592&gt;=Controls!$B$21,E592&lt;=Controls!$B$22),1,0)</f>
        <v/>
      </c>
      <c r="AE592" s="3">
        <f>IF(IFERROR(VLOOKUP(D592,Controls!$A$36:$E$46,2,FALSE()),"No")="Yes",1,0)</f>
        <v/>
      </c>
      <c r="AF592" s="3">
        <f>IF(IFERROR(VLOOKUP(D592,Controls!$A$36:$E$46,3,FALSE()),"No")="Yes",1,0)</f>
        <v/>
      </c>
      <c r="AG592" s="3">
        <f>IF(IFERROR(VLOOKUP(D592,Controls!$A$36:$E$46,4,FALSE()),"No")="Yes",1,0)</f>
        <v/>
      </c>
      <c r="AH592" s="3">
        <f>IF(IFERROR(VLOOKUP(D592,Controls!$A$36:$E$46,5,FALSE()),"No")="Yes",1,0)</f>
        <v/>
      </c>
      <c r="AI592" s="3">
        <f>IF(ISNUMBER(MATCH(D592,Controls!$A$36:$A$46,0)),1,0)</f>
        <v/>
      </c>
      <c r="AJ592" s="28">
        <f>Q592-N592</f>
        <v/>
      </c>
      <c r="AK592" s="3">
        <f>IF(AE592=1,MAX(0,N592-Q592),0)</f>
        <v/>
      </c>
      <c r="AL592" s="3">
        <f>IF(OR(V592="",V592=0),0,N592/V592)</f>
        <v/>
      </c>
      <c r="AM592" s="3">
        <f>IF(OR(V592="",V592=0),0,1)</f>
        <v/>
      </c>
      <c r="AN592" s="3">
        <f>IF(OR(E592="",F592=""),0,NETWORKDAYS(E592,F592,Ref!$K$2:$K$42))</f>
        <v/>
      </c>
      <c r="AO592" s="3">
        <f>IF(L592="Renewal",1,0)</f>
        <v/>
      </c>
      <c r="AP592" s="3">
        <f>AC592*AD592</f>
        <v/>
      </c>
      <c r="AQ592" s="3">
        <f>IF(AND(G592&lt;&gt;"",'Historical Score'!$C$6&lt;&gt;""),IF(G592='Historical Score'!$C$6,1,0),0)</f>
        <v/>
      </c>
      <c r="AR592" s="3">
        <f>IF(AND(L592&lt;&gt;"",'Historical Score'!$C$5&lt;&gt;""),IF(L592='Historical Score'!$C$5,1,0),0)</f>
        <v/>
      </c>
      <c r="AS592" s="3">
        <f>IF(AND(Y592&lt;&gt;"",'Historical Score'!$C$7&lt;&gt;""),IF(Y592='Historical Score'!$C$7,1,0),0)</f>
        <v/>
      </c>
      <c r="AT592" s="3">
        <f>IF(AND(K592&lt;&gt;"",'Historical Score'!$C$8&lt;&gt;""),IF(K592='Historical Score'!$C$8,1,0),0)</f>
        <v/>
      </c>
      <c r="AU592" s="3" t="n"/>
      <c r="AV592" s="3" t="n"/>
      <c r="AW592" s="3" t="n"/>
      <c r="AX592" s="3" t="n"/>
      <c r="AY592" s="3" t="n"/>
      <c r="AZ592" s="3" t="n"/>
      <c r="BA592" s="182">
        <f>IF(AD592=1,(AR592*'Historical Score'!$K$29+1-'Historical Score'!$K$29)*(AT592*'Historical Score'!$L$29+1-'Historical Score'!$L$29)*(AS592*'Historical Score'!$M$29+1-'Historical Score'!$M$29)*(AQ592*'Historical Score'!$N$29+1-'Historical Score'!$N$29),0)</f>
        <v/>
      </c>
      <c r="BB592" s="3" t="n"/>
      <c r="BC592" s="3" t="n"/>
    </row>
    <row r="593" ht="15.75" customHeight="1" s="174">
      <c r="A593" s="3" t="inlineStr">
        <is>
          <t>5674177736</t>
        </is>
      </c>
      <c r="B593" s="3" t="inlineStr">
        <is>
          <t>jaar global LLC</t>
        </is>
      </c>
      <c r="C593" s="3" t="inlineStr">
        <is>
          <t>jaar global LLC</t>
        </is>
      </c>
      <c r="D593" s="3" t="inlineStr">
        <is>
          <t>Legal</t>
        </is>
      </c>
      <c r="E593" s="23" t="n">
        <v>46056</v>
      </c>
      <c r="F593" s="23" t="n">
        <v>46090</v>
      </c>
      <c r="G593" s="3" t="n">
        <v>3</v>
      </c>
      <c r="H593" s="3" t="inlineStr">
        <is>
          <t>1521</t>
        </is>
      </c>
      <c r="I593" s="3" t="inlineStr">
        <is>
          <t>15</t>
        </is>
      </c>
      <c r="J593" s="3" t="inlineStr">
        <is>
          <t>TX</t>
        </is>
      </c>
      <c r="K593" s="3" t="inlineStr">
        <is>
          <t>Upwise capital</t>
        </is>
      </c>
      <c r="L593" s="3" t="inlineStr">
        <is>
          <t>New Deal</t>
        </is>
      </c>
      <c r="M593" s="3" t="n">
        <v>1.35</v>
      </c>
      <c r="N593" s="28" t="n">
        <v>40000</v>
      </c>
      <c r="O593" s="28" t="n">
        <v>2800</v>
      </c>
      <c r="P593" s="28" t="n">
        <v>54000</v>
      </c>
      <c r="Q593" s="28" t="n">
        <v>5794.14</v>
      </c>
      <c r="R593" s="28" t="n">
        <v>48205.86</v>
      </c>
      <c r="S593" s="42" t="n">
        <v>0.107298888888889</v>
      </c>
      <c r="T593" s="3" t="n">
        <v>28</v>
      </c>
      <c r="U593" s="3" t="n">
        <v>1</v>
      </c>
      <c r="V593" s="3" t="n">
        <v>228565.17</v>
      </c>
      <c r="W593" s="42" t="n">
        <v>0.0338</v>
      </c>
      <c r="X593" s="23" t="n">
        <v>45614</v>
      </c>
      <c r="Y593" s="3">
        <f>IF(I593="","No SIC",IFERROR(VLOOKUP(I593,Ref!$A$2:$B$65,2,FALSE()),"Unclassified"))</f>
        <v/>
      </c>
      <c r="Z593" s="3">
        <f>IF(T593="","",IF(T593&lt;12,"Daily","Weekly"))</f>
        <v/>
      </c>
      <c r="AA593" s="3">
        <f>IF(T593="",0,IF(T593&lt;12,T593*Controls!$B$13,T593*5))</f>
        <v/>
      </c>
      <c r="AB593" s="3">
        <f>IF(E593="",0,NETWORKDAYS(E593,Controls!$B$20,Ref!$K$2:$K$42))</f>
        <v/>
      </c>
      <c r="AC593" s="3">
        <f>IF(OR(AF593=1,AND(AA593&gt;0,AB593&gt;=Controls!$B$23*AA593)),1,0)</f>
        <v/>
      </c>
      <c r="AD593" s="3">
        <f>IF(AND(E593&lt;&gt;"",E593&gt;=Controls!$B$21,E593&lt;=Controls!$B$22),1,0)</f>
        <v/>
      </c>
      <c r="AE593" s="3">
        <f>IF(IFERROR(VLOOKUP(D593,Controls!$A$36:$E$46,2,FALSE()),"No")="Yes",1,0)</f>
        <v/>
      </c>
      <c r="AF593" s="3">
        <f>IF(IFERROR(VLOOKUP(D593,Controls!$A$36:$E$46,3,FALSE()),"No")="Yes",1,0)</f>
        <v/>
      </c>
      <c r="AG593" s="3">
        <f>IF(IFERROR(VLOOKUP(D593,Controls!$A$36:$E$46,4,FALSE()),"No")="Yes",1,0)</f>
        <v/>
      </c>
      <c r="AH593" s="3">
        <f>IF(IFERROR(VLOOKUP(D593,Controls!$A$36:$E$46,5,FALSE()),"No")="Yes",1,0)</f>
        <v/>
      </c>
      <c r="AI593" s="3">
        <f>IF(ISNUMBER(MATCH(D593,Controls!$A$36:$A$46,0)),1,0)</f>
        <v/>
      </c>
      <c r="AJ593" s="28">
        <f>Q593-N593</f>
        <v/>
      </c>
      <c r="AK593" s="3">
        <f>IF(AE593=1,MAX(0,N593-Q593),0)</f>
        <v/>
      </c>
      <c r="AL593" s="3">
        <f>IF(OR(V593="",V593=0),0,N593/V593)</f>
        <v/>
      </c>
      <c r="AM593" s="3">
        <f>IF(OR(V593="",V593=0),0,1)</f>
        <v/>
      </c>
      <c r="AN593" s="3">
        <f>IF(OR(E593="",F593=""),0,NETWORKDAYS(E593,F593,Ref!$K$2:$K$42))</f>
        <v/>
      </c>
      <c r="AO593" s="3">
        <f>IF(L593="Renewal",1,0)</f>
        <v/>
      </c>
      <c r="AP593" s="3">
        <f>AC593*AD593</f>
        <v/>
      </c>
      <c r="AQ593" s="3">
        <f>IF(AND(G593&lt;&gt;"",'Historical Score'!$C$6&lt;&gt;""),IF(G593='Historical Score'!$C$6,1,0),0)</f>
        <v/>
      </c>
      <c r="AR593" s="3">
        <f>IF(AND(L593&lt;&gt;"",'Historical Score'!$C$5&lt;&gt;""),IF(L593='Historical Score'!$C$5,1,0),0)</f>
        <v/>
      </c>
      <c r="AS593" s="3">
        <f>IF(AND(Y593&lt;&gt;"",'Historical Score'!$C$7&lt;&gt;""),IF(Y593='Historical Score'!$C$7,1,0),0)</f>
        <v/>
      </c>
      <c r="AT593" s="3">
        <f>IF(AND(K593&lt;&gt;"",'Historical Score'!$C$8&lt;&gt;""),IF(K593='Historical Score'!$C$8,1,0),0)</f>
        <v/>
      </c>
      <c r="AU593" s="3" t="n"/>
      <c r="AV593" s="3" t="n"/>
      <c r="AW593" s="3" t="n"/>
      <c r="AX593" s="3" t="n"/>
      <c r="AY593" s="3" t="n"/>
      <c r="AZ593" s="3" t="n"/>
      <c r="BA593" s="182">
        <f>IF(AD593=1,(AR593*'Historical Score'!$K$29+1-'Historical Score'!$K$29)*(AT593*'Historical Score'!$L$29+1-'Historical Score'!$L$29)*(AS593*'Historical Score'!$M$29+1-'Historical Score'!$M$29)*(AQ593*'Historical Score'!$N$29+1-'Historical Score'!$N$29),0)</f>
        <v/>
      </c>
      <c r="BB593" s="3" t="n"/>
      <c r="BC593" s="3" t="n"/>
    </row>
    <row r="594" ht="15.75" customHeight="1" s="174">
      <c r="A594" s="3" t="inlineStr">
        <is>
          <t>5674177740</t>
        </is>
      </c>
      <c r="B594" s="3" t="inlineStr">
        <is>
          <t>GONMAX SERVICES, INC</t>
        </is>
      </c>
      <c r="C594" s="3" t="inlineStr">
        <is>
          <t>GONMAX SERVICES, INC</t>
        </is>
      </c>
      <c r="D594" s="3" t="inlineStr">
        <is>
          <t>Open</t>
        </is>
      </c>
      <c r="E594" s="23" t="n">
        <v>46056</v>
      </c>
      <c r="F594" s="23" t="n">
        <v>46253</v>
      </c>
      <c r="G594" s="3" t="n">
        <v>3</v>
      </c>
      <c r="H594" s="3" t="inlineStr">
        <is>
          <t>4212</t>
        </is>
      </c>
      <c r="I594" s="3" t="inlineStr">
        <is>
          <t>42</t>
        </is>
      </c>
      <c r="J594" s="3" t="inlineStr">
        <is>
          <t>FL</t>
        </is>
      </c>
      <c r="K594" s="3" t="inlineStr">
        <is>
          <t>United Secured Capital 8</t>
        </is>
      </c>
      <c r="L594" s="3" t="inlineStr">
        <is>
          <t>New Deal</t>
        </is>
      </c>
      <c r="M594" s="3" t="n">
        <v>1.49</v>
      </c>
      <c r="N594" s="28" t="n">
        <v>20000</v>
      </c>
      <c r="O594" s="28" t="n">
        <v>2800</v>
      </c>
      <c r="P594" s="28" t="n">
        <v>29800</v>
      </c>
      <c r="Q594" s="28" t="n">
        <v>26795.88</v>
      </c>
      <c r="R594" s="28" t="n">
        <v>3004.12</v>
      </c>
      <c r="S594" s="42" t="n">
        <v>0.899190604026846</v>
      </c>
      <c r="T594" s="3" t="n">
        <v>3.934</v>
      </c>
      <c r="U594" s="3" t="n">
        <v>19</v>
      </c>
      <c r="V594" s="3" t="n">
        <v>148441.71</v>
      </c>
      <c r="W594" s="42" t="n">
        <v>0.0351</v>
      </c>
      <c r="X594" s="23" t="n">
        <v>40299</v>
      </c>
      <c r="Y594" s="3">
        <f>IF(I594="","No SIC",IFERROR(VLOOKUP(I594,Ref!$A$2:$B$65,2,FALSE()),"Unclassified"))</f>
        <v/>
      </c>
      <c r="Z594" s="3">
        <f>IF(T594="","",IF(T594&lt;12,"Daily","Weekly"))</f>
        <v/>
      </c>
      <c r="AA594" s="3">
        <f>IF(T594="",0,IF(T594&lt;12,T594*Controls!$B$13,T594*5))</f>
        <v/>
      </c>
      <c r="AB594" s="3">
        <f>IF(E594="",0,NETWORKDAYS(E594,Controls!$B$20,Ref!$K$2:$K$42))</f>
        <v/>
      </c>
      <c r="AC594" s="3">
        <f>IF(OR(AF594=1,AND(AA594&gt;0,AB594&gt;=Controls!$B$23*AA594)),1,0)</f>
        <v/>
      </c>
      <c r="AD594" s="3">
        <f>IF(AND(E594&lt;&gt;"",E594&gt;=Controls!$B$21,E594&lt;=Controls!$B$22),1,0)</f>
        <v/>
      </c>
      <c r="AE594" s="3">
        <f>IF(IFERROR(VLOOKUP(D594,Controls!$A$36:$E$46,2,FALSE()),"No")="Yes",1,0)</f>
        <v/>
      </c>
      <c r="AF594" s="3">
        <f>IF(IFERROR(VLOOKUP(D594,Controls!$A$36:$E$46,3,FALSE()),"No")="Yes",1,0)</f>
        <v/>
      </c>
      <c r="AG594" s="3">
        <f>IF(IFERROR(VLOOKUP(D594,Controls!$A$36:$E$46,4,FALSE()),"No")="Yes",1,0)</f>
        <v/>
      </c>
      <c r="AH594" s="3">
        <f>IF(IFERROR(VLOOKUP(D594,Controls!$A$36:$E$46,5,FALSE()),"No")="Yes",1,0)</f>
        <v/>
      </c>
      <c r="AI594" s="3">
        <f>IF(ISNUMBER(MATCH(D594,Controls!$A$36:$A$46,0)),1,0)</f>
        <v/>
      </c>
      <c r="AJ594" s="28">
        <f>Q594-N594</f>
        <v/>
      </c>
      <c r="AK594" s="3">
        <f>IF(AE594=1,MAX(0,N594-Q594),0)</f>
        <v/>
      </c>
      <c r="AL594" s="3">
        <f>IF(OR(V594="",V594=0),0,N594/V594)</f>
        <v/>
      </c>
      <c r="AM594" s="3">
        <f>IF(OR(V594="",V594=0),0,1)</f>
        <v/>
      </c>
      <c r="AN594" s="3">
        <f>IF(OR(E594="",F594=""),0,NETWORKDAYS(E594,F594,Ref!$K$2:$K$42))</f>
        <v/>
      </c>
      <c r="AO594" s="3">
        <f>IF(L594="Renewal",1,0)</f>
        <v/>
      </c>
      <c r="AP594" s="3">
        <f>AC594*AD594</f>
        <v/>
      </c>
      <c r="AQ594" s="3">
        <f>IF(AND(G594&lt;&gt;"",'Historical Score'!$C$6&lt;&gt;""),IF(G594='Historical Score'!$C$6,1,0),0)</f>
        <v/>
      </c>
      <c r="AR594" s="3">
        <f>IF(AND(L594&lt;&gt;"",'Historical Score'!$C$5&lt;&gt;""),IF(L594='Historical Score'!$C$5,1,0),0)</f>
        <v/>
      </c>
      <c r="AS594" s="3">
        <f>IF(AND(Y594&lt;&gt;"",'Historical Score'!$C$7&lt;&gt;""),IF(Y594='Historical Score'!$C$7,1,0),0)</f>
        <v/>
      </c>
      <c r="AT594" s="3">
        <f>IF(AND(K594&lt;&gt;"",'Historical Score'!$C$8&lt;&gt;""),IF(K594='Historical Score'!$C$8,1,0),0)</f>
        <v/>
      </c>
      <c r="AU594" s="3" t="n"/>
      <c r="AV594" s="3" t="n"/>
      <c r="AW594" s="3" t="n"/>
      <c r="AX594" s="3" t="n"/>
      <c r="AY594" s="3" t="n"/>
      <c r="AZ594" s="3" t="n"/>
      <c r="BA594" s="182">
        <f>IF(AD594=1,(AR594*'Historical Score'!$K$29+1-'Historical Score'!$K$29)*(AT594*'Historical Score'!$L$29+1-'Historical Score'!$L$29)*(AS594*'Historical Score'!$M$29+1-'Historical Score'!$M$29)*(AQ594*'Historical Score'!$N$29+1-'Historical Score'!$N$29),0)</f>
        <v/>
      </c>
      <c r="BB594" s="3" t="n"/>
      <c r="BC594" s="3" t="n"/>
    </row>
    <row r="595" ht="15.75" customHeight="1" s="174">
      <c r="A595" s="3" t="inlineStr">
        <is>
          <t>5674177761</t>
        </is>
      </c>
      <c r="B595" s="3" t="inlineStr">
        <is>
          <t>SV FRANCHISE, LLC</t>
        </is>
      </c>
      <c r="C595" s="3" t="inlineStr">
        <is>
          <t>SV FRANCHISE, LLC</t>
        </is>
      </c>
      <c r="D595" s="3" t="inlineStr">
        <is>
          <t>Open</t>
        </is>
      </c>
      <c r="E595" s="23" t="n">
        <v>46056</v>
      </c>
      <c r="F595" s="23" t="n">
        <v>46246</v>
      </c>
      <c r="G595" s="3" t="n">
        <v>3</v>
      </c>
      <c r="H595" s="3" t="inlineStr">
        <is>
          <t>5812</t>
        </is>
      </c>
      <c r="I595" s="3" t="inlineStr">
        <is>
          <t>58</t>
        </is>
      </c>
      <c r="J595" s="3" t="inlineStr">
        <is>
          <t>GA</t>
        </is>
      </c>
      <c r="K595" s="3" t="inlineStr">
        <is>
          <t>DIRECT CAPITAL SOURCE, INC.</t>
        </is>
      </c>
      <c r="L595" s="3" t="inlineStr">
        <is>
          <t>New Deal</t>
        </is>
      </c>
      <c r="M595" s="3" t="n">
        <v>1.49</v>
      </c>
      <c r="N595" s="28" t="n">
        <v>15000</v>
      </c>
      <c r="O595" s="28" t="n">
        <v>2100</v>
      </c>
      <c r="P595" s="28" t="n">
        <v>22350</v>
      </c>
      <c r="Q595" s="28" t="n">
        <v>22350</v>
      </c>
      <c r="R595" s="28" t="n">
        <v>0</v>
      </c>
      <c r="S595" s="42" t="n">
        <v>1</v>
      </c>
      <c r="T595" s="3" t="n">
        <v>2.623</v>
      </c>
      <c r="U595" s="3" t="n">
        <v>52</v>
      </c>
      <c r="V595" s="3" t="n">
        <v>243566.06</v>
      </c>
      <c r="W595" s="42" t="n">
        <v>0.0241</v>
      </c>
      <c r="X595" s="23" t="n">
        <v>45552</v>
      </c>
      <c r="Y595" s="3">
        <f>IF(I595="","No SIC",IFERROR(VLOOKUP(I595,Ref!$A$2:$B$65,2,FALSE()),"Unclassified"))</f>
        <v/>
      </c>
      <c r="Z595" s="3">
        <f>IF(T595="","",IF(T595&lt;12,"Daily","Weekly"))</f>
        <v/>
      </c>
      <c r="AA595" s="3">
        <f>IF(T595="",0,IF(T595&lt;12,T595*Controls!$B$13,T595*5))</f>
        <v/>
      </c>
      <c r="AB595" s="3">
        <f>IF(E595="",0,NETWORKDAYS(E595,Controls!$B$20,Ref!$K$2:$K$42))</f>
        <v/>
      </c>
      <c r="AC595" s="3">
        <f>IF(OR(AF595=1,AND(AA595&gt;0,AB595&gt;=Controls!$B$23*AA595)),1,0)</f>
        <v/>
      </c>
      <c r="AD595" s="3">
        <f>IF(AND(E595&lt;&gt;"",E595&gt;=Controls!$B$21,E595&lt;=Controls!$B$22),1,0)</f>
        <v/>
      </c>
      <c r="AE595" s="3">
        <f>IF(IFERROR(VLOOKUP(D595,Controls!$A$36:$E$46,2,FALSE()),"No")="Yes",1,0)</f>
        <v/>
      </c>
      <c r="AF595" s="3">
        <f>IF(IFERROR(VLOOKUP(D595,Controls!$A$36:$E$46,3,FALSE()),"No")="Yes",1,0)</f>
        <v/>
      </c>
      <c r="AG595" s="3">
        <f>IF(IFERROR(VLOOKUP(D595,Controls!$A$36:$E$46,4,FALSE()),"No")="Yes",1,0)</f>
        <v/>
      </c>
      <c r="AH595" s="3">
        <f>IF(IFERROR(VLOOKUP(D595,Controls!$A$36:$E$46,5,FALSE()),"No")="Yes",1,0)</f>
        <v/>
      </c>
      <c r="AI595" s="3">
        <f>IF(ISNUMBER(MATCH(D595,Controls!$A$36:$A$46,0)),1,0)</f>
        <v/>
      </c>
      <c r="AJ595" s="28">
        <f>Q595-N595</f>
        <v/>
      </c>
      <c r="AK595" s="3">
        <f>IF(AE595=1,MAX(0,N595-Q595),0)</f>
        <v/>
      </c>
      <c r="AL595" s="3">
        <f>IF(OR(V595="",V595=0),0,N595/V595)</f>
        <v/>
      </c>
      <c r="AM595" s="3">
        <f>IF(OR(V595="",V595=0),0,1)</f>
        <v/>
      </c>
      <c r="AN595" s="3">
        <f>IF(OR(E595="",F595=""),0,NETWORKDAYS(E595,F595,Ref!$K$2:$K$42))</f>
        <v/>
      </c>
      <c r="AO595" s="3">
        <f>IF(L595="Renewal",1,0)</f>
        <v/>
      </c>
      <c r="AP595" s="3">
        <f>AC595*AD595</f>
        <v/>
      </c>
      <c r="AQ595" s="3">
        <f>IF(AND(G595&lt;&gt;"",'Historical Score'!$C$6&lt;&gt;""),IF(G595='Historical Score'!$C$6,1,0),0)</f>
        <v/>
      </c>
      <c r="AR595" s="3">
        <f>IF(AND(L595&lt;&gt;"",'Historical Score'!$C$5&lt;&gt;""),IF(L595='Historical Score'!$C$5,1,0),0)</f>
        <v/>
      </c>
      <c r="AS595" s="3">
        <f>IF(AND(Y595&lt;&gt;"",'Historical Score'!$C$7&lt;&gt;""),IF(Y595='Historical Score'!$C$7,1,0),0)</f>
        <v/>
      </c>
      <c r="AT595" s="3">
        <f>IF(AND(K595&lt;&gt;"",'Historical Score'!$C$8&lt;&gt;""),IF(K595='Historical Score'!$C$8,1,0),0)</f>
        <v/>
      </c>
      <c r="AU595" s="3" t="n"/>
      <c r="AV595" s="3" t="n"/>
      <c r="AW595" s="3" t="n"/>
      <c r="AX595" s="3" t="n"/>
      <c r="AY595" s="3" t="n"/>
      <c r="AZ595" s="3" t="n"/>
      <c r="BA595" s="182">
        <f>IF(AD595=1,(AR595*'Historical Score'!$K$29+1-'Historical Score'!$K$29)*(AT595*'Historical Score'!$L$29+1-'Historical Score'!$L$29)*(AS595*'Historical Score'!$M$29+1-'Historical Score'!$M$29)*(AQ595*'Historical Score'!$N$29+1-'Historical Score'!$N$29),0)</f>
        <v/>
      </c>
      <c r="BB595" s="3" t="n"/>
      <c r="BC595" s="3" t="n"/>
    </row>
    <row r="596" ht="15.75" customHeight="1" s="174">
      <c r="A596" s="3" t="inlineStr">
        <is>
          <t>5674177801</t>
        </is>
      </c>
      <c r="B596" s="3" t="inlineStr">
        <is>
          <t>sunshine rentals and tors</t>
        </is>
      </c>
      <c r="C596" s="3" t="inlineStr">
        <is>
          <t>SUNSHINE RENTALS &amp; TOURS CORP</t>
        </is>
      </c>
      <c r="D596" s="3" t="inlineStr">
        <is>
          <t>Legal</t>
        </is>
      </c>
      <c r="E596" s="23" t="n">
        <v>46057</v>
      </c>
      <c r="F596" s="23" t="n">
        <v>46122</v>
      </c>
      <c r="G596" s="3" t="n">
        <v>3</v>
      </c>
      <c r="H596" s="3" t="inlineStr">
        <is>
          <t>4725</t>
        </is>
      </c>
      <c r="I596" s="3" t="inlineStr">
        <is>
          <t>47</t>
        </is>
      </c>
      <c r="J596" s="3" t="inlineStr">
        <is>
          <t>FL</t>
        </is>
      </c>
      <c r="K596" s="3" t="inlineStr">
        <is>
          <t>Ballicci</t>
        </is>
      </c>
      <c r="L596" s="3" t="inlineStr">
        <is>
          <t>New Deal</t>
        </is>
      </c>
      <c r="M596" s="3" t="n">
        <v>1.49</v>
      </c>
      <c r="N596" s="28" t="n">
        <v>15000</v>
      </c>
      <c r="O596" s="28" t="n">
        <v>0</v>
      </c>
      <c r="P596" s="28" t="n">
        <v>22350</v>
      </c>
      <c r="Q596" s="28" t="n">
        <v>868.98</v>
      </c>
      <c r="R596" s="28" t="n">
        <v>21481.02</v>
      </c>
      <c r="S596" s="42" t="n">
        <v>0.0388805369127517</v>
      </c>
      <c r="T596" s="3" t="n">
        <v>2.951</v>
      </c>
      <c r="U596" s="3" t="n">
        <v>39</v>
      </c>
      <c r="V596" s="3" t="n">
        <v>57804.69</v>
      </c>
      <c r="W596" s="42" t="n">
        <v>0.0902</v>
      </c>
      <c r="X596" s="23" t="n">
        <v>41275</v>
      </c>
      <c r="Y596" s="3">
        <f>IF(I596="","No SIC",IFERROR(VLOOKUP(I596,Ref!$A$2:$B$65,2,FALSE()),"Unclassified"))</f>
        <v/>
      </c>
      <c r="Z596" s="3">
        <f>IF(T596="","",IF(T596&lt;12,"Daily","Weekly"))</f>
        <v/>
      </c>
      <c r="AA596" s="3">
        <f>IF(T596="",0,IF(T596&lt;12,T596*Controls!$B$13,T596*5))</f>
        <v/>
      </c>
      <c r="AB596" s="3">
        <f>IF(E596="",0,NETWORKDAYS(E596,Controls!$B$20,Ref!$K$2:$K$42))</f>
        <v/>
      </c>
      <c r="AC596" s="3">
        <f>IF(OR(AF596=1,AND(AA596&gt;0,AB596&gt;=Controls!$B$23*AA596)),1,0)</f>
        <v/>
      </c>
      <c r="AD596" s="3">
        <f>IF(AND(E596&lt;&gt;"",E596&gt;=Controls!$B$21,E596&lt;=Controls!$B$22),1,0)</f>
        <v/>
      </c>
      <c r="AE596" s="3">
        <f>IF(IFERROR(VLOOKUP(D596,Controls!$A$36:$E$46,2,FALSE()),"No")="Yes",1,0)</f>
        <v/>
      </c>
      <c r="AF596" s="3">
        <f>IF(IFERROR(VLOOKUP(D596,Controls!$A$36:$E$46,3,FALSE()),"No")="Yes",1,0)</f>
        <v/>
      </c>
      <c r="AG596" s="3">
        <f>IF(IFERROR(VLOOKUP(D596,Controls!$A$36:$E$46,4,FALSE()),"No")="Yes",1,0)</f>
        <v/>
      </c>
      <c r="AH596" s="3">
        <f>IF(IFERROR(VLOOKUP(D596,Controls!$A$36:$E$46,5,FALSE()),"No")="Yes",1,0)</f>
        <v/>
      </c>
      <c r="AI596" s="3">
        <f>IF(ISNUMBER(MATCH(D596,Controls!$A$36:$A$46,0)),1,0)</f>
        <v/>
      </c>
      <c r="AJ596" s="28">
        <f>Q596-N596</f>
        <v/>
      </c>
      <c r="AK596" s="3">
        <f>IF(AE596=1,MAX(0,N596-Q596),0)</f>
        <v/>
      </c>
      <c r="AL596" s="3">
        <f>IF(OR(V596="",V596=0),0,N596/V596)</f>
        <v/>
      </c>
      <c r="AM596" s="3">
        <f>IF(OR(V596="",V596=0),0,1)</f>
        <v/>
      </c>
      <c r="AN596" s="3">
        <f>IF(OR(E596="",F596=""),0,NETWORKDAYS(E596,F596,Ref!$K$2:$K$42))</f>
        <v/>
      </c>
      <c r="AO596" s="3">
        <f>IF(L596="Renewal",1,0)</f>
        <v/>
      </c>
      <c r="AP596" s="3">
        <f>AC596*AD596</f>
        <v/>
      </c>
      <c r="AQ596" s="3">
        <f>IF(AND(G596&lt;&gt;"",'Historical Score'!$C$6&lt;&gt;""),IF(G596='Historical Score'!$C$6,1,0),0)</f>
        <v/>
      </c>
      <c r="AR596" s="3">
        <f>IF(AND(L596&lt;&gt;"",'Historical Score'!$C$5&lt;&gt;""),IF(L596='Historical Score'!$C$5,1,0),0)</f>
        <v/>
      </c>
      <c r="AS596" s="3">
        <f>IF(AND(Y596&lt;&gt;"",'Historical Score'!$C$7&lt;&gt;""),IF(Y596='Historical Score'!$C$7,1,0),0)</f>
        <v/>
      </c>
      <c r="AT596" s="3">
        <f>IF(AND(K596&lt;&gt;"",'Historical Score'!$C$8&lt;&gt;""),IF(K596='Historical Score'!$C$8,1,0),0)</f>
        <v/>
      </c>
      <c r="AU596" s="3" t="n"/>
      <c r="AV596" s="3" t="n"/>
      <c r="AW596" s="3" t="n"/>
      <c r="AX596" s="3" t="n"/>
      <c r="AY596" s="3" t="n"/>
      <c r="AZ596" s="3" t="n"/>
      <c r="BA596" s="182">
        <f>IF(AD596=1,(AR596*'Historical Score'!$K$29+1-'Historical Score'!$K$29)*(AT596*'Historical Score'!$L$29+1-'Historical Score'!$L$29)*(AS596*'Historical Score'!$M$29+1-'Historical Score'!$M$29)*(AQ596*'Historical Score'!$N$29+1-'Historical Score'!$N$29),0)</f>
        <v/>
      </c>
      <c r="BB596" s="3" t="n"/>
      <c r="BC596" s="3" t="n"/>
    </row>
    <row r="597" ht="15.75" customHeight="1" s="174">
      <c r="A597" s="3" t="inlineStr">
        <is>
          <t>5674177803</t>
        </is>
      </c>
      <c r="B597" s="3" t="inlineStr">
        <is>
          <t>B &amp; R TILES INC</t>
        </is>
      </c>
      <c r="C597" s="3" t="inlineStr">
        <is>
          <t>B &amp; R TILES INC</t>
        </is>
      </c>
      <c r="D597" s="3" t="inlineStr">
        <is>
          <t>Legal</t>
        </is>
      </c>
      <c r="E597" s="23" t="n">
        <v>46057</v>
      </c>
      <c r="F597" s="23" t="n">
        <v>46176</v>
      </c>
      <c r="G597" s="3" t="n">
        <v>3</v>
      </c>
      <c r="H597" s="3" t="inlineStr">
        <is>
          <t>1521</t>
        </is>
      </c>
      <c r="I597" s="3" t="inlineStr">
        <is>
          <t>15</t>
        </is>
      </c>
      <c r="J597" s="3" t="inlineStr">
        <is>
          <t>FL</t>
        </is>
      </c>
      <c r="K597" s="3" t="inlineStr">
        <is>
          <t>Ballicci</t>
        </is>
      </c>
      <c r="L597" s="3" t="inlineStr">
        <is>
          <t>New Deal</t>
        </is>
      </c>
      <c r="M597" s="3" t="n">
        <v>1.49</v>
      </c>
      <c r="N597" s="28" t="n">
        <v>33000</v>
      </c>
      <c r="O597" s="28" t="n">
        <v>0</v>
      </c>
      <c r="P597" s="28" t="n">
        <v>49170</v>
      </c>
      <c r="Q597" s="28" t="n">
        <v>5848.18</v>
      </c>
      <c r="R597" s="28" t="n">
        <v>43321.82</v>
      </c>
      <c r="S597" s="42" t="n">
        <v>0.118937970307098</v>
      </c>
      <c r="T597" s="3" t="n">
        <v>24</v>
      </c>
      <c r="U597" s="3" t="n">
        <v>7</v>
      </c>
      <c r="V597" s="3" t="n">
        <v>55343.53</v>
      </c>
      <c r="W597" s="42" t="n">
        <v>0.1481</v>
      </c>
      <c r="X597" s="23" t="n">
        <v>45004</v>
      </c>
      <c r="Y597" s="3">
        <f>IF(I597="","No SIC",IFERROR(VLOOKUP(I597,Ref!$A$2:$B$65,2,FALSE()),"Unclassified"))</f>
        <v/>
      </c>
      <c r="Z597" s="3">
        <f>IF(T597="","",IF(T597&lt;12,"Daily","Weekly"))</f>
        <v/>
      </c>
      <c r="AA597" s="3">
        <f>IF(T597="",0,IF(T597&lt;12,T597*Controls!$B$13,T597*5))</f>
        <v/>
      </c>
      <c r="AB597" s="3">
        <f>IF(E597="",0,NETWORKDAYS(E597,Controls!$B$20,Ref!$K$2:$K$42))</f>
        <v/>
      </c>
      <c r="AC597" s="3">
        <f>IF(OR(AF597=1,AND(AA597&gt;0,AB597&gt;=Controls!$B$23*AA597)),1,0)</f>
        <v/>
      </c>
      <c r="AD597" s="3">
        <f>IF(AND(E597&lt;&gt;"",E597&gt;=Controls!$B$21,E597&lt;=Controls!$B$22),1,0)</f>
        <v/>
      </c>
      <c r="AE597" s="3">
        <f>IF(IFERROR(VLOOKUP(D597,Controls!$A$36:$E$46,2,FALSE()),"No")="Yes",1,0)</f>
        <v/>
      </c>
      <c r="AF597" s="3">
        <f>IF(IFERROR(VLOOKUP(D597,Controls!$A$36:$E$46,3,FALSE()),"No")="Yes",1,0)</f>
        <v/>
      </c>
      <c r="AG597" s="3">
        <f>IF(IFERROR(VLOOKUP(D597,Controls!$A$36:$E$46,4,FALSE()),"No")="Yes",1,0)</f>
        <v/>
      </c>
      <c r="AH597" s="3">
        <f>IF(IFERROR(VLOOKUP(D597,Controls!$A$36:$E$46,5,FALSE()),"No")="Yes",1,0)</f>
        <v/>
      </c>
      <c r="AI597" s="3">
        <f>IF(ISNUMBER(MATCH(D597,Controls!$A$36:$A$46,0)),1,0)</f>
        <v/>
      </c>
      <c r="AJ597" s="28">
        <f>Q597-N597</f>
        <v/>
      </c>
      <c r="AK597" s="3">
        <f>IF(AE597=1,MAX(0,N597-Q597),0)</f>
        <v/>
      </c>
      <c r="AL597" s="3">
        <f>IF(OR(V597="",V597=0),0,N597/V597)</f>
        <v/>
      </c>
      <c r="AM597" s="3">
        <f>IF(OR(V597="",V597=0),0,1)</f>
        <v/>
      </c>
      <c r="AN597" s="3">
        <f>IF(OR(E597="",F597=""),0,NETWORKDAYS(E597,F597,Ref!$K$2:$K$42))</f>
        <v/>
      </c>
      <c r="AO597" s="3">
        <f>IF(L597="Renewal",1,0)</f>
        <v/>
      </c>
      <c r="AP597" s="3">
        <f>AC597*AD597</f>
        <v/>
      </c>
      <c r="AQ597" s="3">
        <f>IF(AND(G597&lt;&gt;"",'Historical Score'!$C$6&lt;&gt;""),IF(G597='Historical Score'!$C$6,1,0),0)</f>
        <v/>
      </c>
      <c r="AR597" s="3">
        <f>IF(AND(L597&lt;&gt;"",'Historical Score'!$C$5&lt;&gt;""),IF(L597='Historical Score'!$C$5,1,0),0)</f>
        <v/>
      </c>
      <c r="AS597" s="3">
        <f>IF(AND(Y597&lt;&gt;"",'Historical Score'!$C$7&lt;&gt;""),IF(Y597='Historical Score'!$C$7,1,0),0)</f>
        <v/>
      </c>
      <c r="AT597" s="3">
        <f>IF(AND(K597&lt;&gt;"",'Historical Score'!$C$8&lt;&gt;""),IF(K597='Historical Score'!$C$8,1,0),0)</f>
        <v/>
      </c>
      <c r="AU597" s="3" t="n"/>
      <c r="AV597" s="3" t="n"/>
      <c r="AW597" s="3" t="n"/>
      <c r="AX597" s="3" t="n"/>
      <c r="AY597" s="3" t="n"/>
      <c r="AZ597" s="3" t="n"/>
      <c r="BA597" s="182">
        <f>IF(AD597=1,(AR597*'Historical Score'!$K$29+1-'Historical Score'!$K$29)*(AT597*'Historical Score'!$L$29+1-'Historical Score'!$L$29)*(AS597*'Historical Score'!$M$29+1-'Historical Score'!$M$29)*(AQ597*'Historical Score'!$N$29+1-'Historical Score'!$N$29),0)</f>
        <v/>
      </c>
      <c r="BB597" s="3" t="n"/>
      <c r="BC597" s="3" t="n"/>
    </row>
    <row r="598" ht="15.75" customHeight="1" s="174">
      <c r="A598" s="3" t="inlineStr">
        <is>
          <t>5674177806</t>
        </is>
      </c>
      <c r="B598" s="3" t="inlineStr">
        <is>
          <t>Paul Davis Restoration</t>
        </is>
      </c>
      <c r="C598" s="3" t="inlineStr">
        <is>
          <t>DJSO Enterprises LLC</t>
        </is>
      </c>
      <c r="D598" s="3" t="inlineStr">
        <is>
          <t>Closed</t>
        </is>
      </c>
      <c r="E598" s="23" t="n">
        <v>46057</v>
      </c>
      <c r="F598" s="23" t="n">
        <v>46085</v>
      </c>
      <c r="G598" s="3" t="n">
        <v>3</v>
      </c>
      <c r="H598" s="3" t="inlineStr">
        <is>
          <t>1521</t>
        </is>
      </c>
      <c r="I598" s="3" t="inlineStr">
        <is>
          <t>15</t>
        </is>
      </c>
      <c r="J598" s="3" t="inlineStr">
        <is>
          <t>TX</t>
        </is>
      </c>
      <c r="K598" s="3" t="inlineStr">
        <is>
          <t>Viking Funding LLC</t>
        </is>
      </c>
      <c r="L598" s="3" t="inlineStr">
        <is>
          <t>New Deal</t>
        </is>
      </c>
      <c r="M598" s="3" t="n">
        <v>1.293912</v>
      </c>
      <c r="N598" s="28" t="n">
        <v>30000</v>
      </c>
      <c r="O598" s="28" t="n">
        <v>3300</v>
      </c>
      <c r="P598" s="28" t="n">
        <v>38817.36</v>
      </c>
      <c r="Q598" s="28" t="n">
        <v>38817.36</v>
      </c>
      <c r="R598" s="28" t="n">
        <v>0</v>
      </c>
      <c r="S598" s="42" t="n">
        <v>1</v>
      </c>
      <c r="T598" s="3" t="n">
        <v>28</v>
      </c>
      <c r="U598" s="3" t="n">
        <v>0</v>
      </c>
      <c r="V598" s="3" t="n">
        <v>87663.42999999999</v>
      </c>
      <c r="W598" s="42" t="n">
        <v>0.0699</v>
      </c>
      <c r="X598" s="23" t="n">
        <v>45089</v>
      </c>
      <c r="Y598" s="3">
        <f>IF(I598="","No SIC",IFERROR(VLOOKUP(I598,Ref!$A$2:$B$65,2,FALSE()),"Unclassified"))</f>
        <v/>
      </c>
      <c r="Z598" s="3">
        <f>IF(T598="","",IF(T598&lt;12,"Daily","Weekly"))</f>
        <v/>
      </c>
      <c r="AA598" s="3">
        <f>IF(T598="",0,IF(T598&lt;12,T598*Controls!$B$13,T598*5))</f>
        <v/>
      </c>
      <c r="AB598" s="3">
        <f>IF(E598="",0,NETWORKDAYS(E598,Controls!$B$20,Ref!$K$2:$K$42))</f>
        <v/>
      </c>
      <c r="AC598" s="3">
        <f>IF(OR(AF598=1,AND(AA598&gt;0,AB598&gt;=Controls!$B$23*AA598)),1,0)</f>
        <v/>
      </c>
      <c r="AD598" s="3">
        <f>IF(AND(E598&lt;&gt;"",E598&gt;=Controls!$B$21,E598&lt;=Controls!$B$22),1,0)</f>
        <v/>
      </c>
      <c r="AE598" s="3">
        <f>IF(IFERROR(VLOOKUP(D598,Controls!$A$36:$E$46,2,FALSE()),"No")="Yes",1,0)</f>
        <v/>
      </c>
      <c r="AF598" s="3">
        <f>IF(IFERROR(VLOOKUP(D598,Controls!$A$36:$E$46,3,FALSE()),"No")="Yes",1,0)</f>
        <v/>
      </c>
      <c r="AG598" s="3">
        <f>IF(IFERROR(VLOOKUP(D598,Controls!$A$36:$E$46,4,FALSE()),"No")="Yes",1,0)</f>
        <v/>
      </c>
      <c r="AH598" s="3">
        <f>IF(IFERROR(VLOOKUP(D598,Controls!$A$36:$E$46,5,FALSE()),"No")="Yes",1,0)</f>
        <v/>
      </c>
      <c r="AI598" s="3">
        <f>IF(ISNUMBER(MATCH(D598,Controls!$A$36:$A$46,0)),1,0)</f>
        <v/>
      </c>
      <c r="AJ598" s="28">
        <f>Q598-N598</f>
        <v/>
      </c>
      <c r="AK598" s="3">
        <f>IF(AE598=1,MAX(0,N598-Q598),0)</f>
        <v/>
      </c>
      <c r="AL598" s="3">
        <f>IF(OR(V598="",V598=0),0,N598/V598)</f>
        <v/>
      </c>
      <c r="AM598" s="3">
        <f>IF(OR(V598="",V598=0),0,1)</f>
        <v/>
      </c>
      <c r="AN598" s="3">
        <f>IF(OR(E598="",F598=""),0,NETWORKDAYS(E598,F598,Ref!$K$2:$K$42))</f>
        <v/>
      </c>
      <c r="AO598" s="3">
        <f>IF(L598="Renewal",1,0)</f>
        <v/>
      </c>
      <c r="AP598" s="3">
        <f>AC598*AD598</f>
        <v/>
      </c>
      <c r="AQ598" s="3">
        <f>IF(AND(G598&lt;&gt;"",'Historical Score'!$C$6&lt;&gt;""),IF(G598='Historical Score'!$C$6,1,0),0)</f>
        <v/>
      </c>
      <c r="AR598" s="3">
        <f>IF(AND(L598&lt;&gt;"",'Historical Score'!$C$5&lt;&gt;""),IF(L598='Historical Score'!$C$5,1,0),0)</f>
        <v/>
      </c>
      <c r="AS598" s="3">
        <f>IF(AND(Y598&lt;&gt;"",'Historical Score'!$C$7&lt;&gt;""),IF(Y598='Historical Score'!$C$7,1,0),0)</f>
        <v/>
      </c>
      <c r="AT598" s="3">
        <f>IF(AND(K598&lt;&gt;"",'Historical Score'!$C$8&lt;&gt;""),IF(K598='Historical Score'!$C$8,1,0),0)</f>
        <v/>
      </c>
      <c r="AU598" s="3" t="n"/>
      <c r="AV598" s="3" t="n"/>
      <c r="AW598" s="3" t="n"/>
      <c r="AX598" s="3" t="n"/>
      <c r="AY598" s="3" t="n"/>
      <c r="AZ598" s="3" t="n"/>
      <c r="BA598" s="182">
        <f>IF(AD598=1,(AR598*'Historical Score'!$K$29+1-'Historical Score'!$K$29)*(AT598*'Historical Score'!$L$29+1-'Historical Score'!$L$29)*(AS598*'Historical Score'!$M$29+1-'Historical Score'!$M$29)*(AQ598*'Historical Score'!$N$29+1-'Historical Score'!$N$29),0)</f>
        <v/>
      </c>
      <c r="BB598" s="3" t="n"/>
      <c r="BC598" s="3" t="n"/>
    </row>
    <row r="599" ht="15.75" customHeight="1" s="174">
      <c r="A599" s="3" t="inlineStr">
        <is>
          <t>5674177859</t>
        </is>
      </c>
      <c r="B599" s="3" t="inlineStr">
        <is>
          <t>PEPE LOGISTICS LLC</t>
        </is>
      </c>
      <c r="C599" s="3" t="inlineStr">
        <is>
          <t>PEPE LOGISTICS LLC</t>
        </is>
      </c>
      <c r="D599" s="3" t="inlineStr">
        <is>
          <t>Lowered Payments</t>
        </is>
      </c>
      <c r="E599" s="23" t="n">
        <v>46057</v>
      </c>
      <c r="F599" s="23" t="n">
        <v>46248</v>
      </c>
      <c r="G599" s="3" t="n">
        <v>3</v>
      </c>
      <c r="H599" s="3" t="inlineStr">
        <is>
          <t>4212</t>
        </is>
      </c>
      <c r="I599" s="3" t="inlineStr">
        <is>
          <t>42</t>
        </is>
      </c>
      <c r="J599" s="3" t="inlineStr">
        <is>
          <t>TN</t>
        </is>
      </c>
      <c r="K599" s="3" t="inlineStr">
        <is>
          <t>Ballicci</t>
        </is>
      </c>
      <c r="L599" s="3" t="inlineStr">
        <is>
          <t>New Deal</t>
        </is>
      </c>
      <c r="M599" s="3" t="n">
        <v>1.49</v>
      </c>
      <c r="N599" s="28" t="n">
        <v>35000</v>
      </c>
      <c r="O599" s="28" t="n">
        <v>4900</v>
      </c>
      <c r="P599" s="28" t="n">
        <v>52150</v>
      </c>
      <c r="Q599" s="28" t="n">
        <v>9503.18</v>
      </c>
      <c r="R599" s="28" t="n">
        <v>42646.82</v>
      </c>
      <c r="S599" s="42" t="n">
        <v>0.182227804410355</v>
      </c>
      <c r="T599" s="3" t="n">
        <v>24</v>
      </c>
      <c r="U599" s="3" t="n">
        <v>11</v>
      </c>
      <c r="V599" s="3" t="n">
        <v>74919.96000000001</v>
      </c>
      <c r="W599" s="42" t="n">
        <v>0.116</v>
      </c>
      <c r="X599" s="23" t="n">
        <v>44638</v>
      </c>
      <c r="Y599" s="3">
        <f>IF(I599="","No SIC",IFERROR(VLOOKUP(I599,Ref!$A$2:$B$65,2,FALSE()),"Unclassified"))</f>
        <v/>
      </c>
      <c r="Z599" s="3">
        <f>IF(T599="","",IF(T599&lt;12,"Daily","Weekly"))</f>
        <v/>
      </c>
      <c r="AA599" s="3">
        <f>IF(T599="",0,IF(T599&lt;12,T599*Controls!$B$13,T599*5))</f>
        <v/>
      </c>
      <c r="AB599" s="3">
        <f>IF(E599="",0,NETWORKDAYS(E599,Controls!$B$20,Ref!$K$2:$K$42))</f>
        <v/>
      </c>
      <c r="AC599" s="3">
        <f>IF(OR(AF599=1,AND(AA599&gt;0,AB599&gt;=Controls!$B$23*AA599)),1,0)</f>
        <v/>
      </c>
      <c r="AD599" s="3">
        <f>IF(AND(E599&lt;&gt;"",E599&gt;=Controls!$B$21,E599&lt;=Controls!$B$22),1,0)</f>
        <v/>
      </c>
      <c r="AE599" s="3">
        <f>IF(IFERROR(VLOOKUP(D599,Controls!$A$36:$E$46,2,FALSE()),"No")="Yes",1,0)</f>
        <v/>
      </c>
      <c r="AF599" s="3">
        <f>IF(IFERROR(VLOOKUP(D599,Controls!$A$36:$E$46,3,FALSE()),"No")="Yes",1,0)</f>
        <v/>
      </c>
      <c r="AG599" s="3">
        <f>IF(IFERROR(VLOOKUP(D599,Controls!$A$36:$E$46,4,FALSE()),"No")="Yes",1,0)</f>
        <v/>
      </c>
      <c r="AH599" s="3">
        <f>IF(IFERROR(VLOOKUP(D599,Controls!$A$36:$E$46,5,FALSE()),"No")="Yes",1,0)</f>
        <v/>
      </c>
      <c r="AI599" s="3">
        <f>IF(ISNUMBER(MATCH(D599,Controls!$A$36:$A$46,0)),1,0)</f>
        <v/>
      </c>
      <c r="AJ599" s="28">
        <f>Q599-N599</f>
        <v/>
      </c>
      <c r="AK599" s="3">
        <f>IF(AE599=1,MAX(0,N599-Q599),0)</f>
        <v/>
      </c>
      <c r="AL599" s="3">
        <f>IF(OR(V599="",V599=0),0,N599/V599)</f>
        <v/>
      </c>
      <c r="AM599" s="3">
        <f>IF(OR(V599="",V599=0),0,1)</f>
        <v/>
      </c>
      <c r="AN599" s="3">
        <f>IF(OR(E599="",F599=""),0,NETWORKDAYS(E599,F599,Ref!$K$2:$K$42))</f>
        <v/>
      </c>
      <c r="AO599" s="3">
        <f>IF(L599="Renewal",1,0)</f>
        <v/>
      </c>
      <c r="AP599" s="3">
        <f>AC599*AD599</f>
        <v/>
      </c>
      <c r="AQ599" s="3">
        <f>IF(AND(G599&lt;&gt;"",'Historical Score'!$C$6&lt;&gt;""),IF(G599='Historical Score'!$C$6,1,0),0)</f>
        <v/>
      </c>
      <c r="AR599" s="3">
        <f>IF(AND(L599&lt;&gt;"",'Historical Score'!$C$5&lt;&gt;""),IF(L599='Historical Score'!$C$5,1,0),0)</f>
        <v/>
      </c>
      <c r="AS599" s="3">
        <f>IF(AND(Y599&lt;&gt;"",'Historical Score'!$C$7&lt;&gt;""),IF(Y599='Historical Score'!$C$7,1,0),0)</f>
        <v/>
      </c>
      <c r="AT599" s="3">
        <f>IF(AND(K599&lt;&gt;"",'Historical Score'!$C$8&lt;&gt;""),IF(K599='Historical Score'!$C$8,1,0),0)</f>
        <v/>
      </c>
      <c r="AU599" s="3" t="n"/>
      <c r="AV599" s="3" t="n"/>
      <c r="AW599" s="3" t="n"/>
      <c r="AX599" s="3" t="n"/>
      <c r="AY599" s="3" t="n"/>
      <c r="AZ599" s="3" t="n"/>
      <c r="BA599" s="182">
        <f>IF(AD599=1,(AR599*'Historical Score'!$K$29+1-'Historical Score'!$K$29)*(AT599*'Historical Score'!$L$29+1-'Historical Score'!$L$29)*(AS599*'Historical Score'!$M$29+1-'Historical Score'!$M$29)*(AQ599*'Historical Score'!$N$29+1-'Historical Score'!$N$29),0)</f>
        <v/>
      </c>
      <c r="BB599" s="3" t="n"/>
      <c r="BC599" s="3" t="n"/>
    </row>
    <row r="600" ht="15.75" customHeight="1" s="174">
      <c r="A600" s="3" t="inlineStr">
        <is>
          <t>5674177863</t>
        </is>
      </c>
      <c r="B600" s="3" t="inlineStr">
        <is>
          <t>JIMMY IN THE HOUSE SERVICES LLC</t>
        </is>
      </c>
      <c r="C600" s="3" t="inlineStr">
        <is>
          <t>JIMMY IN THE HOUSE SERVICES LLC</t>
        </is>
      </c>
      <c r="D600" s="3" t="inlineStr">
        <is>
          <t>Closed</t>
        </is>
      </c>
      <c r="E600" s="23" t="n">
        <v>46057</v>
      </c>
      <c r="F600" s="23" t="n">
        <v>46133</v>
      </c>
      <c r="G600" s="3" t="n">
        <v>3</v>
      </c>
      <c r="H600" s="3" t="inlineStr">
        <is>
          <t>7217</t>
        </is>
      </c>
      <c r="I600" s="3" t="inlineStr">
        <is>
          <t>72</t>
        </is>
      </c>
      <c r="J600" s="3" t="inlineStr">
        <is>
          <t>KS</t>
        </is>
      </c>
      <c r="K600" s="3" t="inlineStr">
        <is>
          <t>level 3 funding</t>
        </is>
      </c>
      <c r="L600" s="3" t="inlineStr">
        <is>
          <t>New Deal</t>
        </is>
      </c>
      <c r="M600" s="3" t="n">
        <v>1.49</v>
      </c>
      <c r="N600" s="28" t="n">
        <v>5000</v>
      </c>
      <c r="O600" s="28" t="n">
        <v>700</v>
      </c>
      <c r="P600" s="28" t="n">
        <v>7450</v>
      </c>
      <c r="Q600" s="28" t="n">
        <v>7450</v>
      </c>
      <c r="R600" s="28" t="n">
        <v>0</v>
      </c>
      <c r="S600" s="42" t="n">
        <v>1</v>
      </c>
      <c r="T600" s="3" t="n">
        <v>2.623</v>
      </c>
      <c r="U600" s="3" t="n">
        <v>4</v>
      </c>
      <c r="V600" s="3" t="n">
        <v>42250.45</v>
      </c>
      <c r="W600" s="42" t="n">
        <v>0.0463</v>
      </c>
      <c r="X600" s="23" t="n">
        <v>44289</v>
      </c>
      <c r="Y600" s="3">
        <f>IF(I600="","No SIC",IFERROR(VLOOKUP(I600,Ref!$A$2:$B$65,2,FALSE()),"Unclassified"))</f>
        <v/>
      </c>
      <c r="Z600" s="3">
        <f>IF(T600="","",IF(T600&lt;12,"Daily","Weekly"))</f>
        <v/>
      </c>
      <c r="AA600" s="3">
        <f>IF(T600="",0,IF(T600&lt;12,T600*Controls!$B$13,T600*5))</f>
        <v/>
      </c>
      <c r="AB600" s="3">
        <f>IF(E600="",0,NETWORKDAYS(E600,Controls!$B$20,Ref!$K$2:$K$42))</f>
        <v/>
      </c>
      <c r="AC600" s="3">
        <f>IF(OR(AF600=1,AND(AA600&gt;0,AB600&gt;=Controls!$B$23*AA600)),1,0)</f>
        <v/>
      </c>
      <c r="AD600" s="3">
        <f>IF(AND(E600&lt;&gt;"",E600&gt;=Controls!$B$21,E600&lt;=Controls!$B$22),1,0)</f>
        <v/>
      </c>
      <c r="AE600" s="3">
        <f>IF(IFERROR(VLOOKUP(D600,Controls!$A$36:$E$46,2,FALSE()),"No")="Yes",1,0)</f>
        <v/>
      </c>
      <c r="AF600" s="3">
        <f>IF(IFERROR(VLOOKUP(D600,Controls!$A$36:$E$46,3,FALSE()),"No")="Yes",1,0)</f>
        <v/>
      </c>
      <c r="AG600" s="3">
        <f>IF(IFERROR(VLOOKUP(D600,Controls!$A$36:$E$46,4,FALSE()),"No")="Yes",1,0)</f>
        <v/>
      </c>
      <c r="AH600" s="3">
        <f>IF(IFERROR(VLOOKUP(D600,Controls!$A$36:$E$46,5,FALSE()),"No")="Yes",1,0)</f>
        <v/>
      </c>
      <c r="AI600" s="3">
        <f>IF(ISNUMBER(MATCH(D600,Controls!$A$36:$A$46,0)),1,0)</f>
        <v/>
      </c>
      <c r="AJ600" s="28">
        <f>Q600-N600</f>
        <v/>
      </c>
      <c r="AK600" s="3">
        <f>IF(AE600=1,MAX(0,N600-Q600),0)</f>
        <v/>
      </c>
      <c r="AL600" s="3">
        <f>IF(OR(V600="",V600=0),0,N600/V600)</f>
        <v/>
      </c>
      <c r="AM600" s="3">
        <f>IF(OR(V600="",V600=0),0,1)</f>
        <v/>
      </c>
      <c r="AN600" s="3">
        <f>IF(OR(E600="",F600=""),0,NETWORKDAYS(E600,F600,Ref!$K$2:$K$42))</f>
        <v/>
      </c>
      <c r="AO600" s="3">
        <f>IF(L600="Renewal",1,0)</f>
        <v/>
      </c>
      <c r="AP600" s="3">
        <f>AC600*AD600</f>
        <v/>
      </c>
      <c r="AQ600" s="3">
        <f>IF(AND(G600&lt;&gt;"",'Historical Score'!$C$6&lt;&gt;""),IF(G600='Historical Score'!$C$6,1,0),0)</f>
        <v/>
      </c>
      <c r="AR600" s="3">
        <f>IF(AND(L600&lt;&gt;"",'Historical Score'!$C$5&lt;&gt;""),IF(L600='Historical Score'!$C$5,1,0),0)</f>
        <v/>
      </c>
      <c r="AS600" s="3">
        <f>IF(AND(Y600&lt;&gt;"",'Historical Score'!$C$7&lt;&gt;""),IF(Y600='Historical Score'!$C$7,1,0),0)</f>
        <v/>
      </c>
      <c r="AT600" s="3">
        <f>IF(AND(K600&lt;&gt;"",'Historical Score'!$C$8&lt;&gt;""),IF(K600='Historical Score'!$C$8,1,0),0)</f>
        <v/>
      </c>
      <c r="AU600" s="3" t="n"/>
      <c r="AV600" s="3" t="n"/>
      <c r="AW600" s="3" t="n"/>
      <c r="AX600" s="3" t="n"/>
      <c r="AY600" s="3" t="n"/>
      <c r="AZ600" s="3" t="n"/>
      <c r="BA600" s="182">
        <f>IF(AD600=1,(AR600*'Historical Score'!$K$29+1-'Historical Score'!$K$29)*(AT600*'Historical Score'!$L$29+1-'Historical Score'!$L$29)*(AS600*'Historical Score'!$M$29+1-'Historical Score'!$M$29)*(AQ600*'Historical Score'!$N$29+1-'Historical Score'!$N$29),0)</f>
        <v/>
      </c>
      <c r="BB600" s="3" t="n"/>
      <c r="BC600" s="3" t="n"/>
    </row>
    <row r="601" ht="15.75" customHeight="1" s="174">
      <c r="A601" s="3" t="inlineStr">
        <is>
          <t>5674177893</t>
        </is>
      </c>
      <c r="B601" s="3" t="inlineStr">
        <is>
          <t>MAPULA LOGISTICS LLC</t>
        </is>
      </c>
      <c r="C601" s="3" t="inlineStr">
        <is>
          <t>MAPULA LOGISTICS LLC</t>
        </is>
      </c>
      <c r="D601" s="3" t="inlineStr">
        <is>
          <t>Closed</t>
        </is>
      </c>
      <c r="E601" s="23" t="n">
        <v>46057</v>
      </c>
      <c r="F601" s="23" t="n">
        <v>46153</v>
      </c>
      <c r="G601" s="3" t="n">
        <v>3</v>
      </c>
      <c r="H601" s="3" t="inlineStr">
        <is>
          <t>4212</t>
        </is>
      </c>
      <c r="I601" s="3" t="inlineStr">
        <is>
          <t>42</t>
        </is>
      </c>
      <c r="J601" s="3" t="inlineStr">
        <is>
          <t>FL</t>
        </is>
      </c>
      <c r="K601" s="3" t="inlineStr">
        <is>
          <t>DIRECT CAPITAL SOURCE, INC.</t>
        </is>
      </c>
      <c r="L601" s="3" t="inlineStr">
        <is>
          <t>New Deal</t>
        </is>
      </c>
      <c r="M601" s="3" t="n">
        <v>1.49</v>
      </c>
      <c r="N601" s="28" t="n">
        <v>20000</v>
      </c>
      <c r="O601" s="28" t="n">
        <v>2800</v>
      </c>
      <c r="P601" s="28" t="n">
        <v>29800</v>
      </c>
      <c r="Q601" s="28" t="n">
        <v>29800</v>
      </c>
      <c r="R601" s="28" t="n">
        <v>0</v>
      </c>
      <c r="S601" s="42" t="n">
        <v>1</v>
      </c>
      <c r="T601" s="3" t="n">
        <v>3.279</v>
      </c>
      <c r="U601" s="3" t="n">
        <v>0</v>
      </c>
      <c r="V601" s="3" t="n">
        <v>100887.92</v>
      </c>
      <c r="W601" s="42" t="n">
        <v>0.062</v>
      </c>
      <c r="X601" s="23" t="n">
        <v>44019</v>
      </c>
      <c r="Y601" s="3">
        <f>IF(I601="","No SIC",IFERROR(VLOOKUP(I601,Ref!$A$2:$B$65,2,FALSE()),"Unclassified"))</f>
        <v/>
      </c>
      <c r="Z601" s="3">
        <f>IF(T601="","",IF(T601&lt;12,"Daily","Weekly"))</f>
        <v/>
      </c>
      <c r="AA601" s="3">
        <f>IF(T601="",0,IF(T601&lt;12,T601*Controls!$B$13,T601*5))</f>
        <v/>
      </c>
      <c r="AB601" s="3">
        <f>IF(E601="",0,NETWORKDAYS(E601,Controls!$B$20,Ref!$K$2:$K$42))</f>
        <v/>
      </c>
      <c r="AC601" s="3">
        <f>IF(OR(AF601=1,AND(AA601&gt;0,AB601&gt;=Controls!$B$23*AA601)),1,0)</f>
        <v/>
      </c>
      <c r="AD601" s="3">
        <f>IF(AND(E601&lt;&gt;"",E601&gt;=Controls!$B$21,E601&lt;=Controls!$B$22),1,0)</f>
        <v/>
      </c>
      <c r="AE601" s="3">
        <f>IF(IFERROR(VLOOKUP(D601,Controls!$A$36:$E$46,2,FALSE()),"No")="Yes",1,0)</f>
        <v/>
      </c>
      <c r="AF601" s="3">
        <f>IF(IFERROR(VLOOKUP(D601,Controls!$A$36:$E$46,3,FALSE()),"No")="Yes",1,0)</f>
        <v/>
      </c>
      <c r="AG601" s="3">
        <f>IF(IFERROR(VLOOKUP(D601,Controls!$A$36:$E$46,4,FALSE()),"No")="Yes",1,0)</f>
        <v/>
      </c>
      <c r="AH601" s="3">
        <f>IF(IFERROR(VLOOKUP(D601,Controls!$A$36:$E$46,5,FALSE()),"No")="Yes",1,0)</f>
        <v/>
      </c>
      <c r="AI601" s="3">
        <f>IF(ISNUMBER(MATCH(D601,Controls!$A$36:$A$46,0)),1,0)</f>
        <v/>
      </c>
      <c r="AJ601" s="28">
        <f>Q601-N601</f>
        <v/>
      </c>
      <c r="AK601" s="3">
        <f>IF(AE601=1,MAX(0,N601-Q601),0)</f>
        <v/>
      </c>
      <c r="AL601" s="3">
        <f>IF(OR(V601="",V601=0),0,N601/V601)</f>
        <v/>
      </c>
      <c r="AM601" s="3">
        <f>IF(OR(V601="",V601=0),0,1)</f>
        <v/>
      </c>
      <c r="AN601" s="3">
        <f>IF(OR(E601="",F601=""),0,NETWORKDAYS(E601,F601,Ref!$K$2:$K$42))</f>
        <v/>
      </c>
      <c r="AO601" s="3">
        <f>IF(L601="Renewal",1,0)</f>
        <v/>
      </c>
      <c r="AP601" s="3">
        <f>AC601*AD601</f>
        <v/>
      </c>
      <c r="AQ601" s="3">
        <f>IF(AND(G601&lt;&gt;"",'Historical Score'!$C$6&lt;&gt;""),IF(G601='Historical Score'!$C$6,1,0),0)</f>
        <v/>
      </c>
      <c r="AR601" s="3">
        <f>IF(AND(L601&lt;&gt;"",'Historical Score'!$C$5&lt;&gt;""),IF(L601='Historical Score'!$C$5,1,0),0)</f>
        <v/>
      </c>
      <c r="AS601" s="3">
        <f>IF(AND(Y601&lt;&gt;"",'Historical Score'!$C$7&lt;&gt;""),IF(Y601='Historical Score'!$C$7,1,0),0)</f>
        <v/>
      </c>
      <c r="AT601" s="3">
        <f>IF(AND(K601&lt;&gt;"",'Historical Score'!$C$8&lt;&gt;""),IF(K601='Historical Score'!$C$8,1,0),0)</f>
        <v/>
      </c>
      <c r="AU601" s="3" t="n"/>
      <c r="AV601" s="3" t="n"/>
      <c r="AW601" s="3" t="n"/>
      <c r="AX601" s="3" t="n"/>
      <c r="AY601" s="3" t="n"/>
      <c r="AZ601" s="3" t="n"/>
      <c r="BA601" s="182">
        <f>IF(AD601=1,(AR601*'Historical Score'!$K$29+1-'Historical Score'!$K$29)*(AT601*'Historical Score'!$L$29+1-'Historical Score'!$L$29)*(AS601*'Historical Score'!$M$29+1-'Historical Score'!$M$29)*(AQ601*'Historical Score'!$N$29+1-'Historical Score'!$N$29),0)</f>
        <v/>
      </c>
      <c r="BB601" s="3" t="n"/>
      <c r="BC601" s="3" t="n"/>
    </row>
    <row r="602" ht="15.75" customHeight="1" s="174">
      <c r="A602" s="3" t="inlineStr">
        <is>
          <t>5674177920</t>
        </is>
      </c>
      <c r="B602" s="3" t="inlineStr">
        <is>
          <t>SS1 LLC</t>
        </is>
      </c>
      <c r="C602" s="3" t="inlineStr">
        <is>
          <t>SS1 LLC</t>
        </is>
      </c>
      <c r="D602" s="3" t="inlineStr">
        <is>
          <t>Legal</t>
        </is>
      </c>
      <c r="E602" s="23" t="n">
        <v>46058</v>
      </c>
      <c r="F602" s="23" t="n">
        <v>46168</v>
      </c>
      <c r="G602" s="3" t="n">
        <v>2</v>
      </c>
      <c r="H602" s="3" t="inlineStr">
        <is>
          <t>5999</t>
        </is>
      </c>
      <c r="I602" s="3" t="inlineStr">
        <is>
          <t>59</t>
        </is>
      </c>
      <c r="J602" s="3" t="inlineStr">
        <is>
          <t>MS</t>
        </is>
      </c>
      <c r="K602" s="3" t="inlineStr">
        <is>
          <t>Fidelity Funding</t>
        </is>
      </c>
      <c r="L602" s="3" t="inlineStr">
        <is>
          <t>New Deal</t>
        </is>
      </c>
      <c r="M602" s="3" t="n">
        <v>1.49</v>
      </c>
      <c r="N602" s="28" t="n">
        <v>12000</v>
      </c>
      <c r="O602" s="28" t="n">
        <v>1680</v>
      </c>
      <c r="P602" s="28" t="n">
        <v>17880</v>
      </c>
      <c r="Q602" s="28" t="n">
        <v>4767.84</v>
      </c>
      <c r="R602" s="28" t="n">
        <v>13112.16</v>
      </c>
      <c r="S602" s="42" t="n">
        <v>0.266657718120805</v>
      </c>
      <c r="T602" s="3" t="n">
        <v>2.951</v>
      </c>
      <c r="U602" s="3" t="n">
        <v>46</v>
      </c>
      <c r="V602" s="3" t="n">
        <v>29820.86</v>
      </c>
      <c r="W602" s="42" t="n">
        <v>0.1399</v>
      </c>
      <c r="X602" s="23" t="n">
        <v>44995</v>
      </c>
      <c r="Y602" s="3">
        <f>IF(I602="","No SIC",IFERROR(VLOOKUP(I602,Ref!$A$2:$B$65,2,FALSE()),"Unclassified"))</f>
        <v/>
      </c>
      <c r="Z602" s="3">
        <f>IF(T602="","",IF(T602&lt;12,"Daily","Weekly"))</f>
        <v/>
      </c>
      <c r="AA602" s="3">
        <f>IF(T602="",0,IF(T602&lt;12,T602*Controls!$B$13,T602*5))</f>
        <v/>
      </c>
      <c r="AB602" s="3">
        <f>IF(E602="",0,NETWORKDAYS(E602,Controls!$B$20,Ref!$K$2:$K$42))</f>
        <v/>
      </c>
      <c r="AC602" s="3">
        <f>IF(OR(AF602=1,AND(AA602&gt;0,AB602&gt;=Controls!$B$23*AA602)),1,0)</f>
        <v/>
      </c>
      <c r="AD602" s="3">
        <f>IF(AND(E602&lt;&gt;"",E602&gt;=Controls!$B$21,E602&lt;=Controls!$B$22),1,0)</f>
        <v/>
      </c>
      <c r="AE602" s="3">
        <f>IF(IFERROR(VLOOKUP(D602,Controls!$A$36:$E$46,2,FALSE()),"No")="Yes",1,0)</f>
        <v/>
      </c>
      <c r="AF602" s="3">
        <f>IF(IFERROR(VLOOKUP(D602,Controls!$A$36:$E$46,3,FALSE()),"No")="Yes",1,0)</f>
        <v/>
      </c>
      <c r="AG602" s="3">
        <f>IF(IFERROR(VLOOKUP(D602,Controls!$A$36:$E$46,4,FALSE()),"No")="Yes",1,0)</f>
        <v/>
      </c>
      <c r="AH602" s="3">
        <f>IF(IFERROR(VLOOKUP(D602,Controls!$A$36:$E$46,5,FALSE()),"No")="Yes",1,0)</f>
        <v/>
      </c>
      <c r="AI602" s="3">
        <f>IF(ISNUMBER(MATCH(D602,Controls!$A$36:$A$46,0)),1,0)</f>
        <v/>
      </c>
      <c r="AJ602" s="28">
        <f>Q602-N602</f>
        <v/>
      </c>
      <c r="AK602" s="3">
        <f>IF(AE602=1,MAX(0,N602-Q602),0)</f>
        <v/>
      </c>
      <c r="AL602" s="3">
        <f>IF(OR(V602="",V602=0),0,N602/V602)</f>
        <v/>
      </c>
      <c r="AM602" s="3">
        <f>IF(OR(V602="",V602=0),0,1)</f>
        <v/>
      </c>
      <c r="AN602" s="3">
        <f>IF(OR(E602="",F602=""),0,NETWORKDAYS(E602,F602,Ref!$K$2:$K$42))</f>
        <v/>
      </c>
      <c r="AO602" s="3">
        <f>IF(L602="Renewal",1,0)</f>
        <v/>
      </c>
      <c r="AP602" s="3">
        <f>AC602*AD602</f>
        <v/>
      </c>
      <c r="AQ602" s="3">
        <f>IF(AND(G602&lt;&gt;"",'Historical Score'!$C$6&lt;&gt;""),IF(G602='Historical Score'!$C$6,1,0),0)</f>
        <v/>
      </c>
      <c r="AR602" s="3">
        <f>IF(AND(L602&lt;&gt;"",'Historical Score'!$C$5&lt;&gt;""),IF(L602='Historical Score'!$C$5,1,0),0)</f>
        <v/>
      </c>
      <c r="AS602" s="3">
        <f>IF(AND(Y602&lt;&gt;"",'Historical Score'!$C$7&lt;&gt;""),IF(Y602='Historical Score'!$C$7,1,0),0)</f>
        <v/>
      </c>
      <c r="AT602" s="3">
        <f>IF(AND(K602&lt;&gt;"",'Historical Score'!$C$8&lt;&gt;""),IF(K602='Historical Score'!$C$8,1,0),0)</f>
        <v/>
      </c>
      <c r="AU602" s="3" t="n"/>
      <c r="AV602" s="3" t="n"/>
      <c r="AW602" s="3" t="n"/>
      <c r="AX602" s="3" t="n"/>
      <c r="AY602" s="3" t="n"/>
      <c r="AZ602" s="3" t="n"/>
      <c r="BA602" s="182">
        <f>IF(AD602=1,(AR602*'Historical Score'!$K$29+1-'Historical Score'!$K$29)*(AT602*'Historical Score'!$L$29+1-'Historical Score'!$L$29)*(AS602*'Historical Score'!$M$29+1-'Historical Score'!$M$29)*(AQ602*'Historical Score'!$N$29+1-'Historical Score'!$N$29),0)</f>
        <v/>
      </c>
      <c r="BB602" s="3" t="n"/>
      <c r="BC602" s="3" t="n"/>
    </row>
    <row r="603" ht="15.75" customHeight="1" s="174">
      <c r="A603" s="3" t="inlineStr">
        <is>
          <t>5674177940</t>
        </is>
      </c>
      <c r="B603" s="3" t="inlineStr">
        <is>
          <t>RED ROCK STEAKHOUSE &amp; BAR LLC</t>
        </is>
      </c>
      <c r="C603" s="3" t="inlineStr">
        <is>
          <t>RED ROCK STEAKHOUSE &amp; BAR LLC</t>
        </is>
      </c>
      <c r="D603" s="3" t="inlineStr">
        <is>
          <t>Open</t>
        </is>
      </c>
      <c r="E603" s="23" t="n">
        <v>46058</v>
      </c>
      <c r="F603" s="23" t="n">
        <v>46251</v>
      </c>
      <c r="G603" s="3" t="n">
        <v>2</v>
      </c>
      <c r="H603" s="3" t="inlineStr">
        <is>
          <t>5812</t>
        </is>
      </c>
      <c r="I603" s="3" t="inlineStr">
        <is>
          <t>58</t>
        </is>
      </c>
      <c r="J603" s="3" t="inlineStr">
        <is>
          <t>TX</t>
        </is>
      </c>
      <c r="K603" s="3" t="inlineStr">
        <is>
          <t>Westwood</t>
        </is>
      </c>
      <c r="L603" s="3" t="inlineStr">
        <is>
          <t>New Deal</t>
        </is>
      </c>
      <c r="M603" s="3" t="n">
        <v>1.35</v>
      </c>
      <c r="N603" s="28" t="n">
        <v>25000</v>
      </c>
      <c r="O603" s="28" t="n">
        <v>1750</v>
      </c>
      <c r="P603" s="28" t="n">
        <v>33750</v>
      </c>
      <c r="Q603" s="28" t="n">
        <v>30927.38</v>
      </c>
      <c r="R603" s="28" t="n">
        <v>2822.62</v>
      </c>
      <c r="S603" s="42" t="n">
        <v>0.916366814814815</v>
      </c>
      <c r="T603" s="3" t="n">
        <v>24</v>
      </c>
      <c r="U603" s="3" t="n">
        <v>5</v>
      </c>
      <c r="V603" s="3" t="n">
        <v>65999.5</v>
      </c>
      <c r="W603" s="42" t="n">
        <v>0.0852</v>
      </c>
      <c r="X603" s="23" t="n"/>
      <c r="Y603" s="3">
        <f>IF(I603="","No SIC",IFERROR(VLOOKUP(I603,Ref!$A$2:$B$65,2,FALSE()),"Unclassified"))</f>
        <v/>
      </c>
      <c r="Z603" s="3">
        <f>IF(T603="","",IF(T603&lt;12,"Daily","Weekly"))</f>
        <v/>
      </c>
      <c r="AA603" s="3">
        <f>IF(T603="",0,IF(T603&lt;12,T603*Controls!$B$13,T603*5))</f>
        <v/>
      </c>
      <c r="AB603" s="3">
        <f>IF(E603="",0,NETWORKDAYS(E603,Controls!$B$20,Ref!$K$2:$K$42))</f>
        <v/>
      </c>
      <c r="AC603" s="3">
        <f>IF(OR(AF603=1,AND(AA603&gt;0,AB603&gt;=Controls!$B$23*AA603)),1,0)</f>
        <v/>
      </c>
      <c r="AD603" s="3">
        <f>IF(AND(E603&lt;&gt;"",E603&gt;=Controls!$B$21,E603&lt;=Controls!$B$22),1,0)</f>
        <v/>
      </c>
      <c r="AE603" s="3">
        <f>IF(IFERROR(VLOOKUP(D603,Controls!$A$36:$E$46,2,FALSE()),"No")="Yes",1,0)</f>
        <v/>
      </c>
      <c r="AF603" s="3">
        <f>IF(IFERROR(VLOOKUP(D603,Controls!$A$36:$E$46,3,FALSE()),"No")="Yes",1,0)</f>
        <v/>
      </c>
      <c r="AG603" s="3">
        <f>IF(IFERROR(VLOOKUP(D603,Controls!$A$36:$E$46,4,FALSE()),"No")="Yes",1,0)</f>
        <v/>
      </c>
      <c r="AH603" s="3">
        <f>IF(IFERROR(VLOOKUP(D603,Controls!$A$36:$E$46,5,FALSE()),"No")="Yes",1,0)</f>
        <v/>
      </c>
      <c r="AI603" s="3">
        <f>IF(ISNUMBER(MATCH(D603,Controls!$A$36:$A$46,0)),1,0)</f>
        <v/>
      </c>
      <c r="AJ603" s="28">
        <f>Q603-N603</f>
        <v/>
      </c>
      <c r="AK603" s="3">
        <f>IF(AE603=1,MAX(0,N603-Q603),0)</f>
        <v/>
      </c>
      <c r="AL603" s="3">
        <f>IF(OR(V603="",V603=0),0,N603/V603)</f>
        <v/>
      </c>
      <c r="AM603" s="3">
        <f>IF(OR(V603="",V603=0),0,1)</f>
        <v/>
      </c>
      <c r="AN603" s="3">
        <f>IF(OR(E603="",F603=""),0,NETWORKDAYS(E603,F603,Ref!$K$2:$K$42))</f>
        <v/>
      </c>
      <c r="AO603" s="3">
        <f>IF(L603="Renewal",1,0)</f>
        <v/>
      </c>
      <c r="AP603" s="3">
        <f>AC603*AD603</f>
        <v/>
      </c>
      <c r="AQ603" s="3">
        <f>IF(AND(G603&lt;&gt;"",'Historical Score'!$C$6&lt;&gt;""),IF(G603='Historical Score'!$C$6,1,0),0)</f>
        <v/>
      </c>
      <c r="AR603" s="3">
        <f>IF(AND(L603&lt;&gt;"",'Historical Score'!$C$5&lt;&gt;""),IF(L603='Historical Score'!$C$5,1,0),0)</f>
        <v/>
      </c>
      <c r="AS603" s="3">
        <f>IF(AND(Y603&lt;&gt;"",'Historical Score'!$C$7&lt;&gt;""),IF(Y603='Historical Score'!$C$7,1,0),0)</f>
        <v/>
      </c>
      <c r="AT603" s="3">
        <f>IF(AND(K603&lt;&gt;"",'Historical Score'!$C$8&lt;&gt;""),IF(K603='Historical Score'!$C$8,1,0),0)</f>
        <v/>
      </c>
      <c r="AU603" s="3" t="n"/>
      <c r="AV603" s="3" t="n"/>
      <c r="AW603" s="3" t="n"/>
      <c r="AX603" s="3" t="n"/>
      <c r="AY603" s="3" t="n"/>
      <c r="AZ603" s="3" t="n"/>
      <c r="BA603" s="182">
        <f>IF(AD603=1,(AR603*'Historical Score'!$K$29+1-'Historical Score'!$K$29)*(AT603*'Historical Score'!$L$29+1-'Historical Score'!$L$29)*(AS603*'Historical Score'!$M$29+1-'Historical Score'!$M$29)*(AQ603*'Historical Score'!$N$29+1-'Historical Score'!$N$29),0)</f>
        <v/>
      </c>
      <c r="BB603" s="3" t="n"/>
      <c r="BC603" s="3" t="n"/>
    </row>
    <row r="604" ht="15.75" customHeight="1" s="174">
      <c r="A604" s="3" t="inlineStr">
        <is>
          <t>5674177941</t>
        </is>
      </c>
      <c r="B604" s="3" t="inlineStr">
        <is>
          <t>SMACK EM SEAFOOD LLC</t>
        </is>
      </c>
      <c r="C604" s="3" t="inlineStr">
        <is>
          <t>SMACK EM SEAFOOD LLC</t>
        </is>
      </c>
      <c r="D604" s="3" t="inlineStr">
        <is>
          <t>Open</t>
        </is>
      </c>
      <c r="E604" s="23" t="n">
        <v>46058</v>
      </c>
      <c r="F604" s="23" t="n">
        <v>46234</v>
      </c>
      <c r="G604" s="3" t="n">
        <v>2</v>
      </c>
      <c r="H604" s="3" t="inlineStr">
        <is>
          <t>5812</t>
        </is>
      </c>
      <c r="I604" s="3" t="inlineStr">
        <is>
          <t>58</t>
        </is>
      </c>
      <c r="J604" s="3" t="inlineStr">
        <is>
          <t>CA</t>
        </is>
      </c>
      <c r="K604" s="3" t="inlineStr">
        <is>
          <t>Ballicci</t>
        </is>
      </c>
      <c r="L604" s="3" t="inlineStr">
        <is>
          <t>New Deal</t>
        </is>
      </c>
      <c r="M604" s="3" t="n">
        <v>1.45</v>
      </c>
      <c r="N604" s="28" t="n">
        <v>15000</v>
      </c>
      <c r="O604" s="28" t="n">
        <v>1800</v>
      </c>
      <c r="P604" s="28" t="n">
        <v>21750</v>
      </c>
      <c r="Q604" s="28" t="n">
        <v>11527.56</v>
      </c>
      <c r="R604" s="28" t="n">
        <v>10222.44</v>
      </c>
      <c r="S604" s="42" t="n">
        <v>0.53000275862069</v>
      </c>
      <c r="T604" s="3" t="n">
        <v>18</v>
      </c>
      <c r="U604" s="3" t="n">
        <v>13</v>
      </c>
      <c r="V604" s="3" t="n">
        <v>55264.3</v>
      </c>
      <c r="W604" s="42" t="n">
        <v>0.08749999999999999</v>
      </c>
      <c r="X604" s="23" t="n">
        <v>45658</v>
      </c>
      <c r="Y604" s="3">
        <f>IF(I604="","No SIC",IFERROR(VLOOKUP(I604,Ref!$A$2:$B$65,2,FALSE()),"Unclassified"))</f>
        <v/>
      </c>
      <c r="Z604" s="3">
        <f>IF(T604="","",IF(T604&lt;12,"Daily","Weekly"))</f>
        <v/>
      </c>
      <c r="AA604" s="3">
        <f>IF(T604="",0,IF(T604&lt;12,T604*Controls!$B$13,T604*5))</f>
        <v/>
      </c>
      <c r="AB604" s="3">
        <f>IF(E604="",0,NETWORKDAYS(E604,Controls!$B$20,Ref!$K$2:$K$42))</f>
        <v/>
      </c>
      <c r="AC604" s="3">
        <f>IF(OR(AF604=1,AND(AA604&gt;0,AB604&gt;=Controls!$B$23*AA604)),1,0)</f>
        <v/>
      </c>
      <c r="AD604" s="3">
        <f>IF(AND(E604&lt;&gt;"",E604&gt;=Controls!$B$21,E604&lt;=Controls!$B$22),1,0)</f>
        <v/>
      </c>
      <c r="AE604" s="3">
        <f>IF(IFERROR(VLOOKUP(D604,Controls!$A$36:$E$46,2,FALSE()),"No")="Yes",1,0)</f>
        <v/>
      </c>
      <c r="AF604" s="3">
        <f>IF(IFERROR(VLOOKUP(D604,Controls!$A$36:$E$46,3,FALSE()),"No")="Yes",1,0)</f>
        <v/>
      </c>
      <c r="AG604" s="3">
        <f>IF(IFERROR(VLOOKUP(D604,Controls!$A$36:$E$46,4,FALSE()),"No")="Yes",1,0)</f>
        <v/>
      </c>
      <c r="AH604" s="3">
        <f>IF(IFERROR(VLOOKUP(D604,Controls!$A$36:$E$46,5,FALSE()),"No")="Yes",1,0)</f>
        <v/>
      </c>
      <c r="AI604" s="3">
        <f>IF(ISNUMBER(MATCH(D604,Controls!$A$36:$A$46,0)),1,0)</f>
        <v/>
      </c>
      <c r="AJ604" s="28">
        <f>Q604-N604</f>
        <v/>
      </c>
      <c r="AK604" s="3">
        <f>IF(AE604=1,MAX(0,N604-Q604),0)</f>
        <v/>
      </c>
      <c r="AL604" s="3">
        <f>IF(OR(V604="",V604=0),0,N604/V604)</f>
        <v/>
      </c>
      <c r="AM604" s="3">
        <f>IF(OR(V604="",V604=0),0,1)</f>
        <v/>
      </c>
      <c r="AN604" s="3">
        <f>IF(OR(E604="",F604=""),0,NETWORKDAYS(E604,F604,Ref!$K$2:$K$42))</f>
        <v/>
      </c>
      <c r="AO604" s="3">
        <f>IF(L604="Renewal",1,0)</f>
        <v/>
      </c>
      <c r="AP604" s="3">
        <f>AC604*AD604</f>
        <v/>
      </c>
      <c r="AQ604" s="3">
        <f>IF(AND(G604&lt;&gt;"",'Historical Score'!$C$6&lt;&gt;""),IF(G604='Historical Score'!$C$6,1,0),0)</f>
        <v/>
      </c>
      <c r="AR604" s="3">
        <f>IF(AND(L604&lt;&gt;"",'Historical Score'!$C$5&lt;&gt;""),IF(L604='Historical Score'!$C$5,1,0),0)</f>
        <v/>
      </c>
      <c r="AS604" s="3">
        <f>IF(AND(Y604&lt;&gt;"",'Historical Score'!$C$7&lt;&gt;""),IF(Y604='Historical Score'!$C$7,1,0),0)</f>
        <v/>
      </c>
      <c r="AT604" s="3">
        <f>IF(AND(K604&lt;&gt;"",'Historical Score'!$C$8&lt;&gt;""),IF(K604='Historical Score'!$C$8,1,0),0)</f>
        <v/>
      </c>
      <c r="AU604" s="3" t="n"/>
      <c r="AV604" s="3" t="n"/>
      <c r="AW604" s="3" t="n"/>
      <c r="AX604" s="3" t="n"/>
      <c r="AY604" s="3" t="n"/>
      <c r="AZ604" s="3" t="n"/>
      <c r="BA604" s="182">
        <f>IF(AD604=1,(AR604*'Historical Score'!$K$29+1-'Historical Score'!$K$29)*(AT604*'Historical Score'!$L$29+1-'Historical Score'!$L$29)*(AS604*'Historical Score'!$M$29+1-'Historical Score'!$M$29)*(AQ604*'Historical Score'!$N$29+1-'Historical Score'!$N$29),0)</f>
        <v/>
      </c>
      <c r="BB604" s="3" t="n"/>
      <c r="BC604" s="3" t="n"/>
    </row>
    <row r="605" ht="15.75" customHeight="1" s="174">
      <c r="A605" s="3" t="inlineStr">
        <is>
          <t>5674178034</t>
        </is>
      </c>
      <c r="B605" s="3" t="inlineStr">
        <is>
          <t>MOOR HERBS MARKETPLACE</t>
        </is>
      </c>
      <c r="C605" s="3" t="inlineStr">
        <is>
          <t>THE MOORISH SCIENCE - TEMPLE THE DIVINE AND NATIONAL MOVEMENT OF NORTH AMERICA INC</t>
        </is>
      </c>
      <c r="D605" s="3" t="inlineStr">
        <is>
          <t>Closed</t>
        </is>
      </c>
      <c r="E605" s="23" t="n">
        <v>46059</v>
      </c>
      <c r="F605" s="23" t="n">
        <v>46147</v>
      </c>
      <c r="G605" s="3" t="n">
        <v>4</v>
      </c>
      <c r="H605" s="3" t="inlineStr">
        <is>
          <t>5499</t>
        </is>
      </c>
      <c r="I605" s="3" t="inlineStr">
        <is>
          <t>54</t>
        </is>
      </c>
      <c r="J605" s="3" t="inlineStr">
        <is>
          <t>MI</t>
        </is>
      </c>
      <c r="K605" s="3" t="inlineStr">
        <is>
          <t>United Secured Capital 8</t>
        </is>
      </c>
      <c r="L605" s="3" t="inlineStr">
        <is>
          <t>Renewal</t>
        </is>
      </c>
      <c r="M605" s="3" t="n">
        <v>1.49</v>
      </c>
      <c r="N605" s="28" t="n">
        <v>45000</v>
      </c>
      <c r="O605" s="28" t="n">
        <v>6300</v>
      </c>
      <c r="P605" s="28" t="n">
        <v>67050</v>
      </c>
      <c r="Q605" s="28" t="n">
        <v>67050</v>
      </c>
      <c r="R605" s="28" t="n">
        <v>0</v>
      </c>
      <c r="S605" s="42" t="n">
        <v>1</v>
      </c>
      <c r="T605" s="3" t="n">
        <v>3.934</v>
      </c>
      <c r="U605" s="3" t="n">
        <v>0</v>
      </c>
      <c r="V605" s="3" t="n">
        <v>104379.99</v>
      </c>
      <c r="W605" s="42" t="n">
        <v>0.1661</v>
      </c>
      <c r="X605" s="23" t="n">
        <v>43221</v>
      </c>
      <c r="Y605" s="3">
        <f>IF(I605="","No SIC",IFERROR(VLOOKUP(I605,Ref!$A$2:$B$65,2,FALSE()),"Unclassified"))</f>
        <v/>
      </c>
      <c r="Z605" s="3">
        <f>IF(T605="","",IF(T605&lt;12,"Daily","Weekly"))</f>
        <v/>
      </c>
      <c r="AA605" s="3">
        <f>IF(T605="",0,IF(T605&lt;12,T605*Controls!$B$13,T605*5))</f>
        <v/>
      </c>
      <c r="AB605" s="3">
        <f>IF(E605="",0,NETWORKDAYS(E605,Controls!$B$20,Ref!$K$2:$K$42))</f>
        <v/>
      </c>
      <c r="AC605" s="3">
        <f>IF(OR(AF605=1,AND(AA605&gt;0,AB605&gt;=Controls!$B$23*AA605)),1,0)</f>
        <v/>
      </c>
      <c r="AD605" s="3">
        <f>IF(AND(E605&lt;&gt;"",E605&gt;=Controls!$B$21,E605&lt;=Controls!$B$22),1,0)</f>
        <v/>
      </c>
      <c r="AE605" s="3">
        <f>IF(IFERROR(VLOOKUP(D605,Controls!$A$36:$E$46,2,FALSE()),"No")="Yes",1,0)</f>
        <v/>
      </c>
      <c r="AF605" s="3">
        <f>IF(IFERROR(VLOOKUP(D605,Controls!$A$36:$E$46,3,FALSE()),"No")="Yes",1,0)</f>
        <v/>
      </c>
      <c r="AG605" s="3">
        <f>IF(IFERROR(VLOOKUP(D605,Controls!$A$36:$E$46,4,FALSE()),"No")="Yes",1,0)</f>
        <v/>
      </c>
      <c r="AH605" s="3">
        <f>IF(IFERROR(VLOOKUP(D605,Controls!$A$36:$E$46,5,FALSE()),"No")="Yes",1,0)</f>
        <v/>
      </c>
      <c r="AI605" s="3">
        <f>IF(ISNUMBER(MATCH(D605,Controls!$A$36:$A$46,0)),1,0)</f>
        <v/>
      </c>
      <c r="AJ605" s="28">
        <f>Q605-N605</f>
        <v/>
      </c>
      <c r="AK605" s="3">
        <f>IF(AE605=1,MAX(0,N605-Q605),0)</f>
        <v/>
      </c>
      <c r="AL605" s="3">
        <f>IF(OR(V605="",V605=0),0,N605/V605)</f>
        <v/>
      </c>
      <c r="AM605" s="3">
        <f>IF(OR(V605="",V605=0),0,1)</f>
        <v/>
      </c>
      <c r="AN605" s="3">
        <f>IF(OR(E605="",F605=""),0,NETWORKDAYS(E605,F605,Ref!$K$2:$K$42))</f>
        <v/>
      </c>
      <c r="AO605" s="3">
        <f>IF(L605="Renewal",1,0)</f>
        <v/>
      </c>
      <c r="AP605" s="3">
        <f>AC605*AD605</f>
        <v/>
      </c>
      <c r="AQ605" s="3">
        <f>IF(AND(G605&lt;&gt;"",'Historical Score'!$C$6&lt;&gt;""),IF(G605='Historical Score'!$C$6,1,0),0)</f>
        <v/>
      </c>
      <c r="AR605" s="3">
        <f>IF(AND(L605&lt;&gt;"",'Historical Score'!$C$5&lt;&gt;""),IF(L605='Historical Score'!$C$5,1,0),0)</f>
        <v/>
      </c>
      <c r="AS605" s="3">
        <f>IF(AND(Y605&lt;&gt;"",'Historical Score'!$C$7&lt;&gt;""),IF(Y605='Historical Score'!$C$7,1,0),0)</f>
        <v/>
      </c>
      <c r="AT605" s="3">
        <f>IF(AND(K605&lt;&gt;"",'Historical Score'!$C$8&lt;&gt;""),IF(K605='Historical Score'!$C$8,1,0),0)</f>
        <v/>
      </c>
      <c r="AU605" s="3" t="n"/>
      <c r="AV605" s="3" t="n"/>
      <c r="AW605" s="3" t="n"/>
      <c r="AX605" s="3" t="n"/>
      <c r="AY605" s="3" t="n"/>
      <c r="AZ605" s="3" t="n"/>
      <c r="BA605" s="182">
        <f>IF(AD605=1,(AR605*'Historical Score'!$K$29+1-'Historical Score'!$K$29)*(AT605*'Historical Score'!$L$29+1-'Historical Score'!$L$29)*(AS605*'Historical Score'!$M$29+1-'Historical Score'!$M$29)*(AQ605*'Historical Score'!$N$29+1-'Historical Score'!$N$29),0)</f>
        <v/>
      </c>
      <c r="BB605" s="3" t="n"/>
      <c r="BC605" s="3" t="n"/>
    </row>
    <row r="606" ht="15.75" customHeight="1" s="174">
      <c r="A606" s="3" t="inlineStr">
        <is>
          <t>5674178048</t>
        </is>
      </c>
      <c r="B606" s="3" t="inlineStr">
        <is>
          <t>Iphone Doctor Of Waco</t>
        </is>
      </c>
      <c r="C606" s="3" t="inlineStr">
        <is>
          <t>Iphone Doctor Of Waco</t>
        </is>
      </c>
      <c r="D606" s="3" t="inlineStr">
        <is>
          <t>Legal</t>
        </is>
      </c>
      <c r="E606" s="23" t="n">
        <v>46059</v>
      </c>
      <c r="F606" s="23" t="n">
        <v>46108</v>
      </c>
      <c r="G606" s="3" t="n">
        <v>2</v>
      </c>
      <c r="H606" s="3" t="inlineStr">
        <is>
          <t>5999</t>
        </is>
      </c>
      <c r="I606" s="3" t="inlineStr">
        <is>
          <t>59</t>
        </is>
      </c>
      <c r="J606" s="3" t="inlineStr">
        <is>
          <t>TX</t>
        </is>
      </c>
      <c r="K606" s="3" t="inlineStr">
        <is>
          <t>United Secured Capital 8</t>
        </is>
      </c>
      <c r="L606" s="3" t="inlineStr">
        <is>
          <t>New Deal</t>
        </is>
      </c>
      <c r="M606" s="3" t="n">
        <v>1.49</v>
      </c>
      <c r="N606" s="28" t="n">
        <v>8000</v>
      </c>
      <c r="O606" s="28" t="n">
        <v>1120</v>
      </c>
      <c r="P606" s="28" t="n">
        <v>11920</v>
      </c>
      <c r="Q606" s="28" t="n">
        <v>2173.11</v>
      </c>
      <c r="R606" s="28" t="n">
        <v>9746.889999999999</v>
      </c>
      <c r="S606" s="42" t="n">
        <v>0.18230788590604</v>
      </c>
      <c r="T606" s="3" t="n">
        <v>2.295</v>
      </c>
      <c r="U606" s="3" t="n">
        <v>4</v>
      </c>
      <c r="V606" s="3" t="n">
        <v>30623.79</v>
      </c>
      <c r="W606" s="42" t="n">
        <v>0.1168</v>
      </c>
      <c r="X606" s="23" t="n">
        <v>40525</v>
      </c>
      <c r="Y606" s="3">
        <f>IF(I606="","No SIC",IFERROR(VLOOKUP(I606,Ref!$A$2:$B$65,2,FALSE()),"Unclassified"))</f>
        <v/>
      </c>
      <c r="Z606" s="3">
        <f>IF(T606="","",IF(T606&lt;12,"Daily","Weekly"))</f>
        <v/>
      </c>
      <c r="AA606" s="3">
        <f>IF(T606="",0,IF(T606&lt;12,T606*Controls!$B$13,T606*5))</f>
        <v/>
      </c>
      <c r="AB606" s="3">
        <f>IF(E606="",0,NETWORKDAYS(E606,Controls!$B$20,Ref!$K$2:$K$42))</f>
        <v/>
      </c>
      <c r="AC606" s="3">
        <f>IF(OR(AF606=1,AND(AA606&gt;0,AB606&gt;=Controls!$B$23*AA606)),1,0)</f>
        <v/>
      </c>
      <c r="AD606" s="3">
        <f>IF(AND(E606&lt;&gt;"",E606&gt;=Controls!$B$21,E606&lt;=Controls!$B$22),1,0)</f>
        <v/>
      </c>
      <c r="AE606" s="3">
        <f>IF(IFERROR(VLOOKUP(D606,Controls!$A$36:$E$46,2,FALSE()),"No")="Yes",1,0)</f>
        <v/>
      </c>
      <c r="AF606" s="3">
        <f>IF(IFERROR(VLOOKUP(D606,Controls!$A$36:$E$46,3,FALSE()),"No")="Yes",1,0)</f>
        <v/>
      </c>
      <c r="AG606" s="3">
        <f>IF(IFERROR(VLOOKUP(D606,Controls!$A$36:$E$46,4,FALSE()),"No")="Yes",1,0)</f>
        <v/>
      </c>
      <c r="AH606" s="3">
        <f>IF(IFERROR(VLOOKUP(D606,Controls!$A$36:$E$46,5,FALSE()),"No")="Yes",1,0)</f>
        <v/>
      </c>
      <c r="AI606" s="3">
        <f>IF(ISNUMBER(MATCH(D606,Controls!$A$36:$A$46,0)),1,0)</f>
        <v/>
      </c>
      <c r="AJ606" s="28">
        <f>Q606-N606</f>
        <v/>
      </c>
      <c r="AK606" s="3">
        <f>IF(AE606=1,MAX(0,N606-Q606),0)</f>
        <v/>
      </c>
      <c r="AL606" s="3">
        <f>IF(OR(V606="",V606=0),0,N606/V606)</f>
        <v/>
      </c>
      <c r="AM606" s="3">
        <f>IF(OR(V606="",V606=0),0,1)</f>
        <v/>
      </c>
      <c r="AN606" s="3">
        <f>IF(OR(E606="",F606=""),0,NETWORKDAYS(E606,F606,Ref!$K$2:$K$42))</f>
        <v/>
      </c>
      <c r="AO606" s="3">
        <f>IF(L606="Renewal",1,0)</f>
        <v/>
      </c>
      <c r="AP606" s="3">
        <f>AC606*AD606</f>
        <v/>
      </c>
      <c r="AQ606" s="3">
        <f>IF(AND(G606&lt;&gt;"",'Historical Score'!$C$6&lt;&gt;""),IF(G606='Historical Score'!$C$6,1,0),0)</f>
        <v/>
      </c>
      <c r="AR606" s="3">
        <f>IF(AND(L606&lt;&gt;"",'Historical Score'!$C$5&lt;&gt;""),IF(L606='Historical Score'!$C$5,1,0),0)</f>
        <v/>
      </c>
      <c r="AS606" s="3">
        <f>IF(AND(Y606&lt;&gt;"",'Historical Score'!$C$7&lt;&gt;""),IF(Y606='Historical Score'!$C$7,1,0),0)</f>
        <v/>
      </c>
      <c r="AT606" s="3">
        <f>IF(AND(K606&lt;&gt;"",'Historical Score'!$C$8&lt;&gt;""),IF(K606='Historical Score'!$C$8,1,0),0)</f>
        <v/>
      </c>
      <c r="AU606" s="3" t="n"/>
      <c r="AV606" s="3" t="n"/>
      <c r="AW606" s="3" t="n"/>
      <c r="AX606" s="3" t="n"/>
      <c r="AY606" s="3" t="n"/>
      <c r="AZ606" s="3" t="n"/>
      <c r="BA606" s="182">
        <f>IF(AD606=1,(AR606*'Historical Score'!$K$29+1-'Historical Score'!$K$29)*(AT606*'Historical Score'!$L$29+1-'Historical Score'!$L$29)*(AS606*'Historical Score'!$M$29+1-'Historical Score'!$M$29)*(AQ606*'Historical Score'!$N$29+1-'Historical Score'!$N$29),0)</f>
        <v/>
      </c>
      <c r="BB606" s="3" t="n"/>
      <c r="BC606" s="3" t="n"/>
    </row>
    <row r="607" ht="15.75" customHeight="1" s="174">
      <c r="A607" s="3" t="inlineStr">
        <is>
          <t>5674178051</t>
        </is>
      </c>
      <c r="B607" s="3" t="inlineStr">
        <is>
          <t>LEGACY BARN DOORS INC.</t>
        </is>
      </c>
      <c r="C607" s="3" t="inlineStr">
        <is>
          <t>LEGACY BARN DOORS INC.</t>
        </is>
      </c>
      <c r="D607" s="3" t="inlineStr">
        <is>
          <t>Closed</t>
        </is>
      </c>
      <c r="E607" s="23" t="n">
        <v>46059</v>
      </c>
      <c r="F607" s="23" t="n">
        <v>46132</v>
      </c>
      <c r="G607" s="3" t="n">
        <v>3</v>
      </c>
      <c r="H607" s="3" t="inlineStr">
        <is>
          <t>2531</t>
        </is>
      </c>
      <c r="I607" s="3" t="inlineStr">
        <is>
          <t>25</t>
        </is>
      </c>
      <c r="J607" s="3" t="inlineStr">
        <is>
          <t>TX</t>
        </is>
      </c>
      <c r="K607" s="3" t="inlineStr">
        <is>
          <t>United Secured Capital 8</t>
        </is>
      </c>
      <c r="L607" s="3" t="inlineStr">
        <is>
          <t>New Deal</t>
        </is>
      </c>
      <c r="M607" s="3" t="n">
        <v>1.49</v>
      </c>
      <c r="N607" s="28" t="n">
        <v>15000</v>
      </c>
      <c r="O607" s="28" t="n">
        <v>2100</v>
      </c>
      <c r="P607" s="28" t="n">
        <v>22350</v>
      </c>
      <c r="Q607" s="28" t="n">
        <v>22350</v>
      </c>
      <c r="R607" s="28" t="n">
        <v>0</v>
      </c>
      <c r="S607" s="42" t="n">
        <v>1</v>
      </c>
      <c r="T607" s="3" t="n">
        <v>20</v>
      </c>
      <c r="U607" s="3" t="n">
        <v>0</v>
      </c>
      <c r="V607" s="3" t="n">
        <v>45291.67</v>
      </c>
      <c r="W607" s="42" t="n">
        <v>0.09</v>
      </c>
      <c r="X607" s="23" t="n"/>
      <c r="Y607" s="3">
        <f>IF(I607="","No SIC",IFERROR(VLOOKUP(I607,Ref!$A$2:$B$65,2,FALSE()),"Unclassified"))</f>
        <v/>
      </c>
      <c r="Z607" s="3">
        <f>IF(T607="","",IF(T607&lt;12,"Daily","Weekly"))</f>
        <v/>
      </c>
      <c r="AA607" s="3">
        <f>IF(T607="",0,IF(T607&lt;12,T607*Controls!$B$13,T607*5))</f>
        <v/>
      </c>
      <c r="AB607" s="3">
        <f>IF(E607="",0,NETWORKDAYS(E607,Controls!$B$20,Ref!$K$2:$K$42))</f>
        <v/>
      </c>
      <c r="AC607" s="3">
        <f>IF(OR(AF607=1,AND(AA607&gt;0,AB607&gt;=Controls!$B$23*AA607)),1,0)</f>
        <v/>
      </c>
      <c r="AD607" s="3">
        <f>IF(AND(E607&lt;&gt;"",E607&gt;=Controls!$B$21,E607&lt;=Controls!$B$22),1,0)</f>
        <v/>
      </c>
      <c r="AE607" s="3">
        <f>IF(IFERROR(VLOOKUP(D607,Controls!$A$36:$E$46,2,FALSE()),"No")="Yes",1,0)</f>
        <v/>
      </c>
      <c r="AF607" s="3">
        <f>IF(IFERROR(VLOOKUP(D607,Controls!$A$36:$E$46,3,FALSE()),"No")="Yes",1,0)</f>
        <v/>
      </c>
      <c r="AG607" s="3">
        <f>IF(IFERROR(VLOOKUP(D607,Controls!$A$36:$E$46,4,FALSE()),"No")="Yes",1,0)</f>
        <v/>
      </c>
      <c r="AH607" s="3">
        <f>IF(IFERROR(VLOOKUP(D607,Controls!$A$36:$E$46,5,FALSE()),"No")="Yes",1,0)</f>
        <v/>
      </c>
      <c r="AI607" s="3">
        <f>IF(ISNUMBER(MATCH(D607,Controls!$A$36:$A$46,0)),1,0)</f>
        <v/>
      </c>
      <c r="AJ607" s="28">
        <f>Q607-N607</f>
        <v/>
      </c>
      <c r="AK607" s="3">
        <f>IF(AE607=1,MAX(0,N607-Q607),0)</f>
        <v/>
      </c>
      <c r="AL607" s="3">
        <f>IF(OR(V607="",V607=0),0,N607/V607)</f>
        <v/>
      </c>
      <c r="AM607" s="3">
        <f>IF(OR(V607="",V607=0),0,1)</f>
        <v/>
      </c>
      <c r="AN607" s="3">
        <f>IF(OR(E607="",F607=""),0,NETWORKDAYS(E607,F607,Ref!$K$2:$K$42))</f>
        <v/>
      </c>
      <c r="AO607" s="3">
        <f>IF(L607="Renewal",1,0)</f>
        <v/>
      </c>
      <c r="AP607" s="3">
        <f>AC607*AD607</f>
        <v/>
      </c>
      <c r="AQ607" s="3">
        <f>IF(AND(G607&lt;&gt;"",'Historical Score'!$C$6&lt;&gt;""),IF(G607='Historical Score'!$C$6,1,0),0)</f>
        <v/>
      </c>
      <c r="AR607" s="3">
        <f>IF(AND(L607&lt;&gt;"",'Historical Score'!$C$5&lt;&gt;""),IF(L607='Historical Score'!$C$5,1,0),0)</f>
        <v/>
      </c>
      <c r="AS607" s="3">
        <f>IF(AND(Y607&lt;&gt;"",'Historical Score'!$C$7&lt;&gt;""),IF(Y607='Historical Score'!$C$7,1,0),0)</f>
        <v/>
      </c>
      <c r="AT607" s="3">
        <f>IF(AND(K607&lt;&gt;"",'Historical Score'!$C$8&lt;&gt;""),IF(K607='Historical Score'!$C$8,1,0),0)</f>
        <v/>
      </c>
      <c r="AU607" s="3" t="n"/>
      <c r="AV607" s="3" t="n"/>
      <c r="AW607" s="3" t="n"/>
      <c r="AX607" s="3" t="n"/>
      <c r="AY607" s="3" t="n"/>
      <c r="AZ607" s="3" t="n"/>
      <c r="BA607" s="182">
        <f>IF(AD607=1,(AR607*'Historical Score'!$K$29+1-'Historical Score'!$K$29)*(AT607*'Historical Score'!$L$29+1-'Historical Score'!$L$29)*(AS607*'Historical Score'!$M$29+1-'Historical Score'!$M$29)*(AQ607*'Historical Score'!$N$29+1-'Historical Score'!$N$29),0)</f>
        <v/>
      </c>
      <c r="BB607" s="3" t="n"/>
      <c r="BC607" s="3" t="n"/>
    </row>
    <row r="608" ht="15.75" customHeight="1" s="174">
      <c r="A608" s="3" t="inlineStr">
        <is>
          <t>5674178068</t>
        </is>
      </c>
      <c r="B608" s="3" t="inlineStr">
        <is>
          <t>Garcia xpress LLC</t>
        </is>
      </c>
      <c r="C608" s="3" t="inlineStr">
        <is>
          <t>GARCIA XPRESS LLC</t>
        </is>
      </c>
      <c r="D608" s="3" t="inlineStr">
        <is>
          <t>In House Collection</t>
        </is>
      </c>
      <c r="E608" s="23" t="n">
        <v>46059</v>
      </c>
      <c r="F608" s="23" t="n">
        <v>46203</v>
      </c>
      <c r="G608" s="3" t="n">
        <v>2</v>
      </c>
      <c r="H608" s="3" t="inlineStr">
        <is>
          <t>4212</t>
        </is>
      </c>
      <c r="I608" s="3" t="inlineStr">
        <is>
          <t>42</t>
        </is>
      </c>
      <c r="J608" s="3" t="inlineStr">
        <is>
          <t>NJ</t>
        </is>
      </c>
      <c r="K608" s="3" t="inlineStr">
        <is>
          <t>Fundible</t>
        </is>
      </c>
      <c r="L608" s="3" t="inlineStr">
        <is>
          <t>New Deal</t>
        </is>
      </c>
      <c r="M608" s="3" t="n">
        <v>1.43</v>
      </c>
      <c r="N608" s="28" t="n">
        <v>15000</v>
      </c>
      <c r="O608" s="28" t="n">
        <v>1650</v>
      </c>
      <c r="P608" s="28" t="n">
        <v>21450</v>
      </c>
      <c r="Q608" s="28" t="n">
        <v>3436.56</v>
      </c>
      <c r="R608" s="28" t="n">
        <v>18013.44</v>
      </c>
      <c r="S608" s="42" t="n">
        <v>0.160212587412587</v>
      </c>
      <c r="T608" s="3" t="n">
        <v>2.459</v>
      </c>
      <c r="U608" s="3" t="n">
        <v>14</v>
      </c>
      <c r="V608" s="3" t="n">
        <v>274610.06</v>
      </c>
      <c r="W608" s="42" t="n">
        <v>0.0219</v>
      </c>
      <c r="X608" s="23" t="n">
        <v>45328</v>
      </c>
      <c r="Y608" s="3">
        <f>IF(I608="","No SIC",IFERROR(VLOOKUP(I608,Ref!$A$2:$B$65,2,FALSE()),"Unclassified"))</f>
        <v/>
      </c>
      <c r="Z608" s="3">
        <f>IF(T608="","",IF(T608&lt;12,"Daily","Weekly"))</f>
        <v/>
      </c>
      <c r="AA608" s="3">
        <f>IF(T608="",0,IF(T608&lt;12,T608*Controls!$B$13,T608*5))</f>
        <v/>
      </c>
      <c r="AB608" s="3">
        <f>IF(E608="",0,NETWORKDAYS(E608,Controls!$B$20,Ref!$K$2:$K$42))</f>
        <v/>
      </c>
      <c r="AC608" s="3">
        <f>IF(OR(AF608=1,AND(AA608&gt;0,AB608&gt;=Controls!$B$23*AA608)),1,0)</f>
        <v/>
      </c>
      <c r="AD608" s="3">
        <f>IF(AND(E608&lt;&gt;"",E608&gt;=Controls!$B$21,E608&lt;=Controls!$B$22),1,0)</f>
        <v/>
      </c>
      <c r="AE608" s="3">
        <f>IF(IFERROR(VLOOKUP(D608,Controls!$A$36:$E$46,2,FALSE()),"No")="Yes",1,0)</f>
        <v/>
      </c>
      <c r="AF608" s="3">
        <f>IF(IFERROR(VLOOKUP(D608,Controls!$A$36:$E$46,3,FALSE()),"No")="Yes",1,0)</f>
        <v/>
      </c>
      <c r="AG608" s="3">
        <f>IF(IFERROR(VLOOKUP(D608,Controls!$A$36:$E$46,4,FALSE()),"No")="Yes",1,0)</f>
        <v/>
      </c>
      <c r="AH608" s="3">
        <f>IF(IFERROR(VLOOKUP(D608,Controls!$A$36:$E$46,5,FALSE()),"No")="Yes",1,0)</f>
        <v/>
      </c>
      <c r="AI608" s="3">
        <f>IF(ISNUMBER(MATCH(D608,Controls!$A$36:$A$46,0)),1,0)</f>
        <v/>
      </c>
      <c r="AJ608" s="28">
        <f>Q608-N608</f>
        <v/>
      </c>
      <c r="AK608" s="3">
        <f>IF(AE608=1,MAX(0,N608-Q608),0)</f>
        <v/>
      </c>
      <c r="AL608" s="3">
        <f>IF(OR(V608="",V608=0),0,N608/V608)</f>
        <v/>
      </c>
      <c r="AM608" s="3">
        <f>IF(OR(V608="",V608=0),0,1)</f>
        <v/>
      </c>
      <c r="AN608" s="3">
        <f>IF(OR(E608="",F608=""),0,NETWORKDAYS(E608,F608,Ref!$K$2:$K$42))</f>
        <v/>
      </c>
      <c r="AO608" s="3">
        <f>IF(L608="Renewal",1,0)</f>
        <v/>
      </c>
      <c r="AP608" s="3">
        <f>AC608*AD608</f>
        <v/>
      </c>
      <c r="AQ608" s="3">
        <f>IF(AND(G608&lt;&gt;"",'Historical Score'!$C$6&lt;&gt;""),IF(G608='Historical Score'!$C$6,1,0),0)</f>
        <v/>
      </c>
      <c r="AR608" s="3">
        <f>IF(AND(L608&lt;&gt;"",'Historical Score'!$C$5&lt;&gt;""),IF(L608='Historical Score'!$C$5,1,0),0)</f>
        <v/>
      </c>
      <c r="AS608" s="3">
        <f>IF(AND(Y608&lt;&gt;"",'Historical Score'!$C$7&lt;&gt;""),IF(Y608='Historical Score'!$C$7,1,0),0)</f>
        <v/>
      </c>
      <c r="AT608" s="3">
        <f>IF(AND(K608&lt;&gt;"",'Historical Score'!$C$8&lt;&gt;""),IF(K608='Historical Score'!$C$8,1,0),0)</f>
        <v/>
      </c>
      <c r="AU608" s="3" t="n"/>
      <c r="AV608" s="3" t="n"/>
      <c r="AW608" s="3" t="n"/>
      <c r="AX608" s="3" t="n"/>
      <c r="AY608" s="3" t="n"/>
      <c r="AZ608" s="3" t="n"/>
      <c r="BA608" s="182">
        <f>IF(AD608=1,(AR608*'Historical Score'!$K$29+1-'Historical Score'!$K$29)*(AT608*'Historical Score'!$L$29+1-'Historical Score'!$L$29)*(AS608*'Historical Score'!$M$29+1-'Historical Score'!$M$29)*(AQ608*'Historical Score'!$N$29+1-'Historical Score'!$N$29),0)</f>
        <v/>
      </c>
      <c r="BB608" s="3" t="n"/>
      <c r="BC608" s="3" t="n"/>
    </row>
    <row r="609" ht="15.75" customHeight="1" s="174">
      <c r="A609" s="3" t="inlineStr">
        <is>
          <t>5674178074</t>
        </is>
      </c>
      <c r="B609" s="3" t="inlineStr">
        <is>
          <t>J &amp; R CONSTRUCTION</t>
        </is>
      </c>
      <c r="C609" s="3" t="inlineStr">
        <is>
          <t>J &amp; R CONSTRUCTION</t>
        </is>
      </c>
      <c r="D609" s="3" t="inlineStr">
        <is>
          <t>Legal</t>
        </is>
      </c>
      <c r="E609" s="23" t="n">
        <v>46059</v>
      </c>
      <c r="F609" s="23" t="n">
        <v>46087</v>
      </c>
      <c r="G609" s="3" t="n">
        <v>3</v>
      </c>
      <c r="H609" s="3" t="n"/>
      <c r="I609" s="3" t="n"/>
      <c r="J609" s="3" t="inlineStr">
        <is>
          <t>No state</t>
        </is>
      </c>
      <c r="K609" s="3" t="inlineStr">
        <is>
          <t>United Secured Capital 8</t>
        </is>
      </c>
      <c r="L609" s="3" t="inlineStr">
        <is>
          <t>New Deal</t>
        </is>
      </c>
      <c r="M609" s="3" t="n">
        <v>1.49</v>
      </c>
      <c r="N609" s="28" t="n">
        <v>30000</v>
      </c>
      <c r="O609" s="28" t="n">
        <v>4200</v>
      </c>
      <c r="P609" s="28" t="n">
        <v>44700</v>
      </c>
      <c r="Q609" s="28" t="n">
        <v>5588.25</v>
      </c>
      <c r="R609" s="28" t="n">
        <v>39111.75</v>
      </c>
      <c r="S609" s="42" t="n">
        <v>0.12501677852349</v>
      </c>
      <c r="T609" s="3" t="n">
        <v>24</v>
      </c>
      <c r="U609" s="3" t="n">
        <v>1</v>
      </c>
      <c r="V609" s="3" t="n">
        <v>78846.67</v>
      </c>
      <c r="W609" s="42" t="n">
        <v>0.0945</v>
      </c>
      <c r="X609" s="23" t="n"/>
      <c r="Y609" s="3">
        <f>IF(I609="","No SIC",IFERROR(VLOOKUP(I609,Ref!$A$2:$B$65,2,FALSE()),"Unclassified"))</f>
        <v/>
      </c>
      <c r="Z609" s="3">
        <f>IF(T609="","",IF(T609&lt;12,"Daily","Weekly"))</f>
        <v/>
      </c>
      <c r="AA609" s="3">
        <f>IF(T609="",0,IF(T609&lt;12,T609*Controls!$B$13,T609*5))</f>
        <v/>
      </c>
      <c r="AB609" s="3">
        <f>IF(E609="",0,NETWORKDAYS(E609,Controls!$B$20,Ref!$K$2:$K$42))</f>
        <v/>
      </c>
      <c r="AC609" s="3">
        <f>IF(OR(AF609=1,AND(AA609&gt;0,AB609&gt;=Controls!$B$23*AA609)),1,0)</f>
        <v/>
      </c>
      <c r="AD609" s="3">
        <f>IF(AND(E609&lt;&gt;"",E609&gt;=Controls!$B$21,E609&lt;=Controls!$B$22),1,0)</f>
        <v/>
      </c>
      <c r="AE609" s="3">
        <f>IF(IFERROR(VLOOKUP(D609,Controls!$A$36:$E$46,2,FALSE()),"No")="Yes",1,0)</f>
        <v/>
      </c>
      <c r="AF609" s="3">
        <f>IF(IFERROR(VLOOKUP(D609,Controls!$A$36:$E$46,3,FALSE()),"No")="Yes",1,0)</f>
        <v/>
      </c>
      <c r="AG609" s="3">
        <f>IF(IFERROR(VLOOKUP(D609,Controls!$A$36:$E$46,4,FALSE()),"No")="Yes",1,0)</f>
        <v/>
      </c>
      <c r="AH609" s="3">
        <f>IF(IFERROR(VLOOKUP(D609,Controls!$A$36:$E$46,5,FALSE()),"No")="Yes",1,0)</f>
        <v/>
      </c>
      <c r="AI609" s="3">
        <f>IF(ISNUMBER(MATCH(D609,Controls!$A$36:$A$46,0)),1,0)</f>
        <v/>
      </c>
      <c r="AJ609" s="28">
        <f>Q609-N609</f>
        <v/>
      </c>
      <c r="AK609" s="3">
        <f>IF(AE609=1,MAX(0,N609-Q609),0)</f>
        <v/>
      </c>
      <c r="AL609" s="3">
        <f>IF(OR(V609="",V609=0),0,N609/V609)</f>
        <v/>
      </c>
      <c r="AM609" s="3">
        <f>IF(OR(V609="",V609=0),0,1)</f>
        <v/>
      </c>
      <c r="AN609" s="3">
        <f>IF(OR(E609="",F609=""),0,NETWORKDAYS(E609,F609,Ref!$K$2:$K$42))</f>
        <v/>
      </c>
      <c r="AO609" s="3">
        <f>IF(L609="Renewal",1,0)</f>
        <v/>
      </c>
      <c r="AP609" s="3">
        <f>AC609*AD609</f>
        <v/>
      </c>
      <c r="AQ609" s="3">
        <f>IF(AND(G609&lt;&gt;"",'Historical Score'!$C$6&lt;&gt;""),IF(G609='Historical Score'!$C$6,1,0),0)</f>
        <v/>
      </c>
      <c r="AR609" s="3">
        <f>IF(AND(L609&lt;&gt;"",'Historical Score'!$C$5&lt;&gt;""),IF(L609='Historical Score'!$C$5,1,0),0)</f>
        <v/>
      </c>
      <c r="AS609" s="3">
        <f>IF(AND(Y609&lt;&gt;"",'Historical Score'!$C$7&lt;&gt;""),IF(Y609='Historical Score'!$C$7,1,0),0)</f>
        <v/>
      </c>
      <c r="AT609" s="3">
        <f>IF(AND(K609&lt;&gt;"",'Historical Score'!$C$8&lt;&gt;""),IF(K609='Historical Score'!$C$8,1,0),0)</f>
        <v/>
      </c>
      <c r="AU609" s="3" t="n"/>
      <c r="AV609" s="3" t="n"/>
      <c r="AW609" s="3" t="n"/>
      <c r="AX609" s="3" t="n"/>
      <c r="AY609" s="3" t="n"/>
      <c r="AZ609" s="3" t="n"/>
      <c r="BA609" s="182">
        <f>IF(AD609=1,(AR609*'Historical Score'!$K$29+1-'Historical Score'!$K$29)*(AT609*'Historical Score'!$L$29+1-'Historical Score'!$L$29)*(AS609*'Historical Score'!$M$29+1-'Historical Score'!$M$29)*(AQ609*'Historical Score'!$N$29+1-'Historical Score'!$N$29),0)</f>
        <v/>
      </c>
      <c r="BB609" s="3" t="n"/>
      <c r="BC609" s="3" t="n"/>
    </row>
    <row r="610" ht="15.75" customHeight="1" s="174">
      <c r="A610" s="3" t="inlineStr">
        <is>
          <t>5674178118</t>
        </is>
      </c>
      <c r="B610" s="3" t="inlineStr">
        <is>
          <t>KATHY'S MASON JAR FAMILY DINER LLC</t>
        </is>
      </c>
      <c r="C610" s="3" t="inlineStr">
        <is>
          <t>KATHY'S MASON JAR FAMILY DINER LLC</t>
        </is>
      </c>
      <c r="D610" s="3" t="inlineStr">
        <is>
          <t>Closed</t>
        </is>
      </c>
      <c r="E610" s="23" t="n">
        <v>46062</v>
      </c>
      <c r="F610" s="23" t="n">
        <v>46139</v>
      </c>
      <c r="G610" s="3" t="n">
        <v>3</v>
      </c>
      <c r="H610" s="3" t="inlineStr">
        <is>
          <t>5812</t>
        </is>
      </c>
      <c r="I610" s="3" t="inlineStr">
        <is>
          <t>58</t>
        </is>
      </c>
      <c r="J610" s="3" t="inlineStr">
        <is>
          <t>OK</t>
        </is>
      </c>
      <c r="K610" s="3" t="inlineStr">
        <is>
          <t>United Secured Capital 8</t>
        </is>
      </c>
      <c r="L610" s="3" t="inlineStr">
        <is>
          <t>Renewal</t>
        </is>
      </c>
      <c r="M610" s="3" t="n">
        <v>1.49</v>
      </c>
      <c r="N610" s="28" t="n">
        <v>16500</v>
      </c>
      <c r="O610" s="28" t="n">
        <v>2310</v>
      </c>
      <c r="P610" s="28" t="n">
        <v>24585</v>
      </c>
      <c r="Q610" s="28" t="n">
        <v>24585</v>
      </c>
      <c r="R610" s="28" t="n">
        <v>0</v>
      </c>
      <c r="S610" s="42" t="n">
        <v>1</v>
      </c>
      <c r="T610" s="3" t="n">
        <v>3.279</v>
      </c>
      <c r="U610" s="3" t="n">
        <v>1</v>
      </c>
      <c r="V610" s="3" t="n">
        <v>37733.39</v>
      </c>
      <c r="W610" s="42" t="n">
        <v>0.1368</v>
      </c>
      <c r="X610" s="23" t="n"/>
      <c r="Y610" s="3">
        <f>IF(I610="","No SIC",IFERROR(VLOOKUP(I610,Ref!$A$2:$B$65,2,FALSE()),"Unclassified"))</f>
        <v/>
      </c>
      <c r="Z610" s="3">
        <f>IF(T610="","",IF(T610&lt;12,"Daily","Weekly"))</f>
        <v/>
      </c>
      <c r="AA610" s="3">
        <f>IF(T610="",0,IF(T610&lt;12,T610*Controls!$B$13,T610*5))</f>
        <v/>
      </c>
      <c r="AB610" s="3">
        <f>IF(E610="",0,NETWORKDAYS(E610,Controls!$B$20,Ref!$K$2:$K$42))</f>
        <v/>
      </c>
      <c r="AC610" s="3">
        <f>IF(OR(AF610=1,AND(AA610&gt;0,AB610&gt;=Controls!$B$23*AA610)),1,0)</f>
        <v/>
      </c>
      <c r="AD610" s="3">
        <f>IF(AND(E610&lt;&gt;"",E610&gt;=Controls!$B$21,E610&lt;=Controls!$B$22),1,0)</f>
        <v/>
      </c>
      <c r="AE610" s="3">
        <f>IF(IFERROR(VLOOKUP(D610,Controls!$A$36:$E$46,2,FALSE()),"No")="Yes",1,0)</f>
        <v/>
      </c>
      <c r="AF610" s="3">
        <f>IF(IFERROR(VLOOKUP(D610,Controls!$A$36:$E$46,3,FALSE()),"No")="Yes",1,0)</f>
        <v/>
      </c>
      <c r="AG610" s="3">
        <f>IF(IFERROR(VLOOKUP(D610,Controls!$A$36:$E$46,4,FALSE()),"No")="Yes",1,0)</f>
        <v/>
      </c>
      <c r="AH610" s="3">
        <f>IF(IFERROR(VLOOKUP(D610,Controls!$A$36:$E$46,5,FALSE()),"No")="Yes",1,0)</f>
        <v/>
      </c>
      <c r="AI610" s="3">
        <f>IF(ISNUMBER(MATCH(D610,Controls!$A$36:$A$46,0)),1,0)</f>
        <v/>
      </c>
      <c r="AJ610" s="28">
        <f>Q610-N610</f>
        <v/>
      </c>
      <c r="AK610" s="3">
        <f>IF(AE610=1,MAX(0,N610-Q610),0)</f>
        <v/>
      </c>
      <c r="AL610" s="3">
        <f>IF(OR(V610="",V610=0),0,N610/V610)</f>
        <v/>
      </c>
      <c r="AM610" s="3">
        <f>IF(OR(V610="",V610=0),0,1)</f>
        <v/>
      </c>
      <c r="AN610" s="3">
        <f>IF(OR(E610="",F610=""),0,NETWORKDAYS(E610,F610,Ref!$K$2:$K$42))</f>
        <v/>
      </c>
      <c r="AO610" s="3">
        <f>IF(L610="Renewal",1,0)</f>
        <v/>
      </c>
      <c r="AP610" s="3">
        <f>AC610*AD610</f>
        <v/>
      </c>
      <c r="AQ610" s="3">
        <f>IF(AND(G610&lt;&gt;"",'Historical Score'!$C$6&lt;&gt;""),IF(G610='Historical Score'!$C$6,1,0),0)</f>
        <v/>
      </c>
      <c r="AR610" s="3">
        <f>IF(AND(L610&lt;&gt;"",'Historical Score'!$C$5&lt;&gt;""),IF(L610='Historical Score'!$C$5,1,0),0)</f>
        <v/>
      </c>
      <c r="AS610" s="3">
        <f>IF(AND(Y610&lt;&gt;"",'Historical Score'!$C$7&lt;&gt;""),IF(Y610='Historical Score'!$C$7,1,0),0)</f>
        <v/>
      </c>
      <c r="AT610" s="3">
        <f>IF(AND(K610&lt;&gt;"",'Historical Score'!$C$8&lt;&gt;""),IF(K610='Historical Score'!$C$8,1,0),0)</f>
        <v/>
      </c>
      <c r="AU610" s="3" t="n"/>
      <c r="AV610" s="3" t="n"/>
      <c r="AW610" s="3" t="n"/>
      <c r="AX610" s="3" t="n"/>
      <c r="AY610" s="3" t="n"/>
      <c r="AZ610" s="3" t="n"/>
      <c r="BA610" s="182">
        <f>IF(AD610=1,(AR610*'Historical Score'!$K$29+1-'Historical Score'!$K$29)*(AT610*'Historical Score'!$L$29+1-'Historical Score'!$L$29)*(AS610*'Historical Score'!$M$29+1-'Historical Score'!$M$29)*(AQ610*'Historical Score'!$N$29+1-'Historical Score'!$N$29),0)</f>
        <v/>
      </c>
      <c r="BB610" s="3" t="n"/>
      <c r="BC610" s="3" t="n"/>
    </row>
    <row r="611" ht="15.75" customHeight="1" s="174">
      <c r="A611" s="3" t="inlineStr">
        <is>
          <t>5674178132</t>
        </is>
      </c>
      <c r="B611" s="3" t="inlineStr">
        <is>
          <t>TOP NOTCH TRAINING GYM LLC</t>
        </is>
      </c>
      <c r="C611" s="3" t="inlineStr">
        <is>
          <t>TOP NOTCH TRAINING GYM LLC</t>
        </is>
      </c>
      <c r="D611" s="3" t="inlineStr">
        <is>
          <t>Closed</t>
        </is>
      </c>
      <c r="E611" s="23" t="n">
        <v>46062</v>
      </c>
      <c r="F611" s="23" t="n">
        <v>46099</v>
      </c>
      <c r="G611" s="3" t="n">
        <v>3</v>
      </c>
      <c r="H611" s="3" t="inlineStr">
        <is>
          <t>7991</t>
        </is>
      </c>
      <c r="I611" s="3" t="inlineStr">
        <is>
          <t>79</t>
        </is>
      </c>
      <c r="J611" s="3" t="inlineStr">
        <is>
          <t>GA</t>
        </is>
      </c>
      <c r="K611" s="3" t="inlineStr">
        <is>
          <t>American Funding Association 1</t>
        </is>
      </c>
      <c r="L611" s="3" t="inlineStr">
        <is>
          <t>New Deal</t>
        </is>
      </c>
      <c r="M611" s="3" t="n">
        <v>1.394418</v>
      </c>
      <c r="N611" s="28" t="n">
        <v>20000</v>
      </c>
      <c r="O611" s="28" t="n">
        <v>2400</v>
      </c>
      <c r="P611" s="28" t="n">
        <v>27888.36</v>
      </c>
      <c r="Q611" s="28" t="n">
        <v>27888.36</v>
      </c>
      <c r="R611" s="28" t="n">
        <v>-3.63797880709171e-12</v>
      </c>
      <c r="S611" s="42" t="n">
        <v>1</v>
      </c>
      <c r="T611" s="3" t="n">
        <v>2.951</v>
      </c>
      <c r="U611" s="3" t="n">
        <v>0</v>
      </c>
      <c r="V611" s="3" t="n">
        <v>81728.03</v>
      </c>
      <c r="W611" s="42" t="n">
        <v>0.0828</v>
      </c>
      <c r="X611" s="23" t="n">
        <v>41794</v>
      </c>
      <c r="Y611" s="3">
        <f>IF(I611="","No SIC",IFERROR(VLOOKUP(I611,Ref!$A$2:$B$65,2,FALSE()),"Unclassified"))</f>
        <v/>
      </c>
      <c r="Z611" s="3">
        <f>IF(T611="","",IF(T611&lt;12,"Daily","Weekly"))</f>
        <v/>
      </c>
      <c r="AA611" s="3">
        <f>IF(T611="",0,IF(T611&lt;12,T611*Controls!$B$13,T611*5))</f>
        <v/>
      </c>
      <c r="AB611" s="3">
        <f>IF(E611="",0,NETWORKDAYS(E611,Controls!$B$20,Ref!$K$2:$K$42))</f>
        <v/>
      </c>
      <c r="AC611" s="3">
        <f>IF(OR(AF611=1,AND(AA611&gt;0,AB611&gt;=Controls!$B$23*AA611)),1,0)</f>
        <v/>
      </c>
      <c r="AD611" s="3">
        <f>IF(AND(E611&lt;&gt;"",E611&gt;=Controls!$B$21,E611&lt;=Controls!$B$22),1,0)</f>
        <v/>
      </c>
      <c r="AE611" s="3">
        <f>IF(IFERROR(VLOOKUP(D611,Controls!$A$36:$E$46,2,FALSE()),"No")="Yes",1,0)</f>
        <v/>
      </c>
      <c r="AF611" s="3">
        <f>IF(IFERROR(VLOOKUP(D611,Controls!$A$36:$E$46,3,FALSE()),"No")="Yes",1,0)</f>
        <v/>
      </c>
      <c r="AG611" s="3">
        <f>IF(IFERROR(VLOOKUP(D611,Controls!$A$36:$E$46,4,FALSE()),"No")="Yes",1,0)</f>
        <v/>
      </c>
      <c r="AH611" s="3">
        <f>IF(IFERROR(VLOOKUP(D611,Controls!$A$36:$E$46,5,FALSE()),"No")="Yes",1,0)</f>
        <v/>
      </c>
      <c r="AI611" s="3">
        <f>IF(ISNUMBER(MATCH(D611,Controls!$A$36:$A$46,0)),1,0)</f>
        <v/>
      </c>
      <c r="AJ611" s="28">
        <f>Q611-N611</f>
        <v/>
      </c>
      <c r="AK611" s="3">
        <f>IF(AE611=1,MAX(0,N611-Q611),0)</f>
        <v/>
      </c>
      <c r="AL611" s="3">
        <f>IF(OR(V611="",V611=0),0,N611/V611)</f>
        <v/>
      </c>
      <c r="AM611" s="3">
        <f>IF(OR(V611="",V611=0),0,1)</f>
        <v/>
      </c>
      <c r="AN611" s="3">
        <f>IF(OR(E611="",F611=""),0,NETWORKDAYS(E611,F611,Ref!$K$2:$K$42))</f>
        <v/>
      </c>
      <c r="AO611" s="3">
        <f>IF(L611="Renewal",1,0)</f>
        <v/>
      </c>
      <c r="AP611" s="3">
        <f>AC611*AD611</f>
        <v/>
      </c>
      <c r="AQ611" s="3">
        <f>IF(AND(G611&lt;&gt;"",'Historical Score'!$C$6&lt;&gt;""),IF(G611='Historical Score'!$C$6,1,0),0)</f>
        <v/>
      </c>
      <c r="AR611" s="3">
        <f>IF(AND(L611&lt;&gt;"",'Historical Score'!$C$5&lt;&gt;""),IF(L611='Historical Score'!$C$5,1,0),0)</f>
        <v/>
      </c>
      <c r="AS611" s="3">
        <f>IF(AND(Y611&lt;&gt;"",'Historical Score'!$C$7&lt;&gt;""),IF(Y611='Historical Score'!$C$7,1,0),0)</f>
        <v/>
      </c>
      <c r="AT611" s="3">
        <f>IF(AND(K611&lt;&gt;"",'Historical Score'!$C$8&lt;&gt;""),IF(K611='Historical Score'!$C$8,1,0),0)</f>
        <v/>
      </c>
      <c r="AU611" s="3" t="n"/>
      <c r="AV611" s="3" t="n"/>
      <c r="AW611" s="3" t="n"/>
      <c r="AX611" s="3" t="n"/>
      <c r="AY611" s="3" t="n"/>
      <c r="AZ611" s="3" t="n"/>
      <c r="BA611" s="182">
        <f>IF(AD611=1,(AR611*'Historical Score'!$K$29+1-'Historical Score'!$K$29)*(AT611*'Historical Score'!$L$29+1-'Historical Score'!$L$29)*(AS611*'Historical Score'!$M$29+1-'Historical Score'!$M$29)*(AQ611*'Historical Score'!$N$29+1-'Historical Score'!$N$29),0)</f>
        <v/>
      </c>
      <c r="BB611" s="3" t="n"/>
      <c r="BC611" s="3" t="n"/>
    </row>
    <row r="612" ht="15.75" customHeight="1" s="174">
      <c r="A612" s="3" t="inlineStr">
        <is>
          <t>5674178133</t>
        </is>
      </c>
      <c r="B612" s="3" t="inlineStr">
        <is>
          <t>LEGENDS OFFROAD LLC</t>
        </is>
      </c>
      <c r="C612" s="3" t="inlineStr">
        <is>
          <t>LEGENDS OFFROAD LLC</t>
        </is>
      </c>
      <c r="D612" s="3" t="inlineStr">
        <is>
          <t>Legal</t>
        </is>
      </c>
      <c r="E612" s="23" t="n">
        <v>46062</v>
      </c>
      <c r="F612" s="23" t="n">
        <v>46150</v>
      </c>
      <c r="G612" s="3" t="n">
        <v>2</v>
      </c>
      <c r="H612" s="3" t="inlineStr">
        <is>
          <t>7538</t>
        </is>
      </c>
      <c r="I612" s="3" t="inlineStr">
        <is>
          <t>75</t>
        </is>
      </c>
      <c r="J612" s="3" t="inlineStr">
        <is>
          <t>ND</t>
        </is>
      </c>
      <c r="K612" s="3" t="inlineStr">
        <is>
          <t>TRUSTFI</t>
        </is>
      </c>
      <c r="L612" s="3" t="inlineStr">
        <is>
          <t>New Deal</t>
        </is>
      </c>
      <c r="M612" s="3" t="n">
        <v>1.4</v>
      </c>
      <c r="N612" s="28" t="n">
        <v>20000</v>
      </c>
      <c r="O612" s="28" t="n">
        <v>1900</v>
      </c>
      <c r="P612" s="28" t="n">
        <v>28000</v>
      </c>
      <c r="Q612" s="28" t="n">
        <v>6996.95</v>
      </c>
      <c r="R612" s="28" t="n">
        <v>21003.05</v>
      </c>
      <c r="S612" s="42" t="n">
        <v>0.249891071428571</v>
      </c>
      <c r="T612" s="3" t="n">
        <v>20</v>
      </c>
      <c r="U612" s="3" t="n">
        <v>8</v>
      </c>
      <c r="V612" s="3" t="n">
        <v>72319.86</v>
      </c>
      <c r="W612" s="42" t="n">
        <v>0.0774</v>
      </c>
      <c r="X612" s="23" t="n">
        <v>44409</v>
      </c>
      <c r="Y612" s="3">
        <f>IF(I612="","No SIC",IFERROR(VLOOKUP(I612,Ref!$A$2:$B$65,2,FALSE()),"Unclassified"))</f>
        <v/>
      </c>
      <c r="Z612" s="3">
        <f>IF(T612="","",IF(T612&lt;12,"Daily","Weekly"))</f>
        <v/>
      </c>
      <c r="AA612" s="3">
        <f>IF(T612="",0,IF(T612&lt;12,T612*Controls!$B$13,T612*5))</f>
        <v/>
      </c>
      <c r="AB612" s="3">
        <f>IF(E612="",0,NETWORKDAYS(E612,Controls!$B$20,Ref!$K$2:$K$42))</f>
        <v/>
      </c>
      <c r="AC612" s="3">
        <f>IF(OR(AF612=1,AND(AA612&gt;0,AB612&gt;=Controls!$B$23*AA612)),1,0)</f>
        <v/>
      </c>
      <c r="AD612" s="3">
        <f>IF(AND(E612&lt;&gt;"",E612&gt;=Controls!$B$21,E612&lt;=Controls!$B$22),1,0)</f>
        <v/>
      </c>
      <c r="AE612" s="3">
        <f>IF(IFERROR(VLOOKUP(D612,Controls!$A$36:$E$46,2,FALSE()),"No")="Yes",1,0)</f>
        <v/>
      </c>
      <c r="AF612" s="3">
        <f>IF(IFERROR(VLOOKUP(D612,Controls!$A$36:$E$46,3,FALSE()),"No")="Yes",1,0)</f>
        <v/>
      </c>
      <c r="AG612" s="3">
        <f>IF(IFERROR(VLOOKUP(D612,Controls!$A$36:$E$46,4,FALSE()),"No")="Yes",1,0)</f>
        <v/>
      </c>
      <c r="AH612" s="3">
        <f>IF(IFERROR(VLOOKUP(D612,Controls!$A$36:$E$46,5,FALSE()),"No")="Yes",1,0)</f>
        <v/>
      </c>
      <c r="AI612" s="3">
        <f>IF(ISNUMBER(MATCH(D612,Controls!$A$36:$A$46,0)),1,0)</f>
        <v/>
      </c>
      <c r="AJ612" s="28">
        <f>Q612-N612</f>
        <v/>
      </c>
      <c r="AK612" s="3">
        <f>IF(AE612=1,MAX(0,N612-Q612),0)</f>
        <v/>
      </c>
      <c r="AL612" s="3">
        <f>IF(OR(V612="",V612=0),0,N612/V612)</f>
        <v/>
      </c>
      <c r="AM612" s="3">
        <f>IF(OR(V612="",V612=0),0,1)</f>
        <v/>
      </c>
      <c r="AN612" s="3">
        <f>IF(OR(E612="",F612=""),0,NETWORKDAYS(E612,F612,Ref!$K$2:$K$42))</f>
        <v/>
      </c>
      <c r="AO612" s="3">
        <f>IF(L612="Renewal",1,0)</f>
        <v/>
      </c>
      <c r="AP612" s="3">
        <f>AC612*AD612</f>
        <v/>
      </c>
      <c r="AQ612" s="3">
        <f>IF(AND(G612&lt;&gt;"",'Historical Score'!$C$6&lt;&gt;""),IF(G612='Historical Score'!$C$6,1,0),0)</f>
        <v/>
      </c>
      <c r="AR612" s="3">
        <f>IF(AND(L612&lt;&gt;"",'Historical Score'!$C$5&lt;&gt;""),IF(L612='Historical Score'!$C$5,1,0),0)</f>
        <v/>
      </c>
      <c r="AS612" s="3">
        <f>IF(AND(Y612&lt;&gt;"",'Historical Score'!$C$7&lt;&gt;""),IF(Y612='Historical Score'!$C$7,1,0),0)</f>
        <v/>
      </c>
      <c r="AT612" s="3">
        <f>IF(AND(K612&lt;&gt;"",'Historical Score'!$C$8&lt;&gt;""),IF(K612='Historical Score'!$C$8,1,0),0)</f>
        <v/>
      </c>
      <c r="AU612" s="3" t="n"/>
      <c r="AV612" s="3" t="n"/>
      <c r="AW612" s="3" t="n"/>
      <c r="AX612" s="3" t="n"/>
      <c r="AY612" s="3" t="n"/>
      <c r="AZ612" s="3" t="n"/>
      <c r="BA612" s="182">
        <f>IF(AD612=1,(AR612*'Historical Score'!$K$29+1-'Historical Score'!$K$29)*(AT612*'Historical Score'!$L$29+1-'Historical Score'!$L$29)*(AS612*'Historical Score'!$M$29+1-'Historical Score'!$M$29)*(AQ612*'Historical Score'!$N$29+1-'Historical Score'!$N$29),0)</f>
        <v/>
      </c>
      <c r="BB612" s="3" t="n"/>
      <c r="BC612" s="3" t="n"/>
    </row>
    <row r="613" ht="15.75" customHeight="1" s="174">
      <c r="A613" s="3" t="inlineStr">
        <is>
          <t>5674178226</t>
        </is>
      </c>
      <c r="B613" s="3" t="inlineStr">
        <is>
          <t>ASTER PACIFIC LLC</t>
        </is>
      </c>
      <c r="C613" s="3" t="inlineStr">
        <is>
          <t>ASTER PACIFIC LLC</t>
        </is>
      </c>
      <c r="D613" s="3" t="inlineStr">
        <is>
          <t>Open</t>
        </is>
      </c>
      <c r="E613" s="23" t="n">
        <v>46063</v>
      </c>
      <c r="F613" s="23" t="n">
        <v>46220</v>
      </c>
      <c r="G613" s="3" t="n">
        <v>3</v>
      </c>
      <c r="H613" s="3" t="inlineStr">
        <is>
          <t>1521</t>
        </is>
      </c>
      <c r="I613" s="3" t="inlineStr">
        <is>
          <t>15</t>
        </is>
      </c>
      <c r="J613" s="3" t="inlineStr">
        <is>
          <t>FL</t>
        </is>
      </c>
      <c r="K613" s="3" t="inlineStr">
        <is>
          <t>United Secured Capital 8</t>
        </is>
      </c>
      <c r="L613" s="3" t="inlineStr">
        <is>
          <t>New Deal</t>
        </is>
      </c>
      <c r="M613" s="3" t="n">
        <v>1.49</v>
      </c>
      <c r="N613" s="28" t="n">
        <v>15000</v>
      </c>
      <c r="O613" s="28" t="n">
        <v>2100</v>
      </c>
      <c r="P613" s="28" t="n">
        <v>22350</v>
      </c>
      <c r="Q613" s="28" t="n">
        <v>6716.1</v>
      </c>
      <c r="R613" s="28" t="n">
        <v>15633.9</v>
      </c>
      <c r="S613" s="42" t="n">
        <v>0.300496644295302</v>
      </c>
      <c r="T613" s="3" t="n">
        <v>20</v>
      </c>
      <c r="U613" s="3" t="n">
        <v>16</v>
      </c>
      <c r="V613" s="3" t="n">
        <v>205385.89</v>
      </c>
      <c r="W613" s="42" t="n">
        <v>0.0218</v>
      </c>
      <c r="X613" s="23" t="n"/>
      <c r="Y613" s="3">
        <f>IF(I613="","No SIC",IFERROR(VLOOKUP(I613,Ref!$A$2:$B$65,2,FALSE()),"Unclassified"))</f>
        <v/>
      </c>
      <c r="Z613" s="3">
        <f>IF(T613="","",IF(T613&lt;12,"Daily","Weekly"))</f>
        <v/>
      </c>
      <c r="AA613" s="3">
        <f>IF(T613="",0,IF(T613&lt;12,T613*Controls!$B$13,T613*5))</f>
        <v/>
      </c>
      <c r="AB613" s="3">
        <f>IF(E613="",0,NETWORKDAYS(E613,Controls!$B$20,Ref!$K$2:$K$42))</f>
        <v/>
      </c>
      <c r="AC613" s="3">
        <f>IF(OR(AF613=1,AND(AA613&gt;0,AB613&gt;=Controls!$B$23*AA613)),1,0)</f>
        <v/>
      </c>
      <c r="AD613" s="3">
        <f>IF(AND(E613&lt;&gt;"",E613&gt;=Controls!$B$21,E613&lt;=Controls!$B$22),1,0)</f>
        <v/>
      </c>
      <c r="AE613" s="3">
        <f>IF(IFERROR(VLOOKUP(D613,Controls!$A$36:$E$46,2,FALSE()),"No")="Yes",1,0)</f>
        <v/>
      </c>
      <c r="AF613" s="3">
        <f>IF(IFERROR(VLOOKUP(D613,Controls!$A$36:$E$46,3,FALSE()),"No")="Yes",1,0)</f>
        <v/>
      </c>
      <c r="AG613" s="3">
        <f>IF(IFERROR(VLOOKUP(D613,Controls!$A$36:$E$46,4,FALSE()),"No")="Yes",1,0)</f>
        <v/>
      </c>
      <c r="AH613" s="3">
        <f>IF(IFERROR(VLOOKUP(D613,Controls!$A$36:$E$46,5,FALSE()),"No")="Yes",1,0)</f>
        <v/>
      </c>
      <c r="AI613" s="3">
        <f>IF(ISNUMBER(MATCH(D613,Controls!$A$36:$A$46,0)),1,0)</f>
        <v/>
      </c>
      <c r="AJ613" s="28">
        <f>Q613-N613</f>
        <v/>
      </c>
      <c r="AK613" s="3">
        <f>IF(AE613=1,MAX(0,N613-Q613),0)</f>
        <v/>
      </c>
      <c r="AL613" s="3">
        <f>IF(OR(V613="",V613=0),0,N613/V613)</f>
        <v/>
      </c>
      <c r="AM613" s="3">
        <f>IF(OR(V613="",V613=0),0,1)</f>
        <v/>
      </c>
      <c r="AN613" s="3">
        <f>IF(OR(E613="",F613=""),0,NETWORKDAYS(E613,F613,Ref!$K$2:$K$42))</f>
        <v/>
      </c>
      <c r="AO613" s="3">
        <f>IF(L613="Renewal",1,0)</f>
        <v/>
      </c>
      <c r="AP613" s="3">
        <f>AC613*AD613</f>
        <v/>
      </c>
      <c r="AQ613" s="3">
        <f>IF(AND(G613&lt;&gt;"",'Historical Score'!$C$6&lt;&gt;""),IF(G613='Historical Score'!$C$6,1,0),0)</f>
        <v/>
      </c>
      <c r="AR613" s="3">
        <f>IF(AND(L613&lt;&gt;"",'Historical Score'!$C$5&lt;&gt;""),IF(L613='Historical Score'!$C$5,1,0),0)</f>
        <v/>
      </c>
      <c r="AS613" s="3">
        <f>IF(AND(Y613&lt;&gt;"",'Historical Score'!$C$7&lt;&gt;""),IF(Y613='Historical Score'!$C$7,1,0),0)</f>
        <v/>
      </c>
      <c r="AT613" s="3">
        <f>IF(AND(K613&lt;&gt;"",'Historical Score'!$C$8&lt;&gt;""),IF(K613='Historical Score'!$C$8,1,0),0)</f>
        <v/>
      </c>
      <c r="AU613" s="3" t="n"/>
      <c r="AV613" s="3" t="n"/>
      <c r="AW613" s="3" t="n"/>
      <c r="AX613" s="3" t="n"/>
      <c r="AY613" s="3" t="n"/>
      <c r="AZ613" s="3" t="n"/>
      <c r="BA613" s="182">
        <f>IF(AD613=1,(AR613*'Historical Score'!$K$29+1-'Historical Score'!$K$29)*(AT613*'Historical Score'!$L$29+1-'Historical Score'!$L$29)*(AS613*'Historical Score'!$M$29+1-'Historical Score'!$M$29)*(AQ613*'Historical Score'!$N$29+1-'Historical Score'!$N$29),0)</f>
        <v/>
      </c>
      <c r="BB613" s="3" t="n"/>
      <c r="BC613" s="3" t="n"/>
    </row>
    <row r="614" ht="15.75" customHeight="1" s="174">
      <c r="A614" s="3" t="inlineStr">
        <is>
          <t>5674178229</t>
        </is>
      </c>
      <c r="B614" s="3" t="inlineStr">
        <is>
          <t>Beauty Bar Medispa Greenville, PLLC</t>
        </is>
      </c>
      <c r="C614" s="3" t="inlineStr">
        <is>
          <t>Beauty Bar Medispa Greenville, PLLC</t>
        </is>
      </c>
      <c r="D614" s="3" t="inlineStr">
        <is>
          <t>Closed</t>
        </is>
      </c>
      <c r="E614" s="23" t="n">
        <v>46063</v>
      </c>
      <c r="F614" s="23" t="n">
        <v>46141</v>
      </c>
      <c r="G614" s="3" t="n">
        <v>2</v>
      </c>
      <c r="H614" s="3" t="inlineStr">
        <is>
          <t>7231</t>
        </is>
      </c>
      <c r="I614" s="3" t="inlineStr">
        <is>
          <t>72</t>
        </is>
      </c>
      <c r="J614" s="3" t="inlineStr">
        <is>
          <t>NC</t>
        </is>
      </c>
      <c r="K614" s="3" t="inlineStr">
        <is>
          <t>Ballicci</t>
        </is>
      </c>
      <c r="L614" s="3" t="inlineStr">
        <is>
          <t>New Deal</t>
        </is>
      </c>
      <c r="M614" s="3" t="n">
        <v>1.49</v>
      </c>
      <c r="N614" s="28" t="n">
        <v>20000</v>
      </c>
      <c r="O614" s="28" t="n">
        <v>2800</v>
      </c>
      <c r="P614" s="28" t="n">
        <v>29800</v>
      </c>
      <c r="Q614" s="28" t="n">
        <v>29800</v>
      </c>
      <c r="R614" s="28" t="n">
        <v>0</v>
      </c>
      <c r="S614" s="42" t="n">
        <v>1</v>
      </c>
      <c r="T614" s="3" t="n">
        <v>2.951</v>
      </c>
      <c r="U614" s="3" t="n">
        <v>0</v>
      </c>
      <c r="V614" s="3" t="n">
        <v>165533.36</v>
      </c>
      <c r="W614" s="42" t="n">
        <v>0.042</v>
      </c>
      <c r="X614" s="23" t="n">
        <v>43908</v>
      </c>
      <c r="Y614" s="3">
        <f>IF(I614="","No SIC",IFERROR(VLOOKUP(I614,Ref!$A$2:$B$65,2,FALSE()),"Unclassified"))</f>
        <v/>
      </c>
      <c r="Z614" s="3">
        <f>IF(T614="","",IF(T614&lt;12,"Daily","Weekly"))</f>
        <v/>
      </c>
      <c r="AA614" s="3">
        <f>IF(T614="",0,IF(T614&lt;12,T614*Controls!$B$13,T614*5))</f>
        <v/>
      </c>
      <c r="AB614" s="3">
        <f>IF(E614="",0,NETWORKDAYS(E614,Controls!$B$20,Ref!$K$2:$K$42))</f>
        <v/>
      </c>
      <c r="AC614" s="3">
        <f>IF(OR(AF614=1,AND(AA614&gt;0,AB614&gt;=Controls!$B$23*AA614)),1,0)</f>
        <v/>
      </c>
      <c r="AD614" s="3">
        <f>IF(AND(E614&lt;&gt;"",E614&gt;=Controls!$B$21,E614&lt;=Controls!$B$22),1,0)</f>
        <v/>
      </c>
      <c r="AE614" s="3">
        <f>IF(IFERROR(VLOOKUP(D614,Controls!$A$36:$E$46,2,FALSE()),"No")="Yes",1,0)</f>
        <v/>
      </c>
      <c r="AF614" s="3">
        <f>IF(IFERROR(VLOOKUP(D614,Controls!$A$36:$E$46,3,FALSE()),"No")="Yes",1,0)</f>
        <v/>
      </c>
      <c r="AG614" s="3">
        <f>IF(IFERROR(VLOOKUP(D614,Controls!$A$36:$E$46,4,FALSE()),"No")="Yes",1,0)</f>
        <v/>
      </c>
      <c r="AH614" s="3">
        <f>IF(IFERROR(VLOOKUP(D614,Controls!$A$36:$E$46,5,FALSE()),"No")="Yes",1,0)</f>
        <v/>
      </c>
      <c r="AI614" s="3">
        <f>IF(ISNUMBER(MATCH(D614,Controls!$A$36:$A$46,0)),1,0)</f>
        <v/>
      </c>
      <c r="AJ614" s="28">
        <f>Q614-N614</f>
        <v/>
      </c>
      <c r="AK614" s="3">
        <f>IF(AE614=1,MAX(0,N614-Q614),0)</f>
        <v/>
      </c>
      <c r="AL614" s="3">
        <f>IF(OR(V614="",V614=0),0,N614/V614)</f>
        <v/>
      </c>
      <c r="AM614" s="3">
        <f>IF(OR(V614="",V614=0),0,1)</f>
        <v/>
      </c>
      <c r="AN614" s="3">
        <f>IF(OR(E614="",F614=""),0,NETWORKDAYS(E614,F614,Ref!$K$2:$K$42))</f>
        <v/>
      </c>
      <c r="AO614" s="3">
        <f>IF(L614="Renewal",1,0)</f>
        <v/>
      </c>
      <c r="AP614" s="3">
        <f>AC614*AD614</f>
        <v/>
      </c>
      <c r="AQ614" s="3">
        <f>IF(AND(G614&lt;&gt;"",'Historical Score'!$C$6&lt;&gt;""),IF(G614='Historical Score'!$C$6,1,0),0)</f>
        <v/>
      </c>
      <c r="AR614" s="3">
        <f>IF(AND(L614&lt;&gt;"",'Historical Score'!$C$5&lt;&gt;""),IF(L614='Historical Score'!$C$5,1,0),0)</f>
        <v/>
      </c>
      <c r="AS614" s="3">
        <f>IF(AND(Y614&lt;&gt;"",'Historical Score'!$C$7&lt;&gt;""),IF(Y614='Historical Score'!$C$7,1,0),0)</f>
        <v/>
      </c>
      <c r="AT614" s="3">
        <f>IF(AND(K614&lt;&gt;"",'Historical Score'!$C$8&lt;&gt;""),IF(K614='Historical Score'!$C$8,1,0),0)</f>
        <v/>
      </c>
      <c r="AU614" s="3" t="n"/>
      <c r="AV614" s="3" t="n"/>
      <c r="AW614" s="3" t="n"/>
      <c r="AX614" s="3" t="n"/>
      <c r="AY614" s="3" t="n"/>
      <c r="AZ614" s="3" t="n"/>
      <c r="BA614" s="182">
        <f>IF(AD614=1,(AR614*'Historical Score'!$K$29+1-'Historical Score'!$K$29)*(AT614*'Historical Score'!$L$29+1-'Historical Score'!$L$29)*(AS614*'Historical Score'!$M$29+1-'Historical Score'!$M$29)*(AQ614*'Historical Score'!$N$29+1-'Historical Score'!$N$29),0)</f>
        <v/>
      </c>
      <c r="BB614" s="3" t="n"/>
      <c r="BC614" s="3" t="n"/>
    </row>
    <row r="615" ht="15.75" customHeight="1" s="174">
      <c r="A615" s="3" t="inlineStr">
        <is>
          <t>5674178256</t>
        </is>
      </c>
      <c r="B615" s="3" t="inlineStr">
        <is>
          <t>ferrox enterprises inc</t>
        </is>
      </c>
      <c r="C615" s="3" t="inlineStr">
        <is>
          <t>ferrox enterprises inc</t>
        </is>
      </c>
      <c r="D615" s="3" t="inlineStr">
        <is>
          <t>Legal</t>
        </is>
      </c>
      <c r="E615" s="23" t="n">
        <v>46063</v>
      </c>
      <c r="F615" s="23" t="n">
        <v>46073</v>
      </c>
      <c r="G615" s="3" t="n">
        <v>3</v>
      </c>
      <c r="H615" s="3" t="inlineStr">
        <is>
          <t>5399</t>
        </is>
      </c>
      <c r="I615" s="3" t="inlineStr">
        <is>
          <t>53</t>
        </is>
      </c>
      <c r="J615" s="3" t="inlineStr">
        <is>
          <t>CA</t>
        </is>
      </c>
      <c r="K615" s="3" t="inlineStr">
        <is>
          <t>United Secured Capital 8</t>
        </is>
      </c>
      <c r="L615" s="3" t="inlineStr">
        <is>
          <t>New Deal</t>
        </is>
      </c>
      <c r="M615" s="3" t="n">
        <v>1.49</v>
      </c>
      <c r="N615" s="28" t="n">
        <v>25000</v>
      </c>
      <c r="O615" s="28" t="n">
        <v>0</v>
      </c>
      <c r="P615" s="28" t="n">
        <v>37250</v>
      </c>
      <c r="Q615" s="28" t="n">
        <v>1862.09</v>
      </c>
      <c r="R615" s="28" t="n">
        <v>35387.91</v>
      </c>
      <c r="S615" s="42" t="n">
        <v>0.0499889932885906</v>
      </c>
      <c r="T615" s="3" t="n">
        <v>20</v>
      </c>
      <c r="U615" s="3" t="n">
        <v>1</v>
      </c>
      <c r="V615" s="3" t="n">
        <v>70667.49000000001</v>
      </c>
      <c r="W615" s="42" t="n">
        <v>0.1054</v>
      </c>
      <c r="X615" s="23" t="n">
        <v>44705</v>
      </c>
      <c r="Y615" s="3">
        <f>IF(I615="","No SIC",IFERROR(VLOOKUP(I615,Ref!$A$2:$B$65,2,FALSE()),"Unclassified"))</f>
        <v/>
      </c>
      <c r="Z615" s="3">
        <f>IF(T615="","",IF(T615&lt;12,"Daily","Weekly"))</f>
        <v/>
      </c>
      <c r="AA615" s="3">
        <f>IF(T615="",0,IF(T615&lt;12,T615*Controls!$B$13,T615*5))</f>
        <v/>
      </c>
      <c r="AB615" s="3">
        <f>IF(E615="",0,NETWORKDAYS(E615,Controls!$B$20,Ref!$K$2:$K$42))</f>
        <v/>
      </c>
      <c r="AC615" s="3">
        <f>IF(OR(AF615=1,AND(AA615&gt;0,AB615&gt;=Controls!$B$23*AA615)),1,0)</f>
        <v/>
      </c>
      <c r="AD615" s="3">
        <f>IF(AND(E615&lt;&gt;"",E615&gt;=Controls!$B$21,E615&lt;=Controls!$B$22),1,0)</f>
        <v/>
      </c>
      <c r="AE615" s="3">
        <f>IF(IFERROR(VLOOKUP(D615,Controls!$A$36:$E$46,2,FALSE()),"No")="Yes",1,0)</f>
        <v/>
      </c>
      <c r="AF615" s="3">
        <f>IF(IFERROR(VLOOKUP(D615,Controls!$A$36:$E$46,3,FALSE()),"No")="Yes",1,0)</f>
        <v/>
      </c>
      <c r="AG615" s="3">
        <f>IF(IFERROR(VLOOKUP(D615,Controls!$A$36:$E$46,4,FALSE()),"No")="Yes",1,0)</f>
        <v/>
      </c>
      <c r="AH615" s="3">
        <f>IF(IFERROR(VLOOKUP(D615,Controls!$A$36:$E$46,5,FALSE()),"No")="Yes",1,0)</f>
        <v/>
      </c>
      <c r="AI615" s="3">
        <f>IF(ISNUMBER(MATCH(D615,Controls!$A$36:$A$46,0)),1,0)</f>
        <v/>
      </c>
      <c r="AJ615" s="28">
        <f>Q615-N615</f>
        <v/>
      </c>
      <c r="AK615" s="3">
        <f>IF(AE615=1,MAX(0,N615-Q615),0)</f>
        <v/>
      </c>
      <c r="AL615" s="3">
        <f>IF(OR(V615="",V615=0),0,N615/V615)</f>
        <v/>
      </c>
      <c r="AM615" s="3">
        <f>IF(OR(V615="",V615=0),0,1)</f>
        <v/>
      </c>
      <c r="AN615" s="3">
        <f>IF(OR(E615="",F615=""),0,NETWORKDAYS(E615,F615,Ref!$K$2:$K$42))</f>
        <v/>
      </c>
      <c r="AO615" s="3">
        <f>IF(L615="Renewal",1,0)</f>
        <v/>
      </c>
      <c r="AP615" s="3">
        <f>AC615*AD615</f>
        <v/>
      </c>
      <c r="AQ615" s="3">
        <f>IF(AND(G615&lt;&gt;"",'Historical Score'!$C$6&lt;&gt;""),IF(G615='Historical Score'!$C$6,1,0),0)</f>
        <v/>
      </c>
      <c r="AR615" s="3">
        <f>IF(AND(L615&lt;&gt;"",'Historical Score'!$C$5&lt;&gt;""),IF(L615='Historical Score'!$C$5,1,0),0)</f>
        <v/>
      </c>
      <c r="AS615" s="3">
        <f>IF(AND(Y615&lt;&gt;"",'Historical Score'!$C$7&lt;&gt;""),IF(Y615='Historical Score'!$C$7,1,0),0)</f>
        <v/>
      </c>
      <c r="AT615" s="3">
        <f>IF(AND(K615&lt;&gt;"",'Historical Score'!$C$8&lt;&gt;""),IF(K615='Historical Score'!$C$8,1,0),0)</f>
        <v/>
      </c>
      <c r="AU615" s="3" t="n"/>
      <c r="AV615" s="3" t="n"/>
      <c r="AW615" s="3" t="n"/>
      <c r="AX615" s="3" t="n"/>
      <c r="AY615" s="3" t="n"/>
      <c r="AZ615" s="3" t="n"/>
      <c r="BA615" s="182">
        <f>IF(AD615=1,(AR615*'Historical Score'!$K$29+1-'Historical Score'!$K$29)*(AT615*'Historical Score'!$L$29+1-'Historical Score'!$L$29)*(AS615*'Historical Score'!$M$29+1-'Historical Score'!$M$29)*(AQ615*'Historical Score'!$N$29+1-'Historical Score'!$N$29),0)</f>
        <v/>
      </c>
      <c r="BB615" s="3" t="n"/>
      <c r="BC615" s="3" t="n"/>
    </row>
    <row r="616" ht="15.75" customHeight="1" s="174">
      <c r="A616" s="3" t="inlineStr">
        <is>
          <t>5674178317</t>
        </is>
      </c>
      <c r="B616" s="3" t="inlineStr">
        <is>
          <t>Falkon Technologies LLC</t>
        </is>
      </c>
      <c r="C616" s="3" t="inlineStr">
        <is>
          <t>Falkon Technologies LLC</t>
        </is>
      </c>
      <c r="D616" s="3" t="inlineStr">
        <is>
          <t>Closed</t>
        </is>
      </c>
      <c r="E616" s="23" t="n">
        <v>46064</v>
      </c>
      <c r="F616" s="23" t="n">
        <v>46132</v>
      </c>
      <c r="G616" s="3" t="n">
        <v>3</v>
      </c>
      <c r="H616" s="3" t="inlineStr">
        <is>
          <t>7382</t>
        </is>
      </c>
      <c r="I616" s="3" t="inlineStr">
        <is>
          <t>73</t>
        </is>
      </c>
      <c r="J616" s="3" t="inlineStr">
        <is>
          <t>No state</t>
        </is>
      </c>
      <c r="K616" s="3" t="inlineStr">
        <is>
          <t>PMF</t>
        </is>
      </c>
      <c r="L616" s="3" t="inlineStr">
        <is>
          <t>New Deal</t>
        </is>
      </c>
      <c r="M616" s="3" t="n">
        <v>1.09</v>
      </c>
      <c r="N616" s="28" t="n">
        <v>150000</v>
      </c>
      <c r="O616" s="28" t="n">
        <v>10500</v>
      </c>
      <c r="P616" s="28" t="n">
        <v>163500</v>
      </c>
      <c r="Q616" s="28" t="n">
        <v>163500</v>
      </c>
      <c r="R616" s="28" t="n">
        <v>0</v>
      </c>
      <c r="S616" s="42" t="n">
        <v>1</v>
      </c>
      <c r="T616" s="3" t="n">
        <v>40</v>
      </c>
      <c r="U616" s="3" t="n">
        <v>1</v>
      </c>
      <c r="V616" s="3" t="n">
        <v>675707.72</v>
      </c>
      <c r="W616" s="42" t="n">
        <v>0.032</v>
      </c>
      <c r="X616" s="23" t="n">
        <v>41310</v>
      </c>
      <c r="Y616" s="3">
        <f>IF(I616="","No SIC",IFERROR(VLOOKUP(I616,Ref!$A$2:$B$65,2,FALSE()),"Unclassified"))</f>
        <v/>
      </c>
      <c r="Z616" s="3">
        <f>IF(T616="","",IF(T616&lt;12,"Daily","Weekly"))</f>
        <v/>
      </c>
      <c r="AA616" s="3">
        <f>IF(T616="",0,IF(T616&lt;12,T616*Controls!$B$13,T616*5))</f>
        <v/>
      </c>
      <c r="AB616" s="3">
        <f>IF(E616="",0,NETWORKDAYS(E616,Controls!$B$20,Ref!$K$2:$K$42))</f>
        <v/>
      </c>
      <c r="AC616" s="3">
        <f>IF(OR(AF616=1,AND(AA616&gt;0,AB616&gt;=Controls!$B$23*AA616)),1,0)</f>
        <v/>
      </c>
      <c r="AD616" s="3">
        <f>IF(AND(E616&lt;&gt;"",E616&gt;=Controls!$B$21,E616&lt;=Controls!$B$22),1,0)</f>
        <v/>
      </c>
      <c r="AE616" s="3">
        <f>IF(IFERROR(VLOOKUP(D616,Controls!$A$36:$E$46,2,FALSE()),"No")="Yes",1,0)</f>
        <v/>
      </c>
      <c r="AF616" s="3">
        <f>IF(IFERROR(VLOOKUP(D616,Controls!$A$36:$E$46,3,FALSE()),"No")="Yes",1,0)</f>
        <v/>
      </c>
      <c r="AG616" s="3">
        <f>IF(IFERROR(VLOOKUP(D616,Controls!$A$36:$E$46,4,FALSE()),"No")="Yes",1,0)</f>
        <v/>
      </c>
      <c r="AH616" s="3">
        <f>IF(IFERROR(VLOOKUP(D616,Controls!$A$36:$E$46,5,FALSE()),"No")="Yes",1,0)</f>
        <v/>
      </c>
      <c r="AI616" s="3">
        <f>IF(ISNUMBER(MATCH(D616,Controls!$A$36:$A$46,0)),1,0)</f>
        <v/>
      </c>
      <c r="AJ616" s="28">
        <f>Q616-N616</f>
        <v/>
      </c>
      <c r="AK616" s="3">
        <f>IF(AE616=1,MAX(0,N616-Q616),0)</f>
        <v/>
      </c>
      <c r="AL616" s="3">
        <f>IF(OR(V616="",V616=0),0,N616/V616)</f>
        <v/>
      </c>
      <c r="AM616" s="3">
        <f>IF(OR(V616="",V616=0),0,1)</f>
        <v/>
      </c>
      <c r="AN616" s="3">
        <f>IF(OR(E616="",F616=""),0,NETWORKDAYS(E616,F616,Ref!$K$2:$K$42))</f>
        <v/>
      </c>
      <c r="AO616" s="3">
        <f>IF(L616="Renewal",1,0)</f>
        <v/>
      </c>
      <c r="AP616" s="3">
        <f>AC616*AD616</f>
        <v/>
      </c>
      <c r="AQ616" s="3">
        <f>IF(AND(G616&lt;&gt;"",'Historical Score'!$C$6&lt;&gt;""),IF(G616='Historical Score'!$C$6,1,0),0)</f>
        <v/>
      </c>
      <c r="AR616" s="3">
        <f>IF(AND(L616&lt;&gt;"",'Historical Score'!$C$5&lt;&gt;""),IF(L616='Historical Score'!$C$5,1,0),0)</f>
        <v/>
      </c>
      <c r="AS616" s="3">
        <f>IF(AND(Y616&lt;&gt;"",'Historical Score'!$C$7&lt;&gt;""),IF(Y616='Historical Score'!$C$7,1,0),0)</f>
        <v/>
      </c>
      <c r="AT616" s="3">
        <f>IF(AND(K616&lt;&gt;"",'Historical Score'!$C$8&lt;&gt;""),IF(K616='Historical Score'!$C$8,1,0),0)</f>
        <v/>
      </c>
      <c r="AU616" s="3" t="n"/>
      <c r="AV616" s="3" t="n"/>
      <c r="AW616" s="3" t="n"/>
      <c r="AX616" s="3" t="n"/>
      <c r="AY616" s="3" t="n"/>
      <c r="AZ616" s="3" t="n"/>
      <c r="BA616" s="182">
        <f>IF(AD616=1,(AR616*'Historical Score'!$K$29+1-'Historical Score'!$K$29)*(AT616*'Historical Score'!$L$29+1-'Historical Score'!$L$29)*(AS616*'Historical Score'!$M$29+1-'Historical Score'!$M$29)*(AQ616*'Historical Score'!$N$29+1-'Historical Score'!$N$29),0)</f>
        <v/>
      </c>
      <c r="BB616" s="3" t="n"/>
      <c r="BC616" s="3" t="n"/>
    </row>
    <row r="617" ht="15.75" customHeight="1" s="174">
      <c r="A617" s="3" t="inlineStr">
        <is>
          <t>5674178327</t>
        </is>
      </c>
      <c r="B617" s="3" t="inlineStr">
        <is>
          <t>AAMCO of Athens</t>
        </is>
      </c>
      <c r="C617" s="3" t="inlineStr">
        <is>
          <t>RL BARRON HOLDING INC</t>
        </is>
      </c>
      <c r="D617" s="3" t="inlineStr">
        <is>
          <t>Closed</t>
        </is>
      </c>
      <c r="E617" s="23" t="n">
        <v>46064</v>
      </c>
      <c r="F617" s="23" t="n">
        <v>46140</v>
      </c>
      <c r="G617" s="3" t="n">
        <v>3</v>
      </c>
      <c r="H617" s="3" t="inlineStr">
        <is>
          <t>7538</t>
        </is>
      </c>
      <c r="I617" s="3" t="inlineStr">
        <is>
          <t>75</t>
        </is>
      </c>
      <c r="J617" s="3" t="inlineStr">
        <is>
          <t>No state</t>
        </is>
      </c>
      <c r="K617" s="3" t="inlineStr">
        <is>
          <t>Ballicci</t>
        </is>
      </c>
      <c r="L617" s="3" t="inlineStr">
        <is>
          <t>New Deal</t>
        </is>
      </c>
      <c r="M617" s="3" t="n">
        <v>1.49</v>
      </c>
      <c r="N617" s="28" t="n">
        <v>25000</v>
      </c>
      <c r="O617" s="28" t="n">
        <v>3500</v>
      </c>
      <c r="P617" s="28" t="n">
        <v>37250</v>
      </c>
      <c r="Q617" s="28" t="n">
        <v>37250</v>
      </c>
      <c r="R617" s="28" t="n">
        <v>0</v>
      </c>
      <c r="S617" s="42" t="n">
        <v>1</v>
      </c>
      <c r="T617" s="3" t="n">
        <v>100</v>
      </c>
      <c r="U617" s="3" t="n">
        <v>0</v>
      </c>
      <c r="V617" s="3" t="n">
        <v>41414.05</v>
      </c>
      <c r="W617" s="42" t="n">
        <v>0.1889</v>
      </c>
      <c r="X617" s="23" t="n"/>
      <c r="Y617" s="3">
        <f>IF(I617="","No SIC",IFERROR(VLOOKUP(I617,Ref!$A$2:$B$65,2,FALSE()),"Unclassified"))</f>
        <v/>
      </c>
      <c r="Z617" s="3">
        <f>IF(T617="","",IF(T617&lt;12,"Daily","Weekly"))</f>
        <v/>
      </c>
      <c r="AA617" s="3">
        <f>IF(T617="",0,IF(T617&lt;12,T617*Controls!$B$13,T617*5))</f>
        <v/>
      </c>
      <c r="AB617" s="3">
        <f>IF(E617="",0,NETWORKDAYS(E617,Controls!$B$20,Ref!$K$2:$K$42))</f>
        <v/>
      </c>
      <c r="AC617" s="3">
        <f>IF(OR(AF617=1,AND(AA617&gt;0,AB617&gt;=Controls!$B$23*AA617)),1,0)</f>
        <v/>
      </c>
      <c r="AD617" s="3">
        <f>IF(AND(E617&lt;&gt;"",E617&gt;=Controls!$B$21,E617&lt;=Controls!$B$22),1,0)</f>
        <v/>
      </c>
      <c r="AE617" s="3">
        <f>IF(IFERROR(VLOOKUP(D617,Controls!$A$36:$E$46,2,FALSE()),"No")="Yes",1,0)</f>
        <v/>
      </c>
      <c r="AF617" s="3">
        <f>IF(IFERROR(VLOOKUP(D617,Controls!$A$36:$E$46,3,FALSE()),"No")="Yes",1,0)</f>
        <v/>
      </c>
      <c r="AG617" s="3">
        <f>IF(IFERROR(VLOOKUP(D617,Controls!$A$36:$E$46,4,FALSE()),"No")="Yes",1,0)</f>
        <v/>
      </c>
      <c r="AH617" s="3">
        <f>IF(IFERROR(VLOOKUP(D617,Controls!$A$36:$E$46,5,FALSE()),"No")="Yes",1,0)</f>
        <v/>
      </c>
      <c r="AI617" s="3">
        <f>IF(ISNUMBER(MATCH(D617,Controls!$A$36:$A$46,0)),1,0)</f>
        <v/>
      </c>
      <c r="AJ617" s="28">
        <f>Q617-N617</f>
        <v/>
      </c>
      <c r="AK617" s="3">
        <f>IF(AE617=1,MAX(0,N617-Q617),0)</f>
        <v/>
      </c>
      <c r="AL617" s="3">
        <f>IF(OR(V617="",V617=0),0,N617/V617)</f>
        <v/>
      </c>
      <c r="AM617" s="3">
        <f>IF(OR(V617="",V617=0),0,1)</f>
        <v/>
      </c>
      <c r="AN617" s="3">
        <f>IF(OR(E617="",F617=""),0,NETWORKDAYS(E617,F617,Ref!$K$2:$K$42))</f>
        <v/>
      </c>
      <c r="AO617" s="3">
        <f>IF(L617="Renewal",1,0)</f>
        <v/>
      </c>
      <c r="AP617" s="3">
        <f>AC617*AD617</f>
        <v/>
      </c>
      <c r="AQ617" s="3">
        <f>IF(AND(G617&lt;&gt;"",'Historical Score'!$C$6&lt;&gt;""),IF(G617='Historical Score'!$C$6,1,0),0)</f>
        <v/>
      </c>
      <c r="AR617" s="3">
        <f>IF(AND(L617&lt;&gt;"",'Historical Score'!$C$5&lt;&gt;""),IF(L617='Historical Score'!$C$5,1,0),0)</f>
        <v/>
      </c>
      <c r="AS617" s="3">
        <f>IF(AND(Y617&lt;&gt;"",'Historical Score'!$C$7&lt;&gt;""),IF(Y617='Historical Score'!$C$7,1,0),0)</f>
        <v/>
      </c>
      <c r="AT617" s="3">
        <f>IF(AND(K617&lt;&gt;"",'Historical Score'!$C$8&lt;&gt;""),IF(K617='Historical Score'!$C$8,1,0),0)</f>
        <v/>
      </c>
      <c r="AU617" s="3" t="n"/>
      <c r="AV617" s="3" t="n"/>
      <c r="AW617" s="3" t="n"/>
      <c r="AX617" s="3" t="n"/>
      <c r="AY617" s="3" t="n"/>
      <c r="AZ617" s="3" t="n"/>
      <c r="BA617" s="182">
        <f>IF(AD617=1,(AR617*'Historical Score'!$K$29+1-'Historical Score'!$K$29)*(AT617*'Historical Score'!$L$29+1-'Historical Score'!$L$29)*(AS617*'Historical Score'!$M$29+1-'Historical Score'!$M$29)*(AQ617*'Historical Score'!$N$29+1-'Historical Score'!$N$29),0)</f>
        <v/>
      </c>
      <c r="BB617" s="3" t="n"/>
      <c r="BC617" s="3" t="n"/>
    </row>
    <row r="618" ht="15.75" customHeight="1" s="174">
      <c r="A618" s="3" t="inlineStr">
        <is>
          <t>5674178331</t>
        </is>
      </c>
      <c r="B618" s="3" t="inlineStr">
        <is>
          <t>Silver &amp; Riley</t>
        </is>
      </c>
      <c r="C618" s="3" t="inlineStr">
        <is>
          <t>Silver &amp; Riley</t>
        </is>
      </c>
      <c r="D618" s="3" t="inlineStr">
        <is>
          <t>Closed</t>
        </is>
      </c>
      <c r="E618" s="23" t="n">
        <v>46064</v>
      </c>
      <c r="F618" s="23" t="n">
        <v>46195</v>
      </c>
      <c r="G618" s="3" t="n">
        <v>2</v>
      </c>
      <c r="H618" s="3" t="inlineStr">
        <is>
          <t>5399</t>
        </is>
      </c>
      <c r="I618" s="3" t="inlineStr">
        <is>
          <t>53</t>
        </is>
      </c>
      <c r="J618" s="3" t="inlineStr">
        <is>
          <t>No state</t>
        </is>
      </c>
      <c r="K618" s="3" t="inlineStr">
        <is>
          <t>Vanguard Equities</t>
        </is>
      </c>
      <c r="L618" s="3" t="inlineStr">
        <is>
          <t>New Deal</t>
        </is>
      </c>
      <c r="M618" s="3" t="n">
        <v>1.43</v>
      </c>
      <c r="N618" s="28" t="n">
        <v>20000</v>
      </c>
      <c r="O618" s="28" t="n">
        <v>2200</v>
      </c>
      <c r="P618" s="28" t="n">
        <v>28600</v>
      </c>
      <c r="Q618" s="28" t="n">
        <v>28600</v>
      </c>
      <c r="R618" s="28" t="n">
        <v>0</v>
      </c>
      <c r="S618" s="42" t="n">
        <v>1</v>
      </c>
      <c r="T618" s="3" t="n">
        <v>90</v>
      </c>
      <c r="U618" s="3" t="n">
        <v>1</v>
      </c>
      <c r="V618" s="3" t="n">
        <v>37557.06</v>
      </c>
      <c r="W618" s="42" t="n">
        <v>0.1777</v>
      </c>
      <c r="X618" s="23" t="n">
        <v>43617</v>
      </c>
      <c r="Y618" s="3">
        <f>IF(I618="","No SIC",IFERROR(VLOOKUP(I618,Ref!$A$2:$B$65,2,FALSE()),"Unclassified"))</f>
        <v/>
      </c>
      <c r="Z618" s="3">
        <f>IF(T618="","",IF(T618&lt;12,"Daily","Weekly"))</f>
        <v/>
      </c>
      <c r="AA618" s="3">
        <f>IF(T618="",0,IF(T618&lt;12,T618*Controls!$B$13,T618*5))</f>
        <v/>
      </c>
      <c r="AB618" s="3">
        <f>IF(E618="",0,NETWORKDAYS(E618,Controls!$B$20,Ref!$K$2:$K$42))</f>
        <v/>
      </c>
      <c r="AC618" s="3">
        <f>IF(OR(AF618=1,AND(AA618&gt;0,AB618&gt;=Controls!$B$23*AA618)),1,0)</f>
        <v/>
      </c>
      <c r="AD618" s="3">
        <f>IF(AND(E618&lt;&gt;"",E618&gt;=Controls!$B$21,E618&lt;=Controls!$B$22),1,0)</f>
        <v/>
      </c>
      <c r="AE618" s="3">
        <f>IF(IFERROR(VLOOKUP(D618,Controls!$A$36:$E$46,2,FALSE()),"No")="Yes",1,0)</f>
        <v/>
      </c>
      <c r="AF618" s="3">
        <f>IF(IFERROR(VLOOKUP(D618,Controls!$A$36:$E$46,3,FALSE()),"No")="Yes",1,0)</f>
        <v/>
      </c>
      <c r="AG618" s="3">
        <f>IF(IFERROR(VLOOKUP(D618,Controls!$A$36:$E$46,4,FALSE()),"No")="Yes",1,0)</f>
        <v/>
      </c>
      <c r="AH618" s="3">
        <f>IF(IFERROR(VLOOKUP(D618,Controls!$A$36:$E$46,5,FALSE()),"No")="Yes",1,0)</f>
        <v/>
      </c>
      <c r="AI618" s="3">
        <f>IF(ISNUMBER(MATCH(D618,Controls!$A$36:$A$46,0)),1,0)</f>
        <v/>
      </c>
      <c r="AJ618" s="28">
        <f>Q618-N618</f>
        <v/>
      </c>
      <c r="AK618" s="3">
        <f>IF(AE618=1,MAX(0,N618-Q618),0)</f>
        <v/>
      </c>
      <c r="AL618" s="3">
        <f>IF(OR(V618="",V618=0),0,N618/V618)</f>
        <v/>
      </c>
      <c r="AM618" s="3">
        <f>IF(OR(V618="",V618=0),0,1)</f>
        <v/>
      </c>
      <c r="AN618" s="3">
        <f>IF(OR(E618="",F618=""),0,NETWORKDAYS(E618,F618,Ref!$K$2:$K$42))</f>
        <v/>
      </c>
      <c r="AO618" s="3">
        <f>IF(L618="Renewal",1,0)</f>
        <v/>
      </c>
      <c r="AP618" s="3">
        <f>AC618*AD618</f>
        <v/>
      </c>
      <c r="AQ618" s="3">
        <f>IF(AND(G618&lt;&gt;"",'Historical Score'!$C$6&lt;&gt;""),IF(G618='Historical Score'!$C$6,1,0),0)</f>
        <v/>
      </c>
      <c r="AR618" s="3">
        <f>IF(AND(L618&lt;&gt;"",'Historical Score'!$C$5&lt;&gt;""),IF(L618='Historical Score'!$C$5,1,0),0)</f>
        <v/>
      </c>
      <c r="AS618" s="3">
        <f>IF(AND(Y618&lt;&gt;"",'Historical Score'!$C$7&lt;&gt;""),IF(Y618='Historical Score'!$C$7,1,0),0)</f>
        <v/>
      </c>
      <c r="AT618" s="3">
        <f>IF(AND(K618&lt;&gt;"",'Historical Score'!$C$8&lt;&gt;""),IF(K618='Historical Score'!$C$8,1,0),0)</f>
        <v/>
      </c>
      <c r="AU618" s="3" t="n"/>
      <c r="AV618" s="3" t="n"/>
      <c r="AW618" s="3" t="n"/>
      <c r="AX618" s="3" t="n"/>
      <c r="AY618" s="3" t="n"/>
      <c r="AZ618" s="3" t="n"/>
      <c r="BA618" s="182">
        <f>IF(AD618=1,(AR618*'Historical Score'!$K$29+1-'Historical Score'!$K$29)*(AT618*'Historical Score'!$L$29+1-'Historical Score'!$L$29)*(AS618*'Historical Score'!$M$29+1-'Historical Score'!$M$29)*(AQ618*'Historical Score'!$N$29+1-'Historical Score'!$N$29),0)</f>
        <v/>
      </c>
      <c r="BB618" s="3" t="n"/>
      <c r="BC618" s="3" t="n"/>
    </row>
    <row r="619" ht="15.75" customHeight="1" s="174">
      <c r="A619" s="3" t="inlineStr">
        <is>
          <t>5674178399</t>
        </is>
      </c>
      <c r="B619" s="3" t="inlineStr">
        <is>
          <t>Fifth Gear Powersports</t>
        </is>
      </c>
      <c r="C619" s="3" t="inlineStr">
        <is>
          <t>FIFTH GEAR POWERSPORTS LLC</t>
        </is>
      </c>
      <c r="D619" s="3" t="inlineStr">
        <is>
          <t>Legal</t>
        </is>
      </c>
      <c r="E619" s="23" t="n">
        <v>46065</v>
      </c>
      <c r="F619" s="23" t="n">
        <v>46188</v>
      </c>
      <c r="G619" s="3" t="n">
        <v>3</v>
      </c>
      <c r="H619" s="3" t="inlineStr">
        <is>
          <t>7538</t>
        </is>
      </c>
      <c r="I619" s="3" t="inlineStr">
        <is>
          <t>75</t>
        </is>
      </c>
      <c r="J619" s="3" t="inlineStr">
        <is>
          <t>MI</t>
        </is>
      </c>
      <c r="K619" s="3" t="inlineStr">
        <is>
          <t>Ballicci</t>
        </is>
      </c>
      <c r="L619" s="3" t="inlineStr">
        <is>
          <t>New Deal</t>
        </is>
      </c>
      <c r="M619" s="3" t="n">
        <v>1.4</v>
      </c>
      <c r="N619" s="28" t="n">
        <v>30000</v>
      </c>
      <c r="O619" s="28" t="n">
        <v>2850</v>
      </c>
      <c r="P619" s="28" t="n">
        <v>42000</v>
      </c>
      <c r="Q619" s="28" t="n">
        <v>9517.65</v>
      </c>
      <c r="R619" s="28" t="n">
        <v>32482.35</v>
      </c>
      <c r="S619" s="42" t="n">
        <v>0.226610714285714</v>
      </c>
      <c r="T619" s="3" t="n">
        <v>24</v>
      </c>
      <c r="U619" s="3" t="n">
        <v>7</v>
      </c>
      <c r="V619" s="3" t="n"/>
      <c r="W619" s="42" t="n">
        <v>0.126</v>
      </c>
      <c r="X619" s="23" t="n">
        <v>45132</v>
      </c>
      <c r="Y619" s="3">
        <f>IF(I619="","No SIC",IFERROR(VLOOKUP(I619,Ref!$A$2:$B$65,2,FALSE()),"Unclassified"))</f>
        <v/>
      </c>
      <c r="Z619" s="3">
        <f>IF(T619="","",IF(T619&lt;12,"Daily","Weekly"))</f>
        <v/>
      </c>
      <c r="AA619" s="3">
        <f>IF(T619="",0,IF(T619&lt;12,T619*Controls!$B$13,T619*5))</f>
        <v/>
      </c>
      <c r="AB619" s="3">
        <f>IF(E619="",0,NETWORKDAYS(E619,Controls!$B$20,Ref!$K$2:$K$42))</f>
        <v/>
      </c>
      <c r="AC619" s="3">
        <f>IF(OR(AF619=1,AND(AA619&gt;0,AB619&gt;=Controls!$B$23*AA619)),1,0)</f>
        <v/>
      </c>
      <c r="AD619" s="3">
        <f>IF(AND(E619&lt;&gt;"",E619&gt;=Controls!$B$21,E619&lt;=Controls!$B$22),1,0)</f>
        <v/>
      </c>
      <c r="AE619" s="3">
        <f>IF(IFERROR(VLOOKUP(D619,Controls!$A$36:$E$46,2,FALSE()),"No")="Yes",1,0)</f>
        <v/>
      </c>
      <c r="AF619" s="3">
        <f>IF(IFERROR(VLOOKUP(D619,Controls!$A$36:$E$46,3,FALSE()),"No")="Yes",1,0)</f>
        <v/>
      </c>
      <c r="AG619" s="3">
        <f>IF(IFERROR(VLOOKUP(D619,Controls!$A$36:$E$46,4,FALSE()),"No")="Yes",1,0)</f>
        <v/>
      </c>
      <c r="AH619" s="3">
        <f>IF(IFERROR(VLOOKUP(D619,Controls!$A$36:$E$46,5,FALSE()),"No")="Yes",1,0)</f>
        <v/>
      </c>
      <c r="AI619" s="3">
        <f>IF(ISNUMBER(MATCH(D619,Controls!$A$36:$A$46,0)),1,0)</f>
        <v/>
      </c>
      <c r="AJ619" s="28">
        <f>Q619-N619</f>
        <v/>
      </c>
      <c r="AK619" s="3">
        <f>IF(AE619=1,MAX(0,N619-Q619),0)</f>
        <v/>
      </c>
      <c r="AL619" s="3">
        <f>IF(OR(V619="",V619=0),0,N619/V619)</f>
        <v/>
      </c>
      <c r="AM619" s="3">
        <f>IF(OR(V619="",V619=0),0,1)</f>
        <v/>
      </c>
      <c r="AN619" s="3">
        <f>IF(OR(E619="",F619=""),0,NETWORKDAYS(E619,F619,Ref!$K$2:$K$42))</f>
        <v/>
      </c>
      <c r="AO619" s="3">
        <f>IF(L619="Renewal",1,0)</f>
        <v/>
      </c>
      <c r="AP619" s="3">
        <f>AC619*AD619</f>
        <v/>
      </c>
      <c r="AQ619" s="3">
        <f>IF(AND(G619&lt;&gt;"",'Historical Score'!$C$6&lt;&gt;""),IF(G619='Historical Score'!$C$6,1,0),0)</f>
        <v/>
      </c>
      <c r="AR619" s="3">
        <f>IF(AND(L619&lt;&gt;"",'Historical Score'!$C$5&lt;&gt;""),IF(L619='Historical Score'!$C$5,1,0),0)</f>
        <v/>
      </c>
      <c r="AS619" s="3">
        <f>IF(AND(Y619&lt;&gt;"",'Historical Score'!$C$7&lt;&gt;""),IF(Y619='Historical Score'!$C$7,1,0),0)</f>
        <v/>
      </c>
      <c r="AT619" s="3">
        <f>IF(AND(K619&lt;&gt;"",'Historical Score'!$C$8&lt;&gt;""),IF(K619='Historical Score'!$C$8,1,0),0)</f>
        <v/>
      </c>
      <c r="AU619" s="3" t="n"/>
      <c r="AV619" s="3" t="n"/>
      <c r="AW619" s="3" t="n"/>
      <c r="AX619" s="3" t="n"/>
      <c r="AY619" s="3" t="n"/>
      <c r="AZ619" s="3" t="n"/>
      <c r="BA619" s="182">
        <f>IF(AD619=1,(AR619*'Historical Score'!$K$29+1-'Historical Score'!$K$29)*(AT619*'Historical Score'!$L$29+1-'Historical Score'!$L$29)*(AS619*'Historical Score'!$M$29+1-'Historical Score'!$M$29)*(AQ619*'Historical Score'!$N$29+1-'Historical Score'!$N$29),0)</f>
        <v/>
      </c>
      <c r="BB619" s="3" t="n"/>
      <c r="BC619" s="3" t="n"/>
    </row>
    <row r="620" ht="15.75" customHeight="1" s="174">
      <c r="A620" s="3" t="inlineStr">
        <is>
          <t>5674178438</t>
        </is>
      </c>
      <c r="B620" s="3" t="inlineStr">
        <is>
          <t>PARIKH LAW GROUP</t>
        </is>
      </c>
      <c r="C620" s="3" t="inlineStr">
        <is>
          <t>PARIKH LAW GROUP LLC</t>
        </is>
      </c>
      <c r="D620" s="3" t="inlineStr">
        <is>
          <t>Closed</t>
        </is>
      </c>
      <c r="E620" s="23" t="n">
        <v>46065</v>
      </c>
      <c r="F620" s="23" t="n">
        <v>46133</v>
      </c>
      <c r="G620" s="3" t="n">
        <v>4</v>
      </c>
      <c r="H620" s="3" t="inlineStr">
        <is>
          <t>8111</t>
        </is>
      </c>
      <c r="I620" s="3" t="inlineStr">
        <is>
          <t>81</t>
        </is>
      </c>
      <c r="J620" s="3" t="inlineStr">
        <is>
          <t>IL</t>
        </is>
      </c>
      <c r="K620" s="3" t="inlineStr">
        <is>
          <t>Westwood</t>
        </is>
      </c>
      <c r="L620" s="3" t="inlineStr">
        <is>
          <t>Renewal</t>
        </is>
      </c>
      <c r="M620" s="3" t="n">
        <v>1.49</v>
      </c>
      <c r="N620" s="28" t="n">
        <v>180000</v>
      </c>
      <c r="O620" s="28" t="n">
        <v>27000</v>
      </c>
      <c r="P620" s="28" t="n">
        <v>268200</v>
      </c>
      <c r="Q620" s="28" t="n">
        <v>268200</v>
      </c>
      <c r="R620" s="28" t="n">
        <v>0</v>
      </c>
      <c r="S620" s="42" t="n">
        <v>1</v>
      </c>
      <c r="T620" s="3" t="n">
        <v>3.443</v>
      </c>
      <c r="U620" s="3" t="n">
        <v>2</v>
      </c>
      <c r="V620" s="3" t="n"/>
      <c r="W620" s="42" t="n">
        <v>0.2029</v>
      </c>
      <c r="X620" s="23" t="n">
        <v>40198</v>
      </c>
      <c r="Y620" s="3">
        <f>IF(I620="","No SIC",IFERROR(VLOOKUP(I620,Ref!$A$2:$B$65,2,FALSE()),"Unclassified"))</f>
        <v/>
      </c>
      <c r="Z620" s="3">
        <f>IF(T620="","",IF(T620&lt;12,"Daily","Weekly"))</f>
        <v/>
      </c>
      <c r="AA620" s="3">
        <f>IF(T620="",0,IF(T620&lt;12,T620*Controls!$B$13,T620*5))</f>
        <v/>
      </c>
      <c r="AB620" s="3">
        <f>IF(E620="",0,NETWORKDAYS(E620,Controls!$B$20,Ref!$K$2:$K$42))</f>
        <v/>
      </c>
      <c r="AC620" s="3">
        <f>IF(OR(AF620=1,AND(AA620&gt;0,AB620&gt;=Controls!$B$23*AA620)),1,0)</f>
        <v/>
      </c>
      <c r="AD620" s="3">
        <f>IF(AND(E620&lt;&gt;"",E620&gt;=Controls!$B$21,E620&lt;=Controls!$B$22),1,0)</f>
        <v/>
      </c>
      <c r="AE620" s="3">
        <f>IF(IFERROR(VLOOKUP(D620,Controls!$A$36:$E$46,2,FALSE()),"No")="Yes",1,0)</f>
        <v/>
      </c>
      <c r="AF620" s="3">
        <f>IF(IFERROR(VLOOKUP(D620,Controls!$A$36:$E$46,3,FALSE()),"No")="Yes",1,0)</f>
        <v/>
      </c>
      <c r="AG620" s="3">
        <f>IF(IFERROR(VLOOKUP(D620,Controls!$A$36:$E$46,4,FALSE()),"No")="Yes",1,0)</f>
        <v/>
      </c>
      <c r="AH620" s="3">
        <f>IF(IFERROR(VLOOKUP(D620,Controls!$A$36:$E$46,5,FALSE()),"No")="Yes",1,0)</f>
        <v/>
      </c>
      <c r="AI620" s="3">
        <f>IF(ISNUMBER(MATCH(D620,Controls!$A$36:$A$46,0)),1,0)</f>
        <v/>
      </c>
      <c r="AJ620" s="28">
        <f>Q620-N620</f>
        <v/>
      </c>
      <c r="AK620" s="3">
        <f>IF(AE620=1,MAX(0,N620-Q620),0)</f>
        <v/>
      </c>
      <c r="AL620" s="3">
        <f>IF(OR(V620="",V620=0),0,N620/V620)</f>
        <v/>
      </c>
      <c r="AM620" s="3">
        <f>IF(OR(V620="",V620=0),0,1)</f>
        <v/>
      </c>
      <c r="AN620" s="3">
        <f>IF(OR(E620="",F620=""),0,NETWORKDAYS(E620,F620,Ref!$K$2:$K$42))</f>
        <v/>
      </c>
      <c r="AO620" s="3">
        <f>IF(L620="Renewal",1,0)</f>
        <v/>
      </c>
      <c r="AP620" s="3">
        <f>AC620*AD620</f>
        <v/>
      </c>
      <c r="AQ620" s="3">
        <f>IF(AND(G620&lt;&gt;"",'Historical Score'!$C$6&lt;&gt;""),IF(G620='Historical Score'!$C$6,1,0),0)</f>
        <v/>
      </c>
      <c r="AR620" s="3">
        <f>IF(AND(L620&lt;&gt;"",'Historical Score'!$C$5&lt;&gt;""),IF(L620='Historical Score'!$C$5,1,0),0)</f>
        <v/>
      </c>
      <c r="AS620" s="3">
        <f>IF(AND(Y620&lt;&gt;"",'Historical Score'!$C$7&lt;&gt;""),IF(Y620='Historical Score'!$C$7,1,0),0)</f>
        <v/>
      </c>
      <c r="AT620" s="3">
        <f>IF(AND(K620&lt;&gt;"",'Historical Score'!$C$8&lt;&gt;""),IF(K620='Historical Score'!$C$8,1,0),0)</f>
        <v/>
      </c>
      <c r="AU620" s="3" t="n"/>
      <c r="AV620" s="3" t="n"/>
      <c r="AW620" s="3" t="n"/>
      <c r="AX620" s="3" t="n"/>
      <c r="AY620" s="3" t="n"/>
      <c r="AZ620" s="3" t="n"/>
      <c r="BA620" s="182">
        <f>IF(AD620=1,(AR620*'Historical Score'!$K$29+1-'Historical Score'!$K$29)*(AT620*'Historical Score'!$L$29+1-'Historical Score'!$L$29)*(AS620*'Historical Score'!$M$29+1-'Historical Score'!$M$29)*(AQ620*'Historical Score'!$N$29+1-'Historical Score'!$N$29),0)</f>
        <v/>
      </c>
      <c r="BB620" s="3" t="n"/>
      <c r="BC620" s="3" t="n"/>
    </row>
    <row r="621" ht="15.75" customHeight="1" s="174">
      <c r="A621" s="3" t="inlineStr">
        <is>
          <t>5674178491</t>
        </is>
      </c>
      <c r="B621" s="3" t="inlineStr">
        <is>
          <t>FIREWATER RESTORATION AND CONSTRUCTION, INC</t>
        </is>
      </c>
      <c r="C621" s="3" t="inlineStr">
        <is>
          <t>FIREWATER RESTORATION AND CONSTRUCTION, INC</t>
        </is>
      </c>
      <c r="D621" s="3" t="inlineStr">
        <is>
          <t>Legal</t>
        </is>
      </c>
      <c r="E621" s="23" t="n">
        <v>46066</v>
      </c>
      <c r="F621" s="23" t="n">
        <v>46156</v>
      </c>
      <c r="G621" s="3" t="n">
        <v>3</v>
      </c>
      <c r="H621" s="3" t="inlineStr">
        <is>
          <t>1521</t>
        </is>
      </c>
      <c r="I621" s="3" t="inlineStr">
        <is>
          <t>15</t>
        </is>
      </c>
      <c r="J621" s="3" t="inlineStr">
        <is>
          <t>CA</t>
        </is>
      </c>
      <c r="K621" s="3" t="inlineStr">
        <is>
          <t>United Secured Capital 8</t>
        </is>
      </c>
      <c r="L621" s="3" t="inlineStr">
        <is>
          <t>New Deal</t>
        </is>
      </c>
      <c r="M621" s="3" t="n">
        <v>1.41</v>
      </c>
      <c r="N621" s="28" t="n">
        <v>30000</v>
      </c>
      <c r="O621" s="28" t="n">
        <v>3000</v>
      </c>
      <c r="P621" s="28" t="n">
        <v>42300</v>
      </c>
      <c r="Q621" s="28" t="n">
        <v>7282.92</v>
      </c>
      <c r="R621" s="28" t="n">
        <v>35017.08</v>
      </c>
      <c r="S621" s="42" t="n">
        <v>0.17217304964539</v>
      </c>
      <c r="T621" s="3" t="n">
        <v>26</v>
      </c>
      <c r="U621" s="3" t="n">
        <v>2</v>
      </c>
      <c r="V621" s="3" t="n">
        <v>69557.39999999999</v>
      </c>
      <c r="W621" s="42" t="n">
        <v>0.0936</v>
      </c>
      <c r="X621" s="23" t="n"/>
      <c r="Y621" s="3">
        <f>IF(I621="","No SIC",IFERROR(VLOOKUP(I621,Ref!$A$2:$B$65,2,FALSE()),"Unclassified"))</f>
        <v/>
      </c>
      <c r="Z621" s="3">
        <f>IF(T621="","",IF(T621&lt;12,"Daily","Weekly"))</f>
        <v/>
      </c>
      <c r="AA621" s="3">
        <f>IF(T621="",0,IF(T621&lt;12,T621*Controls!$B$13,T621*5))</f>
        <v/>
      </c>
      <c r="AB621" s="3">
        <f>IF(E621="",0,NETWORKDAYS(E621,Controls!$B$20,Ref!$K$2:$K$42))</f>
        <v/>
      </c>
      <c r="AC621" s="3">
        <f>IF(OR(AF621=1,AND(AA621&gt;0,AB621&gt;=Controls!$B$23*AA621)),1,0)</f>
        <v/>
      </c>
      <c r="AD621" s="3">
        <f>IF(AND(E621&lt;&gt;"",E621&gt;=Controls!$B$21,E621&lt;=Controls!$B$22),1,0)</f>
        <v/>
      </c>
      <c r="AE621" s="3">
        <f>IF(IFERROR(VLOOKUP(D621,Controls!$A$36:$E$46,2,FALSE()),"No")="Yes",1,0)</f>
        <v/>
      </c>
      <c r="AF621" s="3">
        <f>IF(IFERROR(VLOOKUP(D621,Controls!$A$36:$E$46,3,FALSE()),"No")="Yes",1,0)</f>
        <v/>
      </c>
      <c r="AG621" s="3">
        <f>IF(IFERROR(VLOOKUP(D621,Controls!$A$36:$E$46,4,FALSE()),"No")="Yes",1,0)</f>
        <v/>
      </c>
      <c r="AH621" s="3">
        <f>IF(IFERROR(VLOOKUP(D621,Controls!$A$36:$E$46,5,FALSE()),"No")="Yes",1,0)</f>
        <v/>
      </c>
      <c r="AI621" s="3">
        <f>IF(ISNUMBER(MATCH(D621,Controls!$A$36:$A$46,0)),1,0)</f>
        <v/>
      </c>
      <c r="AJ621" s="28">
        <f>Q621-N621</f>
        <v/>
      </c>
      <c r="AK621" s="3">
        <f>IF(AE621=1,MAX(0,N621-Q621),0)</f>
        <v/>
      </c>
      <c r="AL621" s="3">
        <f>IF(OR(V621="",V621=0),0,N621/V621)</f>
        <v/>
      </c>
      <c r="AM621" s="3">
        <f>IF(OR(V621="",V621=0),0,1)</f>
        <v/>
      </c>
      <c r="AN621" s="3">
        <f>IF(OR(E621="",F621=""),0,NETWORKDAYS(E621,F621,Ref!$K$2:$K$42))</f>
        <v/>
      </c>
      <c r="AO621" s="3">
        <f>IF(L621="Renewal",1,0)</f>
        <v/>
      </c>
      <c r="AP621" s="3">
        <f>AC621*AD621</f>
        <v/>
      </c>
      <c r="AQ621" s="3">
        <f>IF(AND(G621&lt;&gt;"",'Historical Score'!$C$6&lt;&gt;""),IF(G621='Historical Score'!$C$6,1,0),0)</f>
        <v/>
      </c>
      <c r="AR621" s="3">
        <f>IF(AND(L621&lt;&gt;"",'Historical Score'!$C$5&lt;&gt;""),IF(L621='Historical Score'!$C$5,1,0),0)</f>
        <v/>
      </c>
      <c r="AS621" s="3">
        <f>IF(AND(Y621&lt;&gt;"",'Historical Score'!$C$7&lt;&gt;""),IF(Y621='Historical Score'!$C$7,1,0),0)</f>
        <v/>
      </c>
      <c r="AT621" s="3">
        <f>IF(AND(K621&lt;&gt;"",'Historical Score'!$C$8&lt;&gt;""),IF(K621='Historical Score'!$C$8,1,0),0)</f>
        <v/>
      </c>
      <c r="AU621" s="3" t="n"/>
      <c r="AV621" s="3" t="n"/>
      <c r="AW621" s="3" t="n"/>
      <c r="AX621" s="3" t="n"/>
      <c r="AY621" s="3" t="n"/>
      <c r="AZ621" s="3" t="n"/>
      <c r="BA621" s="182">
        <f>IF(AD621=1,(AR621*'Historical Score'!$K$29+1-'Historical Score'!$K$29)*(AT621*'Historical Score'!$L$29+1-'Historical Score'!$L$29)*(AS621*'Historical Score'!$M$29+1-'Historical Score'!$M$29)*(AQ621*'Historical Score'!$N$29+1-'Historical Score'!$N$29),0)</f>
        <v/>
      </c>
      <c r="BB621" s="3" t="n"/>
      <c r="BC621" s="3" t="n"/>
    </row>
    <row r="622" ht="15.75" customHeight="1" s="174">
      <c r="A622" s="3" t="inlineStr">
        <is>
          <t>5674178516</t>
        </is>
      </c>
      <c r="B622" s="3" t="inlineStr">
        <is>
          <t>DICKINSON FEED &amp; SUPPLY LLC</t>
        </is>
      </c>
      <c r="C622" s="3" t="inlineStr">
        <is>
          <t>DICKINSON FEED &amp; SUPPLY LLC</t>
        </is>
      </c>
      <c r="D622" s="3" t="inlineStr">
        <is>
          <t>Open</t>
        </is>
      </c>
      <c r="E622" s="23" t="n">
        <v>46066</v>
      </c>
      <c r="F622" s="23" t="n">
        <v>46248</v>
      </c>
      <c r="G622" s="3" t="n">
        <v>3</v>
      </c>
      <c r="H622" s="3" t="inlineStr">
        <is>
          <t>0219</t>
        </is>
      </c>
      <c r="I622" s="3" t="inlineStr">
        <is>
          <t>02</t>
        </is>
      </c>
      <c r="J622" s="3" t="inlineStr">
        <is>
          <t>TX</t>
        </is>
      </c>
      <c r="K622" s="3" t="inlineStr">
        <is>
          <t>liquidity lending group</t>
        </is>
      </c>
      <c r="L622" s="3" t="inlineStr">
        <is>
          <t>New Deal</t>
        </is>
      </c>
      <c r="M622" s="3" t="n">
        <v>1.45</v>
      </c>
      <c r="N622" s="28" t="n">
        <v>30000</v>
      </c>
      <c r="O622" s="28" t="n">
        <v>3600</v>
      </c>
      <c r="P622" s="28" t="n">
        <v>43500</v>
      </c>
      <c r="Q622" s="28" t="n">
        <v>6527.67</v>
      </c>
      <c r="R622" s="28" t="n">
        <v>36972.33</v>
      </c>
      <c r="S622" s="42" t="n">
        <v>0.150061379310345</v>
      </c>
      <c r="T622" s="3" t="n">
        <v>20</v>
      </c>
      <c r="U622" s="3" t="n">
        <v>23</v>
      </c>
      <c r="V622" s="3" t="n">
        <v>73884.37</v>
      </c>
      <c r="W622" s="42" t="n">
        <v>0.1178</v>
      </c>
      <c r="X622" s="23" t="n">
        <v>42529</v>
      </c>
      <c r="Y622" s="3">
        <f>IF(I622="","No SIC",IFERROR(VLOOKUP(I622,Ref!$A$2:$B$65,2,FALSE()),"Unclassified"))</f>
        <v/>
      </c>
      <c r="Z622" s="3">
        <f>IF(T622="","",IF(T622&lt;12,"Daily","Weekly"))</f>
        <v/>
      </c>
      <c r="AA622" s="3">
        <f>IF(T622="",0,IF(T622&lt;12,T622*Controls!$B$13,T622*5))</f>
        <v/>
      </c>
      <c r="AB622" s="3">
        <f>IF(E622="",0,NETWORKDAYS(E622,Controls!$B$20,Ref!$K$2:$K$42))</f>
        <v/>
      </c>
      <c r="AC622" s="3">
        <f>IF(OR(AF622=1,AND(AA622&gt;0,AB622&gt;=Controls!$B$23*AA622)),1,0)</f>
        <v/>
      </c>
      <c r="AD622" s="3">
        <f>IF(AND(E622&lt;&gt;"",E622&gt;=Controls!$B$21,E622&lt;=Controls!$B$22),1,0)</f>
        <v/>
      </c>
      <c r="AE622" s="3">
        <f>IF(IFERROR(VLOOKUP(D622,Controls!$A$36:$E$46,2,FALSE()),"No")="Yes",1,0)</f>
        <v/>
      </c>
      <c r="AF622" s="3">
        <f>IF(IFERROR(VLOOKUP(D622,Controls!$A$36:$E$46,3,FALSE()),"No")="Yes",1,0)</f>
        <v/>
      </c>
      <c r="AG622" s="3">
        <f>IF(IFERROR(VLOOKUP(D622,Controls!$A$36:$E$46,4,FALSE()),"No")="Yes",1,0)</f>
        <v/>
      </c>
      <c r="AH622" s="3">
        <f>IF(IFERROR(VLOOKUP(D622,Controls!$A$36:$E$46,5,FALSE()),"No")="Yes",1,0)</f>
        <v/>
      </c>
      <c r="AI622" s="3">
        <f>IF(ISNUMBER(MATCH(D622,Controls!$A$36:$A$46,0)),1,0)</f>
        <v/>
      </c>
      <c r="AJ622" s="28">
        <f>Q622-N622</f>
        <v/>
      </c>
      <c r="AK622" s="3">
        <f>IF(AE622=1,MAX(0,N622-Q622),0)</f>
        <v/>
      </c>
      <c r="AL622" s="3">
        <f>IF(OR(V622="",V622=0),0,N622/V622)</f>
        <v/>
      </c>
      <c r="AM622" s="3">
        <f>IF(OR(V622="",V622=0),0,1)</f>
        <v/>
      </c>
      <c r="AN622" s="3">
        <f>IF(OR(E622="",F622=""),0,NETWORKDAYS(E622,F622,Ref!$K$2:$K$42))</f>
        <v/>
      </c>
      <c r="AO622" s="3">
        <f>IF(L622="Renewal",1,0)</f>
        <v/>
      </c>
      <c r="AP622" s="3">
        <f>AC622*AD622</f>
        <v/>
      </c>
      <c r="AQ622" s="3">
        <f>IF(AND(G622&lt;&gt;"",'Historical Score'!$C$6&lt;&gt;""),IF(G622='Historical Score'!$C$6,1,0),0)</f>
        <v/>
      </c>
      <c r="AR622" s="3">
        <f>IF(AND(L622&lt;&gt;"",'Historical Score'!$C$5&lt;&gt;""),IF(L622='Historical Score'!$C$5,1,0),0)</f>
        <v/>
      </c>
      <c r="AS622" s="3">
        <f>IF(AND(Y622&lt;&gt;"",'Historical Score'!$C$7&lt;&gt;""),IF(Y622='Historical Score'!$C$7,1,0),0)</f>
        <v/>
      </c>
      <c r="AT622" s="3">
        <f>IF(AND(K622&lt;&gt;"",'Historical Score'!$C$8&lt;&gt;""),IF(K622='Historical Score'!$C$8,1,0),0)</f>
        <v/>
      </c>
      <c r="AU622" s="3" t="n"/>
      <c r="AV622" s="3" t="n"/>
      <c r="AW622" s="3" t="n"/>
      <c r="AX622" s="3" t="n"/>
      <c r="AY622" s="3" t="n"/>
      <c r="AZ622" s="3" t="n"/>
      <c r="BA622" s="182">
        <f>IF(AD622=1,(AR622*'Historical Score'!$K$29+1-'Historical Score'!$K$29)*(AT622*'Historical Score'!$L$29+1-'Historical Score'!$L$29)*(AS622*'Historical Score'!$M$29+1-'Historical Score'!$M$29)*(AQ622*'Historical Score'!$N$29+1-'Historical Score'!$N$29),0)</f>
        <v/>
      </c>
      <c r="BB622" s="3" t="n"/>
      <c r="BC622" s="3" t="n"/>
    </row>
    <row r="623" ht="15.75" customHeight="1" s="174">
      <c r="A623" s="3" t="inlineStr">
        <is>
          <t>5674178518</t>
        </is>
      </c>
      <c r="B623" s="3" t="inlineStr">
        <is>
          <t>RHINOMACTT LLC</t>
        </is>
      </c>
      <c r="C623" s="3" t="inlineStr">
        <is>
          <t>RHINOMACTT LLC</t>
        </is>
      </c>
      <c r="D623" s="3" t="inlineStr">
        <is>
          <t>Legal</t>
        </is>
      </c>
      <c r="E623" s="23" t="n">
        <v>46066</v>
      </c>
      <c r="F623" s="23" t="n">
        <v>46108</v>
      </c>
      <c r="G623" s="3" t="n">
        <v>3</v>
      </c>
      <c r="H623" s="3" t="inlineStr">
        <is>
          <t>1521</t>
        </is>
      </c>
      <c r="I623" s="3" t="inlineStr">
        <is>
          <t>15</t>
        </is>
      </c>
      <c r="J623" s="3" t="inlineStr">
        <is>
          <t>OK</t>
        </is>
      </c>
      <c r="K623" s="3" t="inlineStr">
        <is>
          <t>United Secured Capital 8</t>
        </is>
      </c>
      <c r="L623" s="3" t="inlineStr">
        <is>
          <t>New Deal</t>
        </is>
      </c>
      <c r="M623" s="3" t="n">
        <v>1.49</v>
      </c>
      <c r="N623" s="28" t="n">
        <v>15000</v>
      </c>
      <c r="O623" s="28" t="n">
        <v>2100</v>
      </c>
      <c r="P623" s="28" t="n">
        <v>22350</v>
      </c>
      <c r="Q623" s="28" t="n">
        <v>5586.25</v>
      </c>
      <c r="R623" s="28" t="n">
        <v>16763.75</v>
      </c>
      <c r="S623" s="42" t="n">
        <v>0.249944071588367</v>
      </c>
      <c r="T623" s="3" t="n">
        <v>3.279</v>
      </c>
      <c r="U623" s="3" t="n">
        <v>4</v>
      </c>
      <c r="V623" s="3" t="n">
        <v>25364.67</v>
      </c>
      <c r="W623" s="42" t="n">
        <v>0.185</v>
      </c>
      <c r="X623" s="23" t="n"/>
      <c r="Y623" s="3">
        <f>IF(I623="","No SIC",IFERROR(VLOOKUP(I623,Ref!$A$2:$B$65,2,FALSE()),"Unclassified"))</f>
        <v/>
      </c>
      <c r="Z623" s="3">
        <f>IF(T623="","",IF(T623&lt;12,"Daily","Weekly"))</f>
        <v/>
      </c>
      <c r="AA623" s="3">
        <f>IF(T623="",0,IF(T623&lt;12,T623*Controls!$B$13,T623*5))</f>
        <v/>
      </c>
      <c r="AB623" s="3">
        <f>IF(E623="",0,NETWORKDAYS(E623,Controls!$B$20,Ref!$K$2:$K$42))</f>
        <v/>
      </c>
      <c r="AC623" s="3">
        <f>IF(OR(AF623=1,AND(AA623&gt;0,AB623&gt;=Controls!$B$23*AA623)),1,0)</f>
        <v/>
      </c>
      <c r="AD623" s="3">
        <f>IF(AND(E623&lt;&gt;"",E623&gt;=Controls!$B$21,E623&lt;=Controls!$B$22),1,0)</f>
        <v/>
      </c>
      <c r="AE623" s="3">
        <f>IF(IFERROR(VLOOKUP(D623,Controls!$A$36:$E$46,2,FALSE()),"No")="Yes",1,0)</f>
        <v/>
      </c>
      <c r="AF623" s="3">
        <f>IF(IFERROR(VLOOKUP(D623,Controls!$A$36:$E$46,3,FALSE()),"No")="Yes",1,0)</f>
        <v/>
      </c>
      <c r="AG623" s="3">
        <f>IF(IFERROR(VLOOKUP(D623,Controls!$A$36:$E$46,4,FALSE()),"No")="Yes",1,0)</f>
        <v/>
      </c>
      <c r="AH623" s="3">
        <f>IF(IFERROR(VLOOKUP(D623,Controls!$A$36:$E$46,5,FALSE()),"No")="Yes",1,0)</f>
        <v/>
      </c>
      <c r="AI623" s="3">
        <f>IF(ISNUMBER(MATCH(D623,Controls!$A$36:$A$46,0)),1,0)</f>
        <v/>
      </c>
      <c r="AJ623" s="28">
        <f>Q623-N623</f>
        <v/>
      </c>
      <c r="AK623" s="3">
        <f>IF(AE623=1,MAX(0,N623-Q623),0)</f>
        <v/>
      </c>
      <c r="AL623" s="3">
        <f>IF(OR(V623="",V623=0),0,N623/V623)</f>
        <v/>
      </c>
      <c r="AM623" s="3">
        <f>IF(OR(V623="",V623=0),0,1)</f>
        <v/>
      </c>
      <c r="AN623" s="3">
        <f>IF(OR(E623="",F623=""),0,NETWORKDAYS(E623,F623,Ref!$K$2:$K$42))</f>
        <v/>
      </c>
      <c r="AO623" s="3">
        <f>IF(L623="Renewal",1,0)</f>
        <v/>
      </c>
      <c r="AP623" s="3">
        <f>AC623*AD623</f>
        <v/>
      </c>
      <c r="AQ623" s="3">
        <f>IF(AND(G623&lt;&gt;"",'Historical Score'!$C$6&lt;&gt;""),IF(G623='Historical Score'!$C$6,1,0),0)</f>
        <v/>
      </c>
      <c r="AR623" s="3">
        <f>IF(AND(L623&lt;&gt;"",'Historical Score'!$C$5&lt;&gt;""),IF(L623='Historical Score'!$C$5,1,0),0)</f>
        <v/>
      </c>
      <c r="AS623" s="3">
        <f>IF(AND(Y623&lt;&gt;"",'Historical Score'!$C$7&lt;&gt;""),IF(Y623='Historical Score'!$C$7,1,0),0)</f>
        <v/>
      </c>
      <c r="AT623" s="3">
        <f>IF(AND(K623&lt;&gt;"",'Historical Score'!$C$8&lt;&gt;""),IF(K623='Historical Score'!$C$8,1,0),0)</f>
        <v/>
      </c>
      <c r="AU623" s="3" t="n"/>
      <c r="AV623" s="3" t="n"/>
      <c r="AW623" s="3" t="n"/>
      <c r="AX623" s="3" t="n"/>
      <c r="AY623" s="3" t="n"/>
      <c r="AZ623" s="3" t="n"/>
      <c r="BA623" s="182">
        <f>IF(AD623=1,(AR623*'Historical Score'!$K$29+1-'Historical Score'!$K$29)*(AT623*'Historical Score'!$L$29+1-'Historical Score'!$L$29)*(AS623*'Historical Score'!$M$29+1-'Historical Score'!$M$29)*(AQ623*'Historical Score'!$N$29+1-'Historical Score'!$N$29),0)</f>
        <v/>
      </c>
      <c r="BB623" s="3" t="n"/>
      <c r="BC623" s="3" t="n"/>
    </row>
    <row r="624" ht="15.75" customHeight="1" s="174">
      <c r="A624" s="3" t="inlineStr">
        <is>
          <t>5674178538</t>
        </is>
      </c>
      <c r="B624" s="3" t="inlineStr">
        <is>
          <t>Southern Power Systems LLC</t>
        </is>
      </c>
      <c r="C624" s="3" t="inlineStr">
        <is>
          <t>Southern Power Systems LLC</t>
        </is>
      </c>
      <c r="D624" s="3" t="inlineStr">
        <is>
          <t>Open</t>
        </is>
      </c>
      <c r="E624" s="23" t="n">
        <v>46066</v>
      </c>
      <c r="F624" s="23" t="n">
        <v>46253</v>
      </c>
      <c r="G624" s="3" t="n">
        <v>3</v>
      </c>
      <c r="H624" s="3" t="inlineStr">
        <is>
          <t>3621</t>
        </is>
      </c>
      <c r="I624" s="3" t="inlineStr">
        <is>
          <t>36</t>
        </is>
      </c>
      <c r="J624" s="3" t="inlineStr">
        <is>
          <t>GA</t>
        </is>
      </c>
      <c r="K624" s="3" t="inlineStr">
        <is>
          <t>United Secured Capital 8</t>
        </is>
      </c>
      <c r="L624" s="3" t="inlineStr">
        <is>
          <t>New Deal</t>
        </is>
      </c>
      <c r="M624" s="3" t="n">
        <v>1.49</v>
      </c>
      <c r="N624" s="28" t="n">
        <v>20000</v>
      </c>
      <c r="O624" s="28" t="n">
        <v>2800</v>
      </c>
      <c r="P624" s="28" t="n">
        <v>29800</v>
      </c>
      <c r="Q624" s="28" t="n">
        <v>29800</v>
      </c>
      <c r="R624" s="28" t="n">
        <v>0</v>
      </c>
      <c r="S624" s="42" t="n">
        <v>1</v>
      </c>
      <c r="T624" s="3" t="n">
        <v>20</v>
      </c>
      <c r="U624" s="3" t="n">
        <v>0</v>
      </c>
      <c r="V624" s="3" t="n">
        <v>2423.33</v>
      </c>
      <c r="W624" s="42" t="n">
        <v>0.0298</v>
      </c>
      <c r="X624" s="23" t="n">
        <v>45657</v>
      </c>
      <c r="Y624" s="3">
        <f>IF(I624="","No SIC",IFERROR(VLOOKUP(I624,Ref!$A$2:$B$65,2,FALSE()),"Unclassified"))</f>
        <v/>
      </c>
      <c r="Z624" s="3">
        <f>IF(T624="","",IF(T624&lt;12,"Daily","Weekly"))</f>
        <v/>
      </c>
      <c r="AA624" s="3">
        <f>IF(T624="",0,IF(T624&lt;12,T624*Controls!$B$13,T624*5))</f>
        <v/>
      </c>
      <c r="AB624" s="3">
        <f>IF(E624="",0,NETWORKDAYS(E624,Controls!$B$20,Ref!$K$2:$K$42))</f>
        <v/>
      </c>
      <c r="AC624" s="3">
        <f>IF(OR(AF624=1,AND(AA624&gt;0,AB624&gt;=Controls!$B$23*AA624)),1,0)</f>
        <v/>
      </c>
      <c r="AD624" s="3">
        <f>IF(AND(E624&lt;&gt;"",E624&gt;=Controls!$B$21,E624&lt;=Controls!$B$22),1,0)</f>
        <v/>
      </c>
      <c r="AE624" s="3">
        <f>IF(IFERROR(VLOOKUP(D624,Controls!$A$36:$E$46,2,FALSE()),"No")="Yes",1,0)</f>
        <v/>
      </c>
      <c r="AF624" s="3">
        <f>IF(IFERROR(VLOOKUP(D624,Controls!$A$36:$E$46,3,FALSE()),"No")="Yes",1,0)</f>
        <v/>
      </c>
      <c r="AG624" s="3">
        <f>IF(IFERROR(VLOOKUP(D624,Controls!$A$36:$E$46,4,FALSE()),"No")="Yes",1,0)</f>
        <v/>
      </c>
      <c r="AH624" s="3">
        <f>IF(IFERROR(VLOOKUP(D624,Controls!$A$36:$E$46,5,FALSE()),"No")="Yes",1,0)</f>
        <v/>
      </c>
      <c r="AI624" s="3">
        <f>IF(ISNUMBER(MATCH(D624,Controls!$A$36:$A$46,0)),1,0)</f>
        <v/>
      </c>
      <c r="AJ624" s="28">
        <f>Q624-N624</f>
        <v/>
      </c>
      <c r="AK624" s="3">
        <f>IF(AE624=1,MAX(0,N624-Q624),0)</f>
        <v/>
      </c>
      <c r="AL624" s="3">
        <f>IF(OR(V624="",V624=0),0,N624/V624)</f>
        <v/>
      </c>
      <c r="AM624" s="3">
        <f>IF(OR(V624="",V624=0),0,1)</f>
        <v/>
      </c>
      <c r="AN624" s="3">
        <f>IF(OR(E624="",F624=""),0,NETWORKDAYS(E624,F624,Ref!$K$2:$K$42))</f>
        <v/>
      </c>
      <c r="AO624" s="3">
        <f>IF(L624="Renewal",1,0)</f>
        <v/>
      </c>
      <c r="AP624" s="3">
        <f>AC624*AD624</f>
        <v/>
      </c>
      <c r="AQ624" s="3">
        <f>IF(AND(G624&lt;&gt;"",'Historical Score'!$C$6&lt;&gt;""),IF(G624='Historical Score'!$C$6,1,0),0)</f>
        <v/>
      </c>
      <c r="AR624" s="3">
        <f>IF(AND(L624&lt;&gt;"",'Historical Score'!$C$5&lt;&gt;""),IF(L624='Historical Score'!$C$5,1,0),0)</f>
        <v/>
      </c>
      <c r="AS624" s="3">
        <f>IF(AND(Y624&lt;&gt;"",'Historical Score'!$C$7&lt;&gt;""),IF(Y624='Historical Score'!$C$7,1,0),0)</f>
        <v/>
      </c>
      <c r="AT624" s="3">
        <f>IF(AND(K624&lt;&gt;"",'Historical Score'!$C$8&lt;&gt;""),IF(K624='Historical Score'!$C$8,1,0),0)</f>
        <v/>
      </c>
      <c r="AU624" s="3" t="n"/>
      <c r="AV624" s="3" t="n"/>
      <c r="AW624" s="3" t="n"/>
      <c r="AX624" s="3" t="n"/>
      <c r="AY624" s="3" t="n"/>
      <c r="AZ624" s="3" t="n"/>
      <c r="BA624" s="182">
        <f>IF(AD624=1,(AR624*'Historical Score'!$K$29+1-'Historical Score'!$K$29)*(AT624*'Historical Score'!$L$29+1-'Historical Score'!$L$29)*(AS624*'Historical Score'!$M$29+1-'Historical Score'!$M$29)*(AQ624*'Historical Score'!$N$29+1-'Historical Score'!$N$29),0)</f>
        <v/>
      </c>
      <c r="BB624" s="3" t="n"/>
      <c r="BC624" s="3" t="n"/>
    </row>
    <row r="625" ht="15.75" customHeight="1" s="174">
      <c r="A625" s="3" t="inlineStr">
        <is>
          <t>5674178553</t>
        </is>
      </c>
      <c r="B625" s="3" t="inlineStr">
        <is>
          <t>T&amp;M BUILDERS AND DESIGN INC</t>
        </is>
      </c>
      <c r="C625" s="3" t="inlineStr">
        <is>
          <t>T&amp;M BUILDERS AND DESIGN INC</t>
        </is>
      </c>
      <c r="D625" s="3" t="inlineStr">
        <is>
          <t>Open</t>
        </is>
      </c>
      <c r="E625" s="23" t="n">
        <v>46066</v>
      </c>
      <c r="F625" s="23" t="n">
        <v>46206</v>
      </c>
      <c r="G625" s="3" t="n">
        <v>1</v>
      </c>
      <c r="H625" s="3" t="inlineStr">
        <is>
          <t>1521</t>
        </is>
      </c>
      <c r="I625" s="3" t="inlineStr">
        <is>
          <t>15</t>
        </is>
      </c>
      <c r="J625" s="3" t="inlineStr">
        <is>
          <t>CA</t>
        </is>
      </c>
      <c r="K625" s="3" t="inlineStr">
        <is>
          <t>Fundible</t>
        </is>
      </c>
      <c r="L625" s="3" t="inlineStr">
        <is>
          <t>New Deal</t>
        </is>
      </c>
      <c r="M625" s="3" t="n">
        <v>1.49</v>
      </c>
      <c r="N625" s="28" t="n">
        <v>25000</v>
      </c>
      <c r="O625" s="28" t="n">
        <v>3500</v>
      </c>
      <c r="P625" s="28" t="n">
        <v>37250</v>
      </c>
      <c r="Q625" s="28" t="n">
        <v>14335.5</v>
      </c>
      <c r="R625" s="28" t="n">
        <v>22914.5</v>
      </c>
      <c r="S625" s="42" t="n">
        <v>0.384845637583893</v>
      </c>
      <c r="T625" s="3" t="n">
        <v>26</v>
      </c>
      <c r="U625" s="3" t="n">
        <v>10</v>
      </c>
      <c r="V625" s="3" t="n">
        <v>139292.82</v>
      </c>
      <c r="W625" s="42" t="n">
        <v>0.0415</v>
      </c>
      <c r="X625" s="23" t="n">
        <v>45683</v>
      </c>
      <c r="Y625" s="3">
        <f>IF(I625="","No SIC",IFERROR(VLOOKUP(I625,Ref!$A$2:$B$65,2,FALSE()),"Unclassified"))</f>
        <v/>
      </c>
      <c r="Z625" s="3">
        <f>IF(T625="","",IF(T625&lt;12,"Daily","Weekly"))</f>
        <v/>
      </c>
      <c r="AA625" s="3">
        <f>IF(T625="",0,IF(T625&lt;12,T625*Controls!$B$13,T625*5))</f>
        <v/>
      </c>
      <c r="AB625" s="3">
        <f>IF(E625="",0,NETWORKDAYS(E625,Controls!$B$20,Ref!$K$2:$K$42))</f>
        <v/>
      </c>
      <c r="AC625" s="3">
        <f>IF(OR(AF625=1,AND(AA625&gt;0,AB625&gt;=Controls!$B$23*AA625)),1,0)</f>
        <v/>
      </c>
      <c r="AD625" s="3">
        <f>IF(AND(E625&lt;&gt;"",E625&gt;=Controls!$B$21,E625&lt;=Controls!$B$22),1,0)</f>
        <v/>
      </c>
      <c r="AE625" s="3">
        <f>IF(IFERROR(VLOOKUP(D625,Controls!$A$36:$E$46,2,FALSE()),"No")="Yes",1,0)</f>
        <v/>
      </c>
      <c r="AF625" s="3">
        <f>IF(IFERROR(VLOOKUP(D625,Controls!$A$36:$E$46,3,FALSE()),"No")="Yes",1,0)</f>
        <v/>
      </c>
      <c r="AG625" s="3">
        <f>IF(IFERROR(VLOOKUP(D625,Controls!$A$36:$E$46,4,FALSE()),"No")="Yes",1,0)</f>
        <v/>
      </c>
      <c r="AH625" s="3">
        <f>IF(IFERROR(VLOOKUP(D625,Controls!$A$36:$E$46,5,FALSE()),"No")="Yes",1,0)</f>
        <v/>
      </c>
      <c r="AI625" s="3">
        <f>IF(ISNUMBER(MATCH(D625,Controls!$A$36:$A$46,0)),1,0)</f>
        <v/>
      </c>
      <c r="AJ625" s="28">
        <f>Q625-N625</f>
        <v/>
      </c>
      <c r="AK625" s="3">
        <f>IF(AE625=1,MAX(0,N625-Q625),0)</f>
        <v/>
      </c>
      <c r="AL625" s="3">
        <f>IF(OR(V625="",V625=0),0,N625/V625)</f>
        <v/>
      </c>
      <c r="AM625" s="3">
        <f>IF(OR(V625="",V625=0),0,1)</f>
        <v/>
      </c>
      <c r="AN625" s="3">
        <f>IF(OR(E625="",F625=""),0,NETWORKDAYS(E625,F625,Ref!$K$2:$K$42))</f>
        <v/>
      </c>
      <c r="AO625" s="3">
        <f>IF(L625="Renewal",1,0)</f>
        <v/>
      </c>
      <c r="AP625" s="3">
        <f>AC625*AD625</f>
        <v/>
      </c>
      <c r="AQ625" s="3">
        <f>IF(AND(G625&lt;&gt;"",'Historical Score'!$C$6&lt;&gt;""),IF(G625='Historical Score'!$C$6,1,0),0)</f>
        <v/>
      </c>
      <c r="AR625" s="3">
        <f>IF(AND(L625&lt;&gt;"",'Historical Score'!$C$5&lt;&gt;""),IF(L625='Historical Score'!$C$5,1,0),0)</f>
        <v/>
      </c>
      <c r="AS625" s="3">
        <f>IF(AND(Y625&lt;&gt;"",'Historical Score'!$C$7&lt;&gt;""),IF(Y625='Historical Score'!$C$7,1,0),0)</f>
        <v/>
      </c>
      <c r="AT625" s="3">
        <f>IF(AND(K625&lt;&gt;"",'Historical Score'!$C$8&lt;&gt;""),IF(K625='Historical Score'!$C$8,1,0),0)</f>
        <v/>
      </c>
      <c r="AU625" s="3" t="n"/>
      <c r="AV625" s="3" t="n"/>
      <c r="AW625" s="3" t="n"/>
      <c r="AX625" s="3" t="n"/>
      <c r="AY625" s="3" t="n"/>
      <c r="AZ625" s="3" t="n"/>
      <c r="BA625" s="182">
        <f>IF(AD625=1,(AR625*'Historical Score'!$K$29+1-'Historical Score'!$K$29)*(AT625*'Historical Score'!$L$29+1-'Historical Score'!$L$29)*(AS625*'Historical Score'!$M$29+1-'Historical Score'!$M$29)*(AQ625*'Historical Score'!$N$29+1-'Historical Score'!$N$29),0)</f>
        <v/>
      </c>
      <c r="BB625" s="3" t="n"/>
      <c r="BC625" s="3" t="n"/>
    </row>
    <row r="626" ht="15.75" customHeight="1" s="174">
      <c r="A626" s="3" t="inlineStr">
        <is>
          <t>5674178578</t>
        </is>
      </c>
      <c r="B626" s="3" t="inlineStr">
        <is>
          <t>CITI LIMOUSINE GROUP, INC.</t>
        </is>
      </c>
      <c r="C626" s="3" t="inlineStr">
        <is>
          <t>CITI LIMOUSINE GROUP, INC.</t>
        </is>
      </c>
      <c r="D626" s="3" t="inlineStr">
        <is>
          <t>Legal</t>
        </is>
      </c>
      <c r="E626" s="23" t="n">
        <v>46070</v>
      </c>
      <c r="F626" s="23" t="n">
        <v>46122</v>
      </c>
      <c r="G626" s="3" t="n">
        <v>3</v>
      </c>
      <c r="H626" s="3" t="inlineStr">
        <is>
          <t>4121</t>
        </is>
      </c>
      <c r="I626" s="3" t="inlineStr">
        <is>
          <t>41</t>
        </is>
      </c>
      <c r="J626" s="3" t="inlineStr">
        <is>
          <t>IL</t>
        </is>
      </c>
      <c r="K626" s="3" t="inlineStr">
        <is>
          <t>legacy funding llc</t>
        </is>
      </c>
      <c r="L626" s="3" t="inlineStr">
        <is>
          <t>New Deal</t>
        </is>
      </c>
      <c r="M626" s="3" t="n">
        <v>1.49</v>
      </c>
      <c r="N626" s="28" t="n">
        <v>20000</v>
      </c>
      <c r="O626" s="28" t="n">
        <v>0</v>
      </c>
      <c r="P626" s="28" t="n">
        <v>29800</v>
      </c>
      <c r="Q626" s="28" t="n">
        <v>5867.69</v>
      </c>
      <c r="R626" s="28" t="n">
        <v>23932.31</v>
      </c>
      <c r="S626" s="42" t="n">
        <v>0.196902348993289</v>
      </c>
      <c r="T626" s="3" t="n">
        <v>20</v>
      </c>
      <c r="U626" s="3" t="n">
        <v>2</v>
      </c>
      <c r="V626" s="3" t="n">
        <v>70496.03</v>
      </c>
      <c r="W626" s="42" t="n">
        <v>0.08450000000000001</v>
      </c>
      <c r="X626" s="23" t="n">
        <v>42284</v>
      </c>
      <c r="Y626" s="3">
        <f>IF(I626="","No SIC",IFERROR(VLOOKUP(I626,Ref!$A$2:$B$65,2,FALSE()),"Unclassified"))</f>
        <v/>
      </c>
      <c r="Z626" s="3">
        <f>IF(T626="","",IF(T626&lt;12,"Daily","Weekly"))</f>
        <v/>
      </c>
      <c r="AA626" s="3">
        <f>IF(T626="",0,IF(T626&lt;12,T626*Controls!$B$13,T626*5))</f>
        <v/>
      </c>
      <c r="AB626" s="3">
        <f>IF(E626="",0,NETWORKDAYS(E626,Controls!$B$20,Ref!$K$2:$K$42))</f>
        <v/>
      </c>
      <c r="AC626" s="3">
        <f>IF(OR(AF626=1,AND(AA626&gt;0,AB626&gt;=Controls!$B$23*AA626)),1,0)</f>
        <v/>
      </c>
      <c r="AD626" s="3">
        <f>IF(AND(E626&lt;&gt;"",E626&gt;=Controls!$B$21,E626&lt;=Controls!$B$22),1,0)</f>
        <v/>
      </c>
      <c r="AE626" s="3">
        <f>IF(IFERROR(VLOOKUP(D626,Controls!$A$36:$E$46,2,FALSE()),"No")="Yes",1,0)</f>
        <v/>
      </c>
      <c r="AF626" s="3">
        <f>IF(IFERROR(VLOOKUP(D626,Controls!$A$36:$E$46,3,FALSE()),"No")="Yes",1,0)</f>
        <v/>
      </c>
      <c r="AG626" s="3">
        <f>IF(IFERROR(VLOOKUP(D626,Controls!$A$36:$E$46,4,FALSE()),"No")="Yes",1,0)</f>
        <v/>
      </c>
      <c r="AH626" s="3">
        <f>IF(IFERROR(VLOOKUP(D626,Controls!$A$36:$E$46,5,FALSE()),"No")="Yes",1,0)</f>
        <v/>
      </c>
      <c r="AI626" s="3">
        <f>IF(ISNUMBER(MATCH(D626,Controls!$A$36:$A$46,0)),1,0)</f>
        <v/>
      </c>
      <c r="AJ626" s="28">
        <f>Q626-N626</f>
        <v/>
      </c>
      <c r="AK626" s="3">
        <f>IF(AE626=1,MAX(0,N626-Q626),0)</f>
        <v/>
      </c>
      <c r="AL626" s="3">
        <f>IF(OR(V626="",V626=0),0,N626/V626)</f>
        <v/>
      </c>
      <c r="AM626" s="3">
        <f>IF(OR(V626="",V626=0),0,1)</f>
        <v/>
      </c>
      <c r="AN626" s="3">
        <f>IF(OR(E626="",F626=""),0,NETWORKDAYS(E626,F626,Ref!$K$2:$K$42))</f>
        <v/>
      </c>
      <c r="AO626" s="3">
        <f>IF(L626="Renewal",1,0)</f>
        <v/>
      </c>
      <c r="AP626" s="3">
        <f>AC626*AD626</f>
        <v/>
      </c>
      <c r="AQ626" s="3">
        <f>IF(AND(G626&lt;&gt;"",'Historical Score'!$C$6&lt;&gt;""),IF(G626='Historical Score'!$C$6,1,0),0)</f>
        <v/>
      </c>
      <c r="AR626" s="3">
        <f>IF(AND(L626&lt;&gt;"",'Historical Score'!$C$5&lt;&gt;""),IF(L626='Historical Score'!$C$5,1,0),0)</f>
        <v/>
      </c>
      <c r="AS626" s="3">
        <f>IF(AND(Y626&lt;&gt;"",'Historical Score'!$C$7&lt;&gt;""),IF(Y626='Historical Score'!$C$7,1,0),0)</f>
        <v/>
      </c>
      <c r="AT626" s="3">
        <f>IF(AND(K626&lt;&gt;"",'Historical Score'!$C$8&lt;&gt;""),IF(K626='Historical Score'!$C$8,1,0),0)</f>
        <v/>
      </c>
      <c r="AU626" s="3" t="n"/>
      <c r="AV626" s="3" t="n"/>
      <c r="AW626" s="3" t="n"/>
      <c r="AX626" s="3" t="n"/>
      <c r="AY626" s="3" t="n"/>
      <c r="AZ626" s="3" t="n"/>
      <c r="BA626" s="182">
        <f>IF(AD626=1,(AR626*'Historical Score'!$K$29+1-'Historical Score'!$K$29)*(AT626*'Historical Score'!$L$29+1-'Historical Score'!$L$29)*(AS626*'Historical Score'!$M$29+1-'Historical Score'!$M$29)*(AQ626*'Historical Score'!$N$29+1-'Historical Score'!$N$29),0)</f>
        <v/>
      </c>
      <c r="BB626" s="3" t="n"/>
      <c r="BC626" s="3" t="n"/>
    </row>
    <row r="627" ht="15.75" customHeight="1" s="174">
      <c r="A627" s="3" t="inlineStr">
        <is>
          <t>5674178595</t>
        </is>
      </c>
      <c r="B627" s="3" t="inlineStr">
        <is>
          <t>HUMBLE WELLNESS LLC</t>
        </is>
      </c>
      <c r="C627" s="3" t="inlineStr">
        <is>
          <t>HUMBLE WELLNESS LLC</t>
        </is>
      </c>
      <c r="D627" s="3" t="inlineStr">
        <is>
          <t>Legal</t>
        </is>
      </c>
      <c r="E627" s="23" t="n">
        <v>46070</v>
      </c>
      <c r="F627" s="23" t="n">
        <v>46182</v>
      </c>
      <c r="G627" s="3" t="n">
        <v>3</v>
      </c>
      <c r="H627" s="3" t="inlineStr">
        <is>
          <t>7991</t>
        </is>
      </c>
      <c r="I627" s="3" t="inlineStr">
        <is>
          <t>79</t>
        </is>
      </c>
      <c r="J627" s="3" t="inlineStr">
        <is>
          <t>OH</t>
        </is>
      </c>
      <c r="K627" s="3" t="inlineStr">
        <is>
          <t>TRUSTFI</t>
        </is>
      </c>
      <c r="L627" s="3" t="inlineStr">
        <is>
          <t>New Deal</t>
        </is>
      </c>
      <c r="M627" s="3" t="n">
        <v>1.49</v>
      </c>
      <c r="N627" s="28" t="n">
        <v>35000</v>
      </c>
      <c r="O627" s="28" t="n">
        <v>0</v>
      </c>
      <c r="P627" s="28" t="n">
        <v>52150</v>
      </c>
      <c r="Q627" s="28" t="n">
        <v>4345.86</v>
      </c>
      <c r="R627" s="28" t="n">
        <v>47804.14</v>
      </c>
      <c r="S627" s="42" t="n">
        <v>0.08333384467881109</v>
      </c>
      <c r="T627" s="3" t="n">
        <v>24</v>
      </c>
      <c r="U627" s="3" t="n">
        <v>19</v>
      </c>
      <c r="V627" s="3" t="n">
        <v>55010.84</v>
      </c>
      <c r="W627" s="42" t="n">
        <v>0.158</v>
      </c>
      <c r="X627" s="23" t="n">
        <v>45383</v>
      </c>
      <c r="Y627" s="3">
        <f>IF(I627="","No SIC",IFERROR(VLOOKUP(I627,Ref!$A$2:$B$65,2,FALSE()),"Unclassified"))</f>
        <v/>
      </c>
      <c r="Z627" s="3">
        <f>IF(T627="","",IF(T627&lt;12,"Daily","Weekly"))</f>
        <v/>
      </c>
      <c r="AA627" s="3">
        <f>IF(T627="",0,IF(T627&lt;12,T627*Controls!$B$13,T627*5))</f>
        <v/>
      </c>
      <c r="AB627" s="3">
        <f>IF(E627="",0,NETWORKDAYS(E627,Controls!$B$20,Ref!$K$2:$K$42))</f>
        <v/>
      </c>
      <c r="AC627" s="3">
        <f>IF(OR(AF627=1,AND(AA627&gt;0,AB627&gt;=Controls!$B$23*AA627)),1,0)</f>
        <v/>
      </c>
      <c r="AD627" s="3">
        <f>IF(AND(E627&lt;&gt;"",E627&gt;=Controls!$B$21,E627&lt;=Controls!$B$22),1,0)</f>
        <v/>
      </c>
      <c r="AE627" s="3">
        <f>IF(IFERROR(VLOOKUP(D627,Controls!$A$36:$E$46,2,FALSE()),"No")="Yes",1,0)</f>
        <v/>
      </c>
      <c r="AF627" s="3">
        <f>IF(IFERROR(VLOOKUP(D627,Controls!$A$36:$E$46,3,FALSE()),"No")="Yes",1,0)</f>
        <v/>
      </c>
      <c r="AG627" s="3">
        <f>IF(IFERROR(VLOOKUP(D627,Controls!$A$36:$E$46,4,FALSE()),"No")="Yes",1,0)</f>
        <v/>
      </c>
      <c r="AH627" s="3">
        <f>IF(IFERROR(VLOOKUP(D627,Controls!$A$36:$E$46,5,FALSE()),"No")="Yes",1,0)</f>
        <v/>
      </c>
      <c r="AI627" s="3">
        <f>IF(ISNUMBER(MATCH(D627,Controls!$A$36:$A$46,0)),1,0)</f>
        <v/>
      </c>
      <c r="AJ627" s="28">
        <f>Q627-N627</f>
        <v/>
      </c>
      <c r="AK627" s="3">
        <f>IF(AE627=1,MAX(0,N627-Q627),0)</f>
        <v/>
      </c>
      <c r="AL627" s="3">
        <f>IF(OR(V627="",V627=0),0,N627/V627)</f>
        <v/>
      </c>
      <c r="AM627" s="3">
        <f>IF(OR(V627="",V627=0),0,1)</f>
        <v/>
      </c>
      <c r="AN627" s="3">
        <f>IF(OR(E627="",F627=""),0,NETWORKDAYS(E627,F627,Ref!$K$2:$K$42))</f>
        <v/>
      </c>
      <c r="AO627" s="3">
        <f>IF(L627="Renewal",1,0)</f>
        <v/>
      </c>
      <c r="AP627" s="3">
        <f>AC627*AD627</f>
        <v/>
      </c>
      <c r="AQ627" s="3">
        <f>IF(AND(G627&lt;&gt;"",'Historical Score'!$C$6&lt;&gt;""),IF(G627='Historical Score'!$C$6,1,0),0)</f>
        <v/>
      </c>
      <c r="AR627" s="3">
        <f>IF(AND(L627&lt;&gt;"",'Historical Score'!$C$5&lt;&gt;""),IF(L627='Historical Score'!$C$5,1,0),0)</f>
        <v/>
      </c>
      <c r="AS627" s="3">
        <f>IF(AND(Y627&lt;&gt;"",'Historical Score'!$C$7&lt;&gt;""),IF(Y627='Historical Score'!$C$7,1,0),0)</f>
        <v/>
      </c>
      <c r="AT627" s="3">
        <f>IF(AND(K627&lt;&gt;"",'Historical Score'!$C$8&lt;&gt;""),IF(K627='Historical Score'!$C$8,1,0),0)</f>
        <v/>
      </c>
      <c r="AU627" s="3" t="n"/>
      <c r="AV627" s="3" t="n"/>
      <c r="AW627" s="3" t="n"/>
      <c r="AX627" s="3" t="n"/>
      <c r="AY627" s="3" t="n"/>
      <c r="AZ627" s="3" t="n"/>
      <c r="BA627" s="182">
        <f>IF(AD627=1,(AR627*'Historical Score'!$K$29+1-'Historical Score'!$K$29)*(AT627*'Historical Score'!$L$29+1-'Historical Score'!$L$29)*(AS627*'Historical Score'!$M$29+1-'Historical Score'!$M$29)*(AQ627*'Historical Score'!$N$29+1-'Historical Score'!$N$29),0)</f>
        <v/>
      </c>
      <c r="BB627" s="3" t="n"/>
      <c r="BC627" s="3" t="n"/>
    </row>
    <row r="628" ht="15.75" customHeight="1" s="174">
      <c r="A628" s="3" t="inlineStr">
        <is>
          <t>5674178605</t>
        </is>
      </c>
      <c r="B628" s="3" t="inlineStr">
        <is>
          <t>BUFFALO'S CAFE</t>
        </is>
      </c>
      <c r="C628" s="3" t="inlineStr">
        <is>
          <t>B&amp;A HOSPITALITY OF ROME INC</t>
        </is>
      </c>
      <c r="D628" s="3" t="inlineStr">
        <is>
          <t>Legal</t>
        </is>
      </c>
      <c r="E628" s="23" t="n">
        <v>46070</v>
      </c>
      <c r="F628" s="23" t="n">
        <v>46090</v>
      </c>
      <c r="G628" s="3" t="n">
        <v>3</v>
      </c>
      <c r="H628" s="3" t="inlineStr">
        <is>
          <t>5812</t>
        </is>
      </c>
      <c r="I628" s="3" t="inlineStr">
        <is>
          <t>58</t>
        </is>
      </c>
      <c r="J628" s="3" t="inlineStr">
        <is>
          <t>GA</t>
        </is>
      </c>
      <c r="K628" s="3" t="inlineStr">
        <is>
          <t>JABSCAP</t>
        </is>
      </c>
      <c r="L628" s="3" t="inlineStr">
        <is>
          <t>New Deal</t>
        </is>
      </c>
      <c r="M628" s="3" t="n">
        <v>1.45</v>
      </c>
      <c r="N628" s="28" t="n">
        <v>20000</v>
      </c>
      <c r="O628" s="28" t="n">
        <v>0</v>
      </c>
      <c r="P628" s="28" t="n">
        <v>29000</v>
      </c>
      <c r="Q628" s="28" t="n">
        <v>3188.9</v>
      </c>
      <c r="R628" s="28" t="n">
        <v>25811.1</v>
      </c>
      <c r="S628" s="42" t="n">
        <v>0.109962068965517</v>
      </c>
      <c r="T628" s="3" t="n">
        <v>3.279</v>
      </c>
      <c r="U628" s="3" t="n">
        <v>4</v>
      </c>
      <c r="V628" s="3" t="n">
        <v>73972.82000000001</v>
      </c>
      <c r="W628" s="42" t="n">
        <v>0.0823</v>
      </c>
      <c r="X628" s="23" t="n">
        <v>45546</v>
      </c>
      <c r="Y628" s="3">
        <f>IF(I628="","No SIC",IFERROR(VLOOKUP(I628,Ref!$A$2:$B$65,2,FALSE()),"Unclassified"))</f>
        <v/>
      </c>
      <c r="Z628" s="3">
        <f>IF(T628="","",IF(T628&lt;12,"Daily","Weekly"))</f>
        <v/>
      </c>
      <c r="AA628" s="3">
        <f>IF(T628="",0,IF(T628&lt;12,T628*Controls!$B$13,T628*5))</f>
        <v/>
      </c>
      <c r="AB628" s="3">
        <f>IF(E628="",0,NETWORKDAYS(E628,Controls!$B$20,Ref!$K$2:$K$42))</f>
        <v/>
      </c>
      <c r="AC628" s="3">
        <f>IF(OR(AF628=1,AND(AA628&gt;0,AB628&gt;=Controls!$B$23*AA628)),1,0)</f>
        <v/>
      </c>
      <c r="AD628" s="3">
        <f>IF(AND(E628&lt;&gt;"",E628&gt;=Controls!$B$21,E628&lt;=Controls!$B$22),1,0)</f>
        <v/>
      </c>
      <c r="AE628" s="3">
        <f>IF(IFERROR(VLOOKUP(D628,Controls!$A$36:$E$46,2,FALSE()),"No")="Yes",1,0)</f>
        <v/>
      </c>
      <c r="AF628" s="3">
        <f>IF(IFERROR(VLOOKUP(D628,Controls!$A$36:$E$46,3,FALSE()),"No")="Yes",1,0)</f>
        <v/>
      </c>
      <c r="AG628" s="3">
        <f>IF(IFERROR(VLOOKUP(D628,Controls!$A$36:$E$46,4,FALSE()),"No")="Yes",1,0)</f>
        <v/>
      </c>
      <c r="AH628" s="3">
        <f>IF(IFERROR(VLOOKUP(D628,Controls!$A$36:$E$46,5,FALSE()),"No")="Yes",1,0)</f>
        <v/>
      </c>
      <c r="AI628" s="3">
        <f>IF(ISNUMBER(MATCH(D628,Controls!$A$36:$A$46,0)),1,0)</f>
        <v/>
      </c>
      <c r="AJ628" s="28">
        <f>Q628-N628</f>
        <v/>
      </c>
      <c r="AK628" s="3">
        <f>IF(AE628=1,MAX(0,N628-Q628),0)</f>
        <v/>
      </c>
      <c r="AL628" s="3">
        <f>IF(OR(V628="",V628=0),0,N628/V628)</f>
        <v/>
      </c>
      <c r="AM628" s="3">
        <f>IF(OR(V628="",V628=0),0,1)</f>
        <v/>
      </c>
      <c r="AN628" s="3">
        <f>IF(OR(E628="",F628=""),0,NETWORKDAYS(E628,F628,Ref!$K$2:$K$42))</f>
        <v/>
      </c>
      <c r="AO628" s="3">
        <f>IF(L628="Renewal",1,0)</f>
        <v/>
      </c>
      <c r="AP628" s="3">
        <f>AC628*AD628</f>
        <v/>
      </c>
      <c r="AQ628" s="3">
        <f>IF(AND(G628&lt;&gt;"",'Historical Score'!$C$6&lt;&gt;""),IF(G628='Historical Score'!$C$6,1,0),0)</f>
        <v/>
      </c>
      <c r="AR628" s="3">
        <f>IF(AND(L628&lt;&gt;"",'Historical Score'!$C$5&lt;&gt;""),IF(L628='Historical Score'!$C$5,1,0),0)</f>
        <v/>
      </c>
      <c r="AS628" s="3">
        <f>IF(AND(Y628&lt;&gt;"",'Historical Score'!$C$7&lt;&gt;""),IF(Y628='Historical Score'!$C$7,1,0),0)</f>
        <v/>
      </c>
      <c r="AT628" s="3">
        <f>IF(AND(K628&lt;&gt;"",'Historical Score'!$C$8&lt;&gt;""),IF(K628='Historical Score'!$C$8,1,0),0)</f>
        <v/>
      </c>
      <c r="AU628" s="3" t="n"/>
      <c r="AV628" s="3" t="n"/>
      <c r="AW628" s="3" t="n"/>
      <c r="AX628" s="3" t="n"/>
      <c r="AY628" s="3" t="n"/>
      <c r="AZ628" s="3" t="n"/>
      <c r="BA628" s="182">
        <f>IF(AD628=1,(AR628*'Historical Score'!$K$29+1-'Historical Score'!$K$29)*(AT628*'Historical Score'!$L$29+1-'Historical Score'!$L$29)*(AS628*'Historical Score'!$M$29+1-'Historical Score'!$M$29)*(AQ628*'Historical Score'!$N$29+1-'Historical Score'!$N$29),0)</f>
        <v/>
      </c>
      <c r="BB628" s="3" t="n"/>
      <c r="BC628" s="3" t="n"/>
    </row>
    <row r="629" ht="15.75" customHeight="1" s="174">
      <c r="A629" s="3" t="inlineStr">
        <is>
          <t>5674178608</t>
        </is>
      </c>
      <c r="B629" s="3" t="inlineStr">
        <is>
          <t>CJ3 Properties, LLC</t>
        </is>
      </c>
      <c r="C629" s="3" t="inlineStr">
        <is>
          <t>CJ3 Properties, LLC</t>
        </is>
      </c>
      <c r="D629" s="3" t="inlineStr">
        <is>
          <t>Open</t>
        </is>
      </c>
      <c r="E629" s="23" t="n">
        <v>46070</v>
      </c>
      <c r="F629" s="23" t="n">
        <v>46248</v>
      </c>
      <c r="G629" s="3" t="n">
        <v>3</v>
      </c>
      <c r="H629" s="3" t="inlineStr">
        <is>
          <t>1521</t>
        </is>
      </c>
      <c r="I629" s="3" t="inlineStr">
        <is>
          <t>15</t>
        </is>
      </c>
      <c r="J629" s="3" t="inlineStr">
        <is>
          <t>SC</t>
        </is>
      </c>
      <c r="K629" s="3" t="inlineStr">
        <is>
          <t>Ballicci</t>
        </is>
      </c>
      <c r="L629" s="3" t="inlineStr">
        <is>
          <t>New Deal</t>
        </is>
      </c>
      <c r="M629" s="3" t="n">
        <v>1.49</v>
      </c>
      <c r="N629" s="28" t="n">
        <v>20000</v>
      </c>
      <c r="O629" s="28" t="n">
        <v>2800</v>
      </c>
      <c r="P629" s="28" t="n">
        <v>29800</v>
      </c>
      <c r="Q629" s="28" t="n">
        <v>18924.38</v>
      </c>
      <c r="R629" s="28" t="n">
        <v>10875.62</v>
      </c>
      <c r="S629" s="42" t="n">
        <v>0.635046308724832</v>
      </c>
      <c r="T629" s="3" t="n">
        <v>20</v>
      </c>
      <c r="U629" s="3" t="n">
        <v>21</v>
      </c>
      <c r="V629" s="3" t="n">
        <v>444351.02</v>
      </c>
      <c r="W629" s="42" t="n">
        <v>0.0134</v>
      </c>
      <c r="X629" s="23" t="n">
        <v>43195</v>
      </c>
      <c r="Y629" s="3">
        <f>IF(I629="","No SIC",IFERROR(VLOOKUP(I629,Ref!$A$2:$B$65,2,FALSE()),"Unclassified"))</f>
        <v/>
      </c>
      <c r="Z629" s="3">
        <f>IF(T629="","",IF(T629&lt;12,"Daily","Weekly"))</f>
        <v/>
      </c>
      <c r="AA629" s="3">
        <f>IF(T629="",0,IF(T629&lt;12,T629*Controls!$B$13,T629*5))</f>
        <v/>
      </c>
      <c r="AB629" s="3">
        <f>IF(E629="",0,NETWORKDAYS(E629,Controls!$B$20,Ref!$K$2:$K$42))</f>
        <v/>
      </c>
      <c r="AC629" s="3">
        <f>IF(OR(AF629=1,AND(AA629&gt;0,AB629&gt;=Controls!$B$23*AA629)),1,0)</f>
        <v/>
      </c>
      <c r="AD629" s="3">
        <f>IF(AND(E629&lt;&gt;"",E629&gt;=Controls!$B$21,E629&lt;=Controls!$B$22),1,0)</f>
        <v/>
      </c>
      <c r="AE629" s="3">
        <f>IF(IFERROR(VLOOKUP(D629,Controls!$A$36:$E$46,2,FALSE()),"No")="Yes",1,0)</f>
        <v/>
      </c>
      <c r="AF629" s="3">
        <f>IF(IFERROR(VLOOKUP(D629,Controls!$A$36:$E$46,3,FALSE()),"No")="Yes",1,0)</f>
        <v/>
      </c>
      <c r="AG629" s="3">
        <f>IF(IFERROR(VLOOKUP(D629,Controls!$A$36:$E$46,4,FALSE()),"No")="Yes",1,0)</f>
        <v/>
      </c>
      <c r="AH629" s="3">
        <f>IF(IFERROR(VLOOKUP(D629,Controls!$A$36:$E$46,5,FALSE()),"No")="Yes",1,0)</f>
        <v/>
      </c>
      <c r="AI629" s="3">
        <f>IF(ISNUMBER(MATCH(D629,Controls!$A$36:$A$46,0)),1,0)</f>
        <v/>
      </c>
      <c r="AJ629" s="28">
        <f>Q629-N629</f>
        <v/>
      </c>
      <c r="AK629" s="3">
        <f>IF(AE629=1,MAX(0,N629-Q629),0)</f>
        <v/>
      </c>
      <c r="AL629" s="3">
        <f>IF(OR(V629="",V629=0),0,N629/V629)</f>
        <v/>
      </c>
      <c r="AM629" s="3">
        <f>IF(OR(V629="",V629=0),0,1)</f>
        <v/>
      </c>
      <c r="AN629" s="3">
        <f>IF(OR(E629="",F629=""),0,NETWORKDAYS(E629,F629,Ref!$K$2:$K$42))</f>
        <v/>
      </c>
      <c r="AO629" s="3">
        <f>IF(L629="Renewal",1,0)</f>
        <v/>
      </c>
      <c r="AP629" s="3">
        <f>AC629*AD629</f>
        <v/>
      </c>
      <c r="AQ629" s="3">
        <f>IF(AND(G629&lt;&gt;"",'Historical Score'!$C$6&lt;&gt;""),IF(G629='Historical Score'!$C$6,1,0),0)</f>
        <v/>
      </c>
      <c r="AR629" s="3">
        <f>IF(AND(L629&lt;&gt;"",'Historical Score'!$C$5&lt;&gt;""),IF(L629='Historical Score'!$C$5,1,0),0)</f>
        <v/>
      </c>
      <c r="AS629" s="3">
        <f>IF(AND(Y629&lt;&gt;"",'Historical Score'!$C$7&lt;&gt;""),IF(Y629='Historical Score'!$C$7,1,0),0)</f>
        <v/>
      </c>
      <c r="AT629" s="3">
        <f>IF(AND(K629&lt;&gt;"",'Historical Score'!$C$8&lt;&gt;""),IF(K629='Historical Score'!$C$8,1,0),0)</f>
        <v/>
      </c>
      <c r="AU629" s="3" t="n"/>
      <c r="AV629" s="3" t="n"/>
      <c r="AW629" s="3" t="n"/>
      <c r="AX629" s="3" t="n"/>
      <c r="AY629" s="3" t="n"/>
      <c r="AZ629" s="3" t="n"/>
      <c r="BA629" s="182">
        <f>IF(AD629=1,(AR629*'Historical Score'!$K$29+1-'Historical Score'!$K$29)*(AT629*'Historical Score'!$L$29+1-'Historical Score'!$L$29)*(AS629*'Historical Score'!$M$29+1-'Historical Score'!$M$29)*(AQ629*'Historical Score'!$N$29+1-'Historical Score'!$N$29),0)</f>
        <v/>
      </c>
      <c r="BB629" s="3" t="n"/>
      <c r="BC629" s="3" t="n"/>
    </row>
    <row r="630" ht="15.75" customHeight="1" s="174">
      <c r="A630" s="3" t="inlineStr">
        <is>
          <t>5674178625</t>
        </is>
      </c>
      <c r="B630" s="3" t="inlineStr">
        <is>
          <t>UNCLE TOMY'S ORIGINAL PIZZA</t>
        </is>
      </c>
      <c r="C630" s="3" t="inlineStr">
        <is>
          <t>27TH STREET FOOD LLC</t>
        </is>
      </c>
      <c r="D630" s="3" t="inlineStr">
        <is>
          <t>Closed</t>
        </is>
      </c>
      <c r="E630" s="23" t="n">
        <v>46070</v>
      </c>
      <c r="F630" s="23" t="n">
        <v>46155</v>
      </c>
      <c r="G630" s="3" t="n">
        <v>3</v>
      </c>
      <c r="H630" s="3" t="inlineStr">
        <is>
          <t>5812</t>
        </is>
      </c>
      <c r="I630" s="3" t="inlineStr">
        <is>
          <t>58</t>
        </is>
      </c>
      <c r="J630" s="3" t="inlineStr">
        <is>
          <t>PA</t>
        </is>
      </c>
      <c r="K630" s="3" t="inlineStr">
        <is>
          <t>United Secured Capital 8</t>
        </is>
      </c>
      <c r="L630" s="3" t="inlineStr">
        <is>
          <t>Renewal</t>
        </is>
      </c>
      <c r="M630" s="3" t="n">
        <v>1.49</v>
      </c>
      <c r="N630" s="28" t="n">
        <v>33000</v>
      </c>
      <c r="O630" s="28" t="n">
        <v>4620</v>
      </c>
      <c r="P630" s="28" t="n">
        <v>49170</v>
      </c>
      <c r="Q630" s="28" t="n">
        <v>49170</v>
      </c>
      <c r="R630" s="28" t="n">
        <v>0</v>
      </c>
      <c r="S630" s="42" t="n">
        <v>1</v>
      </c>
      <c r="T630" s="3" t="n">
        <v>3.607</v>
      </c>
      <c r="U630" s="3" t="n">
        <v>0</v>
      </c>
      <c r="V630" s="3" t="n">
        <v>55406.13</v>
      </c>
      <c r="W630" s="42" t="n">
        <v>0.1694</v>
      </c>
      <c r="X630" s="23" t="n"/>
      <c r="Y630" s="3">
        <f>IF(I630="","No SIC",IFERROR(VLOOKUP(I630,Ref!$A$2:$B$65,2,FALSE()),"Unclassified"))</f>
        <v/>
      </c>
      <c r="Z630" s="3">
        <f>IF(T630="","",IF(T630&lt;12,"Daily","Weekly"))</f>
        <v/>
      </c>
      <c r="AA630" s="3">
        <f>IF(T630="",0,IF(T630&lt;12,T630*Controls!$B$13,T630*5))</f>
        <v/>
      </c>
      <c r="AB630" s="3">
        <f>IF(E630="",0,NETWORKDAYS(E630,Controls!$B$20,Ref!$K$2:$K$42))</f>
        <v/>
      </c>
      <c r="AC630" s="3">
        <f>IF(OR(AF630=1,AND(AA630&gt;0,AB630&gt;=Controls!$B$23*AA630)),1,0)</f>
        <v/>
      </c>
      <c r="AD630" s="3">
        <f>IF(AND(E630&lt;&gt;"",E630&gt;=Controls!$B$21,E630&lt;=Controls!$B$22),1,0)</f>
        <v/>
      </c>
      <c r="AE630" s="3">
        <f>IF(IFERROR(VLOOKUP(D630,Controls!$A$36:$E$46,2,FALSE()),"No")="Yes",1,0)</f>
        <v/>
      </c>
      <c r="AF630" s="3">
        <f>IF(IFERROR(VLOOKUP(D630,Controls!$A$36:$E$46,3,FALSE()),"No")="Yes",1,0)</f>
        <v/>
      </c>
      <c r="AG630" s="3">
        <f>IF(IFERROR(VLOOKUP(D630,Controls!$A$36:$E$46,4,FALSE()),"No")="Yes",1,0)</f>
        <v/>
      </c>
      <c r="AH630" s="3">
        <f>IF(IFERROR(VLOOKUP(D630,Controls!$A$36:$E$46,5,FALSE()),"No")="Yes",1,0)</f>
        <v/>
      </c>
      <c r="AI630" s="3">
        <f>IF(ISNUMBER(MATCH(D630,Controls!$A$36:$A$46,0)),1,0)</f>
        <v/>
      </c>
      <c r="AJ630" s="28">
        <f>Q630-N630</f>
        <v/>
      </c>
      <c r="AK630" s="3">
        <f>IF(AE630=1,MAX(0,N630-Q630),0)</f>
        <v/>
      </c>
      <c r="AL630" s="3">
        <f>IF(OR(V630="",V630=0),0,N630/V630)</f>
        <v/>
      </c>
      <c r="AM630" s="3">
        <f>IF(OR(V630="",V630=0),0,1)</f>
        <v/>
      </c>
      <c r="AN630" s="3">
        <f>IF(OR(E630="",F630=""),0,NETWORKDAYS(E630,F630,Ref!$K$2:$K$42))</f>
        <v/>
      </c>
      <c r="AO630" s="3">
        <f>IF(L630="Renewal",1,0)</f>
        <v/>
      </c>
      <c r="AP630" s="3">
        <f>AC630*AD630</f>
        <v/>
      </c>
      <c r="AQ630" s="3">
        <f>IF(AND(G630&lt;&gt;"",'Historical Score'!$C$6&lt;&gt;""),IF(G630='Historical Score'!$C$6,1,0),0)</f>
        <v/>
      </c>
      <c r="AR630" s="3">
        <f>IF(AND(L630&lt;&gt;"",'Historical Score'!$C$5&lt;&gt;""),IF(L630='Historical Score'!$C$5,1,0),0)</f>
        <v/>
      </c>
      <c r="AS630" s="3">
        <f>IF(AND(Y630&lt;&gt;"",'Historical Score'!$C$7&lt;&gt;""),IF(Y630='Historical Score'!$C$7,1,0),0)</f>
        <v/>
      </c>
      <c r="AT630" s="3">
        <f>IF(AND(K630&lt;&gt;"",'Historical Score'!$C$8&lt;&gt;""),IF(K630='Historical Score'!$C$8,1,0),0)</f>
        <v/>
      </c>
      <c r="AU630" s="3" t="n"/>
      <c r="AV630" s="3" t="n"/>
      <c r="AW630" s="3" t="n"/>
      <c r="AX630" s="3" t="n"/>
      <c r="AY630" s="3" t="n"/>
      <c r="AZ630" s="3" t="n"/>
      <c r="BA630" s="182">
        <f>IF(AD630=1,(AR630*'Historical Score'!$K$29+1-'Historical Score'!$K$29)*(AT630*'Historical Score'!$L$29+1-'Historical Score'!$L$29)*(AS630*'Historical Score'!$M$29+1-'Historical Score'!$M$29)*(AQ630*'Historical Score'!$N$29+1-'Historical Score'!$N$29),0)</f>
        <v/>
      </c>
      <c r="BB630" s="3" t="n"/>
      <c r="BC630" s="3" t="n"/>
    </row>
    <row r="631" ht="15.75" customHeight="1" s="174">
      <c r="A631" s="3" t="inlineStr">
        <is>
          <t>5674178629</t>
        </is>
      </c>
      <c r="B631" s="3" t="inlineStr">
        <is>
          <t>THE TAMPA BAY COLLARD GREEN FESTIVAL INC</t>
        </is>
      </c>
      <c r="C631" s="3" t="inlineStr">
        <is>
          <t>THE TAMPA BAY COLLARD GREEN FESTIVAL INC</t>
        </is>
      </c>
      <c r="D631" s="3" t="inlineStr">
        <is>
          <t>Legal</t>
        </is>
      </c>
      <c r="E631" s="23" t="n">
        <v>46070</v>
      </c>
      <c r="F631" s="23" t="n">
        <v>46118</v>
      </c>
      <c r="G631" s="3" t="n">
        <v>3</v>
      </c>
      <c r="H631" s="3" t="inlineStr">
        <is>
          <t>5812</t>
        </is>
      </c>
      <c r="I631" s="3" t="inlineStr">
        <is>
          <t>58</t>
        </is>
      </c>
      <c r="J631" s="3" t="inlineStr">
        <is>
          <t>FL</t>
        </is>
      </c>
      <c r="K631" s="3" t="inlineStr">
        <is>
          <t>Fidelity Funding</t>
        </is>
      </c>
      <c r="L631" s="3" t="inlineStr">
        <is>
          <t>New Deal</t>
        </is>
      </c>
      <c r="M631" s="3" t="n">
        <v>1.49</v>
      </c>
      <c r="N631" s="28" t="n">
        <v>10000</v>
      </c>
      <c r="O631" s="28" t="n">
        <v>0</v>
      </c>
      <c r="P631" s="28" t="n">
        <v>14900</v>
      </c>
      <c r="Q631" s="28" t="n">
        <v>2084.04</v>
      </c>
      <c r="R631" s="28" t="n">
        <v>12815.96</v>
      </c>
      <c r="S631" s="42" t="n">
        <v>0.139868456375839</v>
      </c>
      <c r="T631" s="3" t="n">
        <v>3.279</v>
      </c>
      <c r="U631" s="3" t="n">
        <v>19</v>
      </c>
      <c r="V631" s="3" t="n">
        <v>97305.75999999999</v>
      </c>
      <c r="W631" s="42" t="n">
        <v>0.037</v>
      </c>
      <c r="X631" s="23" t="n">
        <v>42942</v>
      </c>
      <c r="Y631" s="3">
        <f>IF(I631="","No SIC",IFERROR(VLOOKUP(I631,Ref!$A$2:$B$65,2,FALSE()),"Unclassified"))</f>
        <v/>
      </c>
      <c r="Z631" s="3">
        <f>IF(T631="","",IF(T631&lt;12,"Daily","Weekly"))</f>
        <v/>
      </c>
      <c r="AA631" s="3">
        <f>IF(T631="",0,IF(T631&lt;12,T631*Controls!$B$13,T631*5))</f>
        <v/>
      </c>
      <c r="AB631" s="3">
        <f>IF(E631="",0,NETWORKDAYS(E631,Controls!$B$20,Ref!$K$2:$K$42))</f>
        <v/>
      </c>
      <c r="AC631" s="3">
        <f>IF(OR(AF631=1,AND(AA631&gt;0,AB631&gt;=Controls!$B$23*AA631)),1,0)</f>
        <v/>
      </c>
      <c r="AD631" s="3">
        <f>IF(AND(E631&lt;&gt;"",E631&gt;=Controls!$B$21,E631&lt;=Controls!$B$22),1,0)</f>
        <v/>
      </c>
      <c r="AE631" s="3">
        <f>IF(IFERROR(VLOOKUP(D631,Controls!$A$36:$E$46,2,FALSE()),"No")="Yes",1,0)</f>
        <v/>
      </c>
      <c r="AF631" s="3">
        <f>IF(IFERROR(VLOOKUP(D631,Controls!$A$36:$E$46,3,FALSE()),"No")="Yes",1,0)</f>
        <v/>
      </c>
      <c r="AG631" s="3">
        <f>IF(IFERROR(VLOOKUP(D631,Controls!$A$36:$E$46,4,FALSE()),"No")="Yes",1,0)</f>
        <v/>
      </c>
      <c r="AH631" s="3">
        <f>IF(IFERROR(VLOOKUP(D631,Controls!$A$36:$E$46,5,FALSE()),"No")="Yes",1,0)</f>
        <v/>
      </c>
      <c r="AI631" s="3">
        <f>IF(ISNUMBER(MATCH(D631,Controls!$A$36:$A$46,0)),1,0)</f>
        <v/>
      </c>
      <c r="AJ631" s="28">
        <f>Q631-N631</f>
        <v/>
      </c>
      <c r="AK631" s="3">
        <f>IF(AE631=1,MAX(0,N631-Q631),0)</f>
        <v/>
      </c>
      <c r="AL631" s="3">
        <f>IF(OR(V631="",V631=0),0,N631/V631)</f>
        <v/>
      </c>
      <c r="AM631" s="3">
        <f>IF(OR(V631="",V631=0),0,1)</f>
        <v/>
      </c>
      <c r="AN631" s="3">
        <f>IF(OR(E631="",F631=""),0,NETWORKDAYS(E631,F631,Ref!$K$2:$K$42))</f>
        <v/>
      </c>
      <c r="AO631" s="3">
        <f>IF(L631="Renewal",1,0)</f>
        <v/>
      </c>
      <c r="AP631" s="3">
        <f>AC631*AD631</f>
        <v/>
      </c>
      <c r="AQ631" s="3">
        <f>IF(AND(G631&lt;&gt;"",'Historical Score'!$C$6&lt;&gt;""),IF(G631='Historical Score'!$C$6,1,0),0)</f>
        <v/>
      </c>
      <c r="AR631" s="3">
        <f>IF(AND(L631&lt;&gt;"",'Historical Score'!$C$5&lt;&gt;""),IF(L631='Historical Score'!$C$5,1,0),0)</f>
        <v/>
      </c>
      <c r="AS631" s="3">
        <f>IF(AND(Y631&lt;&gt;"",'Historical Score'!$C$7&lt;&gt;""),IF(Y631='Historical Score'!$C$7,1,0),0)</f>
        <v/>
      </c>
      <c r="AT631" s="3">
        <f>IF(AND(K631&lt;&gt;"",'Historical Score'!$C$8&lt;&gt;""),IF(K631='Historical Score'!$C$8,1,0),0)</f>
        <v/>
      </c>
      <c r="AU631" s="3" t="n"/>
      <c r="AV631" s="3" t="n"/>
      <c r="AW631" s="3" t="n"/>
      <c r="AX631" s="3" t="n"/>
      <c r="AY631" s="3" t="n"/>
      <c r="AZ631" s="3" t="n"/>
      <c r="BA631" s="182">
        <f>IF(AD631=1,(AR631*'Historical Score'!$K$29+1-'Historical Score'!$K$29)*(AT631*'Historical Score'!$L$29+1-'Historical Score'!$L$29)*(AS631*'Historical Score'!$M$29+1-'Historical Score'!$M$29)*(AQ631*'Historical Score'!$N$29+1-'Historical Score'!$N$29),0)</f>
        <v/>
      </c>
      <c r="BB631" s="3" t="n"/>
      <c r="BC631" s="3" t="n"/>
    </row>
    <row r="632" ht="15.75" customHeight="1" s="174">
      <c r="A632" s="3" t="inlineStr">
        <is>
          <t>5674178655</t>
        </is>
      </c>
      <c r="B632" s="3" t="inlineStr">
        <is>
          <t>BARBERIA CALLE LOIZA VILLA CAROLINA</t>
        </is>
      </c>
      <c r="C632" s="3" t="inlineStr">
        <is>
          <t>ROBERTO ROLON DELGADO</t>
        </is>
      </c>
      <c r="D632" s="3" t="inlineStr">
        <is>
          <t>Closed</t>
        </is>
      </c>
      <c r="E632" s="23" t="n">
        <v>46070</v>
      </c>
      <c r="F632" s="23" t="n">
        <v>46169</v>
      </c>
      <c r="G632" s="3" t="n">
        <v>3</v>
      </c>
      <c r="H632" s="3" t="inlineStr">
        <is>
          <t>7241</t>
        </is>
      </c>
      <c r="I632" s="3" t="inlineStr">
        <is>
          <t>72</t>
        </is>
      </c>
      <c r="J632" s="3" t="inlineStr">
        <is>
          <t>PR</t>
        </is>
      </c>
      <c r="K632" s="3" t="inlineStr">
        <is>
          <t>Siriux internacional corp</t>
        </is>
      </c>
      <c r="L632" s="3" t="inlineStr">
        <is>
          <t>Renewal</t>
        </is>
      </c>
      <c r="M632" s="3" t="n">
        <v>1.49</v>
      </c>
      <c r="N632" s="28" t="n">
        <v>10000</v>
      </c>
      <c r="O632" s="28" t="n">
        <v>1400</v>
      </c>
      <c r="P632" s="28" t="n">
        <v>14900</v>
      </c>
      <c r="Q632" s="28" t="n">
        <v>14900</v>
      </c>
      <c r="R632" s="28" t="n">
        <v>0</v>
      </c>
      <c r="S632" s="42" t="n">
        <v>1</v>
      </c>
      <c r="T632" s="3" t="n">
        <v>2.951</v>
      </c>
      <c r="U632" s="3" t="n">
        <v>0</v>
      </c>
      <c r="V632" s="3" t="n">
        <v>14958.77</v>
      </c>
      <c r="W632" s="42" t="n">
        <v>0.2324</v>
      </c>
      <c r="X632" s="23" t="n">
        <v>42309</v>
      </c>
      <c r="Y632" s="3">
        <f>IF(I632="","No SIC",IFERROR(VLOOKUP(I632,Ref!$A$2:$B$65,2,FALSE()),"Unclassified"))</f>
        <v/>
      </c>
      <c r="Z632" s="3">
        <f>IF(T632="","",IF(T632&lt;12,"Daily","Weekly"))</f>
        <v/>
      </c>
      <c r="AA632" s="3">
        <f>IF(T632="",0,IF(T632&lt;12,T632*Controls!$B$13,T632*5))</f>
        <v/>
      </c>
      <c r="AB632" s="3">
        <f>IF(E632="",0,NETWORKDAYS(E632,Controls!$B$20,Ref!$K$2:$K$42))</f>
        <v/>
      </c>
      <c r="AC632" s="3">
        <f>IF(OR(AF632=1,AND(AA632&gt;0,AB632&gt;=Controls!$B$23*AA632)),1,0)</f>
        <v/>
      </c>
      <c r="AD632" s="3">
        <f>IF(AND(E632&lt;&gt;"",E632&gt;=Controls!$B$21,E632&lt;=Controls!$B$22),1,0)</f>
        <v/>
      </c>
      <c r="AE632" s="3">
        <f>IF(IFERROR(VLOOKUP(D632,Controls!$A$36:$E$46,2,FALSE()),"No")="Yes",1,0)</f>
        <v/>
      </c>
      <c r="AF632" s="3">
        <f>IF(IFERROR(VLOOKUP(D632,Controls!$A$36:$E$46,3,FALSE()),"No")="Yes",1,0)</f>
        <v/>
      </c>
      <c r="AG632" s="3">
        <f>IF(IFERROR(VLOOKUP(D632,Controls!$A$36:$E$46,4,FALSE()),"No")="Yes",1,0)</f>
        <v/>
      </c>
      <c r="AH632" s="3">
        <f>IF(IFERROR(VLOOKUP(D632,Controls!$A$36:$E$46,5,FALSE()),"No")="Yes",1,0)</f>
        <v/>
      </c>
      <c r="AI632" s="3">
        <f>IF(ISNUMBER(MATCH(D632,Controls!$A$36:$A$46,0)),1,0)</f>
        <v/>
      </c>
      <c r="AJ632" s="28">
        <f>Q632-N632</f>
        <v/>
      </c>
      <c r="AK632" s="3">
        <f>IF(AE632=1,MAX(0,N632-Q632),0)</f>
        <v/>
      </c>
      <c r="AL632" s="3">
        <f>IF(OR(V632="",V632=0),0,N632/V632)</f>
        <v/>
      </c>
      <c r="AM632" s="3">
        <f>IF(OR(V632="",V632=0),0,1)</f>
        <v/>
      </c>
      <c r="AN632" s="3">
        <f>IF(OR(E632="",F632=""),0,NETWORKDAYS(E632,F632,Ref!$K$2:$K$42))</f>
        <v/>
      </c>
      <c r="AO632" s="3">
        <f>IF(L632="Renewal",1,0)</f>
        <v/>
      </c>
      <c r="AP632" s="3">
        <f>AC632*AD632</f>
        <v/>
      </c>
      <c r="AQ632" s="3">
        <f>IF(AND(G632&lt;&gt;"",'Historical Score'!$C$6&lt;&gt;""),IF(G632='Historical Score'!$C$6,1,0),0)</f>
        <v/>
      </c>
      <c r="AR632" s="3">
        <f>IF(AND(L632&lt;&gt;"",'Historical Score'!$C$5&lt;&gt;""),IF(L632='Historical Score'!$C$5,1,0),0)</f>
        <v/>
      </c>
      <c r="AS632" s="3">
        <f>IF(AND(Y632&lt;&gt;"",'Historical Score'!$C$7&lt;&gt;""),IF(Y632='Historical Score'!$C$7,1,0),0)</f>
        <v/>
      </c>
      <c r="AT632" s="3">
        <f>IF(AND(K632&lt;&gt;"",'Historical Score'!$C$8&lt;&gt;""),IF(K632='Historical Score'!$C$8,1,0),0)</f>
        <v/>
      </c>
      <c r="AU632" s="3" t="n"/>
      <c r="AV632" s="3" t="n"/>
      <c r="AW632" s="3" t="n"/>
      <c r="AX632" s="3" t="n"/>
      <c r="AY632" s="3" t="n"/>
      <c r="AZ632" s="3" t="n"/>
      <c r="BA632" s="182">
        <f>IF(AD632=1,(AR632*'Historical Score'!$K$29+1-'Historical Score'!$K$29)*(AT632*'Historical Score'!$L$29+1-'Historical Score'!$L$29)*(AS632*'Historical Score'!$M$29+1-'Historical Score'!$M$29)*(AQ632*'Historical Score'!$N$29+1-'Historical Score'!$N$29),0)</f>
        <v/>
      </c>
      <c r="BB632" s="3" t="n"/>
      <c r="BC632" s="3" t="n"/>
    </row>
    <row r="633" ht="15.75" customHeight="1" s="174">
      <c r="A633" s="3" t="inlineStr">
        <is>
          <t>5674178663</t>
        </is>
      </c>
      <c r="B633" s="3" t="inlineStr">
        <is>
          <t>CORNUCOPIA FARMS LLC</t>
        </is>
      </c>
      <c r="C633" s="3" t="inlineStr">
        <is>
          <t>CORNUCOPIA FARMS LLC</t>
        </is>
      </c>
      <c r="D633" s="3" t="inlineStr">
        <is>
          <t>Closed</t>
        </is>
      </c>
      <c r="E633" s="23" t="n">
        <v>46071</v>
      </c>
      <c r="F633" s="23" t="n">
        <v>46135</v>
      </c>
      <c r="G633" s="3" t="n">
        <v>3</v>
      </c>
      <c r="H633" s="3" t="inlineStr">
        <is>
          <t>5812</t>
        </is>
      </c>
      <c r="I633" s="3" t="inlineStr">
        <is>
          <t>58</t>
        </is>
      </c>
      <c r="J633" s="3" t="inlineStr">
        <is>
          <t>GA</t>
        </is>
      </c>
      <c r="K633" s="3" t="inlineStr">
        <is>
          <t>United Secured Capital 8</t>
        </is>
      </c>
      <c r="L633" s="3" t="inlineStr">
        <is>
          <t>New Deal</t>
        </is>
      </c>
      <c r="M633" s="3" t="n">
        <v>1.49</v>
      </c>
      <c r="N633" s="28" t="n">
        <v>25000</v>
      </c>
      <c r="O633" s="28" t="n">
        <v>3500</v>
      </c>
      <c r="P633" s="28" t="n">
        <v>37250</v>
      </c>
      <c r="Q633" s="28" t="n">
        <v>37250</v>
      </c>
      <c r="R633" s="28" t="n">
        <v>0</v>
      </c>
      <c r="S633" s="42" t="n">
        <v>1</v>
      </c>
      <c r="T633" s="3" t="n">
        <v>3.607</v>
      </c>
      <c r="U633" s="3" t="n">
        <v>3</v>
      </c>
      <c r="V633" s="3" t="n">
        <v>80000</v>
      </c>
      <c r="W633" s="42" t="n">
        <v>0.0912</v>
      </c>
      <c r="X633" s="23" t="n"/>
      <c r="Y633" s="3">
        <f>IF(I633="","No SIC",IFERROR(VLOOKUP(I633,Ref!$A$2:$B$65,2,FALSE()),"Unclassified"))</f>
        <v/>
      </c>
      <c r="Z633" s="3">
        <f>IF(T633="","",IF(T633&lt;12,"Daily","Weekly"))</f>
        <v/>
      </c>
      <c r="AA633" s="3">
        <f>IF(T633="",0,IF(T633&lt;12,T633*Controls!$B$13,T633*5))</f>
        <v/>
      </c>
      <c r="AB633" s="3">
        <f>IF(E633="",0,NETWORKDAYS(E633,Controls!$B$20,Ref!$K$2:$K$42))</f>
        <v/>
      </c>
      <c r="AC633" s="3">
        <f>IF(OR(AF633=1,AND(AA633&gt;0,AB633&gt;=Controls!$B$23*AA633)),1,0)</f>
        <v/>
      </c>
      <c r="AD633" s="3">
        <f>IF(AND(E633&lt;&gt;"",E633&gt;=Controls!$B$21,E633&lt;=Controls!$B$22),1,0)</f>
        <v/>
      </c>
      <c r="AE633" s="3">
        <f>IF(IFERROR(VLOOKUP(D633,Controls!$A$36:$E$46,2,FALSE()),"No")="Yes",1,0)</f>
        <v/>
      </c>
      <c r="AF633" s="3">
        <f>IF(IFERROR(VLOOKUP(D633,Controls!$A$36:$E$46,3,FALSE()),"No")="Yes",1,0)</f>
        <v/>
      </c>
      <c r="AG633" s="3">
        <f>IF(IFERROR(VLOOKUP(D633,Controls!$A$36:$E$46,4,FALSE()),"No")="Yes",1,0)</f>
        <v/>
      </c>
      <c r="AH633" s="3">
        <f>IF(IFERROR(VLOOKUP(D633,Controls!$A$36:$E$46,5,FALSE()),"No")="Yes",1,0)</f>
        <v/>
      </c>
      <c r="AI633" s="3">
        <f>IF(ISNUMBER(MATCH(D633,Controls!$A$36:$A$46,0)),1,0)</f>
        <v/>
      </c>
      <c r="AJ633" s="28">
        <f>Q633-N633</f>
        <v/>
      </c>
      <c r="AK633" s="3">
        <f>IF(AE633=1,MAX(0,N633-Q633),0)</f>
        <v/>
      </c>
      <c r="AL633" s="3">
        <f>IF(OR(V633="",V633=0),0,N633/V633)</f>
        <v/>
      </c>
      <c r="AM633" s="3">
        <f>IF(OR(V633="",V633=0),0,1)</f>
        <v/>
      </c>
      <c r="AN633" s="3">
        <f>IF(OR(E633="",F633=""),0,NETWORKDAYS(E633,F633,Ref!$K$2:$K$42))</f>
        <v/>
      </c>
      <c r="AO633" s="3">
        <f>IF(L633="Renewal",1,0)</f>
        <v/>
      </c>
      <c r="AP633" s="3">
        <f>AC633*AD633</f>
        <v/>
      </c>
      <c r="AQ633" s="3">
        <f>IF(AND(G633&lt;&gt;"",'Historical Score'!$C$6&lt;&gt;""),IF(G633='Historical Score'!$C$6,1,0),0)</f>
        <v/>
      </c>
      <c r="AR633" s="3">
        <f>IF(AND(L633&lt;&gt;"",'Historical Score'!$C$5&lt;&gt;""),IF(L633='Historical Score'!$C$5,1,0),0)</f>
        <v/>
      </c>
      <c r="AS633" s="3">
        <f>IF(AND(Y633&lt;&gt;"",'Historical Score'!$C$7&lt;&gt;""),IF(Y633='Historical Score'!$C$7,1,0),0)</f>
        <v/>
      </c>
      <c r="AT633" s="3">
        <f>IF(AND(K633&lt;&gt;"",'Historical Score'!$C$8&lt;&gt;""),IF(K633='Historical Score'!$C$8,1,0),0)</f>
        <v/>
      </c>
      <c r="AU633" s="3" t="n"/>
      <c r="AV633" s="3" t="n"/>
      <c r="AW633" s="3" t="n"/>
      <c r="AX633" s="3" t="n"/>
      <c r="AY633" s="3" t="n"/>
      <c r="AZ633" s="3" t="n"/>
      <c r="BA633" s="182">
        <f>IF(AD633=1,(AR633*'Historical Score'!$K$29+1-'Historical Score'!$K$29)*(AT633*'Historical Score'!$L$29+1-'Historical Score'!$L$29)*(AS633*'Historical Score'!$M$29+1-'Historical Score'!$M$29)*(AQ633*'Historical Score'!$N$29+1-'Historical Score'!$N$29),0)</f>
        <v/>
      </c>
      <c r="BB633" s="3" t="n"/>
      <c r="BC633" s="3" t="n"/>
    </row>
    <row r="634" ht="15.75" customHeight="1" s="174">
      <c r="A634" s="3" t="inlineStr">
        <is>
          <t>5674178677</t>
        </is>
      </c>
      <c r="B634" s="3" t="inlineStr">
        <is>
          <t>EAGLE MEDICAL MANAGEMENT INC</t>
        </is>
      </c>
      <c r="C634" s="3" t="inlineStr">
        <is>
          <t>EAGLE MEDICAL MANAGEMENT INC</t>
        </is>
      </c>
      <c r="D634" s="3" t="inlineStr">
        <is>
          <t>Open</t>
        </is>
      </c>
      <c r="E634" s="23" t="n">
        <v>46071</v>
      </c>
      <c r="F634" s="23" t="n">
        <v>46247</v>
      </c>
      <c r="G634" s="3" t="n">
        <v>3</v>
      </c>
      <c r="H634" s="3" t="inlineStr">
        <is>
          <t>8011</t>
        </is>
      </c>
      <c r="I634" s="3" t="inlineStr">
        <is>
          <t>80</t>
        </is>
      </c>
      <c r="J634" s="3" t="inlineStr">
        <is>
          <t>FL</t>
        </is>
      </c>
      <c r="K634" s="3" t="inlineStr">
        <is>
          <t>United Secured Capital 8</t>
        </is>
      </c>
      <c r="L634" s="3" t="inlineStr">
        <is>
          <t>Renewal</t>
        </is>
      </c>
      <c r="M634" s="3" t="n">
        <v>1.45</v>
      </c>
      <c r="N634" s="28" t="n">
        <v>45000</v>
      </c>
      <c r="O634" s="28" t="n">
        <v>5400</v>
      </c>
      <c r="P634" s="28" t="n">
        <v>65250</v>
      </c>
      <c r="Q634" s="28" t="n">
        <v>36721.44</v>
      </c>
      <c r="R634" s="28" t="n">
        <v>28528.56</v>
      </c>
      <c r="S634" s="42" t="n">
        <v>0.562780689655173</v>
      </c>
      <c r="T634" s="3" t="n">
        <v>32</v>
      </c>
      <c r="U634" s="3" t="n">
        <v>0</v>
      </c>
      <c r="V634" s="3" t="n">
        <v>151117.26</v>
      </c>
      <c r="W634" s="42" t="n">
        <v>0.054</v>
      </c>
      <c r="X634" s="23" t="n">
        <v>36749</v>
      </c>
      <c r="Y634" s="3">
        <f>IF(I634="","No SIC",IFERROR(VLOOKUP(I634,Ref!$A$2:$B$65,2,FALSE()),"Unclassified"))</f>
        <v/>
      </c>
      <c r="Z634" s="3">
        <f>IF(T634="","",IF(T634&lt;12,"Daily","Weekly"))</f>
        <v/>
      </c>
      <c r="AA634" s="3">
        <f>IF(T634="",0,IF(T634&lt;12,T634*Controls!$B$13,T634*5))</f>
        <v/>
      </c>
      <c r="AB634" s="3">
        <f>IF(E634="",0,NETWORKDAYS(E634,Controls!$B$20,Ref!$K$2:$K$42))</f>
        <v/>
      </c>
      <c r="AC634" s="3">
        <f>IF(OR(AF634=1,AND(AA634&gt;0,AB634&gt;=Controls!$B$23*AA634)),1,0)</f>
        <v/>
      </c>
      <c r="AD634" s="3">
        <f>IF(AND(E634&lt;&gt;"",E634&gt;=Controls!$B$21,E634&lt;=Controls!$B$22),1,0)</f>
        <v/>
      </c>
      <c r="AE634" s="3">
        <f>IF(IFERROR(VLOOKUP(D634,Controls!$A$36:$E$46,2,FALSE()),"No")="Yes",1,0)</f>
        <v/>
      </c>
      <c r="AF634" s="3">
        <f>IF(IFERROR(VLOOKUP(D634,Controls!$A$36:$E$46,3,FALSE()),"No")="Yes",1,0)</f>
        <v/>
      </c>
      <c r="AG634" s="3">
        <f>IF(IFERROR(VLOOKUP(D634,Controls!$A$36:$E$46,4,FALSE()),"No")="Yes",1,0)</f>
        <v/>
      </c>
      <c r="AH634" s="3">
        <f>IF(IFERROR(VLOOKUP(D634,Controls!$A$36:$E$46,5,FALSE()),"No")="Yes",1,0)</f>
        <v/>
      </c>
      <c r="AI634" s="3">
        <f>IF(ISNUMBER(MATCH(D634,Controls!$A$36:$A$46,0)),1,0)</f>
        <v/>
      </c>
      <c r="AJ634" s="28">
        <f>Q634-N634</f>
        <v/>
      </c>
      <c r="AK634" s="3">
        <f>IF(AE634=1,MAX(0,N634-Q634),0)</f>
        <v/>
      </c>
      <c r="AL634" s="3">
        <f>IF(OR(V634="",V634=0),0,N634/V634)</f>
        <v/>
      </c>
      <c r="AM634" s="3">
        <f>IF(OR(V634="",V634=0),0,1)</f>
        <v/>
      </c>
      <c r="AN634" s="3">
        <f>IF(OR(E634="",F634=""),0,NETWORKDAYS(E634,F634,Ref!$K$2:$K$42))</f>
        <v/>
      </c>
      <c r="AO634" s="3">
        <f>IF(L634="Renewal",1,0)</f>
        <v/>
      </c>
      <c r="AP634" s="3">
        <f>AC634*AD634</f>
        <v/>
      </c>
      <c r="AQ634" s="3">
        <f>IF(AND(G634&lt;&gt;"",'Historical Score'!$C$6&lt;&gt;""),IF(G634='Historical Score'!$C$6,1,0),0)</f>
        <v/>
      </c>
      <c r="AR634" s="3">
        <f>IF(AND(L634&lt;&gt;"",'Historical Score'!$C$5&lt;&gt;""),IF(L634='Historical Score'!$C$5,1,0),0)</f>
        <v/>
      </c>
      <c r="AS634" s="3">
        <f>IF(AND(Y634&lt;&gt;"",'Historical Score'!$C$7&lt;&gt;""),IF(Y634='Historical Score'!$C$7,1,0),0)</f>
        <v/>
      </c>
      <c r="AT634" s="3">
        <f>IF(AND(K634&lt;&gt;"",'Historical Score'!$C$8&lt;&gt;""),IF(K634='Historical Score'!$C$8,1,0),0)</f>
        <v/>
      </c>
      <c r="AU634" s="3" t="n"/>
      <c r="AV634" s="3" t="n"/>
      <c r="AW634" s="3" t="n"/>
      <c r="AX634" s="3" t="n"/>
      <c r="AY634" s="3" t="n"/>
      <c r="AZ634" s="3" t="n"/>
      <c r="BA634" s="182">
        <f>IF(AD634=1,(AR634*'Historical Score'!$K$29+1-'Historical Score'!$K$29)*(AT634*'Historical Score'!$L$29+1-'Historical Score'!$L$29)*(AS634*'Historical Score'!$M$29+1-'Historical Score'!$M$29)*(AQ634*'Historical Score'!$N$29+1-'Historical Score'!$N$29),0)</f>
        <v/>
      </c>
      <c r="BB634" s="3" t="n"/>
      <c r="BC634" s="3" t="n"/>
    </row>
    <row r="635" ht="15.75" customHeight="1" s="174">
      <c r="A635" s="3" t="inlineStr">
        <is>
          <t>5674178697</t>
        </is>
      </c>
      <c r="B635" s="3" t="inlineStr">
        <is>
          <t>All inclusive service station Corp</t>
        </is>
      </c>
      <c r="C635" s="3" t="inlineStr">
        <is>
          <t>All inclusive service station Corp</t>
        </is>
      </c>
      <c r="D635" s="3" t="inlineStr">
        <is>
          <t>Closed</t>
        </is>
      </c>
      <c r="E635" s="23" t="n">
        <v>46071</v>
      </c>
      <c r="F635" s="23" t="n">
        <v>46128</v>
      </c>
      <c r="G635" s="3" t="n">
        <v>3</v>
      </c>
      <c r="H635" s="3" t="inlineStr">
        <is>
          <t>5541</t>
        </is>
      </c>
      <c r="I635" s="3" t="inlineStr">
        <is>
          <t>55</t>
        </is>
      </c>
      <c r="J635" s="3" t="inlineStr">
        <is>
          <t>PR</t>
        </is>
      </c>
      <c r="K635" s="3" t="inlineStr">
        <is>
          <t>ontime cap</t>
        </is>
      </c>
      <c r="L635" s="3" t="inlineStr">
        <is>
          <t>New Deal</t>
        </is>
      </c>
      <c r="M635" s="3" t="n">
        <v>1.49</v>
      </c>
      <c r="N635" s="28" t="n">
        <v>40000</v>
      </c>
      <c r="O635" s="28" t="n">
        <v>5600</v>
      </c>
      <c r="P635" s="28" t="n">
        <v>59600</v>
      </c>
      <c r="Q635" s="28" t="n">
        <v>59600</v>
      </c>
      <c r="R635" s="28" t="n">
        <v>0</v>
      </c>
      <c r="S635" s="42" t="n">
        <v>1</v>
      </c>
      <c r="T635" s="3" t="n">
        <v>1.967</v>
      </c>
      <c r="U635" s="3" t="n">
        <v>0</v>
      </c>
      <c r="V635" s="3" t="n">
        <v>377319.5</v>
      </c>
      <c r="W635" s="42" t="n">
        <v>0.0553</v>
      </c>
      <c r="X635" s="23" t="n">
        <v>42535</v>
      </c>
      <c r="Y635" s="3">
        <f>IF(I635="","No SIC",IFERROR(VLOOKUP(I635,Ref!$A$2:$B$65,2,FALSE()),"Unclassified"))</f>
        <v/>
      </c>
      <c r="Z635" s="3">
        <f>IF(T635="","",IF(T635&lt;12,"Daily","Weekly"))</f>
        <v/>
      </c>
      <c r="AA635" s="3">
        <f>IF(T635="",0,IF(T635&lt;12,T635*Controls!$B$13,T635*5))</f>
        <v/>
      </c>
      <c r="AB635" s="3">
        <f>IF(E635="",0,NETWORKDAYS(E635,Controls!$B$20,Ref!$K$2:$K$42))</f>
        <v/>
      </c>
      <c r="AC635" s="3">
        <f>IF(OR(AF635=1,AND(AA635&gt;0,AB635&gt;=Controls!$B$23*AA635)),1,0)</f>
        <v/>
      </c>
      <c r="AD635" s="3">
        <f>IF(AND(E635&lt;&gt;"",E635&gt;=Controls!$B$21,E635&lt;=Controls!$B$22),1,0)</f>
        <v/>
      </c>
      <c r="AE635" s="3">
        <f>IF(IFERROR(VLOOKUP(D635,Controls!$A$36:$E$46,2,FALSE()),"No")="Yes",1,0)</f>
        <v/>
      </c>
      <c r="AF635" s="3">
        <f>IF(IFERROR(VLOOKUP(D635,Controls!$A$36:$E$46,3,FALSE()),"No")="Yes",1,0)</f>
        <v/>
      </c>
      <c r="AG635" s="3">
        <f>IF(IFERROR(VLOOKUP(D635,Controls!$A$36:$E$46,4,FALSE()),"No")="Yes",1,0)</f>
        <v/>
      </c>
      <c r="AH635" s="3">
        <f>IF(IFERROR(VLOOKUP(D635,Controls!$A$36:$E$46,5,FALSE()),"No")="Yes",1,0)</f>
        <v/>
      </c>
      <c r="AI635" s="3">
        <f>IF(ISNUMBER(MATCH(D635,Controls!$A$36:$A$46,0)),1,0)</f>
        <v/>
      </c>
      <c r="AJ635" s="28">
        <f>Q635-N635</f>
        <v/>
      </c>
      <c r="AK635" s="3">
        <f>IF(AE635=1,MAX(0,N635-Q635),0)</f>
        <v/>
      </c>
      <c r="AL635" s="3">
        <f>IF(OR(V635="",V635=0),0,N635/V635)</f>
        <v/>
      </c>
      <c r="AM635" s="3">
        <f>IF(OR(V635="",V635=0),0,1)</f>
        <v/>
      </c>
      <c r="AN635" s="3">
        <f>IF(OR(E635="",F635=""),0,NETWORKDAYS(E635,F635,Ref!$K$2:$K$42))</f>
        <v/>
      </c>
      <c r="AO635" s="3">
        <f>IF(L635="Renewal",1,0)</f>
        <v/>
      </c>
      <c r="AP635" s="3">
        <f>AC635*AD635</f>
        <v/>
      </c>
      <c r="AQ635" s="3">
        <f>IF(AND(G635&lt;&gt;"",'Historical Score'!$C$6&lt;&gt;""),IF(G635='Historical Score'!$C$6,1,0),0)</f>
        <v/>
      </c>
      <c r="AR635" s="3">
        <f>IF(AND(L635&lt;&gt;"",'Historical Score'!$C$5&lt;&gt;""),IF(L635='Historical Score'!$C$5,1,0),0)</f>
        <v/>
      </c>
      <c r="AS635" s="3">
        <f>IF(AND(Y635&lt;&gt;"",'Historical Score'!$C$7&lt;&gt;""),IF(Y635='Historical Score'!$C$7,1,0),0)</f>
        <v/>
      </c>
      <c r="AT635" s="3">
        <f>IF(AND(K635&lt;&gt;"",'Historical Score'!$C$8&lt;&gt;""),IF(K635='Historical Score'!$C$8,1,0),0)</f>
        <v/>
      </c>
      <c r="AU635" s="3" t="n"/>
      <c r="AV635" s="3" t="n"/>
      <c r="AW635" s="3" t="n"/>
      <c r="AX635" s="3" t="n"/>
      <c r="AY635" s="3" t="n"/>
      <c r="AZ635" s="3" t="n"/>
      <c r="BA635" s="182">
        <f>IF(AD635=1,(AR635*'Historical Score'!$K$29+1-'Historical Score'!$K$29)*(AT635*'Historical Score'!$L$29+1-'Historical Score'!$L$29)*(AS635*'Historical Score'!$M$29+1-'Historical Score'!$M$29)*(AQ635*'Historical Score'!$N$29+1-'Historical Score'!$N$29),0)</f>
        <v/>
      </c>
      <c r="BB635" s="3" t="n"/>
      <c r="BC635" s="3" t="n"/>
    </row>
    <row r="636" ht="15.75" customHeight="1" s="174">
      <c r="A636" s="3" t="inlineStr">
        <is>
          <t>5674178709</t>
        </is>
      </c>
      <c r="B636" s="3" t="inlineStr">
        <is>
          <t>Essential Washer LLC</t>
        </is>
      </c>
      <c r="C636" s="3" t="inlineStr">
        <is>
          <t>Essential Washer LLC</t>
        </is>
      </c>
      <c r="D636" s="3" t="inlineStr">
        <is>
          <t>Closed</t>
        </is>
      </c>
      <c r="E636" s="23" t="n">
        <v>46071</v>
      </c>
      <c r="F636" s="23" t="n">
        <v>46202</v>
      </c>
      <c r="G636" s="3" t="n">
        <v>3</v>
      </c>
      <c r="H636" s="3" t="inlineStr">
        <is>
          <t>7211</t>
        </is>
      </c>
      <c r="I636" s="3" t="inlineStr">
        <is>
          <t>72</t>
        </is>
      </c>
      <c r="J636" s="3" t="inlineStr">
        <is>
          <t>TX</t>
        </is>
      </c>
      <c r="K636" s="3" t="inlineStr">
        <is>
          <t>Merchant ReFi</t>
        </is>
      </c>
      <c r="L636" s="3" t="inlineStr">
        <is>
          <t>Renewal</t>
        </is>
      </c>
      <c r="M636" s="3" t="n">
        <v>1.49</v>
      </c>
      <c r="N636" s="28" t="n">
        <v>15000</v>
      </c>
      <c r="O636" s="28" t="n">
        <v>2100</v>
      </c>
      <c r="P636" s="28" t="n">
        <v>22350</v>
      </c>
      <c r="Q636" s="28" t="n">
        <v>22350</v>
      </c>
      <c r="R636" s="28" t="n">
        <v>0</v>
      </c>
      <c r="S636" s="42" t="n">
        <v>1</v>
      </c>
      <c r="T636" s="3" t="n">
        <v>2.984</v>
      </c>
      <c r="U636" s="3" t="n">
        <v>0</v>
      </c>
      <c r="V636" s="3" t="n">
        <v>15685.35</v>
      </c>
      <c r="W636" s="42" t="n">
        <v>0.2014</v>
      </c>
      <c r="X636" s="23" t="n"/>
      <c r="Y636" s="3">
        <f>IF(I636="","No SIC",IFERROR(VLOOKUP(I636,Ref!$A$2:$B$65,2,FALSE()),"Unclassified"))</f>
        <v/>
      </c>
      <c r="Z636" s="3">
        <f>IF(T636="","",IF(T636&lt;12,"Daily","Weekly"))</f>
        <v/>
      </c>
      <c r="AA636" s="3">
        <f>IF(T636="",0,IF(T636&lt;12,T636*Controls!$B$13,T636*5))</f>
        <v/>
      </c>
      <c r="AB636" s="3">
        <f>IF(E636="",0,NETWORKDAYS(E636,Controls!$B$20,Ref!$K$2:$K$42))</f>
        <v/>
      </c>
      <c r="AC636" s="3">
        <f>IF(OR(AF636=1,AND(AA636&gt;0,AB636&gt;=Controls!$B$23*AA636)),1,0)</f>
        <v/>
      </c>
      <c r="AD636" s="3">
        <f>IF(AND(E636&lt;&gt;"",E636&gt;=Controls!$B$21,E636&lt;=Controls!$B$22),1,0)</f>
        <v/>
      </c>
      <c r="AE636" s="3">
        <f>IF(IFERROR(VLOOKUP(D636,Controls!$A$36:$E$46,2,FALSE()),"No")="Yes",1,0)</f>
        <v/>
      </c>
      <c r="AF636" s="3">
        <f>IF(IFERROR(VLOOKUP(D636,Controls!$A$36:$E$46,3,FALSE()),"No")="Yes",1,0)</f>
        <v/>
      </c>
      <c r="AG636" s="3">
        <f>IF(IFERROR(VLOOKUP(D636,Controls!$A$36:$E$46,4,FALSE()),"No")="Yes",1,0)</f>
        <v/>
      </c>
      <c r="AH636" s="3">
        <f>IF(IFERROR(VLOOKUP(D636,Controls!$A$36:$E$46,5,FALSE()),"No")="Yes",1,0)</f>
        <v/>
      </c>
      <c r="AI636" s="3">
        <f>IF(ISNUMBER(MATCH(D636,Controls!$A$36:$A$46,0)),1,0)</f>
        <v/>
      </c>
      <c r="AJ636" s="28">
        <f>Q636-N636</f>
        <v/>
      </c>
      <c r="AK636" s="3">
        <f>IF(AE636=1,MAX(0,N636-Q636),0)</f>
        <v/>
      </c>
      <c r="AL636" s="3">
        <f>IF(OR(V636="",V636=0),0,N636/V636)</f>
        <v/>
      </c>
      <c r="AM636" s="3">
        <f>IF(OR(V636="",V636=0),0,1)</f>
        <v/>
      </c>
      <c r="AN636" s="3">
        <f>IF(OR(E636="",F636=""),0,NETWORKDAYS(E636,F636,Ref!$K$2:$K$42))</f>
        <v/>
      </c>
      <c r="AO636" s="3">
        <f>IF(L636="Renewal",1,0)</f>
        <v/>
      </c>
      <c r="AP636" s="3">
        <f>AC636*AD636</f>
        <v/>
      </c>
      <c r="AQ636" s="3">
        <f>IF(AND(G636&lt;&gt;"",'Historical Score'!$C$6&lt;&gt;""),IF(G636='Historical Score'!$C$6,1,0),0)</f>
        <v/>
      </c>
      <c r="AR636" s="3">
        <f>IF(AND(L636&lt;&gt;"",'Historical Score'!$C$5&lt;&gt;""),IF(L636='Historical Score'!$C$5,1,0),0)</f>
        <v/>
      </c>
      <c r="AS636" s="3">
        <f>IF(AND(Y636&lt;&gt;"",'Historical Score'!$C$7&lt;&gt;""),IF(Y636='Historical Score'!$C$7,1,0),0)</f>
        <v/>
      </c>
      <c r="AT636" s="3">
        <f>IF(AND(K636&lt;&gt;"",'Historical Score'!$C$8&lt;&gt;""),IF(K636='Historical Score'!$C$8,1,0),0)</f>
        <v/>
      </c>
      <c r="AU636" s="3" t="n"/>
      <c r="AV636" s="3" t="n"/>
      <c r="AW636" s="3" t="n"/>
      <c r="AX636" s="3" t="n"/>
      <c r="AY636" s="3" t="n"/>
      <c r="AZ636" s="3" t="n"/>
      <c r="BA636" s="182">
        <f>IF(AD636=1,(AR636*'Historical Score'!$K$29+1-'Historical Score'!$K$29)*(AT636*'Historical Score'!$L$29+1-'Historical Score'!$L$29)*(AS636*'Historical Score'!$M$29+1-'Historical Score'!$M$29)*(AQ636*'Historical Score'!$N$29+1-'Historical Score'!$N$29),0)</f>
        <v/>
      </c>
      <c r="BB636" s="3" t="n"/>
      <c r="BC636" s="3" t="n"/>
    </row>
    <row r="637" ht="15.75" customHeight="1" s="174">
      <c r="A637" s="3" t="inlineStr">
        <is>
          <t>5674178723</t>
        </is>
      </c>
      <c r="B637" s="3" t="inlineStr">
        <is>
          <t>SYDNEY LB INC</t>
        </is>
      </c>
      <c r="C637" s="3" t="inlineStr">
        <is>
          <t>SYDNEY LB INC</t>
        </is>
      </c>
      <c r="D637" s="3" t="inlineStr">
        <is>
          <t>Legal</t>
        </is>
      </c>
      <c r="E637" s="23" t="n">
        <v>46071</v>
      </c>
      <c r="F637" s="23" t="n">
        <v>46126</v>
      </c>
      <c r="G637" s="3" t="n">
        <v>3</v>
      </c>
      <c r="H637" s="3" t="inlineStr">
        <is>
          <t>5999</t>
        </is>
      </c>
      <c r="I637" s="3" t="inlineStr">
        <is>
          <t>59</t>
        </is>
      </c>
      <c r="J637" s="3" t="inlineStr">
        <is>
          <t>IL</t>
        </is>
      </c>
      <c r="K637" s="3" t="inlineStr">
        <is>
          <t>SABER ASSETS LLC</t>
        </is>
      </c>
      <c r="L637" s="3" t="inlineStr">
        <is>
          <t>New Deal</t>
        </is>
      </c>
      <c r="M637" s="3" t="n">
        <v>1.49</v>
      </c>
      <c r="N637" s="28" t="n">
        <v>20000</v>
      </c>
      <c r="O637" s="28" t="n">
        <v>0</v>
      </c>
      <c r="P637" s="28" t="n">
        <v>29800</v>
      </c>
      <c r="Q637" s="28" t="n">
        <v>3180.16</v>
      </c>
      <c r="R637" s="28" t="n">
        <v>26619.84</v>
      </c>
      <c r="S637" s="42" t="n">
        <v>0.10671677852349</v>
      </c>
      <c r="T637" s="3" t="n">
        <v>2.459</v>
      </c>
      <c r="U637" s="3" t="n">
        <v>27</v>
      </c>
      <c r="V637" s="3" t="n">
        <v>296023.84</v>
      </c>
      <c r="W637" s="42" t="n">
        <v>0.0282</v>
      </c>
      <c r="X637" s="23" t="n">
        <v>43349</v>
      </c>
      <c r="Y637" s="3">
        <f>IF(I637="","No SIC",IFERROR(VLOOKUP(I637,Ref!$A$2:$B$65,2,FALSE()),"Unclassified"))</f>
        <v/>
      </c>
      <c r="Z637" s="3">
        <f>IF(T637="","",IF(T637&lt;12,"Daily","Weekly"))</f>
        <v/>
      </c>
      <c r="AA637" s="3">
        <f>IF(T637="",0,IF(T637&lt;12,T637*Controls!$B$13,T637*5))</f>
        <v/>
      </c>
      <c r="AB637" s="3">
        <f>IF(E637="",0,NETWORKDAYS(E637,Controls!$B$20,Ref!$K$2:$K$42))</f>
        <v/>
      </c>
      <c r="AC637" s="3">
        <f>IF(OR(AF637=1,AND(AA637&gt;0,AB637&gt;=Controls!$B$23*AA637)),1,0)</f>
        <v/>
      </c>
      <c r="AD637" s="3">
        <f>IF(AND(E637&lt;&gt;"",E637&gt;=Controls!$B$21,E637&lt;=Controls!$B$22),1,0)</f>
        <v/>
      </c>
      <c r="AE637" s="3">
        <f>IF(IFERROR(VLOOKUP(D637,Controls!$A$36:$E$46,2,FALSE()),"No")="Yes",1,0)</f>
        <v/>
      </c>
      <c r="AF637" s="3">
        <f>IF(IFERROR(VLOOKUP(D637,Controls!$A$36:$E$46,3,FALSE()),"No")="Yes",1,0)</f>
        <v/>
      </c>
      <c r="AG637" s="3">
        <f>IF(IFERROR(VLOOKUP(D637,Controls!$A$36:$E$46,4,FALSE()),"No")="Yes",1,0)</f>
        <v/>
      </c>
      <c r="AH637" s="3">
        <f>IF(IFERROR(VLOOKUP(D637,Controls!$A$36:$E$46,5,FALSE()),"No")="Yes",1,0)</f>
        <v/>
      </c>
      <c r="AI637" s="3">
        <f>IF(ISNUMBER(MATCH(D637,Controls!$A$36:$A$46,0)),1,0)</f>
        <v/>
      </c>
      <c r="AJ637" s="28">
        <f>Q637-N637</f>
        <v/>
      </c>
      <c r="AK637" s="3">
        <f>IF(AE637=1,MAX(0,N637-Q637),0)</f>
        <v/>
      </c>
      <c r="AL637" s="3">
        <f>IF(OR(V637="",V637=0),0,N637/V637)</f>
        <v/>
      </c>
      <c r="AM637" s="3">
        <f>IF(OR(V637="",V637=0),0,1)</f>
        <v/>
      </c>
      <c r="AN637" s="3">
        <f>IF(OR(E637="",F637=""),0,NETWORKDAYS(E637,F637,Ref!$K$2:$K$42))</f>
        <v/>
      </c>
      <c r="AO637" s="3">
        <f>IF(L637="Renewal",1,0)</f>
        <v/>
      </c>
      <c r="AP637" s="3">
        <f>AC637*AD637</f>
        <v/>
      </c>
      <c r="AQ637" s="3">
        <f>IF(AND(G637&lt;&gt;"",'Historical Score'!$C$6&lt;&gt;""),IF(G637='Historical Score'!$C$6,1,0),0)</f>
        <v/>
      </c>
      <c r="AR637" s="3">
        <f>IF(AND(L637&lt;&gt;"",'Historical Score'!$C$5&lt;&gt;""),IF(L637='Historical Score'!$C$5,1,0),0)</f>
        <v/>
      </c>
      <c r="AS637" s="3">
        <f>IF(AND(Y637&lt;&gt;"",'Historical Score'!$C$7&lt;&gt;""),IF(Y637='Historical Score'!$C$7,1,0),0)</f>
        <v/>
      </c>
      <c r="AT637" s="3">
        <f>IF(AND(K637&lt;&gt;"",'Historical Score'!$C$8&lt;&gt;""),IF(K637='Historical Score'!$C$8,1,0),0)</f>
        <v/>
      </c>
      <c r="AU637" s="3" t="n"/>
      <c r="AV637" s="3" t="n"/>
      <c r="AW637" s="3" t="n"/>
      <c r="AX637" s="3" t="n"/>
      <c r="AY637" s="3" t="n"/>
      <c r="AZ637" s="3" t="n"/>
      <c r="BA637" s="182">
        <f>IF(AD637=1,(AR637*'Historical Score'!$K$29+1-'Historical Score'!$K$29)*(AT637*'Historical Score'!$L$29+1-'Historical Score'!$L$29)*(AS637*'Historical Score'!$M$29+1-'Historical Score'!$M$29)*(AQ637*'Historical Score'!$N$29+1-'Historical Score'!$N$29),0)</f>
        <v/>
      </c>
      <c r="BB637" s="3" t="n"/>
      <c r="BC637" s="3" t="n"/>
    </row>
    <row r="638" ht="15.75" customHeight="1" s="174">
      <c r="A638" s="3" t="inlineStr">
        <is>
          <t>5674178730</t>
        </is>
      </c>
      <c r="B638" s="3" t="inlineStr">
        <is>
          <t>irwin printing company inc</t>
        </is>
      </c>
      <c r="C638" s="3" t="inlineStr">
        <is>
          <t>irwin printing company inc</t>
        </is>
      </c>
      <c r="D638" s="3" t="inlineStr">
        <is>
          <t>Closed</t>
        </is>
      </c>
      <c r="E638" s="23" t="n">
        <v>46071</v>
      </c>
      <c r="F638" s="23" t="n">
        <v>46146</v>
      </c>
      <c r="G638" s="3" t="n">
        <v>3</v>
      </c>
      <c r="H638" s="3" t="inlineStr">
        <is>
          <t>2752</t>
        </is>
      </c>
      <c r="I638" s="3" t="inlineStr">
        <is>
          <t>27</t>
        </is>
      </c>
      <c r="J638" s="3" t="inlineStr">
        <is>
          <t>MO</t>
        </is>
      </c>
      <c r="K638" s="3" t="inlineStr">
        <is>
          <t>secure way capital</t>
        </is>
      </c>
      <c r="L638" s="3" t="inlineStr">
        <is>
          <t>New Deal</t>
        </is>
      </c>
      <c r="M638" s="3" t="n">
        <v>1.49</v>
      </c>
      <c r="N638" s="28" t="n">
        <v>10000</v>
      </c>
      <c r="O638" s="28" t="n">
        <v>1400</v>
      </c>
      <c r="P638" s="28" t="n">
        <v>14900</v>
      </c>
      <c r="Q638" s="28" t="n">
        <v>14900</v>
      </c>
      <c r="R638" s="28" t="n">
        <v>0</v>
      </c>
      <c r="S638" s="42" t="n">
        <v>1</v>
      </c>
      <c r="T638" s="3" t="n">
        <v>2.459</v>
      </c>
      <c r="U638" s="3" t="n">
        <v>0</v>
      </c>
      <c r="V638" s="3" t="n">
        <v>31854.08</v>
      </c>
      <c r="W638" s="42" t="n">
        <v>0.1304</v>
      </c>
      <c r="X638" s="23" t="n">
        <v>28525</v>
      </c>
      <c r="Y638" s="3">
        <f>IF(I638="","No SIC",IFERROR(VLOOKUP(I638,Ref!$A$2:$B$65,2,FALSE()),"Unclassified"))</f>
        <v/>
      </c>
      <c r="Z638" s="3">
        <f>IF(T638="","",IF(T638&lt;12,"Daily","Weekly"))</f>
        <v/>
      </c>
      <c r="AA638" s="3">
        <f>IF(T638="",0,IF(T638&lt;12,T638*Controls!$B$13,T638*5))</f>
        <v/>
      </c>
      <c r="AB638" s="3">
        <f>IF(E638="",0,NETWORKDAYS(E638,Controls!$B$20,Ref!$K$2:$K$42))</f>
        <v/>
      </c>
      <c r="AC638" s="3">
        <f>IF(OR(AF638=1,AND(AA638&gt;0,AB638&gt;=Controls!$B$23*AA638)),1,0)</f>
        <v/>
      </c>
      <c r="AD638" s="3">
        <f>IF(AND(E638&lt;&gt;"",E638&gt;=Controls!$B$21,E638&lt;=Controls!$B$22),1,0)</f>
        <v/>
      </c>
      <c r="AE638" s="3">
        <f>IF(IFERROR(VLOOKUP(D638,Controls!$A$36:$E$46,2,FALSE()),"No")="Yes",1,0)</f>
        <v/>
      </c>
      <c r="AF638" s="3">
        <f>IF(IFERROR(VLOOKUP(D638,Controls!$A$36:$E$46,3,FALSE()),"No")="Yes",1,0)</f>
        <v/>
      </c>
      <c r="AG638" s="3">
        <f>IF(IFERROR(VLOOKUP(D638,Controls!$A$36:$E$46,4,FALSE()),"No")="Yes",1,0)</f>
        <v/>
      </c>
      <c r="AH638" s="3">
        <f>IF(IFERROR(VLOOKUP(D638,Controls!$A$36:$E$46,5,FALSE()),"No")="Yes",1,0)</f>
        <v/>
      </c>
      <c r="AI638" s="3">
        <f>IF(ISNUMBER(MATCH(D638,Controls!$A$36:$A$46,0)),1,0)</f>
        <v/>
      </c>
      <c r="AJ638" s="28">
        <f>Q638-N638</f>
        <v/>
      </c>
      <c r="AK638" s="3">
        <f>IF(AE638=1,MAX(0,N638-Q638),0)</f>
        <v/>
      </c>
      <c r="AL638" s="3">
        <f>IF(OR(V638="",V638=0),0,N638/V638)</f>
        <v/>
      </c>
      <c r="AM638" s="3">
        <f>IF(OR(V638="",V638=0),0,1)</f>
        <v/>
      </c>
      <c r="AN638" s="3">
        <f>IF(OR(E638="",F638=""),0,NETWORKDAYS(E638,F638,Ref!$K$2:$K$42))</f>
        <v/>
      </c>
      <c r="AO638" s="3">
        <f>IF(L638="Renewal",1,0)</f>
        <v/>
      </c>
      <c r="AP638" s="3">
        <f>AC638*AD638</f>
        <v/>
      </c>
      <c r="AQ638" s="3">
        <f>IF(AND(G638&lt;&gt;"",'Historical Score'!$C$6&lt;&gt;""),IF(G638='Historical Score'!$C$6,1,0),0)</f>
        <v/>
      </c>
      <c r="AR638" s="3">
        <f>IF(AND(L638&lt;&gt;"",'Historical Score'!$C$5&lt;&gt;""),IF(L638='Historical Score'!$C$5,1,0),0)</f>
        <v/>
      </c>
      <c r="AS638" s="3">
        <f>IF(AND(Y638&lt;&gt;"",'Historical Score'!$C$7&lt;&gt;""),IF(Y638='Historical Score'!$C$7,1,0),0)</f>
        <v/>
      </c>
      <c r="AT638" s="3">
        <f>IF(AND(K638&lt;&gt;"",'Historical Score'!$C$8&lt;&gt;""),IF(K638='Historical Score'!$C$8,1,0),0)</f>
        <v/>
      </c>
      <c r="AU638" s="3" t="n"/>
      <c r="AV638" s="3" t="n"/>
      <c r="AW638" s="3" t="n"/>
      <c r="AX638" s="3" t="n"/>
      <c r="AY638" s="3" t="n"/>
      <c r="AZ638" s="3" t="n"/>
      <c r="BA638" s="182">
        <f>IF(AD638=1,(AR638*'Historical Score'!$K$29+1-'Historical Score'!$K$29)*(AT638*'Historical Score'!$L$29+1-'Historical Score'!$L$29)*(AS638*'Historical Score'!$M$29+1-'Historical Score'!$M$29)*(AQ638*'Historical Score'!$N$29+1-'Historical Score'!$N$29),0)</f>
        <v/>
      </c>
      <c r="BB638" s="3" t="n"/>
      <c r="BC638" s="3" t="n"/>
    </row>
    <row r="639" ht="15.75" customHeight="1" s="174">
      <c r="A639" s="3" t="inlineStr">
        <is>
          <t>5674178733</t>
        </is>
      </c>
      <c r="B639" s="3" t="inlineStr">
        <is>
          <t>JRRE CONSULTING</t>
        </is>
      </c>
      <c r="C639" s="3" t="inlineStr">
        <is>
          <t>JRRE CONSULTING LLC</t>
        </is>
      </c>
      <c r="D639" s="3" t="inlineStr">
        <is>
          <t>Closed</t>
        </is>
      </c>
      <c r="E639" s="23" t="n">
        <v>46071</v>
      </c>
      <c r="F639" s="23" t="n">
        <v>46198</v>
      </c>
      <c r="G639" s="3" t="n">
        <v>3</v>
      </c>
      <c r="H639" s="3" t="inlineStr">
        <is>
          <t>8748</t>
        </is>
      </c>
      <c r="I639" s="3" t="inlineStr">
        <is>
          <t>87</t>
        </is>
      </c>
      <c r="J639" s="3" t="inlineStr">
        <is>
          <t>SC</t>
        </is>
      </c>
      <c r="K639" s="3" t="inlineStr">
        <is>
          <t>Westwood</t>
        </is>
      </c>
      <c r="L639" s="3" t="inlineStr">
        <is>
          <t>New Deal</t>
        </is>
      </c>
      <c r="M639" s="3" t="n">
        <v>1.49</v>
      </c>
      <c r="N639" s="28" t="n">
        <v>15000</v>
      </c>
      <c r="O639" s="28" t="n">
        <v>2100</v>
      </c>
      <c r="P639" s="28" t="n">
        <v>22350</v>
      </c>
      <c r="Q639" s="28" t="n">
        <v>22350</v>
      </c>
      <c r="R639" s="28" t="n">
        <v>0</v>
      </c>
      <c r="S639" s="42" t="n">
        <v>1</v>
      </c>
      <c r="T639" s="3" t="n">
        <v>2.951</v>
      </c>
      <c r="U639" s="3" t="n">
        <v>0</v>
      </c>
      <c r="V639" s="3" t="n">
        <v>41887.96</v>
      </c>
      <c r="W639" s="42" t="n">
        <v>0.1245</v>
      </c>
      <c r="X639" s="23" t="n">
        <v>45884</v>
      </c>
      <c r="Y639" s="3">
        <f>IF(I639="","No SIC",IFERROR(VLOOKUP(I639,Ref!$A$2:$B$65,2,FALSE()),"Unclassified"))</f>
        <v/>
      </c>
      <c r="Z639" s="3">
        <f>IF(T639="","",IF(T639&lt;12,"Daily","Weekly"))</f>
        <v/>
      </c>
      <c r="AA639" s="3">
        <f>IF(T639="",0,IF(T639&lt;12,T639*Controls!$B$13,T639*5))</f>
        <v/>
      </c>
      <c r="AB639" s="3">
        <f>IF(E639="",0,NETWORKDAYS(E639,Controls!$B$20,Ref!$K$2:$K$42))</f>
        <v/>
      </c>
      <c r="AC639" s="3">
        <f>IF(OR(AF639=1,AND(AA639&gt;0,AB639&gt;=Controls!$B$23*AA639)),1,0)</f>
        <v/>
      </c>
      <c r="AD639" s="3">
        <f>IF(AND(E639&lt;&gt;"",E639&gt;=Controls!$B$21,E639&lt;=Controls!$B$22),1,0)</f>
        <v/>
      </c>
      <c r="AE639" s="3">
        <f>IF(IFERROR(VLOOKUP(D639,Controls!$A$36:$E$46,2,FALSE()),"No")="Yes",1,0)</f>
        <v/>
      </c>
      <c r="AF639" s="3">
        <f>IF(IFERROR(VLOOKUP(D639,Controls!$A$36:$E$46,3,FALSE()),"No")="Yes",1,0)</f>
        <v/>
      </c>
      <c r="AG639" s="3">
        <f>IF(IFERROR(VLOOKUP(D639,Controls!$A$36:$E$46,4,FALSE()),"No")="Yes",1,0)</f>
        <v/>
      </c>
      <c r="AH639" s="3">
        <f>IF(IFERROR(VLOOKUP(D639,Controls!$A$36:$E$46,5,FALSE()),"No")="Yes",1,0)</f>
        <v/>
      </c>
      <c r="AI639" s="3">
        <f>IF(ISNUMBER(MATCH(D639,Controls!$A$36:$A$46,0)),1,0)</f>
        <v/>
      </c>
      <c r="AJ639" s="28">
        <f>Q639-N639</f>
        <v/>
      </c>
      <c r="AK639" s="3">
        <f>IF(AE639=1,MAX(0,N639-Q639),0)</f>
        <v/>
      </c>
      <c r="AL639" s="3">
        <f>IF(OR(V639="",V639=0),0,N639/V639)</f>
        <v/>
      </c>
      <c r="AM639" s="3">
        <f>IF(OR(V639="",V639=0),0,1)</f>
        <v/>
      </c>
      <c r="AN639" s="3">
        <f>IF(OR(E639="",F639=""),0,NETWORKDAYS(E639,F639,Ref!$K$2:$K$42))</f>
        <v/>
      </c>
      <c r="AO639" s="3">
        <f>IF(L639="Renewal",1,0)</f>
        <v/>
      </c>
      <c r="AP639" s="3">
        <f>AC639*AD639</f>
        <v/>
      </c>
      <c r="AQ639" s="3">
        <f>IF(AND(G639&lt;&gt;"",'Historical Score'!$C$6&lt;&gt;""),IF(G639='Historical Score'!$C$6,1,0),0)</f>
        <v/>
      </c>
      <c r="AR639" s="3">
        <f>IF(AND(L639&lt;&gt;"",'Historical Score'!$C$5&lt;&gt;""),IF(L639='Historical Score'!$C$5,1,0),0)</f>
        <v/>
      </c>
      <c r="AS639" s="3">
        <f>IF(AND(Y639&lt;&gt;"",'Historical Score'!$C$7&lt;&gt;""),IF(Y639='Historical Score'!$C$7,1,0),0)</f>
        <v/>
      </c>
      <c r="AT639" s="3">
        <f>IF(AND(K639&lt;&gt;"",'Historical Score'!$C$8&lt;&gt;""),IF(K639='Historical Score'!$C$8,1,0),0)</f>
        <v/>
      </c>
      <c r="AU639" s="3" t="n"/>
      <c r="AV639" s="3" t="n"/>
      <c r="AW639" s="3" t="n"/>
      <c r="AX639" s="3" t="n"/>
      <c r="AY639" s="3" t="n"/>
      <c r="AZ639" s="3" t="n"/>
      <c r="BA639" s="182">
        <f>IF(AD639=1,(AR639*'Historical Score'!$K$29+1-'Historical Score'!$K$29)*(AT639*'Historical Score'!$L$29+1-'Historical Score'!$L$29)*(AS639*'Historical Score'!$M$29+1-'Historical Score'!$M$29)*(AQ639*'Historical Score'!$N$29+1-'Historical Score'!$N$29),0)</f>
        <v/>
      </c>
      <c r="BB639" s="3" t="n"/>
      <c r="BC639" s="3" t="n"/>
    </row>
    <row r="640" ht="15.75" customHeight="1" s="174">
      <c r="A640" s="3" t="inlineStr">
        <is>
          <t>5674178740</t>
        </is>
      </c>
      <c r="B640" s="3" t="inlineStr">
        <is>
          <t>K &amp; R DEVELOPMENT</t>
        </is>
      </c>
      <c r="C640" s="3" t="inlineStr">
        <is>
          <t>K &amp; R DEVELOPMENT LLC</t>
        </is>
      </c>
      <c r="D640" s="3" t="inlineStr">
        <is>
          <t>Closed</t>
        </is>
      </c>
      <c r="E640" s="23" t="n">
        <v>46071</v>
      </c>
      <c r="F640" s="23" t="n">
        <v>46171</v>
      </c>
      <c r="G640" s="3" t="n">
        <v>2</v>
      </c>
      <c r="H640" s="3" t="inlineStr">
        <is>
          <t>6531</t>
        </is>
      </c>
      <c r="I640" s="3" t="inlineStr">
        <is>
          <t>65</t>
        </is>
      </c>
      <c r="J640" s="3" t="inlineStr">
        <is>
          <t>SC</t>
        </is>
      </c>
      <c r="K640" s="3" t="inlineStr">
        <is>
          <t>bridge consolidation</t>
        </is>
      </c>
      <c r="L640" s="3" t="inlineStr">
        <is>
          <t>New Deal</t>
        </is>
      </c>
      <c r="M640" s="3" t="n">
        <v>1.49</v>
      </c>
      <c r="N640" s="28" t="n">
        <v>100000</v>
      </c>
      <c r="O640" s="28" t="n">
        <v>14000</v>
      </c>
      <c r="P640" s="28" t="n">
        <v>149000</v>
      </c>
      <c r="Q640" s="28" t="n">
        <v>149000</v>
      </c>
      <c r="R640" s="28" t="n">
        <v>0</v>
      </c>
      <c r="S640" s="42" t="n">
        <v>1</v>
      </c>
      <c r="T640" s="3" t="n">
        <v>25</v>
      </c>
      <c r="U640" s="3" t="n">
        <v>1</v>
      </c>
      <c r="V640" s="3" t="n">
        <v>377550.59</v>
      </c>
      <c r="W640" s="42" t="n">
        <v>0.0631</v>
      </c>
      <c r="X640" s="23" t="n">
        <v>43520</v>
      </c>
      <c r="Y640" s="3">
        <f>IF(I640="","No SIC",IFERROR(VLOOKUP(I640,Ref!$A$2:$B$65,2,FALSE()),"Unclassified"))</f>
        <v/>
      </c>
      <c r="Z640" s="3">
        <f>IF(T640="","",IF(T640&lt;12,"Daily","Weekly"))</f>
        <v/>
      </c>
      <c r="AA640" s="3">
        <f>IF(T640="",0,IF(T640&lt;12,T640*Controls!$B$13,T640*5))</f>
        <v/>
      </c>
      <c r="AB640" s="3">
        <f>IF(E640="",0,NETWORKDAYS(E640,Controls!$B$20,Ref!$K$2:$K$42))</f>
        <v/>
      </c>
      <c r="AC640" s="3">
        <f>IF(OR(AF640=1,AND(AA640&gt;0,AB640&gt;=Controls!$B$23*AA640)),1,0)</f>
        <v/>
      </c>
      <c r="AD640" s="3">
        <f>IF(AND(E640&lt;&gt;"",E640&gt;=Controls!$B$21,E640&lt;=Controls!$B$22),1,0)</f>
        <v/>
      </c>
      <c r="AE640" s="3">
        <f>IF(IFERROR(VLOOKUP(D640,Controls!$A$36:$E$46,2,FALSE()),"No")="Yes",1,0)</f>
        <v/>
      </c>
      <c r="AF640" s="3">
        <f>IF(IFERROR(VLOOKUP(D640,Controls!$A$36:$E$46,3,FALSE()),"No")="Yes",1,0)</f>
        <v/>
      </c>
      <c r="AG640" s="3">
        <f>IF(IFERROR(VLOOKUP(D640,Controls!$A$36:$E$46,4,FALSE()),"No")="Yes",1,0)</f>
        <v/>
      </c>
      <c r="AH640" s="3">
        <f>IF(IFERROR(VLOOKUP(D640,Controls!$A$36:$E$46,5,FALSE()),"No")="Yes",1,0)</f>
        <v/>
      </c>
      <c r="AI640" s="3">
        <f>IF(ISNUMBER(MATCH(D640,Controls!$A$36:$A$46,0)),1,0)</f>
        <v/>
      </c>
      <c r="AJ640" s="28">
        <f>Q640-N640</f>
        <v/>
      </c>
      <c r="AK640" s="3">
        <f>IF(AE640=1,MAX(0,N640-Q640),0)</f>
        <v/>
      </c>
      <c r="AL640" s="3">
        <f>IF(OR(V640="",V640=0),0,N640/V640)</f>
        <v/>
      </c>
      <c r="AM640" s="3">
        <f>IF(OR(V640="",V640=0),0,1)</f>
        <v/>
      </c>
      <c r="AN640" s="3">
        <f>IF(OR(E640="",F640=""),0,NETWORKDAYS(E640,F640,Ref!$K$2:$K$42))</f>
        <v/>
      </c>
      <c r="AO640" s="3">
        <f>IF(L640="Renewal",1,0)</f>
        <v/>
      </c>
      <c r="AP640" s="3">
        <f>AC640*AD640</f>
        <v/>
      </c>
      <c r="AQ640" s="3">
        <f>IF(AND(G640&lt;&gt;"",'Historical Score'!$C$6&lt;&gt;""),IF(G640='Historical Score'!$C$6,1,0),0)</f>
        <v/>
      </c>
      <c r="AR640" s="3">
        <f>IF(AND(L640&lt;&gt;"",'Historical Score'!$C$5&lt;&gt;""),IF(L640='Historical Score'!$C$5,1,0),0)</f>
        <v/>
      </c>
      <c r="AS640" s="3">
        <f>IF(AND(Y640&lt;&gt;"",'Historical Score'!$C$7&lt;&gt;""),IF(Y640='Historical Score'!$C$7,1,0),0)</f>
        <v/>
      </c>
      <c r="AT640" s="3">
        <f>IF(AND(K640&lt;&gt;"",'Historical Score'!$C$8&lt;&gt;""),IF(K640='Historical Score'!$C$8,1,0),0)</f>
        <v/>
      </c>
      <c r="AU640" s="3" t="n"/>
      <c r="AV640" s="3" t="n"/>
      <c r="AW640" s="3" t="n"/>
      <c r="AX640" s="3" t="n"/>
      <c r="AY640" s="3" t="n"/>
      <c r="AZ640" s="3" t="n"/>
      <c r="BA640" s="182">
        <f>IF(AD640=1,(AR640*'Historical Score'!$K$29+1-'Historical Score'!$K$29)*(AT640*'Historical Score'!$L$29+1-'Historical Score'!$L$29)*(AS640*'Historical Score'!$M$29+1-'Historical Score'!$M$29)*(AQ640*'Historical Score'!$N$29+1-'Historical Score'!$N$29),0)</f>
        <v/>
      </c>
      <c r="BB640" s="3" t="n"/>
      <c r="BC640" s="3" t="n"/>
    </row>
    <row r="641" ht="15.75" customHeight="1" s="174">
      <c r="A641" s="3" t="inlineStr">
        <is>
          <t>5674178759</t>
        </is>
      </c>
      <c r="B641" s="3" t="inlineStr">
        <is>
          <t>EL Fogon Restobar and Grill</t>
        </is>
      </c>
      <c r="C641" s="3" t="inlineStr">
        <is>
          <t>EL Fogon Restobar and Grill</t>
        </is>
      </c>
      <c r="D641" s="3" t="inlineStr">
        <is>
          <t>Legal</t>
        </is>
      </c>
      <c r="E641" s="23" t="n">
        <v>46072</v>
      </c>
      <c r="F641" s="23" t="n">
        <v>46083</v>
      </c>
      <c r="G641" s="3" t="n">
        <v>3</v>
      </c>
      <c r="H641" s="3" t="inlineStr">
        <is>
          <t>5812</t>
        </is>
      </c>
      <c r="I641" s="3" t="inlineStr">
        <is>
          <t>58</t>
        </is>
      </c>
      <c r="J641" s="3" t="inlineStr">
        <is>
          <t>VA</t>
        </is>
      </c>
      <c r="K641" s="3" t="inlineStr">
        <is>
          <t>United Secured Capital 8</t>
        </is>
      </c>
      <c r="L641" s="3" t="inlineStr">
        <is>
          <t>New Deal</t>
        </is>
      </c>
      <c r="M641" s="3" t="n">
        <v>1.49</v>
      </c>
      <c r="N641" s="28" t="n">
        <v>25000</v>
      </c>
      <c r="O641" s="28" t="n">
        <v>0</v>
      </c>
      <c r="P641" s="28" t="n">
        <v>37250</v>
      </c>
      <c r="Q641" s="28" t="n">
        <v>1117.35</v>
      </c>
      <c r="R641" s="28" t="n">
        <v>36132.65</v>
      </c>
      <c r="S641" s="42" t="n">
        <v>0.0299959731543624</v>
      </c>
      <c r="T641" s="3" t="n">
        <v>3.279</v>
      </c>
      <c r="U641" s="3" t="n">
        <v>4</v>
      </c>
      <c r="V641" s="3" t="n">
        <v>67136.31</v>
      </c>
      <c r="W641" s="42" t="n">
        <v>0.1165</v>
      </c>
      <c r="X641" s="23" t="n">
        <v>45816</v>
      </c>
      <c r="Y641" s="3">
        <f>IF(I641="","No SIC",IFERROR(VLOOKUP(I641,Ref!$A$2:$B$65,2,FALSE()),"Unclassified"))</f>
        <v/>
      </c>
      <c r="Z641" s="3">
        <f>IF(T641="","",IF(T641&lt;12,"Daily","Weekly"))</f>
        <v/>
      </c>
      <c r="AA641" s="3">
        <f>IF(T641="",0,IF(T641&lt;12,T641*Controls!$B$13,T641*5))</f>
        <v/>
      </c>
      <c r="AB641" s="3">
        <f>IF(E641="",0,NETWORKDAYS(E641,Controls!$B$20,Ref!$K$2:$K$42))</f>
        <v/>
      </c>
      <c r="AC641" s="3">
        <f>IF(OR(AF641=1,AND(AA641&gt;0,AB641&gt;=Controls!$B$23*AA641)),1,0)</f>
        <v/>
      </c>
      <c r="AD641" s="3">
        <f>IF(AND(E641&lt;&gt;"",E641&gt;=Controls!$B$21,E641&lt;=Controls!$B$22),1,0)</f>
        <v/>
      </c>
      <c r="AE641" s="3">
        <f>IF(IFERROR(VLOOKUP(D641,Controls!$A$36:$E$46,2,FALSE()),"No")="Yes",1,0)</f>
        <v/>
      </c>
      <c r="AF641" s="3">
        <f>IF(IFERROR(VLOOKUP(D641,Controls!$A$36:$E$46,3,FALSE()),"No")="Yes",1,0)</f>
        <v/>
      </c>
      <c r="AG641" s="3">
        <f>IF(IFERROR(VLOOKUP(D641,Controls!$A$36:$E$46,4,FALSE()),"No")="Yes",1,0)</f>
        <v/>
      </c>
      <c r="AH641" s="3">
        <f>IF(IFERROR(VLOOKUP(D641,Controls!$A$36:$E$46,5,FALSE()),"No")="Yes",1,0)</f>
        <v/>
      </c>
      <c r="AI641" s="3">
        <f>IF(ISNUMBER(MATCH(D641,Controls!$A$36:$A$46,0)),1,0)</f>
        <v/>
      </c>
      <c r="AJ641" s="28">
        <f>Q641-N641</f>
        <v/>
      </c>
      <c r="AK641" s="3">
        <f>IF(AE641=1,MAX(0,N641-Q641),0)</f>
        <v/>
      </c>
      <c r="AL641" s="3">
        <f>IF(OR(V641="",V641=0),0,N641/V641)</f>
        <v/>
      </c>
      <c r="AM641" s="3">
        <f>IF(OR(V641="",V641=0),0,1)</f>
        <v/>
      </c>
      <c r="AN641" s="3">
        <f>IF(OR(E641="",F641=""),0,NETWORKDAYS(E641,F641,Ref!$K$2:$K$42))</f>
        <v/>
      </c>
      <c r="AO641" s="3">
        <f>IF(L641="Renewal",1,0)</f>
        <v/>
      </c>
      <c r="AP641" s="3">
        <f>AC641*AD641</f>
        <v/>
      </c>
      <c r="AQ641" s="3">
        <f>IF(AND(G641&lt;&gt;"",'Historical Score'!$C$6&lt;&gt;""),IF(G641='Historical Score'!$C$6,1,0),0)</f>
        <v/>
      </c>
      <c r="AR641" s="3">
        <f>IF(AND(L641&lt;&gt;"",'Historical Score'!$C$5&lt;&gt;""),IF(L641='Historical Score'!$C$5,1,0),0)</f>
        <v/>
      </c>
      <c r="AS641" s="3">
        <f>IF(AND(Y641&lt;&gt;"",'Historical Score'!$C$7&lt;&gt;""),IF(Y641='Historical Score'!$C$7,1,0),0)</f>
        <v/>
      </c>
      <c r="AT641" s="3">
        <f>IF(AND(K641&lt;&gt;"",'Historical Score'!$C$8&lt;&gt;""),IF(K641='Historical Score'!$C$8,1,0),0)</f>
        <v/>
      </c>
      <c r="AU641" s="3" t="n"/>
      <c r="AV641" s="3" t="n"/>
      <c r="AW641" s="3" t="n"/>
      <c r="AX641" s="3" t="n"/>
      <c r="AY641" s="3" t="n"/>
      <c r="AZ641" s="3" t="n"/>
      <c r="BA641" s="182">
        <f>IF(AD641=1,(AR641*'Historical Score'!$K$29+1-'Historical Score'!$K$29)*(AT641*'Historical Score'!$L$29+1-'Historical Score'!$L$29)*(AS641*'Historical Score'!$M$29+1-'Historical Score'!$M$29)*(AQ641*'Historical Score'!$N$29+1-'Historical Score'!$N$29),0)</f>
        <v/>
      </c>
      <c r="BB641" s="3" t="n"/>
      <c r="BC641" s="3" t="n"/>
    </row>
    <row r="642" ht="15.75" customHeight="1" s="174">
      <c r="A642" s="3" t="inlineStr">
        <is>
          <t>5674178767</t>
        </is>
      </c>
      <c r="B642" s="3" t="inlineStr">
        <is>
          <t>Simpl Construction</t>
        </is>
      </c>
      <c r="C642" s="3" t="inlineStr">
        <is>
          <t>Simpl Construction</t>
        </is>
      </c>
      <c r="D642" s="3" t="inlineStr">
        <is>
          <t>Legal</t>
        </is>
      </c>
      <c r="E642" s="23" t="n">
        <v>46072</v>
      </c>
      <c r="F642" s="23" t="n">
        <v>46149</v>
      </c>
      <c r="G642" s="3" t="n">
        <v>3</v>
      </c>
      <c r="H642" s="3" t="inlineStr">
        <is>
          <t>1521</t>
        </is>
      </c>
      <c r="I642" s="3" t="inlineStr">
        <is>
          <t>15</t>
        </is>
      </c>
      <c r="J642" s="3" t="inlineStr">
        <is>
          <t>GA</t>
        </is>
      </c>
      <c r="K642" s="3" t="inlineStr">
        <is>
          <t>Secure Capital Solutions 7</t>
        </is>
      </c>
      <c r="L642" s="3" t="inlineStr">
        <is>
          <t>New Deal</t>
        </is>
      </c>
      <c r="M642" s="3" t="n">
        <v>1.49</v>
      </c>
      <c r="N642" s="28" t="n">
        <v>25000</v>
      </c>
      <c r="O642" s="28" t="n">
        <v>0</v>
      </c>
      <c r="P642" s="28" t="n">
        <v>37250</v>
      </c>
      <c r="Q642" s="28" t="n">
        <v>4346.05</v>
      </c>
      <c r="R642" s="28" t="n">
        <v>32903.95</v>
      </c>
      <c r="S642" s="42" t="n">
        <v>0.116672483221477</v>
      </c>
      <c r="T642" s="3" t="n">
        <v>2.951</v>
      </c>
      <c r="U642" s="3" t="n">
        <v>40</v>
      </c>
      <c r="V642" s="3" t="n">
        <v>80000</v>
      </c>
      <c r="W642" s="42" t="n">
        <v>0.0945</v>
      </c>
      <c r="X642" s="23" t="n">
        <v>42736</v>
      </c>
      <c r="Y642" s="3">
        <f>IF(I642="","No SIC",IFERROR(VLOOKUP(I642,Ref!$A$2:$B$65,2,FALSE()),"Unclassified"))</f>
        <v/>
      </c>
      <c r="Z642" s="3">
        <f>IF(T642="","",IF(T642&lt;12,"Daily","Weekly"))</f>
        <v/>
      </c>
      <c r="AA642" s="3">
        <f>IF(T642="",0,IF(T642&lt;12,T642*Controls!$B$13,T642*5))</f>
        <v/>
      </c>
      <c r="AB642" s="3">
        <f>IF(E642="",0,NETWORKDAYS(E642,Controls!$B$20,Ref!$K$2:$K$42))</f>
        <v/>
      </c>
      <c r="AC642" s="3">
        <f>IF(OR(AF642=1,AND(AA642&gt;0,AB642&gt;=Controls!$B$23*AA642)),1,0)</f>
        <v/>
      </c>
      <c r="AD642" s="3">
        <f>IF(AND(E642&lt;&gt;"",E642&gt;=Controls!$B$21,E642&lt;=Controls!$B$22),1,0)</f>
        <v/>
      </c>
      <c r="AE642" s="3">
        <f>IF(IFERROR(VLOOKUP(D642,Controls!$A$36:$E$46,2,FALSE()),"No")="Yes",1,0)</f>
        <v/>
      </c>
      <c r="AF642" s="3">
        <f>IF(IFERROR(VLOOKUP(D642,Controls!$A$36:$E$46,3,FALSE()),"No")="Yes",1,0)</f>
        <v/>
      </c>
      <c r="AG642" s="3">
        <f>IF(IFERROR(VLOOKUP(D642,Controls!$A$36:$E$46,4,FALSE()),"No")="Yes",1,0)</f>
        <v/>
      </c>
      <c r="AH642" s="3">
        <f>IF(IFERROR(VLOOKUP(D642,Controls!$A$36:$E$46,5,FALSE()),"No")="Yes",1,0)</f>
        <v/>
      </c>
      <c r="AI642" s="3">
        <f>IF(ISNUMBER(MATCH(D642,Controls!$A$36:$A$46,0)),1,0)</f>
        <v/>
      </c>
      <c r="AJ642" s="28">
        <f>Q642-N642</f>
        <v/>
      </c>
      <c r="AK642" s="3">
        <f>IF(AE642=1,MAX(0,N642-Q642),0)</f>
        <v/>
      </c>
      <c r="AL642" s="3">
        <f>IF(OR(V642="",V642=0),0,N642/V642)</f>
        <v/>
      </c>
      <c r="AM642" s="3">
        <f>IF(OR(V642="",V642=0),0,1)</f>
        <v/>
      </c>
      <c r="AN642" s="3">
        <f>IF(OR(E642="",F642=""),0,NETWORKDAYS(E642,F642,Ref!$K$2:$K$42))</f>
        <v/>
      </c>
      <c r="AO642" s="3">
        <f>IF(L642="Renewal",1,0)</f>
        <v/>
      </c>
      <c r="AP642" s="3">
        <f>AC642*AD642</f>
        <v/>
      </c>
      <c r="AQ642" s="3">
        <f>IF(AND(G642&lt;&gt;"",'Historical Score'!$C$6&lt;&gt;""),IF(G642='Historical Score'!$C$6,1,0),0)</f>
        <v/>
      </c>
      <c r="AR642" s="3">
        <f>IF(AND(L642&lt;&gt;"",'Historical Score'!$C$5&lt;&gt;""),IF(L642='Historical Score'!$C$5,1,0),0)</f>
        <v/>
      </c>
      <c r="AS642" s="3">
        <f>IF(AND(Y642&lt;&gt;"",'Historical Score'!$C$7&lt;&gt;""),IF(Y642='Historical Score'!$C$7,1,0),0)</f>
        <v/>
      </c>
      <c r="AT642" s="3">
        <f>IF(AND(K642&lt;&gt;"",'Historical Score'!$C$8&lt;&gt;""),IF(K642='Historical Score'!$C$8,1,0),0)</f>
        <v/>
      </c>
      <c r="AU642" s="3" t="n"/>
      <c r="AV642" s="3" t="n"/>
      <c r="AW642" s="3" t="n"/>
      <c r="AX642" s="3" t="n"/>
      <c r="AY642" s="3" t="n"/>
      <c r="AZ642" s="3" t="n"/>
      <c r="BA642" s="182">
        <f>IF(AD642=1,(AR642*'Historical Score'!$K$29+1-'Historical Score'!$K$29)*(AT642*'Historical Score'!$L$29+1-'Historical Score'!$L$29)*(AS642*'Historical Score'!$M$29+1-'Historical Score'!$M$29)*(AQ642*'Historical Score'!$N$29+1-'Historical Score'!$N$29),0)</f>
        <v/>
      </c>
      <c r="BB642" s="3" t="n"/>
      <c r="BC642" s="3" t="n"/>
    </row>
    <row r="643" ht="15.75" customHeight="1" s="174">
      <c r="A643" s="3" t="inlineStr">
        <is>
          <t>5674178782</t>
        </is>
      </c>
      <c r="B643" s="3" t="inlineStr">
        <is>
          <t>Kc Pharmaceuticals, Inc.</t>
        </is>
      </c>
      <c r="C643" s="3" t="inlineStr">
        <is>
          <t>Kc Pharmaceuticals, Inc.</t>
        </is>
      </c>
      <c r="D643" s="3" t="inlineStr">
        <is>
          <t>Closed</t>
        </is>
      </c>
      <c r="E643" s="23" t="n">
        <v>46072</v>
      </c>
      <c r="F643" s="23" t="n">
        <v>46127</v>
      </c>
      <c r="G643" s="3" t="n">
        <v>2</v>
      </c>
      <c r="H643" s="3" t="inlineStr">
        <is>
          <t>2834</t>
        </is>
      </c>
      <c r="I643" s="3" t="inlineStr">
        <is>
          <t>28</t>
        </is>
      </c>
      <c r="J643" s="3" t="inlineStr">
        <is>
          <t>CA</t>
        </is>
      </c>
      <c r="K643" s="3" t="inlineStr">
        <is>
          <t>Fundwell</t>
        </is>
      </c>
      <c r="L643" s="3" t="inlineStr">
        <is>
          <t>New Deal</t>
        </is>
      </c>
      <c r="M643" s="3" t="n">
        <v>1.36</v>
      </c>
      <c r="N643" s="28" t="n">
        <v>275000</v>
      </c>
      <c r="O643" s="28" t="n">
        <v>27500</v>
      </c>
      <c r="P643" s="28" t="n">
        <v>374000</v>
      </c>
      <c r="Q643" s="28" t="n">
        <v>374000</v>
      </c>
      <c r="R643" s="28" t="n">
        <v>0</v>
      </c>
      <c r="S643" s="42" t="n">
        <v>1</v>
      </c>
      <c r="T643" s="3" t="n">
        <v>52</v>
      </c>
      <c r="U643" s="3" t="n">
        <v>1</v>
      </c>
      <c r="V643" s="3" t="n">
        <v>4622375.62</v>
      </c>
      <c r="W643" s="42" t="n">
        <v>0.0325</v>
      </c>
      <c r="X643" s="23" t="n">
        <v>32082</v>
      </c>
      <c r="Y643" s="3">
        <f>IF(I643="","No SIC",IFERROR(VLOOKUP(I643,Ref!$A$2:$B$65,2,FALSE()),"Unclassified"))</f>
        <v/>
      </c>
      <c r="Z643" s="3">
        <f>IF(T643="","",IF(T643&lt;12,"Daily","Weekly"))</f>
        <v/>
      </c>
      <c r="AA643" s="3">
        <f>IF(T643="",0,IF(T643&lt;12,T643*Controls!$B$13,T643*5))</f>
        <v/>
      </c>
      <c r="AB643" s="3">
        <f>IF(E643="",0,NETWORKDAYS(E643,Controls!$B$20,Ref!$K$2:$K$42))</f>
        <v/>
      </c>
      <c r="AC643" s="3">
        <f>IF(OR(AF643=1,AND(AA643&gt;0,AB643&gt;=Controls!$B$23*AA643)),1,0)</f>
        <v/>
      </c>
      <c r="AD643" s="3">
        <f>IF(AND(E643&lt;&gt;"",E643&gt;=Controls!$B$21,E643&lt;=Controls!$B$22),1,0)</f>
        <v/>
      </c>
      <c r="AE643" s="3">
        <f>IF(IFERROR(VLOOKUP(D643,Controls!$A$36:$E$46,2,FALSE()),"No")="Yes",1,0)</f>
        <v/>
      </c>
      <c r="AF643" s="3">
        <f>IF(IFERROR(VLOOKUP(D643,Controls!$A$36:$E$46,3,FALSE()),"No")="Yes",1,0)</f>
        <v/>
      </c>
      <c r="AG643" s="3">
        <f>IF(IFERROR(VLOOKUP(D643,Controls!$A$36:$E$46,4,FALSE()),"No")="Yes",1,0)</f>
        <v/>
      </c>
      <c r="AH643" s="3">
        <f>IF(IFERROR(VLOOKUP(D643,Controls!$A$36:$E$46,5,FALSE()),"No")="Yes",1,0)</f>
        <v/>
      </c>
      <c r="AI643" s="3">
        <f>IF(ISNUMBER(MATCH(D643,Controls!$A$36:$A$46,0)),1,0)</f>
        <v/>
      </c>
      <c r="AJ643" s="28">
        <f>Q643-N643</f>
        <v/>
      </c>
      <c r="AK643" s="3">
        <f>IF(AE643=1,MAX(0,N643-Q643),0)</f>
        <v/>
      </c>
      <c r="AL643" s="3">
        <f>IF(OR(V643="",V643=0),0,N643/V643)</f>
        <v/>
      </c>
      <c r="AM643" s="3">
        <f>IF(OR(V643="",V643=0),0,1)</f>
        <v/>
      </c>
      <c r="AN643" s="3">
        <f>IF(OR(E643="",F643=""),0,NETWORKDAYS(E643,F643,Ref!$K$2:$K$42))</f>
        <v/>
      </c>
      <c r="AO643" s="3">
        <f>IF(L643="Renewal",1,0)</f>
        <v/>
      </c>
      <c r="AP643" s="3">
        <f>AC643*AD643</f>
        <v/>
      </c>
      <c r="AQ643" s="3">
        <f>IF(AND(G643&lt;&gt;"",'Historical Score'!$C$6&lt;&gt;""),IF(G643='Historical Score'!$C$6,1,0),0)</f>
        <v/>
      </c>
      <c r="AR643" s="3">
        <f>IF(AND(L643&lt;&gt;"",'Historical Score'!$C$5&lt;&gt;""),IF(L643='Historical Score'!$C$5,1,0),0)</f>
        <v/>
      </c>
      <c r="AS643" s="3">
        <f>IF(AND(Y643&lt;&gt;"",'Historical Score'!$C$7&lt;&gt;""),IF(Y643='Historical Score'!$C$7,1,0),0)</f>
        <v/>
      </c>
      <c r="AT643" s="3">
        <f>IF(AND(K643&lt;&gt;"",'Historical Score'!$C$8&lt;&gt;""),IF(K643='Historical Score'!$C$8,1,0),0)</f>
        <v/>
      </c>
      <c r="AU643" s="3" t="n"/>
      <c r="AV643" s="3" t="n"/>
      <c r="AW643" s="3" t="n"/>
      <c r="AX643" s="3" t="n"/>
      <c r="AY643" s="3" t="n"/>
      <c r="AZ643" s="3" t="n"/>
      <c r="BA643" s="182">
        <f>IF(AD643=1,(AR643*'Historical Score'!$K$29+1-'Historical Score'!$K$29)*(AT643*'Historical Score'!$L$29+1-'Historical Score'!$L$29)*(AS643*'Historical Score'!$M$29+1-'Historical Score'!$M$29)*(AQ643*'Historical Score'!$N$29+1-'Historical Score'!$N$29),0)</f>
        <v/>
      </c>
      <c r="BB643" s="3" t="n"/>
      <c r="BC643" s="3" t="n"/>
    </row>
    <row r="644" ht="15.75" customHeight="1" s="174">
      <c r="A644" s="3" t="inlineStr">
        <is>
          <t>5674178840</t>
        </is>
      </c>
      <c r="B644" s="3" t="inlineStr">
        <is>
          <t>K&amp;JTowing,Inc</t>
        </is>
      </c>
      <c r="C644" s="3" t="inlineStr">
        <is>
          <t>K&amp;JTowing,Inc</t>
        </is>
      </c>
      <c r="D644" s="3" t="inlineStr">
        <is>
          <t>Closed</t>
        </is>
      </c>
      <c r="E644" s="23" t="n">
        <v>46073</v>
      </c>
      <c r="F644" s="23" t="n">
        <v>46136</v>
      </c>
      <c r="G644" s="3" t="n">
        <v>3</v>
      </c>
      <c r="H644" s="3" t="inlineStr">
        <is>
          <t>4492</t>
        </is>
      </c>
      <c r="I644" s="3" t="inlineStr">
        <is>
          <t>44</t>
        </is>
      </c>
      <c r="J644" s="3" t="inlineStr">
        <is>
          <t>No state</t>
        </is>
      </c>
      <c r="K644" s="3" t="inlineStr">
        <is>
          <t>Atla Finance</t>
        </is>
      </c>
      <c r="L644" s="3" t="inlineStr">
        <is>
          <t>Renewal</t>
        </is>
      </c>
      <c r="M644" s="3" t="n">
        <v>1.32024</v>
      </c>
      <c r="N644" s="28" t="n">
        <v>25000</v>
      </c>
      <c r="O644" s="28" t="n">
        <v>2125</v>
      </c>
      <c r="P644" s="28" t="n">
        <v>33006</v>
      </c>
      <c r="Q644" s="28" t="n">
        <v>33006</v>
      </c>
      <c r="R644" s="28" t="n">
        <v>0</v>
      </c>
      <c r="S644" s="42" t="n">
        <v>1</v>
      </c>
      <c r="T644" s="3" t="n">
        <v>30</v>
      </c>
      <c r="U644" s="3" t="n">
        <v>0</v>
      </c>
      <c r="V644" s="3" t="n">
        <v>120000</v>
      </c>
      <c r="W644" s="42" t="n">
        <v>0.1248</v>
      </c>
      <c r="X644" s="23" t="n">
        <v>42644</v>
      </c>
      <c r="Y644" s="3">
        <f>IF(I644="","No SIC",IFERROR(VLOOKUP(I644,Ref!$A$2:$B$65,2,FALSE()),"Unclassified"))</f>
        <v/>
      </c>
      <c r="Z644" s="3">
        <f>IF(T644="","",IF(T644&lt;12,"Daily","Weekly"))</f>
        <v/>
      </c>
      <c r="AA644" s="3">
        <f>IF(T644="",0,IF(T644&lt;12,T644*Controls!$B$13,T644*5))</f>
        <v/>
      </c>
      <c r="AB644" s="3">
        <f>IF(E644="",0,NETWORKDAYS(E644,Controls!$B$20,Ref!$K$2:$K$42))</f>
        <v/>
      </c>
      <c r="AC644" s="3">
        <f>IF(OR(AF644=1,AND(AA644&gt;0,AB644&gt;=Controls!$B$23*AA644)),1,0)</f>
        <v/>
      </c>
      <c r="AD644" s="3">
        <f>IF(AND(E644&lt;&gt;"",E644&gt;=Controls!$B$21,E644&lt;=Controls!$B$22),1,0)</f>
        <v/>
      </c>
      <c r="AE644" s="3">
        <f>IF(IFERROR(VLOOKUP(D644,Controls!$A$36:$E$46,2,FALSE()),"No")="Yes",1,0)</f>
        <v/>
      </c>
      <c r="AF644" s="3">
        <f>IF(IFERROR(VLOOKUP(D644,Controls!$A$36:$E$46,3,FALSE()),"No")="Yes",1,0)</f>
        <v/>
      </c>
      <c r="AG644" s="3">
        <f>IF(IFERROR(VLOOKUP(D644,Controls!$A$36:$E$46,4,FALSE()),"No")="Yes",1,0)</f>
        <v/>
      </c>
      <c r="AH644" s="3">
        <f>IF(IFERROR(VLOOKUP(D644,Controls!$A$36:$E$46,5,FALSE()),"No")="Yes",1,0)</f>
        <v/>
      </c>
      <c r="AI644" s="3">
        <f>IF(ISNUMBER(MATCH(D644,Controls!$A$36:$A$46,0)),1,0)</f>
        <v/>
      </c>
      <c r="AJ644" s="28">
        <f>Q644-N644</f>
        <v/>
      </c>
      <c r="AK644" s="3">
        <f>IF(AE644=1,MAX(0,N644-Q644),0)</f>
        <v/>
      </c>
      <c r="AL644" s="3">
        <f>IF(OR(V644="",V644=0),0,N644/V644)</f>
        <v/>
      </c>
      <c r="AM644" s="3">
        <f>IF(OR(V644="",V644=0),0,1)</f>
        <v/>
      </c>
      <c r="AN644" s="3">
        <f>IF(OR(E644="",F644=""),0,NETWORKDAYS(E644,F644,Ref!$K$2:$K$42))</f>
        <v/>
      </c>
      <c r="AO644" s="3">
        <f>IF(L644="Renewal",1,0)</f>
        <v/>
      </c>
      <c r="AP644" s="3">
        <f>AC644*AD644</f>
        <v/>
      </c>
      <c r="AQ644" s="3">
        <f>IF(AND(G644&lt;&gt;"",'Historical Score'!$C$6&lt;&gt;""),IF(G644='Historical Score'!$C$6,1,0),0)</f>
        <v/>
      </c>
      <c r="AR644" s="3">
        <f>IF(AND(L644&lt;&gt;"",'Historical Score'!$C$5&lt;&gt;""),IF(L644='Historical Score'!$C$5,1,0),0)</f>
        <v/>
      </c>
      <c r="AS644" s="3">
        <f>IF(AND(Y644&lt;&gt;"",'Historical Score'!$C$7&lt;&gt;""),IF(Y644='Historical Score'!$C$7,1,0),0)</f>
        <v/>
      </c>
      <c r="AT644" s="3">
        <f>IF(AND(K644&lt;&gt;"",'Historical Score'!$C$8&lt;&gt;""),IF(K644='Historical Score'!$C$8,1,0),0)</f>
        <v/>
      </c>
      <c r="AU644" s="3" t="n"/>
      <c r="AV644" s="3" t="n"/>
      <c r="AW644" s="3" t="n"/>
      <c r="AX644" s="3" t="n"/>
      <c r="AY644" s="3" t="n"/>
      <c r="AZ644" s="3" t="n"/>
      <c r="BA644" s="182">
        <f>IF(AD644=1,(AR644*'Historical Score'!$K$29+1-'Historical Score'!$K$29)*(AT644*'Historical Score'!$L$29+1-'Historical Score'!$L$29)*(AS644*'Historical Score'!$M$29+1-'Historical Score'!$M$29)*(AQ644*'Historical Score'!$N$29+1-'Historical Score'!$N$29),0)</f>
        <v/>
      </c>
      <c r="BB644" s="3" t="n"/>
      <c r="BC644" s="3" t="n"/>
    </row>
    <row r="645" ht="15.75" customHeight="1" s="174">
      <c r="A645" s="3" t="inlineStr">
        <is>
          <t>5674178857</t>
        </is>
      </c>
      <c r="B645" s="3" t="inlineStr">
        <is>
          <t>AMINO PHARM LLC</t>
        </is>
      </c>
      <c r="C645" s="3" t="inlineStr">
        <is>
          <t>AMINO PHARM LLC</t>
        </is>
      </c>
      <c r="D645" s="3" t="inlineStr">
        <is>
          <t>Closed</t>
        </is>
      </c>
      <c r="E645" s="23" t="n">
        <v>46073</v>
      </c>
      <c r="F645" s="23" t="n">
        <v>46213</v>
      </c>
      <c r="G645" s="3" t="n">
        <v>3</v>
      </c>
      <c r="H645" s="3" t="inlineStr">
        <is>
          <t>2834</t>
        </is>
      </c>
      <c r="I645" s="3" t="inlineStr">
        <is>
          <t>28</t>
        </is>
      </c>
      <c r="J645" s="3" t="inlineStr">
        <is>
          <t>UT</t>
        </is>
      </c>
      <c r="K645" s="3" t="inlineStr">
        <is>
          <t>Ballicci</t>
        </is>
      </c>
      <c r="L645" s="3" t="inlineStr">
        <is>
          <t>New Deal</t>
        </is>
      </c>
      <c r="M645" s="3" t="n">
        <v>1.41</v>
      </c>
      <c r="N645" s="28" t="n">
        <v>20000</v>
      </c>
      <c r="O645" s="28" t="n">
        <v>2000</v>
      </c>
      <c r="P645" s="28" t="n">
        <v>28200</v>
      </c>
      <c r="Q645" s="28" t="n">
        <v>28200</v>
      </c>
      <c r="R645" s="28" t="n">
        <v>0</v>
      </c>
      <c r="S645" s="42" t="n">
        <v>1</v>
      </c>
      <c r="T645" s="3" t="n">
        <v>20</v>
      </c>
      <c r="U645" s="3" t="n">
        <v>0</v>
      </c>
      <c r="V645" s="3" t="n">
        <v>32069.05</v>
      </c>
      <c r="W645" s="42" t="n">
        <v>0.1759</v>
      </c>
      <c r="X645" s="23" t="n">
        <v>45728</v>
      </c>
      <c r="Y645" s="3">
        <f>IF(I645="","No SIC",IFERROR(VLOOKUP(I645,Ref!$A$2:$B$65,2,FALSE()),"Unclassified"))</f>
        <v/>
      </c>
      <c r="Z645" s="3">
        <f>IF(T645="","",IF(T645&lt;12,"Daily","Weekly"))</f>
        <v/>
      </c>
      <c r="AA645" s="3">
        <f>IF(T645="",0,IF(T645&lt;12,T645*Controls!$B$13,T645*5))</f>
        <v/>
      </c>
      <c r="AB645" s="3">
        <f>IF(E645="",0,NETWORKDAYS(E645,Controls!$B$20,Ref!$K$2:$K$42))</f>
        <v/>
      </c>
      <c r="AC645" s="3">
        <f>IF(OR(AF645=1,AND(AA645&gt;0,AB645&gt;=Controls!$B$23*AA645)),1,0)</f>
        <v/>
      </c>
      <c r="AD645" s="3">
        <f>IF(AND(E645&lt;&gt;"",E645&gt;=Controls!$B$21,E645&lt;=Controls!$B$22),1,0)</f>
        <v/>
      </c>
      <c r="AE645" s="3">
        <f>IF(IFERROR(VLOOKUP(D645,Controls!$A$36:$E$46,2,FALSE()),"No")="Yes",1,0)</f>
        <v/>
      </c>
      <c r="AF645" s="3">
        <f>IF(IFERROR(VLOOKUP(D645,Controls!$A$36:$E$46,3,FALSE()),"No")="Yes",1,0)</f>
        <v/>
      </c>
      <c r="AG645" s="3">
        <f>IF(IFERROR(VLOOKUP(D645,Controls!$A$36:$E$46,4,FALSE()),"No")="Yes",1,0)</f>
        <v/>
      </c>
      <c r="AH645" s="3">
        <f>IF(IFERROR(VLOOKUP(D645,Controls!$A$36:$E$46,5,FALSE()),"No")="Yes",1,0)</f>
        <v/>
      </c>
      <c r="AI645" s="3">
        <f>IF(ISNUMBER(MATCH(D645,Controls!$A$36:$A$46,0)),1,0)</f>
        <v/>
      </c>
      <c r="AJ645" s="28">
        <f>Q645-N645</f>
        <v/>
      </c>
      <c r="AK645" s="3">
        <f>IF(AE645=1,MAX(0,N645-Q645),0)</f>
        <v/>
      </c>
      <c r="AL645" s="3">
        <f>IF(OR(V645="",V645=0),0,N645/V645)</f>
        <v/>
      </c>
      <c r="AM645" s="3">
        <f>IF(OR(V645="",V645=0),0,1)</f>
        <v/>
      </c>
      <c r="AN645" s="3">
        <f>IF(OR(E645="",F645=""),0,NETWORKDAYS(E645,F645,Ref!$K$2:$K$42))</f>
        <v/>
      </c>
      <c r="AO645" s="3">
        <f>IF(L645="Renewal",1,0)</f>
        <v/>
      </c>
      <c r="AP645" s="3">
        <f>AC645*AD645</f>
        <v/>
      </c>
      <c r="AQ645" s="3">
        <f>IF(AND(G645&lt;&gt;"",'Historical Score'!$C$6&lt;&gt;""),IF(G645='Historical Score'!$C$6,1,0),0)</f>
        <v/>
      </c>
      <c r="AR645" s="3">
        <f>IF(AND(L645&lt;&gt;"",'Historical Score'!$C$5&lt;&gt;""),IF(L645='Historical Score'!$C$5,1,0),0)</f>
        <v/>
      </c>
      <c r="AS645" s="3">
        <f>IF(AND(Y645&lt;&gt;"",'Historical Score'!$C$7&lt;&gt;""),IF(Y645='Historical Score'!$C$7,1,0),0)</f>
        <v/>
      </c>
      <c r="AT645" s="3">
        <f>IF(AND(K645&lt;&gt;"",'Historical Score'!$C$8&lt;&gt;""),IF(K645='Historical Score'!$C$8,1,0),0)</f>
        <v/>
      </c>
      <c r="AU645" s="3" t="n"/>
      <c r="AV645" s="3" t="n"/>
      <c r="AW645" s="3" t="n"/>
      <c r="AX645" s="3" t="n"/>
      <c r="AY645" s="3" t="n"/>
      <c r="AZ645" s="3" t="n"/>
      <c r="BA645" s="182">
        <f>IF(AD645=1,(AR645*'Historical Score'!$K$29+1-'Historical Score'!$K$29)*(AT645*'Historical Score'!$L$29+1-'Historical Score'!$L$29)*(AS645*'Historical Score'!$M$29+1-'Historical Score'!$M$29)*(AQ645*'Historical Score'!$N$29+1-'Historical Score'!$N$29),0)</f>
        <v/>
      </c>
      <c r="BB645" s="3" t="n"/>
      <c r="BC645" s="3" t="n"/>
    </row>
    <row r="646" ht="15.75" customHeight="1" s="174">
      <c r="A646" s="3" t="inlineStr">
        <is>
          <t>5674178874</t>
        </is>
      </c>
      <c r="B646" s="3" t="inlineStr">
        <is>
          <t>Precision Home Builders</t>
        </is>
      </c>
      <c r="C646" s="3" t="inlineStr">
        <is>
          <t>PHB LLC</t>
        </is>
      </c>
      <c r="D646" s="3" t="inlineStr">
        <is>
          <t>Open</t>
        </is>
      </c>
      <c r="E646" s="23" t="n">
        <v>46073</v>
      </c>
      <c r="F646" s="23" t="n">
        <v>46248</v>
      </c>
      <c r="G646" s="3" t="n">
        <v>3</v>
      </c>
      <c r="H646" s="3" t="inlineStr">
        <is>
          <t>1521</t>
        </is>
      </c>
      <c r="I646" s="3" t="inlineStr">
        <is>
          <t>15</t>
        </is>
      </c>
      <c r="J646" s="3" t="inlineStr">
        <is>
          <t>CO</t>
        </is>
      </c>
      <c r="K646" s="3" t="inlineStr">
        <is>
          <t>Westwood</t>
        </is>
      </c>
      <c r="L646" s="3" t="inlineStr">
        <is>
          <t>New Deal</t>
        </is>
      </c>
      <c r="M646" s="3" t="n">
        <v>1.49</v>
      </c>
      <c r="N646" s="28" t="n">
        <v>18000</v>
      </c>
      <c r="O646" s="28" t="n">
        <v>2520</v>
      </c>
      <c r="P646" s="28" t="n">
        <v>26820</v>
      </c>
      <c r="Q646" s="28" t="n">
        <v>26820</v>
      </c>
      <c r="R646" s="28" t="n">
        <v>0</v>
      </c>
      <c r="S646" s="42" t="n">
        <v>1</v>
      </c>
      <c r="T646" s="3" t="n">
        <v>24</v>
      </c>
      <c r="U646" s="3" t="n">
        <v>0</v>
      </c>
      <c r="V646" s="3" t="n">
        <v>51085.47</v>
      </c>
      <c r="W646" s="42" t="n">
        <v>0.08749999999999999</v>
      </c>
      <c r="X646" s="23" t="n">
        <v>44567</v>
      </c>
      <c r="Y646" s="3">
        <f>IF(I646="","No SIC",IFERROR(VLOOKUP(I646,Ref!$A$2:$B$65,2,FALSE()),"Unclassified"))</f>
        <v/>
      </c>
      <c r="Z646" s="3">
        <f>IF(T646="","",IF(T646&lt;12,"Daily","Weekly"))</f>
        <v/>
      </c>
      <c r="AA646" s="3">
        <f>IF(T646="",0,IF(T646&lt;12,T646*Controls!$B$13,T646*5))</f>
        <v/>
      </c>
      <c r="AB646" s="3">
        <f>IF(E646="",0,NETWORKDAYS(E646,Controls!$B$20,Ref!$K$2:$K$42))</f>
        <v/>
      </c>
      <c r="AC646" s="3">
        <f>IF(OR(AF646=1,AND(AA646&gt;0,AB646&gt;=Controls!$B$23*AA646)),1,0)</f>
        <v/>
      </c>
      <c r="AD646" s="3">
        <f>IF(AND(E646&lt;&gt;"",E646&gt;=Controls!$B$21,E646&lt;=Controls!$B$22),1,0)</f>
        <v/>
      </c>
      <c r="AE646" s="3">
        <f>IF(IFERROR(VLOOKUP(D646,Controls!$A$36:$E$46,2,FALSE()),"No")="Yes",1,0)</f>
        <v/>
      </c>
      <c r="AF646" s="3">
        <f>IF(IFERROR(VLOOKUP(D646,Controls!$A$36:$E$46,3,FALSE()),"No")="Yes",1,0)</f>
        <v/>
      </c>
      <c r="AG646" s="3">
        <f>IF(IFERROR(VLOOKUP(D646,Controls!$A$36:$E$46,4,FALSE()),"No")="Yes",1,0)</f>
        <v/>
      </c>
      <c r="AH646" s="3">
        <f>IF(IFERROR(VLOOKUP(D646,Controls!$A$36:$E$46,5,FALSE()),"No")="Yes",1,0)</f>
        <v/>
      </c>
      <c r="AI646" s="3">
        <f>IF(ISNUMBER(MATCH(D646,Controls!$A$36:$A$46,0)),1,0)</f>
        <v/>
      </c>
      <c r="AJ646" s="28">
        <f>Q646-N646</f>
        <v/>
      </c>
      <c r="AK646" s="3">
        <f>IF(AE646=1,MAX(0,N646-Q646),0)</f>
        <v/>
      </c>
      <c r="AL646" s="3">
        <f>IF(OR(V646="",V646=0),0,N646/V646)</f>
        <v/>
      </c>
      <c r="AM646" s="3">
        <f>IF(OR(V646="",V646=0),0,1)</f>
        <v/>
      </c>
      <c r="AN646" s="3">
        <f>IF(OR(E646="",F646=""),0,NETWORKDAYS(E646,F646,Ref!$K$2:$K$42))</f>
        <v/>
      </c>
      <c r="AO646" s="3">
        <f>IF(L646="Renewal",1,0)</f>
        <v/>
      </c>
      <c r="AP646" s="3">
        <f>AC646*AD646</f>
        <v/>
      </c>
      <c r="AQ646" s="3">
        <f>IF(AND(G646&lt;&gt;"",'Historical Score'!$C$6&lt;&gt;""),IF(G646='Historical Score'!$C$6,1,0),0)</f>
        <v/>
      </c>
      <c r="AR646" s="3">
        <f>IF(AND(L646&lt;&gt;"",'Historical Score'!$C$5&lt;&gt;""),IF(L646='Historical Score'!$C$5,1,0),0)</f>
        <v/>
      </c>
      <c r="AS646" s="3">
        <f>IF(AND(Y646&lt;&gt;"",'Historical Score'!$C$7&lt;&gt;""),IF(Y646='Historical Score'!$C$7,1,0),0)</f>
        <v/>
      </c>
      <c r="AT646" s="3">
        <f>IF(AND(K646&lt;&gt;"",'Historical Score'!$C$8&lt;&gt;""),IF(K646='Historical Score'!$C$8,1,0),0)</f>
        <v/>
      </c>
      <c r="AU646" s="3" t="n"/>
      <c r="AV646" s="3" t="n"/>
      <c r="AW646" s="3" t="n"/>
      <c r="AX646" s="3" t="n"/>
      <c r="AY646" s="3" t="n"/>
      <c r="AZ646" s="3" t="n"/>
      <c r="BA646" s="182">
        <f>IF(AD646=1,(AR646*'Historical Score'!$K$29+1-'Historical Score'!$K$29)*(AT646*'Historical Score'!$L$29+1-'Historical Score'!$L$29)*(AS646*'Historical Score'!$M$29+1-'Historical Score'!$M$29)*(AQ646*'Historical Score'!$N$29+1-'Historical Score'!$N$29),0)</f>
        <v/>
      </c>
      <c r="BB646" s="3" t="n"/>
      <c r="BC646" s="3" t="n"/>
    </row>
    <row r="647" ht="15.75" customHeight="1" s="174">
      <c r="A647" s="3" t="inlineStr">
        <is>
          <t>5674178880</t>
        </is>
      </c>
      <c r="B647" s="3" t="inlineStr">
        <is>
          <t>REDELIFT EQUIPMENT LIMITED LTD</t>
        </is>
      </c>
      <c r="C647" s="3" t="inlineStr">
        <is>
          <t>REDELIFT EQUIPMENT LIMITED LTD</t>
        </is>
      </c>
      <c r="D647" s="3" t="inlineStr">
        <is>
          <t>Open</t>
        </is>
      </c>
      <c r="E647" s="23" t="n">
        <v>46073</v>
      </c>
      <c r="F647" s="23" t="n">
        <v>46253</v>
      </c>
      <c r="G647" s="3" t="n">
        <v>3</v>
      </c>
      <c r="H647" s="3" t="inlineStr">
        <is>
          <t>1521</t>
        </is>
      </c>
      <c r="I647" s="3" t="inlineStr">
        <is>
          <t>15</t>
        </is>
      </c>
      <c r="J647" s="3" t="inlineStr">
        <is>
          <t>TX</t>
        </is>
      </c>
      <c r="K647" s="3" t="inlineStr">
        <is>
          <t>level 3 funding</t>
        </is>
      </c>
      <c r="L647" s="3" t="inlineStr">
        <is>
          <t>Renewal</t>
        </is>
      </c>
      <c r="M647" s="3" t="n">
        <v>1.49</v>
      </c>
      <c r="N647" s="28" t="n">
        <v>7500</v>
      </c>
      <c r="O647" s="28" t="n">
        <v>1050</v>
      </c>
      <c r="P647" s="28" t="n">
        <v>11175</v>
      </c>
      <c r="Q647" s="28" t="n">
        <v>8131.17</v>
      </c>
      <c r="R647" s="28" t="n">
        <v>3043.83</v>
      </c>
      <c r="S647" s="42" t="n">
        <v>0.727621476510067</v>
      </c>
      <c r="T647" s="3" t="n">
        <v>2.951</v>
      </c>
      <c r="U647" s="3" t="n">
        <v>29</v>
      </c>
      <c r="V647" s="3" t="n">
        <v>24710.48</v>
      </c>
      <c r="W647" s="42" t="n">
        <v>0.1055</v>
      </c>
      <c r="X647" s="23" t="n">
        <v>45289</v>
      </c>
      <c r="Y647" s="3">
        <f>IF(I647="","No SIC",IFERROR(VLOOKUP(I647,Ref!$A$2:$B$65,2,FALSE()),"Unclassified"))</f>
        <v/>
      </c>
      <c r="Z647" s="3">
        <f>IF(T647="","",IF(T647&lt;12,"Daily","Weekly"))</f>
        <v/>
      </c>
      <c r="AA647" s="3">
        <f>IF(T647="",0,IF(T647&lt;12,T647*Controls!$B$13,T647*5))</f>
        <v/>
      </c>
      <c r="AB647" s="3">
        <f>IF(E647="",0,NETWORKDAYS(E647,Controls!$B$20,Ref!$K$2:$K$42))</f>
        <v/>
      </c>
      <c r="AC647" s="3">
        <f>IF(OR(AF647=1,AND(AA647&gt;0,AB647&gt;=Controls!$B$23*AA647)),1,0)</f>
        <v/>
      </c>
      <c r="AD647" s="3">
        <f>IF(AND(E647&lt;&gt;"",E647&gt;=Controls!$B$21,E647&lt;=Controls!$B$22),1,0)</f>
        <v/>
      </c>
      <c r="AE647" s="3">
        <f>IF(IFERROR(VLOOKUP(D647,Controls!$A$36:$E$46,2,FALSE()),"No")="Yes",1,0)</f>
        <v/>
      </c>
      <c r="AF647" s="3">
        <f>IF(IFERROR(VLOOKUP(D647,Controls!$A$36:$E$46,3,FALSE()),"No")="Yes",1,0)</f>
        <v/>
      </c>
      <c r="AG647" s="3">
        <f>IF(IFERROR(VLOOKUP(D647,Controls!$A$36:$E$46,4,FALSE()),"No")="Yes",1,0)</f>
        <v/>
      </c>
      <c r="AH647" s="3">
        <f>IF(IFERROR(VLOOKUP(D647,Controls!$A$36:$E$46,5,FALSE()),"No")="Yes",1,0)</f>
        <v/>
      </c>
      <c r="AI647" s="3">
        <f>IF(ISNUMBER(MATCH(D647,Controls!$A$36:$A$46,0)),1,0)</f>
        <v/>
      </c>
      <c r="AJ647" s="28">
        <f>Q647-N647</f>
        <v/>
      </c>
      <c r="AK647" s="3">
        <f>IF(AE647=1,MAX(0,N647-Q647),0)</f>
        <v/>
      </c>
      <c r="AL647" s="3">
        <f>IF(OR(V647="",V647=0),0,N647/V647)</f>
        <v/>
      </c>
      <c r="AM647" s="3">
        <f>IF(OR(V647="",V647=0),0,1)</f>
        <v/>
      </c>
      <c r="AN647" s="3">
        <f>IF(OR(E647="",F647=""),0,NETWORKDAYS(E647,F647,Ref!$K$2:$K$42))</f>
        <v/>
      </c>
      <c r="AO647" s="3">
        <f>IF(L647="Renewal",1,0)</f>
        <v/>
      </c>
      <c r="AP647" s="3">
        <f>AC647*AD647</f>
        <v/>
      </c>
      <c r="AQ647" s="3">
        <f>IF(AND(G647&lt;&gt;"",'Historical Score'!$C$6&lt;&gt;""),IF(G647='Historical Score'!$C$6,1,0),0)</f>
        <v/>
      </c>
      <c r="AR647" s="3">
        <f>IF(AND(L647&lt;&gt;"",'Historical Score'!$C$5&lt;&gt;""),IF(L647='Historical Score'!$C$5,1,0),0)</f>
        <v/>
      </c>
      <c r="AS647" s="3">
        <f>IF(AND(Y647&lt;&gt;"",'Historical Score'!$C$7&lt;&gt;""),IF(Y647='Historical Score'!$C$7,1,0),0)</f>
        <v/>
      </c>
      <c r="AT647" s="3">
        <f>IF(AND(K647&lt;&gt;"",'Historical Score'!$C$8&lt;&gt;""),IF(K647='Historical Score'!$C$8,1,0),0)</f>
        <v/>
      </c>
      <c r="AU647" s="3" t="n"/>
      <c r="AV647" s="3" t="n"/>
      <c r="AW647" s="3" t="n"/>
      <c r="AX647" s="3" t="n"/>
      <c r="AY647" s="3" t="n"/>
      <c r="AZ647" s="3" t="n"/>
      <c r="BA647" s="182">
        <f>IF(AD647=1,(AR647*'Historical Score'!$K$29+1-'Historical Score'!$K$29)*(AT647*'Historical Score'!$L$29+1-'Historical Score'!$L$29)*(AS647*'Historical Score'!$M$29+1-'Historical Score'!$M$29)*(AQ647*'Historical Score'!$N$29+1-'Historical Score'!$N$29),0)</f>
        <v/>
      </c>
      <c r="BB647" s="3" t="n"/>
      <c r="BC647" s="3" t="n"/>
    </row>
    <row r="648" ht="15.75" customHeight="1" s="174">
      <c r="A648" s="3" t="inlineStr">
        <is>
          <t>5674178899</t>
        </is>
      </c>
      <c r="B648" s="3" t="inlineStr">
        <is>
          <t>DLW Remodeling</t>
        </is>
      </c>
      <c r="C648" s="3" t="inlineStr">
        <is>
          <t>DL Woolfolk Group LLC</t>
        </is>
      </c>
      <c r="D648" s="3" t="inlineStr">
        <is>
          <t>Lowered Payments</t>
        </is>
      </c>
      <c r="E648" s="23" t="n">
        <v>46073</v>
      </c>
      <c r="F648" s="23" t="n">
        <v>46248</v>
      </c>
      <c r="G648" s="3" t="n">
        <v>3</v>
      </c>
      <c r="H648" s="3" t="inlineStr">
        <is>
          <t>1521</t>
        </is>
      </c>
      <c r="I648" s="3" t="inlineStr">
        <is>
          <t>15</t>
        </is>
      </c>
      <c r="J648" s="3" t="inlineStr">
        <is>
          <t>CO</t>
        </is>
      </c>
      <c r="K648" s="3" t="inlineStr">
        <is>
          <t>Ballicci</t>
        </is>
      </c>
      <c r="L648" s="3" t="inlineStr">
        <is>
          <t>New Deal</t>
        </is>
      </c>
      <c r="M648" s="3" t="n">
        <v>1.49</v>
      </c>
      <c r="N648" s="28" t="n">
        <v>15000</v>
      </c>
      <c r="O648" s="28" t="n">
        <v>2100</v>
      </c>
      <c r="P648" s="28" t="n">
        <v>22350</v>
      </c>
      <c r="Q648" s="28" t="n">
        <v>8155.05</v>
      </c>
      <c r="R648" s="28" t="n">
        <v>14194.95</v>
      </c>
      <c r="S648" s="42" t="n">
        <v>0.364879194630873</v>
      </c>
      <c r="T648" s="3" t="n">
        <v>3.279</v>
      </c>
      <c r="U648" s="3" t="n">
        <v>17</v>
      </c>
      <c r="V648" s="3" t="n">
        <v>90501.10000000001</v>
      </c>
      <c r="W648" s="42" t="n">
        <v>0.0519</v>
      </c>
      <c r="X648" s="23" t="n">
        <v>45057</v>
      </c>
      <c r="Y648" s="3">
        <f>IF(I648="","No SIC",IFERROR(VLOOKUP(I648,Ref!$A$2:$B$65,2,FALSE()),"Unclassified"))</f>
        <v/>
      </c>
      <c r="Z648" s="3">
        <f>IF(T648="","",IF(T648&lt;12,"Daily","Weekly"))</f>
        <v/>
      </c>
      <c r="AA648" s="3">
        <f>IF(T648="",0,IF(T648&lt;12,T648*Controls!$B$13,T648*5))</f>
        <v/>
      </c>
      <c r="AB648" s="3">
        <f>IF(E648="",0,NETWORKDAYS(E648,Controls!$B$20,Ref!$K$2:$K$42))</f>
        <v/>
      </c>
      <c r="AC648" s="3">
        <f>IF(OR(AF648=1,AND(AA648&gt;0,AB648&gt;=Controls!$B$23*AA648)),1,0)</f>
        <v/>
      </c>
      <c r="AD648" s="3">
        <f>IF(AND(E648&lt;&gt;"",E648&gt;=Controls!$B$21,E648&lt;=Controls!$B$22),1,0)</f>
        <v/>
      </c>
      <c r="AE648" s="3">
        <f>IF(IFERROR(VLOOKUP(D648,Controls!$A$36:$E$46,2,FALSE()),"No")="Yes",1,0)</f>
        <v/>
      </c>
      <c r="AF648" s="3">
        <f>IF(IFERROR(VLOOKUP(D648,Controls!$A$36:$E$46,3,FALSE()),"No")="Yes",1,0)</f>
        <v/>
      </c>
      <c r="AG648" s="3">
        <f>IF(IFERROR(VLOOKUP(D648,Controls!$A$36:$E$46,4,FALSE()),"No")="Yes",1,0)</f>
        <v/>
      </c>
      <c r="AH648" s="3">
        <f>IF(IFERROR(VLOOKUP(D648,Controls!$A$36:$E$46,5,FALSE()),"No")="Yes",1,0)</f>
        <v/>
      </c>
      <c r="AI648" s="3">
        <f>IF(ISNUMBER(MATCH(D648,Controls!$A$36:$A$46,0)),1,0)</f>
        <v/>
      </c>
      <c r="AJ648" s="28">
        <f>Q648-N648</f>
        <v/>
      </c>
      <c r="AK648" s="3">
        <f>IF(AE648=1,MAX(0,N648-Q648),0)</f>
        <v/>
      </c>
      <c r="AL648" s="3">
        <f>IF(OR(V648="",V648=0),0,N648/V648)</f>
        <v/>
      </c>
      <c r="AM648" s="3">
        <f>IF(OR(V648="",V648=0),0,1)</f>
        <v/>
      </c>
      <c r="AN648" s="3">
        <f>IF(OR(E648="",F648=""),0,NETWORKDAYS(E648,F648,Ref!$K$2:$K$42))</f>
        <v/>
      </c>
      <c r="AO648" s="3">
        <f>IF(L648="Renewal",1,0)</f>
        <v/>
      </c>
      <c r="AP648" s="3">
        <f>AC648*AD648</f>
        <v/>
      </c>
      <c r="AQ648" s="3">
        <f>IF(AND(G648&lt;&gt;"",'Historical Score'!$C$6&lt;&gt;""),IF(G648='Historical Score'!$C$6,1,0),0)</f>
        <v/>
      </c>
      <c r="AR648" s="3">
        <f>IF(AND(L648&lt;&gt;"",'Historical Score'!$C$5&lt;&gt;""),IF(L648='Historical Score'!$C$5,1,0),0)</f>
        <v/>
      </c>
      <c r="AS648" s="3">
        <f>IF(AND(Y648&lt;&gt;"",'Historical Score'!$C$7&lt;&gt;""),IF(Y648='Historical Score'!$C$7,1,0),0)</f>
        <v/>
      </c>
      <c r="AT648" s="3">
        <f>IF(AND(K648&lt;&gt;"",'Historical Score'!$C$8&lt;&gt;""),IF(K648='Historical Score'!$C$8,1,0),0)</f>
        <v/>
      </c>
      <c r="AU648" s="3" t="n"/>
      <c r="AV648" s="3" t="n"/>
      <c r="AW648" s="3" t="n"/>
      <c r="AX648" s="3" t="n"/>
      <c r="AY648" s="3" t="n"/>
      <c r="AZ648" s="3" t="n"/>
      <c r="BA648" s="182">
        <f>IF(AD648=1,(AR648*'Historical Score'!$K$29+1-'Historical Score'!$K$29)*(AT648*'Historical Score'!$L$29+1-'Historical Score'!$L$29)*(AS648*'Historical Score'!$M$29+1-'Historical Score'!$M$29)*(AQ648*'Historical Score'!$N$29+1-'Historical Score'!$N$29),0)</f>
        <v/>
      </c>
      <c r="BB648" s="3" t="n"/>
      <c r="BC648" s="3" t="n"/>
    </row>
    <row r="649" ht="15.75" customHeight="1" s="174">
      <c r="A649" s="3" t="inlineStr">
        <is>
          <t>5674178958</t>
        </is>
      </c>
      <c r="B649" s="3" t="inlineStr">
        <is>
          <t>C&amp;G Services Systems LLC</t>
        </is>
      </c>
      <c r="C649" s="3" t="inlineStr">
        <is>
          <t>C&amp;G Services Systems LLC</t>
        </is>
      </c>
      <c r="D649" s="3" t="inlineStr">
        <is>
          <t>Open</t>
        </is>
      </c>
      <c r="E649" s="23" t="n">
        <v>46076</v>
      </c>
      <c r="F649" s="23" t="n">
        <v>46241</v>
      </c>
      <c r="G649" s="3" t="n">
        <v>3</v>
      </c>
      <c r="H649" s="3" t="inlineStr">
        <is>
          <t>4213</t>
        </is>
      </c>
      <c r="I649" s="3" t="inlineStr">
        <is>
          <t>42</t>
        </is>
      </c>
      <c r="J649" s="3" t="inlineStr">
        <is>
          <t>FL</t>
        </is>
      </c>
      <c r="K649" s="3" t="inlineStr">
        <is>
          <t>Fundwell</t>
        </is>
      </c>
      <c r="L649" s="3" t="inlineStr">
        <is>
          <t>Renewal</t>
        </is>
      </c>
      <c r="M649" s="3" t="n">
        <v>1.38</v>
      </c>
      <c r="N649" s="28" t="n">
        <v>15000</v>
      </c>
      <c r="O649" s="28" t="n">
        <v>1800</v>
      </c>
      <c r="P649" s="28" t="n">
        <v>20700</v>
      </c>
      <c r="Q649" s="28" t="n">
        <v>15851.8</v>
      </c>
      <c r="R649" s="28" t="n">
        <v>4848.2</v>
      </c>
      <c r="S649" s="42" t="n">
        <v>0.765787439613527</v>
      </c>
      <c r="T649" s="3" t="n">
        <v>20</v>
      </c>
      <c r="U649" s="3" t="n">
        <v>3</v>
      </c>
      <c r="V649" s="3" t="n">
        <v>24929.12</v>
      </c>
      <c r="W649" s="42" t="n">
        <v>0.1661</v>
      </c>
      <c r="X649" s="23" t="n">
        <v>44149</v>
      </c>
      <c r="Y649" s="3">
        <f>IF(I649="","No SIC",IFERROR(VLOOKUP(I649,Ref!$A$2:$B$65,2,FALSE()),"Unclassified"))</f>
        <v/>
      </c>
      <c r="Z649" s="3">
        <f>IF(T649="","",IF(T649&lt;12,"Daily","Weekly"))</f>
        <v/>
      </c>
      <c r="AA649" s="3">
        <f>IF(T649="",0,IF(T649&lt;12,T649*Controls!$B$13,T649*5))</f>
        <v/>
      </c>
      <c r="AB649" s="3">
        <f>IF(E649="",0,NETWORKDAYS(E649,Controls!$B$20,Ref!$K$2:$K$42))</f>
        <v/>
      </c>
      <c r="AC649" s="3">
        <f>IF(OR(AF649=1,AND(AA649&gt;0,AB649&gt;=Controls!$B$23*AA649)),1,0)</f>
        <v/>
      </c>
      <c r="AD649" s="3">
        <f>IF(AND(E649&lt;&gt;"",E649&gt;=Controls!$B$21,E649&lt;=Controls!$B$22),1,0)</f>
        <v/>
      </c>
      <c r="AE649" s="3">
        <f>IF(IFERROR(VLOOKUP(D649,Controls!$A$36:$E$46,2,FALSE()),"No")="Yes",1,0)</f>
        <v/>
      </c>
      <c r="AF649" s="3">
        <f>IF(IFERROR(VLOOKUP(D649,Controls!$A$36:$E$46,3,FALSE()),"No")="Yes",1,0)</f>
        <v/>
      </c>
      <c r="AG649" s="3">
        <f>IF(IFERROR(VLOOKUP(D649,Controls!$A$36:$E$46,4,FALSE()),"No")="Yes",1,0)</f>
        <v/>
      </c>
      <c r="AH649" s="3">
        <f>IF(IFERROR(VLOOKUP(D649,Controls!$A$36:$E$46,5,FALSE()),"No")="Yes",1,0)</f>
        <v/>
      </c>
      <c r="AI649" s="3">
        <f>IF(ISNUMBER(MATCH(D649,Controls!$A$36:$A$46,0)),1,0)</f>
        <v/>
      </c>
      <c r="AJ649" s="28">
        <f>Q649-N649</f>
        <v/>
      </c>
      <c r="AK649" s="3">
        <f>IF(AE649=1,MAX(0,N649-Q649),0)</f>
        <v/>
      </c>
      <c r="AL649" s="3">
        <f>IF(OR(V649="",V649=0),0,N649/V649)</f>
        <v/>
      </c>
      <c r="AM649" s="3">
        <f>IF(OR(V649="",V649=0),0,1)</f>
        <v/>
      </c>
      <c r="AN649" s="3">
        <f>IF(OR(E649="",F649=""),0,NETWORKDAYS(E649,F649,Ref!$K$2:$K$42))</f>
        <v/>
      </c>
      <c r="AO649" s="3">
        <f>IF(L649="Renewal",1,0)</f>
        <v/>
      </c>
      <c r="AP649" s="3">
        <f>AC649*AD649</f>
        <v/>
      </c>
      <c r="AQ649" s="3">
        <f>IF(AND(G649&lt;&gt;"",'Historical Score'!$C$6&lt;&gt;""),IF(G649='Historical Score'!$C$6,1,0),0)</f>
        <v/>
      </c>
      <c r="AR649" s="3">
        <f>IF(AND(L649&lt;&gt;"",'Historical Score'!$C$5&lt;&gt;""),IF(L649='Historical Score'!$C$5,1,0),0)</f>
        <v/>
      </c>
      <c r="AS649" s="3">
        <f>IF(AND(Y649&lt;&gt;"",'Historical Score'!$C$7&lt;&gt;""),IF(Y649='Historical Score'!$C$7,1,0),0)</f>
        <v/>
      </c>
      <c r="AT649" s="3">
        <f>IF(AND(K649&lt;&gt;"",'Historical Score'!$C$8&lt;&gt;""),IF(K649='Historical Score'!$C$8,1,0),0)</f>
        <v/>
      </c>
      <c r="AU649" s="3" t="n"/>
      <c r="AV649" s="3" t="n"/>
      <c r="AW649" s="3" t="n"/>
      <c r="AX649" s="3" t="n"/>
      <c r="AY649" s="3" t="n"/>
      <c r="AZ649" s="3" t="n"/>
      <c r="BA649" s="182">
        <f>IF(AD649=1,(AR649*'Historical Score'!$K$29+1-'Historical Score'!$K$29)*(AT649*'Historical Score'!$L$29+1-'Historical Score'!$L$29)*(AS649*'Historical Score'!$M$29+1-'Historical Score'!$M$29)*(AQ649*'Historical Score'!$N$29+1-'Historical Score'!$N$29),0)</f>
        <v/>
      </c>
      <c r="BB649" s="3" t="n"/>
      <c r="BC649" s="3" t="n"/>
    </row>
    <row r="650" ht="15.75" customHeight="1" s="174">
      <c r="A650" s="3" t="inlineStr">
        <is>
          <t>5674178970</t>
        </is>
      </c>
      <c r="B650" s="3" t="inlineStr">
        <is>
          <t>SST Brands</t>
        </is>
      </c>
      <c r="C650" s="3" t="inlineStr">
        <is>
          <t>Heads Up Headcare LLC</t>
        </is>
      </c>
      <c r="D650" s="3" t="inlineStr">
        <is>
          <t>Closed</t>
        </is>
      </c>
      <c r="E650" s="23" t="n">
        <v>46076</v>
      </c>
      <c r="F650" s="23" t="n">
        <v>46203</v>
      </c>
      <c r="G650" s="3" t="n">
        <v>3</v>
      </c>
      <c r="H650" s="3" t="inlineStr">
        <is>
          <t>5999</t>
        </is>
      </c>
      <c r="I650" s="3" t="inlineStr">
        <is>
          <t>59</t>
        </is>
      </c>
      <c r="J650" s="3" t="inlineStr">
        <is>
          <t>NJ</t>
        </is>
      </c>
      <c r="K650" s="3" t="inlineStr">
        <is>
          <t>YM ventures</t>
        </is>
      </c>
      <c r="L650" s="3" t="inlineStr">
        <is>
          <t>New Deal</t>
        </is>
      </c>
      <c r="M650" s="3" t="n">
        <v>1.4</v>
      </c>
      <c r="N650" s="28" t="n">
        <v>150000</v>
      </c>
      <c r="O650" s="28" t="n">
        <v>15750</v>
      </c>
      <c r="P650" s="28" t="n">
        <v>210000</v>
      </c>
      <c r="Q650" s="28" t="n">
        <v>210000</v>
      </c>
      <c r="R650" s="28" t="n">
        <v>0</v>
      </c>
      <c r="S650" s="42" t="n">
        <v>1</v>
      </c>
      <c r="T650" s="3" t="n">
        <v>40</v>
      </c>
      <c r="U650" s="3" t="n">
        <v>0</v>
      </c>
      <c r="V650" s="3" t="n">
        <v>299687.41</v>
      </c>
      <c r="W650" s="42" t="n">
        <v>0.0701</v>
      </c>
      <c r="X650" s="23" t="n">
        <v>40087</v>
      </c>
      <c r="Y650" s="3">
        <f>IF(I650="","No SIC",IFERROR(VLOOKUP(I650,Ref!$A$2:$B$65,2,FALSE()),"Unclassified"))</f>
        <v/>
      </c>
      <c r="Z650" s="3">
        <f>IF(T650="","",IF(T650&lt;12,"Daily","Weekly"))</f>
        <v/>
      </c>
      <c r="AA650" s="3">
        <f>IF(T650="",0,IF(T650&lt;12,T650*Controls!$B$13,T650*5))</f>
        <v/>
      </c>
      <c r="AB650" s="3">
        <f>IF(E650="",0,NETWORKDAYS(E650,Controls!$B$20,Ref!$K$2:$K$42))</f>
        <v/>
      </c>
      <c r="AC650" s="3">
        <f>IF(OR(AF650=1,AND(AA650&gt;0,AB650&gt;=Controls!$B$23*AA650)),1,0)</f>
        <v/>
      </c>
      <c r="AD650" s="3">
        <f>IF(AND(E650&lt;&gt;"",E650&gt;=Controls!$B$21,E650&lt;=Controls!$B$22),1,0)</f>
        <v/>
      </c>
      <c r="AE650" s="3">
        <f>IF(IFERROR(VLOOKUP(D650,Controls!$A$36:$E$46,2,FALSE()),"No")="Yes",1,0)</f>
        <v/>
      </c>
      <c r="AF650" s="3">
        <f>IF(IFERROR(VLOOKUP(D650,Controls!$A$36:$E$46,3,FALSE()),"No")="Yes",1,0)</f>
        <v/>
      </c>
      <c r="AG650" s="3">
        <f>IF(IFERROR(VLOOKUP(D650,Controls!$A$36:$E$46,4,FALSE()),"No")="Yes",1,0)</f>
        <v/>
      </c>
      <c r="AH650" s="3">
        <f>IF(IFERROR(VLOOKUP(D650,Controls!$A$36:$E$46,5,FALSE()),"No")="Yes",1,0)</f>
        <v/>
      </c>
      <c r="AI650" s="3">
        <f>IF(ISNUMBER(MATCH(D650,Controls!$A$36:$A$46,0)),1,0)</f>
        <v/>
      </c>
      <c r="AJ650" s="28">
        <f>Q650-N650</f>
        <v/>
      </c>
      <c r="AK650" s="3">
        <f>IF(AE650=1,MAX(0,N650-Q650),0)</f>
        <v/>
      </c>
      <c r="AL650" s="3">
        <f>IF(OR(V650="",V650=0),0,N650/V650)</f>
        <v/>
      </c>
      <c r="AM650" s="3">
        <f>IF(OR(V650="",V650=0),0,1)</f>
        <v/>
      </c>
      <c r="AN650" s="3">
        <f>IF(OR(E650="",F650=""),0,NETWORKDAYS(E650,F650,Ref!$K$2:$K$42))</f>
        <v/>
      </c>
      <c r="AO650" s="3">
        <f>IF(L650="Renewal",1,0)</f>
        <v/>
      </c>
      <c r="AP650" s="3">
        <f>AC650*AD650</f>
        <v/>
      </c>
      <c r="AQ650" s="3">
        <f>IF(AND(G650&lt;&gt;"",'Historical Score'!$C$6&lt;&gt;""),IF(G650='Historical Score'!$C$6,1,0),0)</f>
        <v/>
      </c>
      <c r="AR650" s="3">
        <f>IF(AND(L650&lt;&gt;"",'Historical Score'!$C$5&lt;&gt;""),IF(L650='Historical Score'!$C$5,1,0),0)</f>
        <v/>
      </c>
      <c r="AS650" s="3">
        <f>IF(AND(Y650&lt;&gt;"",'Historical Score'!$C$7&lt;&gt;""),IF(Y650='Historical Score'!$C$7,1,0),0)</f>
        <v/>
      </c>
      <c r="AT650" s="3">
        <f>IF(AND(K650&lt;&gt;"",'Historical Score'!$C$8&lt;&gt;""),IF(K650='Historical Score'!$C$8,1,0),0)</f>
        <v/>
      </c>
      <c r="AU650" s="3" t="n"/>
      <c r="AV650" s="3" t="n"/>
      <c r="AW650" s="3" t="n"/>
      <c r="AX650" s="3" t="n"/>
      <c r="AY650" s="3" t="n"/>
      <c r="AZ650" s="3" t="n"/>
      <c r="BA650" s="182">
        <f>IF(AD650=1,(AR650*'Historical Score'!$K$29+1-'Historical Score'!$K$29)*(AT650*'Historical Score'!$L$29+1-'Historical Score'!$L$29)*(AS650*'Historical Score'!$M$29+1-'Historical Score'!$M$29)*(AQ650*'Historical Score'!$N$29+1-'Historical Score'!$N$29),0)</f>
        <v/>
      </c>
      <c r="BB650" s="3" t="n"/>
      <c r="BC650" s="3" t="n"/>
    </row>
    <row r="651" ht="15.75" customHeight="1" s="174">
      <c r="A651" s="3" t="inlineStr">
        <is>
          <t>5674178988</t>
        </is>
      </c>
      <c r="B651" s="3" t="inlineStr">
        <is>
          <t>PRESTIGE CARE PLLC</t>
        </is>
      </c>
      <c r="C651" s="3" t="inlineStr">
        <is>
          <t>PRESTIGE CARE PLLC</t>
        </is>
      </c>
      <c r="D651" s="3" t="inlineStr">
        <is>
          <t>Legal</t>
        </is>
      </c>
      <c r="E651" s="23" t="n">
        <v>46077</v>
      </c>
      <c r="F651" s="23" t="n">
        <v>46161</v>
      </c>
      <c r="G651" s="3" t="n">
        <v>3</v>
      </c>
      <c r="H651" s="3" t="inlineStr">
        <is>
          <t>8082</t>
        </is>
      </c>
      <c r="I651" s="3" t="inlineStr">
        <is>
          <t>80</t>
        </is>
      </c>
      <c r="J651" s="3" t="inlineStr">
        <is>
          <t>AR</t>
        </is>
      </c>
      <c r="K651" s="3" t="inlineStr">
        <is>
          <t>United Secured Capital 8</t>
        </is>
      </c>
      <c r="L651" s="3" t="inlineStr">
        <is>
          <t>Renewal</t>
        </is>
      </c>
      <c r="M651" s="3" t="n">
        <v>1.49</v>
      </c>
      <c r="N651" s="28" t="n">
        <v>47000</v>
      </c>
      <c r="O651" s="28" t="n">
        <v>6580</v>
      </c>
      <c r="P651" s="28" t="n">
        <v>70030</v>
      </c>
      <c r="Q651" s="28" t="n">
        <v>6129.06</v>
      </c>
      <c r="R651" s="28" t="n">
        <v>63900.94</v>
      </c>
      <c r="S651" s="42" t="n">
        <v>0.0875204912180494</v>
      </c>
      <c r="T651" s="3" t="n">
        <v>3.934</v>
      </c>
      <c r="U651" s="3" t="n">
        <v>37</v>
      </c>
      <c r="V651" s="3" t="n">
        <v>123266.6</v>
      </c>
      <c r="W651" s="42" t="n">
        <v>0.1509</v>
      </c>
      <c r="X651" s="23" t="n">
        <v>45386</v>
      </c>
      <c r="Y651" s="3">
        <f>IF(I651="","No SIC",IFERROR(VLOOKUP(I651,Ref!$A$2:$B$65,2,FALSE()),"Unclassified"))</f>
        <v/>
      </c>
      <c r="Z651" s="3">
        <f>IF(T651="","",IF(T651&lt;12,"Daily","Weekly"))</f>
        <v/>
      </c>
      <c r="AA651" s="3">
        <f>IF(T651="",0,IF(T651&lt;12,T651*Controls!$B$13,T651*5))</f>
        <v/>
      </c>
      <c r="AB651" s="3">
        <f>IF(E651="",0,NETWORKDAYS(E651,Controls!$B$20,Ref!$K$2:$K$42))</f>
        <v/>
      </c>
      <c r="AC651" s="3">
        <f>IF(OR(AF651=1,AND(AA651&gt;0,AB651&gt;=Controls!$B$23*AA651)),1,0)</f>
        <v/>
      </c>
      <c r="AD651" s="3">
        <f>IF(AND(E651&lt;&gt;"",E651&gt;=Controls!$B$21,E651&lt;=Controls!$B$22),1,0)</f>
        <v/>
      </c>
      <c r="AE651" s="3">
        <f>IF(IFERROR(VLOOKUP(D651,Controls!$A$36:$E$46,2,FALSE()),"No")="Yes",1,0)</f>
        <v/>
      </c>
      <c r="AF651" s="3">
        <f>IF(IFERROR(VLOOKUP(D651,Controls!$A$36:$E$46,3,FALSE()),"No")="Yes",1,0)</f>
        <v/>
      </c>
      <c r="AG651" s="3">
        <f>IF(IFERROR(VLOOKUP(D651,Controls!$A$36:$E$46,4,FALSE()),"No")="Yes",1,0)</f>
        <v/>
      </c>
      <c r="AH651" s="3">
        <f>IF(IFERROR(VLOOKUP(D651,Controls!$A$36:$E$46,5,FALSE()),"No")="Yes",1,0)</f>
        <v/>
      </c>
      <c r="AI651" s="3">
        <f>IF(ISNUMBER(MATCH(D651,Controls!$A$36:$A$46,0)),1,0)</f>
        <v/>
      </c>
      <c r="AJ651" s="28">
        <f>Q651-N651</f>
        <v/>
      </c>
      <c r="AK651" s="3">
        <f>IF(AE651=1,MAX(0,N651-Q651),0)</f>
        <v/>
      </c>
      <c r="AL651" s="3">
        <f>IF(OR(V651="",V651=0),0,N651/V651)</f>
        <v/>
      </c>
      <c r="AM651" s="3">
        <f>IF(OR(V651="",V651=0),0,1)</f>
        <v/>
      </c>
      <c r="AN651" s="3">
        <f>IF(OR(E651="",F651=""),0,NETWORKDAYS(E651,F651,Ref!$K$2:$K$42))</f>
        <v/>
      </c>
      <c r="AO651" s="3">
        <f>IF(L651="Renewal",1,0)</f>
        <v/>
      </c>
      <c r="AP651" s="3">
        <f>AC651*AD651</f>
        <v/>
      </c>
      <c r="AQ651" s="3">
        <f>IF(AND(G651&lt;&gt;"",'Historical Score'!$C$6&lt;&gt;""),IF(G651='Historical Score'!$C$6,1,0),0)</f>
        <v/>
      </c>
      <c r="AR651" s="3">
        <f>IF(AND(L651&lt;&gt;"",'Historical Score'!$C$5&lt;&gt;""),IF(L651='Historical Score'!$C$5,1,0),0)</f>
        <v/>
      </c>
      <c r="AS651" s="3">
        <f>IF(AND(Y651&lt;&gt;"",'Historical Score'!$C$7&lt;&gt;""),IF(Y651='Historical Score'!$C$7,1,0),0)</f>
        <v/>
      </c>
      <c r="AT651" s="3">
        <f>IF(AND(K651&lt;&gt;"",'Historical Score'!$C$8&lt;&gt;""),IF(K651='Historical Score'!$C$8,1,0),0)</f>
        <v/>
      </c>
      <c r="AU651" s="3" t="n"/>
      <c r="AV651" s="3" t="n"/>
      <c r="AW651" s="3" t="n"/>
      <c r="AX651" s="3" t="n"/>
      <c r="AY651" s="3" t="n"/>
      <c r="AZ651" s="3" t="n"/>
      <c r="BA651" s="182">
        <f>IF(AD651=1,(AR651*'Historical Score'!$K$29+1-'Historical Score'!$K$29)*(AT651*'Historical Score'!$L$29+1-'Historical Score'!$L$29)*(AS651*'Historical Score'!$M$29+1-'Historical Score'!$M$29)*(AQ651*'Historical Score'!$N$29+1-'Historical Score'!$N$29),0)</f>
        <v/>
      </c>
      <c r="BB651" s="3" t="n"/>
      <c r="BC651" s="3" t="n"/>
    </row>
    <row r="652" ht="15.75" customHeight="1" s="174">
      <c r="A652" s="3" t="inlineStr">
        <is>
          <t>5674179033</t>
        </is>
      </c>
      <c r="B652" s="3" t="inlineStr">
        <is>
          <t>Hatmaker Holdings LLC</t>
        </is>
      </c>
      <c r="C652" s="3" t="inlineStr">
        <is>
          <t>Hatmaker Holdings LLC</t>
        </is>
      </c>
      <c r="D652" s="3" t="inlineStr">
        <is>
          <t>Closed</t>
        </is>
      </c>
      <c r="E652" s="23" t="n">
        <v>46077</v>
      </c>
      <c r="F652" s="23" t="n">
        <v>46168</v>
      </c>
      <c r="G652" s="3" t="n">
        <v>3</v>
      </c>
      <c r="H652" s="3" t="inlineStr">
        <is>
          <t>1521</t>
        </is>
      </c>
      <c r="I652" s="3" t="inlineStr">
        <is>
          <t>15</t>
        </is>
      </c>
      <c r="J652" s="3" t="inlineStr">
        <is>
          <t>TN</t>
        </is>
      </c>
      <c r="K652" s="3" t="inlineStr">
        <is>
          <t>Ballicci</t>
        </is>
      </c>
      <c r="L652" s="3" t="inlineStr">
        <is>
          <t>New Deal</t>
        </is>
      </c>
      <c r="M652" s="3" t="n">
        <v>1.49</v>
      </c>
      <c r="N652" s="28" t="n">
        <v>25000</v>
      </c>
      <c r="O652" s="28" t="n">
        <v>3500</v>
      </c>
      <c r="P652" s="28" t="n">
        <v>37250</v>
      </c>
      <c r="Q652" s="28" t="n">
        <v>37250</v>
      </c>
      <c r="R652" s="28" t="n">
        <v>0</v>
      </c>
      <c r="S652" s="42" t="n">
        <v>1</v>
      </c>
      <c r="T652" s="3" t="n">
        <v>3.279</v>
      </c>
      <c r="U652" s="3" t="n">
        <v>12</v>
      </c>
      <c r="V652" s="3" t="n">
        <v>60000</v>
      </c>
      <c r="W652" s="42" t="n">
        <v>0.0978</v>
      </c>
      <c r="X652" s="23" t="n">
        <v>37215</v>
      </c>
      <c r="Y652" s="3">
        <f>IF(I652="","No SIC",IFERROR(VLOOKUP(I652,Ref!$A$2:$B$65,2,FALSE()),"Unclassified"))</f>
        <v/>
      </c>
      <c r="Z652" s="3">
        <f>IF(T652="","",IF(T652&lt;12,"Daily","Weekly"))</f>
        <v/>
      </c>
      <c r="AA652" s="3">
        <f>IF(T652="",0,IF(T652&lt;12,T652*Controls!$B$13,T652*5))</f>
        <v/>
      </c>
      <c r="AB652" s="3">
        <f>IF(E652="",0,NETWORKDAYS(E652,Controls!$B$20,Ref!$K$2:$K$42))</f>
        <v/>
      </c>
      <c r="AC652" s="3">
        <f>IF(OR(AF652=1,AND(AA652&gt;0,AB652&gt;=Controls!$B$23*AA652)),1,0)</f>
        <v/>
      </c>
      <c r="AD652" s="3">
        <f>IF(AND(E652&lt;&gt;"",E652&gt;=Controls!$B$21,E652&lt;=Controls!$B$22),1,0)</f>
        <v/>
      </c>
      <c r="AE652" s="3">
        <f>IF(IFERROR(VLOOKUP(D652,Controls!$A$36:$E$46,2,FALSE()),"No")="Yes",1,0)</f>
        <v/>
      </c>
      <c r="AF652" s="3">
        <f>IF(IFERROR(VLOOKUP(D652,Controls!$A$36:$E$46,3,FALSE()),"No")="Yes",1,0)</f>
        <v/>
      </c>
      <c r="AG652" s="3">
        <f>IF(IFERROR(VLOOKUP(D652,Controls!$A$36:$E$46,4,FALSE()),"No")="Yes",1,0)</f>
        <v/>
      </c>
      <c r="AH652" s="3">
        <f>IF(IFERROR(VLOOKUP(D652,Controls!$A$36:$E$46,5,FALSE()),"No")="Yes",1,0)</f>
        <v/>
      </c>
      <c r="AI652" s="3">
        <f>IF(ISNUMBER(MATCH(D652,Controls!$A$36:$A$46,0)),1,0)</f>
        <v/>
      </c>
      <c r="AJ652" s="28">
        <f>Q652-N652</f>
        <v/>
      </c>
      <c r="AK652" s="3">
        <f>IF(AE652=1,MAX(0,N652-Q652),0)</f>
        <v/>
      </c>
      <c r="AL652" s="3">
        <f>IF(OR(V652="",V652=0),0,N652/V652)</f>
        <v/>
      </c>
      <c r="AM652" s="3">
        <f>IF(OR(V652="",V652=0),0,1)</f>
        <v/>
      </c>
      <c r="AN652" s="3">
        <f>IF(OR(E652="",F652=""),0,NETWORKDAYS(E652,F652,Ref!$K$2:$K$42))</f>
        <v/>
      </c>
      <c r="AO652" s="3">
        <f>IF(L652="Renewal",1,0)</f>
        <v/>
      </c>
      <c r="AP652" s="3">
        <f>AC652*AD652</f>
        <v/>
      </c>
      <c r="AQ652" s="3">
        <f>IF(AND(G652&lt;&gt;"",'Historical Score'!$C$6&lt;&gt;""),IF(G652='Historical Score'!$C$6,1,0),0)</f>
        <v/>
      </c>
      <c r="AR652" s="3">
        <f>IF(AND(L652&lt;&gt;"",'Historical Score'!$C$5&lt;&gt;""),IF(L652='Historical Score'!$C$5,1,0),0)</f>
        <v/>
      </c>
      <c r="AS652" s="3">
        <f>IF(AND(Y652&lt;&gt;"",'Historical Score'!$C$7&lt;&gt;""),IF(Y652='Historical Score'!$C$7,1,0),0)</f>
        <v/>
      </c>
      <c r="AT652" s="3">
        <f>IF(AND(K652&lt;&gt;"",'Historical Score'!$C$8&lt;&gt;""),IF(K652='Historical Score'!$C$8,1,0),0)</f>
        <v/>
      </c>
      <c r="AU652" s="3" t="n"/>
      <c r="AV652" s="3" t="n"/>
      <c r="AW652" s="3" t="n"/>
      <c r="AX652" s="3" t="n"/>
      <c r="AY652" s="3" t="n"/>
      <c r="AZ652" s="3" t="n"/>
      <c r="BA652" s="182">
        <f>IF(AD652=1,(AR652*'Historical Score'!$K$29+1-'Historical Score'!$K$29)*(AT652*'Historical Score'!$L$29+1-'Historical Score'!$L$29)*(AS652*'Historical Score'!$M$29+1-'Historical Score'!$M$29)*(AQ652*'Historical Score'!$N$29+1-'Historical Score'!$N$29),0)</f>
        <v/>
      </c>
      <c r="BB652" s="3" t="n"/>
      <c r="BC652" s="3" t="n"/>
    </row>
    <row r="653" ht="15.75" customHeight="1" s="174">
      <c r="A653" s="3" t="inlineStr">
        <is>
          <t>5674179054</t>
        </is>
      </c>
      <c r="B653" s="3" t="inlineStr">
        <is>
          <t>GREENMART DESIGN &amp; LANDSCAPE LLC</t>
        </is>
      </c>
      <c r="C653" s="3" t="inlineStr">
        <is>
          <t>GREENMART DESIGN &amp; LANDSCAPE LLC</t>
        </is>
      </c>
      <c r="D653" s="3" t="inlineStr">
        <is>
          <t>Lowered Payments</t>
        </is>
      </c>
      <c r="E653" s="23" t="n">
        <v>46078</v>
      </c>
      <c r="F653" s="23" t="n">
        <v>46248</v>
      </c>
      <c r="G653" s="3" t="n">
        <v>3</v>
      </c>
      <c r="H653" s="3" t="inlineStr">
        <is>
          <t>5541</t>
        </is>
      </c>
      <c r="I653" s="3" t="inlineStr">
        <is>
          <t>55</t>
        </is>
      </c>
      <c r="J653" s="3" t="inlineStr">
        <is>
          <t>AZ</t>
        </is>
      </c>
      <c r="K653" s="3" t="inlineStr">
        <is>
          <t>legacy funding llc</t>
        </is>
      </c>
      <c r="L653" s="3" t="inlineStr">
        <is>
          <t>New Deal</t>
        </is>
      </c>
      <c r="M653" s="3" t="n">
        <v>1.49</v>
      </c>
      <c r="N653" s="28" t="n">
        <v>25000</v>
      </c>
      <c r="O653" s="28" t="n">
        <v>3500</v>
      </c>
      <c r="P653" s="28" t="n">
        <v>37250</v>
      </c>
      <c r="Q653" s="28" t="n">
        <v>12149.15</v>
      </c>
      <c r="R653" s="28" t="n">
        <v>25100.85</v>
      </c>
      <c r="S653" s="42" t="n">
        <v>0.326151677852349</v>
      </c>
      <c r="T653" s="3" t="n">
        <v>24</v>
      </c>
      <c r="U653" s="3" t="n">
        <v>16</v>
      </c>
      <c r="V653" s="3" t="n">
        <v>198696.28</v>
      </c>
      <c r="W653" s="42" t="n">
        <v>0.0312</v>
      </c>
      <c r="X653" s="23" t="n"/>
      <c r="Y653" s="3">
        <f>IF(I653="","No SIC",IFERROR(VLOOKUP(I653,Ref!$A$2:$B$65,2,FALSE()),"Unclassified"))</f>
        <v/>
      </c>
      <c r="Z653" s="3">
        <f>IF(T653="","",IF(T653&lt;12,"Daily","Weekly"))</f>
        <v/>
      </c>
      <c r="AA653" s="3">
        <f>IF(T653="",0,IF(T653&lt;12,T653*Controls!$B$13,T653*5))</f>
        <v/>
      </c>
      <c r="AB653" s="3">
        <f>IF(E653="",0,NETWORKDAYS(E653,Controls!$B$20,Ref!$K$2:$K$42))</f>
        <v/>
      </c>
      <c r="AC653" s="3">
        <f>IF(OR(AF653=1,AND(AA653&gt;0,AB653&gt;=Controls!$B$23*AA653)),1,0)</f>
        <v/>
      </c>
      <c r="AD653" s="3">
        <f>IF(AND(E653&lt;&gt;"",E653&gt;=Controls!$B$21,E653&lt;=Controls!$B$22),1,0)</f>
        <v/>
      </c>
      <c r="AE653" s="3">
        <f>IF(IFERROR(VLOOKUP(D653,Controls!$A$36:$E$46,2,FALSE()),"No")="Yes",1,0)</f>
        <v/>
      </c>
      <c r="AF653" s="3">
        <f>IF(IFERROR(VLOOKUP(D653,Controls!$A$36:$E$46,3,FALSE()),"No")="Yes",1,0)</f>
        <v/>
      </c>
      <c r="AG653" s="3">
        <f>IF(IFERROR(VLOOKUP(D653,Controls!$A$36:$E$46,4,FALSE()),"No")="Yes",1,0)</f>
        <v/>
      </c>
      <c r="AH653" s="3">
        <f>IF(IFERROR(VLOOKUP(D653,Controls!$A$36:$E$46,5,FALSE()),"No")="Yes",1,0)</f>
        <v/>
      </c>
      <c r="AI653" s="3">
        <f>IF(ISNUMBER(MATCH(D653,Controls!$A$36:$A$46,0)),1,0)</f>
        <v/>
      </c>
      <c r="AJ653" s="28">
        <f>Q653-N653</f>
        <v/>
      </c>
      <c r="AK653" s="3">
        <f>IF(AE653=1,MAX(0,N653-Q653),0)</f>
        <v/>
      </c>
      <c r="AL653" s="3">
        <f>IF(OR(V653="",V653=0),0,N653/V653)</f>
        <v/>
      </c>
      <c r="AM653" s="3">
        <f>IF(OR(V653="",V653=0),0,1)</f>
        <v/>
      </c>
      <c r="AN653" s="3">
        <f>IF(OR(E653="",F653=""),0,NETWORKDAYS(E653,F653,Ref!$K$2:$K$42))</f>
        <v/>
      </c>
      <c r="AO653" s="3">
        <f>IF(L653="Renewal",1,0)</f>
        <v/>
      </c>
      <c r="AP653" s="3">
        <f>AC653*AD653</f>
        <v/>
      </c>
      <c r="AQ653" s="3">
        <f>IF(AND(G653&lt;&gt;"",'Historical Score'!$C$6&lt;&gt;""),IF(G653='Historical Score'!$C$6,1,0),0)</f>
        <v/>
      </c>
      <c r="AR653" s="3">
        <f>IF(AND(L653&lt;&gt;"",'Historical Score'!$C$5&lt;&gt;""),IF(L653='Historical Score'!$C$5,1,0),0)</f>
        <v/>
      </c>
      <c r="AS653" s="3">
        <f>IF(AND(Y653&lt;&gt;"",'Historical Score'!$C$7&lt;&gt;""),IF(Y653='Historical Score'!$C$7,1,0),0)</f>
        <v/>
      </c>
      <c r="AT653" s="3">
        <f>IF(AND(K653&lt;&gt;"",'Historical Score'!$C$8&lt;&gt;""),IF(K653='Historical Score'!$C$8,1,0),0)</f>
        <v/>
      </c>
      <c r="AU653" s="3" t="n"/>
      <c r="AV653" s="3" t="n"/>
      <c r="AW653" s="3" t="n"/>
      <c r="AX653" s="3" t="n"/>
      <c r="AY653" s="3" t="n"/>
      <c r="AZ653" s="3" t="n"/>
      <c r="BA653" s="182">
        <f>IF(AD653=1,(AR653*'Historical Score'!$K$29+1-'Historical Score'!$K$29)*(AT653*'Historical Score'!$L$29+1-'Historical Score'!$L$29)*(AS653*'Historical Score'!$M$29+1-'Historical Score'!$M$29)*(AQ653*'Historical Score'!$N$29+1-'Historical Score'!$N$29),0)</f>
        <v/>
      </c>
      <c r="BB653" s="3" t="n"/>
      <c r="BC653" s="3" t="n"/>
    </row>
    <row r="654" ht="15.75" customHeight="1" s="174">
      <c r="A654" s="3" t="inlineStr">
        <is>
          <t>5674179089</t>
        </is>
      </c>
      <c r="B654" s="3" t="inlineStr">
        <is>
          <t>JT LLC RENOVATIONS LLC</t>
        </is>
      </c>
      <c r="C654" s="3" t="inlineStr">
        <is>
          <t>JT LLC RENOVATIONS LLC</t>
        </is>
      </c>
      <c r="D654" s="3" t="inlineStr">
        <is>
          <t>Open</t>
        </is>
      </c>
      <c r="E654" s="23" t="n">
        <v>46078</v>
      </c>
      <c r="F654" s="23" t="n">
        <v>46253</v>
      </c>
      <c r="G654" s="3" t="n">
        <v>3</v>
      </c>
      <c r="H654" s="3" t="inlineStr">
        <is>
          <t>1521</t>
        </is>
      </c>
      <c r="I654" s="3" t="inlineStr">
        <is>
          <t>15</t>
        </is>
      </c>
      <c r="J654" s="3" t="inlineStr">
        <is>
          <t>TN</t>
        </is>
      </c>
      <c r="K654" s="3" t="inlineStr">
        <is>
          <t>Ballicci</t>
        </is>
      </c>
      <c r="L654" s="3" t="inlineStr">
        <is>
          <t>New Deal</t>
        </is>
      </c>
      <c r="M654" s="3" t="n">
        <v>1.49</v>
      </c>
      <c r="N654" s="28" t="n">
        <v>25000</v>
      </c>
      <c r="O654" s="28" t="n">
        <v>3500</v>
      </c>
      <c r="P654" s="28" t="n">
        <v>37250</v>
      </c>
      <c r="Q654" s="28" t="n">
        <v>34691.91</v>
      </c>
      <c r="R654" s="28" t="n">
        <v>2558.09</v>
      </c>
      <c r="S654" s="42" t="n">
        <v>0.93132644295302</v>
      </c>
      <c r="T654" s="3" t="n">
        <v>4.262</v>
      </c>
      <c r="U654" s="3" t="n">
        <v>3</v>
      </c>
      <c r="V654" s="3" t="n">
        <v>76118.22</v>
      </c>
      <c r="W654" s="42" t="n">
        <v>0.0791</v>
      </c>
      <c r="X654" s="23" t="n">
        <v>44571</v>
      </c>
      <c r="Y654" s="3">
        <f>IF(I654="","No SIC",IFERROR(VLOOKUP(I654,Ref!$A$2:$B$65,2,FALSE()),"Unclassified"))</f>
        <v/>
      </c>
      <c r="Z654" s="3">
        <f>IF(T654="","",IF(T654&lt;12,"Daily","Weekly"))</f>
        <v/>
      </c>
      <c r="AA654" s="3">
        <f>IF(T654="",0,IF(T654&lt;12,T654*Controls!$B$13,T654*5))</f>
        <v/>
      </c>
      <c r="AB654" s="3">
        <f>IF(E654="",0,NETWORKDAYS(E654,Controls!$B$20,Ref!$K$2:$K$42))</f>
        <v/>
      </c>
      <c r="AC654" s="3">
        <f>IF(OR(AF654=1,AND(AA654&gt;0,AB654&gt;=Controls!$B$23*AA654)),1,0)</f>
        <v/>
      </c>
      <c r="AD654" s="3">
        <f>IF(AND(E654&lt;&gt;"",E654&gt;=Controls!$B$21,E654&lt;=Controls!$B$22),1,0)</f>
        <v/>
      </c>
      <c r="AE654" s="3">
        <f>IF(IFERROR(VLOOKUP(D654,Controls!$A$36:$E$46,2,FALSE()),"No")="Yes",1,0)</f>
        <v/>
      </c>
      <c r="AF654" s="3">
        <f>IF(IFERROR(VLOOKUP(D654,Controls!$A$36:$E$46,3,FALSE()),"No")="Yes",1,0)</f>
        <v/>
      </c>
      <c r="AG654" s="3">
        <f>IF(IFERROR(VLOOKUP(D654,Controls!$A$36:$E$46,4,FALSE()),"No")="Yes",1,0)</f>
        <v/>
      </c>
      <c r="AH654" s="3">
        <f>IF(IFERROR(VLOOKUP(D654,Controls!$A$36:$E$46,5,FALSE()),"No")="Yes",1,0)</f>
        <v/>
      </c>
      <c r="AI654" s="3">
        <f>IF(ISNUMBER(MATCH(D654,Controls!$A$36:$A$46,0)),1,0)</f>
        <v/>
      </c>
      <c r="AJ654" s="28">
        <f>Q654-N654</f>
        <v/>
      </c>
      <c r="AK654" s="3">
        <f>IF(AE654=1,MAX(0,N654-Q654),0)</f>
        <v/>
      </c>
      <c r="AL654" s="3">
        <f>IF(OR(V654="",V654=0),0,N654/V654)</f>
        <v/>
      </c>
      <c r="AM654" s="3">
        <f>IF(OR(V654="",V654=0),0,1)</f>
        <v/>
      </c>
      <c r="AN654" s="3">
        <f>IF(OR(E654="",F654=""),0,NETWORKDAYS(E654,F654,Ref!$K$2:$K$42))</f>
        <v/>
      </c>
      <c r="AO654" s="3">
        <f>IF(L654="Renewal",1,0)</f>
        <v/>
      </c>
      <c r="AP654" s="3">
        <f>AC654*AD654</f>
        <v/>
      </c>
      <c r="AQ654" s="3">
        <f>IF(AND(G654&lt;&gt;"",'Historical Score'!$C$6&lt;&gt;""),IF(G654='Historical Score'!$C$6,1,0),0)</f>
        <v/>
      </c>
      <c r="AR654" s="3">
        <f>IF(AND(L654&lt;&gt;"",'Historical Score'!$C$5&lt;&gt;""),IF(L654='Historical Score'!$C$5,1,0),0)</f>
        <v/>
      </c>
      <c r="AS654" s="3">
        <f>IF(AND(Y654&lt;&gt;"",'Historical Score'!$C$7&lt;&gt;""),IF(Y654='Historical Score'!$C$7,1,0),0)</f>
        <v/>
      </c>
      <c r="AT654" s="3">
        <f>IF(AND(K654&lt;&gt;"",'Historical Score'!$C$8&lt;&gt;""),IF(K654='Historical Score'!$C$8,1,0),0)</f>
        <v/>
      </c>
      <c r="AU654" s="3" t="n"/>
      <c r="AV654" s="3" t="n"/>
      <c r="AW654" s="3" t="n"/>
      <c r="AX654" s="3" t="n"/>
      <c r="AY654" s="3" t="n"/>
      <c r="AZ654" s="3" t="n"/>
      <c r="BA654" s="182">
        <f>IF(AD654=1,(AR654*'Historical Score'!$K$29+1-'Historical Score'!$K$29)*(AT654*'Historical Score'!$L$29+1-'Historical Score'!$L$29)*(AS654*'Historical Score'!$M$29+1-'Historical Score'!$M$29)*(AQ654*'Historical Score'!$N$29+1-'Historical Score'!$N$29),0)</f>
        <v/>
      </c>
      <c r="BB654" s="3" t="n"/>
      <c r="BC654" s="3" t="n"/>
    </row>
    <row r="655" ht="15.75" customHeight="1" s="174">
      <c r="A655" s="3" t="inlineStr">
        <is>
          <t>5674179094</t>
        </is>
      </c>
      <c r="B655" s="3" t="inlineStr">
        <is>
          <t>EL TACO LOCO AL VAPOR II,</t>
        </is>
      </c>
      <c r="C655" s="3" t="inlineStr">
        <is>
          <t>EL TACO LOCO AL VAPOR II,</t>
        </is>
      </c>
      <c r="D655" s="3" t="inlineStr">
        <is>
          <t>Closed</t>
        </is>
      </c>
      <c r="E655" s="23" t="n">
        <v>46078</v>
      </c>
      <c r="F655" s="23" t="n">
        <v>46155</v>
      </c>
      <c r="G655" s="3" t="n">
        <v>3</v>
      </c>
      <c r="H655" s="3" t="inlineStr">
        <is>
          <t>5812</t>
        </is>
      </c>
      <c r="I655" s="3" t="inlineStr">
        <is>
          <t>58</t>
        </is>
      </c>
      <c r="J655" s="3" t="inlineStr">
        <is>
          <t>TX</t>
        </is>
      </c>
      <c r="K655" s="3" t="inlineStr">
        <is>
          <t>Westwood</t>
        </is>
      </c>
      <c r="L655" s="3" t="inlineStr">
        <is>
          <t>Renewal</t>
        </is>
      </c>
      <c r="M655" s="3" t="n">
        <v>1.49</v>
      </c>
      <c r="N655" s="28" t="n">
        <v>25000</v>
      </c>
      <c r="O655" s="28" t="n">
        <v>3500</v>
      </c>
      <c r="P655" s="28" t="n">
        <v>37250</v>
      </c>
      <c r="Q655" s="28" t="n">
        <v>37250</v>
      </c>
      <c r="R655" s="28" t="n">
        <v>0</v>
      </c>
      <c r="S655" s="42" t="n">
        <v>1</v>
      </c>
      <c r="T655" s="3" t="n">
        <v>3.934</v>
      </c>
      <c r="U655" s="3" t="n">
        <v>0</v>
      </c>
      <c r="V655" s="3" t="n">
        <v>35000</v>
      </c>
      <c r="W655" s="42" t="n">
        <v>0.1863</v>
      </c>
      <c r="X655" s="23" t="n"/>
      <c r="Y655" s="3">
        <f>IF(I655="","No SIC",IFERROR(VLOOKUP(I655,Ref!$A$2:$B$65,2,FALSE()),"Unclassified"))</f>
        <v/>
      </c>
      <c r="Z655" s="3">
        <f>IF(T655="","",IF(T655&lt;12,"Daily","Weekly"))</f>
        <v/>
      </c>
      <c r="AA655" s="3">
        <f>IF(T655="",0,IF(T655&lt;12,T655*Controls!$B$13,T655*5))</f>
        <v/>
      </c>
      <c r="AB655" s="3">
        <f>IF(E655="",0,NETWORKDAYS(E655,Controls!$B$20,Ref!$K$2:$K$42))</f>
        <v/>
      </c>
      <c r="AC655" s="3">
        <f>IF(OR(AF655=1,AND(AA655&gt;0,AB655&gt;=Controls!$B$23*AA655)),1,0)</f>
        <v/>
      </c>
      <c r="AD655" s="3">
        <f>IF(AND(E655&lt;&gt;"",E655&gt;=Controls!$B$21,E655&lt;=Controls!$B$22),1,0)</f>
        <v/>
      </c>
      <c r="AE655" s="3">
        <f>IF(IFERROR(VLOOKUP(D655,Controls!$A$36:$E$46,2,FALSE()),"No")="Yes",1,0)</f>
        <v/>
      </c>
      <c r="AF655" s="3">
        <f>IF(IFERROR(VLOOKUP(D655,Controls!$A$36:$E$46,3,FALSE()),"No")="Yes",1,0)</f>
        <v/>
      </c>
      <c r="AG655" s="3">
        <f>IF(IFERROR(VLOOKUP(D655,Controls!$A$36:$E$46,4,FALSE()),"No")="Yes",1,0)</f>
        <v/>
      </c>
      <c r="AH655" s="3">
        <f>IF(IFERROR(VLOOKUP(D655,Controls!$A$36:$E$46,5,FALSE()),"No")="Yes",1,0)</f>
        <v/>
      </c>
      <c r="AI655" s="3">
        <f>IF(ISNUMBER(MATCH(D655,Controls!$A$36:$A$46,0)),1,0)</f>
        <v/>
      </c>
      <c r="AJ655" s="28">
        <f>Q655-N655</f>
        <v/>
      </c>
      <c r="AK655" s="3">
        <f>IF(AE655=1,MAX(0,N655-Q655),0)</f>
        <v/>
      </c>
      <c r="AL655" s="3">
        <f>IF(OR(V655="",V655=0),0,N655/V655)</f>
        <v/>
      </c>
      <c r="AM655" s="3">
        <f>IF(OR(V655="",V655=0),0,1)</f>
        <v/>
      </c>
      <c r="AN655" s="3">
        <f>IF(OR(E655="",F655=""),0,NETWORKDAYS(E655,F655,Ref!$K$2:$K$42))</f>
        <v/>
      </c>
      <c r="AO655" s="3">
        <f>IF(L655="Renewal",1,0)</f>
        <v/>
      </c>
      <c r="AP655" s="3">
        <f>AC655*AD655</f>
        <v/>
      </c>
      <c r="AQ655" s="3">
        <f>IF(AND(G655&lt;&gt;"",'Historical Score'!$C$6&lt;&gt;""),IF(G655='Historical Score'!$C$6,1,0),0)</f>
        <v/>
      </c>
      <c r="AR655" s="3">
        <f>IF(AND(L655&lt;&gt;"",'Historical Score'!$C$5&lt;&gt;""),IF(L655='Historical Score'!$C$5,1,0),0)</f>
        <v/>
      </c>
      <c r="AS655" s="3">
        <f>IF(AND(Y655&lt;&gt;"",'Historical Score'!$C$7&lt;&gt;""),IF(Y655='Historical Score'!$C$7,1,0),0)</f>
        <v/>
      </c>
      <c r="AT655" s="3">
        <f>IF(AND(K655&lt;&gt;"",'Historical Score'!$C$8&lt;&gt;""),IF(K655='Historical Score'!$C$8,1,0),0)</f>
        <v/>
      </c>
      <c r="AU655" s="3" t="n"/>
      <c r="AV655" s="3" t="n"/>
      <c r="AW655" s="3" t="n"/>
      <c r="AX655" s="3" t="n"/>
      <c r="AY655" s="3" t="n"/>
      <c r="AZ655" s="3" t="n"/>
      <c r="BA655" s="182">
        <f>IF(AD655=1,(AR655*'Historical Score'!$K$29+1-'Historical Score'!$K$29)*(AT655*'Historical Score'!$L$29+1-'Historical Score'!$L$29)*(AS655*'Historical Score'!$M$29+1-'Historical Score'!$M$29)*(AQ655*'Historical Score'!$N$29+1-'Historical Score'!$N$29),0)</f>
        <v/>
      </c>
      <c r="BB655" s="3" t="n"/>
      <c r="BC655" s="3" t="n"/>
    </row>
    <row r="656" ht="15.75" customHeight="1" s="174">
      <c r="A656" s="3" t="inlineStr">
        <is>
          <t>5674179109</t>
        </is>
      </c>
      <c r="B656" s="3" t="inlineStr">
        <is>
          <t>MANASSES HENRY FURNITURE</t>
        </is>
      </c>
      <c r="C656" s="3" t="inlineStr">
        <is>
          <t>MANASSES HENRY FURNITURE</t>
        </is>
      </c>
      <c r="D656" s="3" t="inlineStr">
        <is>
          <t>Legal</t>
        </is>
      </c>
      <c r="E656" s="23" t="n">
        <v>46078</v>
      </c>
      <c r="F656" s="23" t="n">
        <v>46115</v>
      </c>
      <c r="G656" s="3" t="n">
        <v>3</v>
      </c>
      <c r="H656" s="3" t="inlineStr">
        <is>
          <t>2521</t>
        </is>
      </c>
      <c r="I656" s="3" t="inlineStr">
        <is>
          <t>25</t>
        </is>
      </c>
      <c r="J656" s="3" t="inlineStr">
        <is>
          <t>IN</t>
        </is>
      </c>
      <c r="K656" s="3" t="inlineStr">
        <is>
          <t>Shield Funding</t>
        </is>
      </c>
      <c r="L656" s="3" t="inlineStr">
        <is>
          <t>Renewal</t>
        </is>
      </c>
      <c r="M656" s="3" t="n">
        <v>1.41</v>
      </c>
      <c r="N656" s="28" t="n">
        <v>50000</v>
      </c>
      <c r="O656" s="28" t="n">
        <v>0</v>
      </c>
      <c r="P656" s="28" t="n">
        <v>70500</v>
      </c>
      <c r="Q656" s="28" t="n">
        <v>2958.02</v>
      </c>
      <c r="R656" s="28" t="n">
        <v>67541.98</v>
      </c>
      <c r="S656" s="42" t="n">
        <v>0.0419577304964539</v>
      </c>
      <c r="T656" s="3" t="n">
        <v>36</v>
      </c>
      <c r="U656" s="3" t="n">
        <v>3</v>
      </c>
      <c r="V656" s="3" t="n">
        <v>56713.1</v>
      </c>
      <c r="W656" s="42" t="n">
        <v>0.1381</v>
      </c>
      <c r="X656" s="23" t="n">
        <v>42308</v>
      </c>
      <c r="Y656" s="3">
        <f>IF(I656="","No SIC",IFERROR(VLOOKUP(I656,Ref!$A$2:$B$65,2,FALSE()),"Unclassified"))</f>
        <v/>
      </c>
      <c r="Z656" s="3">
        <f>IF(T656="","",IF(T656&lt;12,"Daily","Weekly"))</f>
        <v/>
      </c>
      <c r="AA656" s="3">
        <f>IF(T656="",0,IF(T656&lt;12,T656*Controls!$B$13,T656*5))</f>
        <v/>
      </c>
      <c r="AB656" s="3">
        <f>IF(E656="",0,NETWORKDAYS(E656,Controls!$B$20,Ref!$K$2:$K$42))</f>
        <v/>
      </c>
      <c r="AC656" s="3">
        <f>IF(OR(AF656=1,AND(AA656&gt;0,AB656&gt;=Controls!$B$23*AA656)),1,0)</f>
        <v/>
      </c>
      <c r="AD656" s="3">
        <f>IF(AND(E656&lt;&gt;"",E656&gt;=Controls!$B$21,E656&lt;=Controls!$B$22),1,0)</f>
        <v/>
      </c>
      <c r="AE656" s="3">
        <f>IF(IFERROR(VLOOKUP(D656,Controls!$A$36:$E$46,2,FALSE()),"No")="Yes",1,0)</f>
        <v/>
      </c>
      <c r="AF656" s="3">
        <f>IF(IFERROR(VLOOKUP(D656,Controls!$A$36:$E$46,3,FALSE()),"No")="Yes",1,0)</f>
        <v/>
      </c>
      <c r="AG656" s="3">
        <f>IF(IFERROR(VLOOKUP(D656,Controls!$A$36:$E$46,4,FALSE()),"No")="Yes",1,0)</f>
        <v/>
      </c>
      <c r="AH656" s="3">
        <f>IF(IFERROR(VLOOKUP(D656,Controls!$A$36:$E$46,5,FALSE()),"No")="Yes",1,0)</f>
        <v/>
      </c>
      <c r="AI656" s="3">
        <f>IF(ISNUMBER(MATCH(D656,Controls!$A$36:$A$46,0)),1,0)</f>
        <v/>
      </c>
      <c r="AJ656" s="28">
        <f>Q656-N656</f>
        <v/>
      </c>
      <c r="AK656" s="3">
        <f>IF(AE656=1,MAX(0,N656-Q656),0)</f>
        <v/>
      </c>
      <c r="AL656" s="3">
        <f>IF(OR(V656="",V656=0),0,N656/V656)</f>
        <v/>
      </c>
      <c r="AM656" s="3">
        <f>IF(OR(V656="",V656=0),0,1)</f>
        <v/>
      </c>
      <c r="AN656" s="3">
        <f>IF(OR(E656="",F656=""),0,NETWORKDAYS(E656,F656,Ref!$K$2:$K$42))</f>
        <v/>
      </c>
      <c r="AO656" s="3">
        <f>IF(L656="Renewal",1,0)</f>
        <v/>
      </c>
      <c r="AP656" s="3">
        <f>AC656*AD656</f>
        <v/>
      </c>
      <c r="AQ656" s="3">
        <f>IF(AND(G656&lt;&gt;"",'Historical Score'!$C$6&lt;&gt;""),IF(G656='Historical Score'!$C$6,1,0),0)</f>
        <v/>
      </c>
      <c r="AR656" s="3">
        <f>IF(AND(L656&lt;&gt;"",'Historical Score'!$C$5&lt;&gt;""),IF(L656='Historical Score'!$C$5,1,0),0)</f>
        <v/>
      </c>
      <c r="AS656" s="3">
        <f>IF(AND(Y656&lt;&gt;"",'Historical Score'!$C$7&lt;&gt;""),IF(Y656='Historical Score'!$C$7,1,0),0)</f>
        <v/>
      </c>
      <c r="AT656" s="3">
        <f>IF(AND(K656&lt;&gt;"",'Historical Score'!$C$8&lt;&gt;""),IF(K656='Historical Score'!$C$8,1,0),0)</f>
        <v/>
      </c>
      <c r="AU656" s="3" t="n"/>
      <c r="AV656" s="3" t="n"/>
      <c r="AW656" s="3" t="n"/>
      <c r="AX656" s="3" t="n"/>
      <c r="AY656" s="3" t="n"/>
      <c r="AZ656" s="3" t="n"/>
      <c r="BA656" s="182">
        <f>IF(AD656=1,(AR656*'Historical Score'!$K$29+1-'Historical Score'!$K$29)*(AT656*'Historical Score'!$L$29+1-'Historical Score'!$L$29)*(AS656*'Historical Score'!$M$29+1-'Historical Score'!$M$29)*(AQ656*'Historical Score'!$N$29+1-'Historical Score'!$N$29),0)</f>
        <v/>
      </c>
      <c r="BB656" s="3" t="n"/>
      <c r="BC656" s="3" t="n"/>
    </row>
    <row r="657" ht="15.75" customHeight="1" s="174">
      <c r="A657" s="3" t="inlineStr">
        <is>
          <t>5674179123</t>
        </is>
      </c>
      <c r="B657" s="3" t="inlineStr">
        <is>
          <t>MICA WASTE &amp; RECYCLING LLC</t>
        </is>
      </c>
      <c r="C657" s="3" t="inlineStr">
        <is>
          <t>MICA WASTE &amp; RECYCLING LLC</t>
        </is>
      </c>
      <c r="D657" s="3" t="inlineStr">
        <is>
          <t>Written-Off</t>
        </is>
      </c>
      <c r="E657" s="23" t="n">
        <v>46078</v>
      </c>
      <c r="F657" s="23" t="n">
        <v>46146</v>
      </c>
      <c r="G657" s="3" t="n">
        <v>3</v>
      </c>
      <c r="H657" s="3" t="inlineStr">
        <is>
          <t>9511</t>
        </is>
      </c>
      <c r="I657" s="3" t="inlineStr">
        <is>
          <t>95</t>
        </is>
      </c>
      <c r="J657" s="3" t="inlineStr">
        <is>
          <t>TX</t>
        </is>
      </c>
      <c r="K657" s="3" t="inlineStr">
        <is>
          <t>United Secured Capital 8</t>
        </is>
      </c>
      <c r="L657" s="3" t="inlineStr">
        <is>
          <t>New Deal</t>
        </is>
      </c>
      <c r="M657" s="3" t="n">
        <v>1.49</v>
      </c>
      <c r="N657" s="28" t="n">
        <v>17500</v>
      </c>
      <c r="O657" s="28" t="n">
        <v>0</v>
      </c>
      <c r="P657" s="28" t="n">
        <v>26075</v>
      </c>
      <c r="Q657" s="28" t="n">
        <v>18992.6</v>
      </c>
      <c r="R657" s="28" t="n">
        <v>7082.4</v>
      </c>
      <c r="S657" s="42" t="n">
        <v>0.728383509108341</v>
      </c>
      <c r="T657" s="3" t="n">
        <v>22</v>
      </c>
      <c r="U657" s="3" t="n">
        <v>2</v>
      </c>
      <c r="V657" s="3" t="n">
        <v>82623.64</v>
      </c>
      <c r="W657" s="42" t="n">
        <v>0.0574</v>
      </c>
      <c r="X657" s="23" t="n">
        <v>46078</v>
      </c>
      <c r="Y657" s="3">
        <f>IF(I657="","No SIC",IFERROR(VLOOKUP(I657,Ref!$A$2:$B$65,2,FALSE()),"Unclassified"))</f>
        <v/>
      </c>
      <c r="Z657" s="3">
        <f>IF(T657="","",IF(T657&lt;12,"Daily","Weekly"))</f>
        <v/>
      </c>
      <c r="AA657" s="3">
        <f>IF(T657="",0,IF(T657&lt;12,T657*Controls!$B$13,T657*5))</f>
        <v/>
      </c>
      <c r="AB657" s="3">
        <f>IF(E657="",0,NETWORKDAYS(E657,Controls!$B$20,Ref!$K$2:$K$42))</f>
        <v/>
      </c>
      <c r="AC657" s="3">
        <f>IF(OR(AF657=1,AND(AA657&gt;0,AB657&gt;=Controls!$B$23*AA657)),1,0)</f>
        <v/>
      </c>
      <c r="AD657" s="3">
        <f>IF(AND(E657&lt;&gt;"",E657&gt;=Controls!$B$21,E657&lt;=Controls!$B$22),1,0)</f>
        <v/>
      </c>
      <c r="AE657" s="3">
        <f>IF(IFERROR(VLOOKUP(D657,Controls!$A$36:$E$46,2,FALSE()),"No")="Yes",1,0)</f>
        <v/>
      </c>
      <c r="AF657" s="3">
        <f>IF(IFERROR(VLOOKUP(D657,Controls!$A$36:$E$46,3,FALSE()),"No")="Yes",1,0)</f>
        <v/>
      </c>
      <c r="AG657" s="3">
        <f>IF(IFERROR(VLOOKUP(D657,Controls!$A$36:$E$46,4,FALSE()),"No")="Yes",1,0)</f>
        <v/>
      </c>
      <c r="AH657" s="3">
        <f>IF(IFERROR(VLOOKUP(D657,Controls!$A$36:$E$46,5,FALSE()),"No")="Yes",1,0)</f>
        <v/>
      </c>
      <c r="AI657" s="3">
        <f>IF(ISNUMBER(MATCH(D657,Controls!$A$36:$A$46,0)),1,0)</f>
        <v/>
      </c>
      <c r="AJ657" s="28">
        <f>Q657-N657</f>
        <v/>
      </c>
      <c r="AK657" s="3">
        <f>IF(AE657=1,MAX(0,N657-Q657),0)</f>
        <v/>
      </c>
      <c r="AL657" s="3">
        <f>IF(OR(V657="",V657=0),0,N657/V657)</f>
        <v/>
      </c>
      <c r="AM657" s="3">
        <f>IF(OR(V657="",V657=0),0,1)</f>
        <v/>
      </c>
      <c r="AN657" s="3">
        <f>IF(OR(E657="",F657=""),0,NETWORKDAYS(E657,F657,Ref!$K$2:$K$42))</f>
        <v/>
      </c>
      <c r="AO657" s="3">
        <f>IF(L657="Renewal",1,0)</f>
        <v/>
      </c>
      <c r="AP657" s="3">
        <f>AC657*AD657</f>
        <v/>
      </c>
      <c r="AQ657" s="3">
        <f>IF(AND(G657&lt;&gt;"",'Historical Score'!$C$6&lt;&gt;""),IF(G657='Historical Score'!$C$6,1,0),0)</f>
        <v/>
      </c>
      <c r="AR657" s="3">
        <f>IF(AND(L657&lt;&gt;"",'Historical Score'!$C$5&lt;&gt;""),IF(L657='Historical Score'!$C$5,1,0),0)</f>
        <v/>
      </c>
      <c r="AS657" s="3">
        <f>IF(AND(Y657&lt;&gt;"",'Historical Score'!$C$7&lt;&gt;""),IF(Y657='Historical Score'!$C$7,1,0),0)</f>
        <v/>
      </c>
      <c r="AT657" s="3">
        <f>IF(AND(K657&lt;&gt;"",'Historical Score'!$C$8&lt;&gt;""),IF(K657='Historical Score'!$C$8,1,0),0)</f>
        <v/>
      </c>
      <c r="AU657" s="3" t="n"/>
      <c r="AV657" s="3" t="n"/>
      <c r="AW657" s="3" t="n"/>
      <c r="AX657" s="3" t="n"/>
      <c r="AY657" s="3" t="n"/>
      <c r="AZ657" s="3" t="n"/>
      <c r="BA657" s="182">
        <f>IF(AD657=1,(AR657*'Historical Score'!$K$29+1-'Historical Score'!$K$29)*(AT657*'Historical Score'!$L$29+1-'Historical Score'!$L$29)*(AS657*'Historical Score'!$M$29+1-'Historical Score'!$M$29)*(AQ657*'Historical Score'!$N$29+1-'Historical Score'!$N$29),0)</f>
        <v/>
      </c>
      <c r="BB657" s="3" t="n"/>
      <c r="BC657" s="3" t="n"/>
    </row>
    <row r="658" ht="15.75" customHeight="1" s="174">
      <c r="A658" s="3" t="inlineStr">
        <is>
          <t>5674179183</t>
        </is>
      </c>
      <c r="B658" s="3" t="inlineStr">
        <is>
          <t>ALPHA 3 MASONRY &amp; REMODEL</t>
        </is>
      </c>
      <c r="C658" s="3" t="inlineStr">
        <is>
          <t>ALPHA 3 MASONRY &amp; REMODEL LLC</t>
        </is>
      </c>
      <c r="D658" s="3" t="inlineStr">
        <is>
          <t>Closed</t>
        </is>
      </c>
      <c r="E658" s="23" t="n">
        <v>46079</v>
      </c>
      <c r="F658" s="23" t="n">
        <v>46157</v>
      </c>
      <c r="G658" s="3" t="n">
        <v>2</v>
      </c>
      <c r="H658" s="3" t="inlineStr">
        <is>
          <t>1521</t>
        </is>
      </c>
      <c r="I658" s="3" t="inlineStr">
        <is>
          <t>15</t>
        </is>
      </c>
      <c r="J658" s="3" t="inlineStr">
        <is>
          <t>AZ</t>
        </is>
      </c>
      <c r="K658" s="3" t="inlineStr">
        <is>
          <t>FIMACAP INC</t>
        </is>
      </c>
      <c r="L658" s="3" t="inlineStr">
        <is>
          <t>Renewal</t>
        </is>
      </c>
      <c r="M658" s="3" t="n">
        <v>1.49</v>
      </c>
      <c r="N658" s="28" t="n">
        <v>25000</v>
      </c>
      <c r="O658" s="28" t="n">
        <v>3500</v>
      </c>
      <c r="P658" s="28" t="n">
        <v>37250</v>
      </c>
      <c r="Q658" s="28" t="n">
        <v>37250</v>
      </c>
      <c r="R658" s="28" t="n">
        <v>0</v>
      </c>
      <c r="S658" s="42" t="n">
        <v>1</v>
      </c>
      <c r="T658" s="3" t="n">
        <v>24</v>
      </c>
      <c r="U658" s="3" t="n">
        <v>1</v>
      </c>
      <c r="V658" s="3" t="n">
        <v>123628.7</v>
      </c>
      <c r="W658" s="42" t="n">
        <v>0.0502</v>
      </c>
      <c r="X658" s="23" t="n">
        <v>44562</v>
      </c>
      <c r="Y658" s="3">
        <f>IF(I658="","No SIC",IFERROR(VLOOKUP(I658,Ref!$A$2:$B$65,2,FALSE()),"Unclassified"))</f>
        <v/>
      </c>
      <c r="Z658" s="3">
        <f>IF(T658="","",IF(T658&lt;12,"Daily","Weekly"))</f>
        <v/>
      </c>
      <c r="AA658" s="3">
        <f>IF(T658="",0,IF(T658&lt;12,T658*Controls!$B$13,T658*5))</f>
        <v/>
      </c>
      <c r="AB658" s="3">
        <f>IF(E658="",0,NETWORKDAYS(E658,Controls!$B$20,Ref!$K$2:$K$42))</f>
        <v/>
      </c>
      <c r="AC658" s="3">
        <f>IF(OR(AF658=1,AND(AA658&gt;0,AB658&gt;=Controls!$B$23*AA658)),1,0)</f>
        <v/>
      </c>
      <c r="AD658" s="3">
        <f>IF(AND(E658&lt;&gt;"",E658&gt;=Controls!$B$21,E658&lt;=Controls!$B$22),1,0)</f>
        <v/>
      </c>
      <c r="AE658" s="3">
        <f>IF(IFERROR(VLOOKUP(D658,Controls!$A$36:$E$46,2,FALSE()),"No")="Yes",1,0)</f>
        <v/>
      </c>
      <c r="AF658" s="3">
        <f>IF(IFERROR(VLOOKUP(D658,Controls!$A$36:$E$46,3,FALSE()),"No")="Yes",1,0)</f>
        <v/>
      </c>
      <c r="AG658" s="3">
        <f>IF(IFERROR(VLOOKUP(D658,Controls!$A$36:$E$46,4,FALSE()),"No")="Yes",1,0)</f>
        <v/>
      </c>
      <c r="AH658" s="3">
        <f>IF(IFERROR(VLOOKUP(D658,Controls!$A$36:$E$46,5,FALSE()),"No")="Yes",1,0)</f>
        <v/>
      </c>
      <c r="AI658" s="3">
        <f>IF(ISNUMBER(MATCH(D658,Controls!$A$36:$A$46,0)),1,0)</f>
        <v/>
      </c>
      <c r="AJ658" s="28">
        <f>Q658-N658</f>
        <v/>
      </c>
      <c r="AK658" s="3">
        <f>IF(AE658=1,MAX(0,N658-Q658),0)</f>
        <v/>
      </c>
      <c r="AL658" s="3">
        <f>IF(OR(V658="",V658=0),0,N658/V658)</f>
        <v/>
      </c>
      <c r="AM658" s="3">
        <f>IF(OR(V658="",V658=0),0,1)</f>
        <v/>
      </c>
      <c r="AN658" s="3">
        <f>IF(OR(E658="",F658=""),0,NETWORKDAYS(E658,F658,Ref!$K$2:$K$42))</f>
        <v/>
      </c>
      <c r="AO658" s="3">
        <f>IF(L658="Renewal",1,0)</f>
        <v/>
      </c>
      <c r="AP658" s="3">
        <f>AC658*AD658</f>
        <v/>
      </c>
      <c r="AQ658" s="3">
        <f>IF(AND(G658&lt;&gt;"",'Historical Score'!$C$6&lt;&gt;""),IF(G658='Historical Score'!$C$6,1,0),0)</f>
        <v/>
      </c>
      <c r="AR658" s="3">
        <f>IF(AND(L658&lt;&gt;"",'Historical Score'!$C$5&lt;&gt;""),IF(L658='Historical Score'!$C$5,1,0),0)</f>
        <v/>
      </c>
      <c r="AS658" s="3">
        <f>IF(AND(Y658&lt;&gt;"",'Historical Score'!$C$7&lt;&gt;""),IF(Y658='Historical Score'!$C$7,1,0),0)</f>
        <v/>
      </c>
      <c r="AT658" s="3">
        <f>IF(AND(K658&lt;&gt;"",'Historical Score'!$C$8&lt;&gt;""),IF(K658='Historical Score'!$C$8,1,0),0)</f>
        <v/>
      </c>
      <c r="AU658" s="3" t="n"/>
      <c r="AV658" s="3" t="n"/>
      <c r="AW658" s="3" t="n"/>
      <c r="AX658" s="3" t="n"/>
      <c r="AY658" s="3" t="n"/>
      <c r="AZ658" s="3" t="n"/>
      <c r="BA658" s="182">
        <f>IF(AD658=1,(AR658*'Historical Score'!$K$29+1-'Historical Score'!$K$29)*(AT658*'Historical Score'!$L$29+1-'Historical Score'!$L$29)*(AS658*'Historical Score'!$M$29+1-'Historical Score'!$M$29)*(AQ658*'Historical Score'!$N$29+1-'Historical Score'!$N$29),0)</f>
        <v/>
      </c>
      <c r="BB658" s="3" t="n"/>
      <c r="BC658" s="3" t="n"/>
    </row>
    <row r="659" ht="15.75" customHeight="1" s="174">
      <c r="A659" s="3" t="inlineStr">
        <is>
          <t>5674179187</t>
        </is>
      </c>
      <c r="B659" s="3" t="inlineStr">
        <is>
          <t>SC GROUP LLC</t>
        </is>
      </c>
      <c r="C659" s="3" t="inlineStr">
        <is>
          <t>SC GROUP LLC</t>
        </is>
      </c>
      <c r="D659" s="3" t="inlineStr">
        <is>
          <t>Closed</t>
        </is>
      </c>
      <c r="E659" s="23" t="n">
        <v>46079</v>
      </c>
      <c r="F659" s="23" t="n">
        <v>46161</v>
      </c>
      <c r="G659" s="3" t="n">
        <v>2</v>
      </c>
      <c r="H659" s="3" t="inlineStr">
        <is>
          <t>7629</t>
        </is>
      </c>
      <c r="I659" s="3" t="inlineStr">
        <is>
          <t>76</t>
        </is>
      </c>
      <c r="J659" s="3" t="inlineStr">
        <is>
          <t>NJ</t>
        </is>
      </c>
      <c r="K659" s="3" t="inlineStr">
        <is>
          <t>level 3 funding</t>
        </is>
      </c>
      <c r="L659" s="3" t="inlineStr">
        <is>
          <t>Renewal</t>
        </is>
      </c>
      <c r="M659" s="3" t="n">
        <v>1.47</v>
      </c>
      <c r="N659" s="28" t="n">
        <v>12000</v>
      </c>
      <c r="O659" s="28" t="n">
        <v>1560</v>
      </c>
      <c r="P659" s="28" t="n">
        <v>17640</v>
      </c>
      <c r="Q659" s="28" t="n">
        <v>17640</v>
      </c>
      <c r="R659" s="28" t="n">
        <v>0</v>
      </c>
      <c r="S659" s="42" t="n">
        <v>1</v>
      </c>
      <c r="T659" s="3" t="n">
        <v>2.951</v>
      </c>
      <c r="U659" s="3" t="n">
        <v>0</v>
      </c>
      <c r="V659" s="3" t="n">
        <v>38306.63</v>
      </c>
      <c r="W659" s="42" t="n">
        <v>0.1074</v>
      </c>
      <c r="X659" s="23" t="n">
        <v>43374</v>
      </c>
      <c r="Y659" s="3">
        <f>IF(I659="","No SIC",IFERROR(VLOOKUP(I659,Ref!$A$2:$B$65,2,FALSE()),"Unclassified"))</f>
        <v/>
      </c>
      <c r="Z659" s="3">
        <f>IF(T659="","",IF(T659&lt;12,"Daily","Weekly"))</f>
        <v/>
      </c>
      <c r="AA659" s="3">
        <f>IF(T659="",0,IF(T659&lt;12,T659*Controls!$B$13,T659*5))</f>
        <v/>
      </c>
      <c r="AB659" s="3">
        <f>IF(E659="",0,NETWORKDAYS(E659,Controls!$B$20,Ref!$K$2:$K$42))</f>
        <v/>
      </c>
      <c r="AC659" s="3">
        <f>IF(OR(AF659=1,AND(AA659&gt;0,AB659&gt;=Controls!$B$23*AA659)),1,0)</f>
        <v/>
      </c>
      <c r="AD659" s="3">
        <f>IF(AND(E659&lt;&gt;"",E659&gt;=Controls!$B$21,E659&lt;=Controls!$B$22),1,0)</f>
        <v/>
      </c>
      <c r="AE659" s="3">
        <f>IF(IFERROR(VLOOKUP(D659,Controls!$A$36:$E$46,2,FALSE()),"No")="Yes",1,0)</f>
        <v/>
      </c>
      <c r="AF659" s="3">
        <f>IF(IFERROR(VLOOKUP(D659,Controls!$A$36:$E$46,3,FALSE()),"No")="Yes",1,0)</f>
        <v/>
      </c>
      <c r="AG659" s="3">
        <f>IF(IFERROR(VLOOKUP(D659,Controls!$A$36:$E$46,4,FALSE()),"No")="Yes",1,0)</f>
        <v/>
      </c>
      <c r="AH659" s="3">
        <f>IF(IFERROR(VLOOKUP(D659,Controls!$A$36:$E$46,5,FALSE()),"No")="Yes",1,0)</f>
        <v/>
      </c>
      <c r="AI659" s="3">
        <f>IF(ISNUMBER(MATCH(D659,Controls!$A$36:$A$46,0)),1,0)</f>
        <v/>
      </c>
      <c r="AJ659" s="28">
        <f>Q659-N659</f>
        <v/>
      </c>
      <c r="AK659" s="3">
        <f>IF(AE659=1,MAX(0,N659-Q659),0)</f>
        <v/>
      </c>
      <c r="AL659" s="3">
        <f>IF(OR(V659="",V659=0),0,N659/V659)</f>
        <v/>
      </c>
      <c r="AM659" s="3">
        <f>IF(OR(V659="",V659=0),0,1)</f>
        <v/>
      </c>
      <c r="AN659" s="3">
        <f>IF(OR(E659="",F659=""),0,NETWORKDAYS(E659,F659,Ref!$K$2:$K$42))</f>
        <v/>
      </c>
      <c r="AO659" s="3">
        <f>IF(L659="Renewal",1,0)</f>
        <v/>
      </c>
      <c r="AP659" s="3">
        <f>AC659*AD659</f>
        <v/>
      </c>
      <c r="AQ659" s="3">
        <f>IF(AND(G659&lt;&gt;"",'Historical Score'!$C$6&lt;&gt;""),IF(G659='Historical Score'!$C$6,1,0),0)</f>
        <v/>
      </c>
      <c r="AR659" s="3">
        <f>IF(AND(L659&lt;&gt;"",'Historical Score'!$C$5&lt;&gt;""),IF(L659='Historical Score'!$C$5,1,0),0)</f>
        <v/>
      </c>
      <c r="AS659" s="3">
        <f>IF(AND(Y659&lt;&gt;"",'Historical Score'!$C$7&lt;&gt;""),IF(Y659='Historical Score'!$C$7,1,0),0)</f>
        <v/>
      </c>
      <c r="AT659" s="3">
        <f>IF(AND(K659&lt;&gt;"",'Historical Score'!$C$8&lt;&gt;""),IF(K659='Historical Score'!$C$8,1,0),0)</f>
        <v/>
      </c>
      <c r="AU659" s="3" t="n"/>
      <c r="AV659" s="3" t="n"/>
      <c r="AW659" s="3" t="n"/>
      <c r="AX659" s="3" t="n"/>
      <c r="AY659" s="3" t="n"/>
      <c r="AZ659" s="3" t="n"/>
      <c r="BA659" s="182">
        <f>IF(AD659=1,(AR659*'Historical Score'!$K$29+1-'Historical Score'!$K$29)*(AT659*'Historical Score'!$L$29+1-'Historical Score'!$L$29)*(AS659*'Historical Score'!$M$29+1-'Historical Score'!$M$29)*(AQ659*'Historical Score'!$N$29+1-'Historical Score'!$N$29),0)</f>
        <v/>
      </c>
      <c r="BB659" s="3" t="n"/>
      <c r="BC659" s="3" t="n"/>
    </row>
    <row r="660" ht="15.75" customHeight="1" s="174">
      <c r="A660" s="3" t="inlineStr">
        <is>
          <t>5674179218</t>
        </is>
      </c>
      <c r="B660" s="3" t="inlineStr">
        <is>
          <t>Rodeo 29 Bar &amp; Grill</t>
        </is>
      </c>
      <c r="C660" s="3" t="inlineStr">
        <is>
          <t>Rodeo 29 Bar &amp; Grill</t>
        </is>
      </c>
      <c r="D660" s="3" t="inlineStr">
        <is>
          <t>Closed</t>
        </is>
      </c>
      <c r="E660" s="23" t="n">
        <v>46079</v>
      </c>
      <c r="F660" s="23" t="n">
        <v>46224</v>
      </c>
      <c r="G660" s="3" t="n">
        <v>3</v>
      </c>
      <c r="H660" s="3" t="inlineStr">
        <is>
          <t>5812</t>
        </is>
      </c>
      <c r="I660" s="3" t="inlineStr">
        <is>
          <t>58</t>
        </is>
      </c>
      <c r="J660" s="3" t="inlineStr">
        <is>
          <t>IL</t>
        </is>
      </c>
      <c r="K660" s="3" t="inlineStr">
        <is>
          <t>Ballicci</t>
        </is>
      </c>
      <c r="L660" s="3" t="inlineStr">
        <is>
          <t>Renewal</t>
        </is>
      </c>
      <c r="M660" s="3" t="n">
        <v>1.49</v>
      </c>
      <c r="N660" s="28" t="n">
        <v>40000</v>
      </c>
      <c r="O660" s="28" t="n">
        <v>5600</v>
      </c>
      <c r="P660" s="28" t="n">
        <v>59600</v>
      </c>
      <c r="Q660" s="28" t="n">
        <v>59600</v>
      </c>
      <c r="R660" s="28" t="n">
        <v>0</v>
      </c>
      <c r="S660" s="42" t="n">
        <v>1</v>
      </c>
      <c r="T660" s="3" t="n">
        <v>4.59</v>
      </c>
      <c r="U660" s="3" t="n">
        <v>4</v>
      </c>
      <c r="V660" s="3" t="n">
        <v>51003.83</v>
      </c>
      <c r="W660" s="42" t="n">
        <v>0.1753</v>
      </c>
      <c r="X660" s="23" t="n">
        <v>45344</v>
      </c>
      <c r="Y660" s="3">
        <f>IF(I660="","No SIC",IFERROR(VLOOKUP(I660,Ref!$A$2:$B$65,2,FALSE()),"Unclassified"))</f>
        <v/>
      </c>
      <c r="Z660" s="3">
        <f>IF(T660="","",IF(T660&lt;12,"Daily","Weekly"))</f>
        <v/>
      </c>
      <c r="AA660" s="3">
        <f>IF(T660="",0,IF(T660&lt;12,T660*Controls!$B$13,T660*5))</f>
        <v/>
      </c>
      <c r="AB660" s="3">
        <f>IF(E660="",0,NETWORKDAYS(E660,Controls!$B$20,Ref!$K$2:$K$42))</f>
        <v/>
      </c>
      <c r="AC660" s="3">
        <f>IF(OR(AF660=1,AND(AA660&gt;0,AB660&gt;=Controls!$B$23*AA660)),1,0)</f>
        <v/>
      </c>
      <c r="AD660" s="3">
        <f>IF(AND(E660&lt;&gt;"",E660&gt;=Controls!$B$21,E660&lt;=Controls!$B$22),1,0)</f>
        <v/>
      </c>
      <c r="AE660" s="3">
        <f>IF(IFERROR(VLOOKUP(D660,Controls!$A$36:$E$46,2,FALSE()),"No")="Yes",1,0)</f>
        <v/>
      </c>
      <c r="AF660" s="3">
        <f>IF(IFERROR(VLOOKUP(D660,Controls!$A$36:$E$46,3,FALSE()),"No")="Yes",1,0)</f>
        <v/>
      </c>
      <c r="AG660" s="3">
        <f>IF(IFERROR(VLOOKUP(D660,Controls!$A$36:$E$46,4,FALSE()),"No")="Yes",1,0)</f>
        <v/>
      </c>
      <c r="AH660" s="3">
        <f>IF(IFERROR(VLOOKUP(D660,Controls!$A$36:$E$46,5,FALSE()),"No")="Yes",1,0)</f>
        <v/>
      </c>
      <c r="AI660" s="3">
        <f>IF(ISNUMBER(MATCH(D660,Controls!$A$36:$A$46,0)),1,0)</f>
        <v/>
      </c>
      <c r="AJ660" s="28">
        <f>Q660-N660</f>
        <v/>
      </c>
      <c r="AK660" s="3">
        <f>IF(AE660=1,MAX(0,N660-Q660),0)</f>
        <v/>
      </c>
      <c r="AL660" s="3">
        <f>IF(OR(V660="",V660=0),0,N660/V660)</f>
        <v/>
      </c>
      <c r="AM660" s="3">
        <f>IF(OR(V660="",V660=0),0,1)</f>
        <v/>
      </c>
      <c r="AN660" s="3">
        <f>IF(OR(E660="",F660=""),0,NETWORKDAYS(E660,F660,Ref!$K$2:$K$42))</f>
        <v/>
      </c>
      <c r="AO660" s="3">
        <f>IF(L660="Renewal",1,0)</f>
        <v/>
      </c>
      <c r="AP660" s="3">
        <f>AC660*AD660</f>
        <v/>
      </c>
      <c r="AQ660" s="3">
        <f>IF(AND(G660&lt;&gt;"",'Historical Score'!$C$6&lt;&gt;""),IF(G660='Historical Score'!$C$6,1,0),0)</f>
        <v/>
      </c>
      <c r="AR660" s="3">
        <f>IF(AND(L660&lt;&gt;"",'Historical Score'!$C$5&lt;&gt;""),IF(L660='Historical Score'!$C$5,1,0),0)</f>
        <v/>
      </c>
      <c r="AS660" s="3">
        <f>IF(AND(Y660&lt;&gt;"",'Historical Score'!$C$7&lt;&gt;""),IF(Y660='Historical Score'!$C$7,1,0),0)</f>
        <v/>
      </c>
      <c r="AT660" s="3">
        <f>IF(AND(K660&lt;&gt;"",'Historical Score'!$C$8&lt;&gt;""),IF(K660='Historical Score'!$C$8,1,0),0)</f>
        <v/>
      </c>
      <c r="AU660" s="3" t="n"/>
      <c r="AV660" s="3" t="n"/>
      <c r="AW660" s="3" t="n"/>
      <c r="AX660" s="3" t="n"/>
      <c r="AY660" s="3" t="n"/>
      <c r="AZ660" s="3" t="n"/>
      <c r="BA660" s="182">
        <f>IF(AD660=1,(AR660*'Historical Score'!$K$29+1-'Historical Score'!$K$29)*(AT660*'Historical Score'!$L$29+1-'Historical Score'!$L$29)*(AS660*'Historical Score'!$M$29+1-'Historical Score'!$M$29)*(AQ660*'Historical Score'!$N$29+1-'Historical Score'!$N$29),0)</f>
        <v/>
      </c>
      <c r="BB660" s="3" t="n"/>
      <c r="BC660" s="3" t="n"/>
    </row>
    <row r="661" ht="15.75" customHeight="1" s="174">
      <c r="A661" s="3" t="inlineStr">
        <is>
          <t>5674179253</t>
        </is>
      </c>
      <c r="B661" s="3" t="inlineStr">
        <is>
          <t>WESTBROOK AUTOMOTIVE</t>
        </is>
      </c>
      <c r="C661" s="3" t="inlineStr">
        <is>
          <t>WESTBROOK AUTOMOTIVE, INC.</t>
        </is>
      </c>
      <c r="D661" s="3" t="inlineStr">
        <is>
          <t>Closed</t>
        </is>
      </c>
      <c r="E661" s="23" t="n">
        <v>46080</v>
      </c>
      <c r="F661" s="23" t="n">
        <v>46142</v>
      </c>
      <c r="G661" s="3" t="n">
        <v>3</v>
      </c>
      <c r="H661" s="3" t="inlineStr">
        <is>
          <t>5599</t>
        </is>
      </c>
      <c r="I661" s="3" t="inlineStr">
        <is>
          <t>55</t>
        </is>
      </c>
      <c r="J661" s="3" t="inlineStr">
        <is>
          <t>TN</t>
        </is>
      </c>
      <c r="K661" s="3" t="inlineStr">
        <is>
          <t>United Secured Capital 8</t>
        </is>
      </c>
      <c r="L661" s="3" t="inlineStr">
        <is>
          <t>New Deal</t>
        </is>
      </c>
      <c r="M661" s="3" t="n">
        <v>1.49</v>
      </c>
      <c r="N661" s="28" t="n">
        <v>10000</v>
      </c>
      <c r="O661" s="28" t="n">
        <v>1400</v>
      </c>
      <c r="P661" s="28" t="n">
        <v>14900</v>
      </c>
      <c r="Q661" s="28" t="n">
        <v>14900</v>
      </c>
      <c r="R661" s="28" t="n">
        <v>0</v>
      </c>
      <c r="S661" s="42" t="n">
        <v>1</v>
      </c>
      <c r="T661" s="3" t="n">
        <v>14</v>
      </c>
      <c r="U661" s="3" t="n">
        <v>0</v>
      </c>
      <c r="V661" s="3" t="n">
        <v>67518.91</v>
      </c>
      <c r="W661" s="42" t="n">
        <v>0.331</v>
      </c>
      <c r="X661" s="23" t="n">
        <v>45247</v>
      </c>
      <c r="Y661" s="3">
        <f>IF(I661="","No SIC",IFERROR(VLOOKUP(I661,Ref!$A$2:$B$65,2,FALSE()),"Unclassified"))</f>
        <v/>
      </c>
      <c r="Z661" s="3">
        <f>IF(T661="","",IF(T661&lt;12,"Daily","Weekly"))</f>
        <v/>
      </c>
      <c r="AA661" s="3">
        <f>IF(T661="",0,IF(T661&lt;12,T661*Controls!$B$13,T661*5))</f>
        <v/>
      </c>
      <c r="AB661" s="3">
        <f>IF(E661="",0,NETWORKDAYS(E661,Controls!$B$20,Ref!$K$2:$K$42))</f>
        <v/>
      </c>
      <c r="AC661" s="3">
        <f>IF(OR(AF661=1,AND(AA661&gt;0,AB661&gt;=Controls!$B$23*AA661)),1,0)</f>
        <v/>
      </c>
      <c r="AD661" s="3">
        <f>IF(AND(E661&lt;&gt;"",E661&gt;=Controls!$B$21,E661&lt;=Controls!$B$22),1,0)</f>
        <v/>
      </c>
      <c r="AE661" s="3">
        <f>IF(IFERROR(VLOOKUP(D661,Controls!$A$36:$E$46,2,FALSE()),"No")="Yes",1,0)</f>
        <v/>
      </c>
      <c r="AF661" s="3">
        <f>IF(IFERROR(VLOOKUP(D661,Controls!$A$36:$E$46,3,FALSE()),"No")="Yes",1,0)</f>
        <v/>
      </c>
      <c r="AG661" s="3">
        <f>IF(IFERROR(VLOOKUP(D661,Controls!$A$36:$E$46,4,FALSE()),"No")="Yes",1,0)</f>
        <v/>
      </c>
      <c r="AH661" s="3">
        <f>IF(IFERROR(VLOOKUP(D661,Controls!$A$36:$E$46,5,FALSE()),"No")="Yes",1,0)</f>
        <v/>
      </c>
      <c r="AI661" s="3">
        <f>IF(ISNUMBER(MATCH(D661,Controls!$A$36:$A$46,0)),1,0)</f>
        <v/>
      </c>
      <c r="AJ661" s="28">
        <f>Q661-N661</f>
        <v/>
      </c>
      <c r="AK661" s="3">
        <f>IF(AE661=1,MAX(0,N661-Q661),0)</f>
        <v/>
      </c>
      <c r="AL661" s="3">
        <f>IF(OR(V661="",V661=0),0,N661/V661)</f>
        <v/>
      </c>
      <c r="AM661" s="3">
        <f>IF(OR(V661="",V661=0),0,1)</f>
        <v/>
      </c>
      <c r="AN661" s="3">
        <f>IF(OR(E661="",F661=""),0,NETWORKDAYS(E661,F661,Ref!$K$2:$K$42))</f>
        <v/>
      </c>
      <c r="AO661" s="3">
        <f>IF(L661="Renewal",1,0)</f>
        <v/>
      </c>
      <c r="AP661" s="3">
        <f>AC661*AD661</f>
        <v/>
      </c>
      <c r="AQ661" s="3">
        <f>IF(AND(G661&lt;&gt;"",'Historical Score'!$C$6&lt;&gt;""),IF(G661='Historical Score'!$C$6,1,0),0)</f>
        <v/>
      </c>
      <c r="AR661" s="3">
        <f>IF(AND(L661&lt;&gt;"",'Historical Score'!$C$5&lt;&gt;""),IF(L661='Historical Score'!$C$5,1,0),0)</f>
        <v/>
      </c>
      <c r="AS661" s="3">
        <f>IF(AND(Y661&lt;&gt;"",'Historical Score'!$C$7&lt;&gt;""),IF(Y661='Historical Score'!$C$7,1,0),0)</f>
        <v/>
      </c>
      <c r="AT661" s="3">
        <f>IF(AND(K661&lt;&gt;"",'Historical Score'!$C$8&lt;&gt;""),IF(K661='Historical Score'!$C$8,1,0),0)</f>
        <v/>
      </c>
      <c r="AU661" s="3" t="n"/>
      <c r="AV661" s="3" t="n"/>
      <c r="AW661" s="3" t="n"/>
      <c r="AX661" s="3" t="n"/>
      <c r="AY661" s="3" t="n"/>
      <c r="AZ661" s="3" t="n"/>
      <c r="BA661" s="182">
        <f>IF(AD661=1,(AR661*'Historical Score'!$K$29+1-'Historical Score'!$K$29)*(AT661*'Historical Score'!$L$29+1-'Historical Score'!$L$29)*(AS661*'Historical Score'!$M$29+1-'Historical Score'!$M$29)*(AQ661*'Historical Score'!$N$29+1-'Historical Score'!$N$29),0)</f>
        <v/>
      </c>
      <c r="BB661" s="3" t="n"/>
      <c r="BC661" s="3" t="n"/>
    </row>
    <row r="662" ht="15.75" customHeight="1" s="174">
      <c r="A662" s="3" t="inlineStr">
        <is>
          <t>5674179297</t>
        </is>
      </c>
      <c r="B662" s="3" t="inlineStr">
        <is>
          <t>Smile with care Dental of Colorado</t>
        </is>
      </c>
      <c r="C662" s="3" t="inlineStr">
        <is>
          <t>Smile with Care dental of Colorado</t>
        </is>
      </c>
      <c r="D662" s="3" t="inlineStr">
        <is>
          <t>In House Collection</t>
        </is>
      </c>
      <c r="E662" s="23" t="n">
        <v>46080</v>
      </c>
      <c r="F662" s="23" t="n">
        <v>46203</v>
      </c>
      <c r="G662" s="3" t="n">
        <v>2</v>
      </c>
      <c r="H662" s="3" t="inlineStr">
        <is>
          <t>8021</t>
        </is>
      </c>
      <c r="I662" s="3" t="inlineStr">
        <is>
          <t>80</t>
        </is>
      </c>
      <c r="J662" s="3" t="inlineStr">
        <is>
          <t>CO</t>
        </is>
      </c>
      <c r="K662" s="3" t="inlineStr">
        <is>
          <t>Ballicci</t>
        </is>
      </c>
      <c r="L662" s="3" t="inlineStr">
        <is>
          <t>New Deal</t>
        </is>
      </c>
      <c r="M662" s="3" t="n">
        <v>1.49</v>
      </c>
      <c r="N662" s="28" t="n">
        <v>20000</v>
      </c>
      <c r="O662" s="28" t="n">
        <v>2800</v>
      </c>
      <c r="P662" s="28" t="n">
        <v>29800</v>
      </c>
      <c r="Q662" s="28" t="n">
        <v>12213.4</v>
      </c>
      <c r="R662" s="28" t="n">
        <v>17586.6</v>
      </c>
      <c r="S662" s="42" t="n">
        <v>0.409845637583893</v>
      </c>
      <c r="T662" s="3" t="n">
        <v>3.279</v>
      </c>
      <c r="U662" s="3" t="n">
        <v>38</v>
      </c>
      <c r="V662" s="3" t="n">
        <v>22205.75</v>
      </c>
      <c r="W662" s="42" t="n">
        <v>0.2818</v>
      </c>
      <c r="X662" s="23" t="n">
        <v>44211</v>
      </c>
      <c r="Y662" s="3">
        <f>IF(I662="","No SIC",IFERROR(VLOOKUP(I662,Ref!$A$2:$B$65,2,FALSE()),"Unclassified"))</f>
        <v/>
      </c>
      <c r="Z662" s="3">
        <f>IF(T662="","",IF(T662&lt;12,"Daily","Weekly"))</f>
        <v/>
      </c>
      <c r="AA662" s="3">
        <f>IF(T662="",0,IF(T662&lt;12,T662*Controls!$B$13,T662*5))</f>
        <v/>
      </c>
      <c r="AB662" s="3">
        <f>IF(E662="",0,NETWORKDAYS(E662,Controls!$B$20,Ref!$K$2:$K$42))</f>
        <v/>
      </c>
      <c r="AC662" s="3">
        <f>IF(OR(AF662=1,AND(AA662&gt;0,AB662&gt;=Controls!$B$23*AA662)),1,0)</f>
        <v/>
      </c>
      <c r="AD662" s="3">
        <f>IF(AND(E662&lt;&gt;"",E662&gt;=Controls!$B$21,E662&lt;=Controls!$B$22),1,0)</f>
        <v/>
      </c>
      <c r="AE662" s="3">
        <f>IF(IFERROR(VLOOKUP(D662,Controls!$A$36:$E$46,2,FALSE()),"No")="Yes",1,0)</f>
        <v/>
      </c>
      <c r="AF662" s="3">
        <f>IF(IFERROR(VLOOKUP(D662,Controls!$A$36:$E$46,3,FALSE()),"No")="Yes",1,0)</f>
        <v/>
      </c>
      <c r="AG662" s="3">
        <f>IF(IFERROR(VLOOKUP(D662,Controls!$A$36:$E$46,4,FALSE()),"No")="Yes",1,0)</f>
        <v/>
      </c>
      <c r="AH662" s="3">
        <f>IF(IFERROR(VLOOKUP(D662,Controls!$A$36:$E$46,5,FALSE()),"No")="Yes",1,0)</f>
        <v/>
      </c>
      <c r="AI662" s="3">
        <f>IF(ISNUMBER(MATCH(D662,Controls!$A$36:$A$46,0)),1,0)</f>
        <v/>
      </c>
      <c r="AJ662" s="28">
        <f>Q662-N662</f>
        <v/>
      </c>
      <c r="AK662" s="3">
        <f>IF(AE662=1,MAX(0,N662-Q662),0)</f>
        <v/>
      </c>
      <c r="AL662" s="3">
        <f>IF(OR(V662="",V662=0),0,N662/V662)</f>
        <v/>
      </c>
      <c r="AM662" s="3">
        <f>IF(OR(V662="",V662=0),0,1)</f>
        <v/>
      </c>
      <c r="AN662" s="3">
        <f>IF(OR(E662="",F662=""),0,NETWORKDAYS(E662,F662,Ref!$K$2:$K$42))</f>
        <v/>
      </c>
      <c r="AO662" s="3">
        <f>IF(L662="Renewal",1,0)</f>
        <v/>
      </c>
      <c r="AP662" s="3">
        <f>AC662*AD662</f>
        <v/>
      </c>
      <c r="AQ662" s="3">
        <f>IF(AND(G662&lt;&gt;"",'Historical Score'!$C$6&lt;&gt;""),IF(G662='Historical Score'!$C$6,1,0),0)</f>
        <v/>
      </c>
      <c r="AR662" s="3">
        <f>IF(AND(L662&lt;&gt;"",'Historical Score'!$C$5&lt;&gt;""),IF(L662='Historical Score'!$C$5,1,0),0)</f>
        <v/>
      </c>
      <c r="AS662" s="3">
        <f>IF(AND(Y662&lt;&gt;"",'Historical Score'!$C$7&lt;&gt;""),IF(Y662='Historical Score'!$C$7,1,0),0)</f>
        <v/>
      </c>
      <c r="AT662" s="3">
        <f>IF(AND(K662&lt;&gt;"",'Historical Score'!$C$8&lt;&gt;""),IF(K662='Historical Score'!$C$8,1,0),0)</f>
        <v/>
      </c>
      <c r="AU662" s="3" t="n"/>
      <c r="AV662" s="3" t="n"/>
      <c r="AW662" s="3" t="n"/>
      <c r="AX662" s="3" t="n"/>
      <c r="AY662" s="3" t="n"/>
      <c r="AZ662" s="3" t="n"/>
      <c r="BA662" s="182">
        <f>IF(AD662=1,(AR662*'Historical Score'!$K$29+1-'Historical Score'!$K$29)*(AT662*'Historical Score'!$L$29+1-'Historical Score'!$L$29)*(AS662*'Historical Score'!$M$29+1-'Historical Score'!$M$29)*(AQ662*'Historical Score'!$N$29+1-'Historical Score'!$N$29),0)</f>
        <v/>
      </c>
      <c r="BB662" s="3" t="n"/>
      <c r="BC662" s="3" t="n"/>
    </row>
    <row r="663" ht="15.75" customHeight="1" s="174">
      <c r="A663" s="3" t="inlineStr">
        <is>
          <t>5674179304</t>
        </is>
      </c>
      <c r="B663" s="3" t="inlineStr">
        <is>
          <t>Lewisville Holding, LLC</t>
        </is>
      </c>
      <c r="C663" s="3" t="inlineStr">
        <is>
          <t>Lewisville Holding, LLC</t>
        </is>
      </c>
      <c r="D663" s="3" t="inlineStr">
        <is>
          <t>Open</t>
        </is>
      </c>
      <c r="E663" s="23" t="n">
        <v>46080</v>
      </c>
      <c r="F663" s="23" t="n">
        <v>46253</v>
      </c>
      <c r="G663" s="3" t="n">
        <v>2</v>
      </c>
      <c r="H663" s="3" t="inlineStr">
        <is>
          <t>7359</t>
        </is>
      </c>
      <c r="I663" s="3" t="inlineStr">
        <is>
          <t>73</t>
        </is>
      </c>
      <c r="J663" s="3" t="inlineStr">
        <is>
          <t>AR</t>
        </is>
      </c>
      <c r="K663" s="3" t="inlineStr">
        <is>
          <t>Vanguard Equities</t>
        </is>
      </c>
      <c r="L663" s="3" t="inlineStr">
        <is>
          <t>New Deal</t>
        </is>
      </c>
      <c r="M663" s="3" t="n">
        <v>1.49</v>
      </c>
      <c r="N663" s="28" t="n">
        <v>25000</v>
      </c>
      <c r="O663" s="28" t="n">
        <v>3500</v>
      </c>
      <c r="P663" s="28" t="n">
        <v>37250</v>
      </c>
      <c r="Q663" s="28" t="n">
        <v>19557.96</v>
      </c>
      <c r="R663" s="28" t="n">
        <v>17692.04</v>
      </c>
      <c r="S663" s="42" t="n">
        <v>0.525045906040269</v>
      </c>
      <c r="T663" s="3" t="n">
        <v>24</v>
      </c>
      <c r="U663" s="3" t="n">
        <v>13</v>
      </c>
      <c r="V663" s="3" t="n">
        <v>68365.47</v>
      </c>
      <c r="W663" s="42" t="n">
        <v>0.4768</v>
      </c>
      <c r="X663" s="23" t="n">
        <v>43132</v>
      </c>
      <c r="Y663" s="3">
        <f>IF(I663="","No SIC",IFERROR(VLOOKUP(I663,Ref!$A$2:$B$65,2,FALSE()),"Unclassified"))</f>
        <v/>
      </c>
      <c r="Z663" s="3">
        <f>IF(T663="","",IF(T663&lt;12,"Daily","Weekly"))</f>
        <v/>
      </c>
      <c r="AA663" s="3">
        <f>IF(T663="",0,IF(T663&lt;12,T663*Controls!$B$13,T663*5))</f>
        <v/>
      </c>
      <c r="AB663" s="3">
        <f>IF(E663="",0,NETWORKDAYS(E663,Controls!$B$20,Ref!$K$2:$K$42))</f>
        <v/>
      </c>
      <c r="AC663" s="3">
        <f>IF(OR(AF663=1,AND(AA663&gt;0,AB663&gt;=Controls!$B$23*AA663)),1,0)</f>
        <v/>
      </c>
      <c r="AD663" s="3">
        <f>IF(AND(E663&lt;&gt;"",E663&gt;=Controls!$B$21,E663&lt;=Controls!$B$22),1,0)</f>
        <v/>
      </c>
      <c r="AE663" s="3">
        <f>IF(IFERROR(VLOOKUP(D663,Controls!$A$36:$E$46,2,FALSE()),"No")="Yes",1,0)</f>
        <v/>
      </c>
      <c r="AF663" s="3">
        <f>IF(IFERROR(VLOOKUP(D663,Controls!$A$36:$E$46,3,FALSE()),"No")="Yes",1,0)</f>
        <v/>
      </c>
      <c r="AG663" s="3">
        <f>IF(IFERROR(VLOOKUP(D663,Controls!$A$36:$E$46,4,FALSE()),"No")="Yes",1,0)</f>
        <v/>
      </c>
      <c r="AH663" s="3">
        <f>IF(IFERROR(VLOOKUP(D663,Controls!$A$36:$E$46,5,FALSE()),"No")="Yes",1,0)</f>
        <v/>
      </c>
      <c r="AI663" s="3">
        <f>IF(ISNUMBER(MATCH(D663,Controls!$A$36:$A$46,0)),1,0)</f>
        <v/>
      </c>
      <c r="AJ663" s="28">
        <f>Q663-N663</f>
        <v/>
      </c>
      <c r="AK663" s="3">
        <f>IF(AE663=1,MAX(0,N663-Q663),0)</f>
        <v/>
      </c>
      <c r="AL663" s="3">
        <f>IF(OR(V663="",V663=0),0,N663/V663)</f>
        <v/>
      </c>
      <c r="AM663" s="3">
        <f>IF(OR(V663="",V663=0),0,1)</f>
        <v/>
      </c>
      <c r="AN663" s="3">
        <f>IF(OR(E663="",F663=""),0,NETWORKDAYS(E663,F663,Ref!$K$2:$K$42))</f>
        <v/>
      </c>
      <c r="AO663" s="3">
        <f>IF(L663="Renewal",1,0)</f>
        <v/>
      </c>
      <c r="AP663" s="3">
        <f>AC663*AD663</f>
        <v/>
      </c>
      <c r="AQ663" s="3">
        <f>IF(AND(G663&lt;&gt;"",'Historical Score'!$C$6&lt;&gt;""),IF(G663='Historical Score'!$C$6,1,0),0)</f>
        <v/>
      </c>
      <c r="AR663" s="3">
        <f>IF(AND(L663&lt;&gt;"",'Historical Score'!$C$5&lt;&gt;""),IF(L663='Historical Score'!$C$5,1,0),0)</f>
        <v/>
      </c>
      <c r="AS663" s="3">
        <f>IF(AND(Y663&lt;&gt;"",'Historical Score'!$C$7&lt;&gt;""),IF(Y663='Historical Score'!$C$7,1,0),0)</f>
        <v/>
      </c>
      <c r="AT663" s="3">
        <f>IF(AND(K663&lt;&gt;"",'Historical Score'!$C$8&lt;&gt;""),IF(K663='Historical Score'!$C$8,1,0),0)</f>
        <v/>
      </c>
      <c r="AU663" s="3" t="n"/>
      <c r="AV663" s="3" t="n"/>
      <c r="AW663" s="3" t="n"/>
      <c r="AX663" s="3" t="n"/>
      <c r="AY663" s="3" t="n"/>
      <c r="AZ663" s="3" t="n"/>
      <c r="BA663" s="182">
        <f>IF(AD663=1,(AR663*'Historical Score'!$K$29+1-'Historical Score'!$K$29)*(AT663*'Historical Score'!$L$29+1-'Historical Score'!$L$29)*(AS663*'Historical Score'!$M$29+1-'Historical Score'!$M$29)*(AQ663*'Historical Score'!$N$29+1-'Historical Score'!$N$29),0)</f>
        <v/>
      </c>
      <c r="BB663" s="3" t="n"/>
      <c r="BC663" s="3" t="n"/>
    </row>
    <row r="664" ht="15.75" customHeight="1" s="174">
      <c r="A664" s="3" t="inlineStr">
        <is>
          <t>5674179307</t>
        </is>
      </c>
      <c r="B664" s="3" t="inlineStr">
        <is>
          <t>TAN LOC DBA THINH AN KITCHEN &amp; TOFU</t>
        </is>
      </c>
      <c r="C664" s="3" t="inlineStr">
        <is>
          <t>TAN LOC LLC</t>
        </is>
      </c>
      <c r="D664" s="3" t="inlineStr">
        <is>
          <t>Legal</t>
        </is>
      </c>
      <c r="E664" s="23" t="n">
        <v>46080</v>
      </c>
      <c r="F664" s="23" t="n">
        <v>46147</v>
      </c>
      <c r="G664" s="3" t="n">
        <v>1</v>
      </c>
      <c r="H664" s="3" t="inlineStr">
        <is>
          <t>5812</t>
        </is>
      </c>
      <c r="I664" s="3" t="inlineStr">
        <is>
          <t>58</t>
        </is>
      </c>
      <c r="J664" s="3" t="inlineStr">
        <is>
          <t>FL</t>
        </is>
      </c>
      <c r="K664" s="3" t="inlineStr">
        <is>
          <t>DIRECT CAPITAL SOURCE, INC.</t>
        </is>
      </c>
      <c r="L664" s="3" t="inlineStr">
        <is>
          <t>New Deal</t>
        </is>
      </c>
      <c r="M664" s="3" t="n">
        <v>1.49</v>
      </c>
      <c r="N664" s="28" t="n">
        <v>120000</v>
      </c>
      <c r="O664" s="28" t="n">
        <v>16800</v>
      </c>
      <c r="P664" s="28" t="n">
        <v>178800</v>
      </c>
      <c r="Q664" s="28" t="n">
        <v>62547.24</v>
      </c>
      <c r="R664" s="28" t="n">
        <v>116252.76</v>
      </c>
      <c r="S664" s="42" t="n">
        <v>0.34981677852349</v>
      </c>
      <c r="T664" s="3" t="n">
        <v>3.934</v>
      </c>
      <c r="U664" s="3" t="n">
        <v>7</v>
      </c>
      <c r="V664" s="3" t="n">
        <v>355147.84</v>
      </c>
      <c r="W664" s="42" t="n">
        <v>0.08119999999999999</v>
      </c>
      <c r="X664" s="23" t="n">
        <v>44473</v>
      </c>
      <c r="Y664" s="3">
        <f>IF(I664="","No SIC",IFERROR(VLOOKUP(I664,Ref!$A$2:$B$65,2,FALSE()),"Unclassified"))</f>
        <v/>
      </c>
      <c r="Z664" s="3">
        <f>IF(T664="","",IF(T664&lt;12,"Daily","Weekly"))</f>
        <v/>
      </c>
      <c r="AA664" s="3">
        <f>IF(T664="",0,IF(T664&lt;12,T664*Controls!$B$13,T664*5))</f>
        <v/>
      </c>
      <c r="AB664" s="3">
        <f>IF(E664="",0,NETWORKDAYS(E664,Controls!$B$20,Ref!$K$2:$K$42))</f>
        <v/>
      </c>
      <c r="AC664" s="3">
        <f>IF(OR(AF664=1,AND(AA664&gt;0,AB664&gt;=Controls!$B$23*AA664)),1,0)</f>
        <v/>
      </c>
      <c r="AD664" s="3">
        <f>IF(AND(E664&lt;&gt;"",E664&gt;=Controls!$B$21,E664&lt;=Controls!$B$22),1,0)</f>
        <v/>
      </c>
      <c r="AE664" s="3">
        <f>IF(IFERROR(VLOOKUP(D664,Controls!$A$36:$E$46,2,FALSE()),"No")="Yes",1,0)</f>
        <v/>
      </c>
      <c r="AF664" s="3">
        <f>IF(IFERROR(VLOOKUP(D664,Controls!$A$36:$E$46,3,FALSE()),"No")="Yes",1,0)</f>
        <v/>
      </c>
      <c r="AG664" s="3">
        <f>IF(IFERROR(VLOOKUP(D664,Controls!$A$36:$E$46,4,FALSE()),"No")="Yes",1,0)</f>
        <v/>
      </c>
      <c r="AH664" s="3">
        <f>IF(IFERROR(VLOOKUP(D664,Controls!$A$36:$E$46,5,FALSE()),"No")="Yes",1,0)</f>
        <v/>
      </c>
      <c r="AI664" s="3">
        <f>IF(ISNUMBER(MATCH(D664,Controls!$A$36:$A$46,0)),1,0)</f>
        <v/>
      </c>
      <c r="AJ664" s="28">
        <f>Q664-N664</f>
        <v/>
      </c>
      <c r="AK664" s="3">
        <f>IF(AE664=1,MAX(0,N664-Q664),0)</f>
        <v/>
      </c>
      <c r="AL664" s="3">
        <f>IF(OR(V664="",V664=0),0,N664/V664)</f>
        <v/>
      </c>
      <c r="AM664" s="3">
        <f>IF(OR(V664="",V664=0),0,1)</f>
        <v/>
      </c>
      <c r="AN664" s="3">
        <f>IF(OR(E664="",F664=""),0,NETWORKDAYS(E664,F664,Ref!$K$2:$K$42))</f>
        <v/>
      </c>
      <c r="AO664" s="3">
        <f>IF(L664="Renewal",1,0)</f>
        <v/>
      </c>
      <c r="AP664" s="3">
        <f>AC664*AD664</f>
        <v/>
      </c>
      <c r="AQ664" s="3">
        <f>IF(AND(G664&lt;&gt;"",'Historical Score'!$C$6&lt;&gt;""),IF(G664='Historical Score'!$C$6,1,0),0)</f>
        <v/>
      </c>
      <c r="AR664" s="3">
        <f>IF(AND(L664&lt;&gt;"",'Historical Score'!$C$5&lt;&gt;""),IF(L664='Historical Score'!$C$5,1,0),0)</f>
        <v/>
      </c>
      <c r="AS664" s="3">
        <f>IF(AND(Y664&lt;&gt;"",'Historical Score'!$C$7&lt;&gt;""),IF(Y664='Historical Score'!$C$7,1,0),0)</f>
        <v/>
      </c>
      <c r="AT664" s="3">
        <f>IF(AND(K664&lt;&gt;"",'Historical Score'!$C$8&lt;&gt;""),IF(K664='Historical Score'!$C$8,1,0),0)</f>
        <v/>
      </c>
      <c r="AU664" s="3" t="n"/>
      <c r="AV664" s="3" t="n"/>
      <c r="AW664" s="3" t="n"/>
      <c r="AX664" s="3" t="n"/>
      <c r="AY664" s="3" t="n"/>
      <c r="AZ664" s="3" t="n"/>
      <c r="BA664" s="182">
        <f>IF(AD664=1,(AR664*'Historical Score'!$K$29+1-'Historical Score'!$K$29)*(AT664*'Historical Score'!$L$29+1-'Historical Score'!$L$29)*(AS664*'Historical Score'!$M$29+1-'Historical Score'!$M$29)*(AQ664*'Historical Score'!$N$29+1-'Historical Score'!$N$29),0)</f>
        <v/>
      </c>
      <c r="BB664" s="3" t="n"/>
      <c r="BC664" s="3" t="n"/>
    </row>
    <row r="665" ht="15.75" customHeight="1" s="174">
      <c r="A665" s="3" t="inlineStr">
        <is>
          <t>5674179309</t>
        </is>
      </c>
      <c r="B665" s="3" t="inlineStr">
        <is>
          <t>A.A. Law Movers inc</t>
        </is>
      </c>
      <c r="C665" s="3" t="inlineStr">
        <is>
          <t>A.A. Law Movers inc</t>
        </is>
      </c>
      <c r="D665" s="3" t="inlineStr">
        <is>
          <t>In House Collection</t>
        </is>
      </c>
      <c r="E665" s="23" t="n">
        <v>46080</v>
      </c>
      <c r="F665" s="23" t="n">
        <v>46248</v>
      </c>
      <c r="G665" s="3" t="n">
        <v>2</v>
      </c>
      <c r="H665" s="3" t="inlineStr">
        <is>
          <t>4212</t>
        </is>
      </c>
      <c r="I665" s="3" t="inlineStr">
        <is>
          <t>42</t>
        </is>
      </c>
      <c r="J665" s="3" t="inlineStr">
        <is>
          <t>NJ</t>
        </is>
      </c>
      <c r="K665" s="3" t="inlineStr">
        <is>
          <t>Ballicci</t>
        </is>
      </c>
      <c r="L665" s="3" t="inlineStr">
        <is>
          <t>New Deal</t>
        </is>
      </c>
      <c r="M665" s="3" t="n">
        <v>1.49</v>
      </c>
      <c r="N665" s="28" t="n">
        <v>30000</v>
      </c>
      <c r="O665" s="28" t="n">
        <v>4200</v>
      </c>
      <c r="P665" s="28" t="n">
        <v>44700</v>
      </c>
      <c r="Q665" s="28" t="n">
        <v>5585.64</v>
      </c>
      <c r="R665" s="28" t="n">
        <v>39114.36</v>
      </c>
      <c r="S665" s="42" t="n">
        <v>0.124958389261745</v>
      </c>
      <c r="T665" s="3" t="n">
        <v>24</v>
      </c>
      <c r="U665" s="3" t="n">
        <v>21</v>
      </c>
      <c r="V665" s="3" t="n">
        <v>46379.6</v>
      </c>
      <c r="W665" s="42" t="n">
        <v>0.0993</v>
      </c>
      <c r="X665" s="23" t="n">
        <v>39817</v>
      </c>
      <c r="Y665" s="3">
        <f>IF(I665="","No SIC",IFERROR(VLOOKUP(I665,Ref!$A$2:$B$65,2,FALSE()),"Unclassified"))</f>
        <v/>
      </c>
      <c r="Z665" s="3">
        <f>IF(T665="","",IF(T665&lt;12,"Daily","Weekly"))</f>
        <v/>
      </c>
      <c r="AA665" s="3">
        <f>IF(T665="",0,IF(T665&lt;12,T665*Controls!$B$13,T665*5))</f>
        <v/>
      </c>
      <c r="AB665" s="3">
        <f>IF(E665="",0,NETWORKDAYS(E665,Controls!$B$20,Ref!$K$2:$K$42))</f>
        <v/>
      </c>
      <c r="AC665" s="3">
        <f>IF(OR(AF665=1,AND(AA665&gt;0,AB665&gt;=Controls!$B$23*AA665)),1,0)</f>
        <v/>
      </c>
      <c r="AD665" s="3">
        <f>IF(AND(E665&lt;&gt;"",E665&gt;=Controls!$B$21,E665&lt;=Controls!$B$22),1,0)</f>
        <v/>
      </c>
      <c r="AE665" s="3">
        <f>IF(IFERROR(VLOOKUP(D665,Controls!$A$36:$E$46,2,FALSE()),"No")="Yes",1,0)</f>
        <v/>
      </c>
      <c r="AF665" s="3">
        <f>IF(IFERROR(VLOOKUP(D665,Controls!$A$36:$E$46,3,FALSE()),"No")="Yes",1,0)</f>
        <v/>
      </c>
      <c r="AG665" s="3">
        <f>IF(IFERROR(VLOOKUP(D665,Controls!$A$36:$E$46,4,FALSE()),"No")="Yes",1,0)</f>
        <v/>
      </c>
      <c r="AH665" s="3">
        <f>IF(IFERROR(VLOOKUP(D665,Controls!$A$36:$E$46,5,FALSE()),"No")="Yes",1,0)</f>
        <v/>
      </c>
      <c r="AI665" s="3">
        <f>IF(ISNUMBER(MATCH(D665,Controls!$A$36:$A$46,0)),1,0)</f>
        <v/>
      </c>
      <c r="AJ665" s="28">
        <f>Q665-N665</f>
        <v/>
      </c>
      <c r="AK665" s="3">
        <f>IF(AE665=1,MAX(0,N665-Q665),0)</f>
        <v/>
      </c>
      <c r="AL665" s="3">
        <f>IF(OR(V665="",V665=0),0,N665/V665)</f>
        <v/>
      </c>
      <c r="AM665" s="3">
        <f>IF(OR(V665="",V665=0),0,1)</f>
        <v/>
      </c>
      <c r="AN665" s="3">
        <f>IF(OR(E665="",F665=""),0,NETWORKDAYS(E665,F665,Ref!$K$2:$K$42))</f>
        <v/>
      </c>
      <c r="AO665" s="3">
        <f>IF(L665="Renewal",1,0)</f>
        <v/>
      </c>
      <c r="AP665" s="3">
        <f>AC665*AD665</f>
        <v/>
      </c>
      <c r="AQ665" s="3">
        <f>IF(AND(G665&lt;&gt;"",'Historical Score'!$C$6&lt;&gt;""),IF(G665='Historical Score'!$C$6,1,0),0)</f>
        <v/>
      </c>
      <c r="AR665" s="3">
        <f>IF(AND(L665&lt;&gt;"",'Historical Score'!$C$5&lt;&gt;""),IF(L665='Historical Score'!$C$5,1,0),0)</f>
        <v/>
      </c>
      <c r="AS665" s="3">
        <f>IF(AND(Y665&lt;&gt;"",'Historical Score'!$C$7&lt;&gt;""),IF(Y665='Historical Score'!$C$7,1,0),0)</f>
        <v/>
      </c>
      <c r="AT665" s="3">
        <f>IF(AND(K665&lt;&gt;"",'Historical Score'!$C$8&lt;&gt;""),IF(K665='Historical Score'!$C$8,1,0),0)</f>
        <v/>
      </c>
      <c r="AU665" s="3" t="n"/>
      <c r="AV665" s="3" t="n"/>
      <c r="AW665" s="3" t="n"/>
      <c r="AX665" s="3" t="n"/>
      <c r="AY665" s="3" t="n"/>
      <c r="AZ665" s="3" t="n"/>
      <c r="BA665" s="182">
        <f>IF(AD665=1,(AR665*'Historical Score'!$K$29+1-'Historical Score'!$K$29)*(AT665*'Historical Score'!$L$29+1-'Historical Score'!$L$29)*(AS665*'Historical Score'!$M$29+1-'Historical Score'!$M$29)*(AQ665*'Historical Score'!$N$29+1-'Historical Score'!$N$29),0)</f>
        <v/>
      </c>
      <c r="BB665" s="3" t="n"/>
      <c r="BC665" s="3" t="n"/>
    </row>
    <row r="666" ht="15.75" customHeight="1" s="174">
      <c r="A666" s="3" t="inlineStr">
        <is>
          <t>5674179322</t>
        </is>
      </c>
      <c r="B666" s="3" t="inlineStr">
        <is>
          <t>SBC Xicato Corporation</t>
        </is>
      </c>
      <c r="C666" s="3" t="inlineStr">
        <is>
          <t>SBC Xicato Corporation</t>
        </is>
      </c>
      <c r="D666" s="3" t="inlineStr">
        <is>
          <t>Closed</t>
        </is>
      </c>
      <c r="E666" s="23" t="n">
        <v>46080</v>
      </c>
      <c r="F666" s="23" t="n">
        <v>46199</v>
      </c>
      <c r="G666" s="3" t="n">
        <v>3</v>
      </c>
      <c r="H666" s="3" t="inlineStr">
        <is>
          <t>3648</t>
        </is>
      </c>
      <c r="I666" s="3" t="inlineStr">
        <is>
          <t>36</t>
        </is>
      </c>
      <c r="J666" s="3" t="inlineStr">
        <is>
          <t>CA</t>
        </is>
      </c>
      <c r="K666" s="3" t="inlineStr">
        <is>
          <t>Upwise capital</t>
        </is>
      </c>
      <c r="L666" s="3" t="inlineStr">
        <is>
          <t>New Deal</t>
        </is>
      </c>
      <c r="M666" s="3" t="n">
        <v>1.39</v>
      </c>
      <c r="N666" s="28" t="n">
        <v>25000</v>
      </c>
      <c r="O666" s="28" t="n">
        <v>2250</v>
      </c>
      <c r="P666" s="28" t="n">
        <v>34750</v>
      </c>
      <c r="Q666" s="28" t="n">
        <v>34750</v>
      </c>
      <c r="R666" s="28" t="n">
        <v>0</v>
      </c>
      <c r="S666" s="42" t="n">
        <v>1</v>
      </c>
      <c r="T666" s="3" t="n">
        <v>35</v>
      </c>
      <c r="U666" s="3" t="n">
        <v>0</v>
      </c>
      <c r="V666" s="3" t="n">
        <v>151277.94</v>
      </c>
      <c r="W666" s="42" t="n">
        <v>0.0263</v>
      </c>
      <c r="X666" s="23" t="n">
        <v>44733</v>
      </c>
      <c r="Y666" s="3">
        <f>IF(I666="","No SIC",IFERROR(VLOOKUP(I666,Ref!$A$2:$B$65,2,FALSE()),"Unclassified"))</f>
        <v/>
      </c>
      <c r="Z666" s="3">
        <f>IF(T666="","",IF(T666&lt;12,"Daily","Weekly"))</f>
        <v/>
      </c>
      <c r="AA666" s="3">
        <f>IF(T666="",0,IF(T666&lt;12,T666*Controls!$B$13,T666*5))</f>
        <v/>
      </c>
      <c r="AB666" s="3">
        <f>IF(E666="",0,NETWORKDAYS(E666,Controls!$B$20,Ref!$K$2:$K$42))</f>
        <v/>
      </c>
      <c r="AC666" s="3">
        <f>IF(OR(AF666=1,AND(AA666&gt;0,AB666&gt;=Controls!$B$23*AA666)),1,0)</f>
        <v/>
      </c>
      <c r="AD666" s="3">
        <f>IF(AND(E666&lt;&gt;"",E666&gt;=Controls!$B$21,E666&lt;=Controls!$B$22),1,0)</f>
        <v/>
      </c>
      <c r="AE666" s="3">
        <f>IF(IFERROR(VLOOKUP(D666,Controls!$A$36:$E$46,2,FALSE()),"No")="Yes",1,0)</f>
        <v/>
      </c>
      <c r="AF666" s="3">
        <f>IF(IFERROR(VLOOKUP(D666,Controls!$A$36:$E$46,3,FALSE()),"No")="Yes",1,0)</f>
        <v/>
      </c>
      <c r="AG666" s="3">
        <f>IF(IFERROR(VLOOKUP(D666,Controls!$A$36:$E$46,4,FALSE()),"No")="Yes",1,0)</f>
        <v/>
      </c>
      <c r="AH666" s="3">
        <f>IF(IFERROR(VLOOKUP(D666,Controls!$A$36:$E$46,5,FALSE()),"No")="Yes",1,0)</f>
        <v/>
      </c>
      <c r="AI666" s="3">
        <f>IF(ISNUMBER(MATCH(D666,Controls!$A$36:$A$46,0)),1,0)</f>
        <v/>
      </c>
      <c r="AJ666" s="28">
        <f>Q666-N666</f>
        <v/>
      </c>
      <c r="AK666" s="3">
        <f>IF(AE666=1,MAX(0,N666-Q666),0)</f>
        <v/>
      </c>
      <c r="AL666" s="3">
        <f>IF(OR(V666="",V666=0),0,N666/V666)</f>
        <v/>
      </c>
      <c r="AM666" s="3">
        <f>IF(OR(V666="",V666=0),0,1)</f>
        <v/>
      </c>
      <c r="AN666" s="3">
        <f>IF(OR(E666="",F666=""),0,NETWORKDAYS(E666,F666,Ref!$K$2:$K$42))</f>
        <v/>
      </c>
      <c r="AO666" s="3">
        <f>IF(L666="Renewal",1,0)</f>
        <v/>
      </c>
      <c r="AP666" s="3">
        <f>AC666*AD666</f>
        <v/>
      </c>
      <c r="AQ666" s="3">
        <f>IF(AND(G666&lt;&gt;"",'Historical Score'!$C$6&lt;&gt;""),IF(G666='Historical Score'!$C$6,1,0),0)</f>
        <v/>
      </c>
      <c r="AR666" s="3">
        <f>IF(AND(L666&lt;&gt;"",'Historical Score'!$C$5&lt;&gt;""),IF(L666='Historical Score'!$C$5,1,0),0)</f>
        <v/>
      </c>
      <c r="AS666" s="3">
        <f>IF(AND(Y666&lt;&gt;"",'Historical Score'!$C$7&lt;&gt;""),IF(Y666='Historical Score'!$C$7,1,0),0)</f>
        <v/>
      </c>
      <c r="AT666" s="3">
        <f>IF(AND(K666&lt;&gt;"",'Historical Score'!$C$8&lt;&gt;""),IF(K666='Historical Score'!$C$8,1,0),0)</f>
        <v/>
      </c>
      <c r="AU666" s="3" t="n"/>
      <c r="AV666" s="3" t="n"/>
      <c r="AW666" s="3" t="n"/>
      <c r="AX666" s="3" t="n"/>
      <c r="AY666" s="3" t="n"/>
      <c r="AZ666" s="3" t="n"/>
      <c r="BA666" s="182">
        <f>IF(AD666=1,(AR666*'Historical Score'!$K$29+1-'Historical Score'!$K$29)*(AT666*'Historical Score'!$L$29+1-'Historical Score'!$L$29)*(AS666*'Historical Score'!$M$29+1-'Historical Score'!$M$29)*(AQ666*'Historical Score'!$N$29+1-'Historical Score'!$N$29),0)</f>
        <v/>
      </c>
      <c r="BB666" s="3" t="n"/>
      <c r="BC666" s="3" t="n"/>
    </row>
    <row r="667" ht="15.75" customHeight="1" s="174">
      <c r="A667" s="3" t="inlineStr">
        <is>
          <t>5674179346</t>
        </is>
      </c>
      <c r="B667" s="3" t="inlineStr">
        <is>
          <t>MANNY HALLEY PRODUCTIONS, IMANI MEDIA GROUP</t>
        </is>
      </c>
      <c r="C667" s="3" t="inlineStr">
        <is>
          <t>A MANNY HALLEY PRODUCTIONS LLC</t>
        </is>
      </c>
      <c r="D667" s="3" t="inlineStr">
        <is>
          <t>Open</t>
        </is>
      </c>
      <c r="E667" s="23" t="n">
        <v>46083</v>
      </c>
      <c r="F667" s="23" t="n">
        <v>46192</v>
      </c>
      <c r="G667" s="3" t="n">
        <v>1</v>
      </c>
      <c r="H667" s="3" t="inlineStr">
        <is>
          <t>7819</t>
        </is>
      </c>
      <c r="I667" s="3" t="inlineStr">
        <is>
          <t>78</t>
        </is>
      </c>
      <c r="J667" s="3" t="inlineStr">
        <is>
          <t>CA</t>
        </is>
      </c>
      <c r="K667" s="3" t="inlineStr">
        <is>
          <t>National Business Capital</t>
        </is>
      </c>
      <c r="L667" s="3" t="inlineStr">
        <is>
          <t>New Deal</t>
        </is>
      </c>
      <c r="M667" s="3" t="n">
        <v>1.49</v>
      </c>
      <c r="N667" s="28" t="n">
        <v>100000</v>
      </c>
      <c r="O667" s="28" t="n">
        <v>14000</v>
      </c>
      <c r="P667" s="28" t="n">
        <v>149000</v>
      </c>
      <c r="Q667" s="28" t="n">
        <v>74555.25999999999</v>
      </c>
      <c r="R667" s="28" t="n">
        <v>74444.74000000001</v>
      </c>
      <c r="S667" s="42" t="n">
        <v>0.500370872483221</v>
      </c>
      <c r="T667" s="3" t="n">
        <v>26</v>
      </c>
      <c r="U667" s="3" t="n">
        <v>3</v>
      </c>
      <c r="V667" s="3" t="n">
        <v>2294006.51</v>
      </c>
      <c r="W667" s="42" t="n">
        <v>0.01</v>
      </c>
      <c r="X667" s="23" t="n">
        <v>36586</v>
      </c>
      <c r="Y667" s="3">
        <f>IF(I667="","No SIC",IFERROR(VLOOKUP(I667,Ref!$A$2:$B$65,2,FALSE()),"Unclassified"))</f>
        <v/>
      </c>
      <c r="Z667" s="3">
        <f>IF(T667="","",IF(T667&lt;12,"Daily","Weekly"))</f>
        <v/>
      </c>
      <c r="AA667" s="3">
        <f>IF(T667="",0,IF(T667&lt;12,T667*Controls!$B$13,T667*5))</f>
        <v/>
      </c>
      <c r="AB667" s="3">
        <f>IF(E667="",0,NETWORKDAYS(E667,Controls!$B$20,Ref!$K$2:$K$42))</f>
        <v/>
      </c>
      <c r="AC667" s="3">
        <f>IF(OR(AF667=1,AND(AA667&gt;0,AB667&gt;=Controls!$B$23*AA667)),1,0)</f>
        <v/>
      </c>
      <c r="AD667" s="3">
        <f>IF(AND(E667&lt;&gt;"",E667&gt;=Controls!$B$21,E667&lt;=Controls!$B$22),1,0)</f>
        <v/>
      </c>
      <c r="AE667" s="3">
        <f>IF(IFERROR(VLOOKUP(D667,Controls!$A$36:$E$46,2,FALSE()),"No")="Yes",1,0)</f>
        <v/>
      </c>
      <c r="AF667" s="3">
        <f>IF(IFERROR(VLOOKUP(D667,Controls!$A$36:$E$46,3,FALSE()),"No")="Yes",1,0)</f>
        <v/>
      </c>
      <c r="AG667" s="3">
        <f>IF(IFERROR(VLOOKUP(D667,Controls!$A$36:$E$46,4,FALSE()),"No")="Yes",1,0)</f>
        <v/>
      </c>
      <c r="AH667" s="3">
        <f>IF(IFERROR(VLOOKUP(D667,Controls!$A$36:$E$46,5,FALSE()),"No")="Yes",1,0)</f>
        <v/>
      </c>
      <c r="AI667" s="3">
        <f>IF(ISNUMBER(MATCH(D667,Controls!$A$36:$A$46,0)),1,0)</f>
        <v/>
      </c>
      <c r="AJ667" s="28">
        <f>Q667-N667</f>
        <v/>
      </c>
      <c r="AK667" s="3">
        <f>IF(AE667=1,MAX(0,N667-Q667),0)</f>
        <v/>
      </c>
      <c r="AL667" s="3">
        <f>IF(OR(V667="",V667=0),0,N667/V667)</f>
        <v/>
      </c>
      <c r="AM667" s="3">
        <f>IF(OR(V667="",V667=0),0,1)</f>
        <v/>
      </c>
      <c r="AN667" s="3">
        <f>IF(OR(E667="",F667=""),0,NETWORKDAYS(E667,F667,Ref!$K$2:$K$42))</f>
        <v/>
      </c>
      <c r="AO667" s="3">
        <f>IF(L667="Renewal",1,0)</f>
        <v/>
      </c>
      <c r="AP667" s="3">
        <f>AC667*AD667</f>
        <v/>
      </c>
      <c r="AQ667" s="3">
        <f>IF(AND(G667&lt;&gt;"",'Historical Score'!$C$6&lt;&gt;""),IF(G667='Historical Score'!$C$6,1,0),0)</f>
        <v/>
      </c>
      <c r="AR667" s="3">
        <f>IF(AND(L667&lt;&gt;"",'Historical Score'!$C$5&lt;&gt;""),IF(L667='Historical Score'!$C$5,1,0),0)</f>
        <v/>
      </c>
      <c r="AS667" s="3">
        <f>IF(AND(Y667&lt;&gt;"",'Historical Score'!$C$7&lt;&gt;""),IF(Y667='Historical Score'!$C$7,1,0),0)</f>
        <v/>
      </c>
      <c r="AT667" s="3">
        <f>IF(AND(K667&lt;&gt;"",'Historical Score'!$C$8&lt;&gt;""),IF(K667='Historical Score'!$C$8,1,0),0)</f>
        <v/>
      </c>
      <c r="AU667" s="3" t="n"/>
      <c r="AV667" s="3" t="n"/>
      <c r="AW667" s="3" t="n"/>
      <c r="AX667" s="3" t="n"/>
      <c r="AY667" s="3" t="n"/>
      <c r="AZ667" s="3" t="n"/>
      <c r="BA667" s="182">
        <f>IF(AD667=1,(AR667*'Historical Score'!$K$29+1-'Historical Score'!$K$29)*(AT667*'Historical Score'!$L$29+1-'Historical Score'!$L$29)*(AS667*'Historical Score'!$M$29+1-'Historical Score'!$M$29)*(AQ667*'Historical Score'!$N$29+1-'Historical Score'!$N$29),0)</f>
        <v/>
      </c>
      <c r="BB667" s="3" t="n"/>
      <c r="BC667" s="3" t="n"/>
    </row>
    <row r="668" ht="15.75" customHeight="1" s="174">
      <c r="A668" s="3" t="inlineStr">
        <is>
          <t>5674179360</t>
        </is>
      </c>
      <c r="B668" s="3" t="inlineStr">
        <is>
          <t>VENTURE V</t>
        </is>
      </c>
      <c r="C668" s="3" t="inlineStr">
        <is>
          <t>VENTURE V</t>
        </is>
      </c>
      <c r="D668" s="3" t="inlineStr">
        <is>
          <t>Legal</t>
        </is>
      </c>
      <c r="E668" s="23" t="n">
        <v>46083</v>
      </c>
      <c r="F668" s="23" t="n">
        <v>46219</v>
      </c>
      <c r="G668" s="3" t="n">
        <v>3</v>
      </c>
      <c r="H668" s="3" t="inlineStr">
        <is>
          <t>5999</t>
        </is>
      </c>
      <c r="I668" s="3" t="inlineStr">
        <is>
          <t>59</t>
        </is>
      </c>
      <c r="J668" s="3" t="inlineStr">
        <is>
          <t>KY</t>
        </is>
      </c>
      <c r="K668" s="3" t="inlineStr">
        <is>
          <t>United Secured Capital 8</t>
        </is>
      </c>
      <c r="L668" s="3" t="inlineStr">
        <is>
          <t>Renewal</t>
        </is>
      </c>
      <c r="M668" s="3" t="n">
        <v>1.4</v>
      </c>
      <c r="N668" s="28" t="n">
        <v>30000</v>
      </c>
      <c r="O668" s="28" t="n">
        <v>2850</v>
      </c>
      <c r="P668" s="28" t="n">
        <v>42000</v>
      </c>
      <c r="Q668" s="28" t="n">
        <v>9690.360000000001</v>
      </c>
      <c r="R668" s="28" t="n">
        <v>32309.64</v>
      </c>
      <c r="S668" s="42" t="n">
        <v>0.230722857142857</v>
      </c>
      <c r="T668" s="3" t="n">
        <v>26</v>
      </c>
      <c r="U668" s="3" t="n">
        <v>16</v>
      </c>
      <c r="V668" s="3" t="n">
        <v>63273.55</v>
      </c>
      <c r="W668" s="42" t="n">
        <v>0.1021</v>
      </c>
      <c r="X668" s="23" t="n">
        <v>45686</v>
      </c>
      <c r="Y668" s="3">
        <f>IF(I668="","No SIC",IFERROR(VLOOKUP(I668,Ref!$A$2:$B$65,2,FALSE()),"Unclassified"))</f>
        <v/>
      </c>
      <c r="Z668" s="3">
        <f>IF(T668="","",IF(T668&lt;12,"Daily","Weekly"))</f>
        <v/>
      </c>
      <c r="AA668" s="3">
        <f>IF(T668="",0,IF(T668&lt;12,T668*Controls!$B$13,T668*5))</f>
        <v/>
      </c>
      <c r="AB668" s="3">
        <f>IF(E668="",0,NETWORKDAYS(E668,Controls!$B$20,Ref!$K$2:$K$42))</f>
        <v/>
      </c>
      <c r="AC668" s="3">
        <f>IF(OR(AF668=1,AND(AA668&gt;0,AB668&gt;=Controls!$B$23*AA668)),1,0)</f>
        <v/>
      </c>
      <c r="AD668" s="3">
        <f>IF(AND(E668&lt;&gt;"",E668&gt;=Controls!$B$21,E668&lt;=Controls!$B$22),1,0)</f>
        <v/>
      </c>
      <c r="AE668" s="3">
        <f>IF(IFERROR(VLOOKUP(D668,Controls!$A$36:$E$46,2,FALSE()),"No")="Yes",1,0)</f>
        <v/>
      </c>
      <c r="AF668" s="3">
        <f>IF(IFERROR(VLOOKUP(D668,Controls!$A$36:$E$46,3,FALSE()),"No")="Yes",1,0)</f>
        <v/>
      </c>
      <c r="AG668" s="3">
        <f>IF(IFERROR(VLOOKUP(D668,Controls!$A$36:$E$46,4,FALSE()),"No")="Yes",1,0)</f>
        <v/>
      </c>
      <c r="AH668" s="3">
        <f>IF(IFERROR(VLOOKUP(D668,Controls!$A$36:$E$46,5,FALSE()),"No")="Yes",1,0)</f>
        <v/>
      </c>
      <c r="AI668" s="3">
        <f>IF(ISNUMBER(MATCH(D668,Controls!$A$36:$A$46,0)),1,0)</f>
        <v/>
      </c>
      <c r="AJ668" s="28">
        <f>Q668-N668</f>
        <v/>
      </c>
      <c r="AK668" s="3">
        <f>IF(AE668=1,MAX(0,N668-Q668),0)</f>
        <v/>
      </c>
      <c r="AL668" s="3">
        <f>IF(OR(V668="",V668=0),0,N668/V668)</f>
        <v/>
      </c>
      <c r="AM668" s="3">
        <f>IF(OR(V668="",V668=0),0,1)</f>
        <v/>
      </c>
      <c r="AN668" s="3">
        <f>IF(OR(E668="",F668=""),0,NETWORKDAYS(E668,F668,Ref!$K$2:$K$42))</f>
        <v/>
      </c>
      <c r="AO668" s="3">
        <f>IF(L668="Renewal",1,0)</f>
        <v/>
      </c>
      <c r="AP668" s="3">
        <f>AC668*AD668</f>
        <v/>
      </c>
      <c r="AQ668" s="3">
        <f>IF(AND(G668&lt;&gt;"",'Historical Score'!$C$6&lt;&gt;""),IF(G668='Historical Score'!$C$6,1,0),0)</f>
        <v/>
      </c>
      <c r="AR668" s="3">
        <f>IF(AND(L668&lt;&gt;"",'Historical Score'!$C$5&lt;&gt;""),IF(L668='Historical Score'!$C$5,1,0),0)</f>
        <v/>
      </c>
      <c r="AS668" s="3">
        <f>IF(AND(Y668&lt;&gt;"",'Historical Score'!$C$7&lt;&gt;""),IF(Y668='Historical Score'!$C$7,1,0),0)</f>
        <v/>
      </c>
      <c r="AT668" s="3">
        <f>IF(AND(K668&lt;&gt;"",'Historical Score'!$C$8&lt;&gt;""),IF(K668='Historical Score'!$C$8,1,0),0)</f>
        <v/>
      </c>
      <c r="AU668" s="3" t="n"/>
      <c r="AV668" s="3" t="n"/>
      <c r="AW668" s="3" t="n"/>
      <c r="AX668" s="3" t="n"/>
      <c r="AY668" s="3" t="n"/>
      <c r="AZ668" s="3" t="n"/>
      <c r="BA668" s="182">
        <f>IF(AD668=1,(AR668*'Historical Score'!$K$29+1-'Historical Score'!$K$29)*(AT668*'Historical Score'!$L$29+1-'Historical Score'!$L$29)*(AS668*'Historical Score'!$M$29+1-'Historical Score'!$M$29)*(AQ668*'Historical Score'!$N$29+1-'Historical Score'!$N$29),0)</f>
        <v/>
      </c>
      <c r="BB668" s="3" t="n"/>
      <c r="BC668" s="3" t="n"/>
    </row>
    <row r="669" ht="15.75" customHeight="1" s="174">
      <c r="A669" s="3" t="inlineStr">
        <is>
          <t>5674179363</t>
        </is>
      </c>
      <c r="B669" s="3" t="inlineStr">
        <is>
          <t>Mully's Pub &amp; Patio</t>
        </is>
      </c>
      <c r="C669" s="3" t="inlineStr">
        <is>
          <t>Mulherin Hospitality LLC</t>
        </is>
      </c>
      <c r="D669" s="3" t="inlineStr">
        <is>
          <t>Closed</t>
        </is>
      </c>
      <c r="E669" s="23" t="n">
        <v>46083</v>
      </c>
      <c r="F669" s="23" t="n">
        <v>46168</v>
      </c>
      <c r="G669" s="3" t="n">
        <v>3</v>
      </c>
      <c r="H669" s="3" t="inlineStr">
        <is>
          <t>5812</t>
        </is>
      </c>
      <c r="I669" s="3" t="inlineStr">
        <is>
          <t>58</t>
        </is>
      </c>
      <c r="J669" s="3" t="inlineStr">
        <is>
          <t>MO</t>
        </is>
      </c>
      <c r="K669" s="3" t="inlineStr">
        <is>
          <t>United Secured Capital 8</t>
        </is>
      </c>
      <c r="L669" s="3" t="inlineStr">
        <is>
          <t>New Deal</t>
        </is>
      </c>
      <c r="M669" s="3" t="n">
        <v>1.49</v>
      </c>
      <c r="N669" s="28" t="n">
        <v>15000</v>
      </c>
      <c r="O669" s="28" t="n">
        <v>2100</v>
      </c>
      <c r="P669" s="28" t="n">
        <v>22350</v>
      </c>
      <c r="Q669" s="28" t="n">
        <v>22350</v>
      </c>
      <c r="R669" s="28" t="n">
        <v>0</v>
      </c>
      <c r="S669" s="42" t="n">
        <v>1</v>
      </c>
      <c r="T669" s="3" t="n">
        <v>3.279</v>
      </c>
      <c r="U669" s="3" t="n">
        <v>13</v>
      </c>
      <c r="V669" s="3" t="n">
        <v>51525</v>
      </c>
      <c r="W669" s="42" t="n">
        <v>0.0911</v>
      </c>
      <c r="X669" s="23" t="n">
        <v>45597</v>
      </c>
      <c r="Y669" s="3">
        <f>IF(I669="","No SIC",IFERROR(VLOOKUP(I669,Ref!$A$2:$B$65,2,FALSE()),"Unclassified"))</f>
        <v/>
      </c>
      <c r="Z669" s="3">
        <f>IF(T669="","",IF(T669&lt;12,"Daily","Weekly"))</f>
        <v/>
      </c>
      <c r="AA669" s="3">
        <f>IF(T669="",0,IF(T669&lt;12,T669*Controls!$B$13,T669*5))</f>
        <v/>
      </c>
      <c r="AB669" s="3">
        <f>IF(E669="",0,NETWORKDAYS(E669,Controls!$B$20,Ref!$K$2:$K$42))</f>
        <v/>
      </c>
      <c r="AC669" s="3">
        <f>IF(OR(AF669=1,AND(AA669&gt;0,AB669&gt;=Controls!$B$23*AA669)),1,0)</f>
        <v/>
      </c>
      <c r="AD669" s="3">
        <f>IF(AND(E669&lt;&gt;"",E669&gt;=Controls!$B$21,E669&lt;=Controls!$B$22),1,0)</f>
        <v/>
      </c>
      <c r="AE669" s="3">
        <f>IF(IFERROR(VLOOKUP(D669,Controls!$A$36:$E$46,2,FALSE()),"No")="Yes",1,0)</f>
        <v/>
      </c>
      <c r="AF669" s="3">
        <f>IF(IFERROR(VLOOKUP(D669,Controls!$A$36:$E$46,3,FALSE()),"No")="Yes",1,0)</f>
        <v/>
      </c>
      <c r="AG669" s="3">
        <f>IF(IFERROR(VLOOKUP(D669,Controls!$A$36:$E$46,4,FALSE()),"No")="Yes",1,0)</f>
        <v/>
      </c>
      <c r="AH669" s="3">
        <f>IF(IFERROR(VLOOKUP(D669,Controls!$A$36:$E$46,5,FALSE()),"No")="Yes",1,0)</f>
        <v/>
      </c>
      <c r="AI669" s="3">
        <f>IF(ISNUMBER(MATCH(D669,Controls!$A$36:$A$46,0)),1,0)</f>
        <v/>
      </c>
      <c r="AJ669" s="28">
        <f>Q669-N669</f>
        <v/>
      </c>
      <c r="AK669" s="3">
        <f>IF(AE669=1,MAX(0,N669-Q669),0)</f>
        <v/>
      </c>
      <c r="AL669" s="3">
        <f>IF(OR(V669="",V669=0),0,N669/V669)</f>
        <v/>
      </c>
      <c r="AM669" s="3">
        <f>IF(OR(V669="",V669=0),0,1)</f>
        <v/>
      </c>
      <c r="AN669" s="3">
        <f>IF(OR(E669="",F669=""),0,NETWORKDAYS(E669,F669,Ref!$K$2:$K$42))</f>
        <v/>
      </c>
      <c r="AO669" s="3">
        <f>IF(L669="Renewal",1,0)</f>
        <v/>
      </c>
      <c r="AP669" s="3">
        <f>AC669*AD669</f>
        <v/>
      </c>
      <c r="AQ669" s="3">
        <f>IF(AND(G669&lt;&gt;"",'Historical Score'!$C$6&lt;&gt;""),IF(G669='Historical Score'!$C$6,1,0),0)</f>
        <v/>
      </c>
      <c r="AR669" s="3">
        <f>IF(AND(L669&lt;&gt;"",'Historical Score'!$C$5&lt;&gt;""),IF(L669='Historical Score'!$C$5,1,0),0)</f>
        <v/>
      </c>
      <c r="AS669" s="3">
        <f>IF(AND(Y669&lt;&gt;"",'Historical Score'!$C$7&lt;&gt;""),IF(Y669='Historical Score'!$C$7,1,0),0)</f>
        <v/>
      </c>
      <c r="AT669" s="3">
        <f>IF(AND(K669&lt;&gt;"",'Historical Score'!$C$8&lt;&gt;""),IF(K669='Historical Score'!$C$8,1,0),0)</f>
        <v/>
      </c>
      <c r="AU669" s="3" t="n"/>
      <c r="AV669" s="3" t="n"/>
      <c r="AW669" s="3" t="n"/>
      <c r="AX669" s="3" t="n"/>
      <c r="AY669" s="3" t="n"/>
      <c r="AZ669" s="3" t="n"/>
      <c r="BA669" s="182">
        <f>IF(AD669=1,(AR669*'Historical Score'!$K$29+1-'Historical Score'!$K$29)*(AT669*'Historical Score'!$L$29+1-'Historical Score'!$L$29)*(AS669*'Historical Score'!$M$29+1-'Historical Score'!$M$29)*(AQ669*'Historical Score'!$N$29+1-'Historical Score'!$N$29),0)</f>
        <v/>
      </c>
      <c r="BB669" s="3" t="n"/>
      <c r="BC669" s="3" t="n"/>
    </row>
    <row r="670" ht="15.75" customHeight="1" s="174">
      <c r="A670" s="3" t="inlineStr">
        <is>
          <t>5674179380</t>
        </is>
      </c>
      <c r="B670" s="3" t="inlineStr">
        <is>
          <t>CS CONSTRUCTORS LLC</t>
        </is>
      </c>
      <c r="C670" s="3" t="inlineStr">
        <is>
          <t>CS CONSTRUCTORS LLC</t>
        </is>
      </c>
      <c r="D670" s="3" t="inlineStr">
        <is>
          <t>Legal</t>
        </is>
      </c>
      <c r="E670" s="23" t="n">
        <v>46083</v>
      </c>
      <c r="F670" s="23" t="n">
        <v>46136</v>
      </c>
      <c r="G670" s="3" t="n">
        <v>3</v>
      </c>
      <c r="H670" s="3" t="inlineStr">
        <is>
          <t>1521</t>
        </is>
      </c>
      <c r="I670" s="3" t="inlineStr">
        <is>
          <t>15</t>
        </is>
      </c>
      <c r="J670" s="3" t="inlineStr">
        <is>
          <t>FL</t>
        </is>
      </c>
      <c r="K670" s="3" t="inlineStr">
        <is>
          <t>United Secured Capital 8</t>
        </is>
      </c>
      <c r="L670" s="3" t="inlineStr">
        <is>
          <t>New Deal</t>
        </is>
      </c>
      <c r="M670" s="3" t="n">
        <v>1.49</v>
      </c>
      <c r="N670" s="28" t="n">
        <v>25000</v>
      </c>
      <c r="O670" s="28" t="n">
        <v>3500</v>
      </c>
      <c r="P670" s="28" t="n">
        <v>37250</v>
      </c>
      <c r="Q670" s="28" t="n">
        <v>7455.12</v>
      </c>
      <c r="R670" s="28" t="n">
        <v>29794.88</v>
      </c>
      <c r="S670" s="42" t="n">
        <v>0.20013744966443</v>
      </c>
      <c r="T670" s="3" t="n">
        <v>20</v>
      </c>
      <c r="U670" s="3" t="n">
        <v>4</v>
      </c>
      <c r="V670" s="3" t="n">
        <v>304291.38</v>
      </c>
      <c r="W670" s="42" t="n">
        <v>0.0245</v>
      </c>
      <c r="X670" s="23" t="n"/>
      <c r="Y670" s="3">
        <f>IF(I670="","No SIC",IFERROR(VLOOKUP(I670,Ref!$A$2:$B$65,2,FALSE()),"Unclassified"))</f>
        <v/>
      </c>
      <c r="Z670" s="3">
        <f>IF(T670="","",IF(T670&lt;12,"Daily","Weekly"))</f>
        <v/>
      </c>
      <c r="AA670" s="3">
        <f>IF(T670="",0,IF(T670&lt;12,T670*Controls!$B$13,T670*5))</f>
        <v/>
      </c>
      <c r="AB670" s="3">
        <f>IF(E670="",0,NETWORKDAYS(E670,Controls!$B$20,Ref!$K$2:$K$42))</f>
        <v/>
      </c>
      <c r="AC670" s="3">
        <f>IF(OR(AF670=1,AND(AA670&gt;0,AB670&gt;=Controls!$B$23*AA670)),1,0)</f>
        <v/>
      </c>
      <c r="AD670" s="3">
        <f>IF(AND(E670&lt;&gt;"",E670&gt;=Controls!$B$21,E670&lt;=Controls!$B$22),1,0)</f>
        <v/>
      </c>
      <c r="AE670" s="3">
        <f>IF(IFERROR(VLOOKUP(D670,Controls!$A$36:$E$46,2,FALSE()),"No")="Yes",1,0)</f>
        <v/>
      </c>
      <c r="AF670" s="3">
        <f>IF(IFERROR(VLOOKUP(D670,Controls!$A$36:$E$46,3,FALSE()),"No")="Yes",1,0)</f>
        <v/>
      </c>
      <c r="AG670" s="3">
        <f>IF(IFERROR(VLOOKUP(D670,Controls!$A$36:$E$46,4,FALSE()),"No")="Yes",1,0)</f>
        <v/>
      </c>
      <c r="AH670" s="3">
        <f>IF(IFERROR(VLOOKUP(D670,Controls!$A$36:$E$46,5,FALSE()),"No")="Yes",1,0)</f>
        <v/>
      </c>
      <c r="AI670" s="3">
        <f>IF(ISNUMBER(MATCH(D670,Controls!$A$36:$A$46,0)),1,0)</f>
        <v/>
      </c>
      <c r="AJ670" s="28">
        <f>Q670-N670</f>
        <v/>
      </c>
      <c r="AK670" s="3">
        <f>IF(AE670=1,MAX(0,N670-Q670),0)</f>
        <v/>
      </c>
      <c r="AL670" s="3">
        <f>IF(OR(V670="",V670=0),0,N670/V670)</f>
        <v/>
      </c>
      <c r="AM670" s="3">
        <f>IF(OR(V670="",V670=0),0,1)</f>
        <v/>
      </c>
      <c r="AN670" s="3">
        <f>IF(OR(E670="",F670=""),0,NETWORKDAYS(E670,F670,Ref!$K$2:$K$42))</f>
        <v/>
      </c>
      <c r="AO670" s="3">
        <f>IF(L670="Renewal",1,0)</f>
        <v/>
      </c>
      <c r="AP670" s="3">
        <f>AC670*AD670</f>
        <v/>
      </c>
      <c r="AQ670" s="3">
        <f>IF(AND(G670&lt;&gt;"",'Historical Score'!$C$6&lt;&gt;""),IF(G670='Historical Score'!$C$6,1,0),0)</f>
        <v/>
      </c>
      <c r="AR670" s="3">
        <f>IF(AND(L670&lt;&gt;"",'Historical Score'!$C$5&lt;&gt;""),IF(L670='Historical Score'!$C$5,1,0),0)</f>
        <v/>
      </c>
      <c r="AS670" s="3">
        <f>IF(AND(Y670&lt;&gt;"",'Historical Score'!$C$7&lt;&gt;""),IF(Y670='Historical Score'!$C$7,1,0),0)</f>
        <v/>
      </c>
      <c r="AT670" s="3">
        <f>IF(AND(K670&lt;&gt;"",'Historical Score'!$C$8&lt;&gt;""),IF(K670='Historical Score'!$C$8,1,0),0)</f>
        <v/>
      </c>
      <c r="AU670" s="3" t="n"/>
      <c r="AV670" s="3" t="n"/>
      <c r="AW670" s="3" t="n"/>
      <c r="AX670" s="3" t="n"/>
      <c r="AY670" s="3" t="n"/>
      <c r="AZ670" s="3" t="n"/>
      <c r="BA670" s="182">
        <f>IF(AD670=1,(AR670*'Historical Score'!$K$29+1-'Historical Score'!$K$29)*(AT670*'Historical Score'!$L$29+1-'Historical Score'!$L$29)*(AS670*'Historical Score'!$M$29+1-'Historical Score'!$M$29)*(AQ670*'Historical Score'!$N$29+1-'Historical Score'!$N$29),0)</f>
        <v/>
      </c>
      <c r="BB670" s="3" t="n"/>
      <c r="BC670" s="3" t="n"/>
    </row>
    <row r="671" ht="15.75" customHeight="1" s="174">
      <c r="A671" s="3" t="inlineStr">
        <is>
          <t>5674179404</t>
        </is>
      </c>
      <c r="B671" s="3" t="inlineStr">
        <is>
          <t>K M Construction</t>
        </is>
      </c>
      <c r="C671" s="3" t="inlineStr">
        <is>
          <t>matthew page</t>
        </is>
      </c>
      <c r="D671" s="3" t="inlineStr">
        <is>
          <t>Legal</t>
        </is>
      </c>
      <c r="E671" s="23" t="n">
        <v>46083</v>
      </c>
      <c r="F671" s="23" t="n">
        <v>46164</v>
      </c>
      <c r="G671" s="3" t="n">
        <v>3</v>
      </c>
      <c r="H671" s="3" t="inlineStr">
        <is>
          <t>1521</t>
        </is>
      </c>
      <c r="I671" s="3" t="inlineStr">
        <is>
          <t>15</t>
        </is>
      </c>
      <c r="J671" s="3" t="inlineStr">
        <is>
          <t>IN</t>
        </is>
      </c>
      <c r="K671" s="3" t="inlineStr">
        <is>
          <t>The Funding Channel</t>
        </is>
      </c>
      <c r="L671" s="3" t="inlineStr">
        <is>
          <t>New Deal</t>
        </is>
      </c>
      <c r="M671" s="3" t="n">
        <v>1.49</v>
      </c>
      <c r="N671" s="28" t="n">
        <v>20000</v>
      </c>
      <c r="O671" s="28" t="n">
        <v>2800</v>
      </c>
      <c r="P671" s="28" t="n">
        <v>29800</v>
      </c>
      <c r="Q671" s="28" t="n">
        <v>9836.309999999999</v>
      </c>
      <c r="R671" s="28" t="n">
        <v>19963.69</v>
      </c>
      <c r="S671" s="42" t="n">
        <v>0.330077516778524</v>
      </c>
      <c r="T671" s="3" t="n">
        <v>3.279</v>
      </c>
      <c r="U671" s="3" t="n">
        <v>14</v>
      </c>
      <c r="V671" s="3" t="n">
        <v>70172.82000000001</v>
      </c>
      <c r="W671" s="42" t="n">
        <v>0.0892</v>
      </c>
      <c r="X671" s="23" t="n"/>
      <c r="Y671" s="3">
        <f>IF(I671="","No SIC",IFERROR(VLOOKUP(I671,Ref!$A$2:$B$65,2,FALSE()),"Unclassified"))</f>
        <v/>
      </c>
      <c r="Z671" s="3">
        <f>IF(T671="","",IF(T671&lt;12,"Daily","Weekly"))</f>
        <v/>
      </c>
      <c r="AA671" s="3">
        <f>IF(T671="",0,IF(T671&lt;12,T671*Controls!$B$13,T671*5))</f>
        <v/>
      </c>
      <c r="AB671" s="3">
        <f>IF(E671="",0,NETWORKDAYS(E671,Controls!$B$20,Ref!$K$2:$K$42))</f>
        <v/>
      </c>
      <c r="AC671" s="3">
        <f>IF(OR(AF671=1,AND(AA671&gt;0,AB671&gt;=Controls!$B$23*AA671)),1,0)</f>
        <v/>
      </c>
      <c r="AD671" s="3">
        <f>IF(AND(E671&lt;&gt;"",E671&gt;=Controls!$B$21,E671&lt;=Controls!$B$22),1,0)</f>
        <v/>
      </c>
      <c r="AE671" s="3">
        <f>IF(IFERROR(VLOOKUP(D671,Controls!$A$36:$E$46,2,FALSE()),"No")="Yes",1,0)</f>
        <v/>
      </c>
      <c r="AF671" s="3">
        <f>IF(IFERROR(VLOOKUP(D671,Controls!$A$36:$E$46,3,FALSE()),"No")="Yes",1,0)</f>
        <v/>
      </c>
      <c r="AG671" s="3">
        <f>IF(IFERROR(VLOOKUP(D671,Controls!$A$36:$E$46,4,FALSE()),"No")="Yes",1,0)</f>
        <v/>
      </c>
      <c r="AH671" s="3">
        <f>IF(IFERROR(VLOOKUP(D671,Controls!$A$36:$E$46,5,FALSE()),"No")="Yes",1,0)</f>
        <v/>
      </c>
      <c r="AI671" s="3">
        <f>IF(ISNUMBER(MATCH(D671,Controls!$A$36:$A$46,0)),1,0)</f>
        <v/>
      </c>
      <c r="AJ671" s="28">
        <f>Q671-N671</f>
        <v/>
      </c>
      <c r="AK671" s="3">
        <f>IF(AE671=1,MAX(0,N671-Q671),0)</f>
        <v/>
      </c>
      <c r="AL671" s="3">
        <f>IF(OR(V671="",V671=0),0,N671/V671)</f>
        <v/>
      </c>
      <c r="AM671" s="3">
        <f>IF(OR(V671="",V671=0),0,1)</f>
        <v/>
      </c>
      <c r="AN671" s="3">
        <f>IF(OR(E671="",F671=""),0,NETWORKDAYS(E671,F671,Ref!$K$2:$K$42))</f>
        <v/>
      </c>
      <c r="AO671" s="3">
        <f>IF(L671="Renewal",1,0)</f>
        <v/>
      </c>
      <c r="AP671" s="3">
        <f>AC671*AD671</f>
        <v/>
      </c>
      <c r="AQ671" s="3">
        <f>IF(AND(G671&lt;&gt;"",'Historical Score'!$C$6&lt;&gt;""),IF(G671='Historical Score'!$C$6,1,0),0)</f>
        <v/>
      </c>
      <c r="AR671" s="3">
        <f>IF(AND(L671&lt;&gt;"",'Historical Score'!$C$5&lt;&gt;""),IF(L671='Historical Score'!$C$5,1,0),0)</f>
        <v/>
      </c>
      <c r="AS671" s="3">
        <f>IF(AND(Y671&lt;&gt;"",'Historical Score'!$C$7&lt;&gt;""),IF(Y671='Historical Score'!$C$7,1,0),0)</f>
        <v/>
      </c>
      <c r="AT671" s="3">
        <f>IF(AND(K671&lt;&gt;"",'Historical Score'!$C$8&lt;&gt;""),IF(K671='Historical Score'!$C$8,1,0),0)</f>
        <v/>
      </c>
      <c r="AU671" s="3" t="n"/>
      <c r="AV671" s="3" t="n"/>
      <c r="AW671" s="3" t="n"/>
      <c r="AX671" s="3" t="n"/>
      <c r="AY671" s="3" t="n"/>
      <c r="AZ671" s="3" t="n"/>
      <c r="BA671" s="182">
        <f>IF(AD671=1,(AR671*'Historical Score'!$K$29+1-'Historical Score'!$K$29)*(AT671*'Historical Score'!$L$29+1-'Historical Score'!$L$29)*(AS671*'Historical Score'!$M$29+1-'Historical Score'!$M$29)*(AQ671*'Historical Score'!$N$29+1-'Historical Score'!$N$29),0)</f>
        <v/>
      </c>
      <c r="BB671" s="3" t="n"/>
      <c r="BC671" s="3" t="n"/>
    </row>
    <row r="672" ht="15.75" customHeight="1" s="174">
      <c r="A672" s="3" t="inlineStr">
        <is>
          <t>5674179410</t>
        </is>
      </c>
      <c r="B672" s="3" t="inlineStr">
        <is>
          <t>COASTAL PIER AND BOATHOUSE</t>
        </is>
      </c>
      <c r="C672" s="3" t="inlineStr">
        <is>
          <t>Coastal Pier And Boathouse, LLC</t>
        </is>
      </c>
      <c r="D672" s="3" t="inlineStr">
        <is>
          <t>Open</t>
        </is>
      </c>
      <c r="E672" s="23" t="n">
        <v>46083</v>
      </c>
      <c r="F672" s="23" t="n">
        <v>46251</v>
      </c>
      <c r="G672" s="3" t="n">
        <v>3</v>
      </c>
      <c r="H672" s="3" t="inlineStr">
        <is>
          <t>4491</t>
        </is>
      </c>
      <c r="I672" s="3" t="inlineStr">
        <is>
          <t>44</t>
        </is>
      </c>
      <c r="J672" s="3" t="inlineStr">
        <is>
          <t>TX</t>
        </is>
      </c>
      <c r="K672" s="3" t="inlineStr">
        <is>
          <t>Fundwell</t>
        </is>
      </c>
      <c r="L672" s="3" t="inlineStr">
        <is>
          <t>New Deal</t>
        </is>
      </c>
      <c r="M672" s="3" t="n">
        <v>1.33</v>
      </c>
      <c r="N672" s="28" t="n">
        <v>40000</v>
      </c>
      <c r="O672" s="28" t="n">
        <v>2400</v>
      </c>
      <c r="P672" s="28" t="n">
        <v>53200</v>
      </c>
      <c r="Q672" s="28" t="n">
        <v>32860.17</v>
      </c>
      <c r="R672" s="28" t="n">
        <v>20339.83</v>
      </c>
      <c r="S672" s="42" t="n">
        <v>0.617672368421053</v>
      </c>
      <c r="T672" s="3" t="n">
        <v>34</v>
      </c>
      <c r="U672" s="3" t="n">
        <v>3</v>
      </c>
      <c r="V672" s="3" t="n">
        <v>85000</v>
      </c>
      <c r="W672" s="42" t="n">
        <v>0.0521</v>
      </c>
      <c r="X672" s="23" t="n">
        <v>44602</v>
      </c>
      <c r="Y672" s="3">
        <f>IF(I672="","No SIC",IFERROR(VLOOKUP(I672,Ref!$A$2:$B$65,2,FALSE()),"Unclassified"))</f>
        <v/>
      </c>
      <c r="Z672" s="3">
        <f>IF(T672="","",IF(T672&lt;12,"Daily","Weekly"))</f>
        <v/>
      </c>
      <c r="AA672" s="3">
        <f>IF(T672="",0,IF(T672&lt;12,T672*Controls!$B$13,T672*5))</f>
        <v/>
      </c>
      <c r="AB672" s="3">
        <f>IF(E672="",0,NETWORKDAYS(E672,Controls!$B$20,Ref!$K$2:$K$42))</f>
        <v/>
      </c>
      <c r="AC672" s="3">
        <f>IF(OR(AF672=1,AND(AA672&gt;0,AB672&gt;=Controls!$B$23*AA672)),1,0)</f>
        <v/>
      </c>
      <c r="AD672" s="3">
        <f>IF(AND(E672&lt;&gt;"",E672&gt;=Controls!$B$21,E672&lt;=Controls!$B$22),1,0)</f>
        <v/>
      </c>
      <c r="AE672" s="3">
        <f>IF(IFERROR(VLOOKUP(D672,Controls!$A$36:$E$46,2,FALSE()),"No")="Yes",1,0)</f>
        <v/>
      </c>
      <c r="AF672" s="3">
        <f>IF(IFERROR(VLOOKUP(D672,Controls!$A$36:$E$46,3,FALSE()),"No")="Yes",1,0)</f>
        <v/>
      </c>
      <c r="AG672" s="3">
        <f>IF(IFERROR(VLOOKUP(D672,Controls!$A$36:$E$46,4,FALSE()),"No")="Yes",1,0)</f>
        <v/>
      </c>
      <c r="AH672" s="3">
        <f>IF(IFERROR(VLOOKUP(D672,Controls!$A$36:$E$46,5,FALSE()),"No")="Yes",1,0)</f>
        <v/>
      </c>
      <c r="AI672" s="3">
        <f>IF(ISNUMBER(MATCH(D672,Controls!$A$36:$A$46,0)),1,0)</f>
        <v/>
      </c>
      <c r="AJ672" s="28">
        <f>Q672-N672</f>
        <v/>
      </c>
      <c r="AK672" s="3">
        <f>IF(AE672=1,MAX(0,N672-Q672),0)</f>
        <v/>
      </c>
      <c r="AL672" s="3">
        <f>IF(OR(V672="",V672=0),0,N672/V672)</f>
        <v/>
      </c>
      <c r="AM672" s="3">
        <f>IF(OR(V672="",V672=0),0,1)</f>
        <v/>
      </c>
      <c r="AN672" s="3">
        <f>IF(OR(E672="",F672=""),0,NETWORKDAYS(E672,F672,Ref!$K$2:$K$42))</f>
        <v/>
      </c>
      <c r="AO672" s="3">
        <f>IF(L672="Renewal",1,0)</f>
        <v/>
      </c>
      <c r="AP672" s="3">
        <f>AC672*AD672</f>
        <v/>
      </c>
      <c r="AQ672" s="3">
        <f>IF(AND(G672&lt;&gt;"",'Historical Score'!$C$6&lt;&gt;""),IF(G672='Historical Score'!$C$6,1,0),0)</f>
        <v/>
      </c>
      <c r="AR672" s="3">
        <f>IF(AND(L672&lt;&gt;"",'Historical Score'!$C$5&lt;&gt;""),IF(L672='Historical Score'!$C$5,1,0),0)</f>
        <v/>
      </c>
      <c r="AS672" s="3">
        <f>IF(AND(Y672&lt;&gt;"",'Historical Score'!$C$7&lt;&gt;""),IF(Y672='Historical Score'!$C$7,1,0),0)</f>
        <v/>
      </c>
      <c r="AT672" s="3">
        <f>IF(AND(K672&lt;&gt;"",'Historical Score'!$C$8&lt;&gt;""),IF(K672='Historical Score'!$C$8,1,0),0)</f>
        <v/>
      </c>
      <c r="AU672" s="3" t="n"/>
      <c r="AV672" s="3" t="n"/>
      <c r="AW672" s="3" t="n"/>
      <c r="AX672" s="3" t="n"/>
      <c r="AY672" s="3" t="n"/>
      <c r="AZ672" s="3" t="n"/>
      <c r="BA672" s="182">
        <f>IF(AD672=1,(AR672*'Historical Score'!$K$29+1-'Historical Score'!$K$29)*(AT672*'Historical Score'!$L$29+1-'Historical Score'!$L$29)*(AS672*'Historical Score'!$M$29+1-'Historical Score'!$M$29)*(AQ672*'Historical Score'!$N$29+1-'Historical Score'!$N$29),0)</f>
        <v/>
      </c>
      <c r="BB672" s="3" t="n"/>
      <c r="BC672" s="3" t="n"/>
    </row>
    <row r="673" ht="15.75" customHeight="1" s="174">
      <c r="A673" s="3" t="inlineStr">
        <is>
          <t>5674179424</t>
        </is>
      </c>
      <c r="B673" s="3" t="inlineStr">
        <is>
          <t>Wee Thrive Pediatric Therapy Group, Inc</t>
        </is>
      </c>
      <c r="C673" s="3" t="inlineStr">
        <is>
          <t>Wee Thrive Pediatric Therapy Group, Inc</t>
        </is>
      </c>
      <c r="D673" s="3" t="inlineStr">
        <is>
          <t>Written-Off</t>
        </is>
      </c>
      <c r="E673" s="23" t="n">
        <v>46084</v>
      </c>
      <c r="F673" s="23" t="n">
        <v>46233</v>
      </c>
      <c r="G673" s="3" t="n">
        <v>2</v>
      </c>
      <c r="H673" s="3" t="inlineStr">
        <is>
          <t>8011</t>
        </is>
      </c>
      <c r="I673" s="3" t="inlineStr">
        <is>
          <t>80</t>
        </is>
      </c>
      <c r="J673" s="3" t="inlineStr">
        <is>
          <t>CA</t>
        </is>
      </c>
      <c r="K673" s="3" t="inlineStr">
        <is>
          <t>Fundwell</t>
        </is>
      </c>
      <c r="L673" s="3" t="inlineStr">
        <is>
          <t>New Deal</t>
        </is>
      </c>
      <c r="M673" s="3" t="n">
        <v>1.39</v>
      </c>
      <c r="N673" s="28" t="n">
        <v>20000</v>
      </c>
      <c r="O673" s="28" t="n">
        <v>2600</v>
      </c>
      <c r="P673" s="28" t="n">
        <v>27800</v>
      </c>
      <c r="Q673" s="28" t="n">
        <v>16365.67</v>
      </c>
      <c r="R673" s="28" t="n">
        <v>11434.33</v>
      </c>
      <c r="S673" s="42" t="n">
        <v>0.588693165467626</v>
      </c>
      <c r="T673" s="3" t="n">
        <v>40</v>
      </c>
      <c r="U673" s="3" t="n">
        <v>1</v>
      </c>
      <c r="V673" s="3" t="n">
        <v>96495.78999999999</v>
      </c>
      <c r="W673" s="42" t="n">
        <v>0.0288</v>
      </c>
      <c r="X673" s="23" t="n">
        <v>42619</v>
      </c>
      <c r="Y673" s="3">
        <f>IF(I673="","No SIC",IFERROR(VLOOKUP(I673,Ref!$A$2:$B$65,2,FALSE()),"Unclassified"))</f>
        <v/>
      </c>
      <c r="Z673" s="3">
        <f>IF(T673="","",IF(T673&lt;12,"Daily","Weekly"))</f>
        <v/>
      </c>
      <c r="AA673" s="3">
        <f>IF(T673="",0,IF(T673&lt;12,T673*Controls!$B$13,T673*5))</f>
        <v/>
      </c>
      <c r="AB673" s="3">
        <f>IF(E673="",0,NETWORKDAYS(E673,Controls!$B$20,Ref!$K$2:$K$42))</f>
        <v/>
      </c>
      <c r="AC673" s="3">
        <f>IF(OR(AF673=1,AND(AA673&gt;0,AB673&gt;=Controls!$B$23*AA673)),1,0)</f>
        <v/>
      </c>
      <c r="AD673" s="3">
        <f>IF(AND(E673&lt;&gt;"",E673&gt;=Controls!$B$21,E673&lt;=Controls!$B$22),1,0)</f>
        <v/>
      </c>
      <c r="AE673" s="3">
        <f>IF(IFERROR(VLOOKUP(D673,Controls!$A$36:$E$46,2,FALSE()),"No")="Yes",1,0)</f>
        <v/>
      </c>
      <c r="AF673" s="3">
        <f>IF(IFERROR(VLOOKUP(D673,Controls!$A$36:$E$46,3,FALSE()),"No")="Yes",1,0)</f>
        <v/>
      </c>
      <c r="AG673" s="3">
        <f>IF(IFERROR(VLOOKUP(D673,Controls!$A$36:$E$46,4,FALSE()),"No")="Yes",1,0)</f>
        <v/>
      </c>
      <c r="AH673" s="3">
        <f>IF(IFERROR(VLOOKUP(D673,Controls!$A$36:$E$46,5,FALSE()),"No")="Yes",1,0)</f>
        <v/>
      </c>
      <c r="AI673" s="3">
        <f>IF(ISNUMBER(MATCH(D673,Controls!$A$36:$A$46,0)),1,0)</f>
        <v/>
      </c>
      <c r="AJ673" s="28">
        <f>Q673-N673</f>
        <v/>
      </c>
      <c r="AK673" s="3">
        <f>IF(AE673=1,MAX(0,N673-Q673),0)</f>
        <v/>
      </c>
      <c r="AL673" s="3">
        <f>IF(OR(V673="",V673=0),0,N673/V673)</f>
        <v/>
      </c>
      <c r="AM673" s="3">
        <f>IF(OR(V673="",V673=0),0,1)</f>
        <v/>
      </c>
      <c r="AN673" s="3">
        <f>IF(OR(E673="",F673=""),0,NETWORKDAYS(E673,F673,Ref!$K$2:$K$42))</f>
        <v/>
      </c>
      <c r="AO673" s="3">
        <f>IF(L673="Renewal",1,0)</f>
        <v/>
      </c>
      <c r="AP673" s="3">
        <f>AC673*AD673</f>
        <v/>
      </c>
      <c r="AQ673" s="3">
        <f>IF(AND(G673&lt;&gt;"",'Historical Score'!$C$6&lt;&gt;""),IF(G673='Historical Score'!$C$6,1,0),0)</f>
        <v/>
      </c>
      <c r="AR673" s="3">
        <f>IF(AND(L673&lt;&gt;"",'Historical Score'!$C$5&lt;&gt;""),IF(L673='Historical Score'!$C$5,1,0),0)</f>
        <v/>
      </c>
      <c r="AS673" s="3">
        <f>IF(AND(Y673&lt;&gt;"",'Historical Score'!$C$7&lt;&gt;""),IF(Y673='Historical Score'!$C$7,1,0),0)</f>
        <v/>
      </c>
      <c r="AT673" s="3">
        <f>IF(AND(K673&lt;&gt;"",'Historical Score'!$C$8&lt;&gt;""),IF(K673='Historical Score'!$C$8,1,0),0)</f>
        <v/>
      </c>
      <c r="AU673" s="3" t="n"/>
      <c r="AV673" s="3" t="n"/>
      <c r="AW673" s="3" t="n"/>
      <c r="AX673" s="3" t="n"/>
      <c r="AY673" s="3" t="n"/>
      <c r="AZ673" s="3" t="n"/>
      <c r="BA673" s="182">
        <f>IF(AD673=1,(AR673*'Historical Score'!$K$29+1-'Historical Score'!$K$29)*(AT673*'Historical Score'!$L$29+1-'Historical Score'!$L$29)*(AS673*'Historical Score'!$M$29+1-'Historical Score'!$M$29)*(AQ673*'Historical Score'!$N$29+1-'Historical Score'!$N$29),0)</f>
        <v/>
      </c>
      <c r="BB673" s="3" t="n"/>
      <c r="BC673" s="3" t="n"/>
    </row>
    <row r="674" ht="15.75" customHeight="1" s="174">
      <c r="A674" s="3" t="inlineStr">
        <is>
          <t>5674179429</t>
        </is>
      </c>
      <c r="B674" s="3" t="inlineStr">
        <is>
          <t>WATER RESTORATION, INC.</t>
        </is>
      </c>
      <c r="C674" s="3" t="inlineStr">
        <is>
          <t>WATER RESTORATION, INC.</t>
        </is>
      </c>
      <c r="D674" s="3" t="inlineStr">
        <is>
          <t>Open</t>
        </is>
      </c>
      <c r="E674" s="23" t="n">
        <v>46084</v>
      </c>
      <c r="F674" s="23" t="n">
        <v>46248</v>
      </c>
      <c r="G674" s="3" t="n">
        <v>3</v>
      </c>
      <c r="H674" s="3" t="inlineStr">
        <is>
          <t>1623</t>
        </is>
      </c>
      <c r="I674" s="3" t="inlineStr">
        <is>
          <t>16</t>
        </is>
      </c>
      <c r="J674" s="3" t="inlineStr">
        <is>
          <t>CA</t>
        </is>
      </c>
      <c r="K674" s="3" t="inlineStr">
        <is>
          <t>United Secured Capital 8</t>
        </is>
      </c>
      <c r="L674" s="3" t="inlineStr">
        <is>
          <t>New Deal</t>
        </is>
      </c>
      <c r="M674" s="3" t="n">
        <v>1.49</v>
      </c>
      <c r="N674" s="28" t="n">
        <v>20000</v>
      </c>
      <c r="O674" s="28" t="n">
        <v>2800</v>
      </c>
      <c r="P674" s="28" t="n">
        <v>29800</v>
      </c>
      <c r="Q674" s="28" t="n">
        <v>10469.37</v>
      </c>
      <c r="R674" s="28" t="n">
        <v>19330.63</v>
      </c>
      <c r="S674" s="42" t="n">
        <v>0.351321140939597</v>
      </c>
      <c r="T674" s="3" t="n">
        <v>20</v>
      </c>
      <c r="U674" s="3" t="n">
        <v>1</v>
      </c>
      <c r="V674" s="3" t="n">
        <v>37198.13</v>
      </c>
      <c r="W674" s="42" t="n">
        <v>0.1602</v>
      </c>
      <c r="X674" s="23" t="n">
        <v>43105</v>
      </c>
      <c r="Y674" s="3">
        <f>IF(I674="","No SIC",IFERROR(VLOOKUP(I674,Ref!$A$2:$B$65,2,FALSE()),"Unclassified"))</f>
        <v/>
      </c>
      <c r="Z674" s="3">
        <f>IF(T674="","",IF(T674&lt;12,"Daily","Weekly"))</f>
        <v/>
      </c>
      <c r="AA674" s="3">
        <f>IF(T674="",0,IF(T674&lt;12,T674*Controls!$B$13,T674*5))</f>
        <v/>
      </c>
      <c r="AB674" s="3">
        <f>IF(E674="",0,NETWORKDAYS(E674,Controls!$B$20,Ref!$K$2:$K$42))</f>
        <v/>
      </c>
      <c r="AC674" s="3">
        <f>IF(OR(AF674=1,AND(AA674&gt;0,AB674&gt;=Controls!$B$23*AA674)),1,0)</f>
        <v/>
      </c>
      <c r="AD674" s="3">
        <f>IF(AND(E674&lt;&gt;"",E674&gt;=Controls!$B$21,E674&lt;=Controls!$B$22),1,0)</f>
        <v/>
      </c>
      <c r="AE674" s="3">
        <f>IF(IFERROR(VLOOKUP(D674,Controls!$A$36:$E$46,2,FALSE()),"No")="Yes",1,0)</f>
        <v/>
      </c>
      <c r="AF674" s="3">
        <f>IF(IFERROR(VLOOKUP(D674,Controls!$A$36:$E$46,3,FALSE()),"No")="Yes",1,0)</f>
        <v/>
      </c>
      <c r="AG674" s="3">
        <f>IF(IFERROR(VLOOKUP(D674,Controls!$A$36:$E$46,4,FALSE()),"No")="Yes",1,0)</f>
        <v/>
      </c>
      <c r="AH674" s="3">
        <f>IF(IFERROR(VLOOKUP(D674,Controls!$A$36:$E$46,5,FALSE()),"No")="Yes",1,0)</f>
        <v/>
      </c>
      <c r="AI674" s="3">
        <f>IF(ISNUMBER(MATCH(D674,Controls!$A$36:$A$46,0)),1,0)</f>
        <v/>
      </c>
      <c r="AJ674" s="28">
        <f>Q674-N674</f>
        <v/>
      </c>
      <c r="AK674" s="3">
        <f>IF(AE674=1,MAX(0,N674-Q674),0)</f>
        <v/>
      </c>
      <c r="AL674" s="3">
        <f>IF(OR(V674="",V674=0),0,N674/V674)</f>
        <v/>
      </c>
      <c r="AM674" s="3">
        <f>IF(OR(V674="",V674=0),0,1)</f>
        <v/>
      </c>
      <c r="AN674" s="3">
        <f>IF(OR(E674="",F674=""),0,NETWORKDAYS(E674,F674,Ref!$K$2:$K$42))</f>
        <v/>
      </c>
      <c r="AO674" s="3">
        <f>IF(L674="Renewal",1,0)</f>
        <v/>
      </c>
      <c r="AP674" s="3">
        <f>AC674*AD674</f>
        <v/>
      </c>
      <c r="AQ674" s="3">
        <f>IF(AND(G674&lt;&gt;"",'Historical Score'!$C$6&lt;&gt;""),IF(G674='Historical Score'!$C$6,1,0),0)</f>
        <v/>
      </c>
      <c r="AR674" s="3">
        <f>IF(AND(L674&lt;&gt;"",'Historical Score'!$C$5&lt;&gt;""),IF(L674='Historical Score'!$C$5,1,0),0)</f>
        <v/>
      </c>
      <c r="AS674" s="3">
        <f>IF(AND(Y674&lt;&gt;"",'Historical Score'!$C$7&lt;&gt;""),IF(Y674='Historical Score'!$C$7,1,0),0)</f>
        <v/>
      </c>
      <c r="AT674" s="3">
        <f>IF(AND(K674&lt;&gt;"",'Historical Score'!$C$8&lt;&gt;""),IF(K674='Historical Score'!$C$8,1,0),0)</f>
        <v/>
      </c>
      <c r="AU674" s="3" t="n"/>
      <c r="AV674" s="3" t="n"/>
      <c r="AW674" s="3" t="n"/>
      <c r="AX674" s="3" t="n"/>
      <c r="AY674" s="3" t="n"/>
      <c r="AZ674" s="3" t="n"/>
      <c r="BA674" s="182">
        <f>IF(AD674=1,(AR674*'Historical Score'!$K$29+1-'Historical Score'!$K$29)*(AT674*'Historical Score'!$L$29+1-'Historical Score'!$L$29)*(AS674*'Historical Score'!$M$29+1-'Historical Score'!$M$29)*(AQ674*'Historical Score'!$N$29+1-'Historical Score'!$N$29),0)</f>
        <v/>
      </c>
      <c r="BB674" s="3" t="n"/>
      <c r="BC674" s="3" t="n"/>
    </row>
    <row r="675" ht="15.75" customHeight="1" s="174">
      <c r="A675" s="3" t="inlineStr">
        <is>
          <t>5674179447</t>
        </is>
      </c>
      <c r="B675" s="3" t="inlineStr">
        <is>
          <t>Apex Autoworx llc</t>
        </is>
      </c>
      <c r="C675" s="3" t="inlineStr">
        <is>
          <t>Apex Autoworx llc</t>
        </is>
      </c>
      <c r="D675" s="3" t="inlineStr">
        <is>
          <t>Open</t>
        </is>
      </c>
      <c r="E675" s="23" t="n">
        <v>46084</v>
      </c>
      <c r="F675" s="23" t="n">
        <v>46252</v>
      </c>
      <c r="G675" s="3" t="n">
        <v>2</v>
      </c>
      <c r="H675" s="3" t="inlineStr">
        <is>
          <t>7532</t>
        </is>
      </c>
      <c r="I675" s="3" t="inlineStr">
        <is>
          <t>75</t>
        </is>
      </c>
      <c r="J675" s="3" t="inlineStr">
        <is>
          <t>OH</t>
        </is>
      </c>
      <c r="K675" s="3" t="inlineStr">
        <is>
          <t>Fundwell</t>
        </is>
      </c>
      <c r="L675" s="3" t="inlineStr">
        <is>
          <t>New Deal</t>
        </is>
      </c>
      <c r="M675" s="3" t="n">
        <v>1.42</v>
      </c>
      <c r="N675" s="28" t="n">
        <v>20000</v>
      </c>
      <c r="O675" s="28" t="n">
        <v>2800</v>
      </c>
      <c r="P675" s="28" t="n">
        <v>28400</v>
      </c>
      <c r="Q675" s="28" t="n">
        <v>16570.47</v>
      </c>
      <c r="R675" s="28" t="n">
        <v>11829.53</v>
      </c>
      <c r="S675" s="42" t="n">
        <v>0.583467253521127</v>
      </c>
      <c r="T675" s="3" t="n">
        <v>36</v>
      </c>
      <c r="U675" s="3" t="n">
        <v>3</v>
      </c>
      <c r="V675" s="3" t="n">
        <v>16194.43</v>
      </c>
      <c r="W675" s="42" t="n">
        <v>0.1949</v>
      </c>
      <c r="X675" s="23" t="n">
        <v>45580</v>
      </c>
      <c r="Y675" s="3">
        <f>IF(I675="","No SIC",IFERROR(VLOOKUP(I675,Ref!$A$2:$B$65,2,FALSE()),"Unclassified"))</f>
        <v/>
      </c>
      <c r="Z675" s="3">
        <f>IF(T675="","",IF(T675&lt;12,"Daily","Weekly"))</f>
        <v/>
      </c>
      <c r="AA675" s="3">
        <f>IF(T675="",0,IF(T675&lt;12,T675*Controls!$B$13,T675*5))</f>
        <v/>
      </c>
      <c r="AB675" s="3">
        <f>IF(E675="",0,NETWORKDAYS(E675,Controls!$B$20,Ref!$K$2:$K$42))</f>
        <v/>
      </c>
      <c r="AC675" s="3">
        <f>IF(OR(AF675=1,AND(AA675&gt;0,AB675&gt;=Controls!$B$23*AA675)),1,0)</f>
        <v/>
      </c>
      <c r="AD675" s="3">
        <f>IF(AND(E675&lt;&gt;"",E675&gt;=Controls!$B$21,E675&lt;=Controls!$B$22),1,0)</f>
        <v/>
      </c>
      <c r="AE675" s="3">
        <f>IF(IFERROR(VLOOKUP(D675,Controls!$A$36:$E$46,2,FALSE()),"No")="Yes",1,0)</f>
        <v/>
      </c>
      <c r="AF675" s="3">
        <f>IF(IFERROR(VLOOKUP(D675,Controls!$A$36:$E$46,3,FALSE()),"No")="Yes",1,0)</f>
        <v/>
      </c>
      <c r="AG675" s="3">
        <f>IF(IFERROR(VLOOKUP(D675,Controls!$A$36:$E$46,4,FALSE()),"No")="Yes",1,0)</f>
        <v/>
      </c>
      <c r="AH675" s="3">
        <f>IF(IFERROR(VLOOKUP(D675,Controls!$A$36:$E$46,5,FALSE()),"No")="Yes",1,0)</f>
        <v/>
      </c>
      <c r="AI675" s="3">
        <f>IF(ISNUMBER(MATCH(D675,Controls!$A$36:$A$46,0)),1,0)</f>
        <v/>
      </c>
      <c r="AJ675" s="28">
        <f>Q675-N675</f>
        <v/>
      </c>
      <c r="AK675" s="3">
        <f>IF(AE675=1,MAX(0,N675-Q675),0)</f>
        <v/>
      </c>
      <c r="AL675" s="3">
        <f>IF(OR(V675="",V675=0),0,N675/V675)</f>
        <v/>
      </c>
      <c r="AM675" s="3">
        <f>IF(OR(V675="",V675=0),0,1)</f>
        <v/>
      </c>
      <c r="AN675" s="3">
        <f>IF(OR(E675="",F675=""),0,NETWORKDAYS(E675,F675,Ref!$K$2:$K$42))</f>
        <v/>
      </c>
      <c r="AO675" s="3">
        <f>IF(L675="Renewal",1,0)</f>
        <v/>
      </c>
      <c r="AP675" s="3">
        <f>AC675*AD675</f>
        <v/>
      </c>
      <c r="AQ675" s="3">
        <f>IF(AND(G675&lt;&gt;"",'Historical Score'!$C$6&lt;&gt;""),IF(G675='Historical Score'!$C$6,1,0),0)</f>
        <v/>
      </c>
      <c r="AR675" s="3">
        <f>IF(AND(L675&lt;&gt;"",'Historical Score'!$C$5&lt;&gt;""),IF(L675='Historical Score'!$C$5,1,0),0)</f>
        <v/>
      </c>
      <c r="AS675" s="3">
        <f>IF(AND(Y675&lt;&gt;"",'Historical Score'!$C$7&lt;&gt;""),IF(Y675='Historical Score'!$C$7,1,0),0)</f>
        <v/>
      </c>
      <c r="AT675" s="3">
        <f>IF(AND(K675&lt;&gt;"",'Historical Score'!$C$8&lt;&gt;""),IF(K675='Historical Score'!$C$8,1,0),0)</f>
        <v/>
      </c>
      <c r="AU675" s="3" t="n"/>
      <c r="AV675" s="3" t="n"/>
      <c r="AW675" s="3" t="n"/>
      <c r="AX675" s="3" t="n"/>
      <c r="AY675" s="3" t="n"/>
      <c r="AZ675" s="3" t="n"/>
      <c r="BA675" s="182">
        <f>IF(AD675=1,(AR675*'Historical Score'!$K$29+1-'Historical Score'!$K$29)*(AT675*'Historical Score'!$L$29+1-'Historical Score'!$L$29)*(AS675*'Historical Score'!$M$29+1-'Historical Score'!$M$29)*(AQ675*'Historical Score'!$N$29+1-'Historical Score'!$N$29),0)</f>
        <v/>
      </c>
      <c r="BB675" s="3" t="n"/>
      <c r="BC675" s="3" t="n"/>
    </row>
    <row r="676" ht="15.75" customHeight="1" s="174">
      <c r="A676" s="3" t="inlineStr">
        <is>
          <t>5674179507</t>
        </is>
      </c>
      <c r="B676" s="3" t="inlineStr">
        <is>
          <t>METAL AND MATH LLC</t>
        </is>
      </c>
      <c r="C676" s="3" t="inlineStr">
        <is>
          <t>METAL AND MATH LLC</t>
        </is>
      </c>
      <c r="D676" s="3" t="inlineStr">
        <is>
          <t>Closed</t>
        </is>
      </c>
      <c r="E676" s="23" t="n">
        <v>46085</v>
      </c>
      <c r="F676" s="23" t="n">
        <v>46168</v>
      </c>
      <c r="G676" s="3" t="n">
        <v>3</v>
      </c>
      <c r="H676" s="3" t="inlineStr">
        <is>
          <t>1761</t>
        </is>
      </c>
      <c r="I676" s="3" t="inlineStr">
        <is>
          <t>17</t>
        </is>
      </c>
      <c r="J676" s="3" t="inlineStr">
        <is>
          <t>KY</t>
        </is>
      </c>
      <c r="K676" s="3" t="inlineStr">
        <is>
          <t>United Secured Capital 8</t>
        </is>
      </c>
      <c r="L676" s="3" t="inlineStr">
        <is>
          <t>New Deal</t>
        </is>
      </c>
      <c r="M676" s="3" t="n">
        <v>1.49</v>
      </c>
      <c r="N676" s="28" t="n">
        <v>15000</v>
      </c>
      <c r="O676" s="28" t="n">
        <v>2100</v>
      </c>
      <c r="P676" s="28" t="n">
        <v>22350</v>
      </c>
      <c r="Q676" s="28" t="n">
        <v>22350</v>
      </c>
      <c r="R676" s="28" t="n">
        <v>0</v>
      </c>
      <c r="S676" s="42" t="n">
        <v>1</v>
      </c>
      <c r="T676" s="3" t="n">
        <v>20</v>
      </c>
      <c r="U676" s="3" t="n">
        <v>2</v>
      </c>
      <c r="V676" s="3" t="n">
        <v>65000</v>
      </c>
      <c r="W676" s="42" t="n">
        <v>0.0993</v>
      </c>
      <c r="X676" s="23" t="n"/>
      <c r="Y676" s="3">
        <f>IF(I676="","No SIC",IFERROR(VLOOKUP(I676,Ref!$A$2:$B$65,2,FALSE()),"Unclassified"))</f>
        <v/>
      </c>
      <c r="Z676" s="3">
        <f>IF(T676="","",IF(T676&lt;12,"Daily","Weekly"))</f>
        <v/>
      </c>
      <c r="AA676" s="3">
        <f>IF(T676="",0,IF(T676&lt;12,T676*Controls!$B$13,T676*5))</f>
        <v/>
      </c>
      <c r="AB676" s="3">
        <f>IF(E676="",0,NETWORKDAYS(E676,Controls!$B$20,Ref!$K$2:$K$42))</f>
        <v/>
      </c>
      <c r="AC676" s="3">
        <f>IF(OR(AF676=1,AND(AA676&gt;0,AB676&gt;=Controls!$B$23*AA676)),1,0)</f>
        <v/>
      </c>
      <c r="AD676" s="3">
        <f>IF(AND(E676&lt;&gt;"",E676&gt;=Controls!$B$21,E676&lt;=Controls!$B$22),1,0)</f>
        <v/>
      </c>
      <c r="AE676" s="3">
        <f>IF(IFERROR(VLOOKUP(D676,Controls!$A$36:$E$46,2,FALSE()),"No")="Yes",1,0)</f>
        <v/>
      </c>
      <c r="AF676" s="3">
        <f>IF(IFERROR(VLOOKUP(D676,Controls!$A$36:$E$46,3,FALSE()),"No")="Yes",1,0)</f>
        <v/>
      </c>
      <c r="AG676" s="3">
        <f>IF(IFERROR(VLOOKUP(D676,Controls!$A$36:$E$46,4,FALSE()),"No")="Yes",1,0)</f>
        <v/>
      </c>
      <c r="AH676" s="3">
        <f>IF(IFERROR(VLOOKUP(D676,Controls!$A$36:$E$46,5,FALSE()),"No")="Yes",1,0)</f>
        <v/>
      </c>
      <c r="AI676" s="3">
        <f>IF(ISNUMBER(MATCH(D676,Controls!$A$36:$A$46,0)),1,0)</f>
        <v/>
      </c>
      <c r="AJ676" s="28">
        <f>Q676-N676</f>
        <v/>
      </c>
      <c r="AK676" s="3">
        <f>IF(AE676=1,MAX(0,N676-Q676),0)</f>
        <v/>
      </c>
      <c r="AL676" s="3">
        <f>IF(OR(V676="",V676=0),0,N676/V676)</f>
        <v/>
      </c>
      <c r="AM676" s="3">
        <f>IF(OR(V676="",V676=0),0,1)</f>
        <v/>
      </c>
      <c r="AN676" s="3">
        <f>IF(OR(E676="",F676=""),0,NETWORKDAYS(E676,F676,Ref!$K$2:$K$42))</f>
        <v/>
      </c>
      <c r="AO676" s="3">
        <f>IF(L676="Renewal",1,0)</f>
        <v/>
      </c>
      <c r="AP676" s="3">
        <f>AC676*AD676</f>
        <v/>
      </c>
      <c r="AQ676" s="3">
        <f>IF(AND(G676&lt;&gt;"",'Historical Score'!$C$6&lt;&gt;""),IF(G676='Historical Score'!$C$6,1,0),0)</f>
        <v/>
      </c>
      <c r="AR676" s="3">
        <f>IF(AND(L676&lt;&gt;"",'Historical Score'!$C$5&lt;&gt;""),IF(L676='Historical Score'!$C$5,1,0),0)</f>
        <v/>
      </c>
      <c r="AS676" s="3">
        <f>IF(AND(Y676&lt;&gt;"",'Historical Score'!$C$7&lt;&gt;""),IF(Y676='Historical Score'!$C$7,1,0),0)</f>
        <v/>
      </c>
      <c r="AT676" s="3">
        <f>IF(AND(K676&lt;&gt;"",'Historical Score'!$C$8&lt;&gt;""),IF(K676='Historical Score'!$C$8,1,0),0)</f>
        <v/>
      </c>
      <c r="AU676" s="3" t="n"/>
      <c r="AV676" s="3" t="n"/>
      <c r="AW676" s="3" t="n"/>
      <c r="AX676" s="3" t="n"/>
      <c r="AY676" s="3" t="n"/>
      <c r="AZ676" s="3" t="n"/>
      <c r="BA676" s="182">
        <f>IF(AD676=1,(AR676*'Historical Score'!$K$29+1-'Historical Score'!$K$29)*(AT676*'Historical Score'!$L$29+1-'Historical Score'!$L$29)*(AS676*'Historical Score'!$M$29+1-'Historical Score'!$M$29)*(AQ676*'Historical Score'!$N$29+1-'Historical Score'!$N$29),0)</f>
        <v/>
      </c>
      <c r="BB676" s="3" t="n"/>
      <c r="BC676" s="3" t="n"/>
    </row>
    <row r="677" ht="15.75" customHeight="1" s="174">
      <c r="A677" s="3" t="inlineStr">
        <is>
          <t>5674179535</t>
        </is>
      </c>
      <c r="B677" s="3" t="inlineStr">
        <is>
          <t>KICHI &amp; LEON LLC</t>
        </is>
      </c>
      <c r="C677" s="3" t="inlineStr">
        <is>
          <t>KICHI &amp; LEON LLC</t>
        </is>
      </c>
      <c r="D677" s="3" t="inlineStr">
        <is>
          <t>Legal</t>
        </is>
      </c>
      <c r="E677" s="23" t="n">
        <v>46085</v>
      </c>
      <c r="F677" s="23" t="n">
        <v>46162</v>
      </c>
      <c r="G677" s="3" t="n">
        <v>2</v>
      </c>
      <c r="H677" s="3" t="inlineStr">
        <is>
          <t>5399</t>
        </is>
      </c>
      <c r="I677" s="3" t="inlineStr">
        <is>
          <t>53</t>
        </is>
      </c>
      <c r="J677" s="3" t="inlineStr">
        <is>
          <t>FL</t>
        </is>
      </c>
      <c r="K677" s="3" t="inlineStr">
        <is>
          <t>Ballicci</t>
        </is>
      </c>
      <c r="L677" s="3" t="inlineStr">
        <is>
          <t>New Deal</t>
        </is>
      </c>
      <c r="M677" s="3" t="n">
        <v>1.49</v>
      </c>
      <c r="N677" s="28" t="n">
        <v>35000</v>
      </c>
      <c r="O677" s="28" t="n">
        <v>4900</v>
      </c>
      <c r="P677" s="28" t="n">
        <v>52150</v>
      </c>
      <c r="Q677" s="28" t="n">
        <v>12594.99</v>
      </c>
      <c r="R677" s="28" t="n">
        <v>39555.01</v>
      </c>
      <c r="S677" s="42" t="n">
        <v>0.241514669223394</v>
      </c>
      <c r="T677" s="3" t="n">
        <v>3.934</v>
      </c>
      <c r="U677" s="3" t="n">
        <v>27</v>
      </c>
      <c r="V677" s="3" t="n">
        <v>154586.63</v>
      </c>
      <c r="W677" s="42" t="n">
        <v>0.059</v>
      </c>
      <c r="X677" s="23" t="n">
        <v>44317</v>
      </c>
      <c r="Y677" s="3">
        <f>IF(I677="","No SIC",IFERROR(VLOOKUP(I677,Ref!$A$2:$B$65,2,FALSE()),"Unclassified"))</f>
        <v/>
      </c>
      <c r="Z677" s="3">
        <f>IF(T677="","",IF(T677&lt;12,"Daily","Weekly"))</f>
        <v/>
      </c>
      <c r="AA677" s="3">
        <f>IF(T677="",0,IF(T677&lt;12,T677*Controls!$B$13,T677*5))</f>
        <v/>
      </c>
      <c r="AB677" s="3">
        <f>IF(E677="",0,NETWORKDAYS(E677,Controls!$B$20,Ref!$K$2:$K$42))</f>
        <v/>
      </c>
      <c r="AC677" s="3">
        <f>IF(OR(AF677=1,AND(AA677&gt;0,AB677&gt;=Controls!$B$23*AA677)),1,0)</f>
        <v/>
      </c>
      <c r="AD677" s="3">
        <f>IF(AND(E677&lt;&gt;"",E677&gt;=Controls!$B$21,E677&lt;=Controls!$B$22),1,0)</f>
        <v/>
      </c>
      <c r="AE677" s="3">
        <f>IF(IFERROR(VLOOKUP(D677,Controls!$A$36:$E$46,2,FALSE()),"No")="Yes",1,0)</f>
        <v/>
      </c>
      <c r="AF677" s="3">
        <f>IF(IFERROR(VLOOKUP(D677,Controls!$A$36:$E$46,3,FALSE()),"No")="Yes",1,0)</f>
        <v/>
      </c>
      <c r="AG677" s="3">
        <f>IF(IFERROR(VLOOKUP(D677,Controls!$A$36:$E$46,4,FALSE()),"No")="Yes",1,0)</f>
        <v/>
      </c>
      <c r="AH677" s="3">
        <f>IF(IFERROR(VLOOKUP(D677,Controls!$A$36:$E$46,5,FALSE()),"No")="Yes",1,0)</f>
        <v/>
      </c>
      <c r="AI677" s="3">
        <f>IF(ISNUMBER(MATCH(D677,Controls!$A$36:$A$46,0)),1,0)</f>
        <v/>
      </c>
      <c r="AJ677" s="28">
        <f>Q677-N677</f>
        <v/>
      </c>
      <c r="AK677" s="3">
        <f>IF(AE677=1,MAX(0,N677-Q677),0)</f>
        <v/>
      </c>
      <c r="AL677" s="3">
        <f>IF(OR(V677="",V677=0),0,N677/V677)</f>
        <v/>
      </c>
      <c r="AM677" s="3">
        <f>IF(OR(V677="",V677=0),0,1)</f>
        <v/>
      </c>
      <c r="AN677" s="3">
        <f>IF(OR(E677="",F677=""),0,NETWORKDAYS(E677,F677,Ref!$K$2:$K$42))</f>
        <v/>
      </c>
      <c r="AO677" s="3">
        <f>IF(L677="Renewal",1,0)</f>
        <v/>
      </c>
      <c r="AP677" s="3">
        <f>AC677*AD677</f>
        <v/>
      </c>
      <c r="AQ677" s="3">
        <f>IF(AND(G677&lt;&gt;"",'Historical Score'!$C$6&lt;&gt;""),IF(G677='Historical Score'!$C$6,1,0),0)</f>
        <v/>
      </c>
      <c r="AR677" s="3">
        <f>IF(AND(L677&lt;&gt;"",'Historical Score'!$C$5&lt;&gt;""),IF(L677='Historical Score'!$C$5,1,0),0)</f>
        <v/>
      </c>
      <c r="AS677" s="3">
        <f>IF(AND(Y677&lt;&gt;"",'Historical Score'!$C$7&lt;&gt;""),IF(Y677='Historical Score'!$C$7,1,0),0)</f>
        <v/>
      </c>
      <c r="AT677" s="3">
        <f>IF(AND(K677&lt;&gt;"",'Historical Score'!$C$8&lt;&gt;""),IF(K677='Historical Score'!$C$8,1,0),0)</f>
        <v/>
      </c>
      <c r="AU677" s="3" t="n"/>
      <c r="AV677" s="3" t="n"/>
      <c r="AW677" s="3" t="n"/>
      <c r="AX677" s="3" t="n"/>
      <c r="AY677" s="3" t="n"/>
      <c r="AZ677" s="3" t="n"/>
      <c r="BA677" s="182">
        <f>IF(AD677=1,(AR677*'Historical Score'!$K$29+1-'Historical Score'!$K$29)*(AT677*'Historical Score'!$L$29+1-'Historical Score'!$L$29)*(AS677*'Historical Score'!$M$29+1-'Historical Score'!$M$29)*(AQ677*'Historical Score'!$N$29+1-'Historical Score'!$N$29),0)</f>
        <v/>
      </c>
      <c r="BB677" s="3" t="n"/>
      <c r="BC677" s="3" t="n"/>
    </row>
    <row r="678" ht="15.75" customHeight="1" s="174">
      <c r="A678" s="3" t="inlineStr">
        <is>
          <t>5674179543</t>
        </is>
      </c>
      <c r="B678" s="3" t="inlineStr">
        <is>
          <t>Lion Chef Africa LLC</t>
        </is>
      </c>
      <c r="C678" s="3" t="inlineStr">
        <is>
          <t>Lion Chef Africa LLC</t>
        </is>
      </c>
      <c r="D678" s="3" t="inlineStr">
        <is>
          <t>Legal</t>
        </is>
      </c>
      <c r="E678" s="23" t="n">
        <v>46085</v>
      </c>
      <c r="F678" s="23" t="n">
        <v>46119</v>
      </c>
      <c r="G678" s="3" t="n">
        <v>3</v>
      </c>
      <c r="H678" s="3" t="inlineStr">
        <is>
          <t>5812</t>
        </is>
      </c>
      <c r="I678" s="3" t="inlineStr">
        <is>
          <t>58</t>
        </is>
      </c>
      <c r="J678" s="3" t="inlineStr">
        <is>
          <t>WA</t>
        </is>
      </c>
      <c r="K678" s="3" t="inlineStr">
        <is>
          <t>TRUSTFI</t>
        </is>
      </c>
      <c r="L678" s="3" t="inlineStr">
        <is>
          <t>New Deal</t>
        </is>
      </c>
      <c r="M678" s="3" t="n">
        <v>1.49</v>
      </c>
      <c r="N678" s="28" t="n">
        <v>15000</v>
      </c>
      <c r="O678" s="28" t="n">
        <v>0</v>
      </c>
      <c r="P678" s="28" t="n">
        <v>22350</v>
      </c>
      <c r="Q678" s="28" t="n">
        <v>5215.77</v>
      </c>
      <c r="R678" s="28" t="n">
        <v>17134.23</v>
      </c>
      <c r="S678" s="42" t="n">
        <v>0.233367785234899</v>
      </c>
      <c r="T678" s="3" t="n">
        <v>2.951</v>
      </c>
      <c r="U678" s="3" t="n">
        <v>3</v>
      </c>
      <c r="V678" s="3" t="n">
        <v>27846.81</v>
      </c>
      <c r="W678" s="42" t="n">
        <v>0.1873</v>
      </c>
      <c r="X678" s="23" t="n">
        <v>45231</v>
      </c>
      <c r="Y678" s="3">
        <f>IF(I678="","No SIC",IFERROR(VLOOKUP(I678,Ref!$A$2:$B$65,2,FALSE()),"Unclassified"))</f>
        <v/>
      </c>
      <c r="Z678" s="3">
        <f>IF(T678="","",IF(T678&lt;12,"Daily","Weekly"))</f>
        <v/>
      </c>
      <c r="AA678" s="3">
        <f>IF(T678="",0,IF(T678&lt;12,T678*Controls!$B$13,T678*5))</f>
        <v/>
      </c>
      <c r="AB678" s="3">
        <f>IF(E678="",0,NETWORKDAYS(E678,Controls!$B$20,Ref!$K$2:$K$42))</f>
        <v/>
      </c>
      <c r="AC678" s="3">
        <f>IF(OR(AF678=1,AND(AA678&gt;0,AB678&gt;=Controls!$B$23*AA678)),1,0)</f>
        <v/>
      </c>
      <c r="AD678" s="3">
        <f>IF(AND(E678&lt;&gt;"",E678&gt;=Controls!$B$21,E678&lt;=Controls!$B$22),1,0)</f>
        <v/>
      </c>
      <c r="AE678" s="3">
        <f>IF(IFERROR(VLOOKUP(D678,Controls!$A$36:$E$46,2,FALSE()),"No")="Yes",1,0)</f>
        <v/>
      </c>
      <c r="AF678" s="3">
        <f>IF(IFERROR(VLOOKUP(D678,Controls!$A$36:$E$46,3,FALSE()),"No")="Yes",1,0)</f>
        <v/>
      </c>
      <c r="AG678" s="3">
        <f>IF(IFERROR(VLOOKUP(D678,Controls!$A$36:$E$46,4,FALSE()),"No")="Yes",1,0)</f>
        <v/>
      </c>
      <c r="AH678" s="3">
        <f>IF(IFERROR(VLOOKUP(D678,Controls!$A$36:$E$46,5,FALSE()),"No")="Yes",1,0)</f>
        <v/>
      </c>
      <c r="AI678" s="3">
        <f>IF(ISNUMBER(MATCH(D678,Controls!$A$36:$A$46,0)),1,0)</f>
        <v/>
      </c>
      <c r="AJ678" s="28">
        <f>Q678-N678</f>
        <v/>
      </c>
      <c r="AK678" s="3">
        <f>IF(AE678=1,MAX(0,N678-Q678),0)</f>
        <v/>
      </c>
      <c r="AL678" s="3">
        <f>IF(OR(V678="",V678=0),0,N678/V678)</f>
        <v/>
      </c>
      <c r="AM678" s="3">
        <f>IF(OR(V678="",V678=0),0,1)</f>
        <v/>
      </c>
      <c r="AN678" s="3">
        <f>IF(OR(E678="",F678=""),0,NETWORKDAYS(E678,F678,Ref!$K$2:$K$42))</f>
        <v/>
      </c>
      <c r="AO678" s="3">
        <f>IF(L678="Renewal",1,0)</f>
        <v/>
      </c>
      <c r="AP678" s="3">
        <f>AC678*AD678</f>
        <v/>
      </c>
      <c r="AQ678" s="3">
        <f>IF(AND(G678&lt;&gt;"",'Historical Score'!$C$6&lt;&gt;""),IF(G678='Historical Score'!$C$6,1,0),0)</f>
        <v/>
      </c>
      <c r="AR678" s="3">
        <f>IF(AND(L678&lt;&gt;"",'Historical Score'!$C$5&lt;&gt;""),IF(L678='Historical Score'!$C$5,1,0),0)</f>
        <v/>
      </c>
      <c r="AS678" s="3">
        <f>IF(AND(Y678&lt;&gt;"",'Historical Score'!$C$7&lt;&gt;""),IF(Y678='Historical Score'!$C$7,1,0),0)</f>
        <v/>
      </c>
      <c r="AT678" s="3">
        <f>IF(AND(K678&lt;&gt;"",'Historical Score'!$C$8&lt;&gt;""),IF(K678='Historical Score'!$C$8,1,0),0)</f>
        <v/>
      </c>
      <c r="AU678" s="3" t="n"/>
      <c r="AV678" s="3" t="n"/>
      <c r="AW678" s="3" t="n"/>
      <c r="AX678" s="3" t="n"/>
      <c r="AY678" s="3" t="n"/>
      <c r="AZ678" s="3" t="n"/>
      <c r="BA678" s="182">
        <f>IF(AD678=1,(AR678*'Historical Score'!$K$29+1-'Historical Score'!$K$29)*(AT678*'Historical Score'!$L$29+1-'Historical Score'!$L$29)*(AS678*'Historical Score'!$M$29+1-'Historical Score'!$M$29)*(AQ678*'Historical Score'!$N$29+1-'Historical Score'!$N$29),0)</f>
        <v/>
      </c>
      <c r="BB678" s="3" t="n"/>
      <c r="BC678" s="3" t="n"/>
    </row>
    <row r="679" ht="15.75" customHeight="1" s="174">
      <c r="A679" s="3" t="inlineStr">
        <is>
          <t>5674179580</t>
        </is>
      </c>
      <c r="B679" s="3" t="inlineStr">
        <is>
          <t>WIN ICE LLC</t>
        </is>
      </c>
      <c r="C679" s="3" t="inlineStr">
        <is>
          <t>WIN ICE LLC</t>
        </is>
      </c>
      <c r="D679" s="3" t="inlineStr">
        <is>
          <t>Closed</t>
        </is>
      </c>
      <c r="E679" s="23" t="n">
        <v>46086</v>
      </c>
      <c r="F679" s="23" t="n">
        <v>46176</v>
      </c>
      <c r="G679" s="3" t="n">
        <v>3</v>
      </c>
      <c r="H679" s="3" t="inlineStr">
        <is>
          <t>5399</t>
        </is>
      </c>
      <c r="I679" s="3" t="inlineStr">
        <is>
          <t>53</t>
        </is>
      </c>
      <c r="J679" s="3" t="inlineStr">
        <is>
          <t>TX</t>
        </is>
      </c>
      <c r="K679" s="3" t="inlineStr">
        <is>
          <t>United Secured Capital 8</t>
        </is>
      </c>
      <c r="L679" s="3" t="inlineStr">
        <is>
          <t>New Deal</t>
        </is>
      </c>
      <c r="M679" s="3" t="n">
        <v>1.49</v>
      </c>
      <c r="N679" s="28" t="n">
        <v>10000</v>
      </c>
      <c r="O679" s="28" t="n">
        <v>1400</v>
      </c>
      <c r="P679" s="28" t="n">
        <v>14900</v>
      </c>
      <c r="Q679" s="28" t="n">
        <v>14900</v>
      </c>
      <c r="R679" s="28" t="n">
        <v>0</v>
      </c>
      <c r="S679" s="42" t="n">
        <v>1</v>
      </c>
      <c r="T679" s="3" t="n">
        <v>2.623</v>
      </c>
      <c r="U679" s="3" t="n">
        <v>0</v>
      </c>
      <c r="V679" s="3" t="n">
        <v>68415.85000000001</v>
      </c>
      <c r="W679" s="42" t="n">
        <v>0.0428</v>
      </c>
      <c r="X679" s="23" t="n">
        <v>39882</v>
      </c>
      <c r="Y679" s="3">
        <f>IF(I679="","No SIC",IFERROR(VLOOKUP(I679,Ref!$A$2:$B$65,2,FALSE()),"Unclassified"))</f>
        <v/>
      </c>
      <c r="Z679" s="3">
        <f>IF(T679="","",IF(T679&lt;12,"Daily","Weekly"))</f>
        <v/>
      </c>
      <c r="AA679" s="3">
        <f>IF(T679="",0,IF(T679&lt;12,T679*Controls!$B$13,T679*5))</f>
        <v/>
      </c>
      <c r="AB679" s="3">
        <f>IF(E679="",0,NETWORKDAYS(E679,Controls!$B$20,Ref!$K$2:$K$42))</f>
        <v/>
      </c>
      <c r="AC679" s="3">
        <f>IF(OR(AF679=1,AND(AA679&gt;0,AB679&gt;=Controls!$B$23*AA679)),1,0)</f>
        <v/>
      </c>
      <c r="AD679" s="3">
        <f>IF(AND(E679&lt;&gt;"",E679&gt;=Controls!$B$21,E679&lt;=Controls!$B$22),1,0)</f>
        <v/>
      </c>
      <c r="AE679" s="3">
        <f>IF(IFERROR(VLOOKUP(D679,Controls!$A$36:$E$46,2,FALSE()),"No")="Yes",1,0)</f>
        <v/>
      </c>
      <c r="AF679" s="3">
        <f>IF(IFERROR(VLOOKUP(D679,Controls!$A$36:$E$46,3,FALSE()),"No")="Yes",1,0)</f>
        <v/>
      </c>
      <c r="AG679" s="3">
        <f>IF(IFERROR(VLOOKUP(D679,Controls!$A$36:$E$46,4,FALSE()),"No")="Yes",1,0)</f>
        <v/>
      </c>
      <c r="AH679" s="3">
        <f>IF(IFERROR(VLOOKUP(D679,Controls!$A$36:$E$46,5,FALSE()),"No")="Yes",1,0)</f>
        <v/>
      </c>
      <c r="AI679" s="3">
        <f>IF(ISNUMBER(MATCH(D679,Controls!$A$36:$A$46,0)),1,0)</f>
        <v/>
      </c>
      <c r="AJ679" s="28">
        <f>Q679-N679</f>
        <v/>
      </c>
      <c r="AK679" s="3">
        <f>IF(AE679=1,MAX(0,N679-Q679),0)</f>
        <v/>
      </c>
      <c r="AL679" s="3">
        <f>IF(OR(V679="",V679=0),0,N679/V679)</f>
        <v/>
      </c>
      <c r="AM679" s="3">
        <f>IF(OR(V679="",V679=0),0,1)</f>
        <v/>
      </c>
      <c r="AN679" s="3">
        <f>IF(OR(E679="",F679=""),0,NETWORKDAYS(E679,F679,Ref!$K$2:$K$42))</f>
        <v/>
      </c>
      <c r="AO679" s="3">
        <f>IF(L679="Renewal",1,0)</f>
        <v/>
      </c>
      <c r="AP679" s="3">
        <f>AC679*AD679</f>
        <v/>
      </c>
      <c r="AQ679" s="3">
        <f>IF(AND(G679&lt;&gt;"",'Historical Score'!$C$6&lt;&gt;""),IF(G679='Historical Score'!$C$6,1,0),0)</f>
        <v/>
      </c>
      <c r="AR679" s="3">
        <f>IF(AND(L679&lt;&gt;"",'Historical Score'!$C$5&lt;&gt;""),IF(L679='Historical Score'!$C$5,1,0),0)</f>
        <v/>
      </c>
      <c r="AS679" s="3">
        <f>IF(AND(Y679&lt;&gt;"",'Historical Score'!$C$7&lt;&gt;""),IF(Y679='Historical Score'!$C$7,1,0),0)</f>
        <v/>
      </c>
      <c r="AT679" s="3">
        <f>IF(AND(K679&lt;&gt;"",'Historical Score'!$C$8&lt;&gt;""),IF(K679='Historical Score'!$C$8,1,0),0)</f>
        <v/>
      </c>
      <c r="AU679" s="3" t="n"/>
      <c r="AV679" s="3" t="n"/>
      <c r="AW679" s="3" t="n"/>
      <c r="AX679" s="3" t="n"/>
      <c r="AY679" s="3" t="n"/>
      <c r="AZ679" s="3" t="n"/>
      <c r="BA679" s="182">
        <f>IF(AD679=1,(AR679*'Historical Score'!$K$29+1-'Historical Score'!$K$29)*(AT679*'Historical Score'!$L$29+1-'Historical Score'!$L$29)*(AS679*'Historical Score'!$M$29+1-'Historical Score'!$M$29)*(AQ679*'Historical Score'!$N$29+1-'Historical Score'!$N$29),0)</f>
        <v/>
      </c>
      <c r="BB679" s="3" t="n"/>
      <c r="BC679" s="3" t="n"/>
    </row>
    <row r="680" ht="15.75" customHeight="1" s="174">
      <c r="A680" s="3" t="inlineStr">
        <is>
          <t>5674179592</t>
        </is>
      </c>
      <c r="B680" s="3" t="inlineStr">
        <is>
          <t>Line-x Of Santa Maria</t>
        </is>
      </c>
      <c r="C680" s="3" t="inlineStr">
        <is>
          <t>LINE-X OF SANTA MARIA</t>
        </is>
      </c>
      <c r="D680" s="3" t="inlineStr">
        <is>
          <t>Closed</t>
        </is>
      </c>
      <c r="E680" s="23" t="n">
        <v>46086</v>
      </c>
      <c r="F680" s="23" t="n">
        <v>46195</v>
      </c>
      <c r="G680" s="3" t="n">
        <v>2</v>
      </c>
      <c r="H680" s="3" t="inlineStr">
        <is>
          <t>5399</t>
        </is>
      </c>
      <c r="I680" s="3" t="inlineStr">
        <is>
          <t>53</t>
        </is>
      </c>
      <c r="J680" s="3" t="inlineStr">
        <is>
          <t>CA</t>
        </is>
      </c>
      <c r="K680" s="3" t="inlineStr">
        <is>
          <t>Ballicci</t>
        </is>
      </c>
      <c r="L680" s="3" t="inlineStr">
        <is>
          <t>New Deal</t>
        </is>
      </c>
      <c r="M680" s="3" t="n">
        <v>1.49</v>
      </c>
      <c r="N680" s="28" t="n">
        <v>15000</v>
      </c>
      <c r="O680" s="28" t="n">
        <v>2100</v>
      </c>
      <c r="P680" s="28" t="n">
        <v>22350</v>
      </c>
      <c r="Q680" s="28" t="n">
        <v>22350</v>
      </c>
      <c r="R680" s="28" t="n">
        <v>0</v>
      </c>
      <c r="S680" s="42" t="n">
        <v>1</v>
      </c>
      <c r="T680" s="3" t="n">
        <v>2.951</v>
      </c>
      <c r="U680" s="3" t="n">
        <v>14</v>
      </c>
      <c r="V680" s="3" t="n">
        <v>33197.73</v>
      </c>
      <c r="W680" s="42" t="n">
        <v>0.1571</v>
      </c>
      <c r="X680" s="23" t="n">
        <v>36911</v>
      </c>
      <c r="Y680" s="3">
        <f>IF(I680="","No SIC",IFERROR(VLOOKUP(I680,Ref!$A$2:$B$65,2,FALSE()),"Unclassified"))</f>
        <v/>
      </c>
      <c r="Z680" s="3">
        <f>IF(T680="","",IF(T680&lt;12,"Daily","Weekly"))</f>
        <v/>
      </c>
      <c r="AA680" s="3">
        <f>IF(T680="",0,IF(T680&lt;12,T680*Controls!$B$13,T680*5))</f>
        <v/>
      </c>
      <c r="AB680" s="3">
        <f>IF(E680="",0,NETWORKDAYS(E680,Controls!$B$20,Ref!$K$2:$K$42))</f>
        <v/>
      </c>
      <c r="AC680" s="3">
        <f>IF(OR(AF680=1,AND(AA680&gt;0,AB680&gt;=Controls!$B$23*AA680)),1,0)</f>
        <v/>
      </c>
      <c r="AD680" s="3">
        <f>IF(AND(E680&lt;&gt;"",E680&gt;=Controls!$B$21,E680&lt;=Controls!$B$22),1,0)</f>
        <v/>
      </c>
      <c r="AE680" s="3">
        <f>IF(IFERROR(VLOOKUP(D680,Controls!$A$36:$E$46,2,FALSE()),"No")="Yes",1,0)</f>
        <v/>
      </c>
      <c r="AF680" s="3">
        <f>IF(IFERROR(VLOOKUP(D680,Controls!$A$36:$E$46,3,FALSE()),"No")="Yes",1,0)</f>
        <v/>
      </c>
      <c r="AG680" s="3">
        <f>IF(IFERROR(VLOOKUP(D680,Controls!$A$36:$E$46,4,FALSE()),"No")="Yes",1,0)</f>
        <v/>
      </c>
      <c r="AH680" s="3">
        <f>IF(IFERROR(VLOOKUP(D680,Controls!$A$36:$E$46,5,FALSE()),"No")="Yes",1,0)</f>
        <v/>
      </c>
      <c r="AI680" s="3">
        <f>IF(ISNUMBER(MATCH(D680,Controls!$A$36:$A$46,0)),1,0)</f>
        <v/>
      </c>
      <c r="AJ680" s="28">
        <f>Q680-N680</f>
        <v/>
      </c>
      <c r="AK680" s="3">
        <f>IF(AE680=1,MAX(0,N680-Q680),0)</f>
        <v/>
      </c>
      <c r="AL680" s="3">
        <f>IF(OR(V680="",V680=0),0,N680/V680)</f>
        <v/>
      </c>
      <c r="AM680" s="3">
        <f>IF(OR(V680="",V680=0),0,1)</f>
        <v/>
      </c>
      <c r="AN680" s="3">
        <f>IF(OR(E680="",F680=""),0,NETWORKDAYS(E680,F680,Ref!$K$2:$K$42))</f>
        <v/>
      </c>
      <c r="AO680" s="3">
        <f>IF(L680="Renewal",1,0)</f>
        <v/>
      </c>
      <c r="AP680" s="3">
        <f>AC680*AD680</f>
        <v/>
      </c>
      <c r="AQ680" s="3">
        <f>IF(AND(G680&lt;&gt;"",'Historical Score'!$C$6&lt;&gt;""),IF(G680='Historical Score'!$C$6,1,0),0)</f>
        <v/>
      </c>
      <c r="AR680" s="3">
        <f>IF(AND(L680&lt;&gt;"",'Historical Score'!$C$5&lt;&gt;""),IF(L680='Historical Score'!$C$5,1,0),0)</f>
        <v/>
      </c>
      <c r="AS680" s="3">
        <f>IF(AND(Y680&lt;&gt;"",'Historical Score'!$C$7&lt;&gt;""),IF(Y680='Historical Score'!$C$7,1,0),0)</f>
        <v/>
      </c>
      <c r="AT680" s="3">
        <f>IF(AND(K680&lt;&gt;"",'Historical Score'!$C$8&lt;&gt;""),IF(K680='Historical Score'!$C$8,1,0),0)</f>
        <v/>
      </c>
      <c r="AU680" s="3" t="n"/>
      <c r="AV680" s="3" t="n"/>
      <c r="AW680" s="3" t="n"/>
      <c r="AX680" s="3" t="n"/>
      <c r="AY680" s="3" t="n"/>
      <c r="AZ680" s="3" t="n"/>
      <c r="BA680" s="182">
        <f>IF(AD680=1,(AR680*'Historical Score'!$K$29+1-'Historical Score'!$K$29)*(AT680*'Historical Score'!$L$29+1-'Historical Score'!$L$29)*(AS680*'Historical Score'!$M$29+1-'Historical Score'!$M$29)*(AQ680*'Historical Score'!$N$29+1-'Historical Score'!$N$29),0)</f>
        <v/>
      </c>
      <c r="BB680" s="3" t="n"/>
      <c r="BC680" s="3" t="n"/>
    </row>
    <row r="681" ht="15.75" customHeight="1" s="174">
      <c r="A681" s="3" t="inlineStr">
        <is>
          <t>5674179602</t>
        </is>
      </c>
      <c r="B681" s="3" t="inlineStr">
        <is>
          <t>Candy Apple Agency</t>
        </is>
      </c>
      <c r="C681" s="3" t="inlineStr">
        <is>
          <t>Candy ent LLC</t>
        </is>
      </c>
      <c r="D681" s="3" t="inlineStr">
        <is>
          <t>Legal</t>
        </is>
      </c>
      <c r="E681" s="23" t="n">
        <v>46086</v>
      </c>
      <c r="F681" s="23" t="n">
        <v>46122</v>
      </c>
      <c r="G681" s="3" t="n">
        <v>3</v>
      </c>
      <c r="H681" s="3" t="inlineStr">
        <is>
          <t>7922</t>
        </is>
      </c>
      <c r="I681" s="3" t="inlineStr">
        <is>
          <t>79</t>
        </is>
      </c>
      <c r="J681" s="3" t="inlineStr">
        <is>
          <t>FL</t>
        </is>
      </c>
      <c r="K681" s="3" t="inlineStr">
        <is>
          <t>Merchant Advance Now</t>
        </is>
      </c>
      <c r="L681" s="3" t="inlineStr">
        <is>
          <t>New Deal</t>
        </is>
      </c>
      <c r="M681" s="3" t="n">
        <v>1.49</v>
      </c>
      <c r="N681" s="28" t="n">
        <v>10000</v>
      </c>
      <c r="O681" s="28" t="n">
        <v>0</v>
      </c>
      <c r="P681" s="28" t="n">
        <v>14900</v>
      </c>
      <c r="Q681" s="28" t="n">
        <v>1725</v>
      </c>
      <c r="R681" s="28" t="n">
        <v>13175</v>
      </c>
      <c r="S681" s="42" t="n">
        <v>0.115771812080537</v>
      </c>
      <c r="T681" s="3" t="n">
        <v>26</v>
      </c>
      <c r="U681" s="3" t="n">
        <v>2</v>
      </c>
      <c r="V681" s="3" t="n">
        <v>91002.14999999999</v>
      </c>
      <c r="W681" s="42" t="n">
        <v>0.0253</v>
      </c>
      <c r="X681" s="23" t="n"/>
      <c r="Y681" s="3">
        <f>IF(I681="","No SIC",IFERROR(VLOOKUP(I681,Ref!$A$2:$B$65,2,FALSE()),"Unclassified"))</f>
        <v/>
      </c>
      <c r="Z681" s="3">
        <f>IF(T681="","",IF(T681&lt;12,"Daily","Weekly"))</f>
        <v/>
      </c>
      <c r="AA681" s="3">
        <f>IF(T681="",0,IF(T681&lt;12,T681*Controls!$B$13,T681*5))</f>
        <v/>
      </c>
      <c r="AB681" s="3">
        <f>IF(E681="",0,NETWORKDAYS(E681,Controls!$B$20,Ref!$K$2:$K$42))</f>
        <v/>
      </c>
      <c r="AC681" s="3">
        <f>IF(OR(AF681=1,AND(AA681&gt;0,AB681&gt;=Controls!$B$23*AA681)),1,0)</f>
        <v/>
      </c>
      <c r="AD681" s="3">
        <f>IF(AND(E681&lt;&gt;"",E681&gt;=Controls!$B$21,E681&lt;=Controls!$B$22),1,0)</f>
        <v/>
      </c>
      <c r="AE681" s="3">
        <f>IF(IFERROR(VLOOKUP(D681,Controls!$A$36:$E$46,2,FALSE()),"No")="Yes",1,0)</f>
        <v/>
      </c>
      <c r="AF681" s="3">
        <f>IF(IFERROR(VLOOKUP(D681,Controls!$A$36:$E$46,3,FALSE()),"No")="Yes",1,0)</f>
        <v/>
      </c>
      <c r="AG681" s="3">
        <f>IF(IFERROR(VLOOKUP(D681,Controls!$A$36:$E$46,4,FALSE()),"No")="Yes",1,0)</f>
        <v/>
      </c>
      <c r="AH681" s="3">
        <f>IF(IFERROR(VLOOKUP(D681,Controls!$A$36:$E$46,5,FALSE()),"No")="Yes",1,0)</f>
        <v/>
      </c>
      <c r="AI681" s="3">
        <f>IF(ISNUMBER(MATCH(D681,Controls!$A$36:$A$46,0)),1,0)</f>
        <v/>
      </c>
      <c r="AJ681" s="28">
        <f>Q681-N681</f>
        <v/>
      </c>
      <c r="AK681" s="3">
        <f>IF(AE681=1,MAX(0,N681-Q681),0)</f>
        <v/>
      </c>
      <c r="AL681" s="3">
        <f>IF(OR(V681="",V681=0),0,N681/V681)</f>
        <v/>
      </c>
      <c r="AM681" s="3">
        <f>IF(OR(V681="",V681=0),0,1)</f>
        <v/>
      </c>
      <c r="AN681" s="3">
        <f>IF(OR(E681="",F681=""),0,NETWORKDAYS(E681,F681,Ref!$K$2:$K$42))</f>
        <v/>
      </c>
      <c r="AO681" s="3">
        <f>IF(L681="Renewal",1,0)</f>
        <v/>
      </c>
      <c r="AP681" s="3">
        <f>AC681*AD681</f>
        <v/>
      </c>
      <c r="AQ681" s="3">
        <f>IF(AND(G681&lt;&gt;"",'Historical Score'!$C$6&lt;&gt;""),IF(G681='Historical Score'!$C$6,1,0),0)</f>
        <v/>
      </c>
      <c r="AR681" s="3">
        <f>IF(AND(L681&lt;&gt;"",'Historical Score'!$C$5&lt;&gt;""),IF(L681='Historical Score'!$C$5,1,0),0)</f>
        <v/>
      </c>
      <c r="AS681" s="3">
        <f>IF(AND(Y681&lt;&gt;"",'Historical Score'!$C$7&lt;&gt;""),IF(Y681='Historical Score'!$C$7,1,0),0)</f>
        <v/>
      </c>
      <c r="AT681" s="3">
        <f>IF(AND(K681&lt;&gt;"",'Historical Score'!$C$8&lt;&gt;""),IF(K681='Historical Score'!$C$8,1,0),0)</f>
        <v/>
      </c>
      <c r="AU681" s="3" t="n"/>
      <c r="AV681" s="3" t="n"/>
      <c r="AW681" s="3" t="n"/>
      <c r="AX681" s="3" t="n"/>
      <c r="AY681" s="3" t="n"/>
      <c r="AZ681" s="3" t="n"/>
      <c r="BA681" s="182">
        <f>IF(AD681=1,(AR681*'Historical Score'!$K$29+1-'Historical Score'!$K$29)*(AT681*'Historical Score'!$L$29+1-'Historical Score'!$L$29)*(AS681*'Historical Score'!$M$29+1-'Historical Score'!$M$29)*(AQ681*'Historical Score'!$N$29+1-'Historical Score'!$N$29),0)</f>
        <v/>
      </c>
      <c r="BB681" s="3" t="n"/>
      <c r="BC681" s="3" t="n"/>
    </row>
    <row r="682" ht="15.75" customHeight="1" s="174">
      <c r="A682" s="3" t="inlineStr">
        <is>
          <t>5674179613</t>
        </is>
      </c>
      <c r="B682" s="3" t="inlineStr">
        <is>
          <t>RON KING LLC</t>
        </is>
      </c>
      <c r="C682" s="3" t="inlineStr">
        <is>
          <t>RON KING LLC</t>
        </is>
      </c>
      <c r="D682" s="3" t="inlineStr">
        <is>
          <t>Open</t>
        </is>
      </c>
      <c r="E682" s="23" t="n">
        <v>46086</v>
      </c>
      <c r="F682" s="23" t="n">
        <v>46253</v>
      </c>
      <c r="G682" s="3" t="n">
        <v>3</v>
      </c>
      <c r="H682" s="3" t="inlineStr">
        <is>
          <t>1521</t>
        </is>
      </c>
      <c r="I682" s="3" t="inlineStr">
        <is>
          <t>15</t>
        </is>
      </c>
      <c r="J682" s="3" t="inlineStr">
        <is>
          <t>TX</t>
        </is>
      </c>
      <c r="K682" s="3" t="inlineStr">
        <is>
          <t>Westwood</t>
        </is>
      </c>
      <c r="L682" s="3" t="inlineStr">
        <is>
          <t>Renewal</t>
        </is>
      </c>
      <c r="M682" s="3" t="n">
        <v>1.49</v>
      </c>
      <c r="N682" s="28" t="n">
        <v>55000</v>
      </c>
      <c r="O682" s="28" t="n">
        <v>7700</v>
      </c>
      <c r="P682" s="28" t="n">
        <v>81950</v>
      </c>
      <c r="Q682" s="28" t="n">
        <v>63934.65</v>
      </c>
      <c r="R682" s="28" t="n">
        <v>18015.35</v>
      </c>
      <c r="S682" s="42" t="n">
        <v>0.780166564978646</v>
      </c>
      <c r="T682" s="3" t="n">
        <v>4.918</v>
      </c>
      <c r="U682" s="3" t="n">
        <v>0</v>
      </c>
      <c r="V682" s="3" t="n">
        <v>54257.4</v>
      </c>
      <c r="W682" s="42" t="n">
        <v>0.2115</v>
      </c>
      <c r="X682" s="23" t="n">
        <v>43910</v>
      </c>
      <c r="Y682" s="3">
        <f>IF(I682="","No SIC",IFERROR(VLOOKUP(I682,Ref!$A$2:$B$65,2,FALSE()),"Unclassified"))</f>
        <v/>
      </c>
      <c r="Z682" s="3">
        <f>IF(T682="","",IF(T682&lt;12,"Daily","Weekly"))</f>
        <v/>
      </c>
      <c r="AA682" s="3">
        <f>IF(T682="",0,IF(T682&lt;12,T682*Controls!$B$13,T682*5))</f>
        <v/>
      </c>
      <c r="AB682" s="3">
        <f>IF(E682="",0,NETWORKDAYS(E682,Controls!$B$20,Ref!$K$2:$K$42))</f>
        <v/>
      </c>
      <c r="AC682" s="3">
        <f>IF(OR(AF682=1,AND(AA682&gt;0,AB682&gt;=Controls!$B$23*AA682)),1,0)</f>
        <v/>
      </c>
      <c r="AD682" s="3">
        <f>IF(AND(E682&lt;&gt;"",E682&gt;=Controls!$B$21,E682&lt;=Controls!$B$22),1,0)</f>
        <v/>
      </c>
      <c r="AE682" s="3">
        <f>IF(IFERROR(VLOOKUP(D682,Controls!$A$36:$E$46,2,FALSE()),"No")="Yes",1,0)</f>
        <v/>
      </c>
      <c r="AF682" s="3">
        <f>IF(IFERROR(VLOOKUP(D682,Controls!$A$36:$E$46,3,FALSE()),"No")="Yes",1,0)</f>
        <v/>
      </c>
      <c r="AG682" s="3">
        <f>IF(IFERROR(VLOOKUP(D682,Controls!$A$36:$E$46,4,FALSE()),"No")="Yes",1,0)</f>
        <v/>
      </c>
      <c r="AH682" s="3">
        <f>IF(IFERROR(VLOOKUP(D682,Controls!$A$36:$E$46,5,FALSE()),"No")="Yes",1,0)</f>
        <v/>
      </c>
      <c r="AI682" s="3">
        <f>IF(ISNUMBER(MATCH(D682,Controls!$A$36:$A$46,0)),1,0)</f>
        <v/>
      </c>
      <c r="AJ682" s="28">
        <f>Q682-N682</f>
        <v/>
      </c>
      <c r="AK682" s="3">
        <f>IF(AE682=1,MAX(0,N682-Q682),0)</f>
        <v/>
      </c>
      <c r="AL682" s="3">
        <f>IF(OR(V682="",V682=0),0,N682/V682)</f>
        <v/>
      </c>
      <c r="AM682" s="3">
        <f>IF(OR(V682="",V682=0),0,1)</f>
        <v/>
      </c>
      <c r="AN682" s="3">
        <f>IF(OR(E682="",F682=""),0,NETWORKDAYS(E682,F682,Ref!$K$2:$K$42))</f>
        <v/>
      </c>
      <c r="AO682" s="3">
        <f>IF(L682="Renewal",1,0)</f>
        <v/>
      </c>
      <c r="AP682" s="3">
        <f>AC682*AD682</f>
        <v/>
      </c>
      <c r="AQ682" s="3">
        <f>IF(AND(G682&lt;&gt;"",'Historical Score'!$C$6&lt;&gt;""),IF(G682='Historical Score'!$C$6,1,0),0)</f>
        <v/>
      </c>
      <c r="AR682" s="3">
        <f>IF(AND(L682&lt;&gt;"",'Historical Score'!$C$5&lt;&gt;""),IF(L682='Historical Score'!$C$5,1,0),0)</f>
        <v/>
      </c>
      <c r="AS682" s="3">
        <f>IF(AND(Y682&lt;&gt;"",'Historical Score'!$C$7&lt;&gt;""),IF(Y682='Historical Score'!$C$7,1,0),0)</f>
        <v/>
      </c>
      <c r="AT682" s="3">
        <f>IF(AND(K682&lt;&gt;"",'Historical Score'!$C$8&lt;&gt;""),IF(K682='Historical Score'!$C$8,1,0),0)</f>
        <v/>
      </c>
      <c r="AU682" s="3" t="n"/>
      <c r="AV682" s="3" t="n"/>
      <c r="AW682" s="3" t="n"/>
      <c r="AX682" s="3" t="n"/>
      <c r="AY682" s="3" t="n"/>
      <c r="AZ682" s="3" t="n"/>
      <c r="BA682" s="182">
        <f>IF(AD682=1,(AR682*'Historical Score'!$K$29+1-'Historical Score'!$K$29)*(AT682*'Historical Score'!$L$29+1-'Historical Score'!$L$29)*(AS682*'Historical Score'!$M$29+1-'Historical Score'!$M$29)*(AQ682*'Historical Score'!$N$29+1-'Historical Score'!$N$29),0)</f>
        <v/>
      </c>
      <c r="BB682" s="3" t="n"/>
      <c r="BC682" s="3" t="n"/>
    </row>
    <row r="683" ht="15.75" customHeight="1" s="174">
      <c r="A683" s="3" t="inlineStr">
        <is>
          <t>5674179674</t>
        </is>
      </c>
      <c r="B683" s="3" t="inlineStr">
        <is>
          <t>Daurden Arts LLC</t>
        </is>
      </c>
      <c r="C683" s="3" t="inlineStr">
        <is>
          <t>Daurden Arts LLC</t>
        </is>
      </c>
      <c r="D683" s="3" t="inlineStr">
        <is>
          <t>Closed</t>
        </is>
      </c>
      <c r="E683" s="23" t="n">
        <v>46087</v>
      </c>
      <c r="F683" s="23" t="n">
        <v>46213</v>
      </c>
      <c r="G683" s="3" t="n">
        <v>2</v>
      </c>
      <c r="H683" s="3" t="inlineStr">
        <is>
          <t>7911</t>
        </is>
      </c>
      <c r="I683" s="3" t="inlineStr">
        <is>
          <t>79</t>
        </is>
      </c>
      <c r="J683" s="3" t="inlineStr">
        <is>
          <t>CA</t>
        </is>
      </c>
      <c r="K683" s="3" t="inlineStr">
        <is>
          <t>Fundwell</t>
        </is>
      </c>
      <c r="L683" s="3" t="inlineStr">
        <is>
          <t>Renewal</t>
        </is>
      </c>
      <c r="M683" s="3" t="n">
        <v>1.46</v>
      </c>
      <c r="N683" s="28" t="n">
        <v>7500</v>
      </c>
      <c r="O683" s="28" t="n">
        <v>1125</v>
      </c>
      <c r="P683" s="28" t="n">
        <v>10950</v>
      </c>
      <c r="Q683" s="28" t="n">
        <v>10950</v>
      </c>
      <c r="R683" s="28" t="n">
        <v>0</v>
      </c>
      <c r="S683" s="42" t="n">
        <v>1</v>
      </c>
      <c r="T683" s="3" t="n">
        <v>2.951</v>
      </c>
      <c r="U683" s="3" t="n">
        <v>0</v>
      </c>
      <c r="V683" s="3" t="n">
        <v>18156.75</v>
      </c>
      <c r="W683" s="42" t="n">
        <v>0.2517</v>
      </c>
      <c r="X683" s="23" t="n">
        <v>40980</v>
      </c>
      <c r="Y683" s="3">
        <f>IF(I683="","No SIC",IFERROR(VLOOKUP(I683,Ref!$A$2:$B$65,2,FALSE()),"Unclassified"))</f>
        <v/>
      </c>
      <c r="Z683" s="3">
        <f>IF(T683="","",IF(T683&lt;12,"Daily","Weekly"))</f>
        <v/>
      </c>
      <c r="AA683" s="3">
        <f>IF(T683="",0,IF(T683&lt;12,T683*Controls!$B$13,T683*5))</f>
        <v/>
      </c>
      <c r="AB683" s="3">
        <f>IF(E683="",0,NETWORKDAYS(E683,Controls!$B$20,Ref!$K$2:$K$42))</f>
        <v/>
      </c>
      <c r="AC683" s="3">
        <f>IF(OR(AF683=1,AND(AA683&gt;0,AB683&gt;=Controls!$B$23*AA683)),1,0)</f>
        <v/>
      </c>
      <c r="AD683" s="3">
        <f>IF(AND(E683&lt;&gt;"",E683&gt;=Controls!$B$21,E683&lt;=Controls!$B$22),1,0)</f>
        <v/>
      </c>
      <c r="AE683" s="3">
        <f>IF(IFERROR(VLOOKUP(D683,Controls!$A$36:$E$46,2,FALSE()),"No")="Yes",1,0)</f>
        <v/>
      </c>
      <c r="AF683" s="3">
        <f>IF(IFERROR(VLOOKUP(D683,Controls!$A$36:$E$46,3,FALSE()),"No")="Yes",1,0)</f>
        <v/>
      </c>
      <c r="AG683" s="3">
        <f>IF(IFERROR(VLOOKUP(D683,Controls!$A$36:$E$46,4,FALSE()),"No")="Yes",1,0)</f>
        <v/>
      </c>
      <c r="AH683" s="3">
        <f>IF(IFERROR(VLOOKUP(D683,Controls!$A$36:$E$46,5,FALSE()),"No")="Yes",1,0)</f>
        <v/>
      </c>
      <c r="AI683" s="3">
        <f>IF(ISNUMBER(MATCH(D683,Controls!$A$36:$A$46,0)),1,0)</f>
        <v/>
      </c>
      <c r="AJ683" s="28">
        <f>Q683-N683</f>
        <v/>
      </c>
      <c r="AK683" s="3">
        <f>IF(AE683=1,MAX(0,N683-Q683),0)</f>
        <v/>
      </c>
      <c r="AL683" s="3">
        <f>IF(OR(V683="",V683=0),0,N683/V683)</f>
        <v/>
      </c>
      <c r="AM683" s="3">
        <f>IF(OR(V683="",V683=0),0,1)</f>
        <v/>
      </c>
      <c r="AN683" s="3">
        <f>IF(OR(E683="",F683=""),0,NETWORKDAYS(E683,F683,Ref!$K$2:$K$42))</f>
        <v/>
      </c>
      <c r="AO683" s="3">
        <f>IF(L683="Renewal",1,0)</f>
        <v/>
      </c>
      <c r="AP683" s="3">
        <f>AC683*AD683</f>
        <v/>
      </c>
      <c r="AQ683" s="3">
        <f>IF(AND(G683&lt;&gt;"",'Historical Score'!$C$6&lt;&gt;""),IF(G683='Historical Score'!$C$6,1,0),0)</f>
        <v/>
      </c>
      <c r="AR683" s="3">
        <f>IF(AND(L683&lt;&gt;"",'Historical Score'!$C$5&lt;&gt;""),IF(L683='Historical Score'!$C$5,1,0),0)</f>
        <v/>
      </c>
      <c r="AS683" s="3">
        <f>IF(AND(Y683&lt;&gt;"",'Historical Score'!$C$7&lt;&gt;""),IF(Y683='Historical Score'!$C$7,1,0),0)</f>
        <v/>
      </c>
      <c r="AT683" s="3">
        <f>IF(AND(K683&lt;&gt;"",'Historical Score'!$C$8&lt;&gt;""),IF(K683='Historical Score'!$C$8,1,0),0)</f>
        <v/>
      </c>
      <c r="AU683" s="3" t="n"/>
      <c r="AV683" s="3" t="n"/>
      <c r="AW683" s="3" t="n"/>
      <c r="AX683" s="3" t="n"/>
      <c r="AY683" s="3" t="n"/>
      <c r="AZ683" s="3" t="n"/>
      <c r="BA683" s="182">
        <f>IF(AD683=1,(AR683*'Historical Score'!$K$29+1-'Historical Score'!$K$29)*(AT683*'Historical Score'!$L$29+1-'Historical Score'!$L$29)*(AS683*'Historical Score'!$M$29+1-'Historical Score'!$M$29)*(AQ683*'Historical Score'!$N$29+1-'Historical Score'!$N$29),0)</f>
        <v/>
      </c>
      <c r="BB683" s="3" t="n"/>
      <c r="BC683" s="3" t="n"/>
    </row>
    <row r="684" ht="15.75" customHeight="1" s="174">
      <c r="A684" s="3" t="inlineStr">
        <is>
          <t>5674179702</t>
        </is>
      </c>
      <c r="B684" s="3" t="inlineStr">
        <is>
          <t>Creative Learning Child Development Minis</t>
        </is>
      </c>
      <c r="C684" s="3" t="inlineStr">
        <is>
          <t>Creative Learning Child Development Minis</t>
        </is>
      </c>
      <c r="D684" s="3" t="inlineStr">
        <is>
          <t>Open</t>
        </is>
      </c>
      <c r="E684" s="23" t="n">
        <v>46087</v>
      </c>
      <c r="F684" s="23" t="n">
        <v>46248</v>
      </c>
      <c r="G684" s="3" t="n">
        <v>3</v>
      </c>
      <c r="H684" s="3" t="inlineStr">
        <is>
          <t>8211</t>
        </is>
      </c>
      <c r="I684" s="3" t="inlineStr">
        <is>
          <t>82</t>
        </is>
      </c>
      <c r="J684" s="3" t="inlineStr">
        <is>
          <t>IN</t>
        </is>
      </c>
      <c r="K684" s="3" t="inlineStr">
        <is>
          <t>Westwood</t>
        </is>
      </c>
      <c r="L684" s="3" t="inlineStr">
        <is>
          <t>New Deal</t>
        </is>
      </c>
      <c r="M684" s="3" t="n">
        <v>1.49</v>
      </c>
      <c r="N684" s="28" t="n">
        <v>20000</v>
      </c>
      <c r="O684" s="28" t="n">
        <v>2800</v>
      </c>
      <c r="P684" s="28" t="n">
        <v>29800</v>
      </c>
      <c r="Q684" s="28" t="n">
        <v>20273.69</v>
      </c>
      <c r="R684" s="28" t="n">
        <v>9526.309999999999</v>
      </c>
      <c r="S684" s="42" t="n">
        <v>0.680325167785235</v>
      </c>
      <c r="T684" s="3" t="n">
        <v>25</v>
      </c>
      <c r="U684" s="3" t="n">
        <v>6</v>
      </c>
      <c r="V684" s="3" t="n">
        <v>62032.38</v>
      </c>
      <c r="W684" s="42" t="n">
        <v>0.0769</v>
      </c>
      <c r="X684" s="23" t="n">
        <v>44459</v>
      </c>
      <c r="Y684" s="3">
        <f>IF(I684="","No SIC",IFERROR(VLOOKUP(I684,Ref!$A$2:$B$65,2,FALSE()),"Unclassified"))</f>
        <v/>
      </c>
      <c r="Z684" s="3">
        <f>IF(T684="","",IF(T684&lt;12,"Daily","Weekly"))</f>
        <v/>
      </c>
      <c r="AA684" s="3">
        <f>IF(T684="",0,IF(T684&lt;12,T684*Controls!$B$13,T684*5))</f>
        <v/>
      </c>
      <c r="AB684" s="3">
        <f>IF(E684="",0,NETWORKDAYS(E684,Controls!$B$20,Ref!$K$2:$K$42))</f>
        <v/>
      </c>
      <c r="AC684" s="3">
        <f>IF(OR(AF684=1,AND(AA684&gt;0,AB684&gt;=Controls!$B$23*AA684)),1,0)</f>
        <v/>
      </c>
      <c r="AD684" s="3">
        <f>IF(AND(E684&lt;&gt;"",E684&gt;=Controls!$B$21,E684&lt;=Controls!$B$22),1,0)</f>
        <v/>
      </c>
      <c r="AE684" s="3">
        <f>IF(IFERROR(VLOOKUP(D684,Controls!$A$36:$E$46,2,FALSE()),"No")="Yes",1,0)</f>
        <v/>
      </c>
      <c r="AF684" s="3">
        <f>IF(IFERROR(VLOOKUP(D684,Controls!$A$36:$E$46,3,FALSE()),"No")="Yes",1,0)</f>
        <v/>
      </c>
      <c r="AG684" s="3">
        <f>IF(IFERROR(VLOOKUP(D684,Controls!$A$36:$E$46,4,FALSE()),"No")="Yes",1,0)</f>
        <v/>
      </c>
      <c r="AH684" s="3">
        <f>IF(IFERROR(VLOOKUP(D684,Controls!$A$36:$E$46,5,FALSE()),"No")="Yes",1,0)</f>
        <v/>
      </c>
      <c r="AI684" s="3">
        <f>IF(ISNUMBER(MATCH(D684,Controls!$A$36:$A$46,0)),1,0)</f>
        <v/>
      </c>
      <c r="AJ684" s="28">
        <f>Q684-N684</f>
        <v/>
      </c>
      <c r="AK684" s="3">
        <f>IF(AE684=1,MAX(0,N684-Q684),0)</f>
        <v/>
      </c>
      <c r="AL684" s="3">
        <f>IF(OR(V684="",V684=0),0,N684/V684)</f>
        <v/>
      </c>
      <c r="AM684" s="3">
        <f>IF(OR(V684="",V684=0),0,1)</f>
        <v/>
      </c>
      <c r="AN684" s="3">
        <f>IF(OR(E684="",F684=""),0,NETWORKDAYS(E684,F684,Ref!$K$2:$K$42))</f>
        <v/>
      </c>
      <c r="AO684" s="3">
        <f>IF(L684="Renewal",1,0)</f>
        <v/>
      </c>
      <c r="AP684" s="3">
        <f>AC684*AD684</f>
        <v/>
      </c>
      <c r="AQ684" s="3">
        <f>IF(AND(G684&lt;&gt;"",'Historical Score'!$C$6&lt;&gt;""),IF(G684='Historical Score'!$C$6,1,0),0)</f>
        <v/>
      </c>
      <c r="AR684" s="3">
        <f>IF(AND(L684&lt;&gt;"",'Historical Score'!$C$5&lt;&gt;""),IF(L684='Historical Score'!$C$5,1,0),0)</f>
        <v/>
      </c>
      <c r="AS684" s="3">
        <f>IF(AND(Y684&lt;&gt;"",'Historical Score'!$C$7&lt;&gt;""),IF(Y684='Historical Score'!$C$7,1,0),0)</f>
        <v/>
      </c>
      <c r="AT684" s="3">
        <f>IF(AND(K684&lt;&gt;"",'Historical Score'!$C$8&lt;&gt;""),IF(K684='Historical Score'!$C$8,1,0),0)</f>
        <v/>
      </c>
      <c r="AU684" s="3" t="n"/>
      <c r="AV684" s="3" t="n"/>
      <c r="AW684" s="3" t="n"/>
      <c r="AX684" s="3" t="n"/>
      <c r="AY684" s="3" t="n"/>
      <c r="AZ684" s="3" t="n"/>
      <c r="BA684" s="182">
        <f>IF(AD684=1,(AR684*'Historical Score'!$K$29+1-'Historical Score'!$K$29)*(AT684*'Historical Score'!$L$29+1-'Historical Score'!$L$29)*(AS684*'Historical Score'!$M$29+1-'Historical Score'!$M$29)*(AQ684*'Historical Score'!$N$29+1-'Historical Score'!$N$29),0)</f>
        <v/>
      </c>
      <c r="BB684" s="3" t="n"/>
      <c r="BC684" s="3" t="n"/>
    </row>
    <row r="685" ht="15.75" customHeight="1" s="174">
      <c r="A685" s="3" t="inlineStr">
        <is>
          <t>5674179722</t>
        </is>
      </c>
      <c r="B685" s="3" t="inlineStr">
        <is>
          <t>Shriyas Kitchen</t>
        </is>
      </c>
      <c r="C685" s="3" t="inlineStr">
        <is>
          <t>SILPA'S INTERNATIONAL FOODS LLC</t>
        </is>
      </c>
      <c r="D685" s="3" t="inlineStr">
        <is>
          <t>Closed</t>
        </is>
      </c>
      <c r="E685" s="23" t="n">
        <v>46087</v>
      </c>
      <c r="F685" s="23" t="n">
        <v>46199</v>
      </c>
      <c r="G685" s="3" t="n">
        <v>2</v>
      </c>
      <c r="H685" s="3" t="inlineStr">
        <is>
          <t>5812</t>
        </is>
      </c>
      <c r="I685" s="3" t="inlineStr">
        <is>
          <t>58</t>
        </is>
      </c>
      <c r="J685" s="3" t="inlineStr">
        <is>
          <t>FL</t>
        </is>
      </c>
      <c r="K685" s="3" t="inlineStr">
        <is>
          <t>Fund Simple</t>
        </is>
      </c>
      <c r="L685" s="3" t="inlineStr">
        <is>
          <t>New Deal</t>
        </is>
      </c>
      <c r="M685" s="3" t="n">
        <v>1.49</v>
      </c>
      <c r="N685" s="28" t="n">
        <v>15000</v>
      </c>
      <c r="O685" s="28" t="n">
        <v>2100</v>
      </c>
      <c r="P685" s="28" t="n">
        <v>22350</v>
      </c>
      <c r="Q685" s="28" t="n">
        <v>22350</v>
      </c>
      <c r="R685" s="28" t="n">
        <v>0</v>
      </c>
      <c r="S685" s="42" t="n">
        <v>1</v>
      </c>
      <c r="T685" s="3" t="n">
        <v>24</v>
      </c>
      <c r="U685" s="3" t="n">
        <v>1</v>
      </c>
      <c r="V685" s="3" t="n">
        <v>61925.3</v>
      </c>
      <c r="W685" s="42" t="n">
        <v>0.0602</v>
      </c>
      <c r="X685" s="23" t="n"/>
      <c r="Y685" s="3">
        <f>IF(I685="","No SIC",IFERROR(VLOOKUP(I685,Ref!$A$2:$B$65,2,FALSE()),"Unclassified"))</f>
        <v/>
      </c>
      <c r="Z685" s="3">
        <f>IF(T685="","",IF(T685&lt;12,"Daily","Weekly"))</f>
        <v/>
      </c>
      <c r="AA685" s="3">
        <f>IF(T685="",0,IF(T685&lt;12,T685*Controls!$B$13,T685*5))</f>
        <v/>
      </c>
      <c r="AB685" s="3">
        <f>IF(E685="",0,NETWORKDAYS(E685,Controls!$B$20,Ref!$K$2:$K$42))</f>
        <v/>
      </c>
      <c r="AC685" s="3">
        <f>IF(OR(AF685=1,AND(AA685&gt;0,AB685&gt;=Controls!$B$23*AA685)),1,0)</f>
        <v/>
      </c>
      <c r="AD685" s="3">
        <f>IF(AND(E685&lt;&gt;"",E685&gt;=Controls!$B$21,E685&lt;=Controls!$B$22),1,0)</f>
        <v/>
      </c>
      <c r="AE685" s="3">
        <f>IF(IFERROR(VLOOKUP(D685,Controls!$A$36:$E$46,2,FALSE()),"No")="Yes",1,0)</f>
        <v/>
      </c>
      <c r="AF685" s="3">
        <f>IF(IFERROR(VLOOKUP(D685,Controls!$A$36:$E$46,3,FALSE()),"No")="Yes",1,0)</f>
        <v/>
      </c>
      <c r="AG685" s="3">
        <f>IF(IFERROR(VLOOKUP(D685,Controls!$A$36:$E$46,4,FALSE()),"No")="Yes",1,0)</f>
        <v/>
      </c>
      <c r="AH685" s="3">
        <f>IF(IFERROR(VLOOKUP(D685,Controls!$A$36:$E$46,5,FALSE()),"No")="Yes",1,0)</f>
        <v/>
      </c>
      <c r="AI685" s="3">
        <f>IF(ISNUMBER(MATCH(D685,Controls!$A$36:$A$46,0)),1,0)</f>
        <v/>
      </c>
      <c r="AJ685" s="28">
        <f>Q685-N685</f>
        <v/>
      </c>
      <c r="AK685" s="3">
        <f>IF(AE685=1,MAX(0,N685-Q685),0)</f>
        <v/>
      </c>
      <c r="AL685" s="3">
        <f>IF(OR(V685="",V685=0),0,N685/V685)</f>
        <v/>
      </c>
      <c r="AM685" s="3">
        <f>IF(OR(V685="",V685=0),0,1)</f>
        <v/>
      </c>
      <c r="AN685" s="3">
        <f>IF(OR(E685="",F685=""),0,NETWORKDAYS(E685,F685,Ref!$K$2:$K$42))</f>
        <v/>
      </c>
      <c r="AO685" s="3">
        <f>IF(L685="Renewal",1,0)</f>
        <v/>
      </c>
      <c r="AP685" s="3">
        <f>AC685*AD685</f>
        <v/>
      </c>
      <c r="AQ685" s="3">
        <f>IF(AND(G685&lt;&gt;"",'Historical Score'!$C$6&lt;&gt;""),IF(G685='Historical Score'!$C$6,1,0),0)</f>
        <v/>
      </c>
      <c r="AR685" s="3">
        <f>IF(AND(L685&lt;&gt;"",'Historical Score'!$C$5&lt;&gt;""),IF(L685='Historical Score'!$C$5,1,0),0)</f>
        <v/>
      </c>
      <c r="AS685" s="3">
        <f>IF(AND(Y685&lt;&gt;"",'Historical Score'!$C$7&lt;&gt;""),IF(Y685='Historical Score'!$C$7,1,0),0)</f>
        <v/>
      </c>
      <c r="AT685" s="3">
        <f>IF(AND(K685&lt;&gt;"",'Historical Score'!$C$8&lt;&gt;""),IF(K685='Historical Score'!$C$8,1,0),0)</f>
        <v/>
      </c>
      <c r="AU685" s="3" t="n"/>
      <c r="AV685" s="3" t="n"/>
      <c r="AW685" s="3" t="n"/>
      <c r="AX685" s="3" t="n"/>
      <c r="AY685" s="3" t="n"/>
      <c r="AZ685" s="3" t="n"/>
      <c r="BA685" s="182">
        <f>IF(AD685=1,(AR685*'Historical Score'!$K$29+1-'Historical Score'!$K$29)*(AT685*'Historical Score'!$L$29+1-'Historical Score'!$L$29)*(AS685*'Historical Score'!$M$29+1-'Historical Score'!$M$29)*(AQ685*'Historical Score'!$N$29+1-'Historical Score'!$N$29),0)</f>
        <v/>
      </c>
      <c r="BB685" s="3" t="n"/>
      <c r="BC685" s="3" t="n"/>
    </row>
    <row r="686" ht="15.75" customHeight="1" s="174">
      <c r="A686" s="3" t="inlineStr">
        <is>
          <t>5674179768</t>
        </is>
      </c>
      <c r="B686" s="3" t="inlineStr">
        <is>
          <t>FRESH LAND IMPORTS LLC</t>
        </is>
      </c>
      <c r="C686" s="3" t="inlineStr">
        <is>
          <t>FRESH LAND IMPORTS LLC</t>
        </is>
      </c>
      <c r="D686" s="3" t="inlineStr">
        <is>
          <t>Closed</t>
        </is>
      </c>
      <c r="E686" s="23" t="n">
        <v>46090</v>
      </c>
      <c r="F686" s="23" t="n">
        <v>46211</v>
      </c>
      <c r="G686" s="3" t="n">
        <v>2</v>
      </c>
      <c r="H686" s="3" t="inlineStr">
        <is>
          <t>5149</t>
        </is>
      </c>
      <c r="I686" s="3" t="inlineStr">
        <is>
          <t>51</t>
        </is>
      </c>
      <c r="J686" s="3" t="inlineStr">
        <is>
          <t>IL</t>
        </is>
      </c>
      <c r="K686" s="3" t="inlineStr">
        <is>
          <t>Fundwell</t>
        </is>
      </c>
      <c r="L686" s="3" t="inlineStr">
        <is>
          <t>Renewal</t>
        </is>
      </c>
      <c r="M686" s="3" t="n">
        <v>1.46</v>
      </c>
      <c r="N686" s="28" t="n">
        <v>150000</v>
      </c>
      <c r="O686" s="28" t="n">
        <v>22500</v>
      </c>
      <c r="P686" s="28" t="n">
        <v>219000</v>
      </c>
      <c r="Q686" s="28" t="n">
        <v>219000</v>
      </c>
      <c r="R686" s="28" t="n">
        <v>0</v>
      </c>
      <c r="S686" s="42" t="n">
        <v>1</v>
      </c>
      <c r="T686" s="3" t="n">
        <v>38</v>
      </c>
      <c r="U686" s="3" t="n">
        <v>0</v>
      </c>
      <c r="V686" s="3" t="n">
        <v>356120.58</v>
      </c>
      <c r="W686" s="42" t="n">
        <v>0.06469999999999999</v>
      </c>
      <c r="X686" s="23" t="n">
        <v>43945</v>
      </c>
      <c r="Y686" s="3">
        <f>IF(I686="","No SIC",IFERROR(VLOOKUP(I686,Ref!$A$2:$B$65,2,FALSE()),"Unclassified"))</f>
        <v/>
      </c>
      <c r="Z686" s="3">
        <f>IF(T686="","",IF(T686&lt;12,"Daily","Weekly"))</f>
        <v/>
      </c>
      <c r="AA686" s="3">
        <f>IF(T686="",0,IF(T686&lt;12,T686*Controls!$B$13,T686*5))</f>
        <v/>
      </c>
      <c r="AB686" s="3">
        <f>IF(E686="",0,NETWORKDAYS(E686,Controls!$B$20,Ref!$K$2:$K$42))</f>
        <v/>
      </c>
      <c r="AC686" s="3">
        <f>IF(OR(AF686=1,AND(AA686&gt;0,AB686&gt;=Controls!$B$23*AA686)),1,0)</f>
        <v/>
      </c>
      <c r="AD686" s="3">
        <f>IF(AND(E686&lt;&gt;"",E686&gt;=Controls!$B$21,E686&lt;=Controls!$B$22),1,0)</f>
        <v/>
      </c>
      <c r="AE686" s="3">
        <f>IF(IFERROR(VLOOKUP(D686,Controls!$A$36:$E$46,2,FALSE()),"No")="Yes",1,0)</f>
        <v/>
      </c>
      <c r="AF686" s="3">
        <f>IF(IFERROR(VLOOKUP(D686,Controls!$A$36:$E$46,3,FALSE()),"No")="Yes",1,0)</f>
        <v/>
      </c>
      <c r="AG686" s="3">
        <f>IF(IFERROR(VLOOKUP(D686,Controls!$A$36:$E$46,4,FALSE()),"No")="Yes",1,0)</f>
        <v/>
      </c>
      <c r="AH686" s="3">
        <f>IF(IFERROR(VLOOKUP(D686,Controls!$A$36:$E$46,5,FALSE()),"No")="Yes",1,0)</f>
        <v/>
      </c>
      <c r="AI686" s="3">
        <f>IF(ISNUMBER(MATCH(D686,Controls!$A$36:$A$46,0)),1,0)</f>
        <v/>
      </c>
      <c r="AJ686" s="28">
        <f>Q686-N686</f>
        <v/>
      </c>
      <c r="AK686" s="3">
        <f>IF(AE686=1,MAX(0,N686-Q686),0)</f>
        <v/>
      </c>
      <c r="AL686" s="3">
        <f>IF(OR(V686="",V686=0),0,N686/V686)</f>
        <v/>
      </c>
      <c r="AM686" s="3">
        <f>IF(OR(V686="",V686=0),0,1)</f>
        <v/>
      </c>
      <c r="AN686" s="3">
        <f>IF(OR(E686="",F686=""),0,NETWORKDAYS(E686,F686,Ref!$K$2:$K$42))</f>
        <v/>
      </c>
      <c r="AO686" s="3">
        <f>IF(L686="Renewal",1,0)</f>
        <v/>
      </c>
      <c r="AP686" s="3">
        <f>AC686*AD686</f>
        <v/>
      </c>
      <c r="AQ686" s="3">
        <f>IF(AND(G686&lt;&gt;"",'Historical Score'!$C$6&lt;&gt;""),IF(G686='Historical Score'!$C$6,1,0),0)</f>
        <v/>
      </c>
      <c r="AR686" s="3">
        <f>IF(AND(L686&lt;&gt;"",'Historical Score'!$C$5&lt;&gt;""),IF(L686='Historical Score'!$C$5,1,0),0)</f>
        <v/>
      </c>
      <c r="AS686" s="3">
        <f>IF(AND(Y686&lt;&gt;"",'Historical Score'!$C$7&lt;&gt;""),IF(Y686='Historical Score'!$C$7,1,0),0)</f>
        <v/>
      </c>
      <c r="AT686" s="3">
        <f>IF(AND(K686&lt;&gt;"",'Historical Score'!$C$8&lt;&gt;""),IF(K686='Historical Score'!$C$8,1,0),0)</f>
        <v/>
      </c>
      <c r="AU686" s="3" t="n"/>
      <c r="AV686" s="3" t="n"/>
      <c r="AW686" s="3" t="n"/>
      <c r="AX686" s="3" t="n"/>
      <c r="AY686" s="3" t="n"/>
      <c r="AZ686" s="3" t="n"/>
      <c r="BA686" s="182">
        <f>IF(AD686=1,(AR686*'Historical Score'!$K$29+1-'Historical Score'!$K$29)*(AT686*'Historical Score'!$L$29+1-'Historical Score'!$L$29)*(AS686*'Historical Score'!$M$29+1-'Historical Score'!$M$29)*(AQ686*'Historical Score'!$N$29+1-'Historical Score'!$N$29),0)</f>
        <v/>
      </c>
      <c r="BB686" s="3" t="n"/>
      <c r="BC686" s="3" t="n"/>
    </row>
    <row r="687" ht="15.75" customHeight="1" s="174">
      <c r="A687" s="3" t="inlineStr">
        <is>
          <t>5674179778</t>
        </is>
      </c>
      <c r="B687" s="3" t="inlineStr">
        <is>
          <t>RAHAB ADULT FAMILY HOME LLC</t>
        </is>
      </c>
      <c r="C687" s="3" t="inlineStr">
        <is>
          <t>RAHAB ADULT FAMILY HOME LLC</t>
        </is>
      </c>
      <c r="D687" s="3" t="inlineStr">
        <is>
          <t>Legal</t>
        </is>
      </c>
      <c r="E687" s="23" t="n">
        <v>46090</v>
      </c>
      <c r="F687" s="23" t="n">
        <v>46141</v>
      </c>
      <c r="G687" s="3" t="n">
        <v>3</v>
      </c>
      <c r="H687" s="3" t="inlineStr">
        <is>
          <t>8361</t>
        </is>
      </c>
      <c r="I687" s="3" t="inlineStr">
        <is>
          <t>83</t>
        </is>
      </c>
      <c r="J687" s="3" t="inlineStr">
        <is>
          <t>WA</t>
        </is>
      </c>
      <c r="K687" s="3" t="inlineStr">
        <is>
          <t>United Secured Capital 8</t>
        </is>
      </c>
      <c r="L687" s="3" t="inlineStr">
        <is>
          <t>New Deal</t>
        </is>
      </c>
      <c r="M687" s="3" t="n">
        <v>1.49</v>
      </c>
      <c r="N687" s="28" t="n">
        <v>25000</v>
      </c>
      <c r="O687" s="28" t="n">
        <v>3500</v>
      </c>
      <c r="P687" s="28" t="n">
        <v>37250</v>
      </c>
      <c r="Q687" s="28" t="n">
        <v>6702.84</v>
      </c>
      <c r="R687" s="28" t="n">
        <v>30547.16</v>
      </c>
      <c r="S687" s="42" t="n">
        <v>0.179942013422819</v>
      </c>
      <c r="T687" s="3" t="n">
        <v>3.279</v>
      </c>
      <c r="U687" s="3" t="n">
        <v>17</v>
      </c>
      <c r="V687" s="3" t="n">
        <v>80000</v>
      </c>
      <c r="W687" s="42" t="n">
        <v>0.092</v>
      </c>
      <c r="X687" s="23" t="n">
        <v>43838</v>
      </c>
      <c r="Y687" s="3">
        <f>IF(I687="","No SIC",IFERROR(VLOOKUP(I687,Ref!$A$2:$B$65,2,FALSE()),"Unclassified"))</f>
        <v/>
      </c>
      <c r="Z687" s="3">
        <f>IF(T687="","",IF(T687&lt;12,"Daily","Weekly"))</f>
        <v/>
      </c>
      <c r="AA687" s="3">
        <f>IF(T687="",0,IF(T687&lt;12,T687*Controls!$B$13,T687*5))</f>
        <v/>
      </c>
      <c r="AB687" s="3">
        <f>IF(E687="",0,NETWORKDAYS(E687,Controls!$B$20,Ref!$K$2:$K$42))</f>
        <v/>
      </c>
      <c r="AC687" s="3">
        <f>IF(OR(AF687=1,AND(AA687&gt;0,AB687&gt;=Controls!$B$23*AA687)),1,0)</f>
        <v/>
      </c>
      <c r="AD687" s="3">
        <f>IF(AND(E687&lt;&gt;"",E687&gt;=Controls!$B$21,E687&lt;=Controls!$B$22),1,0)</f>
        <v/>
      </c>
      <c r="AE687" s="3">
        <f>IF(IFERROR(VLOOKUP(D687,Controls!$A$36:$E$46,2,FALSE()),"No")="Yes",1,0)</f>
        <v/>
      </c>
      <c r="AF687" s="3">
        <f>IF(IFERROR(VLOOKUP(D687,Controls!$A$36:$E$46,3,FALSE()),"No")="Yes",1,0)</f>
        <v/>
      </c>
      <c r="AG687" s="3">
        <f>IF(IFERROR(VLOOKUP(D687,Controls!$A$36:$E$46,4,FALSE()),"No")="Yes",1,0)</f>
        <v/>
      </c>
      <c r="AH687" s="3">
        <f>IF(IFERROR(VLOOKUP(D687,Controls!$A$36:$E$46,5,FALSE()),"No")="Yes",1,0)</f>
        <v/>
      </c>
      <c r="AI687" s="3">
        <f>IF(ISNUMBER(MATCH(D687,Controls!$A$36:$A$46,0)),1,0)</f>
        <v/>
      </c>
      <c r="AJ687" s="28">
        <f>Q687-N687</f>
        <v/>
      </c>
      <c r="AK687" s="3">
        <f>IF(AE687=1,MAX(0,N687-Q687),0)</f>
        <v/>
      </c>
      <c r="AL687" s="3">
        <f>IF(OR(V687="",V687=0),0,N687/V687)</f>
        <v/>
      </c>
      <c r="AM687" s="3">
        <f>IF(OR(V687="",V687=0),0,1)</f>
        <v/>
      </c>
      <c r="AN687" s="3">
        <f>IF(OR(E687="",F687=""),0,NETWORKDAYS(E687,F687,Ref!$K$2:$K$42))</f>
        <v/>
      </c>
      <c r="AO687" s="3">
        <f>IF(L687="Renewal",1,0)</f>
        <v/>
      </c>
      <c r="AP687" s="3">
        <f>AC687*AD687</f>
        <v/>
      </c>
      <c r="AQ687" s="3">
        <f>IF(AND(G687&lt;&gt;"",'Historical Score'!$C$6&lt;&gt;""),IF(G687='Historical Score'!$C$6,1,0),0)</f>
        <v/>
      </c>
      <c r="AR687" s="3">
        <f>IF(AND(L687&lt;&gt;"",'Historical Score'!$C$5&lt;&gt;""),IF(L687='Historical Score'!$C$5,1,0),0)</f>
        <v/>
      </c>
      <c r="AS687" s="3">
        <f>IF(AND(Y687&lt;&gt;"",'Historical Score'!$C$7&lt;&gt;""),IF(Y687='Historical Score'!$C$7,1,0),0)</f>
        <v/>
      </c>
      <c r="AT687" s="3">
        <f>IF(AND(K687&lt;&gt;"",'Historical Score'!$C$8&lt;&gt;""),IF(K687='Historical Score'!$C$8,1,0),0)</f>
        <v/>
      </c>
      <c r="AU687" s="3" t="n"/>
      <c r="AV687" s="3" t="n"/>
      <c r="AW687" s="3" t="n"/>
      <c r="AX687" s="3" t="n"/>
      <c r="AY687" s="3" t="n"/>
      <c r="AZ687" s="3" t="n"/>
      <c r="BA687" s="182">
        <f>IF(AD687=1,(AR687*'Historical Score'!$K$29+1-'Historical Score'!$K$29)*(AT687*'Historical Score'!$L$29+1-'Historical Score'!$L$29)*(AS687*'Historical Score'!$M$29+1-'Historical Score'!$M$29)*(AQ687*'Historical Score'!$N$29+1-'Historical Score'!$N$29),0)</f>
        <v/>
      </c>
      <c r="BB687" s="3" t="n"/>
      <c r="BC687" s="3" t="n"/>
    </row>
    <row r="688" ht="15.75" customHeight="1" s="174">
      <c r="A688" s="3" t="inlineStr">
        <is>
          <t>5674179797</t>
        </is>
      </c>
      <c r="B688" s="3" t="inlineStr">
        <is>
          <t>DIGITAL ASCENSION GROUP</t>
        </is>
      </c>
      <c r="C688" s="3" t="inlineStr">
        <is>
          <t>DIGITAL ASCENSION GROUP LLC, DIGITAL FAMILY OFFICE LLC</t>
        </is>
      </c>
      <c r="D688" s="3" t="inlineStr">
        <is>
          <t>Open</t>
        </is>
      </c>
      <c r="E688" s="23" t="n">
        <v>46090</v>
      </c>
      <c r="F688" s="23" t="n">
        <v>46251</v>
      </c>
      <c r="G688" s="3" t="n">
        <v>2</v>
      </c>
      <c r="H688" s="3" t="inlineStr">
        <is>
          <t>6282</t>
        </is>
      </c>
      <c r="I688" s="3" t="inlineStr">
        <is>
          <t>62</t>
        </is>
      </c>
      <c r="J688" s="3" t="inlineStr">
        <is>
          <t>TX</t>
        </is>
      </c>
      <c r="K688" s="3" t="inlineStr">
        <is>
          <t>Can I Have Money</t>
        </is>
      </c>
      <c r="L688" s="3" t="inlineStr">
        <is>
          <t>New Deal</t>
        </is>
      </c>
      <c r="M688" s="3" t="n">
        <v>1.49</v>
      </c>
      <c r="N688" s="28" t="n">
        <v>85000</v>
      </c>
      <c r="O688" s="28" t="n">
        <v>11900</v>
      </c>
      <c r="P688" s="28" t="n">
        <v>126650</v>
      </c>
      <c r="Q688" s="28" t="n">
        <v>121842.96</v>
      </c>
      <c r="R688" s="28" t="n">
        <v>4807.03999999999</v>
      </c>
      <c r="S688" s="42" t="n">
        <v>0.962044690090802</v>
      </c>
      <c r="T688" s="3" t="n">
        <v>24</v>
      </c>
      <c r="U688" s="3" t="n">
        <v>0</v>
      </c>
      <c r="V688" s="3" t="n">
        <v>2561699.05</v>
      </c>
      <c r="W688" s="42" t="n">
        <v>0.0123</v>
      </c>
      <c r="X688" s="23" t="n">
        <v>45526</v>
      </c>
      <c r="Y688" s="3">
        <f>IF(I688="","No SIC",IFERROR(VLOOKUP(I688,Ref!$A$2:$B$65,2,FALSE()),"Unclassified"))</f>
        <v/>
      </c>
      <c r="Z688" s="3">
        <f>IF(T688="","",IF(T688&lt;12,"Daily","Weekly"))</f>
        <v/>
      </c>
      <c r="AA688" s="3">
        <f>IF(T688="",0,IF(T688&lt;12,T688*Controls!$B$13,T688*5))</f>
        <v/>
      </c>
      <c r="AB688" s="3">
        <f>IF(E688="",0,NETWORKDAYS(E688,Controls!$B$20,Ref!$K$2:$K$42))</f>
        <v/>
      </c>
      <c r="AC688" s="3">
        <f>IF(OR(AF688=1,AND(AA688&gt;0,AB688&gt;=Controls!$B$23*AA688)),1,0)</f>
        <v/>
      </c>
      <c r="AD688" s="3">
        <f>IF(AND(E688&lt;&gt;"",E688&gt;=Controls!$B$21,E688&lt;=Controls!$B$22),1,0)</f>
        <v/>
      </c>
      <c r="AE688" s="3">
        <f>IF(IFERROR(VLOOKUP(D688,Controls!$A$36:$E$46,2,FALSE()),"No")="Yes",1,0)</f>
        <v/>
      </c>
      <c r="AF688" s="3">
        <f>IF(IFERROR(VLOOKUP(D688,Controls!$A$36:$E$46,3,FALSE()),"No")="Yes",1,0)</f>
        <v/>
      </c>
      <c r="AG688" s="3">
        <f>IF(IFERROR(VLOOKUP(D688,Controls!$A$36:$E$46,4,FALSE()),"No")="Yes",1,0)</f>
        <v/>
      </c>
      <c r="AH688" s="3">
        <f>IF(IFERROR(VLOOKUP(D688,Controls!$A$36:$E$46,5,FALSE()),"No")="Yes",1,0)</f>
        <v/>
      </c>
      <c r="AI688" s="3">
        <f>IF(ISNUMBER(MATCH(D688,Controls!$A$36:$A$46,0)),1,0)</f>
        <v/>
      </c>
      <c r="AJ688" s="28">
        <f>Q688-N688</f>
        <v/>
      </c>
      <c r="AK688" s="3">
        <f>IF(AE688=1,MAX(0,N688-Q688),0)</f>
        <v/>
      </c>
      <c r="AL688" s="3">
        <f>IF(OR(V688="",V688=0),0,N688/V688)</f>
        <v/>
      </c>
      <c r="AM688" s="3">
        <f>IF(OR(V688="",V688=0),0,1)</f>
        <v/>
      </c>
      <c r="AN688" s="3">
        <f>IF(OR(E688="",F688=""),0,NETWORKDAYS(E688,F688,Ref!$K$2:$K$42))</f>
        <v/>
      </c>
      <c r="AO688" s="3">
        <f>IF(L688="Renewal",1,0)</f>
        <v/>
      </c>
      <c r="AP688" s="3">
        <f>AC688*AD688</f>
        <v/>
      </c>
      <c r="AQ688" s="3">
        <f>IF(AND(G688&lt;&gt;"",'Historical Score'!$C$6&lt;&gt;""),IF(G688='Historical Score'!$C$6,1,0),0)</f>
        <v/>
      </c>
      <c r="AR688" s="3">
        <f>IF(AND(L688&lt;&gt;"",'Historical Score'!$C$5&lt;&gt;""),IF(L688='Historical Score'!$C$5,1,0),0)</f>
        <v/>
      </c>
      <c r="AS688" s="3">
        <f>IF(AND(Y688&lt;&gt;"",'Historical Score'!$C$7&lt;&gt;""),IF(Y688='Historical Score'!$C$7,1,0),0)</f>
        <v/>
      </c>
      <c r="AT688" s="3">
        <f>IF(AND(K688&lt;&gt;"",'Historical Score'!$C$8&lt;&gt;""),IF(K688='Historical Score'!$C$8,1,0),0)</f>
        <v/>
      </c>
      <c r="AU688" s="3" t="n"/>
      <c r="AV688" s="3" t="n"/>
      <c r="AW688" s="3" t="n"/>
      <c r="AX688" s="3" t="n"/>
      <c r="AY688" s="3" t="n"/>
      <c r="AZ688" s="3" t="n"/>
      <c r="BA688" s="182">
        <f>IF(AD688=1,(AR688*'Historical Score'!$K$29+1-'Historical Score'!$K$29)*(AT688*'Historical Score'!$L$29+1-'Historical Score'!$L$29)*(AS688*'Historical Score'!$M$29+1-'Historical Score'!$M$29)*(AQ688*'Historical Score'!$N$29+1-'Historical Score'!$N$29),0)</f>
        <v/>
      </c>
      <c r="BB688" s="3" t="n"/>
      <c r="BC688" s="3" t="n"/>
    </row>
    <row r="689" ht="15.75" customHeight="1" s="174">
      <c r="A689" s="3" t="inlineStr">
        <is>
          <t>5674179826</t>
        </is>
      </c>
      <c r="B689" s="3" t="inlineStr">
        <is>
          <t>Hd Builders And Construction LLC</t>
        </is>
      </c>
      <c r="C689" s="3" t="inlineStr">
        <is>
          <t>Hd Builders And Construction LLC</t>
        </is>
      </c>
      <c r="D689" s="3" t="inlineStr">
        <is>
          <t>Closed</t>
        </is>
      </c>
      <c r="E689" s="23" t="n">
        <v>46090</v>
      </c>
      <c r="F689" s="23" t="n">
        <v>46212</v>
      </c>
      <c r="G689" s="3" t="n">
        <v>3</v>
      </c>
      <c r="H689" s="3" t="inlineStr">
        <is>
          <t>1521</t>
        </is>
      </c>
      <c r="I689" s="3" t="inlineStr">
        <is>
          <t>15</t>
        </is>
      </c>
      <c r="J689" s="3" t="inlineStr">
        <is>
          <t>NM</t>
        </is>
      </c>
      <c r="K689" s="3" t="inlineStr">
        <is>
          <t>AVON ADVANCE</t>
        </is>
      </c>
      <c r="L689" s="3" t="inlineStr">
        <is>
          <t>Renewal</t>
        </is>
      </c>
      <c r="M689" s="3" t="n">
        <v>1.49</v>
      </c>
      <c r="N689" s="28" t="n">
        <v>16000</v>
      </c>
      <c r="O689" s="28" t="n">
        <v>2240</v>
      </c>
      <c r="P689" s="28" t="n">
        <v>23840</v>
      </c>
      <c r="Q689" s="28" t="n">
        <v>23840</v>
      </c>
      <c r="R689" s="28" t="n">
        <v>0</v>
      </c>
      <c r="S689" s="42" t="n">
        <v>1</v>
      </c>
      <c r="T689" s="3" t="n">
        <v>3.279</v>
      </c>
      <c r="U689" s="3" t="n">
        <v>0</v>
      </c>
      <c r="V689" s="3" t="n">
        <v>50226.03</v>
      </c>
      <c r="W689" s="42" t="n">
        <v>0.0997</v>
      </c>
      <c r="X689" s="23" t="n">
        <v>44627</v>
      </c>
      <c r="Y689" s="3">
        <f>IF(I689="","No SIC",IFERROR(VLOOKUP(I689,Ref!$A$2:$B$65,2,FALSE()),"Unclassified"))</f>
        <v/>
      </c>
      <c r="Z689" s="3">
        <f>IF(T689="","",IF(T689&lt;12,"Daily","Weekly"))</f>
        <v/>
      </c>
      <c r="AA689" s="3">
        <f>IF(T689="",0,IF(T689&lt;12,T689*Controls!$B$13,T689*5))</f>
        <v/>
      </c>
      <c r="AB689" s="3">
        <f>IF(E689="",0,NETWORKDAYS(E689,Controls!$B$20,Ref!$K$2:$K$42))</f>
        <v/>
      </c>
      <c r="AC689" s="3">
        <f>IF(OR(AF689=1,AND(AA689&gt;0,AB689&gt;=Controls!$B$23*AA689)),1,0)</f>
        <v/>
      </c>
      <c r="AD689" s="3">
        <f>IF(AND(E689&lt;&gt;"",E689&gt;=Controls!$B$21,E689&lt;=Controls!$B$22),1,0)</f>
        <v/>
      </c>
      <c r="AE689" s="3">
        <f>IF(IFERROR(VLOOKUP(D689,Controls!$A$36:$E$46,2,FALSE()),"No")="Yes",1,0)</f>
        <v/>
      </c>
      <c r="AF689" s="3">
        <f>IF(IFERROR(VLOOKUP(D689,Controls!$A$36:$E$46,3,FALSE()),"No")="Yes",1,0)</f>
        <v/>
      </c>
      <c r="AG689" s="3">
        <f>IF(IFERROR(VLOOKUP(D689,Controls!$A$36:$E$46,4,FALSE()),"No")="Yes",1,0)</f>
        <v/>
      </c>
      <c r="AH689" s="3">
        <f>IF(IFERROR(VLOOKUP(D689,Controls!$A$36:$E$46,5,FALSE()),"No")="Yes",1,0)</f>
        <v/>
      </c>
      <c r="AI689" s="3">
        <f>IF(ISNUMBER(MATCH(D689,Controls!$A$36:$A$46,0)),1,0)</f>
        <v/>
      </c>
      <c r="AJ689" s="28">
        <f>Q689-N689</f>
        <v/>
      </c>
      <c r="AK689" s="3">
        <f>IF(AE689=1,MAX(0,N689-Q689),0)</f>
        <v/>
      </c>
      <c r="AL689" s="3">
        <f>IF(OR(V689="",V689=0),0,N689/V689)</f>
        <v/>
      </c>
      <c r="AM689" s="3">
        <f>IF(OR(V689="",V689=0),0,1)</f>
        <v/>
      </c>
      <c r="AN689" s="3">
        <f>IF(OR(E689="",F689=""),0,NETWORKDAYS(E689,F689,Ref!$K$2:$K$42))</f>
        <v/>
      </c>
      <c r="AO689" s="3">
        <f>IF(L689="Renewal",1,0)</f>
        <v/>
      </c>
      <c r="AP689" s="3">
        <f>AC689*AD689</f>
        <v/>
      </c>
      <c r="AQ689" s="3">
        <f>IF(AND(G689&lt;&gt;"",'Historical Score'!$C$6&lt;&gt;""),IF(G689='Historical Score'!$C$6,1,0),0)</f>
        <v/>
      </c>
      <c r="AR689" s="3">
        <f>IF(AND(L689&lt;&gt;"",'Historical Score'!$C$5&lt;&gt;""),IF(L689='Historical Score'!$C$5,1,0),0)</f>
        <v/>
      </c>
      <c r="AS689" s="3">
        <f>IF(AND(Y689&lt;&gt;"",'Historical Score'!$C$7&lt;&gt;""),IF(Y689='Historical Score'!$C$7,1,0),0)</f>
        <v/>
      </c>
      <c r="AT689" s="3">
        <f>IF(AND(K689&lt;&gt;"",'Historical Score'!$C$8&lt;&gt;""),IF(K689='Historical Score'!$C$8,1,0),0)</f>
        <v/>
      </c>
      <c r="AU689" s="3" t="n"/>
      <c r="AV689" s="3" t="n"/>
      <c r="AW689" s="3" t="n"/>
      <c r="AX689" s="3" t="n"/>
      <c r="AY689" s="3" t="n"/>
      <c r="AZ689" s="3" t="n"/>
      <c r="BA689" s="182">
        <f>IF(AD689=1,(AR689*'Historical Score'!$K$29+1-'Historical Score'!$K$29)*(AT689*'Historical Score'!$L$29+1-'Historical Score'!$L$29)*(AS689*'Historical Score'!$M$29+1-'Historical Score'!$M$29)*(AQ689*'Historical Score'!$N$29+1-'Historical Score'!$N$29),0)</f>
        <v/>
      </c>
      <c r="BB689" s="3" t="n"/>
      <c r="BC689" s="3" t="n"/>
    </row>
    <row r="690" ht="15.75" customHeight="1" s="174">
      <c r="A690" s="3" t="inlineStr">
        <is>
          <t>5674179847</t>
        </is>
      </c>
      <c r="B690" s="3" t="inlineStr">
        <is>
          <t>P&amp;PD WHOLESALE</t>
        </is>
      </c>
      <c r="C690" s="3" t="inlineStr">
        <is>
          <t>Pearls and paper dolls LLC</t>
        </is>
      </c>
      <c r="D690" s="3" t="inlineStr">
        <is>
          <t>Closed</t>
        </is>
      </c>
      <c r="E690" s="23" t="n">
        <v>46091</v>
      </c>
      <c r="F690" s="23" t="n">
        <v>46224</v>
      </c>
      <c r="G690" s="3" t="n">
        <v>2</v>
      </c>
      <c r="H690" s="3" t="inlineStr">
        <is>
          <t>5999</t>
        </is>
      </c>
      <c r="I690" s="3" t="inlineStr">
        <is>
          <t>59</t>
        </is>
      </c>
      <c r="J690" s="3" t="inlineStr">
        <is>
          <t>TX</t>
        </is>
      </c>
      <c r="K690" s="3" t="inlineStr">
        <is>
          <t>Fundwell</t>
        </is>
      </c>
      <c r="L690" s="3" t="inlineStr">
        <is>
          <t>New Deal</t>
        </is>
      </c>
      <c r="M690" s="3" t="n">
        <v>1.38</v>
      </c>
      <c r="N690" s="28" t="n">
        <v>20000</v>
      </c>
      <c r="O690" s="28" t="n">
        <v>2400</v>
      </c>
      <c r="P690" s="28" t="n">
        <v>27600</v>
      </c>
      <c r="Q690" s="28" t="n">
        <v>27600</v>
      </c>
      <c r="R690" s="28" t="n">
        <v>-3.63797880709171e-12</v>
      </c>
      <c r="S690" s="42" t="n">
        <v>1</v>
      </c>
      <c r="T690" s="3" t="n">
        <v>18</v>
      </c>
      <c r="U690" s="3" t="n">
        <v>0</v>
      </c>
      <c r="V690" s="3" t="n">
        <v>209846.36</v>
      </c>
      <c r="W690" s="42" t="n">
        <v>0.0292</v>
      </c>
      <c r="X690" s="23" t="n">
        <v>42522</v>
      </c>
      <c r="Y690" s="3">
        <f>IF(I690="","No SIC",IFERROR(VLOOKUP(I690,Ref!$A$2:$B$65,2,FALSE()),"Unclassified"))</f>
        <v/>
      </c>
      <c r="Z690" s="3">
        <f>IF(T690="","",IF(T690&lt;12,"Daily","Weekly"))</f>
        <v/>
      </c>
      <c r="AA690" s="3">
        <f>IF(T690="",0,IF(T690&lt;12,T690*Controls!$B$13,T690*5))</f>
        <v/>
      </c>
      <c r="AB690" s="3">
        <f>IF(E690="",0,NETWORKDAYS(E690,Controls!$B$20,Ref!$K$2:$K$42))</f>
        <v/>
      </c>
      <c r="AC690" s="3">
        <f>IF(OR(AF690=1,AND(AA690&gt;0,AB690&gt;=Controls!$B$23*AA690)),1,0)</f>
        <v/>
      </c>
      <c r="AD690" s="3">
        <f>IF(AND(E690&lt;&gt;"",E690&gt;=Controls!$B$21,E690&lt;=Controls!$B$22),1,0)</f>
        <v/>
      </c>
      <c r="AE690" s="3">
        <f>IF(IFERROR(VLOOKUP(D690,Controls!$A$36:$E$46,2,FALSE()),"No")="Yes",1,0)</f>
        <v/>
      </c>
      <c r="AF690" s="3">
        <f>IF(IFERROR(VLOOKUP(D690,Controls!$A$36:$E$46,3,FALSE()),"No")="Yes",1,0)</f>
        <v/>
      </c>
      <c r="AG690" s="3">
        <f>IF(IFERROR(VLOOKUP(D690,Controls!$A$36:$E$46,4,FALSE()),"No")="Yes",1,0)</f>
        <v/>
      </c>
      <c r="AH690" s="3">
        <f>IF(IFERROR(VLOOKUP(D690,Controls!$A$36:$E$46,5,FALSE()),"No")="Yes",1,0)</f>
        <v/>
      </c>
      <c r="AI690" s="3">
        <f>IF(ISNUMBER(MATCH(D690,Controls!$A$36:$A$46,0)),1,0)</f>
        <v/>
      </c>
      <c r="AJ690" s="28">
        <f>Q690-N690</f>
        <v/>
      </c>
      <c r="AK690" s="3">
        <f>IF(AE690=1,MAX(0,N690-Q690),0)</f>
        <v/>
      </c>
      <c r="AL690" s="3">
        <f>IF(OR(V690="",V690=0),0,N690/V690)</f>
        <v/>
      </c>
      <c r="AM690" s="3">
        <f>IF(OR(V690="",V690=0),0,1)</f>
        <v/>
      </c>
      <c r="AN690" s="3">
        <f>IF(OR(E690="",F690=""),0,NETWORKDAYS(E690,F690,Ref!$K$2:$K$42))</f>
        <v/>
      </c>
      <c r="AO690" s="3">
        <f>IF(L690="Renewal",1,0)</f>
        <v/>
      </c>
      <c r="AP690" s="3">
        <f>AC690*AD690</f>
        <v/>
      </c>
      <c r="AQ690" s="3">
        <f>IF(AND(G690&lt;&gt;"",'Historical Score'!$C$6&lt;&gt;""),IF(G690='Historical Score'!$C$6,1,0),0)</f>
        <v/>
      </c>
      <c r="AR690" s="3">
        <f>IF(AND(L690&lt;&gt;"",'Historical Score'!$C$5&lt;&gt;""),IF(L690='Historical Score'!$C$5,1,0),0)</f>
        <v/>
      </c>
      <c r="AS690" s="3">
        <f>IF(AND(Y690&lt;&gt;"",'Historical Score'!$C$7&lt;&gt;""),IF(Y690='Historical Score'!$C$7,1,0),0)</f>
        <v/>
      </c>
      <c r="AT690" s="3">
        <f>IF(AND(K690&lt;&gt;"",'Historical Score'!$C$8&lt;&gt;""),IF(K690='Historical Score'!$C$8,1,0),0)</f>
        <v/>
      </c>
      <c r="AU690" s="3" t="n"/>
      <c r="AV690" s="3" t="n"/>
      <c r="AW690" s="3" t="n"/>
      <c r="AX690" s="3" t="n"/>
      <c r="AY690" s="3" t="n"/>
      <c r="AZ690" s="3" t="n"/>
      <c r="BA690" s="182">
        <f>IF(AD690=1,(AR690*'Historical Score'!$K$29+1-'Historical Score'!$K$29)*(AT690*'Historical Score'!$L$29+1-'Historical Score'!$L$29)*(AS690*'Historical Score'!$M$29+1-'Historical Score'!$M$29)*(AQ690*'Historical Score'!$N$29+1-'Historical Score'!$N$29),0)</f>
        <v/>
      </c>
      <c r="BB690" s="3" t="n"/>
      <c r="BC690" s="3" t="n"/>
    </row>
    <row r="691" ht="15.75" customHeight="1" s="174">
      <c r="A691" s="3" t="inlineStr">
        <is>
          <t>5674179855</t>
        </is>
      </c>
      <c r="B691" s="3" t="inlineStr">
        <is>
          <t>LOW-COUNTRY INSURANCE SOLUTIONS</t>
        </is>
      </c>
      <c r="C691" s="3" t="inlineStr">
        <is>
          <t>FORREST S SMITH</t>
        </is>
      </c>
      <c r="D691" s="3" t="inlineStr">
        <is>
          <t>In House Collection</t>
        </is>
      </c>
      <c r="E691" s="23" t="n">
        <v>46091</v>
      </c>
      <c r="F691" s="23" t="n">
        <v>46233</v>
      </c>
      <c r="G691" s="3" t="n">
        <v>3</v>
      </c>
      <c r="H691" s="3" t="inlineStr">
        <is>
          <t>6411</t>
        </is>
      </c>
      <c r="I691" s="3" t="inlineStr">
        <is>
          <t>64</t>
        </is>
      </c>
      <c r="J691" s="3" t="inlineStr">
        <is>
          <t>SC</t>
        </is>
      </c>
      <c r="K691" s="3" t="inlineStr">
        <is>
          <t>United Secured Capital 8</t>
        </is>
      </c>
      <c r="L691" s="3" t="inlineStr">
        <is>
          <t>Renewal</t>
        </is>
      </c>
      <c r="M691" s="3" t="n">
        <v>1.49</v>
      </c>
      <c r="N691" s="28" t="n">
        <v>27000</v>
      </c>
      <c r="O691" s="28" t="n">
        <v>3780</v>
      </c>
      <c r="P691" s="28" t="n">
        <v>40230</v>
      </c>
      <c r="Q691" s="28" t="n">
        <v>21973.47</v>
      </c>
      <c r="R691" s="28" t="n">
        <v>18256.53</v>
      </c>
      <c r="S691" s="42" t="n">
        <v>0.546196122296794</v>
      </c>
      <c r="T691" s="3" t="n">
        <v>3.77</v>
      </c>
      <c r="U691" s="3" t="n">
        <v>20</v>
      </c>
      <c r="V691" s="3" t="n">
        <v>120000</v>
      </c>
      <c r="W691" s="42" t="n">
        <v>0.1633</v>
      </c>
      <c r="X691" s="23" t="n">
        <v>38325</v>
      </c>
      <c r="Y691" s="3">
        <f>IF(I691="","No SIC",IFERROR(VLOOKUP(I691,Ref!$A$2:$B$65,2,FALSE()),"Unclassified"))</f>
        <v/>
      </c>
      <c r="Z691" s="3">
        <f>IF(T691="","",IF(T691&lt;12,"Daily","Weekly"))</f>
        <v/>
      </c>
      <c r="AA691" s="3">
        <f>IF(T691="",0,IF(T691&lt;12,T691*Controls!$B$13,T691*5))</f>
        <v/>
      </c>
      <c r="AB691" s="3">
        <f>IF(E691="",0,NETWORKDAYS(E691,Controls!$B$20,Ref!$K$2:$K$42))</f>
        <v/>
      </c>
      <c r="AC691" s="3">
        <f>IF(OR(AF691=1,AND(AA691&gt;0,AB691&gt;=Controls!$B$23*AA691)),1,0)</f>
        <v/>
      </c>
      <c r="AD691" s="3">
        <f>IF(AND(E691&lt;&gt;"",E691&gt;=Controls!$B$21,E691&lt;=Controls!$B$22),1,0)</f>
        <v/>
      </c>
      <c r="AE691" s="3">
        <f>IF(IFERROR(VLOOKUP(D691,Controls!$A$36:$E$46,2,FALSE()),"No")="Yes",1,0)</f>
        <v/>
      </c>
      <c r="AF691" s="3">
        <f>IF(IFERROR(VLOOKUP(D691,Controls!$A$36:$E$46,3,FALSE()),"No")="Yes",1,0)</f>
        <v/>
      </c>
      <c r="AG691" s="3">
        <f>IF(IFERROR(VLOOKUP(D691,Controls!$A$36:$E$46,4,FALSE()),"No")="Yes",1,0)</f>
        <v/>
      </c>
      <c r="AH691" s="3">
        <f>IF(IFERROR(VLOOKUP(D691,Controls!$A$36:$E$46,5,FALSE()),"No")="Yes",1,0)</f>
        <v/>
      </c>
      <c r="AI691" s="3">
        <f>IF(ISNUMBER(MATCH(D691,Controls!$A$36:$A$46,0)),1,0)</f>
        <v/>
      </c>
      <c r="AJ691" s="28">
        <f>Q691-N691</f>
        <v/>
      </c>
      <c r="AK691" s="3">
        <f>IF(AE691=1,MAX(0,N691-Q691),0)</f>
        <v/>
      </c>
      <c r="AL691" s="3">
        <f>IF(OR(V691="",V691=0),0,N691/V691)</f>
        <v/>
      </c>
      <c r="AM691" s="3">
        <f>IF(OR(V691="",V691=0),0,1)</f>
        <v/>
      </c>
      <c r="AN691" s="3">
        <f>IF(OR(E691="",F691=""),0,NETWORKDAYS(E691,F691,Ref!$K$2:$K$42))</f>
        <v/>
      </c>
      <c r="AO691" s="3">
        <f>IF(L691="Renewal",1,0)</f>
        <v/>
      </c>
      <c r="AP691" s="3">
        <f>AC691*AD691</f>
        <v/>
      </c>
      <c r="AQ691" s="3">
        <f>IF(AND(G691&lt;&gt;"",'Historical Score'!$C$6&lt;&gt;""),IF(G691='Historical Score'!$C$6,1,0),0)</f>
        <v/>
      </c>
      <c r="AR691" s="3">
        <f>IF(AND(L691&lt;&gt;"",'Historical Score'!$C$5&lt;&gt;""),IF(L691='Historical Score'!$C$5,1,0),0)</f>
        <v/>
      </c>
      <c r="AS691" s="3">
        <f>IF(AND(Y691&lt;&gt;"",'Historical Score'!$C$7&lt;&gt;""),IF(Y691='Historical Score'!$C$7,1,0),0)</f>
        <v/>
      </c>
      <c r="AT691" s="3">
        <f>IF(AND(K691&lt;&gt;"",'Historical Score'!$C$8&lt;&gt;""),IF(K691='Historical Score'!$C$8,1,0),0)</f>
        <v/>
      </c>
      <c r="AU691" s="3" t="n"/>
      <c r="AV691" s="3" t="n"/>
      <c r="AW691" s="3" t="n"/>
      <c r="AX691" s="3" t="n"/>
      <c r="AY691" s="3" t="n"/>
      <c r="AZ691" s="3" t="n"/>
      <c r="BA691" s="182">
        <f>IF(AD691=1,(AR691*'Historical Score'!$K$29+1-'Historical Score'!$K$29)*(AT691*'Historical Score'!$L$29+1-'Historical Score'!$L$29)*(AS691*'Historical Score'!$M$29+1-'Historical Score'!$M$29)*(AQ691*'Historical Score'!$N$29+1-'Historical Score'!$N$29),0)</f>
        <v/>
      </c>
      <c r="BB691" s="3" t="n"/>
      <c r="BC691" s="3" t="n"/>
    </row>
    <row r="692" ht="15.75" customHeight="1" s="174">
      <c r="A692" s="3" t="inlineStr">
        <is>
          <t>5674179857</t>
        </is>
      </c>
      <c r="B692" s="3" t="inlineStr">
        <is>
          <t>Tennex Ventures LLC</t>
        </is>
      </c>
      <c r="C692" s="3" t="inlineStr">
        <is>
          <t>Tennex Ventures LLC</t>
        </is>
      </c>
      <c r="D692" s="3" t="inlineStr">
        <is>
          <t>Open</t>
        </is>
      </c>
      <c r="E692" s="23" t="n">
        <v>46091</v>
      </c>
      <c r="F692" s="23" t="n">
        <v>46248</v>
      </c>
      <c r="G692" s="3" t="n">
        <v>3</v>
      </c>
      <c r="H692" s="3" t="inlineStr">
        <is>
          <t>2879</t>
        </is>
      </c>
      <c r="I692" s="3" t="inlineStr">
        <is>
          <t>28</t>
        </is>
      </c>
      <c r="J692" s="3" t="inlineStr">
        <is>
          <t>NJ</t>
        </is>
      </c>
      <c r="K692" s="3" t="inlineStr">
        <is>
          <t>Ballicci</t>
        </is>
      </c>
      <c r="L692" s="3" t="inlineStr">
        <is>
          <t>New Deal</t>
        </is>
      </c>
      <c r="M692" s="3" t="n">
        <v>1.49</v>
      </c>
      <c r="N692" s="28" t="n">
        <v>40000</v>
      </c>
      <c r="O692" s="28" t="n">
        <v>5600</v>
      </c>
      <c r="P692" s="28" t="n">
        <v>59600</v>
      </c>
      <c r="Q692" s="28" t="n">
        <v>48920.31</v>
      </c>
      <c r="R692" s="28" t="n">
        <v>10679.69</v>
      </c>
      <c r="S692" s="42" t="n">
        <v>0.820810570469799</v>
      </c>
      <c r="T692" s="3" t="n">
        <v>28</v>
      </c>
      <c r="U692" s="3" t="n">
        <v>0</v>
      </c>
      <c r="V692" s="3" t="n">
        <v>157261.96</v>
      </c>
      <c r="W692" s="42" t="n">
        <v>0.0541</v>
      </c>
      <c r="X692" s="23" t="n">
        <v>44266</v>
      </c>
      <c r="Y692" s="3">
        <f>IF(I692="","No SIC",IFERROR(VLOOKUP(I692,Ref!$A$2:$B$65,2,FALSE()),"Unclassified"))</f>
        <v/>
      </c>
      <c r="Z692" s="3">
        <f>IF(T692="","",IF(T692&lt;12,"Daily","Weekly"))</f>
        <v/>
      </c>
      <c r="AA692" s="3">
        <f>IF(T692="",0,IF(T692&lt;12,T692*Controls!$B$13,T692*5))</f>
        <v/>
      </c>
      <c r="AB692" s="3">
        <f>IF(E692="",0,NETWORKDAYS(E692,Controls!$B$20,Ref!$K$2:$K$42))</f>
        <v/>
      </c>
      <c r="AC692" s="3">
        <f>IF(OR(AF692=1,AND(AA692&gt;0,AB692&gt;=Controls!$B$23*AA692)),1,0)</f>
        <v/>
      </c>
      <c r="AD692" s="3">
        <f>IF(AND(E692&lt;&gt;"",E692&gt;=Controls!$B$21,E692&lt;=Controls!$B$22),1,0)</f>
        <v/>
      </c>
      <c r="AE692" s="3">
        <f>IF(IFERROR(VLOOKUP(D692,Controls!$A$36:$E$46,2,FALSE()),"No")="Yes",1,0)</f>
        <v/>
      </c>
      <c r="AF692" s="3">
        <f>IF(IFERROR(VLOOKUP(D692,Controls!$A$36:$E$46,3,FALSE()),"No")="Yes",1,0)</f>
        <v/>
      </c>
      <c r="AG692" s="3">
        <f>IF(IFERROR(VLOOKUP(D692,Controls!$A$36:$E$46,4,FALSE()),"No")="Yes",1,0)</f>
        <v/>
      </c>
      <c r="AH692" s="3">
        <f>IF(IFERROR(VLOOKUP(D692,Controls!$A$36:$E$46,5,FALSE()),"No")="Yes",1,0)</f>
        <v/>
      </c>
      <c r="AI692" s="3">
        <f>IF(ISNUMBER(MATCH(D692,Controls!$A$36:$A$46,0)),1,0)</f>
        <v/>
      </c>
      <c r="AJ692" s="28">
        <f>Q692-N692</f>
        <v/>
      </c>
      <c r="AK692" s="3">
        <f>IF(AE692=1,MAX(0,N692-Q692),0)</f>
        <v/>
      </c>
      <c r="AL692" s="3">
        <f>IF(OR(V692="",V692=0),0,N692/V692)</f>
        <v/>
      </c>
      <c r="AM692" s="3">
        <f>IF(OR(V692="",V692=0),0,1)</f>
        <v/>
      </c>
      <c r="AN692" s="3">
        <f>IF(OR(E692="",F692=""),0,NETWORKDAYS(E692,F692,Ref!$K$2:$K$42))</f>
        <v/>
      </c>
      <c r="AO692" s="3">
        <f>IF(L692="Renewal",1,0)</f>
        <v/>
      </c>
      <c r="AP692" s="3">
        <f>AC692*AD692</f>
        <v/>
      </c>
      <c r="AQ692" s="3">
        <f>IF(AND(G692&lt;&gt;"",'Historical Score'!$C$6&lt;&gt;""),IF(G692='Historical Score'!$C$6,1,0),0)</f>
        <v/>
      </c>
      <c r="AR692" s="3">
        <f>IF(AND(L692&lt;&gt;"",'Historical Score'!$C$5&lt;&gt;""),IF(L692='Historical Score'!$C$5,1,0),0)</f>
        <v/>
      </c>
      <c r="AS692" s="3">
        <f>IF(AND(Y692&lt;&gt;"",'Historical Score'!$C$7&lt;&gt;""),IF(Y692='Historical Score'!$C$7,1,0),0)</f>
        <v/>
      </c>
      <c r="AT692" s="3">
        <f>IF(AND(K692&lt;&gt;"",'Historical Score'!$C$8&lt;&gt;""),IF(K692='Historical Score'!$C$8,1,0),0)</f>
        <v/>
      </c>
      <c r="AU692" s="3" t="n"/>
      <c r="AV692" s="3" t="n"/>
      <c r="AW692" s="3" t="n"/>
      <c r="AX692" s="3" t="n"/>
      <c r="AY692" s="3" t="n"/>
      <c r="AZ692" s="3" t="n"/>
      <c r="BA692" s="182">
        <f>IF(AD692=1,(AR692*'Historical Score'!$K$29+1-'Historical Score'!$K$29)*(AT692*'Historical Score'!$L$29+1-'Historical Score'!$L$29)*(AS692*'Historical Score'!$M$29+1-'Historical Score'!$M$29)*(AQ692*'Historical Score'!$N$29+1-'Historical Score'!$N$29),0)</f>
        <v/>
      </c>
      <c r="BB692" s="3" t="n"/>
      <c r="BC692" s="3" t="n"/>
    </row>
    <row r="693" ht="15.75" customHeight="1" s="174">
      <c r="A693" s="3" t="inlineStr">
        <is>
          <t>5674179864</t>
        </is>
      </c>
      <c r="B693" s="3" t="inlineStr">
        <is>
          <t>El Katracho Restaurant LLC</t>
        </is>
      </c>
      <c r="C693" s="3" t="inlineStr">
        <is>
          <t>El Katracho Restaurant LLC</t>
        </is>
      </c>
      <c r="D693" s="3" t="inlineStr">
        <is>
          <t>Open</t>
        </is>
      </c>
      <c r="E693" s="23" t="n">
        <v>46091</v>
      </c>
      <c r="F693" s="23" t="n">
        <v>46227</v>
      </c>
      <c r="G693" s="3" t="n">
        <v>3</v>
      </c>
      <c r="H693" s="3" t="inlineStr">
        <is>
          <t>5812</t>
        </is>
      </c>
      <c r="I693" s="3" t="inlineStr">
        <is>
          <t>58</t>
        </is>
      </c>
      <c r="J693" s="3" t="inlineStr">
        <is>
          <t>TX</t>
        </is>
      </c>
      <c r="K693" s="3" t="inlineStr">
        <is>
          <t>Westwood</t>
        </is>
      </c>
      <c r="L693" s="3" t="inlineStr">
        <is>
          <t>New Deal</t>
        </is>
      </c>
      <c r="M693" s="3" t="n">
        <v>1.49</v>
      </c>
      <c r="N693" s="28" t="n">
        <v>40000</v>
      </c>
      <c r="O693" s="28" t="n">
        <v>5600</v>
      </c>
      <c r="P693" s="28" t="n">
        <v>59600</v>
      </c>
      <c r="Q693" s="28" t="n">
        <v>24211.59</v>
      </c>
      <c r="R693" s="28" t="n">
        <v>35388.41</v>
      </c>
      <c r="S693" s="42" t="n">
        <v>0.406234731543624</v>
      </c>
      <c r="T693" s="3" t="n">
        <v>32</v>
      </c>
      <c r="U693" s="3" t="n">
        <v>7</v>
      </c>
      <c r="V693" s="3" t="n">
        <v>205927.06</v>
      </c>
      <c r="W693" s="42" t="n">
        <v>0.0853</v>
      </c>
      <c r="X693" s="23" t="n">
        <v>45999</v>
      </c>
      <c r="Y693" s="3">
        <f>IF(I693="","No SIC",IFERROR(VLOOKUP(I693,Ref!$A$2:$B$65,2,FALSE()),"Unclassified"))</f>
        <v/>
      </c>
      <c r="Z693" s="3">
        <f>IF(T693="","",IF(T693&lt;12,"Daily","Weekly"))</f>
        <v/>
      </c>
      <c r="AA693" s="3">
        <f>IF(T693="",0,IF(T693&lt;12,T693*Controls!$B$13,T693*5))</f>
        <v/>
      </c>
      <c r="AB693" s="3">
        <f>IF(E693="",0,NETWORKDAYS(E693,Controls!$B$20,Ref!$K$2:$K$42))</f>
        <v/>
      </c>
      <c r="AC693" s="3">
        <f>IF(OR(AF693=1,AND(AA693&gt;0,AB693&gt;=Controls!$B$23*AA693)),1,0)</f>
        <v/>
      </c>
      <c r="AD693" s="3">
        <f>IF(AND(E693&lt;&gt;"",E693&gt;=Controls!$B$21,E693&lt;=Controls!$B$22),1,0)</f>
        <v/>
      </c>
      <c r="AE693" s="3">
        <f>IF(IFERROR(VLOOKUP(D693,Controls!$A$36:$E$46,2,FALSE()),"No")="Yes",1,0)</f>
        <v/>
      </c>
      <c r="AF693" s="3">
        <f>IF(IFERROR(VLOOKUP(D693,Controls!$A$36:$E$46,3,FALSE()),"No")="Yes",1,0)</f>
        <v/>
      </c>
      <c r="AG693" s="3">
        <f>IF(IFERROR(VLOOKUP(D693,Controls!$A$36:$E$46,4,FALSE()),"No")="Yes",1,0)</f>
        <v/>
      </c>
      <c r="AH693" s="3">
        <f>IF(IFERROR(VLOOKUP(D693,Controls!$A$36:$E$46,5,FALSE()),"No")="Yes",1,0)</f>
        <v/>
      </c>
      <c r="AI693" s="3">
        <f>IF(ISNUMBER(MATCH(D693,Controls!$A$36:$A$46,0)),1,0)</f>
        <v/>
      </c>
      <c r="AJ693" s="28">
        <f>Q693-N693</f>
        <v/>
      </c>
      <c r="AK693" s="3">
        <f>IF(AE693=1,MAX(0,N693-Q693),0)</f>
        <v/>
      </c>
      <c r="AL693" s="3">
        <f>IF(OR(V693="",V693=0),0,N693/V693)</f>
        <v/>
      </c>
      <c r="AM693" s="3">
        <f>IF(OR(V693="",V693=0),0,1)</f>
        <v/>
      </c>
      <c r="AN693" s="3">
        <f>IF(OR(E693="",F693=""),0,NETWORKDAYS(E693,F693,Ref!$K$2:$K$42))</f>
        <v/>
      </c>
      <c r="AO693" s="3">
        <f>IF(L693="Renewal",1,0)</f>
        <v/>
      </c>
      <c r="AP693" s="3">
        <f>AC693*AD693</f>
        <v/>
      </c>
      <c r="AQ693" s="3">
        <f>IF(AND(G693&lt;&gt;"",'Historical Score'!$C$6&lt;&gt;""),IF(G693='Historical Score'!$C$6,1,0),0)</f>
        <v/>
      </c>
      <c r="AR693" s="3">
        <f>IF(AND(L693&lt;&gt;"",'Historical Score'!$C$5&lt;&gt;""),IF(L693='Historical Score'!$C$5,1,0),0)</f>
        <v/>
      </c>
      <c r="AS693" s="3">
        <f>IF(AND(Y693&lt;&gt;"",'Historical Score'!$C$7&lt;&gt;""),IF(Y693='Historical Score'!$C$7,1,0),0)</f>
        <v/>
      </c>
      <c r="AT693" s="3">
        <f>IF(AND(K693&lt;&gt;"",'Historical Score'!$C$8&lt;&gt;""),IF(K693='Historical Score'!$C$8,1,0),0)</f>
        <v/>
      </c>
      <c r="AU693" s="3" t="n"/>
      <c r="AV693" s="3" t="n"/>
      <c r="AW693" s="3" t="n"/>
      <c r="AX693" s="3" t="n"/>
      <c r="AY693" s="3" t="n"/>
      <c r="AZ693" s="3" t="n"/>
      <c r="BA693" s="182">
        <f>IF(AD693=1,(AR693*'Historical Score'!$K$29+1-'Historical Score'!$K$29)*(AT693*'Historical Score'!$L$29+1-'Historical Score'!$L$29)*(AS693*'Historical Score'!$M$29+1-'Historical Score'!$M$29)*(AQ693*'Historical Score'!$N$29+1-'Historical Score'!$N$29),0)</f>
        <v/>
      </c>
      <c r="BB693" s="3" t="n"/>
      <c r="BC693" s="3" t="n"/>
    </row>
    <row r="694" ht="15.75" customHeight="1" s="174">
      <c r="A694" s="3" t="inlineStr">
        <is>
          <t>5674179865</t>
        </is>
      </c>
      <c r="B694" s="3" t="inlineStr">
        <is>
          <t>ORANGE TRANSPORTATION DBA ZIA M SHEIKH  SOLE MBR</t>
        </is>
      </c>
      <c r="C694" s="3" t="inlineStr">
        <is>
          <t>ORANGE TRANSPORTATION LLC</t>
        </is>
      </c>
      <c r="D694" s="3" t="inlineStr">
        <is>
          <t>Open</t>
        </is>
      </c>
      <c r="E694" s="23" t="n">
        <v>46091</v>
      </c>
      <c r="F694" s="23" t="n">
        <v>46247</v>
      </c>
      <c r="G694" s="3" t="n">
        <v>4</v>
      </c>
      <c r="H694" s="3" t="inlineStr">
        <is>
          <t>9661</t>
        </is>
      </c>
      <c r="I694" s="3" t="inlineStr">
        <is>
          <t>96</t>
        </is>
      </c>
      <c r="J694" s="3" t="inlineStr">
        <is>
          <t>TX</t>
        </is>
      </c>
      <c r="K694" s="3" t="inlineStr">
        <is>
          <t>United Secured Capital 8</t>
        </is>
      </c>
      <c r="L694" s="3" t="inlineStr">
        <is>
          <t>New Deal</t>
        </is>
      </c>
      <c r="M694" s="3" t="n">
        <v>1.45</v>
      </c>
      <c r="N694" s="28" t="n">
        <v>72000</v>
      </c>
      <c r="O694" s="28" t="n">
        <v>8640</v>
      </c>
      <c r="P694" s="28" t="n">
        <v>104400</v>
      </c>
      <c r="Q694" s="28" t="n">
        <v>88931.34</v>
      </c>
      <c r="R694" s="28" t="n">
        <v>15468.66</v>
      </c>
      <c r="S694" s="42" t="n">
        <v>0.85183275862069</v>
      </c>
      <c r="T694" s="3" t="n">
        <v>27</v>
      </c>
      <c r="U694" s="3" t="n">
        <v>0</v>
      </c>
      <c r="V694" s="3" t="n">
        <v>276183.97</v>
      </c>
      <c r="W694" s="42" t="n">
        <v>0.056</v>
      </c>
      <c r="X694" s="23" t="n">
        <v>44566</v>
      </c>
      <c r="Y694" s="3">
        <f>IF(I694="","No SIC",IFERROR(VLOOKUP(I694,Ref!$A$2:$B$65,2,FALSE()),"Unclassified"))</f>
        <v/>
      </c>
      <c r="Z694" s="3">
        <f>IF(T694="","",IF(T694&lt;12,"Daily","Weekly"))</f>
        <v/>
      </c>
      <c r="AA694" s="3">
        <f>IF(T694="",0,IF(T694&lt;12,T694*Controls!$B$13,T694*5))</f>
        <v/>
      </c>
      <c r="AB694" s="3">
        <f>IF(E694="",0,NETWORKDAYS(E694,Controls!$B$20,Ref!$K$2:$K$42))</f>
        <v/>
      </c>
      <c r="AC694" s="3">
        <f>IF(OR(AF694=1,AND(AA694&gt;0,AB694&gt;=Controls!$B$23*AA694)),1,0)</f>
        <v/>
      </c>
      <c r="AD694" s="3">
        <f>IF(AND(E694&lt;&gt;"",E694&gt;=Controls!$B$21,E694&lt;=Controls!$B$22),1,0)</f>
        <v/>
      </c>
      <c r="AE694" s="3">
        <f>IF(IFERROR(VLOOKUP(D694,Controls!$A$36:$E$46,2,FALSE()),"No")="Yes",1,0)</f>
        <v/>
      </c>
      <c r="AF694" s="3">
        <f>IF(IFERROR(VLOOKUP(D694,Controls!$A$36:$E$46,3,FALSE()),"No")="Yes",1,0)</f>
        <v/>
      </c>
      <c r="AG694" s="3">
        <f>IF(IFERROR(VLOOKUP(D694,Controls!$A$36:$E$46,4,FALSE()),"No")="Yes",1,0)</f>
        <v/>
      </c>
      <c r="AH694" s="3">
        <f>IF(IFERROR(VLOOKUP(D694,Controls!$A$36:$E$46,5,FALSE()),"No")="Yes",1,0)</f>
        <v/>
      </c>
      <c r="AI694" s="3">
        <f>IF(ISNUMBER(MATCH(D694,Controls!$A$36:$A$46,0)),1,0)</f>
        <v/>
      </c>
      <c r="AJ694" s="28">
        <f>Q694-N694</f>
        <v/>
      </c>
      <c r="AK694" s="3">
        <f>IF(AE694=1,MAX(0,N694-Q694),0)</f>
        <v/>
      </c>
      <c r="AL694" s="3">
        <f>IF(OR(V694="",V694=0),0,N694/V694)</f>
        <v/>
      </c>
      <c r="AM694" s="3">
        <f>IF(OR(V694="",V694=0),0,1)</f>
        <v/>
      </c>
      <c r="AN694" s="3">
        <f>IF(OR(E694="",F694=""),0,NETWORKDAYS(E694,F694,Ref!$K$2:$K$42))</f>
        <v/>
      </c>
      <c r="AO694" s="3">
        <f>IF(L694="Renewal",1,0)</f>
        <v/>
      </c>
      <c r="AP694" s="3">
        <f>AC694*AD694</f>
        <v/>
      </c>
      <c r="AQ694" s="3">
        <f>IF(AND(G694&lt;&gt;"",'Historical Score'!$C$6&lt;&gt;""),IF(G694='Historical Score'!$C$6,1,0),0)</f>
        <v/>
      </c>
      <c r="AR694" s="3">
        <f>IF(AND(L694&lt;&gt;"",'Historical Score'!$C$5&lt;&gt;""),IF(L694='Historical Score'!$C$5,1,0),0)</f>
        <v/>
      </c>
      <c r="AS694" s="3">
        <f>IF(AND(Y694&lt;&gt;"",'Historical Score'!$C$7&lt;&gt;""),IF(Y694='Historical Score'!$C$7,1,0),0)</f>
        <v/>
      </c>
      <c r="AT694" s="3">
        <f>IF(AND(K694&lt;&gt;"",'Historical Score'!$C$8&lt;&gt;""),IF(K694='Historical Score'!$C$8,1,0),0)</f>
        <v/>
      </c>
      <c r="AU694" s="3" t="n"/>
      <c r="AV694" s="3" t="n"/>
      <c r="AW694" s="3" t="n"/>
      <c r="AX694" s="3" t="n"/>
      <c r="AY694" s="3" t="n"/>
      <c r="AZ694" s="3" t="n"/>
      <c r="BA694" s="182">
        <f>IF(AD694=1,(AR694*'Historical Score'!$K$29+1-'Historical Score'!$K$29)*(AT694*'Historical Score'!$L$29+1-'Historical Score'!$L$29)*(AS694*'Historical Score'!$M$29+1-'Historical Score'!$M$29)*(AQ694*'Historical Score'!$N$29+1-'Historical Score'!$N$29),0)</f>
        <v/>
      </c>
      <c r="BB694" s="3" t="n"/>
      <c r="BC694" s="3" t="n"/>
    </row>
    <row r="695" ht="15.75" customHeight="1" s="174">
      <c r="A695" s="3" t="inlineStr">
        <is>
          <t>5674179905</t>
        </is>
      </c>
      <c r="B695" s="3" t="inlineStr">
        <is>
          <t>1Numerica Solutions JCSN Accounting Services</t>
        </is>
      </c>
      <c r="C695" s="3" t="inlineStr">
        <is>
          <t>JCSN Corp</t>
        </is>
      </c>
      <c r="D695" s="3" t="inlineStr">
        <is>
          <t>Closed</t>
        </is>
      </c>
      <c r="E695" s="23" t="n">
        <v>46091</v>
      </c>
      <c r="F695" s="23" t="n">
        <v>46216</v>
      </c>
      <c r="G695" s="3" t="n">
        <v>3</v>
      </c>
      <c r="H695" s="3" t="inlineStr">
        <is>
          <t>8721</t>
        </is>
      </c>
      <c r="I695" s="3" t="inlineStr">
        <is>
          <t>87</t>
        </is>
      </c>
      <c r="J695" s="3" t="inlineStr">
        <is>
          <t>CA</t>
        </is>
      </c>
      <c r="K695" s="3" t="inlineStr">
        <is>
          <t>The Funding Family</t>
        </is>
      </c>
      <c r="L695" s="3" t="inlineStr">
        <is>
          <t>New Deal</t>
        </is>
      </c>
      <c r="M695" s="3" t="n">
        <v>1.49</v>
      </c>
      <c r="N695" s="28" t="n">
        <v>26000</v>
      </c>
      <c r="O695" s="28" t="n">
        <v>3640</v>
      </c>
      <c r="P695" s="28" t="n">
        <v>38740</v>
      </c>
      <c r="Q695" s="28" t="n">
        <v>38740</v>
      </c>
      <c r="R695" s="28" t="n">
        <v>0</v>
      </c>
      <c r="S695" s="42" t="n">
        <v>1</v>
      </c>
      <c r="T695" s="3" t="n">
        <v>30</v>
      </c>
      <c r="U695" s="3" t="n">
        <v>1</v>
      </c>
      <c r="V695" s="3" t="n">
        <v>227249.49</v>
      </c>
      <c r="W695" s="42" t="n">
        <v>0.0227</v>
      </c>
      <c r="X695" s="23" t="n">
        <v>44410</v>
      </c>
      <c r="Y695" s="3">
        <f>IF(I695="","No SIC",IFERROR(VLOOKUP(I695,Ref!$A$2:$B$65,2,FALSE()),"Unclassified"))</f>
        <v/>
      </c>
      <c r="Z695" s="3">
        <f>IF(T695="","",IF(T695&lt;12,"Daily","Weekly"))</f>
        <v/>
      </c>
      <c r="AA695" s="3">
        <f>IF(T695="",0,IF(T695&lt;12,T695*Controls!$B$13,T695*5))</f>
        <v/>
      </c>
      <c r="AB695" s="3">
        <f>IF(E695="",0,NETWORKDAYS(E695,Controls!$B$20,Ref!$K$2:$K$42))</f>
        <v/>
      </c>
      <c r="AC695" s="3">
        <f>IF(OR(AF695=1,AND(AA695&gt;0,AB695&gt;=Controls!$B$23*AA695)),1,0)</f>
        <v/>
      </c>
      <c r="AD695" s="3">
        <f>IF(AND(E695&lt;&gt;"",E695&gt;=Controls!$B$21,E695&lt;=Controls!$B$22),1,0)</f>
        <v/>
      </c>
      <c r="AE695" s="3">
        <f>IF(IFERROR(VLOOKUP(D695,Controls!$A$36:$E$46,2,FALSE()),"No")="Yes",1,0)</f>
        <v/>
      </c>
      <c r="AF695" s="3">
        <f>IF(IFERROR(VLOOKUP(D695,Controls!$A$36:$E$46,3,FALSE()),"No")="Yes",1,0)</f>
        <v/>
      </c>
      <c r="AG695" s="3">
        <f>IF(IFERROR(VLOOKUP(D695,Controls!$A$36:$E$46,4,FALSE()),"No")="Yes",1,0)</f>
        <v/>
      </c>
      <c r="AH695" s="3">
        <f>IF(IFERROR(VLOOKUP(D695,Controls!$A$36:$E$46,5,FALSE()),"No")="Yes",1,0)</f>
        <v/>
      </c>
      <c r="AI695" s="3">
        <f>IF(ISNUMBER(MATCH(D695,Controls!$A$36:$A$46,0)),1,0)</f>
        <v/>
      </c>
      <c r="AJ695" s="28">
        <f>Q695-N695</f>
        <v/>
      </c>
      <c r="AK695" s="3">
        <f>IF(AE695=1,MAX(0,N695-Q695),0)</f>
        <v/>
      </c>
      <c r="AL695" s="3">
        <f>IF(OR(V695="",V695=0),0,N695/V695)</f>
        <v/>
      </c>
      <c r="AM695" s="3">
        <f>IF(OR(V695="",V695=0),0,1)</f>
        <v/>
      </c>
      <c r="AN695" s="3">
        <f>IF(OR(E695="",F695=""),0,NETWORKDAYS(E695,F695,Ref!$K$2:$K$42))</f>
        <v/>
      </c>
      <c r="AO695" s="3">
        <f>IF(L695="Renewal",1,0)</f>
        <v/>
      </c>
      <c r="AP695" s="3">
        <f>AC695*AD695</f>
        <v/>
      </c>
      <c r="AQ695" s="3">
        <f>IF(AND(G695&lt;&gt;"",'Historical Score'!$C$6&lt;&gt;""),IF(G695='Historical Score'!$C$6,1,0),0)</f>
        <v/>
      </c>
      <c r="AR695" s="3">
        <f>IF(AND(L695&lt;&gt;"",'Historical Score'!$C$5&lt;&gt;""),IF(L695='Historical Score'!$C$5,1,0),0)</f>
        <v/>
      </c>
      <c r="AS695" s="3">
        <f>IF(AND(Y695&lt;&gt;"",'Historical Score'!$C$7&lt;&gt;""),IF(Y695='Historical Score'!$C$7,1,0),0)</f>
        <v/>
      </c>
      <c r="AT695" s="3">
        <f>IF(AND(K695&lt;&gt;"",'Historical Score'!$C$8&lt;&gt;""),IF(K695='Historical Score'!$C$8,1,0),0)</f>
        <v/>
      </c>
      <c r="AU695" s="3" t="n"/>
      <c r="AV695" s="3" t="n"/>
      <c r="AW695" s="3" t="n"/>
      <c r="AX695" s="3" t="n"/>
      <c r="AY695" s="3" t="n"/>
      <c r="AZ695" s="3" t="n"/>
      <c r="BA695" s="182">
        <f>IF(AD695=1,(AR695*'Historical Score'!$K$29+1-'Historical Score'!$K$29)*(AT695*'Historical Score'!$L$29+1-'Historical Score'!$L$29)*(AS695*'Historical Score'!$M$29+1-'Historical Score'!$M$29)*(AQ695*'Historical Score'!$N$29+1-'Historical Score'!$N$29),0)</f>
        <v/>
      </c>
      <c r="BB695" s="3" t="n"/>
      <c r="BC695" s="3" t="n"/>
    </row>
    <row r="696" ht="15.75" customHeight="1" s="174">
      <c r="A696" s="3" t="inlineStr">
        <is>
          <t>5674179921</t>
        </is>
      </c>
      <c r="B696" s="3" t="inlineStr">
        <is>
          <t>Focus Freight Llc</t>
        </is>
      </c>
      <c r="C696" s="3" t="inlineStr">
        <is>
          <t>Focus Freight Llc</t>
        </is>
      </c>
      <c r="D696" s="3" t="inlineStr">
        <is>
          <t>Legal</t>
        </is>
      </c>
      <c r="E696" s="23" t="n">
        <v>46091</v>
      </c>
      <c r="F696" s="23" t="n">
        <v>46234</v>
      </c>
      <c r="G696" s="3" t="n">
        <v>3</v>
      </c>
      <c r="H696" s="3" t="inlineStr">
        <is>
          <t>4212</t>
        </is>
      </c>
      <c r="I696" s="3" t="inlineStr">
        <is>
          <t>42</t>
        </is>
      </c>
      <c r="J696" s="3" t="inlineStr">
        <is>
          <t>TN</t>
        </is>
      </c>
      <c r="K696" s="3" t="inlineStr">
        <is>
          <t>upcrunch</t>
        </is>
      </c>
      <c r="L696" s="3" t="inlineStr">
        <is>
          <t>New Deal</t>
        </is>
      </c>
      <c r="M696" s="3" t="n">
        <v>1.49</v>
      </c>
      <c r="N696" s="28" t="n">
        <v>5000</v>
      </c>
      <c r="O696" s="28" t="n">
        <v>700</v>
      </c>
      <c r="P696" s="28" t="n">
        <v>7450</v>
      </c>
      <c r="Q696" s="28" t="n">
        <v>5002.01</v>
      </c>
      <c r="R696" s="28" t="n">
        <v>2447.99</v>
      </c>
      <c r="S696" s="42" t="n">
        <v>0.6714107382550339</v>
      </c>
      <c r="T696" s="3" t="n">
        <v>1.967</v>
      </c>
      <c r="U696" s="3" t="n">
        <v>21</v>
      </c>
      <c r="V696" s="3" t="n">
        <v>63343.36</v>
      </c>
      <c r="W696" s="42" t="n">
        <v>0.0412</v>
      </c>
      <c r="X696" s="23" t="n">
        <v>44039</v>
      </c>
      <c r="Y696" s="3">
        <f>IF(I696="","No SIC",IFERROR(VLOOKUP(I696,Ref!$A$2:$B$65,2,FALSE()),"Unclassified"))</f>
        <v/>
      </c>
      <c r="Z696" s="3">
        <f>IF(T696="","",IF(T696&lt;12,"Daily","Weekly"))</f>
        <v/>
      </c>
      <c r="AA696" s="3">
        <f>IF(T696="",0,IF(T696&lt;12,T696*Controls!$B$13,T696*5))</f>
        <v/>
      </c>
      <c r="AB696" s="3">
        <f>IF(E696="",0,NETWORKDAYS(E696,Controls!$B$20,Ref!$K$2:$K$42))</f>
        <v/>
      </c>
      <c r="AC696" s="3">
        <f>IF(OR(AF696=1,AND(AA696&gt;0,AB696&gt;=Controls!$B$23*AA696)),1,0)</f>
        <v/>
      </c>
      <c r="AD696" s="3">
        <f>IF(AND(E696&lt;&gt;"",E696&gt;=Controls!$B$21,E696&lt;=Controls!$B$22),1,0)</f>
        <v/>
      </c>
      <c r="AE696" s="3">
        <f>IF(IFERROR(VLOOKUP(D696,Controls!$A$36:$E$46,2,FALSE()),"No")="Yes",1,0)</f>
        <v/>
      </c>
      <c r="AF696" s="3">
        <f>IF(IFERROR(VLOOKUP(D696,Controls!$A$36:$E$46,3,FALSE()),"No")="Yes",1,0)</f>
        <v/>
      </c>
      <c r="AG696" s="3">
        <f>IF(IFERROR(VLOOKUP(D696,Controls!$A$36:$E$46,4,FALSE()),"No")="Yes",1,0)</f>
        <v/>
      </c>
      <c r="AH696" s="3">
        <f>IF(IFERROR(VLOOKUP(D696,Controls!$A$36:$E$46,5,FALSE()),"No")="Yes",1,0)</f>
        <v/>
      </c>
      <c r="AI696" s="3">
        <f>IF(ISNUMBER(MATCH(D696,Controls!$A$36:$A$46,0)),1,0)</f>
        <v/>
      </c>
      <c r="AJ696" s="28">
        <f>Q696-N696</f>
        <v/>
      </c>
      <c r="AK696" s="3">
        <f>IF(AE696=1,MAX(0,N696-Q696),0)</f>
        <v/>
      </c>
      <c r="AL696" s="3">
        <f>IF(OR(V696="",V696=0),0,N696/V696)</f>
        <v/>
      </c>
      <c r="AM696" s="3">
        <f>IF(OR(V696="",V696=0),0,1)</f>
        <v/>
      </c>
      <c r="AN696" s="3">
        <f>IF(OR(E696="",F696=""),0,NETWORKDAYS(E696,F696,Ref!$K$2:$K$42))</f>
        <v/>
      </c>
      <c r="AO696" s="3">
        <f>IF(L696="Renewal",1,0)</f>
        <v/>
      </c>
      <c r="AP696" s="3">
        <f>AC696*AD696</f>
        <v/>
      </c>
      <c r="AQ696" s="3">
        <f>IF(AND(G696&lt;&gt;"",'Historical Score'!$C$6&lt;&gt;""),IF(G696='Historical Score'!$C$6,1,0),0)</f>
        <v/>
      </c>
      <c r="AR696" s="3">
        <f>IF(AND(L696&lt;&gt;"",'Historical Score'!$C$5&lt;&gt;""),IF(L696='Historical Score'!$C$5,1,0),0)</f>
        <v/>
      </c>
      <c r="AS696" s="3">
        <f>IF(AND(Y696&lt;&gt;"",'Historical Score'!$C$7&lt;&gt;""),IF(Y696='Historical Score'!$C$7,1,0),0)</f>
        <v/>
      </c>
      <c r="AT696" s="3">
        <f>IF(AND(K696&lt;&gt;"",'Historical Score'!$C$8&lt;&gt;""),IF(K696='Historical Score'!$C$8,1,0),0)</f>
        <v/>
      </c>
      <c r="AU696" s="3" t="n"/>
      <c r="AV696" s="3" t="n"/>
      <c r="AW696" s="3" t="n"/>
      <c r="AX696" s="3" t="n"/>
      <c r="AY696" s="3" t="n"/>
      <c r="AZ696" s="3" t="n"/>
      <c r="BA696" s="182">
        <f>IF(AD696=1,(AR696*'Historical Score'!$K$29+1-'Historical Score'!$K$29)*(AT696*'Historical Score'!$L$29+1-'Historical Score'!$L$29)*(AS696*'Historical Score'!$M$29+1-'Historical Score'!$M$29)*(AQ696*'Historical Score'!$N$29+1-'Historical Score'!$N$29),0)</f>
        <v/>
      </c>
      <c r="BB696" s="3" t="n"/>
      <c r="BC696" s="3" t="n"/>
    </row>
    <row r="697" ht="15.75" customHeight="1" s="174">
      <c r="A697" s="3" t="inlineStr">
        <is>
          <t>5674179923</t>
        </is>
      </c>
      <c r="B697" s="3" t="inlineStr">
        <is>
          <t>Wood's Landscape Services Inc</t>
        </is>
      </c>
      <c r="C697" s="3" t="inlineStr">
        <is>
          <t>Barlwood Enterprises, LLC</t>
        </is>
      </c>
      <c r="D697" s="3" t="inlineStr">
        <is>
          <t>Closed</t>
        </is>
      </c>
      <c r="E697" s="23" t="n">
        <v>46091</v>
      </c>
      <c r="F697" s="23" t="n">
        <v>46175</v>
      </c>
      <c r="G697" s="3" t="n">
        <v>3</v>
      </c>
      <c r="H697" s="3" t="inlineStr">
        <is>
          <t>0781</t>
        </is>
      </c>
      <c r="I697" s="3" t="inlineStr">
        <is>
          <t>07</t>
        </is>
      </c>
      <c r="J697" s="3" t="inlineStr">
        <is>
          <t>TX</t>
        </is>
      </c>
      <c r="K697" s="3" t="inlineStr">
        <is>
          <t>True Eagle Capital</t>
        </is>
      </c>
      <c r="L697" s="3" t="inlineStr">
        <is>
          <t>New Deal</t>
        </is>
      </c>
      <c r="M697" s="3" t="n">
        <v>1.49</v>
      </c>
      <c r="N697" s="28" t="n">
        <v>20000</v>
      </c>
      <c r="O697" s="28" t="n">
        <v>2800</v>
      </c>
      <c r="P697" s="28" t="n">
        <v>29800</v>
      </c>
      <c r="Q697" s="28" t="n">
        <v>29800</v>
      </c>
      <c r="R697" s="28" t="n">
        <v>0</v>
      </c>
      <c r="S697" s="42" t="n">
        <v>1</v>
      </c>
      <c r="T697" s="3" t="n">
        <v>2.951</v>
      </c>
      <c r="U697" s="3" t="n">
        <v>3</v>
      </c>
      <c r="V697" s="3" t="n">
        <v>57633.25</v>
      </c>
      <c r="W697" s="42" t="n">
        <v>0.1206</v>
      </c>
      <c r="X697" s="23" t="n">
        <v>30376</v>
      </c>
      <c r="Y697" s="3">
        <f>IF(I697="","No SIC",IFERROR(VLOOKUP(I697,Ref!$A$2:$B$65,2,FALSE()),"Unclassified"))</f>
        <v/>
      </c>
      <c r="Z697" s="3">
        <f>IF(T697="","",IF(T697&lt;12,"Daily","Weekly"))</f>
        <v/>
      </c>
      <c r="AA697" s="3">
        <f>IF(T697="",0,IF(T697&lt;12,T697*Controls!$B$13,T697*5))</f>
        <v/>
      </c>
      <c r="AB697" s="3">
        <f>IF(E697="",0,NETWORKDAYS(E697,Controls!$B$20,Ref!$K$2:$K$42))</f>
        <v/>
      </c>
      <c r="AC697" s="3">
        <f>IF(OR(AF697=1,AND(AA697&gt;0,AB697&gt;=Controls!$B$23*AA697)),1,0)</f>
        <v/>
      </c>
      <c r="AD697" s="3">
        <f>IF(AND(E697&lt;&gt;"",E697&gt;=Controls!$B$21,E697&lt;=Controls!$B$22),1,0)</f>
        <v/>
      </c>
      <c r="AE697" s="3">
        <f>IF(IFERROR(VLOOKUP(D697,Controls!$A$36:$E$46,2,FALSE()),"No")="Yes",1,0)</f>
        <v/>
      </c>
      <c r="AF697" s="3">
        <f>IF(IFERROR(VLOOKUP(D697,Controls!$A$36:$E$46,3,FALSE()),"No")="Yes",1,0)</f>
        <v/>
      </c>
      <c r="AG697" s="3">
        <f>IF(IFERROR(VLOOKUP(D697,Controls!$A$36:$E$46,4,FALSE()),"No")="Yes",1,0)</f>
        <v/>
      </c>
      <c r="AH697" s="3">
        <f>IF(IFERROR(VLOOKUP(D697,Controls!$A$36:$E$46,5,FALSE()),"No")="Yes",1,0)</f>
        <v/>
      </c>
      <c r="AI697" s="3">
        <f>IF(ISNUMBER(MATCH(D697,Controls!$A$36:$A$46,0)),1,0)</f>
        <v/>
      </c>
      <c r="AJ697" s="28">
        <f>Q697-N697</f>
        <v/>
      </c>
      <c r="AK697" s="3">
        <f>IF(AE697=1,MAX(0,N697-Q697),0)</f>
        <v/>
      </c>
      <c r="AL697" s="3">
        <f>IF(OR(V697="",V697=0),0,N697/V697)</f>
        <v/>
      </c>
      <c r="AM697" s="3">
        <f>IF(OR(V697="",V697=0),0,1)</f>
        <v/>
      </c>
      <c r="AN697" s="3">
        <f>IF(OR(E697="",F697=""),0,NETWORKDAYS(E697,F697,Ref!$K$2:$K$42))</f>
        <v/>
      </c>
      <c r="AO697" s="3">
        <f>IF(L697="Renewal",1,0)</f>
        <v/>
      </c>
      <c r="AP697" s="3">
        <f>AC697*AD697</f>
        <v/>
      </c>
      <c r="AQ697" s="3">
        <f>IF(AND(G697&lt;&gt;"",'Historical Score'!$C$6&lt;&gt;""),IF(G697='Historical Score'!$C$6,1,0),0)</f>
        <v/>
      </c>
      <c r="AR697" s="3">
        <f>IF(AND(L697&lt;&gt;"",'Historical Score'!$C$5&lt;&gt;""),IF(L697='Historical Score'!$C$5,1,0),0)</f>
        <v/>
      </c>
      <c r="AS697" s="3">
        <f>IF(AND(Y697&lt;&gt;"",'Historical Score'!$C$7&lt;&gt;""),IF(Y697='Historical Score'!$C$7,1,0),0)</f>
        <v/>
      </c>
      <c r="AT697" s="3">
        <f>IF(AND(K697&lt;&gt;"",'Historical Score'!$C$8&lt;&gt;""),IF(K697='Historical Score'!$C$8,1,0),0)</f>
        <v/>
      </c>
      <c r="AU697" s="3" t="n"/>
      <c r="AV697" s="3" t="n"/>
      <c r="AW697" s="3" t="n"/>
      <c r="AX697" s="3" t="n"/>
      <c r="AY697" s="3" t="n"/>
      <c r="AZ697" s="3" t="n"/>
      <c r="BA697" s="182">
        <f>IF(AD697=1,(AR697*'Historical Score'!$K$29+1-'Historical Score'!$K$29)*(AT697*'Historical Score'!$L$29+1-'Historical Score'!$L$29)*(AS697*'Historical Score'!$M$29+1-'Historical Score'!$M$29)*(AQ697*'Historical Score'!$N$29+1-'Historical Score'!$N$29),0)</f>
        <v/>
      </c>
      <c r="BB697" s="3" t="n"/>
      <c r="BC697" s="3" t="n"/>
    </row>
    <row r="698" ht="15.75" customHeight="1" s="174">
      <c r="A698" s="3" t="inlineStr">
        <is>
          <t>5674179949</t>
        </is>
      </c>
      <c r="B698" s="3" t="inlineStr">
        <is>
          <t>JJ MUTTS W&amp;S</t>
        </is>
      </c>
      <c r="C698" s="3" t="inlineStr">
        <is>
          <t>DMV</t>
        </is>
      </c>
      <c r="D698" s="3" t="inlineStr">
        <is>
          <t>Closed</t>
        </is>
      </c>
      <c r="E698" s="23" t="n">
        <v>46092</v>
      </c>
      <c r="F698" s="23" t="n">
        <v>46168</v>
      </c>
      <c r="G698" s="3" t="n">
        <v>3</v>
      </c>
      <c r="H698" s="3" t="inlineStr">
        <is>
          <t>5999</t>
        </is>
      </c>
      <c r="I698" s="3" t="inlineStr">
        <is>
          <t>59</t>
        </is>
      </c>
      <c r="J698" s="3" t="inlineStr">
        <is>
          <t>MD</t>
        </is>
      </c>
      <c r="K698" s="3" t="inlineStr">
        <is>
          <t>Mills  funding group</t>
        </is>
      </c>
      <c r="L698" s="3" t="inlineStr">
        <is>
          <t>New Deal</t>
        </is>
      </c>
      <c r="M698" s="3" t="n">
        <v>1.45</v>
      </c>
      <c r="N698" s="28" t="n">
        <v>25000</v>
      </c>
      <c r="O698" s="28" t="n">
        <v>3000</v>
      </c>
      <c r="P698" s="28" t="n">
        <v>36250</v>
      </c>
      <c r="Q698" s="28" t="n">
        <v>36250</v>
      </c>
      <c r="R698" s="28" t="n">
        <v>0</v>
      </c>
      <c r="S698" s="42" t="n">
        <v>1</v>
      </c>
      <c r="T698" s="3" t="n">
        <v>2.295</v>
      </c>
      <c r="U698" s="3" t="n">
        <v>2</v>
      </c>
      <c r="V698" s="3" t="n">
        <v>152565.23</v>
      </c>
      <c r="W698" s="42" t="n">
        <v>0.0713</v>
      </c>
      <c r="X698" s="23" t="n">
        <v>45108</v>
      </c>
      <c r="Y698" s="3">
        <f>IF(I698="","No SIC",IFERROR(VLOOKUP(I698,Ref!$A$2:$B$65,2,FALSE()),"Unclassified"))</f>
        <v/>
      </c>
      <c r="Z698" s="3">
        <f>IF(T698="","",IF(T698&lt;12,"Daily","Weekly"))</f>
        <v/>
      </c>
      <c r="AA698" s="3">
        <f>IF(T698="",0,IF(T698&lt;12,T698*Controls!$B$13,T698*5))</f>
        <v/>
      </c>
      <c r="AB698" s="3">
        <f>IF(E698="",0,NETWORKDAYS(E698,Controls!$B$20,Ref!$K$2:$K$42))</f>
        <v/>
      </c>
      <c r="AC698" s="3">
        <f>IF(OR(AF698=1,AND(AA698&gt;0,AB698&gt;=Controls!$B$23*AA698)),1,0)</f>
        <v/>
      </c>
      <c r="AD698" s="3">
        <f>IF(AND(E698&lt;&gt;"",E698&gt;=Controls!$B$21,E698&lt;=Controls!$B$22),1,0)</f>
        <v/>
      </c>
      <c r="AE698" s="3">
        <f>IF(IFERROR(VLOOKUP(D698,Controls!$A$36:$E$46,2,FALSE()),"No")="Yes",1,0)</f>
        <v/>
      </c>
      <c r="AF698" s="3">
        <f>IF(IFERROR(VLOOKUP(D698,Controls!$A$36:$E$46,3,FALSE()),"No")="Yes",1,0)</f>
        <v/>
      </c>
      <c r="AG698" s="3">
        <f>IF(IFERROR(VLOOKUP(D698,Controls!$A$36:$E$46,4,FALSE()),"No")="Yes",1,0)</f>
        <v/>
      </c>
      <c r="AH698" s="3">
        <f>IF(IFERROR(VLOOKUP(D698,Controls!$A$36:$E$46,5,FALSE()),"No")="Yes",1,0)</f>
        <v/>
      </c>
      <c r="AI698" s="3">
        <f>IF(ISNUMBER(MATCH(D698,Controls!$A$36:$A$46,0)),1,0)</f>
        <v/>
      </c>
      <c r="AJ698" s="28">
        <f>Q698-N698</f>
        <v/>
      </c>
      <c r="AK698" s="3">
        <f>IF(AE698=1,MAX(0,N698-Q698),0)</f>
        <v/>
      </c>
      <c r="AL698" s="3">
        <f>IF(OR(V698="",V698=0),0,N698/V698)</f>
        <v/>
      </c>
      <c r="AM698" s="3">
        <f>IF(OR(V698="",V698=0),0,1)</f>
        <v/>
      </c>
      <c r="AN698" s="3">
        <f>IF(OR(E698="",F698=""),0,NETWORKDAYS(E698,F698,Ref!$K$2:$K$42))</f>
        <v/>
      </c>
      <c r="AO698" s="3">
        <f>IF(L698="Renewal",1,0)</f>
        <v/>
      </c>
      <c r="AP698" s="3">
        <f>AC698*AD698</f>
        <v/>
      </c>
      <c r="AQ698" s="3">
        <f>IF(AND(G698&lt;&gt;"",'Historical Score'!$C$6&lt;&gt;""),IF(G698='Historical Score'!$C$6,1,0),0)</f>
        <v/>
      </c>
      <c r="AR698" s="3">
        <f>IF(AND(L698&lt;&gt;"",'Historical Score'!$C$5&lt;&gt;""),IF(L698='Historical Score'!$C$5,1,0),0)</f>
        <v/>
      </c>
      <c r="AS698" s="3">
        <f>IF(AND(Y698&lt;&gt;"",'Historical Score'!$C$7&lt;&gt;""),IF(Y698='Historical Score'!$C$7,1,0),0)</f>
        <v/>
      </c>
      <c r="AT698" s="3">
        <f>IF(AND(K698&lt;&gt;"",'Historical Score'!$C$8&lt;&gt;""),IF(K698='Historical Score'!$C$8,1,0),0)</f>
        <v/>
      </c>
      <c r="AU698" s="3" t="n"/>
      <c r="AV698" s="3" t="n"/>
      <c r="AW698" s="3" t="n"/>
      <c r="AX698" s="3" t="n"/>
      <c r="AY698" s="3" t="n"/>
      <c r="AZ698" s="3" t="n"/>
      <c r="BA698" s="182">
        <f>IF(AD698=1,(AR698*'Historical Score'!$K$29+1-'Historical Score'!$K$29)*(AT698*'Historical Score'!$L$29+1-'Historical Score'!$L$29)*(AS698*'Historical Score'!$M$29+1-'Historical Score'!$M$29)*(AQ698*'Historical Score'!$N$29+1-'Historical Score'!$N$29),0)</f>
        <v/>
      </c>
      <c r="BB698" s="3" t="n"/>
      <c r="BC698" s="3" t="n"/>
    </row>
    <row r="699" ht="15.75" customHeight="1" s="174">
      <c r="A699" s="3" t="inlineStr">
        <is>
          <t>5674179963</t>
        </is>
      </c>
      <c r="B699" s="3" t="inlineStr">
        <is>
          <t>kkc partners llc</t>
        </is>
      </c>
      <c r="C699" s="3" t="inlineStr">
        <is>
          <t>kkc partners llc</t>
        </is>
      </c>
      <c r="D699" s="3" t="inlineStr">
        <is>
          <t>Open</t>
        </is>
      </c>
      <c r="E699" s="23" t="n">
        <v>46092</v>
      </c>
      <c r="F699" s="23" t="n">
        <v>46253</v>
      </c>
      <c r="G699" s="3" t="n">
        <v>3</v>
      </c>
      <c r="H699" s="3" t="inlineStr">
        <is>
          <t>5999</t>
        </is>
      </c>
      <c r="I699" s="3" t="inlineStr">
        <is>
          <t>59</t>
        </is>
      </c>
      <c r="J699" s="3" t="inlineStr">
        <is>
          <t>GA</t>
        </is>
      </c>
      <c r="K699" s="3" t="inlineStr">
        <is>
          <t>secure way capital</t>
        </is>
      </c>
      <c r="L699" s="3" t="inlineStr">
        <is>
          <t>New Deal</t>
        </is>
      </c>
      <c r="M699" s="3" t="n">
        <v>1.49</v>
      </c>
      <c r="N699" s="28" t="n">
        <v>10000</v>
      </c>
      <c r="O699" s="28" t="n">
        <v>1400</v>
      </c>
      <c r="P699" s="28" t="n">
        <v>14900</v>
      </c>
      <c r="Q699" s="28" t="n">
        <v>11917.8</v>
      </c>
      <c r="R699" s="28" t="n">
        <v>2982.2</v>
      </c>
      <c r="S699" s="42" t="n">
        <v>0.7998523489932891</v>
      </c>
      <c r="T699" s="3" t="n">
        <v>2.459</v>
      </c>
      <c r="U699" s="3" t="n">
        <v>34</v>
      </c>
      <c r="V699" s="3" t="n">
        <v>27103.39</v>
      </c>
      <c r="W699" s="42" t="n">
        <v>0.1539</v>
      </c>
      <c r="X699" s="23" t="n">
        <v>45383</v>
      </c>
      <c r="Y699" s="3">
        <f>IF(I699="","No SIC",IFERROR(VLOOKUP(I699,Ref!$A$2:$B$65,2,FALSE()),"Unclassified"))</f>
        <v/>
      </c>
      <c r="Z699" s="3">
        <f>IF(T699="","",IF(T699&lt;12,"Daily","Weekly"))</f>
        <v/>
      </c>
      <c r="AA699" s="3">
        <f>IF(T699="",0,IF(T699&lt;12,T699*Controls!$B$13,T699*5))</f>
        <v/>
      </c>
      <c r="AB699" s="3">
        <f>IF(E699="",0,NETWORKDAYS(E699,Controls!$B$20,Ref!$K$2:$K$42))</f>
        <v/>
      </c>
      <c r="AC699" s="3">
        <f>IF(OR(AF699=1,AND(AA699&gt;0,AB699&gt;=Controls!$B$23*AA699)),1,0)</f>
        <v/>
      </c>
      <c r="AD699" s="3">
        <f>IF(AND(E699&lt;&gt;"",E699&gt;=Controls!$B$21,E699&lt;=Controls!$B$22),1,0)</f>
        <v/>
      </c>
      <c r="AE699" s="3">
        <f>IF(IFERROR(VLOOKUP(D699,Controls!$A$36:$E$46,2,FALSE()),"No")="Yes",1,0)</f>
        <v/>
      </c>
      <c r="AF699" s="3">
        <f>IF(IFERROR(VLOOKUP(D699,Controls!$A$36:$E$46,3,FALSE()),"No")="Yes",1,0)</f>
        <v/>
      </c>
      <c r="AG699" s="3">
        <f>IF(IFERROR(VLOOKUP(D699,Controls!$A$36:$E$46,4,FALSE()),"No")="Yes",1,0)</f>
        <v/>
      </c>
      <c r="AH699" s="3">
        <f>IF(IFERROR(VLOOKUP(D699,Controls!$A$36:$E$46,5,FALSE()),"No")="Yes",1,0)</f>
        <v/>
      </c>
      <c r="AI699" s="3">
        <f>IF(ISNUMBER(MATCH(D699,Controls!$A$36:$A$46,0)),1,0)</f>
        <v/>
      </c>
      <c r="AJ699" s="28">
        <f>Q699-N699</f>
        <v/>
      </c>
      <c r="AK699" s="3">
        <f>IF(AE699=1,MAX(0,N699-Q699),0)</f>
        <v/>
      </c>
      <c r="AL699" s="3">
        <f>IF(OR(V699="",V699=0),0,N699/V699)</f>
        <v/>
      </c>
      <c r="AM699" s="3">
        <f>IF(OR(V699="",V699=0),0,1)</f>
        <v/>
      </c>
      <c r="AN699" s="3">
        <f>IF(OR(E699="",F699=""),0,NETWORKDAYS(E699,F699,Ref!$K$2:$K$42))</f>
        <v/>
      </c>
      <c r="AO699" s="3">
        <f>IF(L699="Renewal",1,0)</f>
        <v/>
      </c>
      <c r="AP699" s="3">
        <f>AC699*AD699</f>
        <v/>
      </c>
      <c r="AQ699" s="3">
        <f>IF(AND(G699&lt;&gt;"",'Historical Score'!$C$6&lt;&gt;""),IF(G699='Historical Score'!$C$6,1,0),0)</f>
        <v/>
      </c>
      <c r="AR699" s="3">
        <f>IF(AND(L699&lt;&gt;"",'Historical Score'!$C$5&lt;&gt;""),IF(L699='Historical Score'!$C$5,1,0),0)</f>
        <v/>
      </c>
      <c r="AS699" s="3">
        <f>IF(AND(Y699&lt;&gt;"",'Historical Score'!$C$7&lt;&gt;""),IF(Y699='Historical Score'!$C$7,1,0),0)</f>
        <v/>
      </c>
      <c r="AT699" s="3">
        <f>IF(AND(K699&lt;&gt;"",'Historical Score'!$C$8&lt;&gt;""),IF(K699='Historical Score'!$C$8,1,0),0)</f>
        <v/>
      </c>
      <c r="AU699" s="3" t="n"/>
      <c r="AV699" s="3" t="n"/>
      <c r="AW699" s="3" t="n"/>
      <c r="AX699" s="3" t="n"/>
      <c r="AY699" s="3" t="n"/>
      <c r="AZ699" s="3" t="n"/>
      <c r="BA699" s="182">
        <f>IF(AD699=1,(AR699*'Historical Score'!$K$29+1-'Historical Score'!$K$29)*(AT699*'Historical Score'!$L$29+1-'Historical Score'!$L$29)*(AS699*'Historical Score'!$M$29+1-'Historical Score'!$M$29)*(AQ699*'Historical Score'!$N$29+1-'Historical Score'!$N$29),0)</f>
        <v/>
      </c>
      <c r="BB699" s="3" t="n"/>
      <c r="BC699" s="3" t="n"/>
    </row>
    <row r="700" ht="15.75" customHeight="1" s="174">
      <c r="A700" s="3" t="inlineStr">
        <is>
          <t>5674179984</t>
        </is>
      </c>
      <c r="B700" s="3" t="inlineStr">
        <is>
          <t>H30 TRUCKING LLC</t>
        </is>
      </c>
      <c r="C700" s="3" t="inlineStr">
        <is>
          <t>H30 TRUCKING LLC</t>
        </is>
      </c>
      <c r="D700" s="3" t="inlineStr">
        <is>
          <t>Closed</t>
        </is>
      </c>
      <c r="E700" s="23" t="n">
        <v>46092</v>
      </c>
      <c r="F700" s="23" t="n">
        <v>46169</v>
      </c>
      <c r="G700" s="3" t="n">
        <v>3</v>
      </c>
      <c r="H700" s="3" t="inlineStr">
        <is>
          <t>4212</t>
        </is>
      </c>
      <c r="I700" s="3" t="inlineStr">
        <is>
          <t>42</t>
        </is>
      </c>
      <c r="J700" s="3" t="inlineStr">
        <is>
          <t>VA</t>
        </is>
      </c>
      <c r="K700" s="3" t="inlineStr">
        <is>
          <t>Ballicci</t>
        </is>
      </c>
      <c r="L700" s="3" t="inlineStr">
        <is>
          <t>New Deal</t>
        </is>
      </c>
      <c r="M700" s="3" t="n">
        <v>1.49</v>
      </c>
      <c r="N700" s="28" t="n">
        <v>20000</v>
      </c>
      <c r="O700" s="28" t="n">
        <v>2800</v>
      </c>
      <c r="P700" s="28" t="n">
        <v>29800</v>
      </c>
      <c r="Q700" s="28" t="n">
        <v>29800</v>
      </c>
      <c r="R700" s="28" t="n">
        <v>0</v>
      </c>
      <c r="S700" s="42" t="n">
        <v>1</v>
      </c>
      <c r="T700" s="3" t="n">
        <v>24</v>
      </c>
      <c r="U700" s="3" t="n">
        <v>0</v>
      </c>
      <c r="V700" s="3" t="n">
        <v>114549.95</v>
      </c>
      <c r="W700" s="42" t="n">
        <v>0.0434</v>
      </c>
      <c r="X700" s="23" t="n">
        <v>43837</v>
      </c>
      <c r="Y700" s="3">
        <f>IF(I700="","No SIC",IFERROR(VLOOKUP(I700,Ref!$A$2:$B$65,2,FALSE()),"Unclassified"))</f>
        <v/>
      </c>
      <c r="Z700" s="3">
        <f>IF(T700="","",IF(T700&lt;12,"Daily","Weekly"))</f>
        <v/>
      </c>
      <c r="AA700" s="3">
        <f>IF(T700="",0,IF(T700&lt;12,T700*Controls!$B$13,T700*5))</f>
        <v/>
      </c>
      <c r="AB700" s="3">
        <f>IF(E700="",0,NETWORKDAYS(E700,Controls!$B$20,Ref!$K$2:$K$42))</f>
        <v/>
      </c>
      <c r="AC700" s="3">
        <f>IF(OR(AF700=1,AND(AA700&gt;0,AB700&gt;=Controls!$B$23*AA700)),1,0)</f>
        <v/>
      </c>
      <c r="AD700" s="3">
        <f>IF(AND(E700&lt;&gt;"",E700&gt;=Controls!$B$21,E700&lt;=Controls!$B$22),1,0)</f>
        <v/>
      </c>
      <c r="AE700" s="3">
        <f>IF(IFERROR(VLOOKUP(D700,Controls!$A$36:$E$46,2,FALSE()),"No")="Yes",1,0)</f>
        <v/>
      </c>
      <c r="AF700" s="3">
        <f>IF(IFERROR(VLOOKUP(D700,Controls!$A$36:$E$46,3,FALSE()),"No")="Yes",1,0)</f>
        <v/>
      </c>
      <c r="AG700" s="3">
        <f>IF(IFERROR(VLOOKUP(D700,Controls!$A$36:$E$46,4,FALSE()),"No")="Yes",1,0)</f>
        <v/>
      </c>
      <c r="AH700" s="3">
        <f>IF(IFERROR(VLOOKUP(D700,Controls!$A$36:$E$46,5,FALSE()),"No")="Yes",1,0)</f>
        <v/>
      </c>
      <c r="AI700" s="3">
        <f>IF(ISNUMBER(MATCH(D700,Controls!$A$36:$A$46,0)),1,0)</f>
        <v/>
      </c>
      <c r="AJ700" s="28">
        <f>Q700-N700</f>
        <v/>
      </c>
      <c r="AK700" s="3">
        <f>IF(AE700=1,MAX(0,N700-Q700),0)</f>
        <v/>
      </c>
      <c r="AL700" s="3">
        <f>IF(OR(V700="",V700=0),0,N700/V700)</f>
        <v/>
      </c>
      <c r="AM700" s="3">
        <f>IF(OR(V700="",V700=0),0,1)</f>
        <v/>
      </c>
      <c r="AN700" s="3">
        <f>IF(OR(E700="",F700=""),0,NETWORKDAYS(E700,F700,Ref!$K$2:$K$42))</f>
        <v/>
      </c>
      <c r="AO700" s="3">
        <f>IF(L700="Renewal",1,0)</f>
        <v/>
      </c>
      <c r="AP700" s="3">
        <f>AC700*AD700</f>
        <v/>
      </c>
      <c r="AQ700" s="3">
        <f>IF(AND(G700&lt;&gt;"",'Historical Score'!$C$6&lt;&gt;""),IF(G700='Historical Score'!$C$6,1,0),0)</f>
        <v/>
      </c>
      <c r="AR700" s="3">
        <f>IF(AND(L700&lt;&gt;"",'Historical Score'!$C$5&lt;&gt;""),IF(L700='Historical Score'!$C$5,1,0),0)</f>
        <v/>
      </c>
      <c r="AS700" s="3">
        <f>IF(AND(Y700&lt;&gt;"",'Historical Score'!$C$7&lt;&gt;""),IF(Y700='Historical Score'!$C$7,1,0),0)</f>
        <v/>
      </c>
      <c r="AT700" s="3">
        <f>IF(AND(K700&lt;&gt;"",'Historical Score'!$C$8&lt;&gt;""),IF(K700='Historical Score'!$C$8,1,0),0)</f>
        <v/>
      </c>
      <c r="AU700" s="3" t="n"/>
      <c r="AV700" s="3" t="n"/>
      <c r="AW700" s="3" t="n"/>
      <c r="AX700" s="3" t="n"/>
      <c r="AY700" s="3" t="n"/>
      <c r="AZ700" s="3" t="n"/>
      <c r="BA700" s="182">
        <f>IF(AD700=1,(AR700*'Historical Score'!$K$29+1-'Historical Score'!$K$29)*(AT700*'Historical Score'!$L$29+1-'Historical Score'!$L$29)*(AS700*'Historical Score'!$M$29+1-'Historical Score'!$M$29)*(AQ700*'Historical Score'!$N$29+1-'Historical Score'!$N$29),0)</f>
        <v/>
      </c>
      <c r="BB700" s="3" t="n"/>
      <c r="BC700" s="3" t="n"/>
    </row>
    <row r="701" ht="15.75" customHeight="1" s="174">
      <c r="A701" s="3" t="inlineStr">
        <is>
          <t>5674180050</t>
        </is>
      </c>
      <c r="B701" s="3" t="inlineStr">
        <is>
          <t>vecs group llc</t>
        </is>
      </c>
      <c r="C701" s="3" t="inlineStr">
        <is>
          <t>vecs group llc</t>
        </is>
      </c>
      <c r="D701" s="3" t="inlineStr">
        <is>
          <t>Closed</t>
        </is>
      </c>
      <c r="E701" s="23" t="n">
        <v>46093</v>
      </c>
      <c r="F701" s="23" t="n">
        <v>46205</v>
      </c>
      <c r="G701" s="3" t="n">
        <v>3</v>
      </c>
      <c r="H701" s="3" t="inlineStr">
        <is>
          <t>5999</t>
        </is>
      </c>
      <c r="I701" s="3" t="inlineStr">
        <is>
          <t>59</t>
        </is>
      </c>
      <c r="J701" s="3" t="inlineStr">
        <is>
          <t>FL</t>
        </is>
      </c>
      <c r="K701" s="3" t="inlineStr">
        <is>
          <t>The Funding Channel</t>
        </is>
      </c>
      <c r="L701" s="3" t="inlineStr">
        <is>
          <t>New Deal</t>
        </is>
      </c>
      <c r="M701" s="3" t="n">
        <v>1.49</v>
      </c>
      <c r="N701" s="28" t="n">
        <v>12000</v>
      </c>
      <c r="O701" s="28" t="n">
        <v>1680</v>
      </c>
      <c r="P701" s="28" t="n">
        <v>17880</v>
      </c>
      <c r="Q701" s="28" t="n">
        <v>17880</v>
      </c>
      <c r="R701" s="28" t="n">
        <v>0</v>
      </c>
      <c r="S701" s="42" t="n">
        <v>1</v>
      </c>
      <c r="T701" s="3" t="n">
        <v>30</v>
      </c>
      <c r="U701" s="3" t="n">
        <v>0</v>
      </c>
      <c r="V701" s="3" t="n">
        <v>47032.66</v>
      </c>
      <c r="W701" s="42" t="n">
        <v>0.0507</v>
      </c>
      <c r="X701" s="23" t="n">
        <v>44336</v>
      </c>
      <c r="Y701" s="3">
        <f>IF(I701="","No SIC",IFERROR(VLOOKUP(I701,Ref!$A$2:$B$65,2,FALSE()),"Unclassified"))</f>
        <v/>
      </c>
      <c r="Z701" s="3">
        <f>IF(T701="","",IF(T701&lt;12,"Daily","Weekly"))</f>
        <v/>
      </c>
      <c r="AA701" s="3">
        <f>IF(T701="",0,IF(T701&lt;12,T701*Controls!$B$13,T701*5))</f>
        <v/>
      </c>
      <c r="AB701" s="3">
        <f>IF(E701="",0,NETWORKDAYS(E701,Controls!$B$20,Ref!$K$2:$K$42))</f>
        <v/>
      </c>
      <c r="AC701" s="3">
        <f>IF(OR(AF701=1,AND(AA701&gt;0,AB701&gt;=Controls!$B$23*AA701)),1,0)</f>
        <v/>
      </c>
      <c r="AD701" s="3">
        <f>IF(AND(E701&lt;&gt;"",E701&gt;=Controls!$B$21,E701&lt;=Controls!$B$22),1,0)</f>
        <v/>
      </c>
      <c r="AE701" s="3">
        <f>IF(IFERROR(VLOOKUP(D701,Controls!$A$36:$E$46,2,FALSE()),"No")="Yes",1,0)</f>
        <v/>
      </c>
      <c r="AF701" s="3">
        <f>IF(IFERROR(VLOOKUP(D701,Controls!$A$36:$E$46,3,FALSE()),"No")="Yes",1,0)</f>
        <v/>
      </c>
      <c r="AG701" s="3">
        <f>IF(IFERROR(VLOOKUP(D701,Controls!$A$36:$E$46,4,FALSE()),"No")="Yes",1,0)</f>
        <v/>
      </c>
      <c r="AH701" s="3">
        <f>IF(IFERROR(VLOOKUP(D701,Controls!$A$36:$E$46,5,FALSE()),"No")="Yes",1,0)</f>
        <v/>
      </c>
      <c r="AI701" s="3">
        <f>IF(ISNUMBER(MATCH(D701,Controls!$A$36:$A$46,0)),1,0)</f>
        <v/>
      </c>
      <c r="AJ701" s="28">
        <f>Q701-N701</f>
        <v/>
      </c>
      <c r="AK701" s="3">
        <f>IF(AE701=1,MAX(0,N701-Q701),0)</f>
        <v/>
      </c>
      <c r="AL701" s="3">
        <f>IF(OR(V701="",V701=0),0,N701/V701)</f>
        <v/>
      </c>
      <c r="AM701" s="3">
        <f>IF(OR(V701="",V701=0),0,1)</f>
        <v/>
      </c>
      <c r="AN701" s="3">
        <f>IF(OR(E701="",F701=""),0,NETWORKDAYS(E701,F701,Ref!$K$2:$K$42))</f>
        <v/>
      </c>
      <c r="AO701" s="3">
        <f>IF(L701="Renewal",1,0)</f>
        <v/>
      </c>
      <c r="AP701" s="3">
        <f>AC701*AD701</f>
        <v/>
      </c>
      <c r="AQ701" s="3">
        <f>IF(AND(G701&lt;&gt;"",'Historical Score'!$C$6&lt;&gt;""),IF(G701='Historical Score'!$C$6,1,0),0)</f>
        <v/>
      </c>
      <c r="AR701" s="3">
        <f>IF(AND(L701&lt;&gt;"",'Historical Score'!$C$5&lt;&gt;""),IF(L701='Historical Score'!$C$5,1,0),0)</f>
        <v/>
      </c>
      <c r="AS701" s="3">
        <f>IF(AND(Y701&lt;&gt;"",'Historical Score'!$C$7&lt;&gt;""),IF(Y701='Historical Score'!$C$7,1,0),0)</f>
        <v/>
      </c>
      <c r="AT701" s="3">
        <f>IF(AND(K701&lt;&gt;"",'Historical Score'!$C$8&lt;&gt;""),IF(K701='Historical Score'!$C$8,1,0),0)</f>
        <v/>
      </c>
      <c r="AU701" s="3" t="n"/>
      <c r="AV701" s="3" t="n"/>
      <c r="AW701" s="3" t="n"/>
      <c r="AX701" s="3" t="n"/>
      <c r="AY701" s="3" t="n"/>
      <c r="AZ701" s="3" t="n"/>
      <c r="BA701" s="182">
        <f>IF(AD701=1,(AR701*'Historical Score'!$K$29+1-'Historical Score'!$K$29)*(AT701*'Historical Score'!$L$29+1-'Historical Score'!$L$29)*(AS701*'Historical Score'!$M$29+1-'Historical Score'!$M$29)*(AQ701*'Historical Score'!$N$29+1-'Historical Score'!$N$29),0)</f>
        <v/>
      </c>
      <c r="BB701" s="3" t="n"/>
      <c r="BC701" s="3" t="n"/>
    </row>
    <row r="702" ht="15.75" customHeight="1" s="174">
      <c r="A702" s="3" t="inlineStr">
        <is>
          <t>5674180053</t>
        </is>
      </c>
      <c r="B702" s="3" t="inlineStr">
        <is>
          <t>GREEN BOX FOUR LLC</t>
        </is>
      </c>
      <c r="C702" s="3" t="inlineStr">
        <is>
          <t>GREEN BOX FOUR LLC</t>
        </is>
      </c>
      <c r="D702" s="3" t="inlineStr">
        <is>
          <t>Closed</t>
        </is>
      </c>
      <c r="E702" s="23" t="n">
        <v>46093</v>
      </c>
      <c r="F702" s="23" t="n">
        <v>46237</v>
      </c>
      <c r="G702" s="3" t="n">
        <v>3</v>
      </c>
      <c r="H702" s="3" t="inlineStr">
        <is>
          <t>5812</t>
        </is>
      </c>
      <c r="I702" s="3" t="inlineStr">
        <is>
          <t>58</t>
        </is>
      </c>
      <c r="J702" s="3" t="inlineStr">
        <is>
          <t>CA</t>
        </is>
      </c>
      <c r="K702" s="3" t="inlineStr">
        <is>
          <t>Swift Business Funding</t>
        </is>
      </c>
      <c r="L702" s="3" t="inlineStr">
        <is>
          <t>New Deal</t>
        </is>
      </c>
      <c r="M702" s="3" t="n">
        <v>1.41</v>
      </c>
      <c r="N702" s="28" t="n">
        <v>40000</v>
      </c>
      <c r="O702" s="28" t="n">
        <v>4000</v>
      </c>
      <c r="P702" s="28" t="n">
        <v>56400</v>
      </c>
      <c r="Q702" s="28" t="n">
        <v>56400</v>
      </c>
      <c r="R702" s="28" t="n">
        <v>0</v>
      </c>
      <c r="S702" s="42" t="n">
        <v>1</v>
      </c>
      <c r="T702" s="3" t="n">
        <v>20</v>
      </c>
      <c r="U702" s="3" t="n">
        <v>0</v>
      </c>
      <c r="V702" s="3" t="n">
        <v>105321.88</v>
      </c>
      <c r="W702" s="42" t="n">
        <v>0.1071</v>
      </c>
      <c r="X702" s="23" t="n">
        <v>44686</v>
      </c>
      <c r="Y702" s="3">
        <f>IF(I702="","No SIC",IFERROR(VLOOKUP(I702,Ref!$A$2:$B$65,2,FALSE()),"Unclassified"))</f>
        <v/>
      </c>
      <c r="Z702" s="3">
        <f>IF(T702="","",IF(T702&lt;12,"Daily","Weekly"))</f>
        <v/>
      </c>
      <c r="AA702" s="3">
        <f>IF(T702="",0,IF(T702&lt;12,T702*Controls!$B$13,T702*5))</f>
        <v/>
      </c>
      <c r="AB702" s="3">
        <f>IF(E702="",0,NETWORKDAYS(E702,Controls!$B$20,Ref!$K$2:$K$42))</f>
        <v/>
      </c>
      <c r="AC702" s="3">
        <f>IF(OR(AF702=1,AND(AA702&gt;0,AB702&gt;=Controls!$B$23*AA702)),1,0)</f>
        <v/>
      </c>
      <c r="AD702" s="3">
        <f>IF(AND(E702&lt;&gt;"",E702&gt;=Controls!$B$21,E702&lt;=Controls!$B$22),1,0)</f>
        <v/>
      </c>
      <c r="AE702" s="3">
        <f>IF(IFERROR(VLOOKUP(D702,Controls!$A$36:$E$46,2,FALSE()),"No")="Yes",1,0)</f>
        <v/>
      </c>
      <c r="AF702" s="3">
        <f>IF(IFERROR(VLOOKUP(D702,Controls!$A$36:$E$46,3,FALSE()),"No")="Yes",1,0)</f>
        <v/>
      </c>
      <c r="AG702" s="3">
        <f>IF(IFERROR(VLOOKUP(D702,Controls!$A$36:$E$46,4,FALSE()),"No")="Yes",1,0)</f>
        <v/>
      </c>
      <c r="AH702" s="3">
        <f>IF(IFERROR(VLOOKUP(D702,Controls!$A$36:$E$46,5,FALSE()),"No")="Yes",1,0)</f>
        <v/>
      </c>
      <c r="AI702" s="3">
        <f>IF(ISNUMBER(MATCH(D702,Controls!$A$36:$A$46,0)),1,0)</f>
        <v/>
      </c>
      <c r="AJ702" s="28">
        <f>Q702-N702</f>
        <v/>
      </c>
      <c r="AK702" s="3">
        <f>IF(AE702=1,MAX(0,N702-Q702),0)</f>
        <v/>
      </c>
      <c r="AL702" s="3">
        <f>IF(OR(V702="",V702=0),0,N702/V702)</f>
        <v/>
      </c>
      <c r="AM702" s="3">
        <f>IF(OR(V702="",V702=0),0,1)</f>
        <v/>
      </c>
      <c r="AN702" s="3">
        <f>IF(OR(E702="",F702=""),0,NETWORKDAYS(E702,F702,Ref!$K$2:$K$42))</f>
        <v/>
      </c>
      <c r="AO702" s="3">
        <f>IF(L702="Renewal",1,0)</f>
        <v/>
      </c>
      <c r="AP702" s="3">
        <f>AC702*AD702</f>
        <v/>
      </c>
      <c r="AQ702" s="3">
        <f>IF(AND(G702&lt;&gt;"",'Historical Score'!$C$6&lt;&gt;""),IF(G702='Historical Score'!$C$6,1,0),0)</f>
        <v/>
      </c>
      <c r="AR702" s="3">
        <f>IF(AND(L702&lt;&gt;"",'Historical Score'!$C$5&lt;&gt;""),IF(L702='Historical Score'!$C$5,1,0),0)</f>
        <v/>
      </c>
      <c r="AS702" s="3">
        <f>IF(AND(Y702&lt;&gt;"",'Historical Score'!$C$7&lt;&gt;""),IF(Y702='Historical Score'!$C$7,1,0),0)</f>
        <v/>
      </c>
      <c r="AT702" s="3">
        <f>IF(AND(K702&lt;&gt;"",'Historical Score'!$C$8&lt;&gt;""),IF(K702='Historical Score'!$C$8,1,0),0)</f>
        <v/>
      </c>
      <c r="AU702" s="3" t="n"/>
      <c r="AV702" s="3" t="n"/>
      <c r="AW702" s="3" t="n"/>
      <c r="AX702" s="3" t="n"/>
      <c r="AY702" s="3" t="n"/>
      <c r="AZ702" s="3" t="n"/>
      <c r="BA702" s="182">
        <f>IF(AD702=1,(AR702*'Historical Score'!$K$29+1-'Historical Score'!$K$29)*(AT702*'Historical Score'!$L$29+1-'Historical Score'!$L$29)*(AS702*'Historical Score'!$M$29+1-'Historical Score'!$M$29)*(AQ702*'Historical Score'!$N$29+1-'Historical Score'!$N$29),0)</f>
        <v/>
      </c>
      <c r="BB702" s="3" t="n"/>
      <c r="BC702" s="3" t="n"/>
    </row>
    <row r="703" ht="15.75" customHeight="1" s="174">
      <c r="A703" s="3" t="inlineStr">
        <is>
          <t>5674180082</t>
        </is>
      </c>
      <c r="B703" s="3" t="inlineStr">
        <is>
          <t>EAST BAY WINDOW CLEANING &amp; GENERAL BUILDING MAINTENANCE LLC</t>
        </is>
      </c>
      <c r="C703" s="3" t="inlineStr">
        <is>
          <t>EAST BAY WINDOW CLEANING &amp; GENERAL BUILDING MAINTENANCE LLC</t>
        </is>
      </c>
      <c r="D703" s="3" t="inlineStr">
        <is>
          <t>In House Collection</t>
        </is>
      </c>
      <c r="E703" s="23" t="n">
        <v>46093</v>
      </c>
      <c r="F703" s="23" t="n">
        <v>46253</v>
      </c>
      <c r="G703" s="3" t="n">
        <v>1</v>
      </c>
      <c r="H703" s="3" t="inlineStr">
        <is>
          <t>1521</t>
        </is>
      </c>
      <c r="I703" s="3" t="inlineStr">
        <is>
          <t>15</t>
        </is>
      </c>
      <c r="J703" s="3" t="inlineStr">
        <is>
          <t>CA</t>
        </is>
      </c>
      <c r="K703" s="3" t="inlineStr">
        <is>
          <t>Ballicci</t>
        </is>
      </c>
      <c r="L703" s="3" t="inlineStr">
        <is>
          <t>New Deal</t>
        </is>
      </c>
      <c r="M703" s="3" t="n">
        <v>1.49</v>
      </c>
      <c r="N703" s="28" t="n">
        <v>35000</v>
      </c>
      <c r="O703" s="28" t="n">
        <v>4900</v>
      </c>
      <c r="P703" s="28" t="n">
        <v>52150</v>
      </c>
      <c r="Q703" s="28" t="n">
        <v>22874.14</v>
      </c>
      <c r="R703" s="28" t="n">
        <v>29275.86</v>
      </c>
      <c r="S703" s="42" t="n">
        <v>0.43862205177373</v>
      </c>
      <c r="T703" s="3" t="n">
        <v>3.934</v>
      </c>
      <c r="U703" s="3" t="n">
        <v>10</v>
      </c>
      <c r="V703" s="3" t="n">
        <v>13302.29</v>
      </c>
      <c r="W703" s="42" t="n">
        <v>0.0905</v>
      </c>
      <c r="X703" s="23" t="n">
        <v>45769</v>
      </c>
      <c r="Y703" s="3">
        <f>IF(I703="","No SIC",IFERROR(VLOOKUP(I703,Ref!$A$2:$B$65,2,FALSE()),"Unclassified"))</f>
        <v/>
      </c>
      <c r="Z703" s="3">
        <f>IF(T703="","",IF(T703&lt;12,"Daily","Weekly"))</f>
        <v/>
      </c>
      <c r="AA703" s="3">
        <f>IF(T703="",0,IF(T703&lt;12,T703*Controls!$B$13,T703*5))</f>
        <v/>
      </c>
      <c r="AB703" s="3">
        <f>IF(E703="",0,NETWORKDAYS(E703,Controls!$B$20,Ref!$K$2:$K$42))</f>
        <v/>
      </c>
      <c r="AC703" s="3">
        <f>IF(OR(AF703=1,AND(AA703&gt;0,AB703&gt;=Controls!$B$23*AA703)),1,0)</f>
        <v/>
      </c>
      <c r="AD703" s="3">
        <f>IF(AND(E703&lt;&gt;"",E703&gt;=Controls!$B$21,E703&lt;=Controls!$B$22),1,0)</f>
        <v/>
      </c>
      <c r="AE703" s="3">
        <f>IF(IFERROR(VLOOKUP(D703,Controls!$A$36:$E$46,2,FALSE()),"No")="Yes",1,0)</f>
        <v/>
      </c>
      <c r="AF703" s="3">
        <f>IF(IFERROR(VLOOKUP(D703,Controls!$A$36:$E$46,3,FALSE()),"No")="Yes",1,0)</f>
        <v/>
      </c>
      <c r="AG703" s="3">
        <f>IF(IFERROR(VLOOKUP(D703,Controls!$A$36:$E$46,4,FALSE()),"No")="Yes",1,0)</f>
        <v/>
      </c>
      <c r="AH703" s="3">
        <f>IF(IFERROR(VLOOKUP(D703,Controls!$A$36:$E$46,5,FALSE()),"No")="Yes",1,0)</f>
        <v/>
      </c>
      <c r="AI703" s="3">
        <f>IF(ISNUMBER(MATCH(D703,Controls!$A$36:$A$46,0)),1,0)</f>
        <v/>
      </c>
      <c r="AJ703" s="28">
        <f>Q703-N703</f>
        <v/>
      </c>
      <c r="AK703" s="3">
        <f>IF(AE703=1,MAX(0,N703-Q703),0)</f>
        <v/>
      </c>
      <c r="AL703" s="3">
        <f>IF(OR(V703="",V703=0),0,N703/V703)</f>
        <v/>
      </c>
      <c r="AM703" s="3">
        <f>IF(OR(V703="",V703=0),0,1)</f>
        <v/>
      </c>
      <c r="AN703" s="3">
        <f>IF(OR(E703="",F703=""),0,NETWORKDAYS(E703,F703,Ref!$K$2:$K$42))</f>
        <v/>
      </c>
      <c r="AO703" s="3">
        <f>IF(L703="Renewal",1,0)</f>
        <v/>
      </c>
      <c r="AP703" s="3">
        <f>AC703*AD703</f>
        <v/>
      </c>
      <c r="AQ703" s="3">
        <f>IF(AND(G703&lt;&gt;"",'Historical Score'!$C$6&lt;&gt;""),IF(G703='Historical Score'!$C$6,1,0),0)</f>
        <v/>
      </c>
      <c r="AR703" s="3">
        <f>IF(AND(L703&lt;&gt;"",'Historical Score'!$C$5&lt;&gt;""),IF(L703='Historical Score'!$C$5,1,0),0)</f>
        <v/>
      </c>
      <c r="AS703" s="3">
        <f>IF(AND(Y703&lt;&gt;"",'Historical Score'!$C$7&lt;&gt;""),IF(Y703='Historical Score'!$C$7,1,0),0)</f>
        <v/>
      </c>
      <c r="AT703" s="3">
        <f>IF(AND(K703&lt;&gt;"",'Historical Score'!$C$8&lt;&gt;""),IF(K703='Historical Score'!$C$8,1,0),0)</f>
        <v/>
      </c>
      <c r="AU703" s="3" t="n"/>
      <c r="AV703" s="3" t="n"/>
      <c r="AW703" s="3" t="n"/>
      <c r="AX703" s="3" t="n"/>
      <c r="AY703" s="3" t="n"/>
      <c r="AZ703" s="3" t="n"/>
      <c r="BA703" s="182">
        <f>IF(AD703=1,(AR703*'Historical Score'!$K$29+1-'Historical Score'!$K$29)*(AT703*'Historical Score'!$L$29+1-'Historical Score'!$L$29)*(AS703*'Historical Score'!$M$29+1-'Historical Score'!$M$29)*(AQ703*'Historical Score'!$N$29+1-'Historical Score'!$N$29),0)</f>
        <v/>
      </c>
      <c r="BB703" s="3" t="n"/>
      <c r="BC703" s="3" t="n"/>
    </row>
    <row r="704" ht="15.75" customHeight="1" s="174">
      <c r="A704" s="3" t="inlineStr">
        <is>
          <t>5674180096</t>
        </is>
      </c>
      <c r="B704" s="3" t="inlineStr">
        <is>
          <t>PARK HEAVY HAUL LLC</t>
        </is>
      </c>
      <c r="C704" s="3" t="inlineStr">
        <is>
          <t>PARK HEAVY HAUL LLC</t>
        </is>
      </c>
      <c r="D704" s="3" t="inlineStr">
        <is>
          <t>In House Collection</t>
        </is>
      </c>
      <c r="E704" s="23" t="n">
        <v>46093</v>
      </c>
      <c r="F704" s="23" t="n">
        <v>46234</v>
      </c>
      <c r="G704" s="3" t="n">
        <v>6</v>
      </c>
      <c r="H704" s="3" t="inlineStr">
        <is>
          <t>4212</t>
        </is>
      </c>
      <c r="I704" s="3" t="inlineStr">
        <is>
          <t>42</t>
        </is>
      </c>
      <c r="J704" s="3" t="inlineStr">
        <is>
          <t>CO</t>
        </is>
      </c>
      <c r="K704" s="3" t="inlineStr">
        <is>
          <t>Secure Capital Solutions 7</t>
        </is>
      </c>
      <c r="L704" s="3" t="inlineStr">
        <is>
          <t>Renewal</t>
        </is>
      </c>
      <c r="M704" s="3" t="n">
        <v>1.49</v>
      </c>
      <c r="N704" s="28" t="n">
        <v>55000</v>
      </c>
      <c r="O704" s="28" t="n">
        <v>7700</v>
      </c>
      <c r="P704" s="28" t="n">
        <v>81950</v>
      </c>
      <c r="Q704" s="28" t="n">
        <v>32289.54</v>
      </c>
      <c r="R704" s="28" t="n">
        <v>49660.46</v>
      </c>
      <c r="S704" s="42" t="n">
        <v>0.394015131177547</v>
      </c>
      <c r="T704" s="3" t="n">
        <v>18</v>
      </c>
      <c r="U704" s="3" t="n">
        <v>11</v>
      </c>
      <c r="V704" s="3" t="n">
        <v>380215.95</v>
      </c>
      <c r="W704" s="42" t="n">
        <v>0.0479</v>
      </c>
      <c r="X704" s="23" t="n">
        <v>45227</v>
      </c>
      <c r="Y704" s="3">
        <f>IF(I704="","No SIC",IFERROR(VLOOKUP(I704,Ref!$A$2:$B$65,2,FALSE()),"Unclassified"))</f>
        <v/>
      </c>
      <c r="Z704" s="3">
        <f>IF(T704="","",IF(T704&lt;12,"Daily","Weekly"))</f>
        <v/>
      </c>
      <c r="AA704" s="3">
        <f>IF(T704="",0,IF(T704&lt;12,T704*Controls!$B$13,T704*5))</f>
        <v/>
      </c>
      <c r="AB704" s="3">
        <f>IF(E704="",0,NETWORKDAYS(E704,Controls!$B$20,Ref!$K$2:$K$42))</f>
        <v/>
      </c>
      <c r="AC704" s="3">
        <f>IF(OR(AF704=1,AND(AA704&gt;0,AB704&gt;=Controls!$B$23*AA704)),1,0)</f>
        <v/>
      </c>
      <c r="AD704" s="3">
        <f>IF(AND(E704&lt;&gt;"",E704&gt;=Controls!$B$21,E704&lt;=Controls!$B$22),1,0)</f>
        <v/>
      </c>
      <c r="AE704" s="3">
        <f>IF(IFERROR(VLOOKUP(D704,Controls!$A$36:$E$46,2,FALSE()),"No")="Yes",1,0)</f>
        <v/>
      </c>
      <c r="AF704" s="3">
        <f>IF(IFERROR(VLOOKUP(D704,Controls!$A$36:$E$46,3,FALSE()),"No")="Yes",1,0)</f>
        <v/>
      </c>
      <c r="AG704" s="3">
        <f>IF(IFERROR(VLOOKUP(D704,Controls!$A$36:$E$46,4,FALSE()),"No")="Yes",1,0)</f>
        <v/>
      </c>
      <c r="AH704" s="3">
        <f>IF(IFERROR(VLOOKUP(D704,Controls!$A$36:$E$46,5,FALSE()),"No")="Yes",1,0)</f>
        <v/>
      </c>
      <c r="AI704" s="3">
        <f>IF(ISNUMBER(MATCH(D704,Controls!$A$36:$A$46,0)),1,0)</f>
        <v/>
      </c>
      <c r="AJ704" s="28">
        <f>Q704-N704</f>
        <v/>
      </c>
      <c r="AK704" s="3">
        <f>IF(AE704=1,MAX(0,N704-Q704),0)</f>
        <v/>
      </c>
      <c r="AL704" s="3">
        <f>IF(OR(V704="",V704=0),0,N704/V704)</f>
        <v/>
      </c>
      <c r="AM704" s="3">
        <f>IF(OR(V704="",V704=0),0,1)</f>
        <v/>
      </c>
      <c r="AN704" s="3">
        <f>IF(OR(E704="",F704=""),0,NETWORKDAYS(E704,F704,Ref!$K$2:$K$42))</f>
        <v/>
      </c>
      <c r="AO704" s="3">
        <f>IF(L704="Renewal",1,0)</f>
        <v/>
      </c>
      <c r="AP704" s="3">
        <f>AC704*AD704</f>
        <v/>
      </c>
      <c r="AQ704" s="3">
        <f>IF(AND(G704&lt;&gt;"",'Historical Score'!$C$6&lt;&gt;""),IF(G704='Historical Score'!$C$6,1,0),0)</f>
        <v/>
      </c>
      <c r="AR704" s="3">
        <f>IF(AND(L704&lt;&gt;"",'Historical Score'!$C$5&lt;&gt;""),IF(L704='Historical Score'!$C$5,1,0),0)</f>
        <v/>
      </c>
      <c r="AS704" s="3">
        <f>IF(AND(Y704&lt;&gt;"",'Historical Score'!$C$7&lt;&gt;""),IF(Y704='Historical Score'!$C$7,1,0),0)</f>
        <v/>
      </c>
      <c r="AT704" s="3">
        <f>IF(AND(K704&lt;&gt;"",'Historical Score'!$C$8&lt;&gt;""),IF(K704='Historical Score'!$C$8,1,0),0)</f>
        <v/>
      </c>
      <c r="AU704" s="3" t="n"/>
      <c r="AV704" s="3" t="n"/>
      <c r="AW704" s="3" t="n"/>
      <c r="AX704" s="3" t="n"/>
      <c r="AY704" s="3" t="n"/>
      <c r="AZ704" s="3" t="n"/>
      <c r="BA704" s="182">
        <f>IF(AD704=1,(AR704*'Historical Score'!$K$29+1-'Historical Score'!$K$29)*(AT704*'Historical Score'!$L$29+1-'Historical Score'!$L$29)*(AS704*'Historical Score'!$M$29+1-'Historical Score'!$M$29)*(AQ704*'Historical Score'!$N$29+1-'Historical Score'!$N$29),0)</f>
        <v/>
      </c>
      <c r="BB704" s="3" t="n"/>
      <c r="BC704" s="3" t="n"/>
    </row>
    <row r="705" ht="15.75" customHeight="1" s="174">
      <c r="A705" s="3" t="inlineStr">
        <is>
          <t>5674180102</t>
        </is>
      </c>
      <c r="B705" s="3" t="inlineStr">
        <is>
          <t>BOOTS TO TRUCKS</t>
        </is>
      </c>
      <c r="C705" s="3" t="inlineStr">
        <is>
          <t>Boots To Trucks Inc.</t>
        </is>
      </c>
      <c r="D705" s="3" t="inlineStr">
        <is>
          <t>Open</t>
        </is>
      </c>
      <c r="E705" s="23" t="n">
        <v>46093</v>
      </c>
      <c r="F705" s="23" t="n">
        <v>46253</v>
      </c>
      <c r="G705" s="3" t="n">
        <v>3</v>
      </c>
      <c r="H705" s="3" t="inlineStr">
        <is>
          <t>1799</t>
        </is>
      </c>
      <c r="I705" s="3" t="inlineStr">
        <is>
          <t>17</t>
        </is>
      </c>
      <c r="J705" s="3" t="inlineStr">
        <is>
          <t>NC</t>
        </is>
      </c>
      <c r="K705" s="3" t="inlineStr">
        <is>
          <t>Platform Funding</t>
        </is>
      </c>
      <c r="L705" s="3" t="inlineStr">
        <is>
          <t>New Deal</t>
        </is>
      </c>
      <c r="M705" s="3" t="n">
        <v>1.35</v>
      </c>
      <c r="N705" s="28" t="n">
        <v>46000</v>
      </c>
      <c r="O705" s="28" t="n">
        <v>3220</v>
      </c>
      <c r="P705" s="28" t="n">
        <v>62100</v>
      </c>
      <c r="Q705" s="28" t="n">
        <v>41231.68</v>
      </c>
      <c r="R705" s="28" t="n">
        <v>20868.32</v>
      </c>
      <c r="S705" s="42" t="n">
        <v>0.663956199677939</v>
      </c>
      <c r="T705" s="3" t="n">
        <v>3.902</v>
      </c>
      <c r="U705" s="3" t="n">
        <v>36</v>
      </c>
      <c r="V705" s="3" t="n">
        <v>251384.46</v>
      </c>
      <c r="W705" s="42" t="n">
        <v>0.0436</v>
      </c>
      <c r="X705" s="23" t="n">
        <v>44853</v>
      </c>
      <c r="Y705" s="3">
        <f>IF(I705="","No SIC",IFERROR(VLOOKUP(I705,Ref!$A$2:$B$65,2,FALSE()),"Unclassified"))</f>
        <v/>
      </c>
      <c r="Z705" s="3">
        <f>IF(T705="","",IF(T705&lt;12,"Daily","Weekly"))</f>
        <v/>
      </c>
      <c r="AA705" s="3">
        <f>IF(T705="",0,IF(T705&lt;12,T705*Controls!$B$13,T705*5))</f>
        <v/>
      </c>
      <c r="AB705" s="3">
        <f>IF(E705="",0,NETWORKDAYS(E705,Controls!$B$20,Ref!$K$2:$K$42))</f>
        <v/>
      </c>
      <c r="AC705" s="3">
        <f>IF(OR(AF705=1,AND(AA705&gt;0,AB705&gt;=Controls!$B$23*AA705)),1,0)</f>
        <v/>
      </c>
      <c r="AD705" s="3">
        <f>IF(AND(E705&lt;&gt;"",E705&gt;=Controls!$B$21,E705&lt;=Controls!$B$22),1,0)</f>
        <v/>
      </c>
      <c r="AE705" s="3">
        <f>IF(IFERROR(VLOOKUP(D705,Controls!$A$36:$E$46,2,FALSE()),"No")="Yes",1,0)</f>
        <v/>
      </c>
      <c r="AF705" s="3">
        <f>IF(IFERROR(VLOOKUP(D705,Controls!$A$36:$E$46,3,FALSE()),"No")="Yes",1,0)</f>
        <v/>
      </c>
      <c r="AG705" s="3">
        <f>IF(IFERROR(VLOOKUP(D705,Controls!$A$36:$E$46,4,FALSE()),"No")="Yes",1,0)</f>
        <v/>
      </c>
      <c r="AH705" s="3">
        <f>IF(IFERROR(VLOOKUP(D705,Controls!$A$36:$E$46,5,FALSE()),"No")="Yes",1,0)</f>
        <v/>
      </c>
      <c r="AI705" s="3">
        <f>IF(ISNUMBER(MATCH(D705,Controls!$A$36:$A$46,0)),1,0)</f>
        <v/>
      </c>
      <c r="AJ705" s="28">
        <f>Q705-N705</f>
        <v/>
      </c>
      <c r="AK705" s="3">
        <f>IF(AE705=1,MAX(0,N705-Q705),0)</f>
        <v/>
      </c>
      <c r="AL705" s="3">
        <f>IF(OR(V705="",V705=0),0,N705/V705)</f>
        <v/>
      </c>
      <c r="AM705" s="3">
        <f>IF(OR(V705="",V705=0),0,1)</f>
        <v/>
      </c>
      <c r="AN705" s="3">
        <f>IF(OR(E705="",F705=""),0,NETWORKDAYS(E705,F705,Ref!$K$2:$K$42))</f>
        <v/>
      </c>
      <c r="AO705" s="3">
        <f>IF(L705="Renewal",1,0)</f>
        <v/>
      </c>
      <c r="AP705" s="3">
        <f>AC705*AD705</f>
        <v/>
      </c>
      <c r="AQ705" s="3">
        <f>IF(AND(G705&lt;&gt;"",'Historical Score'!$C$6&lt;&gt;""),IF(G705='Historical Score'!$C$6,1,0),0)</f>
        <v/>
      </c>
      <c r="AR705" s="3">
        <f>IF(AND(L705&lt;&gt;"",'Historical Score'!$C$5&lt;&gt;""),IF(L705='Historical Score'!$C$5,1,0),0)</f>
        <v/>
      </c>
      <c r="AS705" s="3">
        <f>IF(AND(Y705&lt;&gt;"",'Historical Score'!$C$7&lt;&gt;""),IF(Y705='Historical Score'!$C$7,1,0),0)</f>
        <v/>
      </c>
      <c r="AT705" s="3">
        <f>IF(AND(K705&lt;&gt;"",'Historical Score'!$C$8&lt;&gt;""),IF(K705='Historical Score'!$C$8,1,0),0)</f>
        <v/>
      </c>
      <c r="AU705" s="3" t="n"/>
      <c r="AV705" s="3" t="n"/>
      <c r="AW705" s="3" t="n"/>
      <c r="AX705" s="3" t="n"/>
      <c r="AY705" s="3" t="n"/>
      <c r="AZ705" s="3" t="n"/>
      <c r="BA705" s="182">
        <f>IF(AD705=1,(AR705*'Historical Score'!$K$29+1-'Historical Score'!$K$29)*(AT705*'Historical Score'!$L$29+1-'Historical Score'!$L$29)*(AS705*'Historical Score'!$M$29+1-'Historical Score'!$M$29)*(AQ705*'Historical Score'!$N$29+1-'Historical Score'!$N$29),0)</f>
        <v/>
      </c>
      <c r="BB705" s="3" t="n"/>
      <c r="BC705" s="3" t="n"/>
    </row>
    <row r="706" ht="15.75" customHeight="1" s="174">
      <c r="A706" s="3" t="inlineStr">
        <is>
          <t>5674180126</t>
        </is>
      </c>
      <c r="B706" s="3" t="inlineStr">
        <is>
          <t>SILVER STAR INVESTIGATION</t>
        </is>
      </c>
      <c r="C706" s="3" t="inlineStr">
        <is>
          <t>SILVER STAR INVESTIGATION</t>
        </is>
      </c>
      <c r="D706" s="3" t="inlineStr">
        <is>
          <t>Closed</t>
        </is>
      </c>
      <c r="E706" s="23" t="n">
        <v>46094</v>
      </c>
      <c r="F706" s="23" t="n">
        <v>46161</v>
      </c>
      <c r="G706" s="3" t="n">
        <v>4</v>
      </c>
      <c r="H706" s="3" t="inlineStr">
        <is>
          <t>5999</t>
        </is>
      </c>
      <c r="I706" s="3" t="inlineStr">
        <is>
          <t>59</t>
        </is>
      </c>
      <c r="J706" s="3" t="inlineStr">
        <is>
          <t>PR</t>
        </is>
      </c>
      <c r="K706" s="3" t="inlineStr">
        <is>
          <t>Westwood</t>
        </is>
      </c>
      <c r="L706" s="3" t="inlineStr">
        <is>
          <t>New Deal</t>
        </is>
      </c>
      <c r="M706" s="3" t="n">
        <v>1.49</v>
      </c>
      <c r="N706" s="28" t="n">
        <v>12000</v>
      </c>
      <c r="O706" s="28" t="n">
        <v>1680</v>
      </c>
      <c r="P706" s="28" t="n">
        <v>17880</v>
      </c>
      <c r="Q706" s="28" t="n">
        <v>17880</v>
      </c>
      <c r="R706" s="28" t="n">
        <v>0</v>
      </c>
      <c r="S706" s="42" t="n">
        <v>1</v>
      </c>
      <c r="T706" s="3" t="n">
        <v>2.951</v>
      </c>
      <c r="U706" s="3" t="n">
        <v>3</v>
      </c>
      <c r="V706" s="3" t="n">
        <v>61560.84</v>
      </c>
      <c r="W706" s="42" t="n">
        <v>0.0678</v>
      </c>
      <c r="X706" s="23" t="n">
        <v>40850</v>
      </c>
      <c r="Y706" s="3">
        <f>IF(I706="","No SIC",IFERROR(VLOOKUP(I706,Ref!$A$2:$B$65,2,FALSE()),"Unclassified"))</f>
        <v/>
      </c>
      <c r="Z706" s="3">
        <f>IF(T706="","",IF(T706&lt;12,"Daily","Weekly"))</f>
        <v/>
      </c>
      <c r="AA706" s="3">
        <f>IF(T706="",0,IF(T706&lt;12,T706*Controls!$B$13,T706*5))</f>
        <v/>
      </c>
      <c r="AB706" s="3">
        <f>IF(E706="",0,NETWORKDAYS(E706,Controls!$B$20,Ref!$K$2:$K$42))</f>
        <v/>
      </c>
      <c r="AC706" s="3">
        <f>IF(OR(AF706=1,AND(AA706&gt;0,AB706&gt;=Controls!$B$23*AA706)),1,0)</f>
        <v/>
      </c>
      <c r="AD706" s="3">
        <f>IF(AND(E706&lt;&gt;"",E706&gt;=Controls!$B$21,E706&lt;=Controls!$B$22),1,0)</f>
        <v/>
      </c>
      <c r="AE706" s="3">
        <f>IF(IFERROR(VLOOKUP(D706,Controls!$A$36:$E$46,2,FALSE()),"No")="Yes",1,0)</f>
        <v/>
      </c>
      <c r="AF706" s="3">
        <f>IF(IFERROR(VLOOKUP(D706,Controls!$A$36:$E$46,3,FALSE()),"No")="Yes",1,0)</f>
        <v/>
      </c>
      <c r="AG706" s="3">
        <f>IF(IFERROR(VLOOKUP(D706,Controls!$A$36:$E$46,4,FALSE()),"No")="Yes",1,0)</f>
        <v/>
      </c>
      <c r="AH706" s="3">
        <f>IF(IFERROR(VLOOKUP(D706,Controls!$A$36:$E$46,5,FALSE()),"No")="Yes",1,0)</f>
        <v/>
      </c>
      <c r="AI706" s="3">
        <f>IF(ISNUMBER(MATCH(D706,Controls!$A$36:$A$46,0)),1,0)</f>
        <v/>
      </c>
      <c r="AJ706" s="28">
        <f>Q706-N706</f>
        <v/>
      </c>
      <c r="AK706" s="3">
        <f>IF(AE706=1,MAX(0,N706-Q706),0)</f>
        <v/>
      </c>
      <c r="AL706" s="3">
        <f>IF(OR(V706="",V706=0),0,N706/V706)</f>
        <v/>
      </c>
      <c r="AM706" s="3">
        <f>IF(OR(V706="",V706=0),0,1)</f>
        <v/>
      </c>
      <c r="AN706" s="3">
        <f>IF(OR(E706="",F706=""),0,NETWORKDAYS(E706,F706,Ref!$K$2:$K$42))</f>
        <v/>
      </c>
      <c r="AO706" s="3">
        <f>IF(L706="Renewal",1,0)</f>
        <v/>
      </c>
      <c r="AP706" s="3">
        <f>AC706*AD706</f>
        <v/>
      </c>
      <c r="AQ706" s="3">
        <f>IF(AND(G706&lt;&gt;"",'Historical Score'!$C$6&lt;&gt;""),IF(G706='Historical Score'!$C$6,1,0),0)</f>
        <v/>
      </c>
      <c r="AR706" s="3">
        <f>IF(AND(L706&lt;&gt;"",'Historical Score'!$C$5&lt;&gt;""),IF(L706='Historical Score'!$C$5,1,0),0)</f>
        <v/>
      </c>
      <c r="AS706" s="3">
        <f>IF(AND(Y706&lt;&gt;"",'Historical Score'!$C$7&lt;&gt;""),IF(Y706='Historical Score'!$C$7,1,0),0)</f>
        <v/>
      </c>
      <c r="AT706" s="3">
        <f>IF(AND(K706&lt;&gt;"",'Historical Score'!$C$8&lt;&gt;""),IF(K706='Historical Score'!$C$8,1,0),0)</f>
        <v/>
      </c>
      <c r="AU706" s="3" t="n"/>
      <c r="AV706" s="3" t="n"/>
      <c r="AW706" s="3" t="n"/>
      <c r="AX706" s="3" t="n"/>
      <c r="AY706" s="3" t="n"/>
      <c r="AZ706" s="3" t="n"/>
      <c r="BA706" s="182">
        <f>IF(AD706=1,(AR706*'Historical Score'!$K$29+1-'Historical Score'!$K$29)*(AT706*'Historical Score'!$L$29+1-'Historical Score'!$L$29)*(AS706*'Historical Score'!$M$29+1-'Historical Score'!$M$29)*(AQ706*'Historical Score'!$N$29+1-'Historical Score'!$N$29),0)</f>
        <v/>
      </c>
      <c r="BB706" s="3" t="n"/>
      <c r="BC706" s="3" t="n"/>
    </row>
    <row r="707" ht="15.75" customHeight="1" s="174">
      <c r="A707" s="3" t="inlineStr">
        <is>
          <t>5674180153</t>
        </is>
      </c>
      <c r="B707" s="3" t="inlineStr">
        <is>
          <t>One Day Real Estate Services Llc</t>
        </is>
      </c>
      <c r="C707" s="3" t="inlineStr">
        <is>
          <t>One Day Real Estate Services Llc</t>
        </is>
      </c>
      <c r="D707" s="3" t="inlineStr">
        <is>
          <t>Legal</t>
        </is>
      </c>
      <c r="E707" s="23" t="n">
        <v>46094</v>
      </c>
      <c r="F707" s="23" t="n">
        <v>46115</v>
      </c>
      <c r="G707" s="3" t="n">
        <v>3</v>
      </c>
      <c r="H707" s="3" t="inlineStr">
        <is>
          <t>6531</t>
        </is>
      </c>
      <c r="I707" s="3" t="inlineStr">
        <is>
          <t>65</t>
        </is>
      </c>
      <c r="J707" s="3" t="inlineStr">
        <is>
          <t>WI</t>
        </is>
      </c>
      <c r="K707" s="3" t="inlineStr">
        <is>
          <t>Ballicci</t>
        </is>
      </c>
      <c r="L707" s="3" t="inlineStr">
        <is>
          <t>New Deal</t>
        </is>
      </c>
      <c r="M707" s="3" t="n">
        <v>1.49</v>
      </c>
      <c r="N707" s="28" t="n">
        <v>15000</v>
      </c>
      <c r="O707" s="28" t="n">
        <v>0</v>
      </c>
      <c r="P707" s="28" t="n">
        <v>22350</v>
      </c>
      <c r="Q707" s="28" t="n">
        <v>2732.29</v>
      </c>
      <c r="R707" s="28" t="n">
        <v>19617.71</v>
      </c>
      <c r="S707" s="42" t="n">
        <v>0.122250111856823</v>
      </c>
      <c r="T707" s="3" t="n">
        <v>2.951</v>
      </c>
      <c r="U707" s="3" t="n">
        <v>4</v>
      </c>
      <c r="V707" s="3" t="n">
        <v>26238.89</v>
      </c>
      <c r="W707" s="42" t="n">
        <v>0.1988</v>
      </c>
      <c r="X707" s="23" t="n">
        <v>39448</v>
      </c>
      <c r="Y707" s="3">
        <f>IF(I707="","No SIC",IFERROR(VLOOKUP(I707,Ref!$A$2:$B$65,2,FALSE()),"Unclassified"))</f>
        <v/>
      </c>
      <c r="Z707" s="3">
        <f>IF(T707="","",IF(T707&lt;12,"Daily","Weekly"))</f>
        <v/>
      </c>
      <c r="AA707" s="3">
        <f>IF(T707="",0,IF(T707&lt;12,T707*Controls!$B$13,T707*5))</f>
        <v/>
      </c>
      <c r="AB707" s="3">
        <f>IF(E707="",0,NETWORKDAYS(E707,Controls!$B$20,Ref!$K$2:$K$42))</f>
        <v/>
      </c>
      <c r="AC707" s="3">
        <f>IF(OR(AF707=1,AND(AA707&gt;0,AB707&gt;=Controls!$B$23*AA707)),1,0)</f>
        <v/>
      </c>
      <c r="AD707" s="3">
        <f>IF(AND(E707&lt;&gt;"",E707&gt;=Controls!$B$21,E707&lt;=Controls!$B$22),1,0)</f>
        <v/>
      </c>
      <c r="AE707" s="3">
        <f>IF(IFERROR(VLOOKUP(D707,Controls!$A$36:$E$46,2,FALSE()),"No")="Yes",1,0)</f>
        <v/>
      </c>
      <c r="AF707" s="3">
        <f>IF(IFERROR(VLOOKUP(D707,Controls!$A$36:$E$46,3,FALSE()),"No")="Yes",1,0)</f>
        <v/>
      </c>
      <c r="AG707" s="3">
        <f>IF(IFERROR(VLOOKUP(D707,Controls!$A$36:$E$46,4,FALSE()),"No")="Yes",1,0)</f>
        <v/>
      </c>
      <c r="AH707" s="3">
        <f>IF(IFERROR(VLOOKUP(D707,Controls!$A$36:$E$46,5,FALSE()),"No")="Yes",1,0)</f>
        <v/>
      </c>
      <c r="AI707" s="3">
        <f>IF(ISNUMBER(MATCH(D707,Controls!$A$36:$A$46,0)),1,0)</f>
        <v/>
      </c>
      <c r="AJ707" s="28">
        <f>Q707-N707</f>
        <v/>
      </c>
      <c r="AK707" s="3">
        <f>IF(AE707=1,MAX(0,N707-Q707),0)</f>
        <v/>
      </c>
      <c r="AL707" s="3">
        <f>IF(OR(V707="",V707=0),0,N707/V707)</f>
        <v/>
      </c>
      <c r="AM707" s="3">
        <f>IF(OR(V707="",V707=0),0,1)</f>
        <v/>
      </c>
      <c r="AN707" s="3">
        <f>IF(OR(E707="",F707=""),0,NETWORKDAYS(E707,F707,Ref!$K$2:$K$42))</f>
        <v/>
      </c>
      <c r="AO707" s="3">
        <f>IF(L707="Renewal",1,0)</f>
        <v/>
      </c>
      <c r="AP707" s="3">
        <f>AC707*AD707</f>
        <v/>
      </c>
      <c r="AQ707" s="3">
        <f>IF(AND(G707&lt;&gt;"",'Historical Score'!$C$6&lt;&gt;""),IF(G707='Historical Score'!$C$6,1,0),0)</f>
        <v/>
      </c>
      <c r="AR707" s="3">
        <f>IF(AND(L707&lt;&gt;"",'Historical Score'!$C$5&lt;&gt;""),IF(L707='Historical Score'!$C$5,1,0),0)</f>
        <v/>
      </c>
      <c r="AS707" s="3">
        <f>IF(AND(Y707&lt;&gt;"",'Historical Score'!$C$7&lt;&gt;""),IF(Y707='Historical Score'!$C$7,1,0),0)</f>
        <v/>
      </c>
      <c r="AT707" s="3">
        <f>IF(AND(K707&lt;&gt;"",'Historical Score'!$C$8&lt;&gt;""),IF(K707='Historical Score'!$C$8,1,0),0)</f>
        <v/>
      </c>
      <c r="AU707" s="3" t="n"/>
      <c r="AV707" s="3" t="n"/>
      <c r="AW707" s="3" t="n"/>
      <c r="AX707" s="3" t="n"/>
      <c r="AY707" s="3" t="n"/>
      <c r="AZ707" s="3" t="n"/>
      <c r="BA707" s="182">
        <f>IF(AD707=1,(AR707*'Historical Score'!$K$29+1-'Historical Score'!$K$29)*(AT707*'Historical Score'!$L$29+1-'Historical Score'!$L$29)*(AS707*'Historical Score'!$M$29+1-'Historical Score'!$M$29)*(AQ707*'Historical Score'!$N$29+1-'Historical Score'!$N$29),0)</f>
        <v/>
      </c>
      <c r="BB707" s="3" t="n"/>
      <c r="BC707" s="3" t="n"/>
    </row>
    <row r="708" ht="15.75" customHeight="1" s="174">
      <c r="A708" s="3" t="inlineStr">
        <is>
          <t>5674180155</t>
        </is>
      </c>
      <c r="B708" s="3" t="inlineStr">
        <is>
          <t>Earl Ives Painting LLC</t>
        </is>
      </c>
      <c r="C708" s="3" t="inlineStr">
        <is>
          <t>Earl Ives Painting LLC</t>
        </is>
      </c>
      <c r="D708" s="3" t="inlineStr">
        <is>
          <t>In House Collection</t>
        </is>
      </c>
      <c r="E708" s="23" t="n">
        <v>46094</v>
      </c>
      <c r="F708" s="23" t="n">
        <v>46182</v>
      </c>
      <c r="G708" s="3" t="n">
        <v>2</v>
      </c>
      <c r="H708" s="3" t="inlineStr">
        <is>
          <t>1799</t>
        </is>
      </c>
      <c r="I708" s="3" t="inlineStr">
        <is>
          <t>17</t>
        </is>
      </c>
      <c r="J708" s="3" t="inlineStr">
        <is>
          <t>FL</t>
        </is>
      </c>
      <c r="K708" s="3" t="inlineStr">
        <is>
          <t>Redline Capital</t>
        </is>
      </c>
      <c r="L708" s="3" t="inlineStr">
        <is>
          <t>New Deal</t>
        </is>
      </c>
      <c r="M708" s="3" t="n">
        <v>1.37</v>
      </c>
      <c r="N708" s="28" t="n">
        <v>10000</v>
      </c>
      <c r="O708" s="28" t="n">
        <v>0</v>
      </c>
      <c r="P708" s="28" t="n">
        <v>13700</v>
      </c>
      <c r="Q708" s="28" t="n">
        <v>877.72</v>
      </c>
      <c r="R708" s="28" t="n">
        <v>12822.28</v>
      </c>
      <c r="S708" s="42" t="n">
        <v>0.0640671532846715</v>
      </c>
      <c r="T708" s="3" t="n">
        <v>20</v>
      </c>
      <c r="U708" s="3" t="n">
        <v>1</v>
      </c>
      <c r="V708" s="3" t="n">
        <v>39861.55</v>
      </c>
      <c r="W708" s="42" t="n">
        <v>0.0687</v>
      </c>
      <c r="X708" s="23" t="n">
        <v>45790</v>
      </c>
      <c r="Y708" s="3">
        <f>IF(I708="","No SIC",IFERROR(VLOOKUP(I708,Ref!$A$2:$B$65,2,FALSE()),"Unclassified"))</f>
        <v/>
      </c>
      <c r="Z708" s="3">
        <f>IF(T708="","",IF(T708&lt;12,"Daily","Weekly"))</f>
        <v/>
      </c>
      <c r="AA708" s="3">
        <f>IF(T708="",0,IF(T708&lt;12,T708*Controls!$B$13,T708*5))</f>
        <v/>
      </c>
      <c r="AB708" s="3">
        <f>IF(E708="",0,NETWORKDAYS(E708,Controls!$B$20,Ref!$K$2:$K$42))</f>
        <v/>
      </c>
      <c r="AC708" s="3">
        <f>IF(OR(AF708=1,AND(AA708&gt;0,AB708&gt;=Controls!$B$23*AA708)),1,0)</f>
        <v/>
      </c>
      <c r="AD708" s="3">
        <f>IF(AND(E708&lt;&gt;"",E708&gt;=Controls!$B$21,E708&lt;=Controls!$B$22),1,0)</f>
        <v/>
      </c>
      <c r="AE708" s="3">
        <f>IF(IFERROR(VLOOKUP(D708,Controls!$A$36:$E$46,2,FALSE()),"No")="Yes",1,0)</f>
        <v/>
      </c>
      <c r="AF708" s="3">
        <f>IF(IFERROR(VLOOKUP(D708,Controls!$A$36:$E$46,3,FALSE()),"No")="Yes",1,0)</f>
        <v/>
      </c>
      <c r="AG708" s="3">
        <f>IF(IFERROR(VLOOKUP(D708,Controls!$A$36:$E$46,4,FALSE()),"No")="Yes",1,0)</f>
        <v/>
      </c>
      <c r="AH708" s="3">
        <f>IF(IFERROR(VLOOKUP(D708,Controls!$A$36:$E$46,5,FALSE()),"No")="Yes",1,0)</f>
        <v/>
      </c>
      <c r="AI708" s="3">
        <f>IF(ISNUMBER(MATCH(D708,Controls!$A$36:$A$46,0)),1,0)</f>
        <v/>
      </c>
      <c r="AJ708" s="28">
        <f>Q708-N708</f>
        <v/>
      </c>
      <c r="AK708" s="3">
        <f>IF(AE708=1,MAX(0,N708-Q708),0)</f>
        <v/>
      </c>
      <c r="AL708" s="3">
        <f>IF(OR(V708="",V708=0),0,N708/V708)</f>
        <v/>
      </c>
      <c r="AM708" s="3">
        <f>IF(OR(V708="",V708=0),0,1)</f>
        <v/>
      </c>
      <c r="AN708" s="3">
        <f>IF(OR(E708="",F708=""),0,NETWORKDAYS(E708,F708,Ref!$K$2:$K$42))</f>
        <v/>
      </c>
      <c r="AO708" s="3">
        <f>IF(L708="Renewal",1,0)</f>
        <v/>
      </c>
      <c r="AP708" s="3">
        <f>AC708*AD708</f>
        <v/>
      </c>
      <c r="AQ708" s="3">
        <f>IF(AND(G708&lt;&gt;"",'Historical Score'!$C$6&lt;&gt;""),IF(G708='Historical Score'!$C$6,1,0),0)</f>
        <v/>
      </c>
      <c r="AR708" s="3">
        <f>IF(AND(L708&lt;&gt;"",'Historical Score'!$C$5&lt;&gt;""),IF(L708='Historical Score'!$C$5,1,0),0)</f>
        <v/>
      </c>
      <c r="AS708" s="3">
        <f>IF(AND(Y708&lt;&gt;"",'Historical Score'!$C$7&lt;&gt;""),IF(Y708='Historical Score'!$C$7,1,0),0)</f>
        <v/>
      </c>
      <c r="AT708" s="3">
        <f>IF(AND(K708&lt;&gt;"",'Historical Score'!$C$8&lt;&gt;""),IF(K708='Historical Score'!$C$8,1,0),0)</f>
        <v/>
      </c>
      <c r="AU708" s="3" t="n"/>
      <c r="AV708" s="3" t="n"/>
      <c r="AW708" s="3" t="n"/>
      <c r="AX708" s="3" t="n"/>
      <c r="AY708" s="3" t="n"/>
      <c r="AZ708" s="3" t="n"/>
      <c r="BA708" s="182">
        <f>IF(AD708=1,(AR708*'Historical Score'!$K$29+1-'Historical Score'!$K$29)*(AT708*'Historical Score'!$L$29+1-'Historical Score'!$L$29)*(AS708*'Historical Score'!$M$29+1-'Historical Score'!$M$29)*(AQ708*'Historical Score'!$N$29+1-'Historical Score'!$N$29),0)</f>
        <v/>
      </c>
      <c r="BB708" s="3" t="n"/>
      <c r="BC708" s="3" t="n"/>
    </row>
    <row r="709" ht="15.75" customHeight="1" s="174">
      <c r="A709" s="3" t="inlineStr">
        <is>
          <t>5674180160</t>
        </is>
      </c>
      <c r="B709" s="3" t="inlineStr">
        <is>
          <t>JS4 Trucking</t>
        </is>
      </c>
      <c r="C709" s="3" t="inlineStr">
        <is>
          <t>JS4 TRUCKING INC</t>
        </is>
      </c>
      <c r="D709" s="3" t="inlineStr">
        <is>
          <t>Open</t>
        </is>
      </c>
      <c r="E709" s="23" t="n">
        <v>46094</v>
      </c>
      <c r="F709" s="23" t="n">
        <v>46248</v>
      </c>
      <c r="G709" s="3" t="n">
        <v>3</v>
      </c>
      <c r="H709" s="3" t="inlineStr">
        <is>
          <t>4212</t>
        </is>
      </c>
      <c r="I709" s="3" t="inlineStr">
        <is>
          <t>42</t>
        </is>
      </c>
      <c r="J709" s="3" t="inlineStr">
        <is>
          <t>VA</t>
        </is>
      </c>
      <c r="K709" s="3" t="inlineStr">
        <is>
          <t>AVON ADVANCE</t>
        </is>
      </c>
      <c r="L709" s="3" t="inlineStr">
        <is>
          <t>New Deal</t>
        </is>
      </c>
      <c r="M709" s="3" t="n">
        <v>1.49</v>
      </c>
      <c r="N709" s="28" t="n">
        <v>20000</v>
      </c>
      <c r="O709" s="28" t="n">
        <v>2800</v>
      </c>
      <c r="P709" s="28" t="n">
        <v>29800</v>
      </c>
      <c r="Q709" s="28" t="n">
        <v>17885.88</v>
      </c>
      <c r="R709" s="28" t="n">
        <v>11914.12</v>
      </c>
      <c r="S709" s="42" t="n">
        <v>0.600197315436242</v>
      </c>
      <c r="T709" s="3" t="n">
        <v>20</v>
      </c>
      <c r="U709" s="3" t="n">
        <v>10</v>
      </c>
      <c r="V709" s="3" t="n">
        <v>50482.4</v>
      </c>
      <c r="W709" s="42" t="n">
        <v>0.1181</v>
      </c>
      <c r="X709" s="23" t="n">
        <v>44216</v>
      </c>
      <c r="Y709" s="3">
        <f>IF(I709="","No SIC",IFERROR(VLOOKUP(I709,Ref!$A$2:$B$65,2,FALSE()),"Unclassified"))</f>
        <v/>
      </c>
      <c r="Z709" s="3">
        <f>IF(T709="","",IF(T709&lt;12,"Daily","Weekly"))</f>
        <v/>
      </c>
      <c r="AA709" s="3">
        <f>IF(T709="",0,IF(T709&lt;12,T709*Controls!$B$13,T709*5))</f>
        <v/>
      </c>
      <c r="AB709" s="3">
        <f>IF(E709="",0,NETWORKDAYS(E709,Controls!$B$20,Ref!$K$2:$K$42))</f>
        <v/>
      </c>
      <c r="AC709" s="3">
        <f>IF(OR(AF709=1,AND(AA709&gt;0,AB709&gt;=Controls!$B$23*AA709)),1,0)</f>
        <v/>
      </c>
      <c r="AD709" s="3">
        <f>IF(AND(E709&lt;&gt;"",E709&gt;=Controls!$B$21,E709&lt;=Controls!$B$22),1,0)</f>
        <v/>
      </c>
      <c r="AE709" s="3">
        <f>IF(IFERROR(VLOOKUP(D709,Controls!$A$36:$E$46,2,FALSE()),"No")="Yes",1,0)</f>
        <v/>
      </c>
      <c r="AF709" s="3">
        <f>IF(IFERROR(VLOOKUP(D709,Controls!$A$36:$E$46,3,FALSE()),"No")="Yes",1,0)</f>
        <v/>
      </c>
      <c r="AG709" s="3">
        <f>IF(IFERROR(VLOOKUP(D709,Controls!$A$36:$E$46,4,FALSE()),"No")="Yes",1,0)</f>
        <v/>
      </c>
      <c r="AH709" s="3">
        <f>IF(IFERROR(VLOOKUP(D709,Controls!$A$36:$E$46,5,FALSE()),"No")="Yes",1,0)</f>
        <v/>
      </c>
      <c r="AI709" s="3">
        <f>IF(ISNUMBER(MATCH(D709,Controls!$A$36:$A$46,0)),1,0)</f>
        <v/>
      </c>
      <c r="AJ709" s="28">
        <f>Q709-N709</f>
        <v/>
      </c>
      <c r="AK709" s="3">
        <f>IF(AE709=1,MAX(0,N709-Q709),0)</f>
        <v/>
      </c>
      <c r="AL709" s="3">
        <f>IF(OR(V709="",V709=0),0,N709/V709)</f>
        <v/>
      </c>
      <c r="AM709" s="3">
        <f>IF(OR(V709="",V709=0),0,1)</f>
        <v/>
      </c>
      <c r="AN709" s="3">
        <f>IF(OR(E709="",F709=""),0,NETWORKDAYS(E709,F709,Ref!$K$2:$K$42))</f>
        <v/>
      </c>
      <c r="AO709" s="3">
        <f>IF(L709="Renewal",1,0)</f>
        <v/>
      </c>
      <c r="AP709" s="3">
        <f>AC709*AD709</f>
        <v/>
      </c>
      <c r="AQ709" s="3">
        <f>IF(AND(G709&lt;&gt;"",'Historical Score'!$C$6&lt;&gt;""),IF(G709='Historical Score'!$C$6,1,0),0)</f>
        <v/>
      </c>
      <c r="AR709" s="3">
        <f>IF(AND(L709&lt;&gt;"",'Historical Score'!$C$5&lt;&gt;""),IF(L709='Historical Score'!$C$5,1,0),0)</f>
        <v/>
      </c>
      <c r="AS709" s="3">
        <f>IF(AND(Y709&lt;&gt;"",'Historical Score'!$C$7&lt;&gt;""),IF(Y709='Historical Score'!$C$7,1,0),0)</f>
        <v/>
      </c>
      <c r="AT709" s="3">
        <f>IF(AND(K709&lt;&gt;"",'Historical Score'!$C$8&lt;&gt;""),IF(K709='Historical Score'!$C$8,1,0),0)</f>
        <v/>
      </c>
      <c r="AU709" s="3" t="n"/>
      <c r="AV709" s="3" t="n"/>
      <c r="AW709" s="3" t="n"/>
      <c r="AX709" s="3" t="n"/>
      <c r="AY709" s="3" t="n"/>
      <c r="AZ709" s="3" t="n"/>
      <c r="BA709" s="182">
        <f>IF(AD709=1,(AR709*'Historical Score'!$K$29+1-'Historical Score'!$K$29)*(AT709*'Historical Score'!$L$29+1-'Historical Score'!$L$29)*(AS709*'Historical Score'!$M$29+1-'Historical Score'!$M$29)*(AQ709*'Historical Score'!$N$29+1-'Historical Score'!$N$29),0)</f>
        <v/>
      </c>
      <c r="BB709" s="3" t="n"/>
      <c r="BC709" s="3" t="n"/>
    </row>
    <row r="710" ht="15.75" customHeight="1" s="174">
      <c r="A710" s="3" t="inlineStr">
        <is>
          <t>5674180163</t>
        </is>
      </c>
      <c r="B710" s="3" t="inlineStr">
        <is>
          <t>FIVE STARZ LOGISTICS DBA FIVE STARZ TRUCKING INC</t>
        </is>
      </c>
      <c r="C710" s="3" t="inlineStr">
        <is>
          <t>FIVE STARZ LOGISTICS INCORPORATED</t>
        </is>
      </c>
      <c r="D710" s="3" t="inlineStr">
        <is>
          <t>Closed/NSF</t>
        </is>
      </c>
      <c r="E710" s="23" t="n">
        <v>46094</v>
      </c>
      <c r="F710" s="23" t="n">
        <v>46244</v>
      </c>
      <c r="G710" s="3" t="n">
        <v>1</v>
      </c>
      <c r="H710" s="3" t="inlineStr">
        <is>
          <t>1442</t>
        </is>
      </c>
      <c r="I710" s="3" t="inlineStr">
        <is>
          <t>14</t>
        </is>
      </c>
      <c r="J710" s="3" t="inlineStr">
        <is>
          <t>VA</t>
        </is>
      </c>
      <c r="K710" s="3" t="inlineStr">
        <is>
          <t>Vanguard Equities</t>
        </is>
      </c>
      <c r="L710" s="3" t="inlineStr">
        <is>
          <t>New Deal</t>
        </is>
      </c>
      <c r="M710" s="3" t="n">
        <v>1.49</v>
      </c>
      <c r="N710" s="28" t="n">
        <v>30000</v>
      </c>
      <c r="O710" s="28" t="n">
        <v>4200</v>
      </c>
      <c r="P710" s="28" t="n">
        <v>44700</v>
      </c>
      <c r="Q710" s="28" t="n">
        <v>44700</v>
      </c>
      <c r="R710" s="28" t="n">
        <v>0</v>
      </c>
      <c r="S710" s="42" t="n">
        <v>1</v>
      </c>
      <c r="T710" s="3" t="n">
        <v>3.279</v>
      </c>
      <c r="U710" s="3" t="n">
        <v>4</v>
      </c>
      <c r="V710" s="3" t="n">
        <v>190677.94</v>
      </c>
      <c r="W710" s="42" t="n">
        <v>0.0492</v>
      </c>
      <c r="X710" s="23" t="n">
        <v>43617</v>
      </c>
      <c r="Y710" s="3">
        <f>IF(I710="","No SIC",IFERROR(VLOOKUP(I710,Ref!$A$2:$B$65,2,FALSE()),"Unclassified"))</f>
        <v/>
      </c>
      <c r="Z710" s="3">
        <f>IF(T710="","",IF(T710&lt;12,"Daily","Weekly"))</f>
        <v/>
      </c>
      <c r="AA710" s="3">
        <f>IF(T710="",0,IF(T710&lt;12,T710*Controls!$B$13,T710*5))</f>
        <v/>
      </c>
      <c r="AB710" s="3">
        <f>IF(E710="",0,NETWORKDAYS(E710,Controls!$B$20,Ref!$K$2:$K$42))</f>
        <v/>
      </c>
      <c r="AC710" s="3">
        <f>IF(OR(AF710=1,AND(AA710&gt;0,AB710&gt;=Controls!$B$23*AA710)),1,0)</f>
        <v/>
      </c>
      <c r="AD710" s="3">
        <f>IF(AND(E710&lt;&gt;"",E710&gt;=Controls!$B$21,E710&lt;=Controls!$B$22),1,0)</f>
        <v/>
      </c>
      <c r="AE710" s="3">
        <f>IF(IFERROR(VLOOKUP(D710,Controls!$A$36:$E$46,2,FALSE()),"No")="Yes",1,0)</f>
        <v/>
      </c>
      <c r="AF710" s="3">
        <f>IF(IFERROR(VLOOKUP(D710,Controls!$A$36:$E$46,3,FALSE()),"No")="Yes",1,0)</f>
        <v/>
      </c>
      <c r="AG710" s="3">
        <f>IF(IFERROR(VLOOKUP(D710,Controls!$A$36:$E$46,4,FALSE()),"No")="Yes",1,0)</f>
        <v/>
      </c>
      <c r="AH710" s="3">
        <f>IF(IFERROR(VLOOKUP(D710,Controls!$A$36:$E$46,5,FALSE()),"No")="Yes",1,0)</f>
        <v/>
      </c>
      <c r="AI710" s="3">
        <f>IF(ISNUMBER(MATCH(D710,Controls!$A$36:$A$46,0)),1,0)</f>
        <v/>
      </c>
      <c r="AJ710" s="28">
        <f>Q710-N710</f>
        <v/>
      </c>
      <c r="AK710" s="3">
        <f>IF(AE710=1,MAX(0,N710-Q710),0)</f>
        <v/>
      </c>
      <c r="AL710" s="3">
        <f>IF(OR(V710="",V710=0),0,N710/V710)</f>
        <v/>
      </c>
      <c r="AM710" s="3">
        <f>IF(OR(V710="",V710=0),0,1)</f>
        <v/>
      </c>
      <c r="AN710" s="3">
        <f>IF(OR(E710="",F710=""),0,NETWORKDAYS(E710,F710,Ref!$K$2:$K$42))</f>
        <v/>
      </c>
      <c r="AO710" s="3">
        <f>IF(L710="Renewal",1,0)</f>
        <v/>
      </c>
      <c r="AP710" s="3">
        <f>AC710*AD710</f>
        <v/>
      </c>
      <c r="AQ710" s="3">
        <f>IF(AND(G710&lt;&gt;"",'Historical Score'!$C$6&lt;&gt;""),IF(G710='Historical Score'!$C$6,1,0),0)</f>
        <v/>
      </c>
      <c r="AR710" s="3">
        <f>IF(AND(L710&lt;&gt;"",'Historical Score'!$C$5&lt;&gt;""),IF(L710='Historical Score'!$C$5,1,0),0)</f>
        <v/>
      </c>
      <c r="AS710" s="3">
        <f>IF(AND(Y710&lt;&gt;"",'Historical Score'!$C$7&lt;&gt;""),IF(Y710='Historical Score'!$C$7,1,0),0)</f>
        <v/>
      </c>
      <c r="AT710" s="3">
        <f>IF(AND(K710&lt;&gt;"",'Historical Score'!$C$8&lt;&gt;""),IF(K710='Historical Score'!$C$8,1,0),0)</f>
        <v/>
      </c>
      <c r="AU710" s="3" t="n"/>
      <c r="AV710" s="3" t="n"/>
      <c r="AW710" s="3" t="n"/>
      <c r="AX710" s="3" t="n"/>
      <c r="AY710" s="3" t="n"/>
      <c r="AZ710" s="3" t="n"/>
      <c r="BA710" s="182">
        <f>IF(AD710=1,(AR710*'Historical Score'!$K$29+1-'Historical Score'!$K$29)*(AT710*'Historical Score'!$L$29+1-'Historical Score'!$L$29)*(AS710*'Historical Score'!$M$29+1-'Historical Score'!$M$29)*(AQ710*'Historical Score'!$N$29+1-'Historical Score'!$N$29),0)</f>
        <v/>
      </c>
      <c r="BB710" s="3" t="n"/>
      <c r="BC710" s="3" t="n"/>
    </row>
    <row r="711" ht="15.75" customHeight="1" s="174">
      <c r="A711" s="3" t="inlineStr">
        <is>
          <t>5674180170</t>
        </is>
      </c>
      <c r="B711" s="3" t="inlineStr">
        <is>
          <t>Southern Emblem Inc</t>
        </is>
      </c>
      <c r="C711" s="3" t="inlineStr">
        <is>
          <t>Southern Emblem Inc</t>
        </is>
      </c>
      <c r="D711" s="3" t="inlineStr">
        <is>
          <t>Open</t>
        </is>
      </c>
      <c r="E711" s="23" t="n">
        <v>46094</v>
      </c>
      <c r="F711" s="23" t="n">
        <v>46248</v>
      </c>
      <c r="G711" s="3" t="n">
        <v>4</v>
      </c>
      <c r="H711" s="3" t="inlineStr">
        <is>
          <t>5699</t>
        </is>
      </c>
      <c r="I711" s="3" t="inlineStr">
        <is>
          <t>56</t>
        </is>
      </c>
      <c r="J711" s="3" t="inlineStr">
        <is>
          <t>LA</t>
        </is>
      </c>
      <c r="K711" s="3" t="inlineStr">
        <is>
          <t>Ballicci</t>
        </is>
      </c>
      <c r="L711" s="3" t="inlineStr">
        <is>
          <t>New Deal</t>
        </is>
      </c>
      <c r="M711" s="3" t="n">
        <v>1.49</v>
      </c>
      <c r="N711" s="28" t="n">
        <v>25000</v>
      </c>
      <c r="O711" s="28" t="n">
        <v>3500</v>
      </c>
      <c r="P711" s="28" t="n">
        <v>37250</v>
      </c>
      <c r="Q711" s="28" t="n">
        <v>35102</v>
      </c>
      <c r="R711" s="28" t="n">
        <v>2148</v>
      </c>
      <c r="S711" s="42" t="n">
        <v>0.942335570469799</v>
      </c>
      <c r="T711" s="3" t="n">
        <v>20</v>
      </c>
      <c r="U711" s="3" t="n">
        <v>1</v>
      </c>
      <c r="V711" s="3" t="n">
        <v>85000</v>
      </c>
      <c r="W711" s="42" t="n">
        <v>0.133</v>
      </c>
      <c r="X711" s="23" t="n">
        <v>46094</v>
      </c>
      <c r="Y711" s="3">
        <f>IF(I711="","No SIC",IFERROR(VLOOKUP(I711,Ref!$A$2:$B$65,2,FALSE()),"Unclassified"))</f>
        <v/>
      </c>
      <c r="Z711" s="3">
        <f>IF(T711="","",IF(T711&lt;12,"Daily","Weekly"))</f>
        <v/>
      </c>
      <c r="AA711" s="3">
        <f>IF(T711="",0,IF(T711&lt;12,T711*Controls!$B$13,T711*5))</f>
        <v/>
      </c>
      <c r="AB711" s="3">
        <f>IF(E711="",0,NETWORKDAYS(E711,Controls!$B$20,Ref!$K$2:$K$42))</f>
        <v/>
      </c>
      <c r="AC711" s="3">
        <f>IF(OR(AF711=1,AND(AA711&gt;0,AB711&gt;=Controls!$B$23*AA711)),1,0)</f>
        <v/>
      </c>
      <c r="AD711" s="3">
        <f>IF(AND(E711&lt;&gt;"",E711&gt;=Controls!$B$21,E711&lt;=Controls!$B$22),1,0)</f>
        <v/>
      </c>
      <c r="AE711" s="3">
        <f>IF(IFERROR(VLOOKUP(D711,Controls!$A$36:$E$46,2,FALSE()),"No")="Yes",1,0)</f>
        <v/>
      </c>
      <c r="AF711" s="3">
        <f>IF(IFERROR(VLOOKUP(D711,Controls!$A$36:$E$46,3,FALSE()),"No")="Yes",1,0)</f>
        <v/>
      </c>
      <c r="AG711" s="3">
        <f>IF(IFERROR(VLOOKUP(D711,Controls!$A$36:$E$46,4,FALSE()),"No")="Yes",1,0)</f>
        <v/>
      </c>
      <c r="AH711" s="3">
        <f>IF(IFERROR(VLOOKUP(D711,Controls!$A$36:$E$46,5,FALSE()),"No")="Yes",1,0)</f>
        <v/>
      </c>
      <c r="AI711" s="3">
        <f>IF(ISNUMBER(MATCH(D711,Controls!$A$36:$A$46,0)),1,0)</f>
        <v/>
      </c>
      <c r="AJ711" s="28">
        <f>Q711-N711</f>
        <v/>
      </c>
      <c r="AK711" s="3">
        <f>IF(AE711=1,MAX(0,N711-Q711),0)</f>
        <v/>
      </c>
      <c r="AL711" s="3">
        <f>IF(OR(V711="",V711=0),0,N711/V711)</f>
        <v/>
      </c>
      <c r="AM711" s="3">
        <f>IF(OR(V711="",V711=0),0,1)</f>
        <v/>
      </c>
      <c r="AN711" s="3">
        <f>IF(OR(E711="",F711=""),0,NETWORKDAYS(E711,F711,Ref!$K$2:$K$42))</f>
        <v/>
      </c>
      <c r="AO711" s="3">
        <f>IF(L711="Renewal",1,0)</f>
        <v/>
      </c>
      <c r="AP711" s="3">
        <f>AC711*AD711</f>
        <v/>
      </c>
      <c r="AQ711" s="3">
        <f>IF(AND(G711&lt;&gt;"",'Historical Score'!$C$6&lt;&gt;""),IF(G711='Historical Score'!$C$6,1,0),0)</f>
        <v/>
      </c>
      <c r="AR711" s="3">
        <f>IF(AND(L711&lt;&gt;"",'Historical Score'!$C$5&lt;&gt;""),IF(L711='Historical Score'!$C$5,1,0),0)</f>
        <v/>
      </c>
      <c r="AS711" s="3">
        <f>IF(AND(Y711&lt;&gt;"",'Historical Score'!$C$7&lt;&gt;""),IF(Y711='Historical Score'!$C$7,1,0),0)</f>
        <v/>
      </c>
      <c r="AT711" s="3">
        <f>IF(AND(K711&lt;&gt;"",'Historical Score'!$C$8&lt;&gt;""),IF(K711='Historical Score'!$C$8,1,0),0)</f>
        <v/>
      </c>
      <c r="AU711" s="3" t="n"/>
      <c r="AV711" s="3" t="n"/>
      <c r="AW711" s="3" t="n"/>
      <c r="AX711" s="3" t="n"/>
      <c r="AY711" s="3" t="n"/>
      <c r="AZ711" s="3" t="n"/>
      <c r="BA711" s="182">
        <f>IF(AD711=1,(AR711*'Historical Score'!$K$29+1-'Historical Score'!$K$29)*(AT711*'Historical Score'!$L$29+1-'Historical Score'!$L$29)*(AS711*'Historical Score'!$M$29+1-'Historical Score'!$M$29)*(AQ711*'Historical Score'!$N$29+1-'Historical Score'!$N$29),0)</f>
        <v/>
      </c>
      <c r="BB711" s="3" t="n"/>
      <c r="BC711" s="3" t="n"/>
    </row>
    <row r="712" ht="15.75" customHeight="1" s="174">
      <c r="A712" s="3" t="inlineStr">
        <is>
          <t>5674180179</t>
        </is>
      </c>
      <c r="B712" s="3" t="inlineStr">
        <is>
          <t>scrubs4u</t>
        </is>
      </c>
      <c r="C712" s="3" t="inlineStr">
        <is>
          <t>scrub 4 U corp</t>
        </is>
      </c>
      <c r="D712" s="3" t="inlineStr">
        <is>
          <t>Lowered Payments</t>
        </is>
      </c>
      <c r="E712" s="23" t="n">
        <v>46094</v>
      </c>
      <c r="F712" s="23" t="n">
        <v>46248</v>
      </c>
      <c r="G712" s="3" t="n">
        <v>3</v>
      </c>
      <c r="H712" s="3" t="n"/>
      <c r="I712" s="3" t="n"/>
      <c r="J712" s="3" t="inlineStr">
        <is>
          <t>CA</t>
        </is>
      </c>
      <c r="K712" s="3" t="inlineStr">
        <is>
          <t>Fundwell</t>
        </is>
      </c>
      <c r="L712" s="3" t="inlineStr">
        <is>
          <t>New Deal</t>
        </is>
      </c>
      <c r="M712" s="3" t="n">
        <v>1.42</v>
      </c>
      <c r="N712" s="28" t="n">
        <v>22000</v>
      </c>
      <c r="O712" s="28" t="n">
        <v>3080</v>
      </c>
      <c r="P712" s="28" t="n">
        <v>31240</v>
      </c>
      <c r="Q712" s="28" t="n">
        <v>19600.58</v>
      </c>
      <c r="R712" s="28" t="n">
        <v>11639.42</v>
      </c>
      <c r="S712" s="42" t="n">
        <v>0.62741933418694</v>
      </c>
      <c r="T712" s="3" t="n">
        <v>28</v>
      </c>
      <c r="U712" s="3" t="n">
        <v>1</v>
      </c>
      <c r="V712" s="3" t="n">
        <v>25855.28</v>
      </c>
      <c r="W712" s="42" t="n">
        <v>0.1726</v>
      </c>
      <c r="X712" s="23" t="n">
        <v>43160</v>
      </c>
      <c r="Y712" s="3">
        <f>IF(I712="","No SIC",IFERROR(VLOOKUP(I712,Ref!$A$2:$B$65,2,FALSE()),"Unclassified"))</f>
        <v/>
      </c>
      <c r="Z712" s="3">
        <f>IF(T712="","",IF(T712&lt;12,"Daily","Weekly"))</f>
        <v/>
      </c>
      <c r="AA712" s="3">
        <f>IF(T712="",0,IF(T712&lt;12,T712*Controls!$B$13,T712*5))</f>
        <v/>
      </c>
      <c r="AB712" s="3">
        <f>IF(E712="",0,NETWORKDAYS(E712,Controls!$B$20,Ref!$K$2:$K$42))</f>
        <v/>
      </c>
      <c r="AC712" s="3">
        <f>IF(OR(AF712=1,AND(AA712&gt;0,AB712&gt;=Controls!$B$23*AA712)),1,0)</f>
        <v/>
      </c>
      <c r="AD712" s="3">
        <f>IF(AND(E712&lt;&gt;"",E712&gt;=Controls!$B$21,E712&lt;=Controls!$B$22),1,0)</f>
        <v/>
      </c>
      <c r="AE712" s="3">
        <f>IF(IFERROR(VLOOKUP(D712,Controls!$A$36:$E$46,2,FALSE()),"No")="Yes",1,0)</f>
        <v/>
      </c>
      <c r="AF712" s="3">
        <f>IF(IFERROR(VLOOKUP(D712,Controls!$A$36:$E$46,3,FALSE()),"No")="Yes",1,0)</f>
        <v/>
      </c>
      <c r="AG712" s="3">
        <f>IF(IFERROR(VLOOKUP(D712,Controls!$A$36:$E$46,4,FALSE()),"No")="Yes",1,0)</f>
        <v/>
      </c>
      <c r="AH712" s="3">
        <f>IF(IFERROR(VLOOKUP(D712,Controls!$A$36:$E$46,5,FALSE()),"No")="Yes",1,0)</f>
        <v/>
      </c>
      <c r="AI712" s="3">
        <f>IF(ISNUMBER(MATCH(D712,Controls!$A$36:$A$46,0)),1,0)</f>
        <v/>
      </c>
      <c r="AJ712" s="28">
        <f>Q712-N712</f>
        <v/>
      </c>
      <c r="AK712" s="3">
        <f>IF(AE712=1,MAX(0,N712-Q712),0)</f>
        <v/>
      </c>
      <c r="AL712" s="3">
        <f>IF(OR(V712="",V712=0),0,N712/V712)</f>
        <v/>
      </c>
      <c r="AM712" s="3">
        <f>IF(OR(V712="",V712=0),0,1)</f>
        <v/>
      </c>
      <c r="AN712" s="3">
        <f>IF(OR(E712="",F712=""),0,NETWORKDAYS(E712,F712,Ref!$K$2:$K$42))</f>
        <v/>
      </c>
      <c r="AO712" s="3">
        <f>IF(L712="Renewal",1,0)</f>
        <v/>
      </c>
      <c r="AP712" s="3">
        <f>AC712*AD712</f>
        <v/>
      </c>
      <c r="AQ712" s="3">
        <f>IF(AND(G712&lt;&gt;"",'Historical Score'!$C$6&lt;&gt;""),IF(G712='Historical Score'!$C$6,1,0),0)</f>
        <v/>
      </c>
      <c r="AR712" s="3">
        <f>IF(AND(L712&lt;&gt;"",'Historical Score'!$C$5&lt;&gt;""),IF(L712='Historical Score'!$C$5,1,0),0)</f>
        <v/>
      </c>
      <c r="AS712" s="3">
        <f>IF(AND(Y712&lt;&gt;"",'Historical Score'!$C$7&lt;&gt;""),IF(Y712='Historical Score'!$C$7,1,0),0)</f>
        <v/>
      </c>
      <c r="AT712" s="3">
        <f>IF(AND(K712&lt;&gt;"",'Historical Score'!$C$8&lt;&gt;""),IF(K712='Historical Score'!$C$8,1,0),0)</f>
        <v/>
      </c>
      <c r="AU712" s="3" t="n"/>
      <c r="AV712" s="3" t="n"/>
      <c r="AW712" s="3" t="n"/>
      <c r="AX712" s="3" t="n"/>
      <c r="AY712" s="3" t="n"/>
      <c r="AZ712" s="3" t="n"/>
      <c r="BA712" s="182">
        <f>IF(AD712=1,(AR712*'Historical Score'!$K$29+1-'Historical Score'!$K$29)*(AT712*'Historical Score'!$L$29+1-'Historical Score'!$L$29)*(AS712*'Historical Score'!$M$29+1-'Historical Score'!$M$29)*(AQ712*'Historical Score'!$N$29+1-'Historical Score'!$N$29),0)</f>
        <v/>
      </c>
      <c r="BB712" s="3" t="n"/>
      <c r="BC712" s="3" t="n"/>
    </row>
    <row r="713" ht="15.75" customHeight="1" s="174">
      <c r="A713" s="3" t="inlineStr">
        <is>
          <t>5674180203</t>
        </is>
      </c>
      <c r="B713" s="3" t="inlineStr">
        <is>
          <t>Nest Protection Plan</t>
        </is>
      </c>
      <c r="C713" s="3" t="inlineStr">
        <is>
          <t>Miami Valley Environmental Services LLC</t>
        </is>
      </c>
      <c r="D713" s="3" t="inlineStr">
        <is>
          <t>Closed</t>
        </is>
      </c>
      <c r="E713" s="23" t="n">
        <v>46097</v>
      </c>
      <c r="F713" s="23" t="n">
        <v>46219</v>
      </c>
      <c r="G713" s="3" t="n">
        <v>3</v>
      </c>
      <c r="H713" s="3" t="inlineStr">
        <is>
          <t>8999</t>
        </is>
      </c>
      <c r="I713" s="3" t="inlineStr">
        <is>
          <t>89</t>
        </is>
      </c>
      <c r="J713" s="3" t="inlineStr">
        <is>
          <t>OH</t>
        </is>
      </c>
      <c r="K713" s="3" t="inlineStr">
        <is>
          <t>Fundwell</t>
        </is>
      </c>
      <c r="L713" s="3" t="inlineStr">
        <is>
          <t>Renewal</t>
        </is>
      </c>
      <c r="M713" s="3" t="n">
        <v>1.4</v>
      </c>
      <c r="N713" s="28" t="n">
        <v>15500</v>
      </c>
      <c r="O713" s="28" t="n">
        <v>2015</v>
      </c>
      <c r="P713" s="28" t="n">
        <v>21700</v>
      </c>
      <c r="Q713" s="28" t="n">
        <v>21700</v>
      </c>
      <c r="R713" s="28" t="n">
        <v>0</v>
      </c>
      <c r="S713" s="42" t="n">
        <v>1</v>
      </c>
      <c r="T713" s="3" t="n">
        <v>4.262</v>
      </c>
      <c r="U713" s="3" t="n">
        <v>0</v>
      </c>
      <c r="V713" s="3" t="n">
        <v>14934.99</v>
      </c>
      <c r="W713" s="42" t="n">
        <v>0.2347</v>
      </c>
      <c r="X713" s="23" t="n">
        <v>45524</v>
      </c>
      <c r="Y713" s="3">
        <f>IF(I713="","No SIC",IFERROR(VLOOKUP(I713,Ref!$A$2:$B$65,2,FALSE()),"Unclassified"))</f>
        <v/>
      </c>
      <c r="Z713" s="3">
        <f>IF(T713="","",IF(T713&lt;12,"Daily","Weekly"))</f>
        <v/>
      </c>
      <c r="AA713" s="3">
        <f>IF(T713="",0,IF(T713&lt;12,T713*Controls!$B$13,T713*5))</f>
        <v/>
      </c>
      <c r="AB713" s="3">
        <f>IF(E713="",0,NETWORKDAYS(E713,Controls!$B$20,Ref!$K$2:$K$42))</f>
        <v/>
      </c>
      <c r="AC713" s="3">
        <f>IF(OR(AF713=1,AND(AA713&gt;0,AB713&gt;=Controls!$B$23*AA713)),1,0)</f>
        <v/>
      </c>
      <c r="AD713" s="3">
        <f>IF(AND(E713&lt;&gt;"",E713&gt;=Controls!$B$21,E713&lt;=Controls!$B$22),1,0)</f>
        <v/>
      </c>
      <c r="AE713" s="3">
        <f>IF(IFERROR(VLOOKUP(D713,Controls!$A$36:$E$46,2,FALSE()),"No")="Yes",1,0)</f>
        <v/>
      </c>
      <c r="AF713" s="3">
        <f>IF(IFERROR(VLOOKUP(D713,Controls!$A$36:$E$46,3,FALSE()),"No")="Yes",1,0)</f>
        <v/>
      </c>
      <c r="AG713" s="3">
        <f>IF(IFERROR(VLOOKUP(D713,Controls!$A$36:$E$46,4,FALSE()),"No")="Yes",1,0)</f>
        <v/>
      </c>
      <c r="AH713" s="3">
        <f>IF(IFERROR(VLOOKUP(D713,Controls!$A$36:$E$46,5,FALSE()),"No")="Yes",1,0)</f>
        <v/>
      </c>
      <c r="AI713" s="3">
        <f>IF(ISNUMBER(MATCH(D713,Controls!$A$36:$A$46,0)),1,0)</f>
        <v/>
      </c>
      <c r="AJ713" s="28">
        <f>Q713-N713</f>
        <v/>
      </c>
      <c r="AK713" s="3">
        <f>IF(AE713=1,MAX(0,N713-Q713),0)</f>
        <v/>
      </c>
      <c r="AL713" s="3">
        <f>IF(OR(V713="",V713=0),0,N713/V713)</f>
        <v/>
      </c>
      <c r="AM713" s="3">
        <f>IF(OR(V713="",V713=0),0,1)</f>
        <v/>
      </c>
      <c r="AN713" s="3">
        <f>IF(OR(E713="",F713=""),0,NETWORKDAYS(E713,F713,Ref!$K$2:$K$42))</f>
        <v/>
      </c>
      <c r="AO713" s="3">
        <f>IF(L713="Renewal",1,0)</f>
        <v/>
      </c>
      <c r="AP713" s="3">
        <f>AC713*AD713</f>
        <v/>
      </c>
      <c r="AQ713" s="3">
        <f>IF(AND(G713&lt;&gt;"",'Historical Score'!$C$6&lt;&gt;""),IF(G713='Historical Score'!$C$6,1,0),0)</f>
        <v/>
      </c>
      <c r="AR713" s="3">
        <f>IF(AND(L713&lt;&gt;"",'Historical Score'!$C$5&lt;&gt;""),IF(L713='Historical Score'!$C$5,1,0),0)</f>
        <v/>
      </c>
      <c r="AS713" s="3">
        <f>IF(AND(Y713&lt;&gt;"",'Historical Score'!$C$7&lt;&gt;""),IF(Y713='Historical Score'!$C$7,1,0),0)</f>
        <v/>
      </c>
      <c r="AT713" s="3">
        <f>IF(AND(K713&lt;&gt;"",'Historical Score'!$C$8&lt;&gt;""),IF(K713='Historical Score'!$C$8,1,0),0)</f>
        <v/>
      </c>
      <c r="AU713" s="3" t="n"/>
      <c r="AV713" s="3" t="n"/>
      <c r="AW713" s="3" t="n"/>
      <c r="AX713" s="3" t="n"/>
      <c r="AY713" s="3" t="n"/>
      <c r="AZ713" s="3" t="n"/>
      <c r="BA713" s="182">
        <f>IF(AD713=1,(AR713*'Historical Score'!$K$29+1-'Historical Score'!$K$29)*(AT713*'Historical Score'!$L$29+1-'Historical Score'!$L$29)*(AS713*'Historical Score'!$M$29+1-'Historical Score'!$M$29)*(AQ713*'Historical Score'!$N$29+1-'Historical Score'!$N$29),0)</f>
        <v/>
      </c>
      <c r="BB713" s="3" t="n"/>
      <c r="BC713" s="3" t="n"/>
    </row>
    <row r="714" ht="15.75" customHeight="1" s="174">
      <c r="A714" s="3" t="inlineStr">
        <is>
          <t>5674180207</t>
        </is>
      </c>
      <c r="B714" s="3" t="inlineStr">
        <is>
          <t>BLU POWER SOLUTIONS DBA YORIKO S CARREON SOLE MBR</t>
        </is>
      </c>
      <c r="C714" s="3" t="inlineStr">
        <is>
          <t>BLU POWER SOLUTIONS, LLC</t>
        </is>
      </c>
      <c r="D714" s="3" t="inlineStr">
        <is>
          <t>Legal</t>
        </is>
      </c>
      <c r="E714" s="23" t="n">
        <v>46097</v>
      </c>
      <c r="F714" s="23" t="n">
        <v>46189</v>
      </c>
      <c r="G714" s="3" t="n">
        <v>3</v>
      </c>
      <c r="H714" s="3" t="inlineStr">
        <is>
          <t>8748</t>
        </is>
      </c>
      <c r="I714" s="3" t="inlineStr">
        <is>
          <t>87</t>
        </is>
      </c>
      <c r="J714" s="3" t="inlineStr">
        <is>
          <t>TX</t>
        </is>
      </c>
      <c r="K714" s="3" t="inlineStr">
        <is>
          <t>J Capital Solutions</t>
        </is>
      </c>
      <c r="L714" s="3" t="inlineStr">
        <is>
          <t>New Deal</t>
        </is>
      </c>
      <c r="M714" s="3" t="n">
        <v>1.49</v>
      </c>
      <c r="N714" s="28" t="n">
        <v>80000</v>
      </c>
      <c r="O714" s="28" t="n">
        <v>0</v>
      </c>
      <c r="P714" s="28" t="n">
        <v>119200</v>
      </c>
      <c r="Q714" s="28" t="n">
        <v>15018.62</v>
      </c>
      <c r="R714" s="28" t="n">
        <v>104181.38</v>
      </c>
      <c r="S714" s="42" t="n">
        <v>0.125995134228188</v>
      </c>
      <c r="T714" s="3" t="n">
        <v>27</v>
      </c>
      <c r="U714" s="3" t="n">
        <v>32</v>
      </c>
      <c r="V714" s="3" t="n">
        <v>241369.86</v>
      </c>
      <c r="W714" s="42" t="n">
        <v>0.0732</v>
      </c>
      <c r="X714" s="23" t="n">
        <v>44197</v>
      </c>
      <c r="Y714" s="3">
        <f>IF(I714="","No SIC",IFERROR(VLOOKUP(I714,Ref!$A$2:$B$65,2,FALSE()),"Unclassified"))</f>
        <v/>
      </c>
      <c r="Z714" s="3">
        <f>IF(T714="","",IF(T714&lt;12,"Daily","Weekly"))</f>
        <v/>
      </c>
      <c r="AA714" s="3">
        <f>IF(T714="",0,IF(T714&lt;12,T714*Controls!$B$13,T714*5))</f>
        <v/>
      </c>
      <c r="AB714" s="3">
        <f>IF(E714="",0,NETWORKDAYS(E714,Controls!$B$20,Ref!$K$2:$K$42))</f>
        <v/>
      </c>
      <c r="AC714" s="3">
        <f>IF(OR(AF714=1,AND(AA714&gt;0,AB714&gt;=Controls!$B$23*AA714)),1,0)</f>
        <v/>
      </c>
      <c r="AD714" s="3">
        <f>IF(AND(E714&lt;&gt;"",E714&gt;=Controls!$B$21,E714&lt;=Controls!$B$22),1,0)</f>
        <v/>
      </c>
      <c r="AE714" s="3">
        <f>IF(IFERROR(VLOOKUP(D714,Controls!$A$36:$E$46,2,FALSE()),"No")="Yes",1,0)</f>
        <v/>
      </c>
      <c r="AF714" s="3">
        <f>IF(IFERROR(VLOOKUP(D714,Controls!$A$36:$E$46,3,FALSE()),"No")="Yes",1,0)</f>
        <v/>
      </c>
      <c r="AG714" s="3">
        <f>IF(IFERROR(VLOOKUP(D714,Controls!$A$36:$E$46,4,FALSE()),"No")="Yes",1,0)</f>
        <v/>
      </c>
      <c r="AH714" s="3">
        <f>IF(IFERROR(VLOOKUP(D714,Controls!$A$36:$E$46,5,FALSE()),"No")="Yes",1,0)</f>
        <v/>
      </c>
      <c r="AI714" s="3">
        <f>IF(ISNUMBER(MATCH(D714,Controls!$A$36:$A$46,0)),1,0)</f>
        <v/>
      </c>
      <c r="AJ714" s="28">
        <f>Q714-N714</f>
        <v/>
      </c>
      <c r="AK714" s="3">
        <f>IF(AE714=1,MAX(0,N714-Q714),0)</f>
        <v/>
      </c>
      <c r="AL714" s="3">
        <f>IF(OR(V714="",V714=0),0,N714/V714)</f>
        <v/>
      </c>
      <c r="AM714" s="3">
        <f>IF(OR(V714="",V714=0),0,1)</f>
        <v/>
      </c>
      <c r="AN714" s="3">
        <f>IF(OR(E714="",F714=""),0,NETWORKDAYS(E714,F714,Ref!$K$2:$K$42))</f>
        <v/>
      </c>
      <c r="AO714" s="3">
        <f>IF(L714="Renewal",1,0)</f>
        <v/>
      </c>
      <c r="AP714" s="3">
        <f>AC714*AD714</f>
        <v/>
      </c>
      <c r="AQ714" s="3">
        <f>IF(AND(G714&lt;&gt;"",'Historical Score'!$C$6&lt;&gt;""),IF(G714='Historical Score'!$C$6,1,0),0)</f>
        <v/>
      </c>
      <c r="AR714" s="3">
        <f>IF(AND(L714&lt;&gt;"",'Historical Score'!$C$5&lt;&gt;""),IF(L714='Historical Score'!$C$5,1,0),0)</f>
        <v/>
      </c>
      <c r="AS714" s="3">
        <f>IF(AND(Y714&lt;&gt;"",'Historical Score'!$C$7&lt;&gt;""),IF(Y714='Historical Score'!$C$7,1,0),0)</f>
        <v/>
      </c>
      <c r="AT714" s="3">
        <f>IF(AND(K714&lt;&gt;"",'Historical Score'!$C$8&lt;&gt;""),IF(K714='Historical Score'!$C$8,1,0),0)</f>
        <v/>
      </c>
      <c r="AU714" s="3" t="n"/>
      <c r="AV714" s="3" t="n"/>
      <c r="AW714" s="3" t="n"/>
      <c r="AX714" s="3" t="n"/>
      <c r="AY714" s="3" t="n"/>
      <c r="AZ714" s="3" t="n"/>
      <c r="BA714" s="182">
        <f>IF(AD714=1,(AR714*'Historical Score'!$K$29+1-'Historical Score'!$K$29)*(AT714*'Historical Score'!$L$29+1-'Historical Score'!$L$29)*(AS714*'Historical Score'!$M$29+1-'Historical Score'!$M$29)*(AQ714*'Historical Score'!$N$29+1-'Historical Score'!$N$29),0)</f>
        <v/>
      </c>
      <c r="BB714" s="3" t="n"/>
      <c r="BC714" s="3" t="n"/>
    </row>
    <row r="715" ht="15.75" customHeight="1" s="174">
      <c r="A715" s="3" t="inlineStr">
        <is>
          <t>5674180211</t>
        </is>
      </c>
      <c r="B715" s="3" t="inlineStr">
        <is>
          <t>ON MY WAY EXPRESS</t>
        </is>
      </c>
      <c r="C715" s="3" t="inlineStr">
        <is>
          <t>ON MY WAY EXPRESS LLC</t>
        </is>
      </c>
      <c r="D715" s="3" t="inlineStr">
        <is>
          <t>Legal</t>
        </is>
      </c>
      <c r="E715" s="23" t="n">
        <v>46097</v>
      </c>
      <c r="F715" s="23" t="n">
        <v>46177</v>
      </c>
      <c r="G715" s="3" t="n">
        <v>3</v>
      </c>
      <c r="H715" s="3" t="inlineStr">
        <is>
          <t>4212</t>
        </is>
      </c>
      <c r="I715" s="3" t="inlineStr">
        <is>
          <t>42</t>
        </is>
      </c>
      <c r="J715" s="3" t="inlineStr">
        <is>
          <t>MO</t>
        </is>
      </c>
      <c r="K715" s="3" t="inlineStr">
        <is>
          <t>United Secured Capital 8</t>
        </is>
      </c>
      <c r="L715" s="3" t="inlineStr">
        <is>
          <t>New Deal</t>
        </is>
      </c>
      <c r="M715" s="3" t="n">
        <v>1.49</v>
      </c>
      <c r="N715" s="28" t="n">
        <v>20000</v>
      </c>
      <c r="O715" s="28" t="n">
        <v>2800</v>
      </c>
      <c r="P715" s="28" t="n">
        <v>29800</v>
      </c>
      <c r="Q715" s="28" t="n">
        <v>12220.05</v>
      </c>
      <c r="R715" s="28" t="n">
        <v>17579.95</v>
      </c>
      <c r="S715" s="42" t="n">
        <v>0.410068791946309</v>
      </c>
      <c r="T715" s="3" t="n">
        <v>3.279</v>
      </c>
      <c r="U715" s="3" t="n">
        <v>17</v>
      </c>
      <c r="V715" s="3" t="n">
        <v>145000</v>
      </c>
      <c r="W715" s="42" t="n">
        <v>0.1138</v>
      </c>
      <c r="X715" s="23" t="n">
        <v>44883</v>
      </c>
      <c r="Y715" s="3">
        <f>IF(I715="","No SIC",IFERROR(VLOOKUP(I715,Ref!$A$2:$B$65,2,FALSE()),"Unclassified"))</f>
        <v/>
      </c>
      <c r="Z715" s="3">
        <f>IF(T715="","",IF(T715&lt;12,"Daily","Weekly"))</f>
        <v/>
      </c>
      <c r="AA715" s="3">
        <f>IF(T715="",0,IF(T715&lt;12,T715*Controls!$B$13,T715*5))</f>
        <v/>
      </c>
      <c r="AB715" s="3">
        <f>IF(E715="",0,NETWORKDAYS(E715,Controls!$B$20,Ref!$K$2:$K$42))</f>
        <v/>
      </c>
      <c r="AC715" s="3">
        <f>IF(OR(AF715=1,AND(AA715&gt;0,AB715&gt;=Controls!$B$23*AA715)),1,0)</f>
        <v/>
      </c>
      <c r="AD715" s="3">
        <f>IF(AND(E715&lt;&gt;"",E715&gt;=Controls!$B$21,E715&lt;=Controls!$B$22),1,0)</f>
        <v/>
      </c>
      <c r="AE715" s="3">
        <f>IF(IFERROR(VLOOKUP(D715,Controls!$A$36:$E$46,2,FALSE()),"No")="Yes",1,0)</f>
        <v/>
      </c>
      <c r="AF715" s="3">
        <f>IF(IFERROR(VLOOKUP(D715,Controls!$A$36:$E$46,3,FALSE()),"No")="Yes",1,0)</f>
        <v/>
      </c>
      <c r="AG715" s="3">
        <f>IF(IFERROR(VLOOKUP(D715,Controls!$A$36:$E$46,4,FALSE()),"No")="Yes",1,0)</f>
        <v/>
      </c>
      <c r="AH715" s="3">
        <f>IF(IFERROR(VLOOKUP(D715,Controls!$A$36:$E$46,5,FALSE()),"No")="Yes",1,0)</f>
        <v/>
      </c>
      <c r="AI715" s="3">
        <f>IF(ISNUMBER(MATCH(D715,Controls!$A$36:$A$46,0)),1,0)</f>
        <v/>
      </c>
      <c r="AJ715" s="28">
        <f>Q715-N715</f>
        <v/>
      </c>
      <c r="AK715" s="3">
        <f>IF(AE715=1,MAX(0,N715-Q715),0)</f>
        <v/>
      </c>
      <c r="AL715" s="3">
        <f>IF(OR(V715="",V715=0),0,N715/V715)</f>
        <v/>
      </c>
      <c r="AM715" s="3">
        <f>IF(OR(V715="",V715=0),0,1)</f>
        <v/>
      </c>
      <c r="AN715" s="3">
        <f>IF(OR(E715="",F715=""),0,NETWORKDAYS(E715,F715,Ref!$K$2:$K$42))</f>
        <v/>
      </c>
      <c r="AO715" s="3">
        <f>IF(L715="Renewal",1,0)</f>
        <v/>
      </c>
      <c r="AP715" s="3">
        <f>AC715*AD715</f>
        <v/>
      </c>
      <c r="AQ715" s="3">
        <f>IF(AND(G715&lt;&gt;"",'Historical Score'!$C$6&lt;&gt;""),IF(G715='Historical Score'!$C$6,1,0),0)</f>
        <v/>
      </c>
      <c r="AR715" s="3">
        <f>IF(AND(L715&lt;&gt;"",'Historical Score'!$C$5&lt;&gt;""),IF(L715='Historical Score'!$C$5,1,0),0)</f>
        <v/>
      </c>
      <c r="AS715" s="3">
        <f>IF(AND(Y715&lt;&gt;"",'Historical Score'!$C$7&lt;&gt;""),IF(Y715='Historical Score'!$C$7,1,0),0)</f>
        <v/>
      </c>
      <c r="AT715" s="3">
        <f>IF(AND(K715&lt;&gt;"",'Historical Score'!$C$8&lt;&gt;""),IF(K715='Historical Score'!$C$8,1,0),0)</f>
        <v/>
      </c>
      <c r="AU715" s="3" t="n"/>
      <c r="AV715" s="3" t="n"/>
      <c r="AW715" s="3" t="n"/>
      <c r="AX715" s="3" t="n"/>
      <c r="AY715" s="3" t="n"/>
      <c r="AZ715" s="3" t="n"/>
      <c r="BA715" s="182">
        <f>IF(AD715=1,(AR715*'Historical Score'!$K$29+1-'Historical Score'!$K$29)*(AT715*'Historical Score'!$L$29+1-'Historical Score'!$L$29)*(AS715*'Historical Score'!$M$29+1-'Historical Score'!$M$29)*(AQ715*'Historical Score'!$N$29+1-'Historical Score'!$N$29),0)</f>
        <v/>
      </c>
      <c r="BB715" s="3" t="n"/>
      <c r="BC715" s="3" t="n"/>
    </row>
    <row r="716" ht="15.75" customHeight="1" s="174">
      <c r="A716" s="3" t="inlineStr">
        <is>
          <t>5674180214</t>
        </is>
      </c>
      <c r="B716" s="3" t="inlineStr">
        <is>
          <t>KABOB VILLAGE</t>
        </is>
      </c>
      <c r="C716" s="3" t="inlineStr">
        <is>
          <t>KABOB VILLAGE VIP CALABASAS</t>
        </is>
      </c>
      <c r="D716" s="3" t="inlineStr">
        <is>
          <t>Open</t>
        </is>
      </c>
      <c r="E716" s="23" t="n">
        <v>46097</v>
      </c>
      <c r="F716" s="23" t="n">
        <v>46248</v>
      </c>
      <c r="G716" s="3" t="n">
        <v>3</v>
      </c>
      <c r="H716" s="3" t="inlineStr">
        <is>
          <t>5812</t>
        </is>
      </c>
      <c r="I716" s="3" t="inlineStr">
        <is>
          <t>58</t>
        </is>
      </c>
      <c r="J716" s="3" t="inlineStr">
        <is>
          <t>CA</t>
        </is>
      </c>
      <c r="K716" s="3" t="inlineStr">
        <is>
          <t>lexington capital holdings</t>
        </is>
      </c>
      <c r="L716" s="3" t="inlineStr">
        <is>
          <t>New Deal</t>
        </is>
      </c>
      <c r="M716" s="3" t="n">
        <v>1.49</v>
      </c>
      <c r="N716" s="28" t="n">
        <v>20000</v>
      </c>
      <c r="O716" s="28" t="n">
        <v>2800</v>
      </c>
      <c r="P716" s="28" t="n">
        <v>29800</v>
      </c>
      <c r="Q716" s="28" t="n">
        <v>17634.27</v>
      </c>
      <c r="R716" s="28" t="n">
        <v>12165.73</v>
      </c>
      <c r="S716" s="42" t="n">
        <v>0.591754026845638</v>
      </c>
      <c r="T716" s="3" t="n">
        <v>3.934</v>
      </c>
      <c r="U716" s="3" t="n">
        <v>20</v>
      </c>
      <c r="V716" s="3" t="n">
        <v>80989.14</v>
      </c>
      <c r="W716" s="42" t="n">
        <v>0.0644</v>
      </c>
      <c r="X716" s="23" t="n">
        <v>45519</v>
      </c>
      <c r="Y716" s="3">
        <f>IF(I716="","No SIC",IFERROR(VLOOKUP(I716,Ref!$A$2:$B$65,2,FALSE()),"Unclassified"))</f>
        <v/>
      </c>
      <c r="Z716" s="3">
        <f>IF(T716="","",IF(T716&lt;12,"Daily","Weekly"))</f>
        <v/>
      </c>
      <c r="AA716" s="3">
        <f>IF(T716="",0,IF(T716&lt;12,T716*Controls!$B$13,T716*5))</f>
        <v/>
      </c>
      <c r="AB716" s="3">
        <f>IF(E716="",0,NETWORKDAYS(E716,Controls!$B$20,Ref!$K$2:$K$42))</f>
        <v/>
      </c>
      <c r="AC716" s="3">
        <f>IF(OR(AF716=1,AND(AA716&gt;0,AB716&gt;=Controls!$B$23*AA716)),1,0)</f>
        <v/>
      </c>
      <c r="AD716" s="3">
        <f>IF(AND(E716&lt;&gt;"",E716&gt;=Controls!$B$21,E716&lt;=Controls!$B$22),1,0)</f>
        <v/>
      </c>
      <c r="AE716" s="3">
        <f>IF(IFERROR(VLOOKUP(D716,Controls!$A$36:$E$46,2,FALSE()),"No")="Yes",1,0)</f>
        <v/>
      </c>
      <c r="AF716" s="3">
        <f>IF(IFERROR(VLOOKUP(D716,Controls!$A$36:$E$46,3,FALSE()),"No")="Yes",1,0)</f>
        <v/>
      </c>
      <c r="AG716" s="3">
        <f>IF(IFERROR(VLOOKUP(D716,Controls!$A$36:$E$46,4,FALSE()),"No")="Yes",1,0)</f>
        <v/>
      </c>
      <c r="AH716" s="3">
        <f>IF(IFERROR(VLOOKUP(D716,Controls!$A$36:$E$46,5,FALSE()),"No")="Yes",1,0)</f>
        <v/>
      </c>
      <c r="AI716" s="3">
        <f>IF(ISNUMBER(MATCH(D716,Controls!$A$36:$A$46,0)),1,0)</f>
        <v/>
      </c>
      <c r="AJ716" s="28">
        <f>Q716-N716</f>
        <v/>
      </c>
      <c r="AK716" s="3">
        <f>IF(AE716=1,MAX(0,N716-Q716),0)</f>
        <v/>
      </c>
      <c r="AL716" s="3">
        <f>IF(OR(V716="",V716=0),0,N716/V716)</f>
        <v/>
      </c>
      <c r="AM716" s="3">
        <f>IF(OR(V716="",V716=0),0,1)</f>
        <v/>
      </c>
      <c r="AN716" s="3">
        <f>IF(OR(E716="",F716=""),0,NETWORKDAYS(E716,F716,Ref!$K$2:$K$42))</f>
        <v/>
      </c>
      <c r="AO716" s="3">
        <f>IF(L716="Renewal",1,0)</f>
        <v/>
      </c>
      <c r="AP716" s="3">
        <f>AC716*AD716</f>
        <v/>
      </c>
      <c r="AQ716" s="3">
        <f>IF(AND(G716&lt;&gt;"",'Historical Score'!$C$6&lt;&gt;""),IF(G716='Historical Score'!$C$6,1,0),0)</f>
        <v/>
      </c>
      <c r="AR716" s="3">
        <f>IF(AND(L716&lt;&gt;"",'Historical Score'!$C$5&lt;&gt;""),IF(L716='Historical Score'!$C$5,1,0),0)</f>
        <v/>
      </c>
      <c r="AS716" s="3">
        <f>IF(AND(Y716&lt;&gt;"",'Historical Score'!$C$7&lt;&gt;""),IF(Y716='Historical Score'!$C$7,1,0),0)</f>
        <v/>
      </c>
      <c r="AT716" s="3">
        <f>IF(AND(K716&lt;&gt;"",'Historical Score'!$C$8&lt;&gt;""),IF(K716='Historical Score'!$C$8,1,0),0)</f>
        <v/>
      </c>
      <c r="AU716" s="3" t="n"/>
      <c r="AV716" s="3" t="n"/>
      <c r="AW716" s="3" t="n"/>
      <c r="AX716" s="3" t="n"/>
      <c r="AY716" s="3" t="n"/>
      <c r="AZ716" s="3" t="n"/>
      <c r="BA716" s="182">
        <f>IF(AD716=1,(AR716*'Historical Score'!$K$29+1-'Historical Score'!$K$29)*(AT716*'Historical Score'!$L$29+1-'Historical Score'!$L$29)*(AS716*'Historical Score'!$M$29+1-'Historical Score'!$M$29)*(AQ716*'Historical Score'!$N$29+1-'Historical Score'!$N$29),0)</f>
        <v/>
      </c>
      <c r="BB716" s="3" t="n"/>
      <c r="BC716" s="3" t="n"/>
    </row>
    <row r="717" ht="15.75" customHeight="1" s="174">
      <c r="A717" s="3" t="inlineStr">
        <is>
          <t>5674180232</t>
        </is>
      </c>
      <c r="B717" s="3" t="inlineStr">
        <is>
          <t>NOR CAL CONCRETE CUTTING INC.</t>
        </is>
      </c>
      <c r="C717" s="3" t="inlineStr">
        <is>
          <t>NOR CAL CONCRETE CUTTING INC.</t>
        </is>
      </c>
      <c r="D717" s="3" t="inlineStr">
        <is>
          <t>Open</t>
        </is>
      </c>
      <c r="E717" s="23" t="n">
        <v>46097</v>
      </c>
      <c r="F717" s="23" t="n">
        <v>46248</v>
      </c>
      <c r="G717" s="3" t="n">
        <v>3</v>
      </c>
      <c r="H717" s="3" t="inlineStr">
        <is>
          <t>1521</t>
        </is>
      </c>
      <c r="I717" s="3" t="inlineStr">
        <is>
          <t>15</t>
        </is>
      </c>
      <c r="J717" s="3" t="inlineStr">
        <is>
          <t>CA</t>
        </is>
      </c>
      <c r="K717" s="3" t="inlineStr">
        <is>
          <t>NS PRO INC.</t>
        </is>
      </c>
      <c r="L717" s="3" t="inlineStr">
        <is>
          <t>New Deal</t>
        </is>
      </c>
      <c r="M717" s="3" t="n">
        <v>1.49</v>
      </c>
      <c r="N717" s="28" t="n">
        <v>15000</v>
      </c>
      <c r="O717" s="28" t="n">
        <v>2100</v>
      </c>
      <c r="P717" s="28" t="n">
        <v>22350</v>
      </c>
      <c r="Q717" s="28" t="n">
        <v>9451.09</v>
      </c>
      <c r="R717" s="28" t="n">
        <v>12898.91</v>
      </c>
      <c r="S717" s="42" t="n">
        <v>0.422867561521253</v>
      </c>
      <c r="T717" s="3" t="n">
        <v>26</v>
      </c>
      <c r="U717" s="3" t="n">
        <v>11</v>
      </c>
      <c r="V717" s="3" t="n">
        <v>101513.17</v>
      </c>
      <c r="W717" s="42" t="n">
        <v>0.042</v>
      </c>
      <c r="X717" s="23" t="n">
        <v>43936</v>
      </c>
      <c r="Y717" s="3">
        <f>IF(I717="","No SIC",IFERROR(VLOOKUP(I717,Ref!$A$2:$B$65,2,FALSE()),"Unclassified"))</f>
        <v/>
      </c>
      <c r="Z717" s="3">
        <f>IF(T717="","",IF(T717&lt;12,"Daily","Weekly"))</f>
        <v/>
      </c>
      <c r="AA717" s="3">
        <f>IF(T717="",0,IF(T717&lt;12,T717*Controls!$B$13,T717*5))</f>
        <v/>
      </c>
      <c r="AB717" s="3">
        <f>IF(E717="",0,NETWORKDAYS(E717,Controls!$B$20,Ref!$K$2:$K$42))</f>
        <v/>
      </c>
      <c r="AC717" s="3">
        <f>IF(OR(AF717=1,AND(AA717&gt;0,AB717&gt;=Controls!$B$23*AA717)),1,0)</f>
        <v/>
      </c>
      <c r="AD717" s="3">
        <f>IF(AND(E717&lt;&gt;"",E717&gt;=Controls!$B$21,E717&lt;=Controls!$B$22),1,0)</f>
        <v/>
      </c>
      <c r="AE717" s="3">
        <f>IF(IFERROR(VLOOKUP(D717,Controls!$A$36:$E$46,2,FALSE()),"No")="Yes",1,0)</f>
        <v/>
      </c>
      <c r="AF717" s="3">
        <f>IF(IFERROR(VLOOKUP(D717,Controls!$A$36:$E$46,3,FALSE()),"No")="Yes",1,0)</f>
        <v/>
      </c>
      <c r="AG717" s="3">
        <f>IF(IFERROR(VLOOKUP(D717,Controls!$A$36:$E$46,4,FALSE()),"No")="Yes",1,0)</f>
        <v/>
      </c>
      <c r="AH717" s="3">
        <f>IF(IFERROR(VLOOKUP(D717,Controls!$A$36:$E$46,5,FALSE()),"No")="Yes",1,0)</f>
        <v/>
      </c>
      <c r="AI717" s="3">
        <f>IF(ISNUMBER(MATCH(D717,Controls!$A$36:$A$46,0)),1,0)</f>
        <v/>
      </c>
      <c r="AJ717" s="28">
        <f>Q717-N717</f>
        <v/>
      </c>
      <c r="AK717" s="3">
        <f>IF(AE717=1,MAX(0,N717-Q717),0)</f>
        <v/>
      </c>
      <c r="AL717" s="3">
        <f>IF(OR(V717="",V717=0),0,N717/V717)</f>
        <v/>
      </c>
      <c r="AM717" s="3">
        <f>IF(OR(V717="",V717=0),0,1)</f>
        <v/>
      </c>
      <c r="AN717" s="3">
        <f>IF(OR(E717="",F717=""),0,NETWORKDAYS(E717,F717,Ref!$K$2:$K$42))</f>
        <v/>
      </c>
      <c r="AO717" s="3">
        <f>IF(L717="Renewal",1,0)</f>
        <v/>
      </c>
      <c r="AP717" s="3">
        <f>AC717*AD717</f>
        <v/>
      </c>
      <c r="AQ717" s="3">
        <f>IF(AND(G717&lt;&gt;"",'Historical Score'!$C$6&lt;&gt;""),IF(G717='Historical Score'!$C$6,1,0),0)</f>
        <v/>
      </c>
      <c r="AR717" s="3">
        <f>IF(AND(L717&lt;&gt;"",'Historical Score'!$C$5&lt;&gt;""),IF(L717='Historical Score'!$C$5,1,0),0)</f>
        <v/>
      </c>
      <c r="AS717" s="3">
        <f>IF(AND(Y717&lt;&gt;"",'Historical Score'!$C$7&lt;&gt;""),IF(Y717='Historical Score'!$C$7,1,0),0)</f>
        <v/>
      </c>
      <c r="AT717" s="3">
        <f>IF(AND(K717&lt;&gt;"",'Historical Score'!$C$8&lt;&gt;""),IF(K717='Historical Score'!$C$8,1,0),0)</f>
        <v/>
      </c>
      <c r="AU717" s="3" t="n"/>
      <c r="AV717" s="3" t="n"/>
      <c r="AW717" s="3" t="n"/>
      <c r="AX717" s="3" t="n"/>
      <c r="AY717" s="3" t="n"/>
      <c r="AZ717" s="3" t="n"/>
      <c r="BA717" s="182">
        <f>IF(AD717=1,(AR717*'Historical Score'!$K$29+1-'Historical Score'!$K$29)*(AT717*'Historical Score'!$L$29+1-'Historical Score'!$L$29)*(AS717*'Historical Score'!$M$29+1-'Historical Score'!$M$29)*(AQ717*'Historical Score'!$N$29+1-'Historical Score'!$N$29),0)</f>
        <v/>
      </c>
      <c r="BB717" s="3" t="n"/>
      <c r="BC717" s="3" t="n"/>
    </row>
    <row r="718" ht="15.75" customHeight="1" s="174">
      <c r="A718" s="3" t="inlineStr">
        <is>
          <t>5674180282</t>
        </is>
      </c>
      <c r="B718" s="3" t="inlineStr">
        <is>
          <t>Resurge Insurance Marketing, Inc.</t>
        </is>
      </c>
      <c r="C718" s="3" t="inlineStr">
        <is>
          <t>Resurge Insurance Marketing, Inc.</t>
        </is>
      </c>
      <c r="D718" s="3" t="inlineStr">
        <is>
          <t>Closed</t>
        </is>
      </c>
      <c r="E718" s="23" t="n">
        <v>46098</v>
      </c>
      <c r="F718" s="23" t="n">
        <v>46177</v>
      </c>
      <c r="G718" s="3" t="n">
        <v>3</v>
      </c>
      <c r="H718" s="3" t="inlineStr">
        <is>
          <t>6411</t>
        </is>
      </c>
      <c r="I718" s="3" t="inlineStr">
        <is>
          <t>64</t>
        </is>
      </c>
      <c r="J718" s="3" t="inlineStr">
        <is>
          <t>CT</t>
        </is>
      </c>
      <c r="K718" s="3" t="inlineStr">
        <is>
          <t>Vanguard Equities</t>
        </is>
      </c>
      <c r="L718" s="3" t="inlineStr">
        <is>
          <t>New Deal</t>
        </is>
      </c>
      <c r="M718" s="3" t="n">
        <v>1.42</v>
      </c>
      <c r="N718" s="28" t="n">
        <v>25000</v>
      </c>
      <c r="O718" s="28" t="n">
        <v>2625</v>
      </c>
      <c r="P718" s="28" t="n">
        <v>35500</v>
      </c>
      <c r="Q718" s="28" t="n">
        <v>35500</v>
      </c>
      <c r="R718" s="28" t="n">
        <v>0</v>
      </c>
      <c r="S718" s="42" t="n">
        <v>1</v>
      </c>
      <c r="T718" s="3" t="n">
        <v>18</v>
      </c>
      <c r="U718" s="3" t="n">
        <v>0</v>
      </c>
      <c r="V718" s="3" t="n">
        <v>48422.85</v>
      </c>
      <c r="W718" s="42" t="n">
        <v>0.1629</v>
      </c>
      <c r="X718" s="23" t="n">
        <v>45405</v>
      </c>
      <c r="Y718" s="3">
        <f>IF(I718="","No SIC",IFERROR(VLOOKUP(I718,Ref!$A$2:$B$65,2,FALSE()),"Unclassified"))</f>
        <v/>
      </c>
      <c r="Z718" s="3">
        <f>IF(T718="","",IF(T718&lt;12,"Daily","Weekly"))</f>
        <v/>
      </c>
      <c r="AA718" s="3">
        <f>IF(T718="",0,IF(T718&lt;12,T718*Controls!$B$13,T718*5))</f>
        <v/>
      </c>
      <c r="AB718" s="3">
        <f>IF(E718="",0,NETWORKDAYS(E718,Controls!$B$20,Ref!$K$2:$K$42))</f>
        <v/>
      </c>
      <c r="AC718" s="3">
        <f>IF(OR(AF718=1,AND(AA718&gt;0,AB718&gt;=Controls!$B$23*AA718)),1,0)</f>
        <v/>
      </c>
      <c r="AD718" s="3">
        <f>IF(AND(E718&lt;&gt;"",E718&gt;=Controls!$B$21,E718&lt;=Controls!$B$22),1,0)</f>
        <v/>
      </c>
      <c r="AE718" s="3">
        <f>IF(IFERROR(VLOOKUP(D718,Controls!$A$36:$E$46,2,FALSE()),"No")="Yes",1,0)</f>
        <v/>
      </c>
      <c r="AF718" s="3">
        <f>IF(IFERROR(VLOOKUP(D718,Controls!$A$36:$E$46,3,FALSE()),"No")="Yes",1,0)</f>
        <v/>
      </c>
      <c r="AG718" s="3">
        <f>IF(IFERROR(VLOOKUP(D718,Controls!$A$36:$E$46,4,FALSE()),"No")="Yes",1,0)</f>
        <v/>
      </c>
      <c r="AH718" s="3">
        <f>IF(IFERROR(VLOOKUP(D718,Controls!$A$36:$E$46,5,FALSE()),"No")="Yes",1,0)</f>
        <v/>
      </c>
      <c r="AI718" s="3">
        <f>IF(ISNUMBER(MATCH(D718,Controls!$A$36:$A$46,0)),1,0)</f>
        <v/>
      </c>
      <c r="AJ718" s="28">
        <f>Q718-N718</f>
        <v/>
      </c>
      <c r="AK718" s="3">
        <f>IF(AE718=1,MAX(0,N718-Q718),0)</f>
        <v/>
      </c>
      <c r="AL718" s="3">
        <f>IF(OR(V718="",V718=0),0,N718/V718)</f>
        <v/>
      </c>
      <c r="AM718" s="3">
        <f>IF(OR(V718="",V718=0),0,1)</f>
        <v/>
      </c>
      <c r="AN718" s="3">
        <f>IF(OR(E718="",F718=""),0,NETWORKDAYS(E718,F718,Ref!$K$2:$K$42))</f>
        <v/>
      </c>
      <c r="AO718" s="3">
        <f>IF(L718="Renewal",1,0)</f>
        <v/>
      </c>
      <c r="AP718" s="3">
        <f>AC718*AD718</f>
        <v/>
      </c>
      <c r="AQ718" s="3">
        <f>IF(AND(G718&lt;&gt;"",'Historical Score'!$C$6&lt;&gt;""),IF(G718='Historical Score'!$C$6,1,0),0)</f>
        <v/>
      </c>
      <c r="AR718" s="3">
        <f>IF(AND(L718&lt;&gt;"",'Historical Score'!$C$5&lt;&gt;""),IF(L718='Historical Score'!$C$5,1,0),0)</f>
        <v/>
      </c>
      <c r="AS718" s="3">
        <f>IF(AND(Y718&lt;&gt;"",'Historical Score'!$C$7&lt;&gt;""),IF(Y718='Historical Score'!$C$7,1,0),0)</f>
        <v/>
      </c>
      <c r="AT718" s="3">
        <f>IF(AND(K718&lt;&gt;"",'Historical Score'!$C$8&lt;&gt;""),IF(K718='Historical Score'!$C$8,1,0),0)</f>
        <v/>
      </c>
      <c r="AU718" s="3" t="n"/>
      <c r="AV718" s="3" t="n"/>
      <c r="AW718" s="3" t="n"/>
      <c r="AX718" s="3" t="n"/>
      <c r="AY718" s="3" t="n"/>
      <c r="AZ718" s="3" t="n"/>
      <c r="BA718" s="182">
        <f>IF(AD718=1,(AR718*'Historical Score'!$K$29+1-'Historical Score'!$K$29)*(AT718*'Historical Score'!$L$29+1-'Historical Score'!$L$29)*(AS718*'Historical Score'!$M$29+1-'Historical Score'!$M$29)*(AQ718*'Historical Score'!$N$29+1-'Historical Score'!$N$29),0)</f>
        <v/>
      </c>
      <c r="BB718" s="3" t="n"/>
      <c r="BC718" s="3" t="n"/>
    </row>
    <row r="719" ht="15.75" customHeight="1" s="174">
      <c r="A719" s="3" t="inlineStr">
        <is>
          <t>5674180316</t>
        </is>
      </c>
      <c r="B719" s="3" t="inlineStr">
        <is>
          <t>TK AUTOMOTIVE LOGISTICS SOLUTIONS DBA MARIO DOMINGUEZ SOLE MBR</t>
        </is>
      </c>
      <c r="C719" s="3" t="inlineStr">
        <is>
          <t>TK AUTOMOTIVE LOGISTICS SOLUTIONS LLC</t>
        </is>
      </c>
      <c r="D719" s="3" t="inlineStr">
        <is>
          <t>Closed</t>
        </is>
      </c>
      <c r="E719" s="23" t="n">
        <v>46098</v>
      </c>
      <c r="F719" s="23" t="n">
        <v>46168</v>
      </c>
      <c r="G719" s="3" t="n">
        <v>4</v>
      </c>
      <c r="H719" s="3" t="inlineStr">
        <is>
          <t>5012</t>
        </is>
      </c>
      <c r="I719" s="3" t="inlineStr">
        <is>
          <t>50</t>
        </is>
      </c>
      <c r="J719" s="3" t="inlineStr">
        <is>
          <t>TX</t>
        </is>
      </c>
      <c r="K719" s="3" t="inlineStr">
        <is>
          <t>United Secured Capital 8</t>
        </is>
      </c>
      <c r="L719" s="3" t="inlineStr">
        <is>
          <t>New Deal</t>
        </is>
      </c>
      <c r="M719" s="3" t="n">
        <v>1.39</v>
      </c>
      <c r="N719" s="28" t="n">
        <v>50000</v>
      </c>
      <c r="O719" s="28" t="n">
        <v>4500</v>
      </c>
      <c r="P719" s="28" t="n">
        <v>69500</v>
      </c>
      <c r="Q719" s="28" t="n">
        <v>69500</v>
      </c>
      <c r="R719" s="28" t="n">
        <v>0</v>
      </c>
      <c r="S719" s="42" t="n">
        <v>1</v>
      </c>
      <c r="T719" s="3" t="n">
        <v>2.721</v>
      </c>
      <c r="U719" s="3" t="n">
        <v>0</v>
      </c>
      <c r="V719" s="3" t="n">
        <v>950775.36</v>
      </c>
      <c r="W719" s="42" t="n">
        <v>0.019</v>
      </c>
      <c r="X719" s="23" t="n">
        <v>41277</v>
      </c>
      <c r="Y719" s="3">
        <f>IF(I719="","No SIC",IFERROR(VLOOKUP(I719,Ref!$A$2:$B$65,2,FALSE()),"Unclassified"))</f>
        <v/>
      </c>
      <c r="Z719" s="3">
        <f>IF(T719="","",IF(T719&lt;12,"Daily","Weekly"))</f>
        <v/>
      </c>
      <c r="AA719" s="3">
        <f>IF(T719="",0,IF(T719&lt;12,T719*Controls!$B$13,T719*5))</f>
        <v/>
      </c>
      <c r="AB719" s="3">
        <f>IF(E719="",0,NETWORKDAYS(E719,Controls!$B$20,Ref!$K$2:$K$42))</f>
        <v/>
      </c>
      <c r="AC719" s="3">
        <f>IF(OR(AF719=1,AND(AA719&gt;0,AB719&gt;=Controls!$B$23*AA719)),1,0)</f>
        <v/>
      </c>
      <c r="AD719" s="3">
        <f>IF(AND(E719&lt;&gt;"",E719&gt;=Controls!$B$21,E719&lt;=Controls!$B$22),1,0)</f>
        <v/>
      </c>
      <c r="AE719" s="3">
        <f>IF(IFERROR(VLOOKUP(D719,Controls!$A$36:$E$46,2,FALSE()),"No")="Yes",1,0)</f>
        <v/>
      </c>
      <c r="AF719" s="3">
        <f>IF(IFERROR(VLOOKUP(D719,Controls!$A$36:$E$46,3,FALSE()),"No")="Yes",1,0)</f>
        <v/>
      </c>
      <c r="AG719" s="3">
        <f>IF(IFERROR(VLOOKUP(D719,Controls!$A$36:$E$46,4,FALSE()),"No")="Yes",1,0)</f>
        <v/>
      </c>
      <c r="AH719" s="3">
        <f>IF(IFERROR(VLOOKUP(D719,Controls!$A$36:$E$46,5,FALSE()),"No")="Yes",1,0)</f>
        <v/>
      </c>
      <c r="AI719" s="3">
        <f>IF(ISNUMBER(MATCH(D719,Controls!$A$36:$A$46,0)),1,0)</f>
        <v/>
      </c>
      <c r="AJ719" s="28">
        <f>Q719-N719</f>
        <v/>
      </c>
      <c r="AK719" s="3">
        <f>IF(AE719=1,MAX(0,N719-Q719),0)</f>
        <v/>
      </c>
      <c r="AL719" s="3">
        <f>IF(OR(V719="",V719=0),0,N719/V719)</f>
        <v/>
      </c>
      <c r="AM719" s="3">
        <f>IF(OR(V719="",V719=0),0,1)</f>
        <v/>
      </c>
      <c r="AN719" s="3">
        <f>IF(OR(E719="",F719=""),0,NETWORKDAYS(E719,F719,Ref!$K$2:$K$42))</f>
        <v/>
      </c>
      <c r="AO719" s="3">
        <f>IF(L719="Renewal",1,0)</f>
        <v/>
      </c>
      <c r="AP719" s="3">
        <f>AC719*AD719</f>
        <v/>
      </c>
      <c r="AQ719" s="3">
        <f>IF(AND(G719&lt;&gt;"",'Historical Score'!$C$6&lt;&gt;""),IF(G719='Historical Score'!$C$6,1,0),0)</f>
        <v/>
      </c>
      <c r="AR719" s="3">
        <f>IF(AND(L719&lt;&gt;"",'Historical Score'!$C$5&lt;&gt;""),IF(L719='Historical Score'!$C$5,1,0),0)</f>
        <v/>
      </c>
      <c r="AS719" s="3">
        <f>IF(AND(Y719&lt;&gt;"",'Historical Score'!$C$7&lt;&gt;""),IF(Y719='Historical Score'!$C$7,1,0),0)</f>
        <v/>
      </c>
      <c r="AT719" s="3">
        <f>IF(AND(K719&lt;&gt;"",'Historical Score'!$C$8&lt;&gt;""),IF(K719='Historical Score'!$C$8,1,0),0)</f>
        <v/>
      </c>
      <c r="AU719" s="3" t="n"/>
      <c r="AV719" s="3" t="n"/>
      <c r="AW719" s="3" t="n"/>
      <c r="AX719" s="3" t="n"/>
      <c r="AY719" s="3" t="n"/>
      <c r="AZ719" s="3" t="n"/>
      <c r="BA719" s="182">
        <f>IF(AD719=1,(AR719*'Historical Score'!$K$29+1-'Historical Score'!$K$29)*(AT719*'Historical Score'!$L$29+1-'Historical Score'!$L$29)*(AS719*'Historical Score'!$M$29+1-'Historical Score'!$M$29)*(AQ719*'Historical Score'!$N$29+1-'Historical Score'!$N$29),0)</f>
        <v/>
      </c>
      <c r="BB719" s="3" t="n"/>
      <c r="BC719" s="3" t="n"/>
    </row>
    <row r="720" ht="15.75" customHeight="1" s="174">
      <c r="A720" s="3" t="inlineStr">
        <is>
          <t>5674180336</t>
        </is>
      </c>
      <c r="B720" s="3" t="inlineStr">
        <is>
          <t>B.M. Construction Services llc</t>
        </is>
      </c>
      <c r="C720" s="3" t="inlineStr">
        <is>
          <t>B.M. Construction Services llc</t>
        </is>
      </c>
      <c r="D720" s="3" t="inlineStr">
        <is>
          <t>Open</t>
        </is>
      </c>
      <c r="E720" s="23" t="n">
        <v>46099</v>
      </c>
      <c r="F720" s="23" t="n">
        <v>46248</v>
      </c>
      <c r="G720" s="3" t="n">
        <v>3</v>
      </c>
      <c r="H720" s="3" t="inlineStr">
        <is>
          <t>1521</t>
        </is>
      </c>
      <c r="I720" s="3" t="inlineStr">
        <is>
          <t>15</t>
        </is>
      </c>
      <c r="J720" s="3" t="inlineStr">
        <is>
          <t>TX</t>
        </is>
      </c>
      <c r="K720" s="3" t="inlineStr">
        <is>
          <t>The Funding Channel</t>
        </is>
      </c>
      <c r="L720" s="3" t="inlineStr">
        <is>
          <t>New Deal</t>
        </is>
      </c>
      <c r="M720" s="3" t="n">
        <v>1.49</v>
      </c>
      <c r="N720" s="28" t="n">
        <v>30000</v>
      </c>
      <c r="O720" s="28" t="n">
        <v>4200</v>
      </c>
      <c r="P720" s="28" t="n">
        <v>44700</v>
      </c>
      <c r="Q720" s="28" t="n">
        <v>29790.4</v>
      </c>
      <c r="R720" s="28" t="n">
        <v>14909.6</v>
      </c>
      <c r="S720" s="42" t="n">
        <v>0.666451901565996</v>
      </c>
      <c r="T720" s="3" t="n">
        <v>30</v>
      </c>
      <c r="U720" s="3" t="n">
        <v>3</v>
      </c>
      <c r="V720" s="3" t="n">
        <v>130659.57</v>
      </c>
      <c r="W720" s="42" t="n">
        <v>0.0456</v>
      </c>
      <c r="X720" s="23" t="n">
        <v>44197</v>
      </c>
      <c r="Y720" s="3">
        <f>IF(I720="","No SIC",IFERROR(VLOOKUP(I720,Ref!$A$2:$B$65,2,FALSE()),"Unclassified"))</f>
        <v/>
      </c>
      <c r="Z720" s="3">
        <f>IF(T720="","",IF(T720&lt;12,"Daily","Weekly"))</f>
        <v/>
      </c>
      <c r="AA720" s="3">
        <f>IF(T720="",0,IF(T720&lt;12,T720*Controls!$B$13,T720*5))</f>
        <v/>
      </c>
      <c r="AB720" s="3">
        <f>IF(E720="",0,NETWORKDAYS(E720,Controls!$B$20,Ref!$K$2:$K$42))</f>
        <v/>
      </c>
      <c r="AC720" s="3">
        <f>IF(OR(AF720=1,AND(AA720&gt;0,AB720&gt;=Controls!$B$23*AA720)),1,0)</f>
        <v/>
      </c>
      <c r="AD720" s="3">
        <f>IF(AND(E720&lt;&gt;"",E720&gt;=Controls!$B$21,E720&lt;=Controls!$B$22),1,0)</f>
        <v/>
      </c>
      <c r="AE720" s="3">
        <f>IF(IFERROR(VLOOKUP(D720,Controls!$A$36:$E$46,2,FALSE()),"No")="Yes",1,0)</f>
        <v/>
      </c>
      <c r="AF720" s="3">
        <f>IF(IFERROR(VLOOKUP(D720,Controls!$A$36:$E$46,3,FALSE()),"No")="Yes",1,0)</f>
        <v/>
      </c>
      <c r="AG720" s="3">
        <f>IF(IFERROR(VLOOKUP(D720,Controls!$A$36:$E$46,4,FALSE()),"No")="Yes",1,0)</f>
        <v/>
      </c>
      <c r="AH720" s="3">
        <f>IF(IFERROR(VLOOKUP(D720,Controls!$A$36:$E$46,5,FALSE()),"No")="Yes",1,0)</f>
        <v/>
      </c>
      <c r="AI720" s="3">
        <f>IF(ISNUMBER(MATCH(D720,Controls!$A$36:$A$46,0)),1,0)</f>
        <v/>
      </c>
      <c r="AJ720" s="28">
        <f>Q720-N720</f>
        <v/>
      </c>
      <c r="AK720" s="3">
        <f>IF(AE720=1,MAX(0,N720-Q720),0)</f>
        <v/>
      </c>
      <c r="AL720" s="3">
        <f>IF(OR(V720="",V720=0),0,N720/V720)</f>
        <v/>
      </c>
      <c r="AM720" s="3">
        <f>IF(OR(V720="",V720=0),0,1)</f>
        <v/>
      </c>
      <c r="AN720" s="3">
        <f>IF(OR(E720="",F720=""),0,NETWORKDAYS(E720,F720,Ref!$K$2:$K$42))</f>
        <v/>
      </c>
      <c r="AO720" s="3">
        <f>IF(L720="Renewal",1,0)</f>
        <v/>
      </c>
      <c r="AP720" s="3">
        <f>AC720*AD720</f>
        <v/>
      </c>
      <c r="AQ720" s="3">
        <f>IF(AND(G720&lt;&gt;"",'Historical Score'!$C$6&lt;&gt;""),IF(G720='Historical Score'!$C$6,1,0),0)</f>
        <v/>
      </c>
      <c r="AR720" s="3">
        <f>IF(AND(L720&lt;&gt;"",'Historical Score'!$C$5&lt;&gt;""),IF(L720='Historical Score'!$C$5,1,0),0)</f>
        <v/>
      </c>
      <c r="AS720" s="3">
        <f>IF(AND(Y720&lt;&gt;"",'Historical Score'!$C$7&lt;&gt;""),IF(Y720='Historical Score'!$C$7,1,0),0)</f>
        <v/>
      </c>
      <c r="AT720" s="3">
        <f>IF(AND(K720&lt;&gt;"",'Historical Score'!$C$8&lt;&gt;""),IF(K720='Historical Score'!$C$8,1,0),0)</f>
        <v/>
      </c>
      <c r="AU720" s="3" t="n"/>
      <c r="AV720" s="3" t="n"/>
      <c r="AW720" s="3" t="n"/>
      <c r="AX720" s="3" t="n"/>
      <c r="AY720" s="3" t="n"/>
      <c r="AZ720" s="3" t="n"/>
      <c r="BA720" s="182">
        <f>IF(AD720=1,(AR720*'Historical Score'!$K$29+1-'Historical Score'!$K$29)*(AT720*'Historical Score'!$L$29+1-'Historical Score'!$L$29)*(AS720*'Historical Score'!$M$29+1-'Historical Score'!$M$29)*(AQ720*'Historical Score'!$N$29+1-'Historical Score'!$N$29),0)</f>
        <v/>
      </c>
      <c r="BB720" s="3" t="n"/>
      <c r="BC720" s="3" t="n"/>
    </row>
    <row r="721" ht="15.75" customHeight="1" s="174">
      <c r="A721" s="3" t="inlineStr">
        <is>
          <t>5674180350</t>
        </is>
      </c>
      <c r="B721" s="3" t="inlineStr">
        <is>
          <t>Tack Car Rentals LLC</t>
        </is>
      </c>
      <c r="C721" s="3" t="inlineStr">
        <is>
          <t>Tack Car Rentals LLC</t>
        </is>
      </c>
      <c r="D721" s="3" t="inlineStr">
        <is>
          <t>Legal</t>
        </is>
      </c>
      <c r="E721" s="23" t="n">
        <v>46099</v>
      </c>
      <c r="F721" s="23" t="n">
        <v>46129</v>
      </c>
      <c r="G721" s="3" t="n">
        <v>3</v>
      </c>
      <c r="H721" s="3" t="inlineStr">
        <is>
          <t>7514</t>
        </is>
      </c>
      <c r="I721" s="3" t="inlineStr">
        <is>
          <t>75</t>
        </is>
      </c>
      <c r="J721" s="3" t="inlineStr">
        <is>
          <t>CA</t>
        </is>
      </c>
      <c r="K721" s="3" t="inlineStr">
        <is>
          <t>Milestone Capital Funding Inc</t>
        </is>
      </c>
      <c r="L721" s="3" t="inlineStr">
        <is>
          <t>New Deal</t>
        </is>
      </c>
      <c r="M721" s="3" t="n">
        <v>1.49</v>
      </c>
      <c r="N721" s="28" t="n">
        <v>17000</v>
      </c>
      <c r="O721" s="28" t="n">
        <v>0</v>
      </c>
      <c r="P721" s="28" t="n">
        <v>25330</v>
      </c>
      <c r="Q721" s="28" t="n">
        <v>2110.72</v>
      </c>
      <c r="R721" s="28" t="n">
        <v>23219.28</v>
      </c>
      <c r="S721" s="42" t="n">
        <v>0.0833288590604027</v>
      </c>
      <c r="T721" s="3" t="n">
        <v>24</v>
      </c>
      <c r="U721" s="3" t="n">
        <v>2</v>
      </c>
      <c r="V721" s="3" t="n">
        <v>35327.94</v>
      </c>
      <c r="W721" s="42" t="n">
        <v>0.1116</v>
      </c>
      <c r="X721" s="23" t="n">
        <v>45400</v>
      </c>
      <c r="Y721" s="3">
        <f>IF(I721="","No SIC",IFERROR(VLOOKUP(I721,Ref!$A$2:$B$65,2,FALSE()),"Unclassified"))</f>
        <v/>
      </c>
      <c r="Z721" s="3">
        <f>IF(T721="","",IF(T721&lt;12,"Daily","Weekly"))</f>
        <v/>
      </c>
      <c r="AA721" s="3">
        <f>IF(T721="",0,IF(T721&lt;12,T721*Controls!$B$13,T721*5))</f>
        <v/>
      </c>
      <c r="AB721" s="3">
        <f>IF(E721="",0,NETWORKDAYS(E721,Controls!$B$20,Ref!$K$2:$K$42))</f>
        <v/>
      </c>
      <c r="AC721" s="3">
        <f>IF(OR(AF721=1,AND(AA721&gt;0,AB721&gt;=Controls!$B$23*AA721)),1,0)</f>
        <v/>
      </c>
      <c r="AD721" s="3">
        <f>IF(AND(E721&lt;&gt;"",E721&gt;=Controls!$B$21,E721&lt;=Controls!$B$22),1,0)</f>
        <v/>
      </c>
      <c r="AE721" s="3">
        <f>IF(IFERROR(VLOOKUP(D721,Controls!$A$36:$E$46,2,FALSE()),"No")="Yes",1,0)</f>
        <v/>
      </c>
      <c r="AF721" s="3">
        <f>IF(IFERROR(VLOOKUP(D721,Controls!$A$36:$E$46,3,FALSE()),"No")="Yes",1,0)</f>
        <v/>
      </c>
      <c r="AG721" s="3">
        <f>IF(IFERROR(VLOOKUP(D721,Controls!$A$36:$E$46,4,FALSE()),"No")="Yes",1,0)</f>
        <v/>
      </c>
      <c r="AH721" s="3">
        <f>IF(IFERROR(VLOOKUP(D721,Controls!$A$36:$E$46,5,FALSE()),"No")="Yes",1,0)</f>
        <v/>
      </c>
      <c r="AI721" s="3">
        <f>IF(ISNUMBER(MATCH(D721,Controls!$A$36:$A$46,0)),1,0)</f>
        <v/>
      </c>
      <c r="AJ721" s="28">
        <f>Q721-N721</f>
        <v/>
      </c>
      <c r="AK721" s="3">
        <f>IF(AE721=1,MAX(0,N721-Q721),0)</f>
        <v/>
      </c>
      <c r="AL721" s="3">
        <f>IF(OR(V721="",V721=0),0,N721/V721)</f>
        <v/>
      </c>
      <c r="AM721" s="3">
        <f>IF(OR(V721="",V721=0),0,1)</f>
        <v/>
      </c>
      <c r="AN721" s="3">
        <f>IF(OR(E721="",F721=""),0,NETWORKDAYS(E721,F721,Ref!$K$2:$K$42))</f>
        <v/>
      </c>
      <c r="AO721" s="3">
        <f>IF(L721="Renewal",1,0)</f>
        <v/>
      </c>
      <c r="AP721" s="3">
        <f>AC721*AD721</f>
        <v/>
      </c>
      <c r="AQ721" s="3">
        <f>IF(AND(G721&lt;&gt;"",'Historical Score'!$C$6&lt;&gt;""),IF(G721='Historical Score'!$C$6,1,0),0)</f>
        <v/>
      </c>
      <c r="AR721" s="3">
        <f>IF(AND(L721&lt;&gt;"",'Historical Score'!$C$5&lt;&gt;""),IF(L721='Historical Score'!$C$5,1,0),0)</f>
        <v/>
      </c>
      <c r="AS721" s="3">
        <f>IF(AND(Y721&lt;&gt;"",'Historical Score'!$C$7&lt;&gt;""),IF(Y721='Historical Score'!$C$7,1,0),0)</f>
        <v/>
      </c>
      <c r="AT721" s="3">
        <f>IF(AND(K721&lt;&gt;"",'Historical Score'!$C$8&lt;&gt;""),IF(K721='Historical Score'!$C$8,1,0),0)</f>
        <v/>
      </c>
      <c r="AU721" s="3" t="n"/>
      <c r="AV721" s="3" t="n"/>
      <c r="AW721" s="3" t="n"/>
      <c r="AX721" s="3" t="n"/>
      <c r="AY721" s="3" t="n"/>
      <c r="AZ721" s="3" t="n"/>
      <c r="BA721" s="182">
        <f>IF(AD721=1,(AR721*'Historical Score'!$K$29+1-'Historical Score'!$K$29)*(AT721*'Historical Score'!$L$29+1-'Historical Score'!$L$29)*(AS721*'Historical Score'!$M$29+1-'Historical Score'!$M$29)*(AQ721*'Historical Score'!$N$29+1-'Historical Score'!$N$29),0)</f>
        <v/>
      </c>
      <c r="BB721" s="3" t="n"/>
      <c r="BC721" s="3" t="n"/>
    </row>
    <row r="722" ht="15.75" customHeight="1" s="174">
      <c r="A722" s="3" t="inlineStr">
        <is>
          <t>5674180390</t>
        </is>
      </c>
      <c r="B722" s="3" t="inlineStr">
        <is>
          <t>SHELTON DIAGNOSTICS INC</t>
        </is>
      </c>
      <c r="C722" s="3" t="inlineStr">
        <is>
          <t>SHELTON DIAGNOSTICS INC</t>
        </is>
      </c>
      <c r="D722" s="3" t="inlineStr">
        <is>
          <t>Legal</t>
        </is>
      </c>
      <c r="E722" s="23" t="n">
        <v>46099</v>
      </c>
      <c r="F722" s="23" t="n">
        <v>46122</v>
      </c>
      <c r="G722" s="3" t="n">
        <v>3</v>
      </c>
      <c r="H722" s="3" t="inlineStr">
        <is>
          <t>8071</t>
        </is>
      </c>
      <c r="I722" s="3" t="inlineStr">
        <is>
          <t>80</t>
        </is>
      </c>
      <c r="J722" s="3" t="inlineStr">
        <is>
          <t>MI</t>
        </is>
      </c>
      <c r="K722" s="3" t="inlineStr">
        <is>
          <t>Ballicci</t>
        </is>
      </c>
      <c r="L722" s="3" t="inlineStr">
        <is>
          <t>New Deal</t>
        </is>
      </c>
      <c r="M722" s="3" t="n">
        <v>1.49</v>
      </c>
      <c r="N722" s="28" t="n">
        <v>35000</v>
      </c>
      <c r="O722" s="28" t="n">
        <v>0</v>
      </c>
      <c r="P722" s="28" t="n">
        <v>52150</v>
      </c>
      <c r="Q722" s="28" t="n">
        <v>2006</v>
      </c>
      <c r="R722" s="28" t="n">
        <v>50144</v>
      </c>
      <c r="S722" s="42" t="n">
        <v>0.0384659635666347</v>
      </c>
      <c r="T722" s="3" t="n">
        <v>26</v>
      </c>
      <c r="U722" s="3" t="n">
        <v>2</v>
      </c>
      <c r="V722" s="3" t="n">
        <v>107844.81</v>
      </c>
      <c r="W722" s="42" t="n">
        <v>0.07439999999999999</v>
      </c>
      <c r="X722" s="23" t="n">
        <v>41380</v>
      </c>
      <c r="Y722" s="3">
        <f>IF(I722="","No SIC",IFERROR(VLOOKUP(I722,Ref!$A$2:$B$65,2,FALSE()),"Unclassified"))</f>
        <v/>
      </c>
      <c r="Z722" s="3">
        <f>IF(T722="","",IF(T722&lt;12,"Daily","Weekly"))</f>
        <v/>
      </c>
      <c r="AA722" s="3">
        <f>IF(T722="",0,IF(T722&lt;12,T722*Controls!$B$13,T722*5))</f>
        <v/>
      </c>
      <c r="AB722" s="3">
        <f>IF(E722="",0,NETWORKDAYS(E722,Controls!$B$20,Ref!$K$2:$K$42))</f>
        <v/>
      </c>
      <c r="AC722" s="3">
        <f>IF(OR(AF722=1,AND(AA722&gt;0,AB722&gt;=Controls!$B$23*AA722)),1,0)</f>
        <v/>
      </c>
      <c r="AD722" s="3">
        <f>IF(AND(E722&lt;&gt;"",E722&gt;=Controls!$B$21,E722&lt;=Controls!$B$22),1,0)</f>
        <v/>
      </c>
      <c r="AE722" s="3">
        <f>IF(IFERROR(VLOOKUP(D722,Controls!$A$36:$E$46,2,FALSE()),"No")="Yes",1,0)</f>
        <v/>
      </c>
      <c r="AF722" s="3">
        <f>IF(IFERROR(VLOOKUP(D722,Controls!$A$36:$E$46,3,FALSE()),"No")="Yes",1,0)</f>
        <v/>
      </c>
      <c r="AG722" s="3">
        <f>IF(IFERROR(VLOOKUP(D722,Controls!$A$36:$E$46,4,FALSE()),"No")="Yes",1,0)</f>
        <v/>
      </c>
      <c r="AH722" s="3">
        <f>IF(IFERROR(VLOOKUP(D722,Controls!$A$36:$E$46,5,FALSE()),"No")="Yes",1,0)</f>
        <v/>
      </c>
      <c r="AI722" s="3">
        <f>IF(ISNUMBER(MATCH(D722,Controls!$A$36:$A$46,0)),1,0)</f>
        <v/>
      </c>
      <c r="AJ722" s="28">
        <f>Q722-N722</f>
        <v/>
      </c>
      <c r="AK722" s="3">
        <f>IF(AE722=1,MAX(0,N722-Q722),0)</f>
        <v/>
      </c>
      <c r="AL722" s="3">
        <f>IF(OR(V722="",V722=0),0,N722/V722)</f>
        <v/>
      </c>
      <c r="AM722" s="3">
        <f>IF(OR(V722="",V722=0),0,1)</f>
        <v/>
      </c>
      <c r="AN722" s="3">
        <f>IF(OR(E722="",F722=""),0,NETWORKDAYS(E722,F722,Ref!$K$2:$K$42))</f>
        <v/>
      </c>
      <c r="AO722" s="3">
        <f>IF(L722="Renewal",1,0)</f>
        <v/>
      </c>
      <c r="AP722" s="3">
        <f>AC722*AD722</f>
        <v/>
      </c>
      <c r="AQ722" s="3">
        <f>IF(AND(G722&lt;&gt;"",'Historical Score'!$C$6&lt;&gt;""),IF(G722='Historical Score'!$C$6,1,0),0)</f>
        <v/>
      </c>
      <c r="AR722" s="3">
        <f>IF(AND(L722&lt;&gt;"",'Historical Score'!$C$5&lt;&gt;""),IF(L722='Historical Score'!$C$5,1,0),0)</f>
        <v/>
      </c>
      <c r="AS722" s="3">
        <f>IF(AND(Y722&lt;&gt;"",'Historical Score'!$C$7&lt;&gt;""),IF(Y722='Historical Score'!$C$7,1,0),0)</f>
        <v/>
      </c>
      <c r="AT722" s="3">
        <f>IF(AND(K722&lt;&gt;"",'Historical Score'!$C$8&lt;&gt;""),IF(K722='Historical Score'!$C$8,1,0),0)</f>
        <v/>
      </c>
      <c r="AU722" s="3" t="n"/>
      <c r="AV722" s="3" t="n"/>
      <c r="AW722" s="3" t="n"/>
      <c r="AX722" s="3" t="n"/>
      <c r="AY722" s="3" t="n"/>
      <c r="AZ722" s="3" t="n"/>
      <c r="BA722" s="182">
        <f>IF(AD722=1,(AR722*'Historical Score'!$K$29+1-'Historical Score'!$K$29)*(AT722*'Historical Score'!$L$29+1-'Historical Score'!$L$29)*(AS722*'Historical Score'!$M$29+1-'Historical Score'!$M$29)*(AQ722*'Historical Score'!$N$29+1-'Historical Score'!$N$29),0)</f>
        <v/>
      </c>
      <c r="BB722" s="3" t="n"/>
      <c r="BC722" s="3" t="n"/>
    </row>
    <row r="723" ht="15.75" customHeight="1" s="174">
      <c r="A723" s="3" t="inlineStr">
        <is>
          <t>5674180395</t>
        </is>
      </c>
      <c r="B723" s="3" t="inlineStr">
        <is>
          <t>Pixels Investments</t>
        </is>
      </c>
      <c r="C723" s="3" t="inlineStr">
        <is>
          <t>Pixels Investments</t>
        </is>
      </c>
      <c r="D723" s="3" t="inlineStr">
        <is>
          <t>In House Collection</t>
        </is>
      </c>
      <c r="E723" s="23" t="n">
        <v>46099</v>
      </c>
      <c r="F723" s="23" t="n">
        <v>46245</v>
      </c>
      <c r="G723" s="3" t="n">
        <v>4</v>
      </c>
      <c r="H723" s="3" t="inlineStr">
        <is>
          <t>5999</t>
        </is>
      </c>
      <c r="I723" s="3" t="inlineStr">
        <is>
          <t>59</t>
        </is>
      </c>
      <c r="J723" s="3" t="inlineStr">
        <is>
          <t>WA</t>
        </is>
      </c>
      <c r="K723" s="3" t="inlineStr">
        <is>
          <t>Secure Capital Solutions 7</t>
        </is>
      </c>
      <c r="L723" s="3" t="inlineStr">
        <is>
          <t>New Deal</t>
        </is>
      </c>
      <c r="M723" s="3" t="n">
        <v>1.49</v>
      </c>
      <c r="N723" s="28" t="n">
        <v>10000</v>
      </c>
      <c r="O723" s="28" t="n">
        <v>1400</v>
      </c>
      <c r="P723" s="28" t="n">
        <v>14900</v>
      </c>
      <c r="Q723" s="28" t="n">
        <v>3507.4</v>
      </c>
      <c r="R723" s="28" t="n">
        <v>11392.6</v>
      </c>
      <c r="S723" s="42" t="n">
        <v>0.235395973154362</v>
      </c>
      <c r="T723" s="3" t="n">
        <v>2.787</v>
      </c>
      <c r="U723" s="3" t="n">
        <v>35</v>
      </c>
      <c r="V723" s="3" t="n">
        <v>48265.96</v>
      </c>
      <c r="W723" s="42" t="n">
        <v>0.07630000000000001</v>
      </c>
      <c r="X723" s="23" t="n">
        <v>45658</v>
      </c>
      <c r="Y723" s="3">
        <f>IF(I723="","No SIC",IFERROR(VLOOKUP(I723,Ref!$A$2:$B$65,2,FALSE()),"Unclassified"))</f>
        <v/>
      </c>
      <c r="Z723" s="3">
        <f>IF(T723="","",IF(T723&lt;12,"Daily","Weekly"))</f>
        <v/>
      </c>
      <c r="AA723" s="3">
        <f>IF(T723="",0,IF(T723&lt;12,T723*Controls!$B$13,T723*5))</f>
        <v/>
      </c>
      <c r="AB723" s="3">
        <f>IF(E723="",0,NETWORKDAYS(E723,Controls!$B$20,Ref!$K$2:$K$42))</f>
        <v/>
      </c>
      <c r="AC723" s="3">
        <f>IF(OR(AF723=1,AND(AA723&gt;0,AB723&gt;=Controls!$B$23*AA723)),1,0)</f>
        <v/>
      </c>
      <c r="AD723" s="3">
        <f>IF(AND(E723&lt;&gt;"",E723&gt;=Controls!$B$21,E723&lt;=Controls!$B$22),1,0)</f>
        <v/>
      </c>
      <c r="AE723" s="3">
        <f>IF(IFERROR(VLOOKUP(D723,Controls!$A$36:$E$46,2,FALSE()),"No")="Yes",1,0)</f>
        <v/>
      </c>
      <c r="AF723" s="3">
        <f>IF(IFERROR(VLOOKUP(D723,Controls!$A$36:$E$46,3,FALSE()),"No")="Yes",1,0)</f>
        <v/>
      </c>
      <c r="AG723" s="3">
        <f>IF(IFERROR(VLOOKUP(D723,Controls!$A$36:$E$46,4,FALSE()),"No")="Yes",1,0)</f>
        <v/>
      </c>
      <c r="AH723" s="3">
        <f>IF(IFERROR(VLOOKUP(D723,Controls!$A$36:$E$46,5,FALSE()),"No")="Yes",1,0)</f>
        <v/>
      </c>
      <c r="AI723" s="3">
        <f>IF(ISNUMBER(MATCH(D723,Controls!$A$36:$A$46,0)),1,0)</f>
        <v/>
      </c>
      <c r="AJ723" s="28">
        <f>Q723-N723</f>
        <v/>
      </c>
      <c r="AK723" s="3">
        <f>IF(AE723=1,MAX(0,N723-Q723),0)</f>
        <v/>
      </c>
      <c r="AL723" s="3">
        <f>IF(OR(V723="",V723=0),0,N723/V723)</f>
        <v/>
      </c>
      <c r="AM723" s="3">
        <f>IF(OR(V723="",V723=0),0,1)</f>
        <v/>
      </c>
      <c r="AN723" s="3">
        <f>IF(OR(E723="",F723=""),0,NETWORKDAYS(E723,F723,Ref!$K$2:$K$42))</f>
        <v/>
      </c>
      <c r="AO723" s="3">
        <f>IF(L723="Renewal",1,0)</f>
        <v/>
      </c>
      <c r="AP723" s="3">
        <f>AC723*AD723</f>
        <v/>
      </c>
      <c r="AQ723" s="3">
        <f>IF(AND(G723&lt;&gt;"",'Historical Score'!$C$6&lt;&gt;""),IF(G723='Historical Score'!$C$6,1,0),0)</f>
        <v/>
      </c>
      <c r="AR723" s="3">
        <f>IF(AND(L723&lt;&gt;"",'Historical Score'!$C$5&lt;&gt;""),IF(L723='Historical Score'!$C$5,1,0),0)</f>
        <v/>
      </c>
      <c r="AS723" s="3">
        <f>IF(AND(Y723&lt;&gt;"",'Historical Score'!$C$7&lt;&gt;""),IF(Y723='Historical Score'!$C$7,1,0),0)</f>
        <v/>
      </c>
      <c r="AT723" s="3">
        <f>IF(AND(K723&lt;&gt;"",'Historical Score'!$C$8&lt;&gt;""),IF(K723='Historical Score'!$C$8,1,0),0)</f>
        <v/>
      </c>
      <c r="AU723" s="3" t="n"/>
      <c r="AV723" s="3" t="n"/>
      <c r="AW723" s="3" t="n"/>
      <c r="AX723" s="3" t="n"/>
      <c r="AY723" s="3" t="n"/>
      <c r="AZ723" s="3" t="n"/>
      <c r="BA723" s="182">
        <f>IF(AD723=1,(AR723*'Historical Score'!$K$29+1-'Historical Score'!$K$29)*(AT723*'Historical Score'!$L$29+1-'Historical Score'!$L$29)*(AS723*'Historical Score'!$M$29+1-'Historical Score'!$M$29)*(AQ723*'Historical Score'!$N$29+1-'Historical Score'!$N$29),0)</f>
        <v/>
      </c>
      <c r="BB723" s="3" t="n"/>
      <c r="BC723" s="3" t="n"/>
    </row>
    <row r="724" ht="15.75" customHeight="1" s="174">
      <c r="A724" s="3" t="inlineStr">
        <is>
          <t>5674180417</t>
        </is>
      </c>
      <c r="B724" s="3" t="inlineStr">
        <is>
          <t>Artkuisine LLC</t>
        </is>
      </c>
      <c r="C724" s="3" t="inlineStr">
        <is>
          <t>Artkuisine LLC</t>
        </is>
      </c>
      <c r="D724" s="3" t="inlineStr">
        <is>
          <t>Open</t>
        </is>
      </c>
      <c r="E724" s="23" t="n">
        <v>46100</v>
      </c>
      <c r="F724" s="23" t="n">
        <v>46248</v>
      </c>
      <c r="G724" s="3" t="n">
        <v>3</v>
      </c>
      <c r="H724" s="3" t="inlineStr">
        <is>
          <t>5812</t>
        </is>
      </c>
      <c r="I724" s="3" t="inlineStr">
        <is>
          <t>58</t>
        </is>
      </c>
      <c r="J724" s="3" t="inlineStr">
        <is>
          <t>CT</t>
        </is>
      </c>
      <c r="K724" s="3" t="inlineStr">
        <is>
          <t>Monarch funding Group</t>
        </is>
      </c>
      <c r="L724" s="3" t="inlineStr">
        <is>
          <t>New Deal</t>
        </is>
      </c>
      <c r="M724" s="3" t="n">
        <v>1.41</v>
      </c>
      <c r="N724" s="28" t="n">
        <v>25000</v>
      </c>
      <c r="O724" s="28" t="n">
        <v>2500</v>
      </c>
      <c r="P724" s="28" t="n">
        <v>35250</v>
      </c>
      <c r="Q724" s="28" t="n">
        <v>24669.54</v>
      </c>
      <c r="R724" s="28" t="n">
        <v>10580.46</v>
      </c>
      <c r="S724" s="42" t="n">
        <v>0.699845106382979</v>
      </c>
      <c r="T724" s="3" t="n">
        <v>30</v>
      </c>
      <c r="U724" s="3" t="n">
        <v>0</v>
      </c>
      <c r="V724" s="3" t="n">
        <v>59707.27</v>
      </c>
      <c r="W724" s="42" t="n">
        <v>0.07870000000000001</v>
      </c>
      <c r="X724" s="23" t="n">
        <v>42875</v>
      </c>
      <c r="Y724" s="3">
        <f>IF(I724="","No SIC",IFERROR(VLOOKUP(I724,Ref!$A$2:$B$65,2,FALSE()),"Unclassified"))</f>
        <v/>
      </c>
      <c r="Z724" s="3">
        <f>IF(T724="","",IF(T724&lt;12,"Daily","Weekly"))</f>
        <v/>
      </c>
      <c r="AA724" s="3">
        <f>IF(T724="",0,IF(T724&lt;12,T724*Controls!$B$13,T724*5))</f>
        <v/>
      </c>
      <c r="AB724" s="3">
        <f>IF(E724="",0,NETWORKDAYS(E724,Controls!$B$20,Ref!$K$2:$K$42))</f>
        <v/>
      </c>
      <c r="AC724" s="3">
        <f>IF(OR(AF724=1,AND(AA724&gt;0,AB724&gt;=Controls!$B$23*AA724)),1,0)</f>
        <v/>
      </c>
      <c r="AD724" s="3">
        <f>IF(AND(E724&lt;&gt;"",E724&gt;=Controls!$B$21,E724&lt;=Controls!$B$22),1,0)</f>
        <v/>
      </c>
      <c r="AE724" s="3">
        <f>IF(IFERROR(VLOOKUP(D724,Controls!$A$36:$E$46,2,FALSE()),"No")="Yes",1,0)</f>
        <v/>
      </c>
      <c r="AF724" s="3">
        <f>IF(IFERROR(VLOOKUP(D724,Controls!$A$36:$E$46,3,FALSE()),"No")="Yes",1,0)</f>
        <v/>
      </c>
      <c r="AG724" s="3">
        <f>IF(IFERROR(VLOOKUP(D724,Controls!$A$36:$E$46,4,FALSE()),"No")="Yes",1,0)</f>
        <v/>
      </c>
      <c r="AH724" s="3">
        <f>IF(IFERROR(VLOOKUP(D724,Controls!$A$36:$E$46,5,FALSE()),"No")="Yes",1,0)</f>
        <v/>
      </c>
      <c r="AI724" s="3">
        <f>IF(ISNUMBER(MATCH(D724,Controls!$A$36:$A$46,0)),1,0)</f>
        <v/>
      </c>
      <c r="AJ724" s="28">
        <f>Q724-N724</f>
        <v/>
      </c>
      <c r="AK724" s="3">
        <f>IF(AE724=1,MAX(0,N724-Q724),0)</f>
        <v/>
      </c>
      <c r="AL724" s="3">
        <f>IF(OR(V724="",V724=0),0,N724/V724)</f>
        <v/>
      </c>
      <c r="AM724" s="3">
        <f>IF(OR(V724="",V724=0),0,1)</f>
        <v/>
      </c>
      <c r="AN724" s="3">
        <f>IF(OR(E724="",F724=""),0,NETWORKDAYS(E724,F724,Ref!$K$2:$K$42))</f>
        <v/>
      </c>
      <c r="AO724" s="3">
        <f>IF(L724="Renewal",1,0)</f>
        <v/>
      </c>
      <c r="AP724" s="3">
        <f>AC724*AD724</f>
        <v/>
      </c>
      <c r="AQ724" s="3">
        <f>IF(AND(G724&lt;&gt;"",'Historical Score'!$C$6&lt;&gt;""),IF(G724='Historical Score'!$C$6,1,0),0)</f>
        <v/>
      </c>
      <c r="AR724" s="3">
        <f>IF(AND(L724&lt;&gt;"",'Historical Score'!$C$5&lt;&gt;""),IF(L724='Historical Score'!$C$5,1,0),0)</f>
        <v/>
      </c>
      <c r="AS724" s="3">
        <f>IF(AND(Y724&lt;&gt;"",'Historical Score'!$C$7&lt;&gt;""),IF(Y724='Historical Score'!$C$7,1,0),0)</f>
        <v/>
      </c>
      <c r="AT724" s="3">
        <f>IF(AND(K724&lt;&gt;"",'Historical Score'!$C$8&lt;&gt;""),IF(K724='Historical Score'!$C$8,1,0),0)</f>
        <v/>
      </c>
      <c r="AU724" s="3" t="n"/>
      <c r="AV724" s="3" t="n"/>
      <c r="AW724" s="3" t="n"/>
      <c r="AX724" s="3" t="n"/>
      <c r="AY724" s="3" t="n"/>
      <c r="AZ724" s="3" t="n"/>
      <c r="BA724" s="182">
        <f>IF(AD724=1,(AR724*'Historical Score'!$K$29+1-'Historical Score'!$K$29)*(AT724*'Historical Score'!$L$29+1-'Historical Score'!$L$29)*(AS724*'Historical Score'!$M$29+1-'Historical Score'!$M$29)*(AQ724*'Historical Score'!$N$29+1-'Historical Score'!$N$29),0)</f>
        <v/>
      </c>
      <c r="BB724" s="3" t="n"/>
      <c r="BC724" s="3" t="n"/>
    </row>
    <row r="725" ht="15.75" customHeight="1" s="174">
      <c r="A725" s="3" t="inlineStr">
        <is>
          <t>5674180422</t>
        </is>
      </c>
      <c r="B725" s="3" t="inlineStr">
        <is>
          <t>TRES JARDINES LLC</t>
        </is>
      </c>
      <c r="C725" s="3" t="inlineStr">
        <is>
          <t>TRES JARDINES LLC</t>
        </is>
      </c>
      <c r="D725" s="3" t="inlineStr">
        <is>
          <t>Closed</t>
        </is>
      </c>
      <c r="E725" s="23" t="n">
        <v>46100</v>
      </c>
      <c r="F725" s="23" t="n">
        <v>46231</v>
      </c>
      <c r="G725" s="3" t="n">
        <v>3</v>
      </c>
      <c r="H725" s="3" t="inlineStr">
        <is>
          <t>5812</t>
        </is>
      </c>
      <c r="I725" s="3" t="inlineStr">
        <is>
          <t>58</t>
        </is>
      </c>
      <c r="J725" s="3" t="inlineStr">
        <is>
          <t>GA</t>
        </is>
      </c>
      <c r="K725" s="3" t="inlineStr">
        <is>
          <t>secure way capital</t>
        </is>
      </c>
      <c r="L725" s="3" t="inlineStr">
        <is>
          <t>New Deal</t>
        </is>
      </c>
      <c r="M725" s="3" t="n">
        <v>1.49</v>
      </c>
      <c r="N725" s="28" t="n">
        <v>15000</v>
      </c>
      <c r="O725" s="28" t="n">
        <v>2100</v>
      </c>
      <c r="P725" s="28" t="n">
        <v>22350</v>
      </c>
      <c r="Q725" s="28" t="n">
        <v>22350</v>
      </c>
      <c r="R725" s="28" t="n">
        <v>0</v>
      </c>
      <c r="S725" s="42" t="n">
        <v>1</v>
      </c>
      <c r="T725" s="3" t="n">
        <v>2.623</v>
      </c>
      <c r="U725" s="3" t="n">
        <v>0</v>
      </c>
      <c r="V725" s="3" t="n">
        <v>32880.33</v>
      </c>
      <c r="W725" s="42" t="n">
        <v>0.1784</v>
      </c>
      <c r="X725" s="23" t="n">
        <v>44288</v>
      </c>
      <c r="Y725" s="3">
        <f>IF(I725="","No SIC",IFERROR(VLOOKUP(I725,Ref!$A$2:$B$65,2,FALSE()),"Unclassified"))</f>
        <v/>
      </c>
      <c r="Z725" s="3">
        <f>IF(T725="","",IF(T725&lt;12,"Daily","Weekly"))</f>
        <v/>
      </c>
      <c r="AA725" s="3">
        <f>IF(T725="",0,IF(T725&lt;12,T725*Controls!$B$13,T725*5))</f>
        <v/>
      </c>
      <c r="AB725" s="3">
        <f>IF(E725="",0,NETWORKDAYS(E725,Controls!$B$20,Ref!$K$2:$K$42))</f>
        <v/>
      </c>
      <c r="AC725" s="3">
        <f>IF(OR(AF725=1,AND(AA725&gt;0,AB725&gt;=Controls!$B$23*AA725)),1,0)</f>
        <v/>
      </c>
      <c r="AD725" s="3">
        <f>IF(AND(E725&lt;&gt;"",E725&gt;=Controls!$B$21,E725&lt;=Controls!$B$22),1,0)</f>
        <v/>
      </c>
      <c r="AE725" s="3">
        <f>IF(IFERROR(VLOOKUP(D725,Controls!$A$36:$E$46,2,FALSE()),"No")="Yes",1,0)</f>
        <v/>
      </c>
      <c r="AF725" s="3">
        <f>IF(IFERROR(VLOOKUP(D725,Controls!$A$36:$E$46,3,FALSE()),"No")="Yes",1,0)</f>
        <v/>
      </c>
      <c r="AG725" s="3">
        <f>IF(IFERROR(VLOOKUP(D725,Controls!$A$36:$E$46,4,FALSE()),"No")="Yes",1,0)</f>
        <v/>
      </c>
      <c r="AH725" s="3">
        <f>IF(IFERROR(VLOOKUP(D725,Controls!$A$36:$E$46,5,FALSE()),"No")="Yes",1,0)</f>
        <v/>
      </c>
      <c r="AI725" s="3">
        <f>IF(ISNUMBER(MATCH(D725,Controls!$A$36:$A$46,0)),1,0)</f>
        <v/>
      </c>
      <c r="AJ725" s="28">
        <f>Q725-N725</f>
        <v/>
      </c>
      <c r="AK725" s="3">
        <f>IF(AE725=1,MAX(0,N725-Q725),0)</f>
        <v/>
      </c>
      <c r="AL725" s="3">
        <f>IF(OR(V725="",V725=0),0,N725/V725)</f>
        <v/>
      </c>
      <c r="AM725" s="3">
        <f>IF(OR(V725="",V725=0),0,1)</f>
        <v/>
      </c>
      <c r="AN725" s="3">
        <f>IF(OR(E725="",F725=""),0,NETWORKDAYS(E725,F725,Ref!$K$2:$K$42))</f>
        <v/>
      </c>
      <c r="AO725" s="3">
        <f>IF(L725="Renewal",1,0)</f>
        <v/>
      </c>
      <c r="AP725" s="3">
        <f>AC725*AD725</f>
        <v/>
      </c>
      <c r="AQ725" s="3">
        <f>IF(AND(G725&lt;&gt;"",'Historical Score'!$C$6&lt;&gt;""),IF(G725='Historical Score'!$C$6,1,0),0)</f>
        <v/>
      </c>
      <c r="AR725" s="3">
        <f>IF(AND(L725&lt;&gt;"",'Historical Score'!$C$5&lt;&gt;""),IF(L725='Historical Score'!$C$5,1,0),0)</f>
        <v/>
      </c>
      <c r="AS725" s="3">
        <f>IF(AND(Y725&lt;&gt;"",'Historical Score'!$C$7&lt;&gt;""),IF(Y725='Historical Score'!$C$7,1,0),0)</f>
        <v/>
      </c>
      <c r="AT725" s="3">
        <f>IF(AND(K725&lt;&gt;"",'Historical Score'!$C$8&lt;&gt;""),IF(K725='Historical Score'!$C$8,1,0),0)</f>
        <v/>
      </c>
      <c r="AU725" s="3" t="n"/>
      <c r="AV725" s="3" t="n"/>
      <c r="AW725" s="3" t="n"/>
      <c r="AX725" s="3" t="n"/>
      <c r="AY725" s="3" t="n"/>
      <c r="AZ725" s="3" t="n"/>
      <c r="BA725" s="182">
        <f>IF(AD725=1,(AR725*'Historical Score'!$K$29+1-'Historical Score'!$K$29)*(AT725*'Historical Score'!$L$29+1-'Historical Score'!$L$29)*(AS725*'Historical Score'!$M$29+1-'Historical Score'!$M$29)*(AQ725*'Historical Score'!$N$29+1-'Historical Score'!$N$29),0)</f>
        <v/>
      </c>
      <c r="BB725" s="3" t="n"/>
      <c r="BC725" s="3" t="n"/>
    </row>
    <row r="726" ht="15.75" customHeight="1" s="174">
      <c r="A726" s="3" t="inlineStr">
        <is>
          <t>5674180444</t>
        </is>
      </c>
      <c r="B726" s="3" t="inlineStr">
        <is>
          <t>KLIPPER AUTOMOTIVE</t>
        </is>
      </c>
      <c r="C726" s="3" t="inlineStr">
        <is>
          <t>Klipper Automotive LLC</t>
        </is>
      </c>
      <c r="D726" s="3" t="inlineStr">
        <is>
          <t>Open</t>
        </is>
      </c>
      <c r="E726" s="23" t="n">
        <v>46100</v>
      </c>
      <c r="F726" s="23" t="n">
        <v>46230</v>
      </c>
      <c r="G726" s="3" t="n">
        <v>4</v>
      </c>
      <c r="H726" s="3" t="inlineStr">
        <is>
          <t>7538</t>
        </is>
      </c>
      <c r="I726" s="3" t="inlineStr">
        <is>
          <t>75</t>
        </is>
      </c>
      <c r="J726" s="3" t="inlineStr">
        <is>
          <t>AZ</t>
        </is>
      </c>
      <c r="K726" s="3" t="inlineStr">
        <is>
          <t>Westwood</t>
        </is>
      </c>
      <c r="L726" s="3" t="inlineStr">
        <is>
          <t>Renewal</t>
        </is>
      </c>
      <c r="M726" s="3" t="n">
        <v>1.48</v>
      </c>
      <c r="N726" s="28" t="n">
        <v>185000</v>
      </c>
      <c r="O726" s="28" t="n">
        <v>25900</v>
      </c>
      <c r="P726" s="28" t="n">
        <v>273800</v>
      </c>
      <c r="Q726" s="28" t="n">
        <v>83602.09</v>
      </c>
      <c r="R726" s="28" t="n">
        <v>190197.91</v>
      </c>
      <c r="S726" s="42" t="n">
        <v>0.305339992695398</v>
      </c>
      <c r="T726" s="3" t="n">
        <v>36</v>
      </c>
      <c r="U726" s="3" t="n">
        <v>2</v>
      </c>
      <c r="V726" s="3" t="n">
        <v>188237.32</v>
      </c>
      <c r="W726" s="42" t="n">
        <v>0.1396</v>
      </c>
      <c r="X726" s="23" t="n">
        <v>43573</v>
      </c>
      <c r="Y726" s="3">
        <f>IF(I726="","No SIC",IFERROR(VLOOKUP(I726,Ref!$A$2:$B$65,2,FALSE()),"Unclassified"))</f>
        <v/>
      </c>
      <c r="Z726" s="3">
        <f>IF(T726="","",IF(T726&lt;12,"Daily","Weekly"))</f>
        <v/>
      </c>
      <c r="AA726" s="3">
        <f>IF(T726="",0,IF(T726&lt;12,T726*Controls!$B$13,T726*5))</f>
        <v/>
      </c>
      <c r="AB726" s="3">
        <f>IF(E726="",0,NETWORKDAYS(E726,Controls!$B$20,Ref!$K$2:$K$42))</f>
        <v/>
      </c>
      <c r="AC726" s="3">
        <f>IF(OR(AF726=1,AND(AA726&gt;0,AB726&gt;=Controls!$B$23*AA726)),1,0)</f>
        <v/>
      </c>
      <c r="AD726" s="3">
        <f>IF(AND(E726&lt;&gt;"",E726&gt;=Controls!$B$21,E726&lt;=Controls!$B$22),1,0)</f>
        <v/>
      </c>
      <c r="AE726" s="3">
        <f>IF(IFERROR(VLOOKUP(D726,Controls!$A$36:$E$46,2,FALSE()),"No")="Yes",1,0)</f>
        <v/>
      </c>
      <c r="AF726" s="3">
        <f>IF(IFERROR(VLOOKUP(D726,Controls!$A$36:$E$46,3,FALSE()),"No")="Yes",1,0)</f>
        <v/>
      </c>
      <c r="AG726" s="3">
        <f>IF(IFERROR(VLOOKUP(D726,Controls!$A$36:$E$46,4,FALSE()),"No")="Yes",1,0)</f>
        <v/>
      </c>
      <c r="AH726" s="3">
        <f>IF(IFERROR(VLOOKUP(D726,Controls!$A$36:$E$46,5,FALSE()),"No")="Yes",1,0)</f>
        <v/>
      </c>
      <c r="AI726" s="3">
        <f>IF(ISNUMBER(MATCH(D726,Controls!$A$36:$A$46,0)),1,0)</f>
        <v/>
      </c>
      <c r="AJ726" s="28">
        <f>Q726-N726</f>
        <v/>
      </c>
      <c r="AK726" s="3">
        <f>IF(AE726=1,MAX(0,N726-Q726),0)</f>
        <v/>
      </c>
      <c r="AL726" s="3">
        <f>IF(OR(V726="",V726=0),0,N726/V726)</f>
        <v/>
      </c>
      <c r="AM726" s="3">
        <f>IF(OR(V726="",V726=0),0,1)</f>
        <v/>
      </c>
      <c r="AN726" s="3">
        <f>IF(OR(E726="",F726=""),0,NETWORKDAYS(E726,F726,Ref!$K$2:$K$42))</f>
        <v/>
      </c>
      <c r="AO726" s="3">
        <f>IF(L726="Renewal",1,0)</f>
        <v/>
      </c>
      <c r="AP726" s="3">
        <f>AC726*AD726</f>
        <v/>
      </c>
      <c r="AQ726" s="3">
        <f>IF(AND(G726&lt;&gt;"",'Historical Score'!$C$6&lt;&gt;""),IF(G726='Historical Score'!$C$6,1,0),0)</f>
        <v/>
      </c>
      <c r="AR726" s="3">
        <f>IF(AND(L726&lt;&gt;"",'Historical Score'!$C$5&lt;&gt;""),IF(L726='Historical Score'!$C$5,1,0),0)</f>
        <v/>
      </c>
      <c r="AS726" s="3">
        <f>IF(AND(Y726&lt;&gt;"",'Historical Score'!$C$7&lt;&gt;""),IF(Y726='Historical Score'!$C$7,1,0),0)</f>
        <v/>
      </c>
      <c r="AT726" s="3">
        <f>IF(AND(K726&lt;&gt;"",'Historical Score'!$C$8&lt;&gt;""),IF(K726='Historical Score'!$C$8,1,0),0)</f>
        <v/>
      </c>
      <c r="AU726" s="3" t="n"/>
      <c r="AV726" s="3" t="n"/>
      <c r="AW726" s="3" t="n"/>
      <c r="AX726" s="3" t="n"/>
      <c r="AY726" s="3" t="n"/>
      <c r="AZ726" s="3" t="n"/>
      <c r="BA726" s="182">
        <f>IF(AD726=1,(AR726*'Historical Score'!$K$29+1-'Historical Score'!$K$29)*(AT726*'Historical Score'!$L$29+1-'Historical Score'!$L$29)*(AS726*'Historical Score'!$M$29+1-'Historical Score'!$M$29)*(AQ726*'Historical Score'!$N$29+1-'Historical Score'!$N$29),0)</f>
        <v/>
      </c>
      <c r="BB726" s="3" t="n"/>
      <c r="BC726" s="3" t="n"/>
    </row>
    <row r="727" ht="15.75" customHeight="1" s="174">
      <c r="A727" s="3" t="inlineStr">
        <is>
          <t>5674180467</t>
        </is>
      </c>
      <c r="B727" s="3" t="inlineStr">
        <is>
          <t>G&amp;K Carpet and Flooring LLC</t>
        </is>
      </c>
      <c r="C727" s="3" t="inlineStr">
        <is>
          <t>G&amp;K Carpet and Flooring LLC</t>
        </is>
      </c>
      <c r="D727" s="3" t="inlineStr">
        <is>
          <t>Open</t>
        </is>
      </c>
      <c r="E727" s="23" t="n">
        <v>46100</v>
      </c>
      <c r="F727" s="23" t="n">
        <v>46247</v>
      </c>
      <c r="G727" s="3" t="n">
        <v>2</v>
      </c>
      <c r="H727" s="3" t="inlineStr">
        <is>
          <t>1752</t>
        </is>
      </c>
      <c r="I727" s="3" t="inlineStr">
        <is>
          <t>17</t>
        </is>
      </c>
      <c r="J727" s="3" t="inlineStr">
        <is>
          <t>NJ</t>
        </is>
      </c>
      <c r="K727" s="3" t="inlineStr">
        <is>
          <t>National Business Capital</t>
        </is>
      </c>
      <c r="L727" s="3" t="inlineStr">
        <is>
          <t>New Deal</t>
        </is>
      </c>
      <c r="M727" s="3" t="n">
        <v>1.4</v>
      </c>
      <c r="N727" s="28" t="n">
        <v>11000</v>
      </c>
      <c r="O727" s="28" t="n">
        <v>1045</v>
      </c>
      <c r="P727" s="28" t="n">
        <v>15400</v>
      </c>
      <c r="Q727" s="28" t="n">
        <v>12837.2</v>
      </c>
      <c r="R727" s="28" t="n">
        <v>2562.8</v>
      </c>
      <c r="S727" s="42" t="n">
        <v>0.833584415584416</v>
      </c>
      <c r="T727" s="3" t="n">
        <v>24</v>
      </c>
      <c r="U727" s="3" t="n">
        <v>1</v>
      </c>
      <c r="V727" s="3" t="n">
        <v>59431.27</v>
      </c>
      <c r="W727" s="42" t="n">
        <v>0.0432</v>
      </c>
      <c r="X727" s="23" t="n">
        <v>41038</v>
      </c>
      <c r="Y727" s="3">
        <f>IF(I727="","No SIC",IFERROR(VLOOKUP(I727,Ref!$A$2:$B$65,2,FALSE()),"Unclassified"))</f>
        <v/>
      </c>
      <c r="Z727" s="3">
        <f>IF(T727="","",IF(T727&lt;12,"Daily","Weekly"))</f>
        <v/>
      </c>
      <c r="AA727" s="3">
        <f>IF(T727="",0,IF(T727&lt;12,T727*Controls!$B$13,T727*5))</f>
        <v/>
      </c>
      <c r="AB727" s="3">
        <f>IF(E727="",0,NETWORKDAYS(E727,Controls!$B$20,Ref!$K$2:$K$42))</f>
        <v/>
      </c>
      <c r="AC727" s="3">
        <f>IF(OR(AF727=1,AND(AA727&gt;0,AB727&gt;=Controls!$B$23*AA727)),1,0)</f>
        <v/>
      </c>
      <c r="AD727" s="3">
        <f>IF(AND(E727&lt;&gt;"",E727&gt;=Controls!$B$21,E727&lt;=Controls!$B$22),1,0)</f>
        <v/>
      </c>
      <c r="AE727" s="3">
        <f>IF(IFERROR(VLOOKUP(D727,Controls!$A$36:$E$46,2,FALSE()),"No")="Yes",1,0)</f>
        <v/>
      </c>
      <c r="AF727" s="3">
        <f>IF(IFERROR(VLOOKUP(D727,Controls!$A$36:$E$46,3,FALSE()),"No")="Yes",1,0)</f>
        <v/>
      </c>
      <c r="AG727" s="3">
        <f>IF(IFERROR(VLOOKUP(D727,Controls!$A$36:$E$46,4,FALSE()),"No")="Yes",1,0)</f>
        <v/>
      </c>
      <c r="AH727" s="3">
        <f>IF(IFERROR(VLOOKUP(D727,Controls!$A$36:$E$46,5,FALSE()),"No")="Yes",1,0)</f>
        <v/>
      </c>
      <c r="AI727" s="3">
        <f>IF(ISNUMBER(MATCH(D727,Controls!$A$36:$A$46,0)),1,0)</f>
        <v/>
      </c>
      <c r="AJ727" s="28">
        <f>Q727-N727</f>
        <v/>
      </c>
      <c r="AK727" s="3">
        <f>IF(AE727=1,MAX(0,N727-Q727),0)</f>
        <v/>
      </c>
      <c r="AL727" s="3">
        <f>IF(OR(V727="",V727=0),0,N727/V727)</f>
        <v/>
      </c>
      <c r="AM727" s="3">
        <f>IF(OR(V727="",V727=0),0,1)</f>
        <v/>
      </c>
      <c r="AN727" s="3">
        <f>IF(OR(E727="",F727=""),0,NETWORKDAYS(E727,F727,Ref!$K$2:$K$42))</f>
        <v/>
      </c>
      <c r="AO727" s="3">
        <f>IF(L727="Renewal",1,0)</f>
        <v/>
      </c>
      <c r="AP727" s="3">
        <f>AC727*AD727</f>
        <v/>
      </c>
      <c r="AQ727" s="3">
        <f>IF(AND(G727&lt;&gt;"",'Historical Score'!$C$6&lt;&gt;""),IF(G727='Historical Score'!$C$6,1,0),0)</f>
        <v/>
      </c>
      <c r="AR727" s="3">
        <f>IF(AND(L727&lt;&gt;"",'Historical Score'!$C$5&lt;&gt;""),IF(L727='Historical Score'!$C$5,1,0),0)</f>
        <v/>
      </c>
      <c r="AS727" s="3">
        <f>IF(AND(Y727&lt;&gt;"",'Historical Score'!$C$7&lt;&gt;""),IF(Y727='Historical Score'!$C$7,1,0),0)</f>
        <v/>
      </c>
      <c r="AT727" s="3">
        <f>IF(AND(K727&lt;&gt;"",'Historical Score'!$C$8&lt;&gt;""),IF(K727='Historical Score'!$C$8,1,0),0)</f>
        <v/>
      </c>
      <c r="AU727" s="3" t="n"/>
      <c r="AV727" s="3" t="n"/>
      <c r="AW727" s="3" t="n"/>
      <c r="AX727" s="3" t="n"/>
      <c r="AY727" s="3" t="n"/>
      <c r="AZ727" s="3" t="n"/>
      <c r="BA727" s="182">
        <f>IF(AD727=1,(AR727*'Historical Score'!$K$29+1-'Historical Score'!$K$29)*(AT727*'Historical Score'!$L$29+1-'Historical Score'!$L$29)*(AS727*'Historical Score'!$M$29+1-'Historical Score'!$M$29)*(AQ727*'Historical Score'!$N$29+1-'Historical Score'!$N$29),0)</f>
        <v/>
      </c>
      <c r="BB727" s="3" t="n"/>
      <c r="BC727" s="3" t="n"/>
    </row>
    <row r="728" ht="15.75" customHeight="1" s="174">
      <c r="A728" s="3" t="inlineStr">
        <is>
          <t>5674180469</t>
        </is>
      </c>
      <c r="B728" s="3" t="inlineStr">
        <is>
          <t>4 EVER TRUCKING 2 LLC</t>
        </is>
      </c>
      <c r="C728" s="3" t="inlineStr">
        <is>
          <t>4 EVER TRUCKING 2 LLC</t>
        </is>
      </c>
      <c r="D728" s="3" t="inlineStr">
        <is>
          <t>Closed</t>
        </is>
      </c>
      <c r="E728" s="23" t="n">
        <v>46100</v>
      </c>
      <c r="F728" s="23" t="n">
        <v>46225</v>
      </c>
      <c r="G728" s="3" t="n">
        <v>3</v>
      </c>
      <c r="H728" s="3" t="inlineStr">
        <is>
          <t>4212</t>
        </is>
      </c>
      <c r="I728" s="3" t="inlineStr">
        <is>
          <t>42</t>
        </is>
      </c>
      <c r="J728" s="3" t="inlineStr">
        <is>
          <t>MS</t>
        </is>
      </c>
      <c r="K728" s="3" t="inlineStr">
        <is>
          <t>DIRECT CAPITAL SOURCE, INC.</t>
        </is>
      </c>
      <c r="L728" s="3" t="inlineStr">
        <is>
          <t>New Deal</t>
        </is>
      </c>
      <c r="M728" s="3" t="n">
        <v>1.49</v>
      </c>
      <c r="N728" s="28" t="n">
        <v>5000</v>
      </c>
      <c r="O728" s="28" t="n">
        <v>700</v>
      </c>
      <c r="P728" s="28" t="n">
        <v>7450</v>
      </c>
      <c r="Q728" s="28" t="n">
        <v>7450</v>
      </c>
      <c r="R728" s="28" t="n">
        <v>0</v>
      </c>
      <c r="S728" s="42" t="n">
        <v>1</v>
      </c>
      <c r="T728" s="3" t="n">
        <v>30</v>
      </c>
      <c r="U728" s="3" t="n">
        <v>0</v>
      </c>
      <c r="V728" s="3" t="n">
        <v>37897</v>
      </c>
      <c r="W728" s="42" t="n">
        <v>0.0262</v>
      </c>
      <c r="X728" s="23" t="n">
        <v>44256</v>
      </c>
      <c r="Y728" s="3">
        <f>IF(I728="","No SIC",IFERROR(VLOOKUP(I728,Ref!$A$2:$B$65,2,FALSE()),"Unclassified"))</f>
        <v/>
      </c>
      <c r="Z728" s="3">
        <f>IF(T728="","",IF(T728&lt;12,"Daily","Weekly"))</f>
        <v/>
      </c>
      <c r="AA728" s="3">
        <f>IF(T728="",0,IF(T728&lt;12,T728*Controls!$B$13,T728*5))</f>
        <v/>
      </c>
      <c r="AB728" s="3">
        <f>IF(E728="",0,NETWORKDAYS(E728,Controls!$B$20,Ref!$K$2:$K$42))</f>
        <v/>
      </c>
      <c r="AC728" s="3">
        <f>IF(OR(AF728=1,AND(AA728&gt;0,AB728&gt;=Controls!$B$23*AA728)),1,0)</f>
        <v/>
      </c>
      <c r="AD728" s="3">
        <f>IF(AND(E728&lt;&gt;"",E728&gt;=Controls!$B$21,E728&lt;=Controls!$B$22),1,0)</f>
        <v/>
      </c>
      <c r="AE728" s="3">
        <f>IF(IFERROR(VLOOKUP(D728,Controls!$A$36:$E$46,2,FALSE()),"No")="Yes",1,0)</f>
        <v/>
      </c>
      <c r="AF728" s="3">
        <f>IF(IFERROR(VLOOKUP(D728,Controls!$A$36:$E$46,3,FALSE()),"No")="Yes",1,0)</f>
        <v/>
      </c>
      <c r="AG728" s="3">
        <f>IF(IFERROR(VLOOKUP(D728,Controls!$A$36:$E$46,4,FALSE()),"No")="Yes",1,0)</f>
        <v/>
      </c>
      <c r="AH728" s="3">
        <f>IF(IFERROR(VLOOKUP(D728,Controls!$A$36:$E$46,5,FALSE()),"No")="Yes",1,0)</f>
        <v/>
      </c>
      <c r="AI728" s="3">
        <f>IF(ISNUMBER(MATCH(D728,Controls!$A$36:$A$46,0)),1,0)</f>
        <v/>
      </c>
      <c r="AJ728" s="28">
        <f>Q728-N728</f>
        <v/>
      </c>
      <c r="AK728" s="3">
        <f>IF(AE728=1,MAX(0,N728-Q728),0)</f>
        <v/>
      </c>
      <c r="AL728" s="3">
        <f>IF(OR(V728="",V728=0),0,N728/V728)</f>
        <v/>
      </c>
      <c r="AM728" s="3">
        <f>IF(OR(V728="",V728=0),0,1)</f>
        <v/>
      </c>
      <c r="AN728" s="3">
        <f>IF(OR(E728="",F728=""),0,NETWORKDAYS(E728,F728,Ref!$K$2:$K$42))</f>
        <v/>
      </c>
      <c r="AO728" s="3">
        <f>IF(L728="Renewal",1,0)</f>
        <v/>
      </c>
      <c r="AP728" s="3">
        <f>AC728*AD728</f>
        <v/>
      </c>
      <c r="AQ728" s="3">
        <f>IF(AND(G728&lt;&gt;"",'Historical Score'!$C$6&lt;&gt;""),IF(G728='Historical Score'!$C$6,1,0),0)</f>
        <v/>
      </c>
      <c r="AR728" s="3">
        <f>IF(AND(L728&lt;&gt;"",'Historical Score'!$C$5&lt;&gt;""),IF(L728='Historical Score'!$C$5,1,0),0)</f>
        <v/>
      </c>
      <c r="AS728" s="3">
        <f>IF(AND(Y728&lt;&gt;"",'Historical Score'!$C$7&lt;&gt;""),IF(Y728='Historical Score'!$C$7,1,0),0)</f>
        <v/>
      </c>
      <c r="AT728" s="3">
        <f>IF(AND(K728&lt;&gt;"",'Historical Score'!$C$8&lt;&gt;""),IF(K728='Historical Score'!$C$8,1,0),0)</f>
        <v/>
      </c>
      <c r="AU728" s="3" t="n"/>
      <c r="AV728" s="3" t="n"/>
      <c r="AW728" s="3" t="n"/>
      <c r="AX728" s="3" t="n"/>
      <c r="AY728" s="3" t="n"/>
      <c r="AZ728" s="3" t="n"/>
      <c r="BA728" s="182">
        <f>IF(AD728=1,(AR728*'Historical Score'!$K$29+1-'Historical Score'!$K$29)*(AT728*'Historical Score'!$L$29+1-'Historical Score'!$L$29)*(AS728*'Historical Score'!$M$29+1-'Historical Score'!$M$29)*(AQ728*'Historical Score'!$N$29+1-'Historical Score'!$N$29),0)</f>
        <v/>
      </c>
      <c r="BB728" s="3" t="n"/>
      <c r="BC728" s="3" t="n"/>
    </row>
    <row r="729" ht="15.75" customHeight="1" s="174">
      <c r="A729" s="3" t="inlineStr">
        <is>
          <t>5674180473</t>
        </is>
      </c>
      <c r="B729" s="3" t="inlineStr">
        <is>
          <t>PROSPECT MASTER</t>
        </is>
      </c>
      <c r="C729" s="3" t="inlineStr">
        <is>
          <t>PROSPECT MASTER LLC</t>
        </is>
      </c>
      <c r="D729" s="3" t="inlineStr">
        <is>
          <t>Open</t>
        </is>
      </c>
      <c r="E729" s="23" t="n">
        <v>46100</v>
      </c>
      <c r="F729" s="23" t="n">
        <v>46248</v>
      </c>
      <c r="G729" s="3" t="n">
        <v>4</v>
      </c>
      <c r="H729" s="3" t="inlineStr">
        <is>
          <t>5999</t>
        </is>
      </c>
      <c r="I729" s="3" t="inlineStr">
        <is>
          <t>59</t>
        </is>
      </c>
      <c r="J729" s="3" t="inlineStr">
        <is>
          <t>FL</t>
        </is>
      </c>
      <c r="K729" s="3" t="inlineStr">
        <is>
          <t>Fundwell</t>
        </is>
      </c>
      <c r="L729" s="3" t="inlineStr">
        <is>
          <t>Renewal</t>
        </is>
      </c>
      <c r="M729" s="3" t="n">
        <v>1.49</v>
      </c>
      <c r="N729" s="28" t="n">
        <v>30000</v>
      </c>
      <c r="O729" s="28" t="n">
        <v>4800</v>
      </c>
      <c r="P729" s="28" t="n">
        <v>44700</v>
      </c>
      <c r="Q729" s="28" t="n">
        <v>24584.34</v>
      </c>
      <c r="R729" s="28" t="n">
        <v>20115.66</v>
      </c>
      <c r="S729" s="42" t="n">
        <v>0.549985234899329</v>
      </c>
      <c r="T729" s="3" t="n">
        <v>3.934</v>
      </c>
      <c r="U729" s="3" t="n">
        <v>38</v>
      </c>
      <c r="V729" s="3" t="n">
        <v>129019.66</v>
      </c>
      <c r="W729" s="42" t="n">
        <v>0.1083</v>
      </c>
      <c r="X729" s="23" t="n">
        <v>42017</v>
      </c>
      <c r="Y729" s="3">
        <f>IF(I729="","No SIC",IFERROR(VLOOKUP(I729,Ref!$A$2:$B$65,2,FALSE()),"Unclassified"))</f>
        <v/>
      </c>
      <c r="Z729" s="3">
        <f>IF(T729="","",IF(T729&lt;12,"Daily","Weekly"))</f>
        <v/>
      </c>
      <c r="AA729" s="3">
        <f>IF(T729="",0,IF(T729&lt;12,T729*Controls!$B$13,T729*5))</f>
        <v/>
      </c>
      <c r="AB729" s="3">
        <f>IF(E729="",0,NETWORKDAYS(E729,Controls!$B$20,Ref!$K$2:$K$42))</f>
        <v/>
      </c>
      <c r="AC729" s="3">
        <f>IF(OR(AF729=1,AND(AA729&gt;0,AB729&gt;=Controls!$B$23*AA729)),1,0)</f>
        <v/>
      </c>
      <c r="AD729" s="3">
        <f>IF(AND(E729&lt;&gt;"",E729&gt;=Controls!$B$21,E729&lt;=Controls!$B$22),1,0)</f>
        <v/>
      </c>
      <c r="AE729" s="3">
        <f>IF(IFERROR(VLOOKUP(D729,Controls!$A$36:$E$46,2,FALSE()),"No")="Yes",1,0)</f>
        <v/>
      </c>
      <c r="AF729" s="3">
        <f>IF(IFERROR(VLOOKUP(D729,Controls!$A$36:$E$46,3,FALSE()),"No")="Yes",1,0)</f>
        <v/>
      </c>
      <c r="AG729" s="3">
        <f>IF(IFERROR(VLOOKUP(D729,Controls!$A$36:$E$46,4,FALSE()),"No")="Yes",1,0)</f>
        <v/>
      </c>
      <c r="AH729" s="3">
        <f>IF(IFERROR(VLOOKUP(D729,Controls!$A$36:$E$46,5,FALSE()),"No")="Yes",1,0)</f>
        <v/>
      </c>
      <c r="AI729" s="3">
        <f>IF(ISNUMBER(MATCH(D729,Controls!$A$36:$A$46,0)),1,0)</f>
        <v/>
      </c>
      <c r="AJ729" s="28">
        <f>Q729-N729</f>
        <v/>
      </c>
      <c r="AK729" s="3">
        <f>IF(AE729=1,MAX(0,N729-Q729),0)</f>
        <v/>
      </c>
      <c r="AL729" s="3">
        <f>IF(OR(V729="",V729=0),0,N729/V729)</f>
        <v/>
      </c>
      <c r="AM729" s="3">
        <f>IF(OR(V729="",V729=0),0,1)</f>
        <v/>
      </c>
      <c r="AN729" s="3">
        <f>IF(OR(E729="",F729=""),0,NETWORKDAYS(E729,F729,Ref!$K$2:$K$42))</f>
        <v/>
      </c>
      <c r="AO729" s="3">
        <f>IF(L729="Renewal",1,0)</f>
        <v/>
      </c>
      <c r="AP729" s="3">
        <f>AC729*AD729</f>
        <v/>
      </c>
      <c r="AQ729" s="3">
        <f>IF(AND(G729&lt;&gt;"",'Historical Score'!$C$6&lt;&gt;""),IF(G729='Historical Score'!$C$6,1,0),0)</f>
        <v/>
      </c>
      <c r="AR729" s="3">
        <f>IF(AND(L729&lt;&gt;"",'Historical Score'!$C$5&lt;&gt;""),IF(L729='Historical Score'!$C$5,1,0),0)</f>
        <v/>
      </c>
      <c r="AS729" s="3">
        <f>IF(AND(Y729&lt;&gt;"",'Historical Score'!$C$7&lt;&gt;""),IF(Y729='Historical Score'!$C$7,1,0),0)</f>
        <v/>
      </c>
      <c r="AT729" s="3">
        <f>IF(AND(K729&lt;&gt;"",'Historical Score'!$C$8&lt;&gt;""),IF(K729='Historical Score'!$C$8,1,0),0)</f>
        <v/>
      </c>
      <c r="AU729" s="3" t="n"/>
      <c r="AV729" s="3" t="n"/>
      <c r="AW729" s="3" t="n"/>
      <c r="AX729" s="3" t="n"/>
      <c r="AY729" s="3" t="n"/>
      <c r="AZ729" s="3" t="n"/>
      <c r="BA729" s="182">
        <f>IF(AD729=1,(AR729*'Historical Score'!$K$29+1-'Historical Score'!$K$29)*(AT729*'Historical Score'!$L$29+1-'Historical Score'!$L$29)*(AS729*'Historical Score'!$M$29+1-'Historical Score'!$M$29)*(AQ729*'Historical Score'!$N$29+1-'Historical Score'!$N$29),0)</f>
        <v/>
      </c>
      <c r="BB729" s="3" t="n"/>
      <c r="BC729" s="3" t="n"/>
    </row>
    <row r="730" ht="15.75" customHeight="1" s="174">
      <c r="A730" s="3" t="inlineStr">
        <is>
          <t>5674180478</t>
        </is>
      </c>
      <c r="B730" s="3" t="inlineStr">
        <is>
          <t>The Eklund Companies, INC</t>
        </is>
      </c>
      <c r="C730" s="3" t="inlineStr">
        <is>
          <t>The Eklund Companies, INC</t>
        </is>
      </c>
      <c r="D730" s="3" t="inlineStr">
        <is>
          <t>Closed</t>
        </is>
      </c>
      <c r="E730" s="23" t="n">
        <v>46100</v>
      </c>
      <c r="F730" s="23" t="n">
        <v>46161</v>
      </c>
      <c r="G730" s="3" t="n">
        <v>3</v>
      </c>
      <c r="H730" s="3" t="inlineStr">
        <is>
          <t>1521</t>
        </is>
      </c>
      <c r="I730" s="3" t="inlineStr">
        <is>
          <t>15</t>
        </is>
      </c>
      <c r="J730" s="3" t="inlineStr">
        <is>
          <t>CO</t>
        </is>
      </c>
      <c r="K730" s="3" t="inlineStr">
        <is>
          <t>TRUSTFI</t>
        </is>
      </c>
      <c r="L730" s="3" t="inlineStr">
        <is>
          <t>New Deal</t>
        </is>
      </c>
      <c r="M730" s="3" t="n">
        <v>1.45</v>
      </c>
      <c r="N730" s="28" t="n">
        <v>20000</v>
      </c>
      <c r="O730" s="28" t="n">
        <v>2400</v>
      </c>
      <c r="P730" s="28" t="n">
        <v>29000</v>
      </c>
      <c r="Q730" s="28" t="n">
        <v>29000</v>
      </c>
      <c r="R730" s="28" t="n">
        <v>0</v>
      </c>
      <c r="S730" s="42" t="n">
        <v>1</v>
      </c>
      <c r="T730" s="3" t="n">
        <v>16</v>
      </c>
      <c r="U730" s="3" t="n">
        <v>0</v>
      </c>
      <c r="V730" s="3" t="n">
        <v>61785.9</v>
      </c>
      <c r="W730" s="42" t="n">
        <v>0.1173</v>
      </c>
      <c r="X730" s="23" t="n">
        <v>41591</v>
      </c>
      <c r="Y730" s="3">
        <f>IF(I730="","No SIC",IFERROR(VLOOKUP(I730,Ref!$A$2:$B$65,2,FALSE()),"Unclassified"))</f>
        <v/>
      </c>
      <c r="Z730" s="3">
        <f>IF(T730="","",IF(T730&lt;12,"Daily","Weekly"))</f>
        <v/>
      </c>
      <c r="AA730" s="3">
        <f>IF(T730="",0,IF(T730&lt;12,T730*Controls!$B$13,T730*5))</f>
        <v/>
      </c>
      <c r="AB730" s="3">
        <f>IF(E730="",0,NETWORKDAYS(E730,Controls!$B$20,Ref!$K$2:$K$42))</f>
        <v/>
      </c>
      <c r="AC730" s="3">
        <f>IF(OR(AF730=1,AND(AA730&gt;0,AB730&gt;=Controls!$B$23*AA730)),1,0)</f>
        <v/>
      </c>
      <c r="AD730" s="3">
        <f>IF(AND(E730&lt;&gt;"",E730&gt;=Controls!$B$21,E730&lt;=Controls!$B$22),1,0)</f>
        <v/>
      </c>
      <c r="AE730" s="3">
        <f>IF(IFERROR(VLOOKUP(D730,Controls!$A$36:$E$46,2,FALSE()),"No")="Yes",1,0)</f>
        <v/>
      </c>
      <c r="AF730" s="3">
        <f>IF(IFERROR(VLOOKUP(D730,Controls!$A$36:$E$46,3,FALSE()),"No")="Yes",1,0)</f>
        <v/>
      </c>
      <c r="AG730" s="3">
        <f>IF(IFERROR(VLOOKUP(D730,Controls!$A$36:$E$46,4,FALSE()),"No")="Yes",1,0)</f>
        <v/>
      </c>
      <c r="AH730" s="3">
        <f>IF(IFERROR(VLOOKUP(D730,Controls!$A$36:$E$46,5,FALSE()),"No")="Yes",1,0)</f>
        <v/>
      </c>
      <c r="AI730" s="3">
        <f>IF(ISNUMBER(MATCH(D730,Controls!$A$36:$A$46,0)),1,0)</f>
        <v/>
      </c>
      <c r="AJ730" s="28">
        <f>Q730-N730</f>
        <v/>
      </c>
      <c r="AK730" s="3">
        <f>IF(AE730=1,MAX(0,N730-Q730),0)</f>
        <v/>
      </c>
      <c r="AL730" s="3">
        <f>IF(OR(V730="",V730=0),0,N730/V730)</f>
        <v/>
      </c>
      <c r="AM730" s="3">
        <f>IF(OR(V730="",V730=0),0,1)</f>
        <v/>
      </c>
      <c r="AN730" s="3">
        <f>IF(OR(E730="",F730=""),0,NETWORKDAYS(E730,F730,Ref!$K$2:$K$42))</f>
        <v/>
      </c>
      <c r="AO730" s="3">
        <f>IF(L730="Renewal",1,0)</f>
        <v/>
      </c>
      <c r="AP730" s="3">
        <f>AC730*AD730</f>
        <v/>
      </c>
      <c r="AQ730" s="3">
        <f>IF(AND(G730&lt;&gt;"",'Historical Score'!$C$6&lt;&gt;""),IF(G730='Historical Score'!$C$6,1,0),0)</f>
        <v/>
      </c>
      <c r="AR730" s="3">
        <f>IF(AND(L730&lt;&gt;"",'Historical Score'!$C$5&lt;&gt;""),IF(L730='Historical Score'!$C$5,1,0),0)</f>
        <v/>
      </c>
      <c r="AS730" s="3">
        <f>IF(AND(Y730&lt;&gt;"",'Historical Score'!$C$7&lt;&gt;""),IF(Y730='Historical Score'!$C$7,1,0),0)</f>
        <v/>
      </c>
      <c r="AT730" s="3">
        <f>IF(AND(K730&lt;&gt;"",'Historical Score'!$C$8&lt;&gt;""),IF(K730='Historical Score'!$C$8,1,0),0)</f>
        <v/>
      </c>
      <c r="AU730" s="3" t="n"/>
      <c r="AV730" s="3" t="n"/>
      <c r="AW730" s="3" t="n"/>
      <c r="AX730" s="3" t="n"/>
      <c r="AY730" s="3" t="n"/>
      <c r="AZ730" s="3" t="n"/>
      <c r="BA730" s="182">
        <f>IF(AD730=1,(AR730*'Historical Score'!$K$29+1-'Historical Score'!$K$29)*(AT730*'Historical Score'!$L$29+1-'Historical Score'!$L$29)*(AS730*'Historical Score'!$M$29+1-'Historical Score'!$M$29)*(AQ730*'Historical Score'!$N$29+1-'Historical Score'!$N$29),0)</f>
        <v/>
      </c>
      <c r="BB730" s="3" t="n"/>
      <c r="BC730" s="3" t="n"/>
    </row>
    <row r="731" ht="15.75" customHeight="1" s="174">
      <c r="A731" s="3" t="inlineStr">
        <is>
          <t>5674180495</t>
        </is>
      </c>
      <c r="B731" s="3" t="inlineStr">
        <is>
          <t>JACK N MARK TRADING</t>
        </is>
      </c>
      <c r="C731" s="3" t="inlineStr">
        <is>
          <t>JACK N MARK TRADING</t>
        </is>
      </c>
      <c r="D731" s="3" t="inlineStr">
        <is>
          <t>Closed</t>
        </is>
      </c>
      <c r="E731" s="23" t="n">
        <v>46101</v>
      </c>
      <c r="F731" s="23" t="n">
        <v>46230</v>
      </c>
      <c r="G731" s="3" t="n">
        <v>2</v>
      </c>
      <c r="H731" s="3" t="inlineStr">
        <is>
          <t>5399</t>
        </is>
      </c>
      <c r="I731" s="3" t="inlineStr">
        <is>
          <t>53</t>
        </is>
      </c>
      <c r="J731" s="3" t="inlineStr">
        <is>
          <t>CA</t>
        </is>
      </c>
      <c r="K731" s="3" t="inlineStr">
        <is>
          <t>United Secured Capital 8</t>
        </is>
      </c>
      <c r="L731" s="3" t="inlineStr">
        <is>
          <t>New Deal</t>
        </is>
      </c>
      <c r="M731" s="3" t="n">
        <v>1.49</v>
      </c>
      <c r="N731" s="28" t="n">
        <v>25000</v>
      </c>
      <c r="O731" s="28" t="n">
        <v>3500</v>
      </c>
      <c r="P731" s="28" t="n">
        <v>37250</v>
      </c>
      <c r="Q731" s="28" t="n">
        <v>37250</v>
      </c>
      <c r="R731" s="28" t="n">
        <v>0</v>
      </c>
      <c r="S731" s="42" t="n">
        <v>1</v>
      </c>
      <c r="T731" s="3" t="n">
        <v>22</v>
      </c>
      <c r="U731" s="3" t="n">
        <v>0</v>
      </c>
      <c r="V731" s="3" t="n">
        <v>296382.23</v>
      </c>
      <c r="W731" s="42" t="n">
        <v>0.0229</v>
      </c>
      <c r="X731" s="23" t="n">
        <v>45547</v>
      </c>
      <c r="Y731" s="3">
        <f>IF(I731="","No SIC",IFERROR(VLOOKUP(I731,Ref!$A$2:$B$65,2,FALSE()),"Unclassified"))</f>
        <v/>
      </c>
      <c r="Z731" s="3">
        <f>IF(T731="","",IF(T731&lt;12,"Daily","Weekly"))</f>
        <v/>
      </c>
      <c r="AA731" s="3">
        <f>IF(T731="",0,IF(T731&lt;12,T731*Controls!$B$13,T731*5))</f>
        <v/>
      </c>
      <c r="AB731" s="3">
        <f>IF(E731="",0,NETWORKDAYS(E731,Controls!$B$20,Ref!$K$2:$K$42))</f>
        <v/>
      </c>
      <c r="AC731" s="3">
        <f>IF(OR(AF731=1,AND(AA731&gt;0,AB731&gt;=Controls!$B$23*AA731)),1,0)</f>
        <v/>
      </c>
      <c r="AD731" s="3">
        <f>IF(AND(E731&lt;&gt;"",E731&gt;=Controls!$B$21,E731&lt;=Controls!$B$22),1,0)</f>
        <v/>
      </c>
      <c r="AE731" s="3">
        <f>IF(IFERROR(VLOOKUP(D731,Controls!$A$36:$E$46,2,FALSE()),"No")="Yes",1,0)</f>
        <v/>
      </c>
      <c r="AF731" s="3">
        <f>IF(IFERROR(VLOOKUP(D731,Controls!$A$36:$E$46,3,FALSE()),"No")="Yes",1,0)</f>
        <v/>
      </c>
      <c r="AG731" s="3">
        <f>IF(IFERROR(VLOOKUP(D731,Controls!$A$36:$E$46,4,FALSE()),"No")="Yes",1,0)</f>
        <v/>
      </c>
      <c r="AH731" s="3">
        <f>IF(IFERROR(VLOOKUP(D731,Controls!$A$36:$E$46,5,FALSE()),"No")="Yes",1,0)</f>
        <v/>
      </c>
      <c r="AI731" s="3">
        <f>IF(ISNUMBER(MATCH(D731,Controls!$A$36:$A$46,0)),1,0)</f>
        <v/>
      </c>
      <c r="AJ731" s="28">
        <f>Q731-N731</f>
        <v/>
      </c>
      <c r="AK731" s="3">
        <f>IF(AE731=1,MAX(0,N731-Q731),0)</f>
        <v/>
      </c>
      <c r="AL731" s="3">
        <f>IF(OR(V731="",V731=0),0,N731/V731)</f>
        <v/>
      </c>
      <c r="AM731" s="3">
        <f>IF(OR(V731="",V731=0),0,1)</f>
        <v/>
      </c>
      <c r="AN731" s="3">
        <f>IF(OR(E731="",F731=""),0,NETWORKDAYS(E731,F731,Ref!$K$2:$K$42))</f>
        <v/>
      </c>
      <c r="AO731" s="3">
        <f>IF(L731="Renewal",1,0)</f>
        <v/>
      </c>
      <c r="AP731" s="3">
        <f>AC731*AD731</f>
        <v/>
      </c>
      <c r="AQ731" s="3">
        <f>IF(AND(G731&lt;&gt;"",'Historical Score'!$C$6&lt;&gt;""),IF(G731='Historical Score'!$C$6,1,0),0)</f>
        <v/>
      </c>
      <c r="AR731" s="3">
        <f>IF(AND(L731&lt;&gt;"",'Historical Score'!$C$5&lt;&gt;""),IF(L731='Historical Score'!$C$5,1,0),0)</f>
        <v/>
      </c>
      <c r="AS731" s="3">
        <f>IF(AND(Y731&lt;&gt;"",'Historical Score'!$C$7&lt;&gt;""),IF(Y731='Historical Score'!$C$7,1,0),0)</f>
        <v/>
      </c>
      <c r="AT731" s="3">
        <f>IF(AND(K731&lt;&gt;"",'Historical Score'!$C$8&lt;&gt;""),IF(K731='Historical Score'!$C$8,1,0),0)</f>
        <v/>
      </c>
      <c r="AU731" s="3" t="n"/>
      <c r="AV731" s="3" t="n"/>
      <c r="AW731" s="3" t="n"/>
      <c r="AX731" s="3" t="n"/>
      <c r="AY731" s="3" t="n"/>
      <c r="AZ731" s="3" t="n"/>
      <c r="BA731" s="182">
        <f>IF(AD731=1,(AR731*'Historical Score'!$K$29+1-'Historical Score'!$K$29)*(AT731*'Historical Score'!$L$29+1-'Historical Score'!$L$29)*(AS731*'Historical Score'!$M$29+1-'Historical Score'!$M$29)*(AQ731*'Historical Score'!$N$29+1-'Historical Score'!$N$29),0)</f>
        <v/>
      </c>
      <c r="BB731" s="3" t="n"/>
      <c r="BC731" s="3" t="n"/>
    </row>
    <row r="732" ht="15.75" customHeight="1" s="174">
      <c r="A732" s="3" t="inlineStr">
        <is>
          <t>5674180506</t>
        </is>
      </c>
      <c r="B732" s="3" t="inlineStr">
        <is>
          <t>ONSIGHT HEALTHCARE</t>
        </is>
      </c>
      <c r="C732" s="3" t="inlineStr">
        <is>
          <t>Healthcare Hospitality Group LLC</t>
        </is>
      </c>
      <c r="D732" s="3" t="inlineStr">
        <is>
          <t>Closed</t>
        </is>
      </c>
      <c r="E732" s="23" t="n">
        <v>46101</v>
      </c>
      <c r="F732" s="23" t="n">
        <v>46223</v>
      </c>
      <c r="G732" s="3" t="n">
        <v>3</v>
      </c>
      <c r="H732" s="3" t="inlineStr">
        <is>
          <t>8062</t>
        </is>
      </c>
      <c r="I732" s="3" t="inlineStr">
        <is>
          <t>80</t>
        </is>
      </c>
      <c r="J732" s="3" t="inlineStr">
        <is>
          <t>TN</t>
        </is>
      </c>
      <c r="K732" s="3" t="inlineStr">
        <is>
          <t>United Secured Capital 8</t>
        </is>
      </c>
      <c r="L732" s="3" t="inlineStr">
        <is>
          <t>New Deal</t>
        </is>
      </c>
      <c r="M732" s="3" t="n">
        <v>1.34</v>
      </c>
      <c r="N732" s="28" t="n">
        <v>200000</v>
      </c>
      <c r="O732" s="28" t="n">
        <v>25000</v>
      </c>
      <c r="P732" s="28" t="n">
        <v>268000</v>
      </c>
      <c r="Q732" s="28" t="n">
        <v>268000</v>
      </c>
      <c r="R732" s="28" t="n">
        <v>0</v>
      </c>
      <c r="S732" s="42" t="n">
        <v>1</v>
      </c>
      <c r="T732" s="3" t="n">
        <v>40</v>
      </c>
      <c r="U732" s="3" t="n">
        <v>0</v>
      </c>
      <c r="V732" s="3" t="n">
        <v>653595.48</v>
      </c>
      <c r="W732" s="42" t="n">
        <v>0.0487</v>
      </c>
      <c r="X732" s="23" t="n">
        <v>41695</v>
      </c>
      <c r="Y732" s="3">
        <f>IF(I732="","No SIC",IFERROR(VLOOKUP(I732,Ref!$A$2:$B$65,2,FALSE()),"Unclassified"))</f>
        <v/>
      </c>
      <c r="Z732" s="3">
        <f>IF(T732="","",IF(T732&lt;12,"Daily","Weekly"))</f>
        <v/>
      </c>
      <c r="AA732" s="3">
        <f>IF(T732="",0,IF(T732&lt;12,T732*Controls!$B$13,T732*5))</f>
        <v/>
      </c>
      <c r="AB732" s="3">
        <f>IF(E732="",0,NETWORKDAYS(E732,Controls!$B$20,Ref!$K$2:$K$42))</f>
        <v/>
      </c>
      <c r="AC732" s="3">
        <f>IF(OR(AF732=1,AND(AA732&gt;0,AB732&gt;=Controls!$B$23*AA732)),1,0)</f>
        <v/>
      </c>
      <c r="AD732" s="3">
        <f>IF(AND(E732&lt;&gt;"",E732&gt;=Controls!$B$21,E732&lt;=Controls!$B$22),1,0)</f>
        <v/>
      </c>
      <c r="AE732" s="3">
        <f>IF(IFERROR(VLOOKUP(D732,Controls!$A$36:$E$46,2,FALSE()),"No")="Yes",1,0)</f>
        <v/>
      </c>
      <c r="AF732" s="3">
        <f>IF(IFERROR(VLOOKUP(D732,Controls!$A$36:$E$46,3,FALSE()),"No")="Yes",1,0)</f>
        <v/>
      </c>
      <c r="AG732" s="3">
        <f>IF(IFERROR(VLOOKUP(D732,Controls!$A$36:$E$46,4,FALSE()),"No")="Yes",1,0)</f>
        <v/>
      </c>
      <c r="AH732" s="3">
        <f>IF(IFERROR(VLOOKUP(D732,Controls!$A$36:$E$46,5,FALSE()),"No")="Yes",1,0)</f>
        <v/>
      </c>
      <c r="AI732" s="3">
        <f>IF(ISNUMBER(MATCH(D732,Controls!$A$36:$A$46,0)),1,0)</f>
        <v/>
      </c>
      <c r="AJ732" s="28">
        <f>Q732-N732</f>
        <v/>
      </c>
      <c r="AK732" s="3">
        <f>IF(AE732=1,MAX(0,N732-Q732),0)</f>
        <v/>
      </c>
      <c r="AL732" s="3">
        <f>IF(OR(V732="",V732=0),0,N732/V732)</f>
        <v/>
      </c>
      <c r="AM732" s="3">
        <f>IF(OR(V732="",V732=0),0,1)</f>
        <v/>
      </c>
      <c r="AN732" s="3">
        <f>IF(OR(E732="",F732=""),0,NETWORKDAYS(E732,F732,Ref!$K$2:$K$42))</f>
        <v/>
      </c>
      <c r="AO732" s="3">
        <f>IF(L732="Renewal",1,0)</f>
        <v/>
      </c>
      <c r="AP732" s="3">
        <f>AC732*AD732</f>
        <v/>
      </c>
      <c r="AQ732" s="3">
        <f>IF(AND(G732&lt;&gt;"",'Historical Score'!$C$6&lt;&gt;""),IF(G732='Historical Score'!$C$6,1,0),0)</f>
        <v/>
      </c>
      <c r="AR732" s="3">
        <f>IF(AND(L732&lt;&gt;"",'Historical Score'!$C$5&lt;&gt;""),IF(L732='Historical Score'!$C$5,1,0),0)</f>
        <v/>
      </c>
      <c r="AS732" s="3">
        <f>IF(AND(Y732&lt;&gt;"",'Historical Score'!$C$7&lt;&gt;""),IF(Y732='Historical Score'!$C$7,1,0),0)</f>
        <v/>
      </c>
      <c r="AT732" s="3">
        <f>IF(AND(K732&lt;&gt;"",'Historical Score'!$C$8&lt;&gt;""),IF(K732='Historical Score'!$C$8,1,0),0)</f>
        <v/>
      </c>
      <c r="AU732" s="3" t="n"/>
      <c r="AV732" s="3" t="n"/>
      <c r="AW732" s="3" t="n"/>
      <c r="AX732" s="3" t="n"/>
      <c r="AY732" s="3" t="n"/>
      <c r="AZ732" s="3" t="n"/>
      <c r="BA732" s="182">
        <f>IF(AD732=1,(AR732*'Historical Score'!$K$29+1-'Historical Score'!$K$29)*(AT732*'Historical Score'!$L$29+1-'Historical Score'!$L$29)*(AS732*'Historical Score'!$M$29+1-'Historical Score'!$M$29)*(AQ732*'Historical Score'!$N$29+1-'Historical Score'!$N$29),0)</f>
        <v/>
      </c>
      <c r="BB732" s="3" t="n"/>
      <c r="BC732" s="3" t="n"/>
    </row>
    <row r="733" ht="15.75" customHeight="1" s="174">
      <c r="A733" s="3" t="inlineStr">
        <is>
          <t>5674180513</t>
        </is>
      </c>
      <c r="B733" s="3" t="inlineStr">
        <is>
          <t>JMJ IT Services Corp</t>
        </is>
      </c>
      <c r="C733" s="3" t="inlineStr">
        <is>
          <t>JMJ IT Services Corp</t>
        </is>
      </c>
      <c r="D733" s="3" t="inlineStr">
        <is>
          <t>In House Collection</t>
        </is>
      </c>
      <c r="E733" s="23" t="n">
        <v>46101</v>
      </c>
      <c r="F733" s="23" t="n">
        <v>46223</v>
      </c>
      <c r="G733" s="3" t="n">
        <v>3</v>
      </c>
      <c r="H733" s="3" t="inlineStr">
        <is>
          <t>7371</t>
        </is>
      </c>
      <c r="I733" s="3" t="inlineStr">
        <is>
          <t>73</t>
        </is>
      </c>
      <c r="J733" s="3" t="inlineStr">
        <is>
          <t>TX</t>
        </is>
      </c>
      <c r="K733" s="3" t="inlineStr">
        <is>
          <t>Vanguard Equities</t>
        </is>
      </c>
      <c r="L733" s="3" t="inlineStr">
        <is>
          <t>New Deal</t>
        </is>
      </c>
      <c r="M733" s="3" t="n">
        <v>1.49</v>
      </c>
      <c r="N733" s="28" t="n">
        <v>3000</v>
      </c>
      <c r="O733" s="28" t="n">
        <v>420</v>
      </c>
      <c r="P733" s="28" t="n">
        <v>4470</v>
      </c>
      <c r="Q733" s="28" t="n">
        <v>1117.76</v>
      </c>
      <c r="R733" s="28" t="n">
        <v>3352.24</v>
      </c>
      <c r="S733" s="42" t="n">
        <v>0.250058165548099</v>
      </c>
      <c r="T733" s="3" t="n">
        <v>26</v>
      </c>
      <c r="U733" s="3" t="n">
        <v>8</v>
      </c>
      <c r="V733" s="3" t="n">
        <v>3089.98</v>
      </c>
      <c r="W733" s="42" t="n">
        <v>0.2226</v>
      </c>
      <c r="X733" s="23" t="n">
        <v>45566</v>
      </c>
      <c r="Y733" s="3">
        <f>IF(I733="","No SIC",IFERROR(VLOOKUP(I733,Ref!$A$2:$B$65,2,FALSE()),"Unclassified"))</f>
        <v/>
      </c>
      <c r="Z733" s="3">
        <f>IF(T733="","",IF(T733&lt;12,"Daily","Weekly"))</f>
        <v/>
      </c>
      <c r="AA733" s="3">
        <f>IF(T733="",0,IF(T733&lt;12,T733*Controls!$B$13,T733*5))</f>
        <v/>
      </c>
      <c r="AB733" s="3">
        <f>IF(E733="",0,NETWORKDAYS(E733,Controls!$B$20,Ref!$K$2:$K$42))</f>
        <v/>
      </c>
      <c r="AC733" s="3">
        <f>IF(OR(AF733=1,AND(AA733&gt;0,AB733&gt;=Controls!$B$23*AA733)),1,0)</f>
        <v/>
      </c>
      <c r="AD733" s="3">
        <f>IF(AND(E733&lt;&gt;"",E733&gt;=Controls!$B$21,E733&lt;=Controls!$B$22),1,0)</f>
        <v/>
      </c>
      <c r="AE733" s="3">
        <f>IF(IFERROR(VLOOKUP(D733,Controls!$A$36:$E$46,2,FALSE()),"No")="Yes",1,0)</f>
        <v/>
      </c>
      <c r="AF733" s="3">
        <f>IF(IFERROR(VLOOKUP(D733,Controls!$A$36:$E$46,3,FALSE()),"No")="Yes",1,0)</f>
        <v/>
      </c>
      <c r="AG733" s="3">
        <f>IF(IFERROR(VLOOKUP(D733,Controls!$A$36:$E$46,4,FALSE()),"No")="Yes",1,0)</f>
        <v/>
      </c>
      <c r="AH733" s="3">
        <f>IF(IFERROR(VLOOKUP(D733,Controls!$A$36:$E$46,5,FALSE()),"No")="Yes",1,0)</f>
        <v/>
      </c>
      <c r="AI733" s="3">
        <f>IF(ISNUMBER(MATCH(D733,Controls!$A$36:$A$46,0)),1,0)</f>
        <v/>
      </c>
      <c r="AJ733" s="28">
        <f>Q733-N733</f>
        <v/>
      </c>
      <c r="AK733" s="3">
        <f>IF(AE733=1,MAX(0,N733-Q733),0)</f>
        <v/>
      </c>
      <c r="AL733" s="3">
        <f>IF(OR(V733="",V733=0),0,N733/V733)</f>
        <v/>
      </c>
      <c r="AM733" s="3">
        <f>IF(OR(V733="",V733=0),0,1)</f>
        <v/>
      </c>
      <c r="AN733" s="3">
        <f>IF(OR(E733="",F733=""),0,NETWORKDAYS(E733,F733,Ref!$K$2:$K$42))</f>
        <v/>
      </c>
      <c r="AO733" s="3">
        <f>IF(L733="Renewal",1,0)</f>
        <v/>
      </c>
      <c r="AP733" s="3">
        <f>AC733*AD733</f>
        <v/>
      </c>
      <c r="AQ733" s="3">
        <f>IF(AND(G733&lt;&gt;"",'Historical Score'!$C$6&lt;&gt;""),IF(G733='Historical Score'!$C$6,1,0),0)</f>
        <v/>
      </c>
      <c r="AR733" s="3">
        <f>IF(AND(L733&lt;&gt;"",'Historical Score'!$C$5&lt;&gt;""),IF(L733='Historical Score'!$C$5,1,0),0)</f>
        <v/>
      </c>
      <c r="AS733" s="3">
        <f>IF(AND(Y733&lt;&gt;"",'Historical Score'!$C$7&lt;&gt;""),IF(Y733='Historical Score'!$C$7,1,0),0)</f>
        <v/>
      </c>
      <c r="AT733" s="3">
        <f>IF(AND(K733&lt;&gt;"",'Historical Score'!$C$8&lt;&gt;""),IF(K733='Historical Score'!$C$8,1,0),0)</f>
        <v/>
      </c>
      <c r="AU733" s="3" t="n"/>
      <c r="AV733" s="3" t="n"/>
      <c r="AW733" s="3" t="n"/>
      <c r="AX733" s="3" t="n"/>
      <c r="AY733" s="3" t="n"/>
      <c r="AZ733" s="3" t="n"/>
      <c r="BA733" s="182">
        <f>IF(AD733=1,(AR733*'Historical Score'!$K$29+1-'Historical Score'!$K$29)*(AT733*'Historical Score'!$L$29+1-'Historical Score'!$L$29)*(AS733*'Historical Score'!$M$29+1-'Historical Score'!$M$29)*(AQ733*'Historical Score'!$N$29+1-'Historical Score'!$N$29),0)</f>
        <v/>
      </c>
      <c r="BB733" s="3" t="n"/>
      <c r="BC733" s="3" t="n"/>
    </row>
    <row r="734" ht="15.75" customHeight="1" s="174">
      <c r="A734" s="3" t="inlineStr">
        <is>
          <t>5674180514</t>
        </is>
      </c>
      <c r="B734" s="3" t="inlineStr">
        <is>
          <t>REYOGMAR TECHNOLOGIES INC</t>
        </is>
      </c>
      <c r="C734" s="3" t="inlineStr">
        <is>
          <t>REYOGMAR TECHNOLOGIES INC</t>
        </is>
      </c>
      <c r="D734" s="3" t="inlineStr">
        <is>
          <t>Legal</t>
        </is>
      </c>
      <c r="E734" s="23" t="n">
        <v>46101</v>
      </c>
      <c r="F734" s="23" t="n">
        <v>46230</v>
      </c>
      <c r="G734" s="3" t="n">
        <v>4</v>
      </c>
      <c r="H734" s="3" t="inlineStr">
        <is>
          <t>7371</t>
        </is>
      </c>
      <c r="I734" s="3" t="inlineStr">
        <is>
          <t>73</t>
        </is>
      </c>
      <c r="J734" s="3" t="inlineStr">
        <is>
          <t>NJ</t>
        </is>
      </c>
      <c r="K734" s="3" t="inlineStr">
        <is>
          <t>United Secured Capital 8</t>
        </is>
      </c>
      <c r="L734" s="3" t="inlineStr">
        <is>
          <t>New Deal</t>
        </is>
      </c>
      <c r="M734" s="3" t="n">
        <v>1.49</v>
      </c>
      <c r="N734" s="28" t="n">
        <v>15000</v>
      </c>
      <c r="O734" s="28" t="n">
        <v>0</v>
      </c>
      <c r="P734" s="28" t="n">
        <v>22350</v>
      </c>
      <c r="Q734" s="28" t="n">
        <v>3577.47</v>
      </c>
      <c r="R734" s="28" t="n">
        <v>18772.53</v>
      </c>
      <c r="S734" s="42" t="n">
        <v>0.160065771812081</v>
      </c>
      <c r="T734" s="3" t="n">
        <v>20</v>
      </c>
      <c r="U734" s="3" t="n">
        <v>7</v>
      </c>
      <c r="V734" s="3" t="n">
        <v>64875.77</v>
      </c>
      <c r="W734" s="42" t="n">
        <v>0.0689</v>
      </c>
      <c r="X734" s="23" t="n">
        <v>44812</v>
      </c>
      <c r="Y734" s="3">
        <f>IF(I734="","No SIC",IFERROR(VLOOKUP(I734,Ref!$A$2:$B$65,2,FALSE()),"Unclassified"))</f>
        <v/>
      </c>
      <c r="Z734" s="3">
        <f>IF(T734="","",IF(T734&lt;12,"Daily","Weekly"))</f>
        <v/>
      </c>
      <c r="AA734" s="3">
        <f>IF(T734="",0,IF(T734&lt;12,T734*Controls!$B$13,T734*5))</f>
        <v/>
      </c>
      <c r="AB734" s="3">
        <f>IF(E734="",0,NETWORKDAYS(E734,Controls!$B$20,Ref!$K$2:$K$42))</f>
        <v/>
      </c>
      <c r="AC734" s="3">
        <f>IF(OR(AF734=1,AND(AA734&gt;0,AB734&gt;=Controls!$B$23*AA734)),1,0)</f>
        <v/>
      </c>
      <c r="AD734" s="3">
        <f>IF(AND(E734&lt;&gt;"",E734&gt;=Controls!$B$21,E734&lt;=Controls!$B$22),1,0)</f>
        <v/>
      </c>
      <c r="AE734" s="3">
        <f>IF(IFERROR(VLOOKUP(D734,Controls!$A$36:$E$46,2,FALSE()),"No")="Yes",1,0)</f>
        <v/>
      </c>
      <c r="AF734" s="3">
        <f>IF(IFERROR(VLOOKUP(D734,Controls!$A$36:$E$46,3,FALSE()),"No")="Yes",1,0)</f>
        <v/>
      </c>
      <c r="AG734" s="3">
        <f>IF(IFERROR(VLOOKUP(D734,Controls!$A$36:$E$46,4,FALSE()),"No")="Yes",1,0)</f>
        <v/>
      </c>
      <c r="AH734" s="3">
        <f>IF(IFERROR(VLOOKUP(D734,Controls!$A$36:$E$46,5,FALSE()),"No")="Yes",1,0)</f>
        <v/>
      </c>
      <c r="AI734" s="3">
        <f>IF(ISNUMBER(MATCH(D734,Controls!$A$36:$A$46,0)),1,0)</f>
        <v/>
      </c>
      <c r="AJ734" s="28">
        <f>Q734-N734</f>
        <v/>
      </c>
      <c r="AK734" s="3">
        <f>IF(AE734=1,MAX(0,N734-Q734),0)</f>
        <v/>
      </c>
      <c r="AL734" s="3">
        <f>IF(OR(V734="",V734=0),0,N734/V734)</f>
        <v/>
      </c>
      <c r="AM734" s="3">
        <f>IF(OR(V734="",V734=0),0,1)</f>
        <v/>
      </c>
      <c r="AN734" s="3">
        <f>IF(OR(E734="",F734=""),0,NETWORKDAYS(E734,F734,Ref!$K$2:$K$42))</f>
        <v/>
      </c>
      <c r="AO734" s="3">
        <f>IF(L734="Renewal",1,0)</f>
        <v/>
      </c>
      <c r="AP734" s="3">
        <f>AC734*AD734</f>
        <v/>
      </c>
      <c r="AQ734" s="3">
        <f>IF(AND(G734&lt;&gt;"",'Historical Score'!$C$6&lt;&gt;""),IF(G734='Historical Score'!$C$6,1,0),0)</f>
        <v/>
      </c>
      <c r="AR734" s="3">
        <f>IF(AND(L734&lt;&gt;"",'Historical Score'!$C$5&lt;&gt;""),IF(L734='Historical Score'!$C$5,1,0),0)</f>
        <v/>
      </c>
      <c r="AS734" s="3">
        <f>IF(AND(Y734&lt;&gt;"",'Historical Score'!$C$7&lt;&gt;""),IF(Y734='Historical Score'!$C$7,1,0),0)</f>
        <v/>
      </c>
      <c r="AT734" s="3">
        <f>IF(AND(K734&lt;&gt;"",'Historical Score'!$C$8&lt;&gt;""),IF(K734='Historical Score'!$C$8,1,0),0)</f>
        <v/>
      </c>
      <c r="AU734" s="3" t="n"/>
      <c r="AV734" s="3" t="n"/>
      <c r="AW734" s="3" t="n"/>
      <c r="AX734" s="3" t="n"/>
      <c r="AY734" s="3" t="n"/>
      <c r="AZ734" s="3" t="n"/>
      <c r="BA734" s="182">
        <f>IF(AD734=1,(AR734*'Historical Score'!$K$29+1-'Historical Score'!$K$29)*(AT734*'Historical Score'!$L$29+1-'Historical Score'!$L$29)*(AS734*'Historical Score'!$M$29+1-'Historical Score'!$M$29)*(AQ734*'Historical Score'!$N$29+1-'Historical Score'!$N$29),0)</f>
        <v/>
      </c>
      <c r="BB734" s="3" t="n"/>
      <c r="BC734" s="3" t="n"/>
    </row>
    <row r="735" ht="15.75" customHeight="1" s="174">
      <c r="A735" s="3" t="inlineStr">
        <is>
          <t>5674180517</t>
        </is>
      </c>
      <c r="B735" s="3" t="inlineStr">
        <is>
          <t>Innovate Insurance Agency, Inc.</t>
        </is>
      </c>
      <c r="C735" s="3" t="inlineStr">
        <is>
          <t>Innovate Insurance Agency, Inc.</t>
        </is>
      </c>
      <c r="D735" s="3" t="inlineStr">
        <is>
          <t>Open</t>
        </is>
      </c>
      <c r="E735" s="23" t="n">
        <v>46101</v>
      </c>
      <c r="F735" s="23" t="n">
        <v>46253</v>
      </c>
      <c r="G735" s="3" t="n">
        <v>3</v>
      </c>
      <c r="H735" s="3" t="inlineStr">
        <is>
          <t>6411</t>
        </is>
      </c>
      <c r="I735" s="3" t="inlineStr">
        <is>
          <t>64</t>
        </is>
      </c>
      <c r="J735" s="3" t="inlineStr">
        <is>
          <t>NJ</t>
        </is>
      </c>
      <c r="K735" s="3" t="inlineStr">
        <is>
          <t>Westwood</t>
        </is>
      </c>
      <c r="L735" s="3" t="inlineStr">
        <is>
          <t>Renewal</t>
        </is>
      </c>
      <c r="M735" s="3" t="n">
        <v>1.49</v>
      </c>
      <c r="N735" s="28" t="n">
        <v>27500</v>
      </c>
      <c r="O735" s="28" t="n">
        <v>3850</v>
      </c>
      <c r="P735" s="28" t="n">
        <v>40975</v>
      </c>
      <c r="Q735" s="28" t="n">
        <v>14096.46</v>
      </c>
      <c r="R735" s="28" t="n">
        <v>26878.54</v>
      </c>
      <c r="S735" s="42" t="n">
        <v>0.344025869432581</v>
      </c>
      <c r="T735" s="3" t="n">
        <v>3.607</v>
      </c>
      <c r="U735" s="3" t="n">
        <v>67</v>
      </c>
      <c r="V735" s="3" t="n">
        <v>47795.52</v>
      </c>
      <c r="W735" s="42" t="n">
        <v>0.1637</v>
      </c>
      <c r="X735" s="23" t="n">
        <v>43574</v>
      </c>
      <c r="Y735" s="3">
        <f>IF(I735="","No SIC",IFERROR(VLOOKUP(I735,Ref!$A$2:$B$65,2,FALSE()),"Unclassified"))</f>
        <v/>
      </c>
      <c r="Z735" s="3">
        <f>IF(T735="","",IF(T735&lt;12,"Daily","Weekly"))</f>
        <v/>
      </c>
      <c r="AA735" s="3">
        <f>IF(T735="",0,IF(T735&lt;12,T735*Controls!$B$13,T735*5))</f>
        <v/>
      </c>
      <c r="AB735" s="3">
        <f>IF(E735="",0,NETWORKDAYS(E735,Controls!$B$20,Ref!$K$2:$K$42))</f>
        <v/>
      </c>
      <c r="AC735" s="3">
        <f>IF(OR(AF735=1,AND(AA735&gt;0,AB735&gt;=Controls!$B$23*AA735)),1,0)</f>
        <v/>
      </c>
      <c r="AD735" s="3">
        <f>IF(AND(E735&lt;&gt;"",E735&gt;=Controls!$B$21,E735&lt;=Controls!$B$22),1,0)</f>
        <v/>
      </c>
      <c r="AE735" s="3">
        <f>IF(IFERROR(VLOOKUP(D735,Controls!$A$36:$E$46,2,FALSE()),"No")="Yes",1,0)</f>
        <v/>
      </c>
      <c r="AF735" s="3">
        <f>IF(IFERROR(VLOOKUP(D735,Controls!$A$36:$E$46,3,FALSE()),"No")="Yes",1,0)</f>
        <v/>
      </c>
      <c r="AG735" s="3">
        <f>IF(IFERROR(VLOOKUP(D735,Controls!$A$36:$E$46,4,FALSE()),"No")="Yes",1,0)</f>
        <v/>
      </c>
      <c r="AH735" s="3">
        <f>IF(IFERROR(VLOOKUP(D735,Controls!$A$36:$E$46,5,FALSE()),"No")="Yes",1,0)</f>
        <v/>
      </c>
      <c r="AI735" s="3">
        <f>IF(ISNUMBER(MATCH(D735,Controls!$A$36:$A$46,0)),1,0)</f>
        <v/>
      </c>
      <c r="AJ735" s="28">
        <f>Q735-N735</f>
        <v/>
      </c>
      <c r="AK735" s="3">
        <f>IF(AE735=1,MAX(0,N735-Q735),0)</f>
        <v/>
      </c>
      <c r="AL735" s="3">
        <f>IF(OR(V735="",V735=0),0,N735/V735)</f>
        <v/>
      </c>
      <c r="AM735" s="3">
        <f>IF(OR(V735="",V735=0),0,1)</f>
        <v/>
      </c>
      <c r="AN735" s="3">
        <f>IF(OR(E735="",F735=""),0,NETWORKDAYS(E735,F735,Ref!$K$2:$K$42))</f>
        <v/>
      </c>
      <c r="AO735" s="3">
        <f>IF(L735="Renewal",1,0)</f>
        <v/>
      </c>
      <c r="AP735" s="3">
        <f>AC735*AD735</f>
        <v/>
      </c>
      <c r="AQ735" s="3">
        <f>IF(AND(G735&lt;&gt;"",'Historical Score'!$C$6&lt;&gt;""),IF(G735='Historical Score'!$C$6,1,0),0)</f>
        <v/>
      </c>
      <c r="AR735" s="3">
        <f>IF(AND(L735&lt;&gt;"",'Historical Score'!$C$5&lt;&gt;""),IF(L735='Historical Score'!$C$5,1,0),0)</f>
        <v/>
      </c>
      <c r="AS735" s="3">
        <f>IF(AND(Y735&lt;&gt;"",'Historical Score'!$C$7&lt;&gt;""),IF(Y735='Historical Score'!$C$7,1,0),0)</f>
        <v/>
      </c>
      <c r="AT735" s="3">
        <f>IF(AND(K735&lt;&gt;"",'Historical Score'!$C$8&lt;&gt;""),IF(K735='Historical Score'!$C$8,1,0),0)</f>
        <v/>
      </c>
      <c r="AU735" s="3" t="n"/>
      <c r="AV735" s="3" t="n"/>
      <c r="AW735" s="3" t="n"/>
      <c r="AX735" s="3" t="n"/>
      <c r="AY735" s="3" t="n"/>
      <c r="AZ735" s="3" t="n"/>
      <c r="BA735" s="182">
        <f>IF(AD735=1,(AR735*'Historical Score'!$K$29+1-'Historical Score'!$K$29)*(AT735*'Historical Score'!$L$29+1-'Historical Score'!$L$29)*(AS735*'Historical Score'!$M$29+1-'Historical Score'!$M$29)*(AQ735*'Historical Score'!$N$29+1-'Historical Score'!$N$29),0)</f>
        <v/>
      </c>
      <c r="BB735" s="3" t="n"/>
      <c r="BC735" s="3" t="n"/>
    </row>
    <row r="736" ht="15.75" customHeight="1" s="174">
      <c r="A736" s="3" t="inlineStr">
        <is>
          <t>5674180538</t>
        </is>
      </c>
      <c r="B736" s="3" t="inlineStr">
        <is>
          <t>So Baltimore, LLC</t>
        </is>
      </c>
      <c r="C736" s="3" t="inlineStr">
        <is>
          <t>So Baltimore, LLC</t>
        </is>
      </c>
      <c r="D736" s="3" t="inlineStr">
        <is>
          <t>Lowered Payments</t>
        </is>
      </c>
      <c r="E736" s="23" t="n">
        <v>46101</v>
      </c>
      <c r="F736" s="23" t="n">
        <v>46253</v>
      </c>
      <c r="G736" s="3" t="n">
        <v>4</v>
      </c>
      <c r="H736" s="3" t="inlineStr">
        <is>
          <t>5812</t>
        </is>
      </c>
      <c r="I736" s="3" t="inlineStr">
        <is>
          <t>58</t>
        </is>
      </c>
      <c r="J736" s="3" t="inlineStr">
        <is>
          <t>MD</t>
        </is>
      </c>
      <c r="K736" s="3" t="inlineStr">
        <is>
          <t>Llama Loan</t>
        </is>
      </c>
      <c r="L736" s="3" t="inlineStr">
        <is>
          <t>Renewal</t>
        </is>
      </c>
      <c r="M736" s="3" t="n">
        <v>1.45</v>
      </c>
      <c r="N736" s="28" t="n">
        <v>27000</v>
      </c>
      <c r="O736" s="28" t="n">
        <v>3240</v>
      </c>
      <c r="P736" s="28" t="n">
        <v>39150</v>
      </c>
      <c r="Q736" s="28" t="n">
        <v>14777</v>
      </c>
      <c r="R736" s="28" t="n">
        <v>24373</v>
      </c>
      <c r="S736" s="42" t="n">
        <v>0.377445721583653</v>
      </c>
      <c r="T736" s="3" t="n">
        <v>4.59</v>
      </c>
      <c r="U736" s="3" t="n">
        <v>4</v>
      </c>
      <c r="V736" s="3" t="n">
        <v>82755.78</v>
      </c>
      <c r="W736" s="42" t="n">
        <v>0.1035</v>
      </c>
      <c r="X736" s="23" t="n">
        <v>44378</v>
      </c>
      <c r="Y736" s="3">
        <f>IF(I736="","No SIC",IFERROR(VLOOKUP(I736,Ref!$A$2:$B$65,2,FALSE()),"Unclassified"))</f>
        <v/>
      </c>
      <c r="Z736" s="3">
        <f>IF(T736="","",IF(T736&lt;12,"Daily","Weekly"))</f>
        <v/>
      </c>
      <c r="AA736" s="3">
        <f>IF(T736="",0,IF(T736&lt;12,T736*Controls!$B$13,T736*5))</f>
        <v/>
      </c>
      <c r="AB736" s="3">
        <f>IF(E736="",0,NETWORKDAYS(E736,Controls!$B$20,Ref!$K$2:$K$42))</f>
        <v/>
      </c>
      <c r="AC736" s="3">
        <f>IF(OR(AF736=1,AND(AA736&gt;0,AB736&gt;=Controls!$B$23*AA736)),1,0)</f>
        <v/>
      </c>
      <c r="AD736" s="3">
        <f>IF(AND(E736&lt;&gt;"",E736&gt;=Controls!$B$21,E736&lt;=Controls!$B$22),1,0)</f>
        <v/>
      </c>
      <c r="AE736" s="3">
        <f>IF(IFERROR(VLOOKUP(D736,Controls!$A$36:$E$46,2,FALSE()),"No")="Yes",1,0)</f>
        <v/>
      </c>
      <c r="AF736" s="3">
        <f>IF(IFERROR(VLOOKUP(D736,Controls!$A$36:$E$46,3,FALSE()),"No")="Yes",1,0)</f>
        <v/>
      </c>
      <c r="AG736" s="3">
        <f>IF(IFERROR(VLOOKUP(D736,Controls!$A$36:$E$46,4,FALSE()),"No")="Yes",1,0)</f>
        <v/>
      </c>
      <c r="AH736" s="3">
        <f>IF(IFERROR(VLOOKUP(D736,Controls!$A$36:$E$46,5,FALSE()),"No")="Yes",1,0)</f>
        <v/>
      </c>
      <c r="AI736" s="3">
        <f>IF(ISNUMBER(MATCH(D736,Controls!$A$36:$A$46,0)),1,0)</f>
        <v/>
      </c>
      <c r="AJ736" s="28">
        <f>Q736-N736</f>
        <v/>
      </c>
      <c r="AK736" s="3">
        <f>IF(AE736=1,MAX(0,N736-Q736),0)</f>
        <v/>
      </c>
      <c r="AL736" s="3">
        <f>IF(OR(V736="",V736=0),0,N736/V736)</f>
        <v/>
      </c>
      <c r="AM736" s="3">
        <f>IF(OR(V736="",V736=0),0,1)</f>
        <v/>
      </c>
      <c r="AN736" s="3">
        <f>IF(OR(E736="",F736=""),0,NETWORKDAYS(E736,F736,Ref!$K$2:$K$42))</f>
        <v/>
      </c>
      <c r="AO736" s="3">
        <f>IF(L736="Renewal",1,0)</f>
        <v/>
      </c>
      <c r="AP736" s="3">
        <f>AC736*AD736</f>
        <v/>
      </c>
      <c r="AQ736" s="3">
        <f>IF(AND(G736&lt;&gt;"",'Historical Score'!$C$6&lt;&gt;""),IF(G736='Historical Score'!$C$6,1,0),0)</f>
        <v/>
      </c>
      <c r="AR736" s="3">
        <f>IF(AND(L736&lt;&gt;"",'Historical Score'!$C$5&lt;&gt;""),IF(L736='Historical Score'!$C$5,1,0),0)</f>
        <v/>
      </c>
      <c r="AS736" s="3">
        <f>IF(AND(Y736&lt;&gt;"",'Historical Score'!$C$7&lt;&gt;""),IF(Y736='Historical Score'!$C$7,1,0),0)</f>
        <v/>
      </c>
      <c r="AT736" s="3">
        <f>IF(AND(K736&lt;&gt;"",'Historical Score'!$C$8&lt;&gt;""),IF(K736='Historical Score'!$C$8,1,0),0)</f>
        <v/>
      </c>
      <c r="AU736" s="3" t="n"/>
      <c r="AV736" s="3" t="n"/>
      <c r="AW736" s="3" t="n"/>
      <c r="AX736" s="3" t="n"/>
      <c r="AY736" s="3" t="n"/>
      <c r="AZ736" s="3" t="n"/>
      <c r="BA736" s="182">
        <f>IF(AD736=1,(AR736*'Historical Score'!$K$29+1-'Historical Score'!$K$29)*(AT736*'Historical Score'!$L$29+1-'Historical Score'!$L$29)*(AS736*'Historical Score'!$M$29+1-'Historical Score'!$M$29)*(AQ736*'Historical Score'!$N$29+1-'Historical Score'!$N$29),0)</f>
        <v/>
      </c>
      <c r="BB736" s="3" t="n"/>
      <c r="BC736" s="3" t="n"/>
    </row>
    <row r="737" ht="15.75" customHeight="1" s="174">
      <c r="A737" s="3" t="inlineStr">
        <is>
          <t>5674180564</t>
        </is>
      </c>
      <c r="B737" s="3" t="inlineStr">
        <is>
          <t>ANIMAL MICROBIOME ANALYTICS</t>
        </is>
      </c>
      <c r="C737" s="3" t="inlineStr">
        <is>
          <t>Animal Microbiome Analytics, Inc.</t>
        </is>
      </c>
      <c r="D737" s="3" t="inlineStr">
        <is>
          <t>Open</t>
        </is>
      </c>
      <c r="E737" s="23" t="n">
        <v>46104</v>
      </c>
      <c r="F737" s="23" t="n">
        <v>46248</v>
      </c>
      <c r="G737" s="3" t="n">
        <v>2</v>
      </c>
      <c r="H737" s="3" t="inlineStr">
        <is>
          <t>2047</t>
        </is>
      </c>
      <c r="I737" s="3" t="inlineStr">
        <is>
          <t>20</t>
        </is>
      </c>
      <c r="J737" s="3" t="inlineStr">
        <is>
          <t>CA</t>
        </is>
      </c>
      <c r="K737" s="3" t="inlineStr">
        <is>
          <t>Fundwell</t>
        </is>
      </c>
      <c r="L737" s="3" t="inlineStr">
        <is>
          <t>New Deal</t>
        </is>
      </c>
      <c r="M737" s="3" t="n">
        <v>1.4</v>
      </c>
      <c r="N737" s="28" t="n">
        <v>300000</v>
      </c>
      <c r="O737" s="28" t="n">
        <v>39000</v>
      </c>
      <c r="P737" s="28" t="n">
        <v>420000</v>
      </c>
      <c r="Q737" s="28" t="n">
        <v>233313.2</v>
      </c>
      <c r="R737" s="28" t="n">
        <v>186686.8</v>
      </c>
      <c r="S737" s="42" t="n">
        <v>0.555507619047619</v>
      </c>
      <c r="T737" s="3" t="n">
        <v>36</v>
      </c>
      <c r="U737" s="3" t="n">
        <v>1</v>
      </c>
      <c r="V737" s="3" t="n">
        <v>1300604.97</v>
      </c>
      <c r="W737" s="42" t="n">
        <v>0.039</v>
      </c>
      <c r="X737" s="23" t="n">
        <v>42628</v>
      </c>
      <c r="Y737" s="3">
        <f>IF(I737="","No SIC",IFERROR(VLOOKUP(I737,Ref!$A$2:$B$65,2,FALSE()),"Unclassified"))</f>
        <v/>
      </c>
      <c r="Z737" s="3">
        <f>IF(T737="","",IF(T737&lt;12,"Daily","Weekly"))</f>
        <v/>
      </c>
      <c r="AA737" s="3">
        <f>IF(T737="",0,IF(T737&lt;12,T737*Controls!$B$13,T737*5))</f>
        <v/>
      </c>
      <c r="AB737" s="3">
        <f>IF(E737="",0,NETWORKDAYS(E737,Controls!$B$20,Ref!$K$2:$K$42))</f>
        <v/>
      </c>
      <c r="AC737" s="3">
        <f>IF(OR(AF737=1,AND(AA737&gt;0,AB737&gt;=Controls!$B$23*AA737)),1,0)</f>
        <v/>
      </c>
      <c r="AD737" s="3">
        <f>IF(AND(E737&lt;&gt;"",E737&gt;=Controls!$B$21,E737&lt;=Controls!$B$22),1,0)</f>
        <v/>
      </c>
      <c r="AE737" s="3">
        <f>IF(IFERROR(VLOOKUP(D737,Controls!$A$36:$E$46,2,FALSE()),"No")="Yes",1,0)</f>
        <v/>
      </c>
      <c r="AF737" s="3">
        <f>IF(IFERROR(VLOOKUP(D737,Controls!$A$36:$E$46,3,FALSE()),"No")="Yes",1,0)</f>
        <v/>
      </c>
      <c r="AG737" s="3">
        <f>IF(IFERROR(VLOOKUP(D737,Controls!$A$36:$E$46,4,FALSE()),"No")="Yes",1,0)</f>
        <v/>
      </c>
      <c r="AH737" s="3">
        <f>IF(IFERROR(VLOOKUP(D737,Controls!$A$36:$E$46,5,FALSE()),"No")="Yes",1,0)</f>
        <v/>
      </c>
      <c r="AI737" s="3">
        <f>IF(ISNUMBER(MATCH(D737,Controls!$A$36:$A$46,0)),1,0)</f>
        <v/>
      </c>
      <c r="AJ737" s="28">
        <f>Q737-N737</f>
        <v/>
      </c>
      <c r="AK737" s="3">
        <f>IF(AE737=1,MAX(0,N737-Q737),0)</f>
        <v/>
      </c>
      <c r="AL737" s="3">
        <f>IF(OR(V737="",V737=0),0,N737/V737)</f>
        <v/>
      </c>
      <c r="AM737" s="3">
        <f>IF(OR(V737="",V737=0),0,1)</f>
        <v/>
      </c>
      <c r="AN737" s="3">
        <f>IF(OR(E737="",F737=""),0,NETWORKDAYS(E737,F737,Ref!$K$2:$K$42))</f>
        <v/>
      </c>
      <c r="AO737" s="3">
        <f>IF(L737="Renewal",1,0)</f>
        <v/>
      </c>
      <c r="AP737" s="3">
        <f>AC737*AD737</f>
        <v/>
      </c>
      <c r="AQ737" s="3">
        <f>IF(AND(G737&lt;&gt;"",'Historical Score'!$C$6&lt;&gt;""),IF(G737='Historical Score'!$C$6,1,0),0)</f>
        <v/>
      </c>
      <c r="AR737" s="3">
        <f>IF(AND(L737&lt;&gt;"",'Historical Score'!$C$5&lt;&gt;""),IF(L737='Historical Score'!$C$5,1,0),0)</f>
        <v/>
      </c>
      <c r="AS737" s="3">
        <f>IF(AND(Y737&lt;&gt;"",'Historical Score'!$C$7&lt;&gt;""),IF(Y737='Historical Score'!$C$7,1,0),0)</f>
        <v/>
      </c>
      <c r="AT737" s="3">
        <f>IF(AND(K737&lt;&gt;"",'Historical Score'!$C$8&lt;&gt;""),IF(K737='Historical Score'!$C$8,1,0),0)</f>
        <v/>
      </c>
      <c r="AU737" s="3" t="n"/>
      <c r="AV737" s="3" t="n"/>
      <c r="AW737" s="3" t="n"/>
      <c r="AX737" s="3" t="n"/>
      <c r="AY737" s="3" t="n"/>
      <c r="AZ737" s="3" t="n"/>
      <c r="BA737" s="182">
        <f>IF(AD737=1,(AR737*'Historical Score'!$K$29+1-'Historical Score'!$K$29)*(AT737*'Historical Score'!$L$29+1-'Historical Score'!$L$29)*(AS737*'Historical Score'!$M$29+1-'Historical Score'!$M$29)*(AQ737*'Historical Score'!$N$29+1-'Historical Score'!$N$29),0)</f>
        <v/>
      </c>
      <c r="BB737" s="3" t="n"/>
      <c r="BC737" s="3" t="n"/>
    </row>
    <row r="738" ht="15.75" customHeight="1" s="174">
      <c r="A738" s="3" t="inlineStr">
        <is>
          <t>5674180572</t>
        </is>
      </c>
      <c r="B738" s="3" t="inlineStr">
        <is>
          <t>Virtuous Vices LLC</t>
        </is>
      </c>
      <c r="C738" s="3" t="inlineStr">
        <is>
          <t>Virtuous Vices LLC</t>
        </is>
      </c>
      <c r="D738" s="3" t="inlineStr">
        <is>
          <t>Legal</t>
        </is>
      </c>
      <c r="E738" s="23" t="n">
        <v>46104</v>
      </c>
      <c r="F738" s="23" t="n">
        <v>46181</v>
      </c>
      <c r="G738" s="3" t="n">
        <v>3</v>
      </c>
      <c r="H738" s="3" t="inlineStr">
        <is>
          <t>5999</t>
        </is>
      </c>
      <c r="I738" s="3" t="inlineStr">
        <is>
          <t>59</t>
        </is>
      </c>
      <c r="J738" s="3" t="inlineStr">
        <is>
          <t>CA</t>
        </is>
      </c>
      <c r="K738" s="3" t="inlineStr">
        <is>
          <t>Capital 1 Group LLC DBA Tier One Financing LLC</t>
        </is>
      </c>
      <c r="L738" s="3" t="inlineStr">
        <is>
          <t>New Deal</t>
        </is>
      </c>
      <c r="M738" s="3" t="n">
        <v>1.38</v>
      </c>
      <c r="N738" s="28" t="n">
        <v>15000</v>
      </c>
      <c r="O738" s="28" t="n">
        <v>1575</v>
      </c>
      <c r="P738" s="28" t="n">
        <v>20700</v>
      </c>
      <c r="Q738" s="28" t="n">
        <v>4924.52</v>
      </c>
      <c r="R738" s="28" t="n">
        <v>15775.48</v>
      </c>
      <c r="S738" s="42" t="n">
        <v>0.237899516908213</v>
      </c>
      <c r="T738" s="3" t="n">
        <v>3.279</v>
      </c>
      <c r="U738" s="3" t="n">
        <v>25</v>
      </c>
      <c r="V738" s="3" t="n">
        <v>177014.65</v>
      </c>
      <c r="W738" s="42" t="n"/>
      <c r="X738" s="23" t="n">
        <v>42416</v>
      </c>
      <c r="Y738" s="3">
        <f>IF(I738="","No SIC",IFERROR(VLOOKUP(I738,Ref!$A$2:$B$65,2,FALSE()),"Unclassified"))</f>
        <v/>
      </c>
      <c r="Z738" s="3">
        <f>IF(T738="","",IF(T738&lt;12,"Daily","Weekly"))</f>
        <v/>
      </c>
      <c r="AA738" s="3">
        <f>IF(T738="",0,IF(T738&lt;12,T738*Controls!$B$13,T738*5))</f>
        <v/>
      </c>
      <c r="AB738" s="3">
        <f>IF(E738="",0,NETWORKDAYS(E738,Controls!$B$20,Ref!$K$2:$K$42))</f>
        <v/>
      </c>
      <c r="AC738" s="3">
        <f>IF(OR(AF738=1,AND(AA738&gt;0,AB738&gt;=Controls!$B$23*AA738)),1,0)</f>
        <v/>
      </c>
      <c r="AD738" s="3">
        <f>IF(AND(E738&lt;&gt;"",E738&gt;=Controls!$B$21,E738&lt;=Controls!$B$22),1,0)</f>
        <v/>
      </c>
      <c r="AE738" s="3">
        <f>IF(IFERROR(VLOOKUP(D738,Controls!$A$36:$E$46,2,FALSE()),"No")="Yes",1,0)</f>
        <v/>
      </c>
      <c r="AF738" s="3">
        <f>IF(IFERROR(VLOOKUP(D738,Controls!$A$36:$E$46,3,FALSE()),"No")="Yes",1,0)</f>
        <v/>
      </c>
      <c r="AG738" s="3">
        <f>IF(IFERROR(VLOOKUP(D738,Controls!$A$36:$E$46,4,FALSE()),"No")="Yes",1,0)</f>
        <v/>
      </c>
      <c r="AH738" s="3">
        <f>IF(IFERROR(VLOOKUP(D738,Controls!$A$36:$E$46,5,FALSE()),"No")="Yes",1,0)</f>
        <v/>
      </c>
      <c r="AI738" s="3">
        <f>IF(ISNUMBER(MATCH(D738,Controls!$A$36:$A$46,0)),1,0)</f>
        <v/>
      </c>
      <c r="AJ738" s="28">
        <f>Q738-N738</f>
        <v/>
      </c>
      <c r="AK738" s="3">
        <f>IF(AE738=1,MAX(0,N738-Q738),0)</f>
        <v/>
      </c>
      <c r="AL738" s="3">
        <f>IF(OR(V738="",V738=0),0,N738/V738)</f>
        <v/>
      </c>
      <c r="AM738" s="3">
        <f>IF(OR(V738="",V738=0),0,1)</f>
        <v/>
      </c>
      <c r="AN738" s="3">
        <f>IF(OR(E738="",F738=""),0,NETWORKDAYS(E738,F738,Ref!$K$2:$K$42))</f>
        <v/>
      </c>
      <c r="AO738" s="3">
        <f>IF(L738="Renewal",1,0)</f>
        <v/>
      </c>
      <c r="AP738" s="3">
        <f>AC738*AD738</f>
        <v/>
      </c>
      <c r="AQ738" s="3">
        <f>IF(AND(G738&lt;&gt;"",'Historical Score'!$C$6&lt;&gt;""),IF(G738='Historical Score'!$C$6,1,0),0)</f>
        <v/>
      </c>
      <c r="AR738" s="3">
        <f>IF(AND(L738&lt;&gt;"",'Historical Score'!$C$5&lt;&gt;""),IF(L738='Historical Score'!$C$5,1,0),0)</f>
        <v/>
      </c>
      <c r="AS738" s="3">
        <f>IF(AND(Y738&lt;&gt;"",'Historical Score'!$C$7&lt;&gt;""),IF(Y738='Historical Score'!$C$7,1,0),0)</f>
        <v/>
      </c>
      <c r="AT738" s="3">
        <f>IF(AND(K738&lt;&gt;"",'Historical Score'!$C$8&lt;&gt;""),IF(K738='Historical Score'!$C$8,1,0),0)</f>
        <v/>
      </c>
      <c r="AU738" s="3" t="n"/>
      <c r="AV738" s="3" t="n"/>
      <c r="AW738" s="3" t="n"/>
      <c r="AX738" s="3" t="n"/>
      <c r="AY738" s="3" t="n"/>
      <c r="AZ738" s="3" t="n"/>
      <c r="BA738" s="182">
        <f>IF(AD738=1,(AR738*'Historical Score'!$K$29+1-'Historical Score'!$K$29)*(AT738*'Historical Score'!$L$29+1-'Historical Score'!$L$29)*(AS738*'Historical Score'!$M$29+1-'Historical Score'!$M$29)*(AQ738*'Historical Score'!$N$29+1-'Historical Score'!$N$29),0)</f>
        <v/>
      </c>
      <c r="BB738" s="3" t="n"/>
      <c r="BC738" s="3" t="n"/>
    </row>
    <row r="739" ht="15.75" customHeight="1" s="174">
      <c r="A739" s="3" t="inlineStr">
        <is>
          <t>5674180590</t>
        </is>
      </c>
      <c r="B739" s="3" t="inlineStr">
        <is>
          <t>TTC EVENTS</t>
        </is>
      </c>
      <c r="C739" s="3" t="inlineStr">
        <is>
          <t>THAT TEXAS CREW LLC</t>
        </is>
      </c>
      <c r="D739" s="3" t="inlineStr">
        <is>
          <t>Closed</t>
        </is>
      </c>
      <c r="E739" s="23" t="n">
        <v>46104</v>
      </c>
      <c r="F739" s="23" t="n">
        <v>46140</v>
      </c>
      <c r="G739" s="3" t="n">
        <v>1</v>
      </c>
      <c r="H739" s="3" t="inlineStr">
        <is>
          <t>7991</t>
        </is>
      </c>
      <c r="I739" s="3" t="inlineStr">
        <is>
          <t>79</t>
        </is>
      </c>
      <c r="J739" s="3" t="inlineStr">
        <is>
          <t>TX</t>
        </is>
      </c>
      <c r="K739" s="3" t="inlineStr">
        <is>
          <t>Lemonaid</t>
        </is>
      </c>
      <c r="L739" s="3" t="inlineStr">
        <is>
          <t>New Deal</t>
        </is>
      </c>
      <c r="M739" s="3" t="n">
        <v>1.3899888</v>
      </c>
      <c r="N739" s="28" t="n">
        <v>50000</v>
      </c>
      <c r="O739" s="28" t="n">
        <v>7000</v>
      </c>
      <c r="P739" s="28" t="n">
        <v>69499.44</v>
      </c>
      <c r="Q739" s="28" t="n">
        <v>69499.44</v>
      </c>
      <c r="R739" s="28" t="n">
        <v>0</v>
      </c>
      <c r="S739" s="42" t="n">
        <v>1</v>
      </c>
      <c r="T739" s="3" t="n">
        <v>35</v>
      </c>
      <c r="U739" s="3" t="n">
        <v>0</v>
      </c>
      <c r="V739" s="3" t="n">
        <v>56029.2</v>
      </c>
      <c r="W739" s="42" t="n">
        <v>0.152</v>
      </c>
      <c r="X739" s="23" t="n">
        <v>45444</v>
      </c>
      <c r="Y739" s="3">
        <f>IF(I739="","No SIC",IFERROR(VLOOKUP(I739,Ref!$A$2:$B$65,2,FALSE()),"Unclassified"))</f>
        <v/>
      </c>
      <c r="Z739" s="3">
        <f>IF(T739="","",IF(T739&lt;12,"Daily","Weekly"))</f>
        <v/>
      </c>
      <c r="AA739" s="3">
        <f>IF(T739="",0,IF(T739&lt;12,T739*Controls!$B$13,T739*5))</f>
        <v/>
      </c>
      <c r="AB739" s="3">
        <f>IF(E739="",0,NETWORKDAYS(E739,Controls!$B$20,Ref!$K$2:$K$42))</f>
        <v/>
      </c>
      <c r="AC739" s="3">
        <f>IF(OR(AF739=1,AND(AA739&gt;0,AB739&gt;=Controls!$B$23*AA739)),1,0)</f>
        <v/>
      </c>
      <c r="AD739" s="3">
        <f>IF(AND(E739&lt;&gt;"",E739&gt;=Controls!$B$21,E739&lt;=Controls!$B$22),1,0)</f>
        <v/>
      </c>
      <c r="AE739" s="3">
        <f>IF(IFERROR(VLOOKUP(D739,Controls!$A$36:$E$46,2,FALSE()),"No")="Yes",1,0)</f>
        <v/>
      </c>
      <c r="AF739" s="3">
        <f>IF(IFERROR(VLOOKUP(D739,Controls!$A$36:$E$46,3,FALSE()),"No")="Yes",1,0)</f>
        <v/>
      </c>
      <c r="AG739" s="3">
        <f>IF(IFERROR(VLOOKUP(D739,Controls!$A$36:$E$46,4,FALSE()),"No")="Yes",1,0)</f>
        <v/>
      </c>
      <c r="AH739" s="3">
        <f>IF(IFERROR(VLOOKUP(D739,Controls!$A$36:$E$46,5,FALSE()),"No")="Yes",1,0)</f>
        <v/>
      </c>
      <c r="AI739" s="3">
        <f>IF(ISNUMBER(MATCH(D739,Controls!$A$36:$A$46,0)),1,0)</f>
        <v/>
      </c>
      <c r="AJ739" s="28">
        <f>Q739-N739</f>
        <v/>
      </c>
      <c r="AK739" s="3">
        <f>IF(AE739=1,MAX(0,N739-Q739),0)</f>
        <v/>
      </c>
      <c r="AL739" s="3">
        <f>IF(OR(V739="",V739=0),0,N739/V739)</f>
        <v/>
      </c>
      <c r="AM739" s="3">
        <f>IF(OR(V739="",V739=0),0,1)</f>
        <v/>
      </c>
      <c r="AN739" s="3">
        <f>IF(OR(E739="",F739=""),0,NETWORKDAYS(E739,F739,Ref!$K$2:$K$42))</f>
        <v/>
      </c>
      <c r="AO739" s="3">
        <f>IF(L739="Renewal",1,0)</f>
        <v/>
      </c>
      <c r="AP739" s="3">
        <f>AC739*AD739</f>
        <v/>
      </c>
      <c r="AQ739" s="3">
        <f>IF(AND(G739&lt;&gt;"",'Historical Score'!$C$6&lt;&gt;""),IF(G739='Historical Score'!$C$6,1,0),0)</f>
        <v/>
      </c>
      <c r="AR739" s="3">
        <f>IF(AND(L739&lt;&gt;"",'Historical Score'!$C$5&lt;&gt;""),IF(L739='Historical Score'!$C$5,1,0),0)</f>
        <v/>
      </c>
      <c r="AS739" s="3">
        <f>IF(AND(Y739&lt;&gt;"",'Historical Score'!$C$7&lt;&gt;""),IF(Y739='Historical Score'!$C$7,1,0),0)</f>
        <v/>
      </c>
      <c r="AT739" s="3">
        <f>IF(AND(K739&lt;&gt;"",'Historical Score'!$C$8&lt;&gt;""),IF(K739='Historical Score'!$C$8,1,0),0)</f>
        <v/>
      </c>
      <c r="AU739" s="3" t="n"/>
      <c r="AV739" s="3" t="n"/>
      <c r="AW739" s="3" t="n"/>
      <c r="AX739" s="3" t="n"/>
      <c r="AY739" s="3" t="n"/>
      <c r="AZ739" s="3" t="n"/>
      <c r="BA739" s="182">
        <f>IF(AD739=1,(AR739*'Historical Score'!$K$29+1-'Historical Score'!$K$29)*(AT739*'Historical Score'!$L$29+1-'Historical Score'!$L$29)*(AS739*'Historical Score'!$M$29+1-'Historical Score'!$M$29)*(AQ739*'Historical Score'!$N$29+1-'Historical Score'!$N$29),0)</f>
        <v/>
      </c>
      <c r="BB739" s="3" t="n"/>
      <c r="BC739" s="3" t="n"/>
    </row>
    <row r="740" ht="15.75" customHeight="1" s="174">
      <c r="A740" s="3" t="inlineStr">
        <is>
          <t>5674180677</t>
        </is>
      </c>
      <c r="B740" s="3" t="inlineStr">
        <is>
          <t>BLACKSTACK SECURITY DBA AARON EDWARD BLACK SOLE MBR</t>
        </is>
      </c>
      <c r="C740" s="3" t="inlineStr">
        <is>
          <t>BLACKSTACK SECURITY SERVICES LLC</t>
        </is>
      </c>
      <c r="D740" s="3" t="inlineStr">
        <is>
          <t>Closed</t>
        </is>
      </c>
      <c r="E740" s="23" t="n">
        <v>46105</v>
      </c>
      <c r="F740" s="23" t="n">
        <v>46133</v>
      </c>
      <c r="G740" s="3" t="n">
        <v>4</v>
      </c>
      <c r="H740" s="3" t="inlineStr">
        <is>
          <t>6231</t>
        </is>
      </c>
      <c r="I740" s="3" t="inlineStr">
        <is>
          <t>62</t>
        </is>
      </c>
      <c r="J740" s="3" t="inlineStr">
        <is>
          <t>MO</t>
        </is>
      </c>
      <c r="K740" s="3" t="inlineStr">
        <is>
          <t>J Capital Solutions</t>
        </is>
      </c>
      <c r="L740" s="3" t="inlineStr">
        <is>
          <t>New Deal</t>
        </is>
      </c>
      <c r="M740" s="3" t="n">
        <v>1.44556942</v>
      </c>
      <c r="N740" s="28" t="n">
        <v>120000</v>
      </c>
      <c r="O740" s="28" t="n">
        <v>16800</v>
      </c>
      <c r="P740" s="28" t="n">
        <v>173468.3304</v>
      </c>
      <c r="Q740" s="28" t="n">
        <v>173468.33</v>
      </c>
      <c r="R740" s="28" t="n">
        <v>0.000400000018998981</v>
      </c>
      <c r="S740" s="42" t="n">
        <v>0.999999997694104</v>
      </c>
      <c r="T740" s="3" t="n">
        <v>32</v>
      </c>
      <c r="U740" s="3" t="n">
        <v>0</v>
      </c>
      <c r="V740" s="3" t="n">
        <v>137728.39</v>
      </c>
      <c r="W740" s="42" t="n">
        <v>0.1623</v>
      </c>
      <c r="X740" s="23" t="n">
        <v>45117</v>
      </c>
      <c r="Y740" s="3">
        <f>IF(I740="","No SIC",IFERROR(VLOOKUP(I740,Ref!$A$2:$B$65,2,FALSE()),"Unclassified"))</f>
        <v/>
      </c>
      <c r="Z740" s="3">
        <f>IF(T740="","",IF(T740&lt;12,"Daily","Weekly"))</f>
        <v/>
      </c>
      <c r="AA740" s="3">
        <f>IF(T740="",0,IF(T740&lt;12,T740*Controls!$B$13,T740*5))</f>
        <v/>
      </c>
      <c r="AB740" s="3">
        <f>IF(E740="",0,NETWORKDAYS(E740,Controls!$B$20,Ref!$K$2:$K$42))</f>
        <v/>
      </c>
      <c r="AC740" s="3">
        <f>IF(OR(AF740=1,AND(AA740&gt;0,AB740&gt;=Controls!$B$23*AA740)),1,0)</f>
        <v/>
      </c>
      <c r="AD740" s="3">
        <f>IF(AND(E740&lt;&gt;"",E740&gt;=Controls!$B$21,E740&lt;=Controls!$B$22),1,0)</f>
        <v/>
      </c>
      <c r="AE740" s="3">
        <f>IF(IFERROR(VLOOKUP(D740,Controls!$A$36:$E$46,2,FALSE()),"No")="Yes",1,0)</f>
        <v/>
      </c>
      <c r="AF740" s="3">
        <f>IF(IFERROR(VLOOKUP(D740,Controls!$A$36:$E$46,3,FALSE()),"No")="Yes",1,0)</f>
        <v/>
      </c>
      <c r="AG740" s="3">
        <f>IF(IFERROR(VLOOKUP(D740,Controls!$A$36:$E$46,4,FALSE()),"No")="Yes",1,0)</f>
        <v/>
      </c>
      <c r="AH740" s="3">
        <f>IF(IFERROR(VLOOKUP(D740,Controls!$A$36:$E$46,5,FALSE()),"No")="Yes",1,0)</f>
        <v/>
      </c>
      <c r="AI740" s="3">
        <f>IF(ISNUMBER(MATCH(D740,Controls!$A$36:$A$46,0)),1,0)</f>
        <v/>
      </c>
      <c r="AJ740" s="28">
        <f>Q740-N740</f>
        <v/>
      </c>
      <c r="AK740" s="3">
        <f>IF(AE740=1,MAX(0,N740-Q740),0)</f>
        <v/>
      </c>
      <c r="AL740" s="3">
        <f>IF(OR(V740="",V740=0),0,N740/V740)</f>
        <v/>
      </c>
      <c r="AM740" s="3">
        <f>IF(OR(V740="",V740=0),0,1)</f>
        <v/>
      </c>
      <c r="AN740" s="3">
        <f>IF(OR(E740="",F740=""),0,NETWORKDAYS(E740,F740,Ref!$K$2:$K$42))</f>
        <v/>
      </c>
      <c r="AO740" s="3">
        <f>IF(L740="Renewal",1,0)</f>
        <v/>
      </c>
      <c r="AP740" s="3">
        <f>AC740*AD740</f>
        <v/>
      </c>
      <c r="AQ740" s="3">
        <f>IF(AND(G740&lt;&gt;"",'Historical Score'!$C$6&lt;&gt;""),IF(G740='Historical Score'!$C$6,1,0),0)</f>
        <v/>
      </c>
      <c r="AR740" s="3">
        <f>IF(AND(L740&lt;&gt;"",'Historical Score'!$C$5&lt;&gt;""),IF(L740='Historical Score'!$C$5,1,0),0)</f>
        <v/>
      </c>
      <c r="AS740" s="3">
        <f>IF(AND(Y740&lt;&gt;"",'Historical Score'!$C$7&lt;&gt;""),IF(Y740='Historical Score'!$C$7,1,0),0)</f>
        <v/>
      </c>
      <c r="AT740" s="3">
        <f>IF(AND(K740&lt;&gt;"",'Historical Score'!$C$8&lt;&gt;""),IF(K740='Historical Score'!$C$8,1,0),0)</f>
        <v/>
      </c>
      <c r="AU740" s="3" t="n"/>
      <c r="AV740" s="3" t="n"/>
      <c r="AW740" s="3" t="n"/>
      <c r="AX740" s="3" t="n"/>
      <c r="AY740" s="3" t="n"/>
      <c r="AZ740" s="3" t="n"/>
      <c r="BA740" s="182">
        <f>IF(AD740=1,(AR740*'Historical Score'!$K$29+1-'Historical Score'!$K$29)*(AT740*'Historical Score'!$L$29+1-'Historical Score'!$L$29)*(AS740*'Historical Score'!$M$29+1-'Historical Score'!$M$29)*(AQ740*'Historical Score'!$N$29+1-'Historical Score'!$N$29),0)</f>
        <v/>
      </c>
      <c r="BB740" s="3" t="n"/>
      <c r="BC740" s="3" t="n"/>
    </row>
    <row r="741" ht="15.75" customHeight="1" s="174">
      <c r="A741" s="3" t="inlineStr">
        <is>
          <t>5674180689</t>
        </is>
      </c>
      <c r="B741" s="3" t="inlineStr">
        <is>
          <t>WO-BO FARMS</t>
        </is>
      </c>
      <c r="C741" s="3" t="inlineStr">
        <is>
          <t>DAVID R WOLFINGER</t>
        </is>
      </c>
      <c r="D741" s="3" t="inlineStr">
        <is>
          <t>Closed</t>
        </is>
      </c>
      <c r="E741" s="23" t="n">
        <v>46105</v>
      </c>
      <c r="F741" s="23" t="n">
        <v>46237</v>
      </c>
      <c r="G741" s="3" t="n">
        <v>3</v>
      </c>
      <c r="H741" s="3" t="inlineStr">
        <is>
          <t>5999</t>
        </is>
      </c>
      <c r="I741" s="3" t="inlineStr">
        <is>
          <t>59</t>
        </is>
      </c>
      <c r="J741" s="3" t="inlineStr">
        <is>
          <t>PA</t>
        </is>
      </c>
      <c r="K741" s="3" t="inlineStr">
        <is>
          <t>Ballicci</t>
        </is>
      </c>
      <c r="L741" s="3" t="inlineStr">
        <is>
          <t>New Deal</t>
        </is>
      </c>
      <c r="M741" s="3" t="n">
        <v>1.48</v>
      </c>
      <c r="N741" s="28" t="n">
        <v>15000</v>
      </c>
      <c r="O741" s="28" t="n">
        <v>2175</v>
      </c>
      <c r="P741" s="28" t="n">
        <v>22200</v>
      </c>
      <c r="Q741" s="28" t="n">
        <v>22200</v>
      </c>
      <c r="R741" s="28" t="n">
        <v>0</v>
      </c>
      <c r="S741" s="42" t="n">
        <v>1</v>
      </c>
      <c r="T741" s="3" t="n">
        <v>24</v>
      </c>
      <c r="U741" s="3" t="n">
        <v>0</v>
      </c>
      <c r="V741" s="3" t="n">
        <v>34518.42</v>
      </c>
      <c r="W741" s="42" t="n">
        <v>0.1072</v>
      </c>
      <c r="X741" s="23" t="n">
        <v>28856</v>
      </c>
      <c r="Y741" s="3">
        <f>IF(I741="","No SIC",IFERROR(VLOOKUP(I741,Ref!$A$2:$B$65,2,FALSE()),"Unclassified"))</f>
        <v/>
      </c>
      <c r="Z741" s="3">
        <f>IF(T741="","",IF(T741&lt;12,"Daily","Weekly"))</f>
        <v/>
      </c>
      <c r="AA741" s="3">
        <f>IF(T741="",0,IF(T741&lt;12,T741*Controls!$B$13,T741*5))</f>
        <v/>
      </c>
      <c r="AB741" s="3">
        <f>IF(E741="",0,NETWORKDAYS(E741,Controls!$B$20,Ref!$K$2:$K$42))</f>
        <v/>
      </c>
      <c r="AC741" s="3">
        <f>IF(OR(AF741=1,AND(AA741&gt;0,AB741&gt;=Controls!$B$23*AA741)),1,0)</f>
        <v/>
      </c>
      <c r="AD741" s="3">
        <f>IF(AND(E741&lt;&gt;"",E741&gt;=Controls!$B$21,E741&lt;=Controls!$B$22),1,0)</f>
        <v/>
      </c>
      <c r="AE741" s="3">
        <f>IF(IFERROR(VLOOKUP(D741,Controls!$A$36:$E$46,2,FALSE()),"No")="Yes",1,0)</f>
        <v/>
      </c>
      <c r="AF741" s="3">
        <f>IF(IFERROR(VLOOKUP(D741,Controls!$A$36:$E$46,3,FALSE()),"No")="Yes",1,0)</f>
        <v/>
      </c>
      <c r="AG741" s="3">
        <f>IF(IFERROR(VLOOKUP(D741,Controls!$A$36:$E$46,4,FALSE()),"No")="Yes",1,0)</f>
        <v/>
      </c>
      <c r="AH741" s="3">
        <f>IF(IFERROR(VLOOKUP(D741,Controls!$A$36:$E$46,5,FALSE()),"No")="Yes",1,0)</f>
        <v/>
      </c>
      <c r="AI741" s="3">
        <f>IF(ISNUMBER(MATCH(D741,Controls!$A$36:$A$46,0)),1,0)</f>
        <v/>
      </c>
      <c r="AJ741" s="28">
        <f>Q741-N741</f>
        <v/>
      </c>
      <c r="AK741" s="3">
        <f>IF(AE741=1,MAX(0,N741-Q741),0)</f>
        <v/>
      </c>
      <c r="AL741" s="3">
        <f>IF(OR(V741="",V741=0),0,N741/V741)</f>
        <v/>
      </c>
      <c r="AM741" s="3">
        <f>IF(OR(V741="",V741=0),0,1)</f>
        <v/>
      </c>
      <c r="AN741" s="3">
        <f>IF(OR(E741="",F741=""),0,NETWORKDAYS(E741,F741,Ref!$K$2:$K$42))</f>
        <v/>
      </c>
      <c r="AO741" s="3">
        <f>IF(L741="Renewal",1,0)</f>
        <v/>
      </c>
      <c r="AP741" s="3">
        <f>AC741*AD741</f>
        <v/>
      </c>
      <c r="AQ741" s="3">
        <f>IF(AND(G741&lt;&gt;"",'Historical Score'!$C$6&lt;&gt;""),IF(G741='Historical Score'!$C$6,1,0),0)</f>
        <v/>
      </c>
      <c r="AR741" s="3">
        <f>IF(AND(L741&lt;&gt;"",'Historical Score'!$C$5&lt;&gt;""),IF(L741='Historical Score'!$C$5,1,0),0)</f>
        <v/>
      </c>
      <c r="AS741" s="3">
        <f>IF(AND(Y741&lt;&gt;"",'Historical Score'!$C$7&lt;&gt;""),IF(Y741='Historical Score'!$C$7,1,0),0)</f>
        <v/>
      </c>
      <c r="AT741" s="3">
        <f>IF(AND(K741&lt;&gt;"",'Historical Score'!$C$8&lt;&gt;""),IF(K741='Historical Score'!$C$8,1,0),0)</f>
        <v/>
      </c>
      <c r="AU741" s="3" t="n"/>
      <c r="AV741" s="3" t="n"/>
      <c r="AW741" s="3" t="n"/>
      <c r="AX741" s="3" t="n"/>
      <c r="AY741" s="3" t="n"/>
      <c r="AZ741" s="3" t="n"/>
      <c r="BA741" s="182">
        <f>IF(AD741=1,(AR741*'Historical Score'!$K$29+1-'Historical Score'!$K$29)*(AT741*'Historical Score'!$L$29+1-'Historical Score'!$L$29)*(AS741*'Historical Score'!$M$29+1-'Historical Score'!$M$29)*(AQ741*'Historical Score'!$N$29+1-'Historical Score'!$N$29),0)</f>
        <v/>
      </c>
      <c r="BB741" s="3" t="n"/>
      <c r="BC741" s="3" t="n"/>
    </row>
    <row r="742" ht="15.75" customHeight="1" s="174">
      <c r="A742" s="3" t="inlineStr">
        <is>
          <t>5674180710</t>
        </is>
      </c>
      <c r="B742" s="3" t="inlineStr">
        <is>
          <t>Green Living Freight</t>
        </is>
      </c>
      <c r="C742" s="3" t="inlineStr">
        <is>
          <t>The Green Living Freight Inc.</t>
        </is>
      </c>
      <c r="D742" s="3" t="inlineStr">
        <is>
          <t>In House Collection</t>
        </is>
      </c>
      <c r="E742" s="23" t="n">
        <v>46105</v>
      </c>
      <c r="F742" s="23" t="n">
        <v>46253</v>
      </c>
      <c r="G742" s="3" t="n">
        <v>3</v>
      </c>
      <c r="H742" s="3" t="inlineStr">
        <is>
          <t>4213</t>
        </is>
      </c>
      <c r="I742" s="3" t="inlineStr">
        <is>
          <t>42</t>
        </is>
      </c>
      <c r="J742" s="3" t="inlineStr">
        <is>
          <t>IL</t>
        </is>
      </c>
      <c r="K742" s="3" t="inlineStr">
        <is>
          <t>Fundible</t>
        </is>
      </c>
      <c r="L742" s="3" t="inlineStr">
        <is>
          <t>New Deal</t>
        </is>
      </c>
      <c r="M742" s="3" t="n">
        <v>1.4525</v>
      </c>
      <c r="N742" s="28" t="n">
        <v>40000</v>
      </c>
      <c r="O742" s="28" t="n">
        <v>0</v>
      </c>
      <c r="P742" s="28" t="n">
        <v>58100</v>
      </c>
      <c r="Q742" s="28" t="n">
        <v>24751.65</v>
      </c>
      <c r="R742" s="28" t="n">
        <v>33348.35</v>
      </c>
      <c r="S742" s="42" t="n">
        <v>0.426018072289157</v>
      </c>
      <c r="T742" s="3" t="n">
        <v>24</v>
      </c>
      <c r="U742" s="3" t="n">
        <v>1</v>
      </c>
      <c r="V742" s="3" t="n">
        <v>189983.54</v>
      </c>
      <c r="W742" s="42" t="n">
        <v>0.0488</v>
      </c>
      <c r="X742" s="23" t="n">
        <v>39521</v>
      </c>
      <c r="Y742" s="3">
        <f>IF(I742="","No SIC",IFERROR(VLOOKUP(I742,Ref!$A$2:$B$65,2,FALSE()),"Unclassified"))</f>
        <v/>
      </c>
      <c r="Z742" s="3">
        <f>IF(T742="","",IF(T742&lt;12,"Daily","Weekly"))</f>
        <v/>
      </c>
      <c r="AA742" s="3">
        <f>IF(T742="",0,IF(T742&lt;12,T742*Controls!$B$13,T742*5))</f>
        <v/>
      </c>
      <c r="AB742" s="3">
        <f>IF(E742="",0,NETWORKDAYS(E742,Controls!$B$20,Ref!$K$2:$K$42))</f>
        <v/>
      </c>
      <c r="AC742" s="3">
        <f>IF(OR(AF742=1,AND(AA742&gt;0,AB742&gt;=Controls!$B$23*AA742)),1,0)</f>
        <v/>
      </c>
      <c r="AD742" s="3">
        <f>IF(AND(E742&lt;&gt;"",E742&gt;=Controls!$B$21,E742&lt;=Controls!$B$22),1,0)</f>
        <v/>
      </c>
      <c r="AE742" s="3">
        <f>IF(IFERROR(VLOOKUP(D742,Controls!$A$36:$E$46,2,FALSE()),"No")="Yes",1,0)</f>
        <v/>
      </c>
      <c r="AF742" s="3">
        <f>IF(IFERROR(VLOOKUP(D742,Controls!$A$36:$E$46,3,FALSE()),"No")="Yes",1,0)</f>
        <v/>
      </c>
      <c r="AG742" s="3">
        <f>IF(IFERROR(VLOOKUP(D742,Controls!$A$36:$E$46,4,FALSE()),"No")="Yes",1,0)</f>
        <v/>
      </c>
      <c r="AH742" s="3">
        <f>IF(IFERROR(VLOOKUP(D742,Controls!$A$36:$E$46,5,FALSE()),"No")="Yes",1,0)</f>
        <v/>
      </c>
      <c r="AI742" s="3">
        <f>IF(ISNUMBER(MATCH(D742,Controls!$A$36:$A$46,0)),1,0)</f>
        <v/>
      </c>
      <c r="AJ742" s="28">
        <f>Q742-N742</f>
        <v/>
      </c>
      <c r="AK742" s="3">
        <f>IF(AE742=1,MAX(0,N742-Q742),0)</f>
        <v/>
      </c>
      <c r="AL742" s="3">
        <f>IF(OR(V742="",V742=0),0,N742/V742)</f>
        <v/>
      </c>
      <c r="AM742" s="3">
        <f>IF(OR(V742="",V742=0),0,1)</f>
        <v/>
      </c>
      <c r="AN742" s="3">
        <f>IF(OR(E742="",F742=""),0,NETWORKDAYS(E742,F742,Ref!$K$2:$K$42))</f>
        <v/>
      </c>
      <c r="AO742" s="3">
        <f>IF(L742="Renewal",1,0)</f>
        <v/>
      </c>
      <c r="AP742" s="3">
        <f>AC742*AD742</f>
        <v/>
      </c>
      <c r="AQ742" s="3">
        <f>IF(AND(G742&lt;&gt;"",'Historical Score'!$C$6&lt;&gt;""),IF(G742='Historical Score'!$C$6,1,0),0)</f>
        <v/>
      </c>
      <c r="AR742" s="3">
        <f>IF(AND(L742&lt;&gt;"",'Historical Score'!$C$5&lt;&gt;""),IF(L742='Historical Score'!$C$5,1,0),0)</f>
        <v/>
      </c>
      <c r="AS742" s="3">
        <f>IF(AND(Y742&lt;&gt;"",'Historical Score'!$C$7&lt;&gt;""),IF(Y742='Historical Score'!$C$7,1,0),0)</f>
        <v/>
      </c>
      <c r="AT742" s="3">
        <f>IF(AND(K742&lt;&gt;"",'Historical Score'!$C$8&lt;&gt;""),IF(K742='Historical Score'!$C$8,1,0),0)</f>
        <v/>
      </c>
      <c r="AU742" s="3" t="n"/>
      <c r="AV742" s="3" t="n"/>
      <c r="AW742" s="3" t="n"/>
      <c r="AX742" s="3" t="n"/>
      <c r="AY742" s="3" t="n"/>
      <c r="AZ742" s="3" t="n"/>
      <c r="BA742" s="182">
        <f>IF(AD742=1,(AR742*'Historical Score'!$K$29+1-'Historical Score'!$K$29)*(AT742*'Historical Score'!$L$29+1-'Historical Score'!$L$29)*(AS742*'Historical Score'!$M$29+1-'Historical Score'!$M$29)*(AQ742*'Historical Score'!$N$29+1-'Historical Score'!$N$29),0)</f>
        <v/>
      </c>
      <c r="BB742" s="3" t="n"/>
      <c r="BC742" s="3" t="n"/>
    </row>
    <row r="743" ht="15.75" customHeight="1" s="174">
      <c r="A743" s="3" t="inlineStr">
        <is>
          <t>5674180777</t>
        </is>
      </c>
      <c r="B743" s="3" t="inlineStr">
        <is>
          <t>BLULEO TRANSPORT LLC</t>
        </is>
      </c>
      <c r="C743" s="3" t="inlineStr">
        <is>
          <t>BLULEO TRANSPORT LLC</t>
        </is>
      </c>
      <c r="D743" s="3" t="inlineStr">
        <is>
          <t>Closed</t>
        </is>
      </c>
      <c r="E743" s="23" t="n">
        <v>46106</v>
      </c>
      <c r="F743" s="23" t="n">
        <v>46216</v>
      </c>
      <c r="G743" s="3" t="n">
        <v>3</v>
      </c>
      <c r="H743" s="3" t="inlineStr">
        <is>
          <t>4212</t>
        </is>
      </c>
      <c r="I743" s="3" t="inlineStr">
        <is>
          <t>42</t>
        </is>
      </c>
      <c r="J743" s="3" t="inlineStr">
        <is>
          <t>TX</t>
        </is>
      </c>
      <c r="K743" s="3" t="inlineStr">
        <is>
          <t>United Secured Capital 8</t>
        </is>
      </c>
      <c r="L743" s="3" t="inlineStr">
        <is>
          <t>New Deal</t>
        </is>
      </c>
      <c r="M743" s="3" t="n">
        <v>1.49</v>
      </c>
      <c r="N743" s="28" t="n">
        <v>10000</v>
      </c>
      <c r="O743" s="28" t="n">
        <v>1400</v>
      </c>
      <c r="P743" s="28" t="n">
        <v>14900</v>
      </c>
      <c r="Q743" s="28" t="n">
        <v>14900</v>
      </c>
      <c r="R743" s="28" t="n">
        <v>0</v>
      </c>
      <c r="S743" s="42" t="n">
        <v>1</v>
      </c>
      <c r="T743" s="3" t="n">
        <v>2.623</v>
      </c>
      <c r="U743" s="3" t="n">
        <v>0</v>
      </c>
      <c r="V743" s="3" t="n">
        <v>45946.75</v>
      </c>
      <c r="W743" s="42" t="n">
        <v>0.0851</v>
      </c>
      <c r="X743" s="23" t="n">
        <v>45185</v>
      </c>
      <c r="Y743" s="3">
        <f>IF(I743="","No SIC",IFERROR(VLOOKUP(I743,Ref!$A$2:$B$65,2,FALSE()),"Unclassified"))</f>
        <v/>
      </c>
      <c r="Z743" s="3">
        <f>IF(T743="","",IF(T743&lt;12,"Daily","Weekly"))</f>
        <v/>
      </c>
      <c r="AA743" s="3">
        <f>IF(T743="",0,IF(T743&lt;12,T743*Controls!$B$13,T743*5))</f>
        <v/>
      </c>
      <c r="AB743" s="3">
        <f>IF(E743="",0,NETWORKDAYS(E743,Controls!$B$20,Ref!$K$2:$K$42))</f>
        <v/>
      </c>
      <c r="AC743" s="3">
        <f>IF(OR(AF743=1,AND(AA743&gt;0,AB743&gt;=Controls!$B$23*AA743)),1,0)</f>
        <v/>
      </c>
      <c r="AD743" s="3">
        <f>IF(AND(E743&lt;&gt;"",E743&gt;=Controls!$B$21,E743&lt;=Controls!$B$22),1,0)</f>
        <v/>
      </c>
      <c r="AE743" s="3">
        <f>IF(IFERROR(VLOOKUP(D743,Controls!$A$36:$E$46,2,FALSE()),"No")="Yes",1,0)</f>
        <v/>
      </c>
      <c r="AF743" s="3">
        <f>IF(IFERROR(VLOOKUP(D743,Controls!$A$36:$E$46,3,FALSE()),"No")="Yes",1,0)</f>
        <v/>
      </c>
      <c r="AG743" s="3">
        <f>IF(IFERROR(VLOOKUP(D743,Controls!$A$36:$E$46,4,FALSE()),"No")="Yes",1,0)</f>
        <v/>
      </c>
      <c r="AH743" s="3">
        <f>IF(IFERROR(VLOOKUP(D743,Controls!$A$36:$E$46,5,FALSE()),"No")="Yes",1,0)</f>
        <v/>
      </c>
      <c r="AI743" s="3">
        <f>IF(ISNUMBER(MATCH(D743,Controls!$A$36:$A$46,0)),1,0)</f>
        <v/>
      </c>
      <c r="AJ743" s="28">
        <f>Q743-N743</f>
        <v/>
      </c>
      <c r="AK743" s="3">
        <f>IF(AE743=1,MAX(0,N743-Q743),0)</f>
        <v/>
      </c>
      <c r="AL743" s="3">
        <f>IF(OR(V743="",V743=0),0,N743/V743)</f>
        <v/>
      </c>
      <c r="AM743" s="3">
        <f>IF(OR(V743="",V743=0),0,1)</f>
        <v/>
      </c>
      <c r="AN743" s="3">
        <f>IF(OR(E743="",F743=""),0,NETWORKDAYS(E743,F743,Ref!$K$2:$K$42))</f>
        <v/>
      </c>
      <c r="AO743" s="3">
        <f>IF(L743="Renewal",1,0)</f>
        <v/>
      </c>
      <c r="AP743" s="3">
        <f>AC743*AD743</f>
        <v/>
      </c>
      <c r="AQ743" s="3">
        <f>IF(AND(G743&lt;&gt;"",'Historical Score'!$C$6&lt;&gt;""),IF(G743='Historical Score'!$C$6,1,0),0)</f>
        <v/>
      </c>
      <c r="AR743" s="3">
        <f>IF(AND(L743&lt;&gt;"",'Historical Score'!$C$5&lt;&gt;""),IF(L743='Historical Score'!$C$5,1,0),0)</f>
        <v/>
      </c>
      <c r="AS743" s="3">
        <f>IF(AND(Y743&lt;&gt;"",'Historical Score'!$C$7&lt;&gt;""),IF(Y743='Historical Score'!$C$7,1,0),0)</f>
        <v/>
      </c>
      <c r="AT743" s="3">
        <f>IF(AND(K743&lt;&gt;"",'Historical Score'!$C$8&lt;&gt;""),IF(K743='Historical Score'!$C$8,1,0),0)</f>
        <v/>
      </c>
      <c r="AU743" s="3" t="n"/>
      <c r="AV743" s="3" t="n"/>
      <c r="AW743" s="3" t="n"/>
      <c r="AX743" s="3" t="n"/>
      <c r="AY743" s="3" t="n"/>
      <c r="AZ743" s="3" t="n"/>
      <c r="BA743" s="182">
        <f>IF(AD743=1,(AR743*'Historical Score'!$K$29+1-'Historical Score'!$K$29)*(AT743*'Historical Score'!$L$29+1-'Historical Score'!$L$29)*(AS743*'Historical Score'!$M$29+1-'Historical Score'!$M$29)*(AQ743*'Historical Score'!$N$29+1-'Historical Score'!$N$29),0)</f>
        <v/>
      </c>
      <c r="BB743" s="3" t="n"/>
      <c r="BC743" s="3" t="n"/>
    </row>
    <row r="744" ht="15.75" customHeight="1" s="174">
      <c r="A744" s="3" t="inlineStr">
        <is>
          <t>5674180785</t>
        </is>
      </c>
      <c r="B744" s="3" t="inlineStr">
        <is>
          <t>NC Top Service LLC</t>
        </is>
      </c>
      <c r="C744" s="3" t="inlineStr">
        <is>
          <t>NC Top Service LLC</t>
        </is>
      </c>
      <c r="D744" s="3" t="inlineStr">
        <is>
          <t>Open</t>
        </is>
      </c>
      <c r="E744" s="23" t="n">
        <v>46106</v>
      </c>
      <c r="F744" s="23" t="n">
        <v>46241</v>
      </c>
      <c r="G744" s="3" t="n">
        <v>3</v>
      </c>
      <c r="H744" s="3" t="inlineStr">
        <is>
          <t>1799</t>
        </is>
      </c>
      <c r="I744" s="3" t="inlineStr">
        <is>
          <t>17</t>
        </is>
      </c>
      <c r="J744" s="3" t="inlineStr">
        <is>
          <t>NC</t>
        </is>
      </c>
      <c r="K744" s="3" t="inlineStr">
        <is>
          <t>United Secured Capital 8</t>
        </is>
      </c>
      <c r="L744" s="3" t="inlineStr">
        <is>
          <t>Renewal</t>
        </is>
      </c>
      <c r="M744" s="3" t="n">
        <v>1.42</v>
      </c>
      <c r="N744" s="28" t="n">
        <v>33000</v>
      </c>
      <c r="O744" s="28" t="n">
        <v>3465</v>
      </c>
      <c r="P744" s="28" t="n">
        <v>46860</v>
      </c>
      <c r="Q744" s="28" t="n">
        <v>19871.69</v>
      </c>
      <c r="R744" s="28" t="n">
        <v>26988.31</v>
      </c>
      <c r="S744" s="42" t="n">
        <v>0.424065087494665</v>
      </c>
      <c r="T744" s="3" t="n">
        <v>34</v>
      </c>
      <c r="U744" s="3" t="n">
        <v>2</v>
      </c>
      <c r="V744" s="3" t="n">
        <v>94340.63</v>
      </c>
      <c r="W744" s="42" t="n">
        <v>0.0584</v>
      </c>
      <c r="X744" s="23" t="n">
        <v>45679</v>
      </c>
      <c r="Y744" s="3">
        <f>IF(I744="","No SIC",IFERROR(VLOOKUP(I744,Ref!$A$2:$B$65,2,FALSE()),"Unclassified"))</f>
        <v/>
      </c>
      <c r="Z744" s="3">
        <f>IF(T744="","",IF(T744&lt;12,"Daily","Weekly"))</f>
        <v/>
      </c>
      <c r="AA744" s="3">
        <f>IF(T744="",0,IF(T744&lt;12,T744*Controls!$B$13,T744*5))</f>
        <v/>
      </c>
      <c r="AB744" s="3">
        <f>IF(E744="",0,NETWORKDAYS(E744,Controls!$B$20,Ref!$K$2:$K$42))</f>
        <v/>
      </c>
      <c r="AC744" s="3">
        <f>IF(OR(AF744=1,AND(AA744&gt;0,AB744&gt;=Controls!$B$23*AA744)),1,0)</f>
        <v/>
      </c>
      <c r="AD744" s="3">
        <f>IF(AND(E744&lt;&gt;"",E744&gt;=Controls!$B$21,E744&lt;=Controls!$B$22),1,0)</f>
        <v/>
      </c>
      <c r="AE744" s="3">
        <f>IF(IFERROR(VLOOKUP(D744,Controls!$A$36:$E$46,2,FALSE()),"No")="Yes",1,0)</f>
        <v/>
      </c>
      <c r="AF744" s="3">
        <f>IF(IFERROR(VLOOKUP(D744,Controls!$A$36:$E$46,3,FALSE()),"No")="Yes",1,0)</f>
        <v/>
      </c>
      <c r="AG744" s="3">
        <f>IF(IFERROR(VLOOKUP(D744,Controls!$A$36:$E$46,4,FALSE()),"No")="Yes",1,0)</f>
        <v/>
      </c>
      <c r="AH744" s="3">
        <f>IF(IFERROR(VLOOKUP(D744,Controls!$A$36:$E$46,5,FALSE()),"No")="Yes",1,0)</f>
        <v/>
      </c>
      <c r="AI744" s="3">
        <f>IF(ISNUMBER(MATCH(D744,Controls!$A$36:$A$46,0)),1,0)</f>
        <v/>
      </c>
      <c r="AJ744" s="28">
        <f>Q744-N744</f>
        <v/>
      </c>
      <c r="AK744" s="3">
        <f>IF(AE744=1,MAX(0,N744-Q744),0)</f>
        <v/>
      </c>
      <c r="AL744" s="3">
        <f>IF(OR(V744="",V744=0),0,N744/V744)</f>
        <v/>
      </c>
      <c r="AM744" s="3">
        <f>IF(OR(V744="",V744=0),0,1)</f>
        <v/>
      </c>
      <c r="AN744" s="3">
        <f>IF(OR(E744="",F744=""),0,NETWORKDAYS(E744,F744,Ref!$K$2:$K$42))</f>
        <v/>
      </c>
      <c r="AO744" s="3">
        <f>IF(L744="Renewal",1,0)</f>
        <v/>
      </c>
      <c r="AP744" s="3">
        <f>AC744*AD744</f>
        <v/>
      </c>
      <c r="AQ744" s="3">
        <f>IF(AND(G744&lt;&gt;"",'Historical Score'!$C$6&lt;&gt;""),IF(G744='Historical Score'!$C$6,1,0),0)</f>
        <v/>
      </c>
      <c r="AR744" s="3">
        <f>IF(AND(L744&lt;&gt;"",'Historical Score'!$C$5&lt;&gt;""),IF(L744='Historical Score'!$C$5,1,0),0)</f>
        <v/>
      </c>
      <c r="AS744" s="3">
        <f>IF(AND(Y744&lt;&gt;"",'Historical Score'!$C$7&lt;&gt;""),IF(Y744='Historical Score'!$C$7,1,0),0)</f>
        <v/>
      </c>
      <c r="AT744" s="3">
        <f>IF(AND(K744&lt;&gt;"",'Historical Score'!$C$8&lt;&gt;""),IF(K744='Historical Score'!$C$8,1,0),0)</f>
        <v/>
      </c>
      <c r="AU744" s="3" t="n"/>
      <c r="AV744" s="3" t="n"/>
      <c r="AW744" s="3" t="n"/>
      <c r="AX744" s="3" t="n"/>
      <c r="AY744" s="3" t="n"/>
      <c r="AZ744" s="3" t="n"/>
      <c r="BA744" s="182">
        <f>IF(AD744=1,(AR744*'Historical Score'!$K$29+1-'Historical Score'!$K$29)*(AT744*'Historical Score'!$L$29+1-'Historical Score'!$L$29)*(AS744*'Historical Score'!$M$29+1-'Historical Score'!$M$29)*(AQ744*'Historical Score'!$N$29+1-'Historical Score'!$N$29),0)</f>
        <v/>
      </c>
      <c r="BB744" s="3" t="n"/>
      <c r="BC744" s="3" t="n"/>
    </row>
    <row r="745" ht="15.75" customHeight="1" s="174">
      <c r="A745" s="3" t="inlineStr">
        <is>
          <t>5674180794</t>
        </is>
      </c>
      <c r="B745" s="3" t="inlineStr">
        <is>
          <t>EAGLE'S LOGISTIC AND DELIVERIES LLC</t>
        </is>
      </c>
      <c r="C745" s="3" t="inlineStr">
        <is>
          <t>EAGLE'S LOGISTIC AND DELIVERIES LLC</t>
        </is>
      </c>
      <c r="D745" s="3" t="inlineStr">
        <is>
          <t>Closed</t>
        </is>
      </c>
      <c r="E745" s="23" t="n">
        <v>46106</v>
      </c>
      <c r="F745" s="23" t="n">
        <v>46234</v>
      </c>
      <c r="G745" s="3" t="n">
        <v>3</v>
      </c>
      <c r="H745" s="3" t="inlineStr">
        <is>
          <t>4212</t>
        </is>
      </c>
      <c r="I745" s="3" t="inlineStr">
        <is>
          <t>42</t>
        </is>
      </c>
      <c r="J745" s="3" t="inlineStr">
        <is>
          <t>FL</t>
        </is>
      </c>
      <c r="K745" s="3" t="inlineStr">
        <is>
          <t>United Secured Capital 8</t>
        </is>
      </c>
      <c r="L745" s="3" t="inlineStr">
        <is>
          <t>New Deal</t>
        </is>
      </c>
      <c r="M745" s="3" t="n">
        <v>1.44</v>
      </c>
      <c r="N745" s="28" t="n">
        <v>35000</v>
      </c>
      <c r="O745" s="28" t="n">
        <v>4025</v>
      </c>
      <c r="P745" s="28" t="n">
        <v>50400</v>
      </c>
      <c r="Q745" s="28" t="n">
        <v>50400</v>
      </c>
      <c r="R745" s="28" t="n">
        <v>0</v>
      </c>
      <c r="S745" s="42" t="n">
        <v>1</v>
      </c>
      <c r="T745" s="3" t="n">
        <v>36</v>
      </c>
      <c r="U745" s="3" t="n">
        <v>1</v>
      </c>
      <c r="V745" s="3" t="n">
        <v>514264.29</v>
      </c>
      <c r="W745" s="42" t="n">
        <v>0.0109</v>
      </c>
      <c r="X745" s="23" t="n">
        <v>45524</v>
      </c>
      <c r="Y745" s="3">
        <f>IF(I745="","No SIC",IFERROR(VLOOKUP(I745,Ref!$A$2:$B$65,2,FALSE()),"Unclassified"))</f>
        <v/>
      </c>
      <c r="Z745" s="3">
        <f>IF(T745="","",IF(T745&lt;12,"Daily","Weekly"))</f>
        <v/>
      </c>
      <c r="AA745" s="3">
        <f>IF(T745="",0,IF(T745&lt;12,T745*Controls!$B$13,T745*5))</f>
        <v/>
      </c>
      <c r="AB745" s="3">
        <f>IF(E745="",0,NETWORKDAYS(E745,Controls!$B$20,Ref!$K$2:$K$42))</f>
        <v/>
      </c>
      <c r="AC745" s="3">
        <f>IF(OR(AF745=1,AND(AA745&gt;0,AB745&gt;=Controls!$B$23*AA745)),1,0)</f>
        <v/>
      </c>
      <c r="AD745" s="3">
        <f>IF(AND(E745&lt;&gt;"",E745&gt;=Controls!$B$21,E745&lt;=Controls!$B$22),1,0)</f>
        <v/>
      </c>
      <c r="AE745" s="3">
        <f>IF(IFERROR(VLOOKUP(D745,Controls!$A$36:$E$46,2,FALSE()),"No")="Yes",1,0)</f>
        <v/>
      </c>
      <c r="AF745" s="3">
        <f>IF(IFERROR(VLOOKUP(D745,Controls!$A$36:$E$46,3,FALSE()),"No")="Yes",1,0)</f>
        <v/>
      </c>
      <c r="AG745" s="3">
        <f>IF(IFERROR(VLOOKUP(D745,Controls!$A$36:$E$46,4,FALSE()),"No")="Yes",1,0)</f>
        <v/>
      </c>
      <c r="AH745" s="3">
        <f>IF(IFERROR(VLOOKUP(D745,Controls!$A$36:$E$46,5,FALSE()),"No")="Yes",1,0)</f>
        <v/>
      </c>
      <c r="AI745" s="3">
        <f>IF(ISNUMBER(MATCH(D745,Controls!$A$36:$A$46,0)),1,0)</f>
        <v/>
      </c>
      <c r="AJ745" s="28">
        <f>Q745-N745</f>
        <v/>
      </c>
      <c r="AK745" s="3">
        <f>IF(AE745=1,MAX(0,N745-Q745),0)</f>
        <v/>
      </c>
      <c r="AL745" s="3">
        <f>IF(OR(V745="",V745=0),0,N745/V745)</f>
        <v/>
      </c>
      <c r="AM745" s="3">
        <f>IF(OR(V745="",V745=0),0,1)</f>
        <v/>
      </c>
      <c r="AN745" s="3">
        <f>IF(OR(E745="",F745=""),0,NETWORKDAYS(E745,F745,Ref!$K$2:$K$42))</f>
        <v/>
      </c>
      <c r="AO745" s="3">
        <f>IF(L745="Renewal",1,0)</f>
        <v/>
      </c>
      <c r="AP745" s="3">
        <f>AC745*AD745</f>
        <v/>
      </c>
      <c r="AQ745" s="3">
        <f>IF(AND(G745&lt;&gt;"",'Historical Score'!$C$6&lt;&gt;""),IF(G745='Historical Score'!$C$6,1,0),0)</f>
        <v/>
      </c>
      <c r="AR745" s="3">
        <f>IF(AND(L745&lt;&gt;"",'Historical Score'!$C$5&lt;&gt;""),IF(L745='Historical Score'!$C$5,1,0),0)</f>
        <v/>
      </c>
      <c r="AS745" s="3">
        <f>IF(AND(Y745&lt;&gt;"",'Historical Score'!$C$7&lt;&gt;""),IF(Y745='Historical Score'!$C$7,1,0),0)</f>
        <v/>
      </c>
      <c r="AT745" s="3">
        <f>IF(AND(K745&lt;&gt;"",'Historical Score'!$C$8&lt;&gt;""),IF(K745='Historical Score'!$C$8,1,0),0)</f>
        <v/>
      </c>
      <c r="AU745" s="3" t="n"/>
      <c r="AV745" s="3" t="n"/>
      <c r="AW745" s="3" t="n"/>
      <c r="AX745" s="3" t="n"/>
      <c r="AY745" s="3" t="n"/>
      <c r="AZ745" s="3" t="n"/>
      <c r="BA745" s="182">
        <f>IF(AD745=1,(AR745*'Historical Score'!$K$29+1-'Historical Score'!$K$29)*(AT745*'Historical Score'!$L$29+1-'Historical Score'!$L$29)*(AS745*'Historical Score'!$M$29+1-'Historical Score'!$M$29)*(AQ745*'Historical Score'!$N$29+1-'Historical Score'!$N$29),0)</f>
        <v/>
      </c>
      <c r="BB745" s="3" t="n"/>
      <c r="BC745" s="3" t="n"/>
    </row>
    <row r="746" ht="15.75" customHeight="1" s="174">
      <c r="A746" s="3" t="inlineStr">
        <is>
          <t>5674180798</t>
        </is>
      </c>
      <c r="B746" s="3" t="inlineStr">
        <is>
          <t>WILLIE'S REPAIR SERVICE</t>
        </is>
      </c>
      <c r="C746" s="3" t="inlineStr">
        <is>
          <t>Willie's Repair Service LLC</t>
        </is>
      </c>
      <c r="D746" s="3" t="inlineStr">
        <is>
          <t>Closed</t>
        </is>
      </c>
      <c r="E746" s="23" t="n">
        <v>46106</v>
      </c>
      <c r="F746" s="23" t="n">
        <v>46176</v>
      </c>
      <c r="G746" s="3" t="n">
        <v>3</v>
      </c>
      <c r="H746" s="3" t="inlineStr">
        <is>
          <t>7538</t>
        </is>
      </c>
      <c r="I746" s="3" t="inlineStr">
        <is>
          <t>75</t>
        </is>
      </c>
      <c r="J746" s="3" t="inlineStr">
        <is>
          <t>VA</t>
        </is>
      </c>
      <c r="K746" s="3" t="inlineStr">
        <is>
          <t>ROYAL FUNDING GROUP</t>
        </is>
      </c>
      <c r="L746" s="3" t="inlineStr">
        <is>
          <t>Renewal</t>
        </is>
      </c>
      <c r="M746" s="3" t="n">
        <v>1.49</v>
      </c>
      <c r="N746" s="28" t="n">
        <v>17000</v>
      </c>
      <c r="O746" s="28" t="n">
        <v>2380</v>
      </c>
      <c r="P746" s="28" t="n">
        <v>25330</v>
      </c>
      <c r="Q746" s="28" t="n">
        <v>25330</v>
      </c>
      <c r="R746" s="28" t="n">
        <v>0</v>
      </c>
      <c r="S746" s="42" t="n">
        <v>1</v>
      </c>
      <c r="T746" s="3" t="n">
        <v>3.279</v>
      </c>
      <c r="U746" s="3" t="n">
        <v>0</v>
      </c>
      <c r="V746" s="3" t="n">
        <v>47264.79</v>
      </c>
      <c r="W746" s="42" t="n">
        <v>0.1456</v>
      </c>
      <c r="X746" s="23" t="n">
        <v>30767</v>
      </c>
      <c r="Y746" s="3">
        <f>IF(I746="","No SIC",IFERROR(VLOOKUP(I746,Ref!$A$2:$B$65,2,FALSE()),"Unclassified"))</f>
        <v/>
      </c>
      <c r="Z746" s="3">
        <f>IF(T746="","",IF(T746&lt;12,"Daily","Weekly"))</f>
        <v/>
      </c>
      <c r="AA746" s="3">
        <f>IF(T746="",0,IF(T746&lt;12,T746*Controls!$B$13,T746*5))</f>
        <v/>
      </c>
      <c r="AB746" s="3">
        <f>IF(E746="",0,NETWORKDAYS(E746,Controls!$B$20,Ref!$K$2:$K$42))</f>
        <v/>
      </c>
      <c r="AC746" s="3">
        <f>IF(OR(AF746=1,AND(AA746&gt;0,AB746&gt;=Controls!$B$23*AA746)),1,0)</f>
        <v/>
      </c>
      <c r="AD746" s="3">
        <f>IF(AND(E746&lt;&gt;"",E746&gt;=Controls!$B$21,E746&lt;=Controls!$B$22),1,0)</f>
        <v/>
      </c>
      <c r="AE746" s="3">
        <f>IF(IFERROR(VLOOKUP(D746,Controls!$A$36:$E$46,2,FALSE()),"No")="Yes",1,0)</f>
        <v/>
      </c>
      <c r="AF746" s="3">
        <f>IF(IFERROR(VLOOKUP(D746,Controls!$A$36:$E$46,3,FALSE()),"No")="Yes",1,0)</f>
        <v/>
      </c>
      <c r="AG746" s="3">
        <f>IF(IFERROR(VLOOKUP(D746,Controls!$A$36:$E$46,4,FALSE()),"No")="Yes",1,0)</f>
        <v/>
      </c>
      <c r="AH746" s="3">
        <f>IF(IFERROR(VLOOKUP(D746,Controls!$A$36:$E$46,5,FALSE()),"No")="Yes",1,0)</f>
        <v/>
      </c>
      <c r="AI746" s="3">
        <f>IF(ISNUMBER(MATCH(D746,Controls!$A$36:$A$46,0)),1,0)</f>
        <v/>
      </c>
      <c r="AJ746" s="28">
        <f>Q746-N746</f>
        <v/>
      </c>
      <c r="AK746" s="3">
        <f>IF(AE746=1,MAX(0,N746-Q746),0)</f>
        <v/>
      </c>
      <c r="AL746" s="3">
        <f>IF(OR(V746="",V746=0),0,N746/V746)</f>
        <v/>
      </c>
      <c r="AM746" s="3">
        <f>IF(OR(V746="",V746=0),0,1)</f>
        <v/>
      </c>
      <c r="AN746" s="3">
        <f>IF(OR(E746="",F746=""),0,NETWORKDAYS(E746,F746,Ref!$K$2:$K$42))</f>
        <v/>
      </c>
      <c r="AO746" s="3">
        <f>IF(L746="Renewal",1,0)</f>
        <v/>
      </c>
      <c r="AP746" s="3">
        <f>AC746*AD746</f>
        <v/>
      </c>
      <c r="AQ746" s="3">
        <f>IF(AND(G746&lt;&gt;"",'Historical Score'!$C$6&lt;&gt;""),IF(G746='Historical Score'!$C$6,1,0),0)</f>
        <v/>
      </c>
      <c r="AR746" s="3">
        <f>IF(AND(L746&lt;&gt;"",'Historical Score'!$C$5&lt;&gt;""),IF(L746='Historical Score'!$C$5,1,0),0)</f>
        <v/>
      </c>
      <c r="AS746" s="3">
        <f>IF(AND(Y746&lt;&gt;"",'Historical Score'!$C$7&lt;&gt;""),IF(Y746='Historical Score'!$C$7,1,0),0)</f>
        <v/>
      </c>
      <c r="AT746" s="3">
        <f>IF(AND(K746&lt;&gt;"",'Historical Score'!$C$8&lt;&gt;""),IF(K746='Historical Score'!$C$8,1,0),0)</f>
        <v/>
      </c>
      <c r="AU746" s="3" t="n"/>
      <c r="AV746" s="3" t="n"/>
      <c r="AW746" s="3" t="n"/>
      <c r="AX746" s="3" t="n"/>
      <c r="AY746" s="3" t="n"/>
      <c r="AZ746" s="3" t="n"/>
      <c r="BA746" s="182">
        <f>IF(AD746=1,(AR746*'Historical Score'!$K$29+1-'Historical Score'!$K$29)*(AT746*'Historical Score'!$L$29+1-'Historical Score'!$L$29)*(AS746*'Historical Score'!$M$29+1-'Historical Score'!$M$29)*(AQ746*'Historical Score'!$N$29+1-'Historical Score'!$N$29),0)</f>
        <v/>
      </c>
      <c r="BB746" s="3" t="n"/>
      <c r="BC746" s="3" t="n"/>
    </row>
    <row r="747" ht="15.75" customHeight="1" s="174">
      <c r="A747" s="3" t="inlineStr">
        <is>
          <t>5674180814</t>
        </is>
      </c>
      <c r="B747" s="3" t="inlineStr">
        <is>
          <t>Air duck, chimney, fireplace</t>
        </is>
      </c>
      <c r="C747" s="3" t="inlineStr">
        <is>
          <t>Isnvn LLC</t>
        </is>
      </c>
      <c r="D747" s="3" t="inlineStr">
        <is>
          <t>In House Collection</t>
        </is>
      </c>
      <c r="E747" s="23" t="n">
        <v>46106</v>
      </c>
      <c r="F747" s="23" t="n">
        <v>46206</v>
      </c>
      <c r="G747" s="3" t="n">
        <v>3</v>
      </c>
      <c r="H747" s="3" t="inlineStr">
        <is>
          <t>1711</t>
        </is>
      </c>
      <c r="I747" s="3" t="inlineStr">
        <is>
          <t>17</t>
        </is>
      </c>
      <c r="J747" s="3" t="inlineStr">
        <is>
          <t>FL</t>
        </is>
      </c>
      <c r="K747" s="3" t="inlineStr">
        <is>
          <t>Fundible</t>
        </is>
      </c>
      <c r="L747" s="3" t="inlineStr">
        <is>
          <t>New Deal</t>
        </is>
      </c>
      <c r="M747" s="3" t="n">
        <v>1.49</v>
      </c>
      <c r="N747" s="28" t="n">
        <v>15000</v>
      </c>
      <c r="O747" s="28" t="n">
        <v>2100</v>
      </c>
      <c r="P747" s="28" t="n">
        <v>22350</v>
      </c>
      <c r="Q747" s="28" t="n">
        <v>4655.25</v>
      </c>
      <c r="R747" s="28" t="n">
        <v>17694.75</v>
      </c>
      <c r="S747" s="42" t="n">
        <v>0.208288590604027</v>
      </c>
      <c r="T747" s="3" t="n">
        <v>24</v>
      </c>
      <c r="U747" s="3" t="n">
        <v>10</v>
      </c>
      <c r="V747" s="3" t="n">
        <v>20295.44</v>
      </c>
      <c r="W747" s="42" t="n">
        <v>0.1835</v>
      </c>
      <c r="X747" s="23" t="n">
        <v>45887</v>
      </c>
      <c r="Y747" s="3">
        <f>IF(I747="","No SIC",IFERROR(VLOOKUP(I747,Ref!$A$2:$B$65,2,FALSE()),"Unclassified"))</f>
        <v/>
      </c>
      <c r="Z747" s="3">
        <f>IF(T747="","",IF(T747&lt;12,"Daily","Weekly"))</f>
        <v/>
      </c>
      <c r="AA747" s="3">
        <f>IF(T747="",0,IF(T747&lt;12,T747*Controls!$B$13,T747*5))</f>
        <v/>
      </c>
      <c r="AB747" s="3">
        <f>IF(E747="",0,NETWORKDAYS(E747,Controls!$B$20,Ref!$K$2:$K$42))</f>
        <v/>
      </c>
      <c r="AC747" s="3">
        <f>IF(OR(AF747=1,AND(AA747&gt;0,AB747&gt;=Controls!$B$23*AA747)),1,0)</f>
        <v/>
      </c>
      <c r="AD747" s="3">
        <f>IF(AND(E747&lt;&gt;"",E747&gt;=Controls!$B$21,E747&lt;=Controls!$B$22),1,0)</f>
        <v/>
      </c>
      <c r="AE747" s="3">
        <f>IF(IFERROR(VLOOKUP(D747,Controls!$A$36:$E$46,2,FALSE()),"No")="Yes",1,0)</f>
        <v/>
      </c>
      <c r="AF747" s="3">
        <f>IF(IFERROR(VLOOKUP(D747,Controls!$A$36:$E$46,3,FALSE()),"No")="Yes",1,0)</f>
        <v/>
      </c>
      <c r="AG747" s="3">
        <f>IF(IFERROR(VLOOKUP(D747,Controls!$A$36:$E$46,4,FALSE()),"No")="Yes",1,0)</f>
        <v/>
      </c>
      <c r="AH747" s="3">
        <f>IF(IFERROR(VLOOKUP(D747,Controls!$A$36:$E$46,5,FALSE()),"No")="Yes",1,0)</f>
        <v/>
      </c>
      <c r="AI747" s="3">
        <f>IF(ISNUMBER(MATCH(D747,Controls!$A$36:$A$46,0)),1,0)</f>
        <v/>
      </c>
      <c r="AJ747" s="28">
        <f>Q747-N747</f>
        <v/>
      </c>
      <c r="AK747" s="3">
        <f>IF(AE747=1,MAX(0,N747-Q747),0)</f>
        <v/>
      </c>
      <c r="AL747" s="3">
        <f>IF(OR(V747="",V747=0),0,N747/V747)</f>
        <v/>
      </c>
      <c r="AM747" s="3">
        <f>IF(OR(V747="",V747=0),0,1)</f>
        <v/>
      </c>
      <c r="AN747" s="3">
        <f>IF(OR(E747="",F747=""),0,NETWORKDAYS(E747,F747,Ref!$K$2:$K$42))</f>
        <v/>
      </c>
      <c r="AO747" s="3">
        <f>IF(L747="Renewal",1,0)</f>
        <v/>
      </c>
      <c r="AP747" s="3">
        <f>AC747*AD747</f>
        <v/>
      </c>
      <c r="AQ747" s="3">
        <f>IF(AND(G747&lt;&gt;"",'Historical Score'!$C$6&lt;&gt;""),IF(G747='Historical Score'!$C$6,1,0),0)</f>
        <v/>
      </c>
      <c r="AR747" s="3">
        <f>IF(AND(L747&lt;&gt;"",'Historical Score'!$C$5&lt;&gt;""),IF(L747='Historical Score'!$C$5,1,0),0)</f>
        <v/>
      </c>
      <c r="AS747" s="3">
        <f>IF(AND(Y747&lt;&gt;"",'Historical Score'!$C$7&lt;&gt;""),IF(Y747='Historical Score'!$C$7,1,0),0)</f>
        <v/>
      </c>
      <c r="AT747" s="3">
        <f>IF(AND(K747&lt;&gt;"",'Historical Score'!$C$8&lt;&gt;""),IF(K747='Historical Score'!$C$8,1,0),0)</f>
        <v/>
      </c>
      <c r="AU747" s="3" t="n"/>
      <c r="AV747" s="3" t="n"/>
      <c r="AW747" s="3" t="n"/>
      <c r="AX747" s="3" t="n"/>
      <c r="AY747" s="3" t="n"/>
      <c r="AZ747" s="3" t="n"/>
      <c r="BA747" s="182">
        <f>IF(AD747=1,(AR747*'Historical Score'!$K$29+1-'Historical Score'!$K$29)*(AT747*'Historical Score'!$L$29+1-'Historical Score'!$L$29)*(AS747*'Historical Score'!$M$29+1-'Historical Score'!$M$29)*(AQ747*'Historical Score'!$N$29+1-'Historical Score'!$N$29),0)</f>
        <v/>
      </c>
      <c r="BB747" s="3" t="n"/>
      <c r="BC747" s="3" t="n"/>
    </row>
    <row r="748" ht="15.75" customHeight="1" s="174">
      <c r="A748" s="3" t="inlineStr">
        <is>
          <t>5674180836</t>
        </is>
      </c>
      <c r="B748" s="3" t="inlineStr">
        <is>
          <t>CRYSTAL STAIRS LLC</t>
        </is>
      </c>
      <c r="C748" s="3" t="inlineStr">
        <is>
          <t>CRYSTAL STAIRS LLC</t>
        </is>
      </c>
      <c r="D748" s="3" t="inlineStr">
        <is>
          <t>Open</t>
        </is>
      </c>
      <c r="E748" s="23" t="n">
        <v>46107</v>
      </c>
      <c r="F748" s="23" t="n">
        <v>46253</v>
      </c>
      <c r="G748" s="3" t="n">
        <v>2</v>
      </c>
      <c r="H748" s="3" t="inlineStr">
        <is>
          <t>8351</t>
        </is>
      </c>
      <c r="I748" s="3" t="inlineStr">
        <is>
          <t>83</t>
        </is>
      </c>
      <c r="J748" s="3" t="inlineStr">
        <is>
          <t>TX</t>
        </is>
      </c>
      <c r="K748" s="3" t="inlineStr">
        <is>
          <t>United Secured Capital 8</t>
        </is>
      </c>
      <c r="L748" s="3" t="inlineStr">
        <is>
          <t>New Deal</t>
        </is>
      </c>
      <c r="M748" s="3" t="n">
        <v>1.49</v>
      </c>
      <c r="N748" s="28" t="n">
        <v>18000</v>
      </c>
      <c r="O748" s="28" t="n">
        <v>2520</v>
      </c>
      <c r="P748" s="28" t="n">
        <v>26820</v>
      </c>
      <c r="Q748" s="28" t="n">
        <v>19571.16</v>
      </c>
      <c r="R748" s="28" t="n">
        <v>7248.84</v>
      </c>
      <c r="S748" s="42" t="n">
        <v>0.7297225950783</v>
      </c>
      <c r="T748" s="3" t="n">
        <v>3.77</v>
      </c>
      <c r="U748" s="3" t="n">
        <v>18</v>
      </c>
      <c r="V748" s="3" t="n">
        <v>166424.4</v>
      </c>
      <c r="W748" s="42" t="n">
        <v>0.0294</v>
      </c>
      <c r="X748" s="23" t="n">
        <v>41369</v>
      </c>
      <c r="Y748" s="3">
        <f>IF(I748="","No SIC",IFERROR(VLOOKUP(I748,Ref!$A$2:$B$65,2,FALSE()),"Unclassified"))</f>
        <v/>
      </c>
      <c r="Z748" s="3">
        <f>IF(T748="","",IF(T748&lt;12,"Daily","Weekly"))</f>
        <v/>
      </c>
      <c r="AA748" s="3">
        <f>IF(T748="",0,IF(T748&lt;12,T748*Controls!$B$13,T748*5))</f>
        <v/>
      </c>
      <c r="AB748" s="3">
        <f>IF(E748="",0,NETWORKDAYS(E748,Controls!$B$20,Ref!$K$2:$K$42))</f>
        <v/>
      </c>
      <c r="AC748" s="3">
        <f>IF(OR(AF748=1,AND(AA748&gt;0,AB748&gt;=Controls!$B$23*AA748)),1,0)</f>
        <v/>
      </c>
      <c r="AD748" s="3">
        <f>IF(AND(E748&lt;&gt;"",E748&gt;=Controls!$B$21,E748&lt;=Controls!$B$22),1,0)</f>
        <v/>
      </c>
      <c r="AE748" s="3">
        <f>IF(IFERROR(VLOOKUP(D748,Controls!$A$36:$E$46,2,FALSE()),"No")="Yes",1,0)</f>
        <v/>
      </c>
      <c r="AF748" s="3">
        <f>IF(IFERROR(VLOOKUP(D748,Controls!$A$36:$E$46,3,FALSE()),"No")="Yes",1,0)</f>
        <v/>
      </c>
      <c r="AG748" s="3">
        <f>IF(IFERROR(VLOOKUP(D748,Controls!$A$36:$E$46,4,FALSE()),"No")="Yes",1,0)</f>
        <v/>
      </c>
      <c r="AH748" s="3">
        <f>IF(IFERROR(VLOOKUP(D748,Controls!$A$36:$E$46,5,FALSE()),"No")="Yes",1,0)</f>
        <v/>
      </c>
      <c r="AI748" s="3">
        <f>IF(ISNUMBER(MATCH(D748,Controls!$A$36:$A$46,0)),1,0)</f>
        <v/>
      </c>
      <c r="AJ748" s="28">
        <f>Q748-N748</f>
        <v/>
      </c>
      <c r="AK748" s="3">
        <f>IF(AE748=1,MAX(0,N748-Q748),0)</f>
        <v/>
      </c>
      <c r="AL748" s="3">
        <f>IF(OR(V748="",V748=0),0,N748/V748)</f>
        <v/>
      </c>
      <c r="AM748" s="3">
        <f>IF(OR(V748="",V748=0),0,1)</f>
        <v/>
      </c>
      <c r="AN748" s="3">
        <f>IF(OR(E748="",F748=""),0,NETWORKDAYS(E748,F748,Ref!$K$2:$K$42))</f>
        <v/>
      </c>
      <c r="AO748" s="3">
        <f>IF(L748="Renewal",1,0)</f>
        <v/>
      </c>
      <c r="AP748" s="3">
        <f>AC748*AD748</f>
        <v/>
      </c>
      <c r="AQ748" s="3">
        <f>IF(AND(G748&lt;&gt;"",'Historical Score'!$C$6&lt;&gt;""),IF(G748='Historical Score'!$C$6,1,0),0)</f>
        <v/>
      </c>
      <c r="AR748" s="3">
        <f>IF(AND(L748&lt;&gt;"",'Historical Score'!$C$5&lt;&gt;""),IF(L748='Historical Score'!$C$5,1,0),0)</f>
        <v/>
      </c>
      <c r="AS748" s="3">
        <f>IF(AND(Y748&lt;&gt;"",'Historical Score'!$C$7&lt;&gt;""),IF(Y748='Historical Score'!$C$7,1,0),0)</f>
        <v/>
      </c>
      <c r="AT748" s="3">
        <f>IF(AND(K748&lt;&gt;"",'Historical Score'!$C$8&lt;&gt;""),IF(K748='Historical Score'!$C$8,1,0),0)</f>
        <v/>
      </c>
      <c r="AU748" s="3" t="n"/>
      <c r="AV748" s="3" t="n"/>
      <c r="AW748" s="3" t="n"/>
      <c r="AX748" s="3" t="n"/>
      <c r="AY748" s="3" t="n"/>
      <c r="AZ748" s="3" t="n"/>
      <c r="BA748" s="182">
        <f>IF(AD748=1,(AR748*'Historical Score'!$K$29+1-'Historical Score'!$K$29)*(AT748*'Historical Score'!$L$29+1-'Historical Score'!$L$29)*(AS748*'Historical Score'!$M$29+1-'Historical Score'!$M$29)*(AQ748*'Historical Score'!$N$29+1-'Historical Score'!$N$29),0)</f>
        <v/>
      </c>
      <c r="BB748" s="3" t="n"/>
      <c r="BC748" s="3" t="n"/>
    </row>
    <row r="749" ht="15.75" customHeight="1" s="174">
      <c r="A749" s="3" t="inlineStr">
        <is>
          <t>5674180868</t>
        </is>
      </c>
      <c r="B749" s="3" t="inlineStr">
        <is>
          <t>E-Z ELECTRIC LLC</t>
        </is>
      </c>
      <c r="C749" s="3" t="inlineStr">
        <is>
          <t>E-Z ELECTRIC LLC</t>
        </is>
      </c>
      <c r="D749" s="3" t="inlineStr">
        <is>
          <t>Closed</t>
        </is>
      </c>
      <c r="E749" s="23" t="n">
        <v>46107</v>
      </c>
      <c r="F749" s="23" t="n">
        <v>46164</v>
      </c>
      <c r="G749" s="3" t="n">
        <v>3</v>
      </c>
      <c r="H749" s="3" t="inlineStr">
        <is>
          <t>1731</t>
        </is>
      </c>
      <c r="I749" s="3" t="inlineStr">
        <is>
          <t>17</t>
        </is>
      </c>
      <c r="J749" s="3" t="inlineStr">
        <is>
          <t>OK</t>
        </is>
      </c>
      <c r="K749" s="3" t="inlineStr">
        <is>
          <t>United Secured Capital 8</t>
        </is>
      </c>
      <c r="L749" s="3" t="inlineStr">
        <is>
          <t>New Deal</t>
        </is>
      </c>
      <c r="M749" s="3" t="n">
        <v>1.49</v>
      </c>
      <c r="N749" s="28" t="n">
        <v>28000</v>
      </c>
      <c r="O749" s="28" t="n">
        <v>3920</v>
      </c>
      <c r="P749" s="28" t="n">
        <v>41720</v>
      </c>
      <c r="Q749" s="28" t="n">
        <v>41720</v>
      </c>
      <c r="R749" s="28" t="n">
        <v>0</v>
      </c>
      <c r="S749" s="42" t="n">
        <v>1</v>
      </c>
      <c r="T749" s="3" t="n">
        <v>20</v>
      </c>
      <c r="U749" s="3" t="n">
        <v>2</v>
      </c>
      <c r="V749" s="3" t="n">
        <v>57015.76</v>
      </c>
      <c r="W749" s="42" t="n">
        <v>0.1463</v>
      </c>
      <c r="X749" s="23" t="n">
        <v>44034</v>
      </c>
      <c r="Y749" s="3">
        <f>IF(I749="","No SIC",IFERROR(VLOOKUP(I749,Ref!$A$2:$B$65,2,FALSE()),"Unclassified"))</f>
        <v/>
      </c>
      <c r="Z749" s="3">
        <f>IF(T749="","",IF(T749&lt;12,"Daily","Weekly"))</f>
        <v/>
      </c>
      <c r="AA749" s="3">
        <f>IF(T749="",0,IF(T749&lt;12,T749*Controls!$B$13,T749*5))</f>
        <v/>
      </c>
      <c r="AB749" s="3">
        <f>IF(E749="",0,NETWORKDAYS(E749,Controls!$B$20,Ref!$K$2:$K$42))</f>
        <v/>
      </c>
      <c r="AC749" s="3">
        <f>IF(OR(AF749=1,AND(AA749&gt;0,AB749&gt;=Controls!$B$23*AA749)),1,0)</f>
        <v/>
      </c>
      <c r="AD749" s="3">
        <f>IF(AND(E749&lt;&gt;"",E749&gt;=Controls!$B$21,E749&lt;=Controls!$B$22),1,0)</f>
        <v/>
      </c>
      <c r="AE749" s="3">
        <f>IF(IFERROR(VLOOKUP(D749,Controls!$A$36:$E$46,2,FALSE()),"No")="Yes",1,0)</f>
        <v/>
      </c>
      <c r="AF749" s="3">
        <f>IF(IFERROR(VLOOKUP(D749,Controls!$A$36:$E$46,3,FALSE()),"No")="Yes",1,0)</f>
        <v/>
      </c>
      <c r="AG749" s="3">
        <f>IF(IFERROR(VLOOKUP(D749,Controls!$A$36:$E$46,4,FALSE()),"No")="Yes",1,0)</f>
        <v/>
      </c>
      <c r="AH749" s="3">
        <f>IF(IFERROR(VLOOKUP(D749,Controls!$A$36:$E$46,5,FALSE()),"No")="Yes",1,0)</f>
        <v/>
      </c>
      <c r="AI749" s="3">
        <f>IF(ISNUMBER(MATCH(D749,Controls!$A$36:$A$46,0)),1,0)</f>
        <v/>
      </c>
      <c r="AJ749" s="28">
        <f>Q749-N749</f>
        <v/>
      </c>
      <c r="AK749" s="3">
        <f>IF(AE749=1,MAX(0,N749-Q749),0)</f>
        <v/>
      </c>
      <c r="AL749" s="3">
        <f>IF(OR(V749="",V749=0),0,N749/V749)</f>
        <v/>
      </c>
      <c r="AM749" s="3">
        <f>IF(OR(V749="",V749=0),0,1)</f>
        <v/>
      </c>
      <c r="AN749" s="3">
        <f>IF(OR(E749="",F749=""),0,NETWORKDAYS(E749,F749,Ref!$K$2:$K$42))</f>
        <v/>
      </c>
      <c r="AO749" s="3">
        <f>IF(L749="Renewal",1,0)</f>
        <v/>
      </c>
      <c r="AP749" s="3">
        <f>AC749*AD749</f>
        <v/>
      </c>
      <c r="AQ749" s="3">
        <f>IF(AND(G749&lt;&gt;"",'Historical Score'!$C$6&lt;&gt;""),IF(G749='Historical Score'!$C$6,1,0),0)</f>
        <v/>
      </c>
      <c r="AR749" s="3">
        <f>IF(AND(L749&lt;&gt;"",'Historical Score'!$C$5&lt;&gt;""),IF(L749='Historical Score'!$C$5,1,0),0)</f>
        <v/>
      </c>
      <c r="AS749" s="3">
        <f>IF(AND(Y749&lt;&gt;"",'Historical Score'!$C$7&lt;&gt;""),IF(Y749='Historical Score'!$C$7,1,0),0)</f>
        <v/>
      </c>
      <c r="AT749" s="3">
        <f>IF(AND(K749&lt;&gt;"",'Historical Score'!$C$8&lt;&gt;""),IF(K749='Historical Score'!$C$8,1,0),0)</f>
        <v/>
      </c>
      <c r="AU749" s="3" t="n"/>
      <c r="AV749" s="3" t="n"/>
      <c r="AW749" s="3" t="n"/>
      <c r="AX749" s="3" t="n"/>
      <c r="AY749" s="3" t="n"/>
      <c r="AZ749" s="3" t="n"/>
      <c r="BA749" s="182">
        <f>IF(AD749=1,(AR749*'Historical Score'!$K$29+1-'Historical Score'!$K$29)*(AT749*'Historical Score'!$L$29+1-'Historical Score'!$L$29)*(AS749*'Historical Score'!$M$29+1-'Historical Score'!$M$29)*(AQ749*'Historical Score'!$N$29+1-'Historical Score'!$N$29),0)</f>
        <v/>
      </c>
      <c r="BB749" s="3" t="n"/>
      <c r="BC749" s="3" t="n"/>
    </row>
    <row r="750" ht="15.75" customHeight="1" s="174">
      <c r="A750" s="3" t="inlineStr">
        <is>
          <t>5674180889</t>
        </is>
      </c>
      <c r="B750" s="3" t="inlineStr">
        <is>
          <t>A Better Child Care 3</t>
        </is>
      </c>
      <c r="C750" s="3" t="inlineStr">
        <is>
          <t>A Better Child Care 3</t>
        </is>
      </c>
      <c r="D750" s="3" t="inlineStr">
        <is>
          <t>Closed</t>
        </is>
      </c>
      <c r="E750" s="23" t="n">
        <v>46107</v>
      </c>
      <c r="F750" s="23" t="n">
        <v>46182</v>
      </c>
      <c r="G750" s="3" t="n">
        <v>3</v>
      </c>
      <c r="H750" s="3" t="inlineStr">
        <is>
          <t>8351</t>
        </is>
      </c>
      <c r="I750" s="3" t="inlineStr">
        <is>
          <t>83</t>
        </is>
      </c>
      <c r="J750" s="3" t="inlineStr">
        <is>
          <t>WA</t>
        </is>
      </c>
      <c r="K750" s="3" t="inlineStr">
        <is>
          <t>United Secured Capital 8</t>
        </is>
      </c>
      <c r="L750" s="3" t="inlineStr">
        <is>
          <t>New Deal</t>
        </is>
      </c>
      <c r="M750" s="3" t="n">
        <v>1.49</v>
      </c>
      <c r="N750" s="28" t="n">
        <v>20000</v>
      </c>
      <c r="O750" s="28" t="n">
        <v>2800</v>
      </c>
      <c r="P750" s="28" t="n">
        <v>29800</v>
      </c>
      <c r="Q750" s="28" t="n">
        <v>29800</v>
      </c>
      <c r="R750" s="28" t="n">
        <v>0</v>
      </c>
      <c r="S750" s="42" t="n">
        <v>1</v>
      </c>
      <c r="T750" s="3" t="n">
        <v>22</v>
      </c>
      <c r="U750" s="3" t="n">
        <v>0</v>
      </c>
      <c r="V750" s="3" t="n">
        <v>24532.07</v>
      </c>
      <c r="W750" s="42" t="n">
        <v>0.2209</v>
      </c>
      <c r="X750" s="23" t="n">
        <v>43181</v>
      </c>
      <c r="Y750" s="3">
        <f>IF(I750="","No SIC",IFERROR(VLOOKUP(I750,Ref!$A$2:$B$65,2,FALSE()),"Unclassified"))</f>
        <v/>
      </c>
      <c r="Z750" s="3">
        <f>IF(T750="","",IF(T750&lt;12,"Daily","Weekly"))</f>
        <v/>
      </c>
      <c r="AA750" s="3">
        <f>IF(T750="",0,IF(T750&lt;12,T750*Controls!$B$13,T750*5))</f>
        <v/>
      </c>
      <c r="AB750" s="3">
        <f>IF(E750="",0,NETWORKDAYS(E750,Controls!$B$20,Ref!$K$2:$K$42))</f>
        <v/>
      </c>
      <c r="AC750" s="3">
        <f>IF(OR(AF750=1,AND(AA750&gt;0,AB750&gt;=Controls!$B$23*AA750)),1,0)</f>
        <v/>
      </c>
      <c r="AD750" s="3">
        <f>IF(AND(E750&lt;&gt;"",E750&gt;=Controls!$B$21,E750&lt;=Controls!$B$22),1,0)</f>
        <v/>
      </c>
      <c r="AE750" s="3">
        <f>IF(IFERROR(VLOOKUP(D750,Controls!$A$36:$E$46,2,FALSE()),"No")="Yes",1,0)</f>
        <v/>
      </c>
      <c r="AF750" s="3">
        <f>IF(IFERROR(VLOOKUP(D750,Controls!$A$36:$E$46,3,FALSE()),"No")="Yes",1,0)</f>
        <v/>
      </c>
      <c r="AG750" s="3">
        <f>IF(IFERROR(VLOOKUP(D750,Controls!$A$36:$E$46,4,FALSE()),"No")="Yes",1,0)</f>
        <v/>
      </c>
      <c r="AH750" s="3">
        <f>IF(IFERROR(VLOOKUP(D750,Controls!$A$36:$E$46,5,FALSE()),"No")="Yes",1,0)</f>
        <v/>
      </c>
      <c r="AI750" s="3">
        <f>IF(ISNUMBER(MATCH(D750,Controls!$A$36:$A$46,0)),1,0)</f>
        <v/>
      </c>
      <c r="AJ750" s="28">
        <f>Q750-N750</f>
        <v/>
      </c>
      <c r="AK750" s="3">
        <f>IF(AE750=1,MAX(0,N750-Q750),0)</f>
        <v/>
      </c>
      <c r="AL750" s="3">
        <f>IF(OR(V750="",V750=0),0,N750/V750)</f>
        <v/>
      </c>
      <c r="AM750" s="3">
        <f>IF(OR(V750="",V750=0),0,1)</f>
        <v/>
      </c>
      <c r="AN750" s="3">
        <f>IF(OR(E750="",F750=""),0,NETWORKDAYS(E750,F750,Ref!$K$2:$K$42))</f>
        <v/>
      </c>
      <c r="AO750" s="3">
        <f>IF(L750="Renewal",1,0)</f>
        <v/>
      </c>
      <c r="AP750" s="3">
        <f>AC750*AD750</f>
        <v/>
      </c>
      <c r="AQ750" s="3">
        <f>IF(AND(G750&lt;&gt;"",'Historical Score'!$C$6&lt;&gt;""),IF(G750='Historical Score'!$C$6,1,0),0)</f>
        <v/>
      </c>
      <c r="AR750" s="3">
        <f>IF(AND(L750&lt;&gt;"",'Historical Score'!$C$5&lt;&gt;""),IF(L750='Historical Score'!$C$5,1,0),0)</f>
        <v/>
      </c>
      <c r="AS750" s="3">
        <f>IF(AND(Y750&lt;&gt;"",'Historical Score'!$C$7&lt;&gt;""),IF(Y750='Historical Score'!$C$7,1,0),0)</f>
        <v/>
      </c>
      <c r="AT750" s="3">
        <f>IF(AND(K750&lt;&gt;"",'Historical Score'!$C$8&lt;&gt;""),IF(K750='Historical Score'!$C$8,1,0),0)</f>
        <v/>
      </c>
      <c r="AU750" s="3" t="n"/>
      <c r="AV750" s="3" t="n"/>
      <c r="AW750" s="3" t="n"/>
      <c r="AX750" s="3" t="n"/>
      <c r="AY750" s="3" t="n"/>
      <c r="AZ750" s="3" t="n"/>
      <c r="BA750" s="182">
        <f>IF(AD750=1,(AR750*'Historical Score'!$K$29+1-'Historical Score'!$K$29)*(AT750*'Historical Score'!$L$29+1-'Historical Score'!$L$29)*(AS750*'Historical Score'!$M$29+1-'Historical Score'!$M$29)*(AQ750*'Historical Score'!$N$29+1-'Historical Score'!$N$29),0)</f>
        <v/>
      </c>
      <c r="BB750" s="3" t="n"/>
      <c r="BC750" s="3" t="n"/>
    </row>
    <row r="751" ht="15.75" customHeight="1" s="174">
      <c r="A751" s="3" t="inlineStr">
        <is>
          <t>5674180906</t>
        </is>
      </c>
      <c r="B751" s="3" t="inlineStr">
        <is>
          <t>IPDR HAIL &amp; DENT REPAIR</t>
        </is>
      </c>
      <c r="C751" s="3" t="inlineStr">
        <is>
          <t>IPDR HAIL &amp; DENT REPAIR LLC</t>
        </is>
      </c>
      <c r="D751" s="3" t="inlineStr">
        <is>
          <t>Open</t>
        </is>
      </c>
      <c r="E751" s="23" t="n">
        <v>46107</v>
      </c>
      <c r="F751" s="23" t="n">
        <v>46253</v>
      </c>
      <c r="G751" s="3" t="n">
        <v>3</v>
      </c>
      <c r="H751" s="3" t="inlineStr">
        <is>
          <t>1711</t>
        </is>
      </c>
      <c r="I751" s="3" t="inlineStr">
        <is>
          <t>17</t>
        </is>
      </c>
      <c r="J751" s="3" t="inlineStr">
        <is>
          <t>TX</t>
        </is>
      </c>
      <c r="K751" s="3" t="inlineStr">
        <is>
          <t>Shore Funding USA</t>
        </is>
      </c>
      <c r="L751" s="3" t="inlineStr">
        <is>
          <t>Renewal</t>
        </is>
      </c>
      <c r="M751" s="3" t="n">
        <v>1.49</v>
      </c>
      <c r="N751" s="28" t="n">
        <v>15000</v>
      </c>
      <c r="O751" s="28" t="n">
        <v>2100</v>
      </c>
      <c r="P751" s="28" t="n">
        <v>22350</v>
      </c>
      <c r="Q751" s="28" t="n">
        <v>13657.76</v>
      </c>
      <c r="R751" s="28" t="n">
        <v>8692.24</v>
      </c>
      <c r="S751" s="42" t="n">
        <v>0.611085458612975</v>
      </c>
      <c r="T751" s="3" t="n">
        <v>4.59</v>
      </c>
      <c r="U751" s="3" t="n">
        <v>15</v>
      </c>
      <c r="V751" s="3" t="n"/>
      <c r="W751" s="42" t="n">
        <v>0.0464</v>
      </c>
      <c r="X751" s="23" t="n">
        <v>44562</v>
      </c>
      <c r="Y751" s="3">
        <f>IF(I751="","No SIC",IFERROR(VLOOKUP(I751,Ref!$A$2:$B$65,2,FALSE()),"Unclassified"))</f>
        <v/>
      </c>
      <c r="Z751" s="3">
        <f>IF(T751="","",IF(T751&lt;12,"Daily","Weekly"))</f>
        <v/>
      </c>
      <c r="AA751" s="3">
        <f>IF(T751="",0,IF(T751&lt;12,T751*Controls!$B$13,T751*5))</f>
        <v/>
      </c>
      <c r="AB751" s="3">
        <f>IF(E751="",0,NETWORKDAYS(E751,Controls!$B$20,Ref!$K$2:$K$42))</f>
        <v/>
      </c>
      <c r="AC751" s="3">
        <f>IF(OR(AF751=1,AND(AA751&gt;0,AB751&gt;=Controls!$B$23*AA751)),1,0)</f>
        <v/>
      </c>
      <c r="AD751" s="3">
        <f>IF(AND(E751&lt;&gt;"",E751&gt;=Controls!$B$21,E751&lt;=Controls!$B$22),1,0)</f>
        <v/>
      </c>
      <c r="AE751" s="3">
        <f>IF(IFERROR(VLOOKUP(D751,Controls!$A$36:$E$46,2,FALSE()),"No")="Yes",1,0)</f>
        <v/>
      </c>
      <c r="AF751" s="3">
        <f>IF(IFERROR(VLOOKUP(D751,Controls!$A$36:$E$46,3,FALSE()),"No")="Yes",1,0)</f>
        <v/>
      </c>
      <c r="AG751" s="3">
        <f>IF(IFERROR(VLOOKUP(D751,Controls!$A$36:$E$46,4,FALSE()),"No")="Yes",1,0)</f>
        <v/>
      </c>
      <c r="AH751" s="3">
        <f>IF(IFERROR(VLOOKUP(D751,Controls!$A$36:$E$46,5,FALSE()),"No")="Yes",1,0)</f>
        <v/>
      </c>
      <c r="AI751" s="3">
        <f>IF(ISNUMBER(MATCH(D751,Controls!$A$36:$A$46,0)),1,0)</f>
        <v/>
      </c>
      <c r="AJ751" s="28">
        <f>Q751-N751</f>
        <v/>
      </c>
      <c r="AK751" s="3">
        <f>IF(AE751=1,MAX(0,N751-Q751),0)</f>
        <v/>
      </c>
      <c r="AL751" s="3">
        <f>IF(OR(V751="",V751=0),0,N751/V751)</f>
        <v/>
      </c>
      <c r="AM751" s="3">
        <f>IF(OR(V751="",V751=0),0,1)</f>
        <v/>
      </c>
      <c r="AN751" s="3">
        <f>IF(OR(E751="",F751=""),0,NETWORKDAYS(E751,F751,Ref!$K$2:$K$42))</f>
        <v/>
      </c>
      <c r="AO751" s="3">
        <f>IF(L751="Renewal",1,0)</f>
        <v/>
      </c>
      <c r="AP751" s="3">
        <f>AC751*AD751</f>
        <v/>
      </c>
      <c r="AQ751" s="3">
        <f>IF(AND(G751&lt;&gt;"",'Historical Score'!$C$6&lt;&gt;""),IF(G751='Historical Score'!$C$6,1,0),0)</f>
        <v/>
      </c>
      <c r="AR751" s="3">
        <f>IF(AND(L751&lt;&gt;"",'Historical Score'!$C$5&lt;&gt;""),IF(L751='Historical Score'!$C$5,1,0),0)</f>
        <v/>
      </c>
      <c r="AS751" s="3">
        <f>IF(AND(Y751&lt;&gt;"",'Historical Score'!$C$7&lt;&gt;""),IF(Y751='Historical Score'!$C$7,1,0),0)</f>
        <v/>
      </c>
      <c r="AT751" s="3">
        <f>IF(AND(K751&lt;&gt;"",'Historical Score'!$C$8&lt;&gt;""),IF(K751='Historical Score'!$C$8,1,0),0)</f>
        <v/>
      </c>
      <c r="AU751" s="3" t="n"/>
      <c r="AV751" s="3" t="n"/>
      <c r="AW751" s="3" t="n"/>
      <c r="AX751" s="3" t="n"/>
      <c r="AY751" s="3" t="n"/>
      <c r="AZ751" s="3" t="n"/>
      <c r="BA751" s="182">
        <f>IF(AD751=1,(AR751*'Historical Score'!$K$29+1-'Historical Score'!$K$29)*(AT751*'Historical Score'!$L$29+1-'Historical Score'!$L$29)*(AS751*'Historical Score'!$M$29+1-'Historical Score'!$M$29)*(AQ751*'Historical Score'!$N$29+1-'Historical Score'!$N$29),0)</f>
        <v/>
      </c>
      <c r="BB751" s="3" t="n"/>
      <c r="BC751" s="3" t="n"/>
    </row>
    <row r="752" ht="15.75" customHeight="1" s="174">
      <c r="A752" s="3" t="inlineStr">
        <is>
          <t>5674180910</t>
        </is>
      </c>
      <c r="B752" s="3" t="inlineStr">
        <is>
          <t>CONSULTANT MANAGEMENT GROUP LLC</t>
        </is>
      </c>
      <c r="C752" s="3" t="inlineStr">
        <is>
          <t>CONSULTANT MANAGEMENT GROUP LLC</t>
        </is>
      </c>
      <c r="D752" s="3" t="inlineStr">
        <is>
          <t>Legal</t>
        </is>
      </c>
      <c r="E752" s="23" t="n">
        <v>46107</v>
      </c>
      <c r="F752" s="23" t="n">
        <v>46157</v>
      </c>
      <c r="G752" s="3" t="n">
        <v>3</v>
      </c>
      <c r="H752" s="3" t="inlineStr">
        <is>
          <t>8742</t>
        </is>
      </c>
      <c r="I752" s="3" t="inlineStr">
        <is>
          <t>87</t>
        </is>
      </c>
      <c r="J752" s="3" t="inlineStr">
        <is>
          <t>FL</t>
        </is>
      </c>
      <c r="K752" s="3" t="inlineStr">
        <is>
          <t>United Secured Capital 8</t>
        </is>
      </c>
      <c r="L752" s="3" t="inlineStr">
        <is>
          <t>New Deal</t>
        </is>
      </c>
      <c r="M752" s="3" t="n">
        <v>1.49</v>
      </c>
      <c r="N752" s="28" t="n">
        <v>26500</v>
      </c>
      <c r="O752" s="28" t="n">
        <v>0</v>
      </c>
      <c r="P752" s="28" t="n">
        <v>39485</v>
      </c>
      <c r="Q752" s="28" t="n">
        <v>5883.8</v>
      </c>
      <c r="R752" s="28" t="n">
        <v>33601.2</v>
      </c>
      <c r="S752" s="42" t="n">
        <v>0.149013549449158</v>
      </c>
      <c r="T752" s="3" t="n">
        <v>22</v>
      </c>
      <c r="U752" s="3" t="n">
        <v>6</v>
      </c>
      <c r="V752" s="3" t="n">
        <v>23015.11</v>
      </c>
      <c r="W752" s="42" t="n">
        <v>0.3119</v>
      </c>
      <c r="X752" s="23" t="n">
        <v>42441</v>
      </c>
      <c r="Y752" s="3">
        <f>IF(I752="","No SIC",IFERROR(VLOOKUP(I752,Ref!$A$2:$B$65,2,FALSE()),"Unclassified"))</f>
        <v/>
      </c>
      <c r="Z752" s="3">
        <f>IF(T752="","",IF(T752&lt;12,"Daily","Weekly"))</f>
        <v/>
      </c>
      <c r="AA752" s="3">
        <f>IF(T752="",0,IF(T752&lt;12,T752*Controls!$B$13,T752*5))</f>
        <v/>
      </c>
      <c r="AB752" s="3">
        <f>IF(E752="",0,NETWORKDAYS(E752,Controls!$B$20,Ref!$K$2:$K$42))</f>
        <v/>
      </c>
      <c r="AC752" s="3">
        <f>IF(OR(AF752=1,AND(AA752&gt;0,AB752&gt;=Controls!$B$23*AA752)),1,0)</f>
        <v/>
      </c>
      <c r="AD752" s="3">
        <f>IF(AND(E752&lt;&gt;"",E752&gt;=Controls!$B$21,E752&lt;=Controls!$B$22),1,0)</f>
        <v/>
      </c>
      <c r="AE752" s="3">
        <f>IF(IFERROR(VLOOKUP(D752,Controls!$A$36:$E$46,2,FALSE()),"No")="Yes",1,0)</f>
        <v/>
      </c>
      <c r="AF752" s="3">
        <f>IF(IFERROR(VLOOKUP(D752,Controls!$A$36:$E$46,3,FALSE()),"No")="Yes",1,0)</f>
        <v/>
      </c>
      <c r="AG752" s="3">
        <f>IF(IFERROR(VLOOKUP(D752,Controls!$A$36:$E$46,4,FALSE()),"No")="Yes",1,0)</f>
        <v/>
      </c>
      <c r="AH752" s="3">
        <f>IF(IFERROR(VLOOKUP(D752,Controls!$A$36:$E$46,5,FALSE()),"No")="Yes",1,0)</f>
        <v/>
      </c>
      <c r="AI752" s="3">
        <f>IF(ISNUMBER(MATCH(D752,Controls!$A$36:$A$46,0)),1,0)</f>
        <v/>
      </c>
      <c r="AJ752" s="28">
        <f>Q752-N752</f>
        <v/>
      </c>
      <c r="AK752" s="3">
        <f>IF(AE752=1,MAX(0,N752-Q752),0)</f>
        <v/>
      </c>
      <c r="AL752" s="3">
        <f>IF(OR(V752="",V752=0),0,N752/V752)</f>
        <v/>
      </c>
      <c r="AM752" s="3">
        <f>IF(OR(V752="",V752=0),0,1)</f>
        <v/>
      </c>
      <c r="AN752" s="3">
        <f>IF(OR(E752="",F752=""),0,NETWORKDAYS(E752,F752,Ref!$K$2:$K$42))</f>
        <v/>
      </c>
      <c r="AO752" s="3">
        <f>IF(L752="Renewal",1,0)</f>
        <v/>
      </c>
      <c r="AP752" s="3">
        <f>AC752*AD752</f>
        <v/>
      </c>
      <c r="AQ752" s="3">
        <f>IF(AND(G752&lt;&gt;"",'Historical Score'!$C$6&lt;&gt;""),IF(G752='Historical Score'!$C$6,1,0),0)</f>
        <v/>
      </c>
      <c r="AR752" s="3">
        <f>IF(AND(L752&lt;&gt;"",'Historical Score'!$C$5&lt;&gt;""),IF(L752='Historical Score'!$C$5,1,0),0)</f>
        <v/>
      </c>
      <c r="AS752" s="3">
        <f>IF(AND(Y752&lt;&gt;"",'Historical Score'!$C$7&lt;&gt;""),IF(Y752='Historical Score'!$C$7,1,0),0)</f>
        <v/>
      </c>
      <c r="AT752" s="3">
        <f>IF(AND(K752&lt;&gt;"",'Historical Score'!$C$8&lt;&gt;""),IF(K752='Historical Score'!$C$8,1,0),0)</f>
        <v/>
      </c>
      <c r="AU752" s="3" t="n"/>
      <c r="AV752" s="3" t="n"/>
      <c r="AW752" s="3" t="n"/>
      <c r="AX752" s="3" t="n"/>
      <c r="AY752" s="3" t="n"/>
      <c r="AZ752" s="3" t="n"/>
      <c r="BA752" s="182">
        <f>IF(AD752=1,(AR752*'Historical Score'!$K$29+1-'Historical Score'!$K$29)*(AT752*'Historical Score'!$L$29+1-'Historical Score'!$L$29)*(AS752*'Historical Score'!$M$29+1-'Historical Score'!$M$29)*(AQ752*'Historical Score'!$N$29+1-'Historical Score'!$N$29),0)</f>
        <v/>
      </c>
      <c r="BB752" s="3" t="n"/>
      <c r="BC752" s="3" t="n"/>
    </row>
    <row r="753" ht="15.75" customHeight="1" s="174">
      <c r="A753" s="3" t="inlineStr">
        <is>
          <t>5674180911</t>
        </is>
      </c>
      <c r="B753" s="3" t="inlineStr">
        <is>
          <t>Reece Renovations Inc</t>
        </is>
      </c>
      <c r="C753" s="3" t="inlineStr">
        <is>
          <t>Reece Renovations Inc</t>
        </is>
      </c>
      <c r="D753" s="3" t="inlineStr">
        <is>
          <t>In House Collection</t>
        </is>
      </c>
      <c r="E753" s="23" t="n">
        <v>46107</v>
      </c>
      <c r="F753" s="23" t="n">
        <v>46189</v>
      </c>
      <c r="G753" s="3" t="n">
        <v>3</v>
      </c>
      <c r="H753" s="3" t="inlineStr">
        <is>
          <t>1521</t>
        </is>
      </c>
      <c r="I753" s="3" t="inlineStr">
        <is>
          <t>15</t>
        </is>
      </c>
      <c r="J753" s="3" t="inlineStr">
        <is>
          <t>FL</t>
        </is>
      </c>
      <c r="K753" s="3" t="inlineStr">
        <is>
          <t>United Secured Capital 8</t>
        </is>
      </c>
      <c r="L753" s="3" t="inlineStr">
        <is>
          <t>New Deal</t>
        </is>
      </c>
      <c r="M753" s="3" t="n">
        <v>1.49</v>
      </c>
      <c r="N753" s="28" t="n">
        <v>10000</v>
      </c>
      <c r="O753" s="28" t="n">
        <v>1400</v>
      </c>
      <c r="P753" s="28" t="n">
        <v>14900</v>
      </c>
      <c r="Q753" s="28" t="n">
        <v>10858.92</v>
      </c>
      <c r="R753" s="28" t="n">
        <v>4041.08</v>
      </c>
      <c r="S753" s="42" t="n">
        <v>0.728786577181208</v>
      </c>
      <c r="T753" s="3" t="n">
        <v>2.295</v>
      </c>
      <c r="U753" s="3" t="n">
        <v>6</v>
      </c>
      <c r="V753" s="3" t="n">
        <v>41248.09</v>
      </c>
      <c r="W753" s="42" t="n">
        <v>0.1084</v>
      </c>
      <c r="X753" s="23" t="n">
        <v>26104</v>
      </c>
      <c r="Y753" s="3">
        <f>IF(I753="","No SIC",IFERROR(VLOOKUP(I753,Ref!$A$2:$B$65,2,FALSE()),"Unclassified"))</f>
        <v/>
      </c>
      <c r="Z753" s="3">
        <f>IF(T753="","",IF(T753&lt;12,"Daily","Weekly"))</f>
        <v/>
      </c>
      <c r="AA753" s="3">
        <f>IF(T753="",0,IF(T753&lt;12,T753*Controls!$B$13,T753*5))</f>
        <v/>
      </c>
      <c r="AB753" s="3">
        <f>IF(E753="",0,NETWORKDAYS(E753,Controls!$B$20,Ref!$K$2:$K$42))</f>
        <v/>
      </c>
      <c r="AC753" s="3">
        <f>IF(OR(AF753=1,AND(AA753&gt;0,AB753&gt;=Controls!$B$23*AA753)),1,0)</f>
        <v/>
      </c>
      <c r="AD753" s="3">
        <f>IF(AND(E753&lt;&gt;"",E753&gt;=Controls!$B$21,E753&lt;=Controls!$B$22),1,0)</f>
        <v/>
      </c>
      <c r="AE753" s="3">
        <f>IF(IFERROR(VLOOKUP(D753,Controls!$A$36:$E$46,2,FALSE()),"No")="Yes",1,0)</f>
        <v/>
      </c>
      <c r="AF753" s="3">
        <f>IF(IFERROR(VLOOKUP(D753,Controls!$A$36:$E$46,3,FALSE()),"No")="Yes",1,0)</f>
        <v/>
      </c>
      <c r="AG753" s="3">
        <f>IF(IFERROR(VLOOKUP(D753,Controls!$A$36:$E$46,4,FALSE()),"No")="Yes",1,0)</f>
        <v/>
      </c>
      <c r="AH753" s="3">
        <f>IF(IFERROR(VLOOKUP(D753,Controls!$A$36:$E$46,5,FALSE()),"No")="Yes",1,0)</f>
        <v/>
      </c>
      <c r="AI753" s="3">
        <f>IF(ISNUMBER(MATCH(D753,Controls!$A$36:$A$46,0)),1,0)</f>
        <v/>
      </c>
      <c r="AJ753" s="28">
        <f>Q753-N753</f>
        <v/>
      </c>
      <c r="AK753" s="3">
        <f>IF(AE753=1,MAX(0,N753-Q753),0)</f>
        <v/>
      </c>
      <c r="AL753" s="3">
        <f>IF(OR(V753="",V753=0),0,N753/V753)</f>
        <v/>
      </c>
      <c r="AM753" s="3">
        <f>IF(OR(V753="",V753=0),0,1)</f>
        <v/>
      </c>
      <c r="AN753" s="3">
        <f>IF(OR(E753="",F753=""),0,NETWORKDAYS(E753,F753,Ref!$K$2:$K$42))</f>
        <v/>
      </c>
      <c r="AO753" s="3">
        <f>IF(L753="Renewal",1,0)</f>
        <v/>
      </c>
      <c r="AP753" s="3">
        <f>AC753*AD753</f>
        <v/>
      </c>
      <c r="AQ753" s="3">
        <f>IF(AND(G753&lt;&gt;"",'Historical Score'!$C$6&lt;&gt;""),IF(G753='Historical Score'!$C$6,1,0),0)</f>
        <v/>
      </c>
      <c r="AR753" s="3">
        <f>IF(AND(L753&lt;&gt;"",'Historical Score'!$C$5&lt;&gt;""),IF(L753='Historical Score'!$C$5,1,0),0)</f>
        <v/>
      </c>
      <c r="AS753" s="3">
        <f>IF(AND(Y753&lt;&gt;"",'Historical Score'!$C$7&lt;&gt;""),IF(Y753='Historical Score'!$C$7,1,0),0)</f>
        <v/>
      </c>
      <c r="AT753" s="3">
        <f>IF(AND(K753&lt;&gt;"",'Historical Score'!$C$8&lt;&gt;""),IF(K753='Historical Score'!$C$8,1,0),0)</f>
        <v/>
      </c>
      <c r="AU753" s="3" t="n"/>
      <c r="AV753" s="3" t="n"/>
      <c r="AW753" s="3" t="n"/>
      <c r="AX753" s="3" t="n"/>
      <c r="AY753" s="3" t="n"/>
      <c r="AZ753" s="3" t="n"/>
      <c r="BA753" s="182">
        <f>IF(AD753=1,(AR753*'Historical Score'!$K$29+1-'Historical Score'!$K$29)*(AT753*'Historical Score'!$L$29+1-'Historical Score'!$L$29)*(AS753*'Historical Score'!$M$29+1-'Historical Score'!$M$29)*(AQ753*'Historical Score'!$N$29+1-'Historical Score'!$N$29),0)</f>
        <v/>
      </c>
      <c r="BB753" s="3" t="n"/>
      <c r="BC753" s="3" t="n"/>
    </row>
    <row r="754" ht="15.75" customHeight="1" s="174">
      <c r="A754" s="3" t="inlineStr">
        <is>
          <t>5674180915</t>
        </is>
      </c>
      <c r="B754" s="3" t="inlineStr">
        <is>
          <t>GOLDEN GROVE, USA DBA CAROLINA  NUT TRANSPORT, INC DBA GOLDEN GROVE</t>
        </is>
      </c>
      <c r="C754" s="3" t="inlineStr">
        <is>
          <t>GOLDEN GROVE, USA INC</t>
        </is>
      </c>
      <c r="D754" s="3" t="inlineStr">
        <is>
          <t>Legal</t>
        </is>
      </c>
      <c r="E754" s="23" t="n">
        <v>46107</v>
      </c>
      <c r="F754" s="23" t="n">
        <v>46177</v>
      </c>
      <c r="G754" s="3" t="n">
        <v>3</v>
      </c>
      <c r="H754" s="3" t="inlineStr">
        <is>
          <t>5191</t>
        </is>
      </c>
      <c r="I754" s="3" t="inlineStr">
        <is>
          <t>51</t>
        </is>
      </c>
      <c r="J754" s="3" t="inlineStr">
        <is>
          <t>NC</t>
        </is>
      </c>
      <c r="K754" s="3" t="inlineStr">
        <is>
          <t>PMF</t>
        </is>
      </c>
      <c r="L754" s="3" t="inlineStr">
        <is>
          <t>New Deal</t>
        </is>
      </c>
      <c r="M754" s="3" t="n">
        <v>1.42</v>
      </c>
      <c r="N754" s="28" t="n">
        <v>250000</v>
      </c>
      <c r="O754" s="28" t="n">
        <v>0</v>
      </c>
      <c r="P754" s="28" t="n">
        <v>355000</v>
      </c>
      <c r="Q754" s="28" t="n">
        <v>23071.94</v>
      </c>
      <c r="R754" s="28" t="n">
        <v>331928.06</v>
      </c>
      <c r="S754" s="42" t="n">
        <v>0.0649913802816901</v>
      </c>
      <c r="T754" s="3" t="n">
        <v>3.279</v>
      </c>
      <c r="U754" s="3" t="n">
        <v>32</v>
      </c>
      <c r="V754" s="3" t="n">
        <v>2129544.31</v>
      </c>
      <c r="W754" s="42" t="n">
        <v>0.0535</v>
      </c>
      <c r="X754" s="23" t="n">
        <v>43017</v>
      </c>
      <c r="Y754" s="3">
        <f>IF(I754="","No SIC",IFERROR(VLOOKUP(I754,Ref!$A$2:$B$65,2,FALSE()),"Unclassified"))</f>
        <v/>
      </c>
      <c r="Z754" s="3">
        <f>IF(T754="","",IF(T754&lt;12,"Daily","Weekly"))</f>
        <v/>
      </c>
      <c r="AA754" s="3">
        <f>IF(T754="",0,IF(T754&lt;12,T754*Controls!$B$13,T754*5))</f>
        <v/>
      </c>
      <c r="AB754" s="3">
        <f>IF(E754="",0,NETWORKDAYS(E754,Controls!$B$20,Ref!$K$2:$K$42))</f>
        <v/>
      </c>
      <c r="AC754" s="3">
        <f>IF(OR(AF754=1,AND(AA754&gt;0,AB754&gt;=Controls!$B$23*AA754)),1,0)</f>
        <v/>
      </c>
      <c r="AD754" s="3">
        <f>IF(AND(E754&lt;&gt;"",E754&gt;=Controls!$B$21,E754&lt;=Controls!$B$22),1,0)</f>
        <v/>
      </c>
      <c r="AE754" s="3">
        <f>IF(IFERROR(VLOOKUP(D754,Controls!$A$36:$E$46,2,FALSE()),"No")="Yes",1,0)</f>
        <v/>
      </c>
      <c r="AF754" s="3">
        <f>IF(IFERROR(VLOOKUP(D754,Controls!$A$36:$E$46,3,FALSE()),"No")="Yes",1,0)</f>
        <v/>
      </c>
      <c r="AG754" s="3">
        <f>IF(IFERROR(VLOOKUP(D754,Controls!$A$36:$E$46,4,FALSE()),"No")="Yes",1,0)</f>
        <v/>
      </c>
      <c r="AH754" s="3">
        <f>IF(IFERROR(VLOOKUP(D754,Controls!$A$36:$E$46,5,FALSE()),"No")="Yes",1,0)</f>
        <v/>
      </c>
      <c r="AI754" s="3">
        <f>IF(ISNUMBER(MATCH(D754,Controls!$A$36:$A$46,0)),1,0)</f>
        <v/>
      </c>
      <c r="AJ754" s="28">
        <f>Q754-N754</f>
        <v/>
      </c>
      <c r="AK754" s="3">
        <f>IF(AE754=1,MAX(0,N754-Q754),0)</f>
        <v/>
      </c>
      <c r="AL754" s="3">
        <f>IF(OR(V754="",V754=0),0,N754/V754)</f>
        <v/>
      </c>
      <c r="AM754" s="3">
        <f>IF(OR(V754="",V754=0),0,1)</f>
        <v/>
      </c>
      <c r="AN754" s="3">
        <f>IF(OR(E754="",F754=""),0,NETWORKDAYS(E754,F754,Ref!$K$2:$K$42))</f>
        <v/>
      </c>
      <c r="AO754" s="3">
        <f>IF(L754="Renewal",1,0)</f>
        <v/>
      </c>
      <c r="AP754" s="3">
        <f>AC754*AD754</f>
        <v/>
      </c>
      <c r="AQ754" s="3">
        <f>IF(AND(G754&lt;&gt;"",'Historical Score'!$C$6&lt;&gt;""),IF(G754='Historical Score'!$C$6,1,0),0)</f>
        <v/>
      </c>
      <c r="AR754" s="3">
        <f>IF(AND(L754&lt;&gt;"",'Historical Score'!$C$5&lt;&gt;""),IF(L754='Historical Score'!$C$5,1,0),0)</f>
        <v/>
      </c>
      <c r="AS754" s="3">
        <f>IF(AND(Y754&lt;&gt;"",'Historical Score'!$C$7&lt;&gt;""),IF(Y754='Historical Score'!$C$7,1,0),0)</f>
        <v/>
      </c>
      <c r="AT754" s="3">
        <f>IF(AND(K754&lt;&gt;"",'Historical Score'!$C$8&lt;&gt;""),IF(K754='Historical Score'!$C$8,1,0),0)</f>
        <v/>
      </c>
      <c r="AU754" s="3" t="n"/>
      <c r="AV754" s="3" t="n"/>
      <c r="AW754" s="3" t="n"/>
      <c r="AX754" s="3" t="n"/>
      <c r="AY754" s="3" t="n"/>
      <c r="AZ754" s="3" t="n"/>
      <c r="BA754" s="182">
        <f>IF(AD754=1,(AR754*'Historical Score'!$K$29+1-'Historical Score'!$K$29)*(AT754*'Historical Score'!$L$29+1-'Historical Score'!$L$29)*(AS754*'Historical Score'!$M$29+1-'Historical Score'!$M$29)*(AQ754*'Historical Score'!$N$29+1-'Historical Score'!$N$29),0)</f>
        <v/>
      </c>
      <c r="BB754" s="3" t="n"/>
      <c r="BC754" s="3" t="n"/>
    </row>
    <row r="755" ht="15.75" customHeight="1" s="174">
      <c r="A755" s="3" t="inlineStr">
        <is>
          <t>5674180929</t>
        </is>
      </c>
      <c r="B755" s="3" t="inlineStr">
        <is>
          <t>Vets 4 Alltrades Dumping And Hauling</t>
        </is>
      </c>
      <c r="C755" s="3" t="inlineStr">
        <is>
          <t>Vets 4 Alltrades Dumping And Hauling</t>
        </is>
      </c>
      <c r="D755" s="3" t="inlineStr">
        <is>
          <t>In House Collection</t>
        </is>
      </c>
      <c r="E755" s="23" t="n">
        <v>46108</v>
      </c>
      <c r="F755" s="23" t="n">
        <v>46174</v>
      </c>
      <c r="G755" s="3" t="n">
        <v>3</v>
      </c>
      <c r="H755" s="3" t="inlineStr">
        <is>
          <t>3537</t>
        </is>
      </c>
      <c r="I755" s="3" t="inlineStr">
        <is>
          <t>35</t>
        </is>
      </c>
      <c r="J755" s="3" t="inlineStr">
        <is>
          <t>SC</t>
        </is>
      </c>
      <c r="K755" s="3" t="inlineStr">
        <is>
          <t>Ace Partners</t>
        </is>
      </c>
      <c r="L755" s="3" t="inlineStr">
        <is>
          <t>New Deal</t>
        </is>
      </c>
      <c r="M755" s="3" t="n">
        <v>1.45</v>
      </c>
      <c r="N755" s="28" t="n">
        <v>30000</v>
      </c>
      <c r="O755" s="28" t="n">
        <v>3600</v>
      </c>
      <c r="P755" s="28" t="n">
        <v>43500</v>
      </c>
      <c r="Q755" s="28" t="n">
        <v>15225</v>
      </c>
      <c r="R755" s="28" t="n">
        <v>28275</v>
      </c>
      <c r="S755" s="42" t="n">
        <v>0.35</v>
      </c>
      <c r="T755" s="3" t="n">
        <v>3.934</v>
      </c>
      <c r="U755" s="3" t="n">
        <v>4</v>
      </c>
      <c r="V755" s="3" t="n">
        <v>47194.8</v>
      </c>
      <c r="W755" s="42" t="n">
        <v>0.1613</v>
      </c>
      <c r="X755" s="23" t="n">
        <v>44511</v>
      </c>
      <c r="Y755" s="3">
        <f>IF(I755="","No SIC",IFERROR(VLOOKUP(I755,Ref!$A$2:$B$65,2,FALSE()),"Unclassified"))</f>
        <v/>
      </c>
      <c r="Z755" s="3">
        <f>IF(T755="","",IF(T755&lt;12,"Daily","Weekly"))</f>
        <v/>
      </c>
      <c r="AA755" s="3">
        <f>IF(T755="",0,IF(T755&lt;12,T755*Controls!$B$13,T755*5))</f>
        <v/>
      </c>
      <c r="AB755" s="3">
        <f>IF(E755="",0,NETWORKDAYS(E755,Controls!$B$20,Ref!$K$2:$K$42))</f>
        <v/>
      </c>
      <c r="AC755" s="3">
        <f>IF(OR(AF755=1,AND(AA755&gt;0,AB755&gt;=Controls!$B$23*AA755)),1,0)</f>
        <v/>
      </c>
      <c r="AD755" s="3">
        <f>IF(AND(E755&lt;&gt;"",E755&gt;=Controls!$B$21,E755&lt;=Controls!$B$22),1,0)</f>
        <v/>
      </c>
      <c r="AE755" s="3">
        <f>IF(IFERROR(VLOOKUP(D755,Controls!$A$36:$E$46,2,FALSE()),"No")="Yes",1,0)</f>
        <v/>
      </c>
      <c r="AF755" s="3">
        <f>IF(IFERROR(VLOOKUP(D755,Controls!$A$36:$E$46,3,FALSE()),"No")="Yes",1,0)</f>
        <v/>
      </c>
      <c r="AG755" s="3">
        <f>IF(IFERROR(VLOOKUP(D755,Controls!$A$36:$E$46,4,FALSE()),"No")="Yes",1,0)</f>
        <v/>
      </c>
      <c r="AH755" s="3">
        <f>IF(IFERROR(VLOOKUP(D755,Controls!$A$36:$E$46,5,FALSE()),"No")="Yes",1,0)</f>
        <v/>
      </c>
      <c r="AI755" s="3">
        <f>IF(ISNUMBER(MATCH(D755,Controls!$A$36:$A$46,0)),1,0)</f>
        <v/>
      </c>
      <c r="AJ755" s="28">
        <f>Q755-N755</f>
        <v/>
      </c>
      <c r="AK755" s="3">
        <f>IF(AE755=1,MAX(0,N755-Q755),0)</f>
        <v/>
      </c>
      <c r="AL755" s="3">
        <f>IF(OR(V755="",V755=0),0,N755/V755)</f>
        <v/>
      </c>
      <c r="AM755" s="3">
        <f>IF(OR(V755="",V755=0),0,1)</f>
        <v/>
      </c>
      <c r="AN755" s="3">
        <f>IF(OR(E755="",F755=""),0,NETWORKDAYS(E755,F755,Ref!$K$2:$K$42))</f>
        <v/>
      </c>
      <c r="AO755" s="3">
        <f>IF(L755="Renewal",1,0)</f>
        <v/>
      </c>
      <c r="AP755" s="3">
        <f>AC755*AD755</f>
        <v/>
      </c>
      <c r="AQ755" s="3">
        <f>IF(AND(G755&lt;&gt;"",'Historical Score'!$C$6&lt;&gt;""),IF(G755='Historical Score'!$C$6,1,0),0)</f>
        <v/>
      </c>
      <c r="AR755" s="3">
        <f>IF(AND(L755&lt;&gt;"",'Historical Score'!$C$5&lt;&gt;""),IF(L755='Historical Score'!$C$5,1,0),0)</f>
        <v/>
      </c>
      <c r="AS755" s="3">
        <f>IF(AND(Y755&lt;&gt;"",'Historical Score'!$C$7&lt;&gt;""),IF(Y755='Historical Score'!$C$7,1,0),0)</f>
        <v/>
      </c>
      <c r="AT755" s="3">
        <f>IF(AND(K755&lt;&gt;"",'Historical Score'!$C$8&lt;&gt;""),IF(K755='Historical Score'!$C$8,1,0),0)</f>
        <v/>
      </c>
      <c r="AU755" s="3" t="n"/>
      <c r="AV755" s="3" t="n"/>
      <c r="AW755" s="3" t="n"/>
      <c r="AX755" s="3" t="n"/>
      <c r="AY755" s="3" t="n"/>
      <c r="AZ755" s="3" t="n"/>
      <c r="BA755" s="182">
        <f>IF(AD755=1,(AR755*'Historical Score'!$K$29+1-'Historical Score'!$K$29)*(AT755*'Historical Score'!$L$29+1-'Historical Score'!$L$29)*(AS755*'Historical Score'!$M$29+1-'Historical Score'!$M$29)*(AQ755*'Historical Score'!$N$29+1-'Historical Score'!$N$29),0)</f>
        <v/>
      </c>
      <c r="BB755" s="3" t="n"/>
      <c r="BC755" s="3" t="n"/>
    </row>
    <row r="756" ht="15.75" customHeight="1" s="174">
      <c r="A756" s="3" t="inlineStr">
        <is>
          <t>5674180949</t>
        </is>
      </c>
      <c r="B756" s="3" t="inlineStr">
        <is>
          <t>Escapade Games</t>
        </is>
      </c>
      <c r="C756" s="3" t="inlineStr">
        <is>
          <t>ZOE ESCAPE LLC</t>
        </is>
      </c>
      <c r="D756" s="3" t="inlineStr">
        <is>
          <t>Closed</t>
        </is>
      </c>
      <c r="E756" s="23" t="n">
        <v>46108</v>
      </c>
      <c r="F756" s="23" t="n">
        <v>46237</v>
      </c>
      <c r="G756" s="3" t="n">
        <v>1</v>
      </c>
      <c r="H756" s="3" t="inlineStr">
        <is>
          <t>5812</t>
        </is>
      </c>
      <c r="I756" s="3" t="inlineStr">
        <is>
          <t>58</t>
        </is>
      </c>
      <c r="J756" s="3" t="inlineStr">
        <is>
          <t>CA</t>
        </is>
      </c>
      <c r="K756" s="3" t="inlineStr">
        <is>
          <t>Platform Funding</t>
        </is>
      </c>
      <c r="L756" s="3" t="inlineStr">
        <is>
          <t>Renewal</t>
        </is>
      </c>
      <c r="M756" s="3" t="n">
        <v>1.49</v>
      </c>
      <c r="N756" s="28" t="n">
        <v>20000</v>
      </c>
      <c r="O756" s="28" t="n">
        <v>2800</v>
      </c>
      <c r="P756" s="28" t="n">
        <v>29800</v>
      </c>
      <c r="Q756" s="28" t="n">
        <v>29800</v>
      </c>
      <c r="R756" s="28" t="n">
        <v>0</v>
      </c>
      <c r="S756" s="42" t="n">
        <v>1</v>
      </c>
      <c r="T756" s="3" t="n">
        <v>3.016</v>
      </c>
      <c r="U756" s="3" t="n">
        <v>1</v>
      </c>
      <c r="V756" s="3" t="n">
        <v>36941.24</v>
      </c>
      <c r="W756" s="42" t="n">
        <v>0.0746</v>
      </c>
      <c r="X756" s="23" t="n">
        <v>45139</v>
      </c>
      <c r="Y756" s="3">
        <f>IF(I756="","No SIC",IFERROR(VLOOKUP(I756,Ref!$A$2:$B$65,2,FALSE()),"Unclassified"))</f>
        <v/>
      </c>
      <c r="Z756" s="3">
        <f>IF(T756="","",IF(T756&lt;12,"Daily","Weekly"))</f>
        <v/>
      </c>
      <c r="AA756" s="3">
        <f>IF(T756="",0,IF(T756&lt;12,T756*Controls!$B$13,T756*5))</f>
        <v/>
      </c>
      <c r="AB756" s="3">
        <f>IF(E756="",0,NETWORKDAYS(E756,Controls!$B$20,Ref!$K$2:$K$42))</f>
        <v/>
      </c>
      <c r="AC756" s="3">
        <f>IF(OR(AF756=1,AND(AA756&gt;0,AB756&gt;=Controls!$B$23*AA756)),1,0)</f>
        <v/>
      </c>
      <c r="AD756" s="3">
        <f>IF(AND(E756&lt;&gt;"",E756&gt;=Controls!$B$21,E756&lt;=Controls!$B$22),1,0)</f>
        <v/>
      </c>
      <c r="AE756" s="3">
        <f>IF(IFERROR(VLOOKUP(D756,Controls!$A$36:$E$46,2,FALSE()),"No")="Yes",1,0)</f>
        <v/>
      </c>
      <c r="AF756" s="3">
        <f>IF(IFERROR(VLOOKUP(D756,Controls!$A$36:$E$46,3,FALSE()),"No")="Yes",1,0)</f>
        <v/>
      </c>
      <c r="AG756" s="3">
        <f>IF(IFERROR(VLOOKUP(D756,Controls!$A$36:$E$46,4,FALSE()),"No")="Yes",1,0)</f>
        <v/>
      </c>
      <c r="AH756" s="3">
        <f>IF(IFERROR(VLOOKUP(D756,Controls!$A$36:$E$46,5,FALSE()),"No")="Yes",1,0)</f>
        <v/>
      </c>
      <c r="AI756" s="3">
        <f>IF(ISNUMBER(MATCH(D756,Controls!$A$36:$A$46,0)),1,0)</f>
        <v/>
      </c>
      <c r="AJ756" s="28">
        <f>Q756-N756</f>
        <v/>
      </c>
      <c r="AK756" s="3">
        <f>IF(AE756=1,MAX(0,N756-Q756),0)</f>
        <v/>
      </c>
      <c r="AL756" s="3">
        <f>IF(OR(V756="",V756=0),0,N756/V756)</f>
        <v/>
      </c>
      <c r="AM756" s="3">
        <f>IF(OR(V756="",V756=0),0,1)</f>
        <v/>
      </c>
      <c r="AN756" s="3">
        <f>IF(OR(E756="",F756=""),0,NETWORKDAYS(E756,F756,Ref!$K$2:$K$42))</f>
        <v/>
      </c>
      <c r="AO756" s="3">
        <f>IF(L756="Renewal",1,0)</f>
        <v/>
      </c>
      <c r="AP756" s="3">
        <f>AC756*AD756</f>
        <v/>
      </c>
      <c r="AQ756" s="3">
        <f>IF(AND(G756&lt;&gt;"",'Historical Score'!$C$6&lt;&gt;""),IF(G756='Historical Score'!$C$6,1,0),0)</f>
        <v/>
      </c>
      <c r="AR756" s="3">
        <f>IF(AND(L756&lt;&gt;"",'Historical Score'!$C$5&lt;&gt;""),IF(L756='Historical Score'!$C$5,1,0),0)</f>
        <v/>
      </c>
      <c r="AS756" s="3">
        <f>IF(AND(Y756&lt;&gt;"",'Historical Score'!$C$7&lt;&gt;""),IF(Y756='Historical Score'!$C$7,1,0),0)</f>
        <v/>
      </c>
      <c r="AT756" s="3">
        <f>IF(AND(K756&lt;&gt;"",'Historical Score'!$C$8&lt;&gt;""),IF(K756='Historical Score'!$C$8,1,0),0)</f>
        <v/>
      </c>
      <c r="AU756" s="3" t="n"/>
      <c r="AV756" s="3" t="n"/>
      <c r="AW756" s="3" t="n"/>
      <c r="AX756" s="3" t="n"/>
      <c r="AY756" s="3" t="n"/>
      <c r="AZ756" s="3" t="n"/>
      <c r="BA756" s="182">
        <f>IF(AD756=1,(AR756*'Historical Score'!$K$29+1-'Historical Score'!$K$29)*(AT756*'Historical Score'!$L$29+1-'Historical Score'!$L$29)*(AS756*'Historical Score'!$M$29+1-'Historical Score'!$M$29)*(AQ756*'Historical Score'!$N$29+1-'Historical Score'!$N$29),0)</f>
        <v/>
      </c>
      <c r="BB756" s="3" t="n"/>
      <c r="BC756" s="3" t="n"/>
    </row>
    <row r="757" ht="15.75" customHeight="1" s="174">
      <c r="A757" s="3" t="inlineStr">
        <is>
          <t>5674180955</t>
        </is>
      </c>
      <c r="B757" s="3" t="inlineStr">
        <is>
          <t>JERICHO AUDIO/VISUAL, L.L.C.</t>
        </is>
      </c>
      <c r="C757" s="3" t="inlineStr">
        <is>
          <t>JERICHO AUDIO/VISUAL, L.L.C.</t>
        </is>
      </c>
      <c r="D757" s="3" t="inlineStr">
        <is>
          <t>Open</t>
        </is>
      </c>
      <c r="E757" s="23" t="n">
        <v>46108</v>
      </c>
      <c r="F757" s="23" t="n">
        <v>46253</v>
      </c>
      <c r="G757" s="3" t="n">
        <v>2</v>
      </c>
      <c r="H757" s="3" t="inlineStr">
        <is>
          <t>3651</t>
        </is>
      </c>
      <c r="I757" s="3" t="inlineStr">
        <is>
          <t>36</t>
        </is>
      </c>
      <c r="J757" s="3" t="inlineStr">
        <is>
          <t>NC</t>
        </is>
      </c>
      <c r="K757" s="3" t="inlineStr">
        <is>
          <t>Fundwell</t>
        </is>
      </c>
      <c r="L757" s="3" t="inlineStr">
        <is>
          <t>Renewal</t>
        </is>
      </c>
      <c r="M757" s="3" t="n">
        <v>1.45</v>
      </c>
      <c r="N757" s="28" t="n">
        <v>20000</v>
      </c>
      <c r="O757" s="28" t="n">
        <v>2960</v>
      </c>
      <c r="P757" s="28" t="n">
        <v>29000</v>
      </c>
      <c r="Q757" s="28" t="n">
        <v>20053.63</v>
      </c>
      <c r="R757" s="28" t="n">
        <v>8946.370000000001</v>
      </c>
      <c r="S757" s="42" t="n">
        <v>0.691504482758621</v>
      </c>
      <c r="T757" s="3" t="n">
        <v>3.934</v>
      </c>
      <c r="U757" s="3" t="n">
        <v>11</v>
      </c>
      <c r="V757" s="3" t="n">
        <v>37312.1</v>
      </c>
      <c r="W757" s="42" t="n">
        <v>0.1443</v>
      </c>
      <c r="X757" s="23" t="n">
        <v>40922</v>
      </c>
      <c r="Y757" s="3">
        <f>IF(I757="","No SIC",IFERROR(VLOOKUP(I757,Ref!$A$2:$B$65,2,FALSE()),"Unclassified"))</f>
        <v/>
      </c>
      <c r="Z757" s="3">
        <f>IF(T757="","",IF(T757&lt;12,"Daily","Weekly"))</f>
        <v/>
      </c>
      <c r="AA757" s="3">
        <f>IF(T757="",0,IF(T757&lt;12,T757*Controls!$B$13,T757*5))</f>
        <v/>
      </c>
      <c r="AB757" s="3">
        <f>IF(E757="",0,NETWORKDAYS(E757,Controls!$B$20,Ref!$K$2:$K$42))</f>
        <v/>
      </c>
      <c r="AC757" s="3">
        <f>IF(OR(AF757=1,AND(AA757&gt;0,AB757&gt;=Controls!$B$23*AA757)),1,0)</f>
        <v/>
      </c>
      <c r="AD757" s="3">
        <f>IF(AND(E757&lt;&gt;"",E757&gt;=Controls!$B$21,E757&lt;=Controls!$B$22),1,0)</f>
        <v/>
      </c>
      <c r="AE757" s="3">
        <f>IF(IFERROR(VLOOKUP(D757,Controls!$A$36:$E$46,2,FALSE()),"No")="Yes",1,0)</f>
        <v/>
      </c>
      <c r="AF757" s="3">
        <f>IF(IFERROR(VLOOKUP(D757,Controls!$A$36:$E$46,3,FALSE()),"No")="Yes",1,0)</f>
        <v/>
      </c>
      <c r="AG757" s="3">
        <f>IF(IFERROR(VLOOKUP(D757,Controls!$A$36:$E$46,4,FALSE()),"No")="Yes",1,0)</f>
        <v/>
      </c>
      <c r="AH757" s="3">
        <f>IF(IFERROR(VLOOKUP(D757,Controls!$A$36:$E$46,5,FALSE()),"No")="Yes",1,0)</f>
        <v/>
      </c>
      <c r="AI757" s="3">
        <f>IF(ISNUMBER(MATCH(D757,Controls!$A$36:$A$46,0)),1,0)</f>
        <v/>
      </c>
      <c r="AJ757" s="28">
        <f>Q757-N757</f>
        <v/>
      </c>
      <c r="AK757" s="3">
        <f>IF(AE757=1,MAX(0,N757-Q757),0)</f>
        <v/>
      </c>
      <c r="AL757" s="3">
        <f>IF(OR(V757="",V757=0),0,N757/V757)</f>
        <v/>
      </c>
      <c r="AM757" s="3">
        <f>IF(OR(V757="",V757=0),0,1)</f>
        <v/>
      </c>
      <c r="AN757" s="3">
        <f>IF(OR(E757="",F757=""),0,NETWORKDAYS(E757,F757,Ref!$K$2:$K$42))</f>
        <v/>
      </c>
      <c r="AO757" s="3">
        <f>IF(L757="Renewal",1,0)</f>
        <v/>
      </c>
      <c r="AP757" s="3">
        <f>AC757*AD757</f>
        <v/>
      </c>
      <c r="AQ757" s="3">
        <f>IF(AND(G757&lt;&gt;"",'Historical Score'!$C$6&lt;&gt;""),IF(G757='Historical Score'!$C$6,1,0),0)</f>
        <v/>
      </c>
      <c r="AR757" s="3">
        <f>IF(AND(L757&lt;&gt;"",'Historical Score'!$C$5&lt;&gt;""),IF(L757='Historical Score'!$C$5,1,0),0)</f>
        <v/>
      </c>
      <c r="AS757" s="3">
        <f>IF(AND(Y757&lt;&gt;"",'Historical Score'!$C$7&lt;&gt;""),IF(Y757='Historical Score'!$C$7,1,0),0)</f>
        <v/>
      </c>
      <c r="AT757" s="3">
        <f>IF(AND(K757&lt;&gt;"",'Historical Score'!$C$8&lt;&gt;""),IF(K757='Historical Score'!$C$8,1,0),0)</f>
        <v/>
      </c>
      <c r="AU757" s="3" t="n"/>
      <c r="AV757" s="3" t="n"/>
      <c r="AW757" s="3" t="n"/>
      <c r="AX757" s="3" t="n"/>
      <c r="AY757" s="3" t="n"/>
      <c r="AZ757" s="3" t="n"/>
      <c r="BA757" s="182">
        <f>IF(AD757=1,(AR757*'Historical Score'!$K$29+1-'Historical Score'!$K$29)*(AT757*'Historical Score'!$L$29+1-'Historical Score'!$L$29)*(AS757*'Historical Score'!$M$29+1-'Historical Score'!$M$29)*(AQ757*'Historical Score'!$N$29+1-'Historical Score'!$N$29),0)</f>
        <v/>
      </c>
      <c r="BB757" s="3" t="n"/>
      <c r="BC757" s="3" t="n"/>
    </row>
    <row r="758" ht="15.75" customHeight="1" s="174">
      <c r="A758" s="3" t="inlineStr">
        <is>
          <t>5674180967</t>
        </is>
      </c>
      <c r="B758" s="3" t="inlineStr">
        <is>
          <t>FSP CONTRACTING LLC</t>
        </is>
      </c>
      <c r="C758" s="3" t="inlineStr">
        <is>
          <t>FSP CONTRACTING LLC</t>
        </is>
      </c>
      <c r="D758" s="3" t="inlineStr">
        <is>
          <t>In House Collection</t>
        </is>
      </c>
      <c r="E758" s="23" t="n">
        <v>46108</v>
      </c>
      <c r="F758" s="23" t="n">
        <v>46223</v>
      </c>
      <c r="G758" s="3" t="n">
        <v>3</v>
      </c>
      <c r="H758" s="3" t="inlineStr">
        <is>
          <t>1521</t>
        </is>
      </c>
      <c r="I758" s="3" t="inlineStr">
        <is>
          <t>15</t>
        </is>
      </c>
      <c r="J758" s="3" t="inlineStr">
        <is>
          <t>KS</t>
        </is>
      </c>
      <c r="K758" s="3" t="inlineStr">
        <is>
          <t>United Secured Capital 8</t>
        </is>
      </c>
      <c r="L758" s="3" t="inlineStr">
        <is>
          <t>New Deal</t>
        </is>
      </c>
      <c r="M758" s="3" t="n">
        <v>1.49</v>
      </c>
      <c r="N758" s="28" t="n">
        <v>5000</v>
      </c>
      <c r="O758" s="28" t="n">
        <v>0</v>
      </c>
      <c r="P758" s="28" t="n">
        <v>7450</v>
      </c>
      <c r="Q758" s="28" t="n">
        <v>1304.17</v>
      </c>
      <c r="R758" s="28" t="n">
        <v>6145.83</v>
      </c>
      <c r="S758" s="42" t="n">
        <v>0.175056375838926</v>
      </c>
      <c r="T758" s="3" t="n">
        <v>2.623</v>
      </c>
      <c r="U758" s="3" t="n">
        <v>49</v>
      </c>
      <c r="V758" s="3" t="n">
        <v>39596.57</v>
      </c>
      <c r="W758" s="42" t="n">
        <v>0.0494</v>
      </c>
      <c r="X758" s="23" t="n">
        <v>45860</v>
      </c>
      <c r="Y758" s="3">
        <f>IF(I758="","No SIC",IFERROR(VLOOKUP(I758,Ref!$A$2:$B$65,2,FALSE()),"Unclassified"))</f>
        <v/>
      </c>
      <c r="Z758" s="3">
        <f>IF(T758="","",IF(T758&lt;12,"Daily","Weekly"))</f>
        <v/>
      </c>
      <c r="AA758" s="3">
        <f>IF(T758="",0,IF(T758&lt;12,T758*Controls!$B$13,T758*5))</f>
        <v/>
      </c>
      <c r="AB758" s="3">
        <f>IF(E758="",0,NETWORKDAYS(E758,Controls!$B$20,Ref!$K$2:$K$42))</f>
        <v/>
      </c>
      <c r="AC758" s="3">
        <f>IF(OR(AF758=1,AND(AA758&gt;0,AB758&gt;=Controls!$B$23*AA758)),1,0)</f>
        <v/>
      </c>
      <c r="AD758" s="3">
        <f>IF(AND(E758&lt;&gt;"",E758&gt;=Controls!$B$21,E758&lt;=Controls!$B$22),1,0)</f>
        <v/>
      </c>
      <c r="AE758" s="3">
        <f>IF(IFERROR(VLOOKUP(D758,Controls!$A$36:$E$46,2,FALSE()),"No")="Yes",1,0)</f>
        <v/>
      </c>
      <c r="AF758" s="3">
        <f>IF(IFERROR(VLOOKUP(D758,Controls!$A$36:$E$46,3,FALSE()),"No")="Yes",1,0)</f>
        <v/>
      </c>
      <c r="AG758" s="3">
        <f>IF(IFERROR(VLOOKUP(D758,Controls!$A$36:$E$46,4,FALSE()),"No")="Yes",1,0)</f>
        <v/>
      </c>
      <c r="AH758" s="3">
        <f>IF(IFERROR(VLOOKUP(D758,Controls!$A$36:$E$46,5,FALSE()),"No")="Yes",1,0)</f>
        <v/>
      </c>
      <c r="AI758" s="3">
        <f>IF(ISNUMBER(MATCH(D758,Controls!$A$36:$A$46,0)),1,0)</f>
        <v/>
      </c>
      <c r="AJ758" s="28">
        <f>Q758-N758</f>
        <v/>
      </c>
      <c r="AK758" s="3">
        <f>IF(AE758=1,MAX(0,N758-Q758),0)</f>
        <v/>
      </c>
      <c r="AL758" s="3">
        <f>IF(OR(V758="",V758=0),0,N758/V758)</f>
        <v/>
      </c>
      <c r="AM758" s="3">
        <f>IF(OR(V758="",V758=0),0,1)</f>
        <v/>
      </c>
      <c r="AN758" s="3">
        <f>IF(OR(E758="",F758=""),0,NETWORKDAYS(E758,F758,Ref!$K$2:$K$42))</f>
        <v/>
      </c>
      <c r="AO758" s="3">
        <f>IF(L758="Renewal",1,0)</f>
        <v/>
      </c>
      <c r="AP758" s="3">
        <f>AC758*AD758</f>
        <v/>
      </c>
      <c r="AQ758" s="3">
        <f>IF(AND(G758&lt;&gt;"",'Historical Score'!$C$6&lt;&gt;""),IF(G758='Historical Score'!$C$6,1,0),0)</f>
        <v/>
      </c>
      <c r="AR758" s="3">
        <f>IF(AND(L758&lt;&gt;"",'Historical Score'!$C$5&lt;&gt;""),IF(L758='Historical Score'!$C$5,1,0),0)</f>
        <v/>
      </c>
      <c r="AS758" s="3">
        <f>IF(AND(Y758&lt;&gt;"",'Historical Score'!$C$7&lt;&gt;""),IF(Y758='Historical Score'!$C$7,1,0),0)</f>
        <v/>
      </c>
      <c r="AT758" s="3">
        <f>IF(AND(K758&lt;&gt;"",'Historical Score'!$C$8&lt;&gt;""),IF(K758='Historical Score'!$C$8,1,0),0)</f>
        <v/>
      </c>
      <c r="AU758" s="3" t="n"/>
      <c r="AV758" s="3" t="n"/>
      <c r="AW758" s="3" t="n"/>
      <c r="AX758" s="3" t="n"/>
      <c r="AY758" s="3" t="n"/>
      <c r="AZ758" s="3" t="n"/>
      <c r="BA758" s="182">
        <f>IF(AD758=1,(AR758*'Historical Score'!$K$29+1-'Historical Score'!$K$29)*(AT758*'Historical Score'!$L$29+1-'Historical Score'!$L$29)*(AS758*'Historical Score'!$M$29+1-'Historical Score'!$M$29)*(AQ758*'Historical Score'!$N$29+1-'Historical Score'!$N$29),0)</f>
        <v/>
      </c>
      <c r="BB758" s="3" t="n"/>
      <c r="BC758" s="3" t="n"/>
    </row>
    <row r="759" ht="15.75" customHeight="1" s="174">
      <c r="A759" s="3" t="inlineStr">
        <is>
          <t>5674181000</t>
        </is>
      </c>
      <c r="B759" s="3" t="inlineStr">
        <is>
          <t>AISB ENTERPRISES, INC.</t>
        </is>
      </c>
      <c r="C759" s="3" t="inlineStr">
        <is>
          <t>AISB ENTERPRISES, INC.</t>
        </is>
      </c>
      <c r="D759" s="3" t="inlineStr">
        <is>
          <t>Legal</t>
        </is>
      </c>
      <c r="E759" s="23" t="n">
        <v>46108</v>
      </c>
      <c r="F759" s="23" t="n">
        <v>46136</v>
      </c>
      <c r="G759" s="3" t="n">
        <v>3</v>
      </c>
      <c r="H759" s="3" t="inlineStr">
        <is>
          <t>7378</t>
        </is>
      </c>
      <c r="I759" s="3" t="inlineStr">
        <is>
          <t>73</t>
        </is>
      </c>
      <c r="J759" s="3" t="inlineStr">
        <is>
          <t>TX</t>
        </is>
      </c>
      <c r="K759" s="3" t="inlineStr">
        <is>
          <t>United Secured Capital 8</t>
        </is>
      </c>
      <c r="L759" s="3" t="inlineStr">
        <is>
          <t>New Deal</t>
        </is>
      </c>
      <c r="M759" s="3" t="n">
        <v>1.39</v>
      </c>
      <c r="N759" s="28" t="n">
        <v>30000</v>
      </c>
      <c r="O759" s="28" t="n">
        <v>0</v>
      </c>
      <c r="P759" s="28" t="n">
        <v>41700</v>
      </c>
      <c r="Q759" s="28" t="n">
        <v>6575.73</v>
      </c>
      <c r="R759" s="28" t="n">
        <v>35124.27</v>
      </c>
      <c r="S759" s="42" t="n">
        <v>0.157691366906475</v>
      </c>
      <c r="T759" s="3" t="n">
        <v>19</v>
      </c>
      <c r="U759" s="3" t="n">
        <v>1</v>
      </c>
      <c r="V759" s="3" t="n">
        <v>301293.75</v>
      </c>
      <c r="W759" s="42" t="n">
        <v>0.0291</v>
      </c>
      <c r="X759" s="23" t="n">
        <v>43101</v>
      </c>
      <c r="Y759" s="3">
        <f>IF(I759="","No SIC",IFERROR(VLOOKUP(I759,Ref!$A$2:$B$65,2,FALSE()),"Unclassified"))</f>
        <v/>
      </c>
      <c r="Z759" s="3">
        <f>IF(T759="","",IF(T759&lt;12,"Daily","Weekly"))</f>
        <v/>
      </c>
      <c r="AA759" s="3">
        <f>IF(T759="",0,IF(T759&lt;12,T759*Controls!$B$13,T759*5))</f>
        <v/>
      </c>
      <c r="AB759" s="3">
        <f>IF(E759="",0,NETWORKDAYS(E759,Controls!$B$20,Ref!$K$2:$K$42))</f>
        <v/>
      </c>
      <c r="AC759" s="3">
        <f>IF(OR(AF759=1,AND(AA759&gt;0,AB759&gt;=Controls!$B$23*AA759)),1,0)</f>
        <v/>
      </c>
      <c r="AD759" s="3">
        <f>IF(AND(E759&lt;&gt;"",E759&gt;=Controls!$B$21,E759&lt;=Controls!$B$22),1,0)</f>
        <v/>
      </c>
      <c r="AE759" s="3">
        <f>IF(IFERROR(VLOOKUP(D759,Controls!$A$36:$E$46,2,FALSE()),"No")="Yes",1,0)</f>
        <v/>
      </c>
      <c r="AF759" s="3">
        <f>IF(IFERROR(VLOOKUP(D759,Controls!$A$36:$E$46,3,FALSE()),"No")="Yes",1,0)</f>
        <v/>
      </c>
      <c r="AG759" s="3">
        <f>IF(IFERROR(VLOOKUP(D759,Controls!$A$36:$E$46,4,FALSE()),"No")="Yes",1,0)</f>
        <v/>
      </c>
      <c r="AH759" s="3">
        <f>IF(IFERROR(VLOOKUP(D759,Controls!$A$36:$E$46,5,FALSE()),"No")="Yes",1,0)</f>
        <v/>
      </c>
      <c r="AI759" s="3">
        <f>IF(ISNUMBER(MATCH(D759,Controls!$A$36:$A$46,0)),1,0)</f>
        <v/>
      </c>
      <c r="AJ759" s="28">
        <f>Q759-N759</f>
        <v/>
      </c>
      <c r="AK759" s="3">
        <f>IF(AE759=1,MAX(0,N759-Q759),0)</f>
        <v/>
      </c>
      <c r="AL759" s="3">
        <f>IF(OR(V759="",V759=0),0,N759/V759)</f>
        <v/>
      </c>
      <c r="AM759" s="3">
        <f>IF(OR(V759="",V759=0),0,1)</f>
        <v/>
      </c>
      <c r="AN759" s="3">
        <f>IF(OR(E759="",F759=""),0,NETWORKDAYS(E759,F759,Ref!$K$2:$K$42))</f>
        <v/>
      </c>
      <c r="AO759" s="3">
        <f>IF(L759="Renewal",1,0)</f>
        <v/>
      </c>
      <c r="AP759" s="3">
        <f>AC759*AD759</f>
        <v/>
      </c>
      <c r="AQ759" s="3">
        <f>IF(AND(G759&lt;&gt;"",'Historical Score'!$C$6&lt;&gt;""),IF(G759='Historical Score'!$C$6,1,0),0)</f>
        <v/>
      </c>
      <c r="AR759" s="3">
        <f>IF(AND(L759&lt;&gt;"",'Historical Score'!$C$5&lt;&gt;""),IF(L759='Historical Score'!$C$5,1,0),0)</f>
        <v/>
      </c>
      <c r="AS759" s="3">
        <f>IF(AND(Y759&lt;&gt;"",'Historical Score'!$C$7&lt;&gt;""),IF(Y759='Historical Score'!$C$7,1,0),0)</f>
        <v/>
      </c>
      <c r="AT759" s="3">
        <f>IF(AND(K759&lt;&gt;"",'Historical Score'!$C$8&lt;&gt;""),IF(K759='Historical Score'!$C$8,1,0),0)</f>
        <v/>
      </c>
      <c r="AU759" s="3" t="n"/>
      <c r="AV759" s="3" t="n"/>
      <c r="AW759" s="3" t="n"/>
      <c r="AX759" s="3" t="n"/>
      <c r="AY759" s="3" t="n"/>
      <c r="AZ759" s="3" t="n"/>
      <c r="BA759" s="182">
        <f>IF(AD759=1,(AR759*'Historical Score'!$K$29+1-'Historical Score'!$K$29)*(AT759*'Historical Score'!$L$29+1-'Historical Score'!$L$29)*(AS759*'Historical Score'!$M$29+1-'Historical Score'!$M$29)*(AQ759*'Historical Score'!$N$29+1-'Historical Score'!$N$29),0)</f>
        <v/>
      </c>
      <c r="BB759" s="3" t="n"/>
      <c r="BC759" s="3" t="n"/>
    </row>
    <row r="760" ht="15.75" customHeight="1" s="174">
      <c r="A760" s="3" t="inlineStr">
        <is>
          <t>5674181035</t>
        </is>
      </c>
      <c r="B760" s="3" t="inlineStr">
        <is>
          <t>STRAIGHTWAY TRANSPORTATION DBA ANTHONY BETHEL SOLE MBR</t>
        </is>
      </c>
      <c r="C760" s="3" t="inlineStr">
        <is>
          <t>STRAIGHTWAY TRANSPORTATION INC.</t>
        </is>
      </c>
      <c r="D760" s="3" t="inlineStr">
        <is>
          <t>Open</t>
        </is>
      </c>
      <c r="E760" s="23" t="n">
        <v>46111</v>
      </c>
      <c r="F760" s="23" t="n">
        <v>46252</v>
      </c>
      <c r="G760" s="3" t="n">
        <v>2</v>
      </c>
      <c r="H760" s="3" t="inlineStr">
        <is>
          <t>4212</t>
        </is>
      </c>
      <c r="I760" s="3" t="inlineStr">
        <is>
          <t>42</t>
        </is>
      </c>
      <c r="J760" s="3" t="inlineStr">
        <is>
          <t>NC</t>
        </is>
      </c>
      <c r="K760" s="3" t="inlineStr">
        <is>
          <t>United Secured Capital 8</t>
        </is>
      </c>
      <c r="L760" s="3" t="inlineStr">
        <is>
          <t>New Deal</t>
        </is>
      </c>
      <c r="M760" s="3" t="n">
        <v>1.36</v>
      </c>
      <c r="N760" s="28" t="n">
        <v>30000</v>
      </c>
      <c r="O760" s="28" t="n">
        <v>2250</v>
      </c>
      <c r="P760" s="28" t="n">
        <v>40800</v>
      </c>
      <c r="Q760" s="28" t="n">
        <v>40800</v>
      </c>
      <c r="R760" s="28" t="n">
        <v>0</v>
      </c>
      <c r="S760" s="42" t="n">
        <v>1</v>
      </c>
      <c r="T760" s="3" t="n">
        <v>3.279</v>
      </c>
      <c r="U760" s="3" t="n">
        <v>0</v>
      </c>
      <c r="V760" s="3" t="n">
        <v>101082.98</v>
      </c>
      <c r="W760" s="42" t="n">
        <v>0.0848</v>
      </c>
      <c r="X760" s="23" t="n">
        <v>43466</v>
      </c>
      <c r="Y760" s="3">
        <f>IF(I760="","No SIC",IFERROR(VLOOKUP(I760,Ref!$A$2:$B$65,2,FALSE()),"Unclassified"))</f>
        <v/>
      </c>
      <c r="Z760" s="3">
        <f>IF(T760="","",IF(T760&lt;12,"Daily","Weekly"))</f>
        <v/>
      </c>
      <c r="AA760" s="3">
        <f>IF(T760="",0,IF(T760&lt;12,T760*Controls!$B$13,T760*5))</f>
        <v/>
      </c>
      <c r="AB760" s="3">
        <f>IF(E760="",0,NETWORKDAYS(E760,Controls!$B$20,Ref!$K$2:$K$42))</f>
        <v/>
      </c>
      <c r="AC760" s="3">
        <f>IF(OR(AF760=1,AND(AA760&gt;0,AB760&gt;=Controls!$B$23*AA760)),1,0)</f>
        <v/>
      </c>
      <c r="AD760" s="3">
        <f>IF(AND(E760&lt;&gt;"",E760&gt;=Controls!$B$21,E760&lt;=Controls!$B$22),1,0)</f>
        <v/>
      </c>
      <c r="AE760" s="3">
        <f>IF(IFERROR(VLOOKUP(D760,Controls!$A$36:$E$46,2,FALSE()),"No")="Yes",1,0)</f>
        <v/>
      </c>
      <c r="AF760" s="3">
        <f>IF(IFERROR(VLOOKUP(D760,Controls!$A$36:$E$46,3,FALSE()),"No")="Yes",1,0)</f>
        <v/>
      </c>
      <c r="AG760" s="3">
        <f>IF(IFERROR(VLOOKUP(D760,Controls!$A$36:$E$46,4,FALSE()),"No")="Yes",1,0)</f>
        <v/>
      </c>
      <c r="AH760" s="3">
        <f>IF(IFERROR(VLOOKUP(D760,Controls!$A$36:$E$46,5,FALSE()),"No")="Yes",1,0)</f>
        <v/>
      </c>
      <c r="AI760" s="3">
        <f>IF(ISNUMBER(MATCH(D760,Controls!$A$36:$A$46,0)),1,0)</f>
        <v/>
      </c>
      <c r="AJ760" s="28">
        <f>Q760-N760</f>
        <v/>
      </c>
      <c r="AK760" s="3">
        <f>IF(AE760=1,MAX(0,N760-Q760),0)</f>
        <v/>
      </c>
      <c r="AL760" s="3">
        <f>IF(OR(V760="",V760=0),0,N760/V760)</f>
        <v/>
      </c>
      <c r="AM760" s="3">
        <f>IF(OR(V760="",V760=0),0,1)</f>
        <v/>
      </c>
      <c r="AN760" s="3">
        <f>IF(OR(E760="",F760=""),0,NETWORKDAYS(E760,F760,Ref!$K$2:$K$42))</f>
        <v/>
      </c>
      <c r="AO760" s="3">
        <f>IF(L760="Renewal",1,0)</f>
        <v/>
      </c>
      <c r="AP760" s="3">
        <f>AC760*AD760</f>
        <v/>
      </c>
      <c r="AQ760" s="3">
        <f>IF(AND(G760&lt;&gt;"",'Historical Score'!$C$6&lt;&gt;""),IF(G760='Historical Score'!$C$6,1,0),0)</f>
        <v/>
      </c>
      <c r="AR760" s="3">
        <f>IF(AND(L760&lt;&gt;"",'Historical Score'!$C$5&lt;&gt;""),IF(L760='Historical Score'!$C$5,1,0),0)</f>
        <v/>
      </c>
      <c r="AS760" s="3">
        <f>IF(AND(Y760&lt;&gt;"",'Historical Score'!$C$7&lt;&gt;""),IF(Y760='Historical Score'!$C$7,1,0),0)</f>
        <v/>
      </c>
      <c r="AT760" s="3">
        <f>IF(AND(K760&lt;&gt;"",'Historical Score'!$C$8&lt;&gt;""),IF(K760='Historical Score'!$C$8,1,0),0)</f>
        <v/>
      </c>
      <c r="AU760" s="3" t="n"/>
      <c r="AV760" s="3" t="n"/>
      <c r="AW760" s="3" t="n"/>
      <c r="AX760" s="3" t="n"/>
      <c r="AY760" s="3" t="n"/>
      <c r="AZ760" s="3" t="n"/>
      <c r="BA760" s="182">
        <f>IF(AD760=1,(AR760*'Historical Score'!$K$29+1-'Historical Score'!$K$29)*(AT760*'Historical Score'!$L$29+1-'Historical Score'!$L$29)*(AS760*'Historical Score'!$M$29+1-'Historical Score'!$M$29)*(AQ760*'Historical Score'!$N$29+1-'Historical Score'!$N$29),0)</f>
        <v/>
      </c>
      <c r="BB760" s="3" t="n"/>
      <c r="BC760" s="3" t="n"/>
    </row>
    <row r="761" ht="15.75" customHeight="1" s="174">
      <c r="A761" s="3" t="inlineStr">
        <is>
          <t>5674181052</t>
        </is>
      </c>
      <c r="B761" s="3" t="inlineStr">
        <is>
          <t>SR UNBOUNDED</t>
        </is>
      </c>
      <c r="C761" s="3" t="inlineStr">
        <is>
          <t>SR UNBOUNDED LLC</t>
        </is>
      </c>
      <c r="D761" s="3" t="inlineStr">
        <is>
          <t>Open</t>
        </is>
      </c>
      <c r="E761" s="23" t="n">
        <v>46111</v>
      </c>
      <c r="F761" s="23" t="n">
        <v>46253</v>
      </c>
      <c r="G761" s="3" t="n">
        <v>3</v>
      </c>
      <c r="H761" s="3" t="inlineStr">
        <is>
          <t>5999</t>
        </is>
      </c>
      <c r="I761" s="3" t="inlineStr">
        <is>
          <t>59</t>
        </is>
      </c>
      <c r="J761" s="3" t="inlineStr">
        <is>
          <t>CA</t>
        </is>
      </c>
      <c r="K761" s="3" t="inlineStr">
        <is>
          <t>Shore Funding USA</t>
        </is>
      </c>
      <c r="L761" s="3" t="inlineStr">
        <is>
          <t>Renewal</t>
        </is>
      </c>
      <c r="M761" s="3" t="n">
        <v>1.49</v>
      </c>
      <c r="N761" s="28" t="n">
        <v>16000</v>
      </c>
      <c r="O761" s="28" t="n">
        <v>2240</v>
      </c>
      <c r="P761" s="28" t="n">
        <v>23840</v>
      </c>
      <c r="Q761" s="28" t="n">
        <v>7368.82</v>
      </c>
      <c r="R761" s="28" t="n">
        <v>16471.18</v>
      </c>
      <c r="S761" s="42" t="n">
        <v>0.309094798657718</v>
      </c>
      <c r="T761" s="3" t="n">
        <v>3.607</v>
      </c>
      <c r="U761" s="3" t="n">
        <v>24</v>
      </c>
      <c r="V761" s="3" t="n">
        <v>19576</v>
      </c>
      <c r="W761" s="42" t="n">
        <v>0.2325</v>
      </c>
      <c r="X761" s="23" t="n">
        <v>43863</v>
      </c>
      <c r="Y761" s="3">
        <f>IF(I761="","No SIC",IFERROR(VLOOKUP(I761,Ref!$A$2:$B$65,2,FALSE()),"Unclassified"))</f>
        <v/>
      </c>
      <c r="Z761" s="3">
        <f>IF(T761="","",IF(T761&lt;12,"Daily","Weekly"))</f>
        <v/>
      </c>
      <c r="AA761" s="3">
        <f>IF(T761="",0,IF(T761&lt;12,T761*Controls!$B$13,T761*5))</f>
        <v/>
      </c>
      <c r="AB761" s="3">
        <f>IF(E761="",0,NETWORKDAYS(E761,Controls!$B$20,Ref!$K$2:$K$42))</f>
        <v/>
      </c>
      <c r="AC761" s="3">
        <f>IF(OR(AF761=1,AND(AA761&gt;0,AB761&gt;=Controls!$B$23*AA761)),1,0)</f>
        <v/>
      </c>
      <c r="AD761" s="3">
        <f>IF(AND(E761&lt;&gt;"",E761&gt;=Controls!$B$21,E761&lt;=Controls!$B$22),1,0)</f>
        <v/>
      </c>
      <c r="AE761" s="3">
        <f>IF(IFERROR(VLOOKUP(D761,Controls!$A$36:$E$46,2,FALSE()),"No")="Yes",1,0)</f>
        <v/>
      </c>
      <c r="AF761" s="3">
        <f>IF(IFERROR(VLOOKUP(D761,Controls!$A$36:$E$46,3,FALSE()),"No")="Yes",1,0)</f>
        <v/>
      </c>
      <c r="AG761" s="3">
        <f>IF(IFERROR(VLOOKUP(D761,Controls!$A$36:$E$46,4,FALSE()),"No")="Yes",1,0)</f>
        <v/>
      </c>
      <c r="AH761" s="3">
        <f>IF(IFERROR(VLOOKUP(D761,Controls!$A$36:$E$46,5,FALSE()),"No")="Yes",1,0)</f>
        <v/>
      </c>
      <c r="AI761" s="3">
        <f>IF(ISNUMBER(MATCH(D761,Controls!$A$36:$A$46,0)),1,0)</f>
        <v/>
      </c>
      <c r="AJ761" s="28">
        <f>Q761-N761</f>
        <v/>
      </c>
      <c r="AK761" s="3">
        <f>IF(AE761=1,MAX(0,N761-Q761),0)</f>
        <v/>
      </c>
      <c r="AL761" s="3">
        <f>IF(OR(V761="",V761=0),0,N761/V761)</f>
        <v/>
      </c>
      <c r="AM761" s="3">
        <f>IF(OR(V761="",V761=0),0,1)</f>
        <v/>
      </c>
      <c r="AN761" s="3">
        <f>IF(OR(E761="",F761=""),0,NETWORKDAYS(E761,F761,Ref!$K$2:$K$42))</f>
        <v/>
      </c>
      <c r="AO761" s="3">
        <f>IF(L761="Renewal",1,0)</f>
        <v/>
      </c>
      <c r="AP761" s="3">
        <f>AC761*AD761</f>
        <v/>
      </c>
      <c r="AQ761" s="3">
        <f>IF(AND(G761&lt;&gt;"",'Historical Score'!$C$6&lt;&gt;""),IF(G761='Historical Score'!$C$6,1,0),0)</f>
        <v/>
      </c>
      <c r="AR761" s="3">
        <f>IF(AND(L761&lt;&gt;"",'Historical Score'!$C$5&lt;&gt;""),IF(L761='Historical Score'!$C$5,1,0),0)</f>
        <v/>
      </c>
      <c r="AS761" s="3">
        <f>IF(AND(Y761&lt;&gt;"",'Historical Score'!$C$7&lt;&gt;""),IF(Y761='Historical Score'!$C$7,1,0),0)</f>
        <v/>
      </c>
      <c r="AT761" s="3">
        <f>IF(AND(K761&lt;&gt;"",'Historical Score'!$C$8&lt;&gt;""),IF(K761='Historical Score'!$C$8,1,0),0)</f>
        <v/>
      </c>
      <c r="AU761" s="3" t="n"/>
      <c r="AV761" s="3" t="n"/>
      <c r="AW761" s="3" t="n"/>
      <c r="AX761" s="3" t="n"/>
      <c r="AY761" s="3" t="n"/>
      <c r="AZ761" s="3" t="n"/>
      <c r="BA761" s="182">
        <f>IF(AD761=1,(AR761*'Historical Score'!$K$29+1-'Historical Score'!$K$29)*(AT761*'Historical Score'!$L$29+1-'Historical Score'!$L$29)*(AS761*'Historical Score'!$M$29+1-'Historical Score'!$M$29)*(AQ761*'Historical Score'!$N$29+1-'Historical Score'!$N$29),0)</f>
        <v/>
      </c>
      <c r="BB761" s="3" t="n"/>
      <c r="BC761" s="3" t="n"/>
    </row>
    <row r="762" ht="15.75" customHeight="1" s="174">
      <c r="A762" s="3" t="inlineStr">
        <is>
          <t>5674181104</t>
        </is>
      </c>
      <c r="B762" s="3" t="inlineStr">
        <is>
          <t>Baby Boss Auto Shop</t>
        </is>
      </c>
      <c r="C762" s="3" t="inlineStr">
        <is>
          <t>Carlos A Jamie</t>
        </is>
      </c>
      <c r="D762" s="3" t="inlineStr">
        <is>
          <t>Open</t>
        </is>
      </c>
      <c r="E762" s="23" t="n">
        <v>46112</v>
      </c>
      <c r="F762" s="23" t="n">
        <v>46247</v>
      </c>
      <c r="G762" s="3" t="n">
        <v>3</v>
      </c>
      <c r="H762" s="3" t="inlineStr">
        <is>
          <t>7538</t>
        </is>
      </c>
      <c r="I762" s="3" t="inlineStr">
        <is>
          <t>75</t>
        </is>
      </c>
      <c r="J762" s="3" t="inlineStr">
        <is>
          <t>TX</t>
        </is>
      </c>
      <c r="K762" s="3" t="inlineStr">
        <is>
          <t>Ballicci</t>
        </is>
      </c>
      <c r="L762" s="3" t="inlineStr">
        <is>
          <t>Renewal</t>
        </is>
      </c>
      <c r="M762" s="3" t="n">
        <v>1.49</v>
      </c>
      <c r="N762" s="28" t="n">
        <v>30000</v>
      </c>
      <c r="O762" s="28" t="n">
        <v>4500</v>
      </c>
      <c r="P762" s="28" t="n">
        <v>44700</v>
      </c>
      <c r="Q762" s="28" t="n">
        <v>17139.14</v>
      </c>
      <c r="R762" s="28" t="n">
        <v>27560.86</v>
      </c>
      <c r="S762" s="42" t="n">
        <v>0.383425950782998</v>
      </c>
      <c r="T762" s="3" t="n">
        <v>3.934</v>
      </c>
      <c r="U762" s="3" t="n">
        <v>49</v>
      </c>
      <c r="V762" s="3" t="n">
        <v>50675.93</v>
      </c>
      <c r="W762" s="42" t="n">
        <v>0.1544</v>
      </c>
      <c r="X762" s="23" t="n">
        <v>44845</v>
      </c>
      <c r="Y762" s="3">
        <f>IF(I762="","No SIC",IFERROR(VLOOKUP(I762,Ref!$A$2:$B$65,2,FALSE()),"Unclassified"))</f>
        <v/>
      </c>
      <c r="Z762" s="3">
        <f>IF(T762="","",IF(T762&lt;12,"Daily","Weekly"))</f>
        <v/>
      </c>
      <c r="AA762" s="3">
        <f>IF(T762="",0,IF(T762&lt;12,T762*Controls!$B$13,T762*5))</f>
        <v/>
      </c>
      <c r="AB762" s="3">
        <f>IF(E762="",0,NETWORKDAYS(E762,Controls!$B$20,Ref!$K$2:$K$42))</f>
        <v/>
      </c>
      <c r="AC762" s="3">
        <f>IF(OR(AF762=1,AND(AA762&gt;0,AB762&gt;=Controls!$B$23*AA762)),1,0)</f>
        <v/>
      </c>
      <c r="AD762" s="3">
        <f>IF(AND(E762&lt;&gt;"",E762&gt;=Controls!$B$21,E762&lt;=Controls!$B$22),1,0)</f>
        <v/>
      </c>
      <c r="AE762" s="3">
        <f>IF(IFERROR(VLOOKUP(D762,Controls!$A$36:$E$46,2,FALSE()),"No")="Yes",1,0)</f>
        <v/>
      </c>
      <c r="AF762" s="3">
        <f>IF(IFERROR(VLOOKUP(D762,Controls!$A$36:$E$46,3,FALSE()),"No")="Yes",1,0)</f>
        <v/>
      </c>
      <c r="AG762" s="3">
        <f>IF(IFERROR(VLOOKUP(D762,Controls!$A$36:$E$46,4,FALSE()),"No")="Yes",1,0)</f>
        <v/>
      </c>
      <c r="AH762" s="3">
        <f>IF(IFERROR(VLOOKUP(D762,Controls!$A$36:$E$46,5,FALSE()),"No")="Yes",1,0)</f>
        <v/>
      </c>
      <c r="AI762" s="3">
        <f>IF(ISNUMBER(MATCH(D762,Controls!$A$36:$A$46,0)),1,0)</f>
        <v/>
      </c>
      <c r="AJ762" s="28">
        <f>Q762-N762</f>
        <v/>
      </c>
      <c r="AK762" s="3">
        <f>IF(AE762=1,MAX(0,N762-Q762),0)</f>
        <v/>
      </c>
      <c r="AL762" s="3">
        <f>IF(OR(V762="",V762=0),0,N762/V762)</f>
        <v/>
      </c>
      <c r="AM762" s="3">
        <f>IF(OR(V762="",V762=0),0,1)</f>
        <v/>
      </c>
      <c r="AN762" s="3">
        <f>IF(OR(E762="",F762=""),0,NETWORKDAYS(E762,F762,Ref!$K$2:$K$42))</f>
        <v/>
      </c>
      <c r="AO762" s="3">
        <f>IF(L762="Renewal",1,0)</f>
        <v/>
      </c>
      <c r="AP762" s="3">
        <f>AC762*AD762</f>
        <v/>
      </c>
      <c r="AQ762" s="3">
        <f>IF(AND(G762&lt;&gt;"",'Historical Score'!$C$6&lt;&gt;""),IF(G762='Historical Score'!$C$6,1,0),0)</f>
        <v/>
      </c>
      <c r="AR762" s="3">
        <f>IF(AND(L762&lt;&gt;"",'Historical Score'!$C$5&lt;&gt;""),IF(L762='Historical Score'!$C$5,1,0),0)</f>
        <v/>
      </c>
      <c r="AS762" s="3">
        <f>IF(AND(Y762&lt;&gt;"",'Historical Score'!$C$7&lt;&gt;""),IF(Y762='Historical Score'!$C$7,1,0),0)</f>
        <v/>
      </c>
      <c r="AT762" s="3">
        <f>IF(AND(K762&lt;&gt;"",'Historical Score'!$C$8&lt;&gt;""),IF(K762='Historical Score'!$C$8,1,0),0)</f>
        <v/>
      </c>
      <c r="AU762" s="3" t="n"/>
      <c r="AV762" s="3" t="n"/>
      <c r="AW762" s="3" t="n"/>
      <c r="AX762" s="3" t="n"/>
      <c r="AY762" s="3" t="n"/>
      <c r="AZ762" s="3" t="n"/>
      <c r="BA762" s="182">
        <f>IF(AD762=1,(AR762*'Historical Score'!$K$29+1-'Historical Score'!$K$29)*(AT762*'Historical Score'!$L$29+1-'Historical Score'!$L$29)*(AS762*'Historical Score'!$M$29+1-'Historical Score'!$M$29)*(AQ762*'Historical Score'!$N$29+1-'Historical Score'!$N$29),0)</f>
        <v/>
      </c>
      <c r="BB762" s="3" t="n"/>
      <c r="BC762" s="3" t="n"/>
    </row>
    <row r="763" ht="15.75" customHeight="1" s="174">
      <c r="A763" s="3" t="inlineStr">
        <is>
          <t>5674181110</t>
        </is>
      </c>
      <c r="B763" s="3" t="inlineStr">
        <is>
          <t>Hollins &amp; Associates</t>
        </is>
      </c>
      <c r="C763" s="3" t="inlineStr">
        <is>
          <t>Hollins &amp; Associates</t>
        </is>
      </c>
      <c r="D763" s="3" t="inlineStr">
        <is>
          <t>Closed</t>
        </is>
      </c>
      <c r="E763" s="23" t="n">
        <v>46112</v>
      </c>
      <c r="F763" s="23" t="n">
        <v>46169</v>
      </c>
      <c r="G763" s="3" t="n">
        <v>3</v>
      </c>
      <c r="H763" s="3" t="inlineStr">
        <is>
          <t>8721</t>
        </is>
      </c>
      <c r="I763" s="3" t="inlineStr">
        <is>
          <t>87</t>
        </is>
      </c>
      <c r="J763" s="3" t="inlineStr">
        <is>
          <t>TX</t>
        </is>
      </c>
      <c r="K763" s="3" t="inlineStr">
        <is>
          <t>TRUSTFI</t>
        </is>
      </c>
      <c r="L763" s="3" t="inlineStr">
        <is>
          <t>New Deal</t>
        </is>
      </c>
      <c r="M763" s="3" t="n">
        <v>1.3972744</v>
      </c>
      <c r="N763" s="28" t="n">
        <v>25000</v>
      </c>
      <c r="O763" s="28" t="n">
        <v>3000</v>
      </c>
      <c r="P763" s="28" t="n">
        <v>34931.86</v>
      </c>
      <c r="Q763" s="28" t="n">
        <v>34931.86</v>
      </c>
      <c r="R763" s="28" t="n">
        <v>0</v>
      </c>
      <c r="S763" s="42" t="n">
        <v>1</v>
      </c>
      <c r="T763" s="3" t="n">
        <v>22</v>
      </c>
      <c r="U763" s="3" t="n">
        <v>0</v>
      </c>
      <c r="V763" s="3" t="n">
        <v>14086.41</v>
      </c>
      <c r="W763" s="42" t="n">
        <v>0.4679</v>
      </c>
      <c r="X763" s="23" t="n">
        <v>42005</v>
      </c>
      <c r="Y763" s="3">
        <f>IF(I763="","No SIC",IFERROR(VLOOKUP(I763,Ref!$A$2:$B$65,2,FALSE()),"Unclassified"))</f>
        <v/>
      </c>
      <c r="Z763" s="3">
        <f>IF(T763="","",IF(T763&lt;12,"Daily","Weekly"))</f>
        <v/>
      </c>
      <c r="AA763" s="3">
        <f>IF(T763="",0,IF(T763&lt;12,T763*Controls!$B$13,T763*5))</f>
        <v/>
      </c>
      <c r="AB763" s="3">
        <f>IF(E763="",0,NETWORKDAYS(E763,Controls!$B$20,Ref!$K$2:$K$42))</f>
        <v/>
      </c>
      <c r="AC763" s="3">
        <f>IF(OR(AF763=1,AND(AA763&gt;0,AB763&gt;=Controls!$B$23*AA763)),1,0)</f>
        <v/>
      </c>
      <c r="AD763" s="3">
        <f>IF(AND(E763&lt;&gt;"",E763&gt;=Controls!$B$21,E763&lt;=Controls!$B$22),1,0)</f>
        <v/>
      </c>
      <c r="AE763" s="3">
        <f>IF(IFERROR(VLOOKUP(D763,Controls!$A$36:$E$46,2,FALSE()),"No")="Yes",1,0)</f>
        <v/>
      </c>
      <c r="AF763" s="3">
        <f>IF(IFERROR(VLOOKUP(D763,Controls!$A$36:$E$46,3,FALSE()),"No")="Yes",1,0)</f>
        <v/>
      </c>
      <c r="AG763" s="3">
        <f>IF(IFERROR(VLOOKUP(D763,Controls!$A$36:$E$46,4,FALSE()),"No")="Yes",1,0)</f>
        <v/>
      </c>
      <c r="AH763" s="3">
        <f>IF(IFERROR(VLOOKUP(D763,Controls!$A$36:$E$46,5,FALSE()),"No")="Yes",1,0)</f>
        <v/>
      </c>
      <c r="AI763" s="3">
        <f>IF(ISNUMBER(MATCH(D763,Controls!$A$36:$A$46,0)),1,0)</f>
        <v/>
      </c>
      <c r="AJ763" s="28">
        <f>Q763-N763</f>
        <v/>
      </c>
      <c r="AK763" s="3">
        <f>IF(AE763=1,MAX(0,N763-Q763),0)</f>
        <v/>
      </c>
      <c r="AL763" s="3">
        <f>IF(OR(V763="",V763=0),0,N763/V763)</f>
        <v/>
      </c>
      <c r="AM763" s="3">
        <f>IF(OR(V763="",V763=0),0,1)</f>
        <v/>
      </c>
      <c r="AN763" s="3">
        <f>IF(OR(E763="",F763=""),0,NETWORKDAYS(E763,F763,Ref!$K$2:$K$42))</f>
        <v/>
      </c>
      <c r="AO763" s="3">
        <f>IF(L763="Renewal",1,0)</f>
        <v/>
      </c>
      <c r="AP763" s="3">
        <f>AC763*AD763</f>
        <v/>
      </c>
      <c r="AQ763" s="3">
        <f>IF(AND(G763&lt;&gt;"",'Historical Score'!$C$6&lt;&gt;""),IF(G763='Historical Score'!$C$6,1,0),0)</f>
        <v/>
      </c>
      <c r="AR763" s="3">
        <f>IF(AND(L763&lt;&gt;"",'Historical Score'!$C$5&lt;&gt;""),IF(L763='Historical Score'!$C$5,1,0),0)</f>
        <v/>
      </c>
      <c r="AS763" s="3">
        <f>IF(AND(Y763&lt;&gt;"",'Historical Score'!$C$7&lt;&gt;""),IF(Y763='Historical Score'!$C$7,1,0),0)</f>
        <v/>
      </c>
      <c r="AT763" s="3">
        <f>IF(AND(K763&lt;&gt;"",'Historical Score'!$C$8&lt;&gt;""),IF(K763='Historical Score'!$C$8,1,0),0)</f>
        <v/>
      </c>
      <c r="AU763" s="3" t="n"/>
      <c r="AV763" s="3" t="n"/>
      <c r="AW763" s="3" t="n"/>
      <c r="AX763" s="3" t="n"/>
      <c r="AY763" s="3" t="n"/>
      <c r="AZ763" s="3" t="n"/>
      <c r="BA763" s="182">
        <f>IF(AD763=1,(AR763*'Historical Score'!$K$29+1-'Historical Score'!$K$29)*(AT763*'Historical Score'!$L$29+1-'Historical Score'!$L$29)*(AS763*'Historical Score'!$M$29+1-'Historical Score'!$M$29)*(AQ763*'Historical Score'!$N$29+1-'Historical Score'!$N$29),0)</f>
        <v/>
      </c>
      <c r="BB763" s="3" t="n"/>
      <c r="BC763" s="3" t="n"/>
    </row>
    <row r="764" ht="15.75" customHeight="1" s="174">
      <c r="A764" s="3" t="inlineStr">
        <is>
          <t>5674181173</t>
        </is>
      </c>
      <c r="B764" s="3" t="inlineStr">
        <is>
          <t>FEDL Monique Bakery</t>
        </is>
      </c>
      <c r="C764" s="3" t="inlineStr">
        <is>
          <t>FEDL MONIQUE BAKERIES INC</t>
        </is>
      </c>
      <c r="D764" s="3" t="inlineStr">
        <is>
          <t>Open</t>
        </is>
      </c>
      <c r="E764" s="23" t="n">
        <v>46112</v>
      </c>
      <c r="F764" s="23" t="n">
        <v>46252</v>
      </c>
      <c r="G764" s="3" t="n">
        <v>2</v>
      </c>
      <c r="H764" s="3" t="inlineStr">
        <is>
          <t>2051</t>
        </is>
      </c>
      <c r="I764" s="3" t="inlineStr">
        <is>
          <t>20</t>
        </is>
      </c>
      <c r="J764" s="3" t="inlineStr">
        <is>
          <t>TX</t>
        </is>
      </c>
      <c r="K764" s="3" t="inlineStr">
        <is>
          <t>Fidelity Funding</t>
        </is>
      </c>
      <c r="L764" s="3" t="inlineStr">
        <is>
          <t>Renewal</t>
        </is>
      </c>
      <c r="M764" s="3" t="n">
        <v>1.49</v>
      </c>
      <c r="N764" s="28" t="n">
        <v>55000</v>
      </c>
      <c r="O764" s="28" t="n">
        <v>7700</v>
      </c>
      <c r="P764" s="28" t="n">
        <v>81950</v>
      </c>
      <c r="Q764" s="28" t="n">
        <v>46114.56</v>
      </c>
      <c r="R764" s="28" t="n">
        <v>35835.44</v>
      </c>
      <c r="S764" s="42" t="n">
        <v>0.5627158023184869</v>
      </c>
      <c r="T764" s="3" t="n">
        <v>32</v>
      </c>
      <c r="U764" s="3" t="n">
        <v>2</v>
      </c>
      <c r="V764" s="3" t="n">
        <v>94974</v>
      </c>
      <c r="W764" s="42" t="n">
        <v>0.1079</v>
      </c>
      <c r="X764" s="23" t="n"/>
      <c r="Y764" s="3">
        <f>IF(I764="","No SIC",IFERROR(VLOOKUP(I764,Ref!$A$2:$B$65,2,FALSE()),"Unclassified"))</f>
        <v/>
      </c>
      <c r="Z764" s="3">
        <f>IF(T764="","",IF(T764&lt;12,"Daily","Weekly"))</f>
        <v/>
      </c>
      <c r="AA764" s="3">
        <f>IF(T764="",0,IF(T764&lt;12,T764*Controls!$B$13,T764*5))</f>
        <v/>
      </c>
      <c r="AB764" s="3">
        <f>IF(E764="",0,NETWORKDAYS(E764,Controls!$B$20,Ref!$K$2:$K$42))</f>
        <v/>
      </c>
      <c r="AC764" s="3">
        <f>IF(OR(AF764=1,AND(AA764&gt;0,AB764&gt;=Controls!$B$23*AA764)),1,0)</f>
        <v/>
      </c>
      <c r="AD764" s="3">
        <f>IF(AND(E764&lt;&gt;"",E764&gt;=Controls!$B$21,E764&lt;=Controls!$B$22),1,0)</f>
        <v/>
      </c>
      <c r="AE764" s="3">
        <f>IF(IFERROR(VLOOKUP(D764,Controls!$A$36:$E$46,2,FALSE()),"No")="Yes",1,0)</f>
        <v/>
      </c>
      <c r="AF764" s="3">
        <f>IF(IFERROR(VLOOKUP(D764,Controls!$A$36:$E$46,3,FALSE()),"No")="Yes",1,0)</f>
        <v/>
      </c>
      <c r="AG764" s="3">
        <f>IF(IFERROR(VLOOKUP(D764,Controls!$A$36:$E$46,4,FALSE()),"No")="Yes",1,0)</f>
        <v/>
      </c>
      <c r="AH764" s="3">
        <f>IF(IFERROR(VLOOKUP(D764,Controls!$A$36:$E$46,5,FALSE()),"No")="Yes",1,0)</f>
        <v/>
      </c>
      <c r="AI764" s="3">
        <f>IF(ISNUMBER(MATCH(D764,Controls!$A$36:$A$46,0)),1,0)</f>
        <v/>
      </c>
      <c r="AJ764" s="28">
        <f>Q764-N764</f>
        <v/>
      </c>
      <c r="AK764" s="3">
        <f>IF(AE764=1,MAX(0,N764-Q764),0)</f>
        <v/>
      </c>
      <c r="AL764" s="3">
        <f>IF(OR(V764="",V764=0),0,N764/V764)</f>
        <v/>
      </c>
      <c r="AM764" s="3">
        <f>IF(OR(V764="",V764=0),0,1)</f>
        <v/>
      </c>
      <c r="AN764" s="3">
        <f>IF(OR(E764="",F764=""),0,NETWORKDAYS(E764,F764,Ref!$K$2:$K$42))</f>
        <v/>
      </c>
      <c r="AO764" s="3">
        <f>IF(L764="Renewal",1,0)</f>
        <v/>
      </c>
      <c r="AP764" s="3">
        <f>AC764*AD764</f>
        <v/>
      </c>
      <c r="AQ764" s="3">
        <f>IF(AND(G764&lt;&gt;"",'Historical Score'!$C$6&lt;&gt;""),IF(G764='Historical Score'!$C$6,1,0),0)</f>
        <v/>
      </c>
      <c r="AR764" s="3">
        <f>IF(AND(L764&lt;&gt;"",'Historical Score'!$C$5&lt;&gt;""),IF(L764='Historical Score'!$C$5,1,0),0)</f>
        <v/>
      </c>
      <c r="AS764" s="3">
        <f>IF(AND(Y764&lt;&gt;"",'Historical Score'!$C$7&lt;&gt;""),IF(Y764='Historical Score'!$C$7,1,0),0)</f>
        <v/>
      </c>
      <c r="AT764" s="3">
        <f>IF(AND(K764&lt;&gt;"",'Historical Score'!$C$8&lt;&gt;""),IF(K764='Historical Score'!$C$8,1,0),0)</f>
        <v/>
      </c>
      <c r="AU764" s="3" t="n"/>
      <c r="AV764" s="3" t="n"/>
      <c r="AW764" s="3" t="n"/>
      <c r="AX764" s="3" t="n"/>
      <c r="AY764" s="3" t="n"/>
      <c r="AZ764" s="3" t="n"/>
      <c r="BA764" s="182">
        <f>IF(AD764=1,(AR764*'Historical Score'!$K$29+1-'Historical Score'!$K$29)*(AT764*'Historical Score'!$L$29+1-'Historical Score'!$L$29)*(AS764*'Historical Score'!$M$29+1-'Historical Score'!$M$29)*(AQ764*'Historical Score'!$N$29+1-'Historical Score'!$N$29),0)</f>
        <v/>
      </c>
      <c r="BB764" s="3" t="n"/>
      <c r="BC764" s="3" t="n"/>
    </row>
    <row r="765" ht="15.75" customHeight="1" s="174">
      <c r="A765" s="3" t="inlineStr">
        <is>
          <t>5674181224</t>
        </is>
      </c>
      <c r="B765" s="3" t="inlineStr">
        <is>
          <t>THP</t>
        </is>
      </c>
      <c r="C765" s="3" t="inlineStr">
        <is>
          <t>RELAXATION GROUP LLC</t>
        </is>
      </c>
      <c r="D765" s="3" t="inlineStr">
        <is>
          <t>In House Collection</t>
        </is>
      </c>
      <c r="E765" s="23" t="n">
        <v>46113</v>
      </c>
      <c r="F765" s="23" t="n">
        <v>46190</v>
      </c>
      <c r="G765" s="3" t="n">
        <v>3</v>
      </c>
      <c r="H765" s="3" t="inlineStr">
        <is>
          <t>5399</t>
        </is>
      </c>
      <c r="I765" s="3" t="inlineStr">
        <is>
          <t>53</t>
        </is>
      </c>
      <c r="J765" s="3" t="inlineStr">
        <is>
          <t>TX</t>
        </is>
      </c>
      <c r="K765" s="3" t="inlineStr">
        <is>
          <t>Upwise capital</t>
        </is>
      </c>
      <c r="L765" s="3" t="inlineStr">
        <is>
          <t>New Deal</t>
        </is>
      </c>
      <c r="M765" s="3" t="n">
        <v>1.49</v>
      </c>
      <c r="N765" s="28" t="n">
        <v>3000</v>
      </c>
      <c r="O765" s="28" t="n">
        <v>420</v>
      </c>
      <c r="P765" s="28" t="n">
        <v>4470</v>
      </c>
      <c r="Q765" s="28" t="n">
        <v>2554</v>
      </c>
      <c r="R765" s="28" t="n">
        <v>1916</v>
      </c>
      <c r="S765" s="42" t="n">
        <v>0.571364653243848</v>
      </c>
      <c r="T765" s="3" t="n">
        <v>2.295</v>
      </c>
      <c r="U765" s="3" t="n">
        <v>9</v>
      </c>
      <c r="V765" s="3" t="n">
        <v>11618.3</v>
      </c>
      <c r="W765" s="42" t="n">
        <v>0.1154</v>
      </c>
      <c r="X765" s="23" t="n">
        <v>45675</v>
      </c>
      <c r="Y765" s="3">
        <f>IF(I765="","No SIC",IFERROR(VLOOKUP(I765,Ref!$A$2:$B$65,2,FALSE()),"Unclassified"))</f>
        <v/>
      </c>
      <c r="Z765" s="3">
        <f>IF(T765="","",IF(T765&lt;12,"Daily","Weekly"))</f>
        <v/>
      </c>
      <c r="AA765" s="3">
        <f>IF(T765="",0,IF(T765&lt;12,T765*Controls!$B$13,T765*5))</f>
        <v/>
      </c>
      <c r="AB765" s="3">
        <f>IF(E765="",0,NETWORKDAYS(E765,Controls!$B$20,Ref!$K$2:$K$42))</f>
        <v/>
      </c>
      <c r="AC765" s="3">
        <f>IF(OR(AF765=1,AND(AA765&gt;0,AB765&gt;=Controls!$B$23*AA765)),1,0)</f>
        <v/>
      </c>
      <c r="AD765" s="3">
        <f>IF(AND(E765&lt;&gt;"",E765&gt;=Controls!$B$21,E765&lt;=Controls!$B$22),1,0)</f>
        <v/>
      </c>
      <c r="AE765" s="3">
        <f>IF(IFERROR(VLOOKUP(D765,Controls!$A$36:$E$46,2,FALSE()),"No")="Yes",1,0)</f>
        <v/>
      </c>
      <c r="AF765" s="3">
        <f>IF(IFERROR(VLOOKUP(D765,Controls!$A$36:$E$46,3,FALSE()),"No")="Yes",1,0)</f>
        <v/>
      </c>
      <c r="AG765" s="3">
        <f>IF(IFERROR(VLOOKUP(D765,Controls!$A$36:$E$46,4,FALSE()),"No")="Yes",1,0)</f>
        <v/>
      </c>
      <c r="AH765" s="3">
        <f>IF(IFERROR(VLOOKUP(D765,Controls!$A$36:$E$46,5,FALSE()),"No")="Yes",1,0)</f>
        <v/>
      </c>
      <c r="AI765" s="3">
        <f>IF(ISNUMBER(MATCH(D765,Controls!$A$36:$A$46,0)),1,0)</f>
        <v/>
      </c>
      <c r="AJ765" s="28">
        <f>Q765-N765</f>
        <v/>
      </c>
      <c r="AK765" s="3">
        <f>IF(AE765=1,MAX(0,N765-Q765),0)</f>
        <v/>
      </c>
      <c r="AL765" s="3">
        <f>IF(OR(V765="",V765=0),0,N765/V765)</f>
        <v/>
      </c>
      <c r="AM765" s="3">
        <f>IF(OR(V765="",V765=0),0,1)</f>
        <v/>
      </c>
      <c r="AN765" s="3">
        <f>IF(OR(E765="",F765=""),0,NETWORKDAYS(E765,F765,Ref!$K$2:$K$42))</f>
        <v/>
      </c>
      <c r="AO765" s="3">
        <f>IF(L765="Renewal",1,0)</f>
        <v/>
      </c>
      <c r="AP765" s="3">
        <f>AC765*AD765</f>
        <v/>
      </c>
      <c r="AQ765" s="3">
        <f>IF(AND(G765&lt;&gt;"",'Historical Score'!$C$6&lt;&gt;""),IF(G765='Historical Score'!$C$6,1,0),0)</f>
        <v/>
      </c>
      <c r="AR765" s="3">
        <f>IF(AND(L765&lt;&gt;"",'Historical Score'!$C$5&lt;&gt;""),IF(L765='Historical Score'!$C$5,1,0),0)</f>
        <v/>
      </c>
      <c r="AS765" s="3">
        <f>IF(AND(Y765&lt;&gt;"",'Historical Score'!$C$7&lt;&gt;""),IF(Y765='Historical Score'!$C$7,1,0),0)</f>
        <v/>
      </c>
      <c r="AT765" s="3">
        <f>IF(AND(K765&lt;&gt;"",'Historical Score'!$C$8&lt;&gt;""),IF(K765='Historical Score'!$C$8,1,0),0)</f>
        <v/>
      </c>
      <c r="AU765" s="3" t="n"/>
      <c r="AV765" s="3" t="n"/>
      <c r="AW765" s="3" t="n"/>
      <c r="AX765" s="3" t="n"/>
      <c r="AY765" s="3" t="n"/>
      <c r="AZ765" s="3" t="n"/>
      <c r="BA765" s="182">
        <f>IF(AD765=1,(AR765*'Historical Score'!$K$29+1-'Historical Score'!$K$29)*(AT765*'Historical Score'!$L$29+1-'Historical Score'!$L$29)*(AS765*'Historical Score'!$M$29+1-'Historical Score'!$M$29)*(AQ765*'Historical Score'!$N$29+1-'Historical Score'!$N$29),0)</f>
        <v/>
      </c>
      <c r="BB765" s="3" t="n"/>
      <c r="BC765" s="3" t="n"/>
    </row>
    <row r="766" ht="15.75" customHeight="1" s="174">
      <c r="A766" s="3" t="inlineStr">
        <is>
          <t>5674181227</t>
        </is>
      </c>
      <c r="B766" s="3" t="inlineStr">
        <is>
          <t>SHIINES TRUCKING LLC</t>
        </is>
      </c>
      <c r="C766" s="3" t="inlineStr">
        <is>
          <t>SHIINES TRUCKING LLC</t>
        </is>
      </c>
      <c r="D766" s="3" t="inlineStr">
        <is>
          <t>Legal</t>
        </is>
      </c>
      <c r="E766" s="23" t="n">
        <v>46113</v>
      </c>
      <c r="F766" s="23" t="n">
        <v>46147</v>
      </c>
      <c r="G766" s="3" t="n">
        <v>3</v>
      </c>
      <c r="H766" s="3" t="inlineStr">
        <is>
          <t>4212</t>
        </is>
      </c>
      <c r="I766" s="3" t="inlineStr">
        <is>
          <t>42</t>
        </is>
      </c>
      <c r="J766" s="3" t="inlineStr">
        <is>
          <t>NC</t>
        </is>
      </c>
      <c r="K766" s="3" t="inlineStr">
        <is>
          <t>Ballicci</t>
        </is>
      </c>
      <c r="L766" s="3" t="inlineStr">
        <is>
          <t>New Deal</t>
        </is>
      </c>
      <c r="M766" s="3" t="n">
        <v>1.49</v>
      </c>
      <c r="N766" s="28" t="n">
        <v>20000</v>
      </c>
      <c r="O766" s="28" t="n">
        <v>0</v>
      </c>
      <c r="P766" s="28" t="n">
        <v>29800</v>
      </c>
      <c r="Q766" s="28" t="n">
        <v>743.5599999999999</v>
      </c>
      <c r="R766" s="28" t="n">
        <v>29056.44</v>
      </c>
      <c r="S766" s="42" t="n">
        <v>0.024951677852349</v>
      </c>
      <c r="T766" s="3" t="n">
        <v>2.623</v>
      </c>
      <c r="U766" s="3" t="n">
        <v>21</v>
      </c>
      <c r="V766" s="3" t="n">
        <v>361452.41</v>
      </c>
      <c r="W766" s="42" t="n">
        <v>0.0216</v>
      </c>
      <c r="X766" s="23" t="n">
        <v>43466</v>
      </c>
      <c r="Y766" s="3">
        <f>IF(I766="","No SIC",IFERROR(VLOOKUP(I766,Ref!$A$2:$B$65,2,FALSE()),"Unclassified"))</f>
        <v/>
      </c>
      <c r="Z766" s="3">
        <f>IF(T766="","",IF(T766&lt;12,"Daily","Weekly"))</f>
        <v/>
      </c>
      <c r="AA766" s="3">
        <f>IF(T766="",0,IF(T766&lt;12,T766*Controls!$B$13,T766*5))</f>
        <v/>
      </c>
      <c r="AB766" s="3">
        <f>IF(E766="",0,NETWORKDAYS(E766,Controls!$B$20,Ref!$K$2:$K$42))</f>
        <v/>
      </c>
      <c r="AC766" s="3">
        <f>IF(OR(AF766=1,AND(AA766&gt;0,AB766&gt;=Controls!$B$23*AA766)),1,0)</f>
        <v/>
      </c>
      <c r="AD766" s="3">
        <f>IF(AND(E766&lt;&gt;"",E766&gt;=Controls!$B$21,E766&lt;=Controls!$B$22),1,0)</f>
        <v/>
      </c>
      <c r="AE766" s="3">
        <f>IF(IFERROR(VLOOKUP(D766,Controls!$A$36:$E$46,2,FALSE()),"No")="Yes",1,0)</f>
        <v/>
      </c>
      <c r="AF766" s="3">
        <f>IF(IFERROR(VLOOKUP(D766,Controls!$A$36:$E$46,3,FALSE()),"No")="Yes",1,0)</f>
        <v/>
      </c>
      <c r="AG766" s="3">
        <f>IF(IFERROR(VLOOKUP(D766,Controls!$A$36:$E$46,4,FALSE()),"No")="Yes",1,0)</f>
        <v/>
      </c>
      <c r="AH766" s="3">
        <f>IF(IFERROR(VLOOKUP(D766,Controls!$A$36:$E$46,5,FALSE()),"No")="Yes",1,0)</f>
        <v/>
      </c>
      <c r="AI766" s="3">
        <f>IF(ISNUMBER(MATCH(D766,Controls!$A$36:$A$46,0)),1,0)</f>
        <v/>
      </c>
      <c r="AJ766" s="28">
        <f>Q766-N766</f>
        <v/>
      </c>
      <c r="AK766" s="3">
        <f>IF(AE766=1,MAX(0,N766-Q766),0)</f>
        <v/>
      </c>
      <c r="AL766" s="3">
        <f>IF(OR(V766="",V766=0),0,N766/V766)</f>
        <v/>
      </c>
      <c r="AM766" s="3">
        <f>IF(OR(V766="",V766=0),0,1)</f>
        <v/>
      </c>
      <c r="AN766" s="3">
        <f>IF(OR(E766="",F766=""),0,NETWORKDAYS(E766,F766,Ref!$K$2:$K$42))</f>
        <v/>
      </c>
      <c r="AO766" s="3">
        <f>IF(L766="Renewal",1,0)</f>
        <v/>
      </c>
      <c r="AP766" s="3">
        <f>AC766*AD766</f>
        <v/>
      </c>
      <c r="AQ766" s="3">
        <f>IF(AND(G766&lt;&gt;"",'Historical Score'!$C$6&lt;&gt;""),IF(G766='Historical Score'!$C$6,1,0),0)</f>
        <v/>
      </c>
      <c r="AR766" s="3">
        <f>IF(AND(L766&lt;&gt;"",'Historical Score'!$C$5&lt;&gt;""),IF(L766='Historical Score'!$C$5,1,0),0)</f>
        <v/>
      </c>
      <c r="AS766" s="3">
        <f>IF(AND(Y766&lt;&gt;"",'Historical Score'!$C$7&lt;&gt;""),IF(Y766='Historical Score'!$C$7,1,0),0)</f>
        <v/>
      </c>
      <c r="AT766" s="3">
        <f>IF(AND(K766&lt;&gt;"",'Historical Score'!$C$8&lt;&gt;""),IF(K766='Historical Score'!$C$8,1,0),0)</f>
        <v/>
      </c>
      <c r="AU766" s="3" t="n"/>
      <c r="AV766" s="3" t="n"/>
      <c r="AW766" s="3" t="n"/>
      <c r="AX766" s="3" t="n"/>
      <c r="AY766" s="3" t="n"/>
      <c r="AZ766" s="3" t="n"/>
      <c r="BA766" s="182">
        <f>IF(AD766=1,(AR766*'Historical Score'!$K$29+1-'Historical Score'!$K$29)*(AT766*'Historical Score'!$L$29+1-'Historical Score'!$L$29)*(AS766*'Historical Score'!$M$29+1-'Historical Score'!$M$29)*(AQ766*'Historical Score'!$N$29+1-'Historical Score'!$N$29),0)</f>
        <v/>
      </c>
      <c r="BB766" s="3" t="n"/>
      <c r="BC766" s="3" t="n"/>
    </row>
    <row r="767" ht="15.75" customHeight="1" s="174">
      <c r="A767" s="3" t="inlineStr">
        <is>
          <t>5674181234</t>
        </is>
      </c>
      <c r="B767" s="3" t="inlineStr">
        <is>
          <t>ON SITE REPAIR SERVICES LLC</t>
        </is>
      </c>
      <c r="C767" s="3" t="inlineStr">
        <is>
          <t>ON SITE REPAIR SERVICES LLC</t>
        </is>
      </c>
      <c r="D767" s="3" t="inlineStr">
        <is>
          <t>Open</t>
        </is>
      </c>
      <c r="E767" s="23" t="n">
        <v>46113</v>
      </c>
      <c r="F767" s="23" t="n">
        <v>46253</v>
      </c>
      <c r="G767" s="3" t="n">
        <v>3</v>
      </c>
      <c r="H767" s="3" t="inlineStr">
        <is>
          <t>1521</t>
        </is>
      </c>
      <c r="I767" s="3" t="inlineStr">
        <is>
          <t>15</t>
        </is>
      </c>
      <c r="J767" s="3" t="inlineStr">
        <is>
          <t>TX</t>
        </is>
      </c>
      <c r="K767" s="3" t="inlineStr">
        <is>
          <t>Ballicci</t>
        </is>
      </c>
      <c r="L767" s="3" t="inlineStr">
        <is>
          <t>Renewal</t>
        </is>
      </c>
      <c r="M767" s="3" t="n">
        <v>1.35</v>
      </c>
      <c r="N767" s="28" t="n">
        <v>50000</v>
      </c>
      <c r="O767" s="28" t="n">
        <v>4000</v>
      </c>
      <c r="P767" s="28" t="n">
        <v>67500</v>
      </c>
      <c r="Q767" s="28" t="n">
        <v>41343.26</v>
      </c>
      <c r="R767" s="28" t="n">
        <v>26156.74</v>
      </c>
      <c r="S767" s="42" t="n">
        <v>0.612492740740741</v>
      </c>
      <c r="T767" s="3" t="n">
        <v>5.246</v>
      </c>
      <c r="U767" s="3" t="n">
        <v>0</v>
      </c>
      <c r="V767" s="3" t="n">
        <v>63010.24</v>
      </c>
      <c r="W767" s="42" t="n">
        <v>0.1406</v>
      </c>
      <c r="X767" s="23" t="n"/>
      <c r="Y767" s="3">
        <f>IF(I767="","No SIC",IFERROR(VLOOKUP(I767,Ref!$A$2:$B$65,2,FALSE()),"Unclassified"))</f>
        <v/>
      </c>
      <c r="Z767" s="3">
        <f>IF(T767="","",IF(T767&lt;12,"Daily","Weekly"))</f>
        <v/>
      </c>
      <c r="AA767" s="3">
        <f>IF(T767="",0,IF(T767&lt;12,T767*Controls!$B$13,T767*5))</f>
        <v/>
      </c>
      <c r="AB767" s="3">
        <f>IF(E767="",0,NETWORKDAYS(E767,Controls!$B$20,Ref!$K$2:$K$42))</f>
        <v/>
      </c>
      <c r="AC767" s="3">
        <f>IF(OR(AF767=1,AND(AA767&gt;0,AB767&gt;=Controls!$B$23*AA767)),1,0)</f>
        <v/>
      </c>
      <c r="AD767" s="3">
        <f>IF(AND(E767&lt;&gt;"",E767&gt;=Controls!$B$21,E767&lt;=Controls!$B$22),1,0)</f>
        <v/>
      </c>
      <c r="AE767" s="3">
        <f>IF(IFERROR(VLOOKUP(D767,Controls!$A$36:$E$46,2,FALSE()),"No")="Yes",1,0)</f>
        <v/>
      </c>
      <c r="AF767" s="3">
        <f>IF(IFERROR(VLOOKUP(D767,Controls!$A$36:$E$46,3,FALSE()),"No")="Yes",1,0)</f>
        <v/>
      </c>
      <c r="AG767" s="3">
        <f>IF(IFERROR(VLOOKUP(D767,Controls!$A$36:$E$46,4,FALSE()),"No")="Yes",1,0)</f>
        <v/>
      </c>
      <c r="AH767" s="3">
        <f>IF(IFERROR(VLOOKUP(D767,Controls!$A$36:$E$46,5,FALSE()),"No")="Yes",1,0)</f>
        <v/>
      </c>
      <c r="AI767" s="3">
        <f>IF(ISNUMBER(MATCH(D767,Controls!$A$36:$A$46,0)),1,0)</f>
        <v/>
      </c>
      <c r="AJ767" s="28">
        <f>Q767-N767</f>
        <v/>
      </c>
      <c r="AK767" s="3">
        <f>IF(AE767=1,MAX(0,N767-Q767),0)</f>
        <v/>
      </c>
      <c r="AL767" s="3">
        <f>IF(OR(V767="",V767=0),0,N767/V767)</f>
        <v/>
      </c>
      <c r="AM767" s="3">
        <f>IF(OR(V767="",V767=0),0,1)</f>
        <v/>
      </c>
      <c r="AN767" s="3">
        <f>IF(OR(E767="",F767=""),0,NETWORKDAYS(E767,F767,Ref!$K$2:$K$42))</f>
        <v/>
      </c>
      <c r="AO767" s="3">
        <f>IF(L767="Renewal",1,0)</f>
        <v/>
      </c>
      <c r="AP767" s="3">
        <f>AC767*AD767</f>
        <v/>
      </c>
      <c r="AQ767" s="3">
        <f>IF(AND(G767&lt;&gt;"",'Historical Score'!$C$6&lt;&gt;""),IF(G767='Historical Score'!$C$6,1,0),0)</f>
        <v/>
      </c>
      <c r="AR767" s="3">
        <f>IF(AND(L767&lt;&gt;"",'Historical Score'!$C$5&lt;&gt;""),IF(L767='Historical Score'!$C$5,1,0),0)</f>
        <v/>
      </c>
      <c r="AS767" s="3">
        <f>IF(AND(Y767&lt;&gt;"",'Historical Score'!$C$7&lt;&gt;""),IF(Y767='Historical Score'!$C$7,1,0),0)</f>
        <v/>
      </c>
      <c r="AT767" s="3">
        <f>IF(AND(K767&lt;&gt;"",'Historical Score'!$C$8&lt;&gt;""),IF(K767='Historical Score'!$C$8,1,0),0)</f>
        <v/>
      </c>
      <c r="AU767" s="3" t="n"/>
      <c r="AV767" s="3" t="n"/>
      <c r="AW767" s="3" t="n"/>
      <c r="AX767" s="3" t="n"/>
      <c r="AY767" s="3" t="n"/>
      <c r="AZ767" s="3" t="n"/>
      <c r="BA767" s="182">
        <f>IF(AD767=1,(AR767*'Historical Score'!$K$29+1-'Historical Score'!$K$29)*(AT767*'Historical Score'!$L$29+1-'Historical Score'!$L$29)*(AS767*'Historical Score'!$M$29+1-'Historical Score'!$M$29)*(AQ767*'Historical Score'!$N$29+1-'Historical Score'!$N$29),0)</f>
        <v/>
      </c>
      <c r="BB767" s="3" t="n"/>
      <c r="BC767" s="3" t="n"/>
    </row>
    <row r="768" ht="15.75" customHeight="1" s="174">
      <c r="A768" s="3" t="inlineStr">
        <is>
          <t>5674181256</t>
        </is>
      </c>
      <c r="B768" s="3" t="inlineStr">
        <is>
          <t>NORTH VALLEY TRANSPORT</t>
        </is>
      </c>
      <c r="C768" s="3" t="inlineStr">
        <is>
          <t>NORTH VALLEY TRANSPORT LLC</t>
        </is>
      </c>
      <c r="D768" s="3" t="inlineStr">
        <is>
          <t>Open</t>
        </is>
      </c>
      <c r="E768" s="23" t="n">
        <v>46114</v>
      </c>
      <c r="F768" s="23" t="n">
        <v>46247</v>
      </c>
      <c r="G768" s="3" t="n">
        <v>2</v>
      </c>
      <c r="H768" s="3" t="inlineStr">
        <is>
          <t>4212</t>
        </is>
      </c>
      <c r="I768" s="3" t="inlineStr">
        <is>
          <t>42</t>
        </is>
      </c>
      <c r="J768" s="3" t="inlineStr">
        <is>
          <t>No state</t>
        </is>
      </c>
      <c r="K768" s="3" t="inlineStr">
        <is>
          <t>ez alternative solutions</t>
        </is>
      </c>
      <c r="L768" s="3" t="inlineStr">
        <is>
          <t>New Deal</t>
        </is>
      </c>
      <c r="M768" s="3" t="n">
        <v>1.37</v>
      </c>
      <c r="N768" s="28" t="n">
        <v>160000</v>
      </c>
      <c r="O768" s="28" t="n">
        <v>12800</v>
      </c>
      <c r="P768" s="28" t="n">
        <v>219200</v>
      </c>
      <c r="Q768" s="28" t="n">
        <v>138810.77</v>
      </c>
      <c r="R768" s="28" t="n">
        <v>80389.23</v>
      </c>
      <c r="S768" s="42" t="n">
        <v>0.633260812043796</v>
      </c>
      <c r="T768" s="3" t="n">
        <v>30</v>
      </c>
      <c r="U768" s="3" t="n">
        <v>0</v>
      </c>
      <c r="V768" s="3" t="n">
        <v>716257.36</v>
      </c>
      <c r="W768" s="42" t="n">
        <v>0.0408</v>
      </c>
      <c r="X768" s="23" t="n">
        <v>43259</v>
      </c>
      <c r="Y768" s="3">
        <f>IF(I768="","No SIC",IFERROR(VLOOKUP(I768,Ref!$A$2:$B$65,2,FALSE()),"Unclassified"))</f>
        <v/>
      </c>
      <c r="Z768" s="3">
        <f>IF(T768="","",IF(T768&lt;12,"Daily","Weekly"))</f>
        <v/>
      </c>
      <c r="AA768" s="3">
        <f>IF(T768="",0,IF(T768&lt;12,T768*Controls!$B$13,T768*5))</f>
        <v/>
      </c>
      <c r="AB768" s="3">
        <f>IF(E768="",0,NETWORKDAYS(E768,Controls!$B$20,Ref!$K$2:$K$42))</f>
        <v/>
      </c>
      <c r="AC768" s="3">
        <f>IF(OR(AF768=1,AND(AA768&gt;0,AB768&gt;=Controls!$B$23*AA768)),1,0)</f>
        <v/>
      </c>
      <c r="AD768" s="3">
        <f>IF(AND(E768&lt;&gt;"",E768&gt;=Controls!$B$21,E768&lt;=Controls!$B$22),1,0)</f>
        <v/>
      </c>
      <c r="AE768" s="3">
        <f>IF(IFERROR(VLOOKUP(D768,Controls!$A$36:$E$46,2,FALSE()),"No")="Yes",1,0)</f>
        <v/>
      </c>
      <c r="AF768" s="3">
        <f>IF(IFERROR(VLOOKUP(D768,Controls!$A$36:$E$46,3,FALSE()),"No")="Yes",1,0)</f>
        <v/>
      </c>
      <c r="AG768" s="3">
        <f>IF(IFERROR(VLOOKUP(D768,Controls!$A$36:$E$46,4,FALSE()),"No")="Yes",1,0)</f>
        <v/>
      </c>
      <c r="AH768" s="3">
        <f>IF(IFERROR(VLOOKUP(D768,Controls!$A$36:$E$46,5,FALSE()),"No")="Yes",1,0)</f>
        <v/>
      </c>
      <c r="AI768" s="3">
        <f>IF(ISNUMBER(MATCH(D768,Controls!$A$36:$A$46,0)),1,0)</f>
        <v/>
      </c>
      <c r="AJ768" s="28">
        <f>Q768-N768</f>
        <v/>
      </c>
      <c r="AK768" s="3">
        <f>IF(AE768=1,MAX(0,N768-Q768),0)</f>
        <v/>
      </c>
      <c r="AL768" s="3">
        <f>IF(OR(V768="",V768=0),0,N768/V768)</f>
        <v/>
      </c>
      <c r="AM768" s="3">
        <f>IF(OR(V768="",V768=0),0,1)</f>
        <v/>
      </c>
      <c r="AN768" s="3">
        <f>IF(OR(E768="",F768=""),0,NETWORKDAYS(E768,F768,Ref!$K$2:$K$42))</f>
        <v/>
      </c>
      <c r="AO768" s="3">
        <f>IF(L768="Renewal",1,0)</f>
        <v/>
      </c>
      <c r="AP768" s="3">
        <f>AC768*AD768</f>
        <v/>
      </c>
      <c r="AQ768" s="3">
        <f>IF(AND(G768&lt;&gt;"",'Historical Score'!$C$6&lt;&gt;""),IF(G768='Historical Score'!$C$6,1,0),0)</f>
        <v/>
      </c>
      <c r="AR768" s="3">
        <f>IF(AND(L768&lt;&gt;"",'Historical Score'!$C$5&lt;&gt;""),IF(L768='Historical Score'!$C$5,1,0),0)</f>
        <v/>
      </c>
      <c r="AS768" s="3">
        <f>IF(AND(Y768&lt;&gt;"",'Historical Score'!$C$7&lt;&gt;""),IF(Y768='Historical Score'!$C$7,1,0),0)</f>
        <v/>
      </c>
      <c r="AT768" s="3">
        <f>IF(AND(K768&lt;&gt;"",'Historical Score'!$C$8&lt;&gt;""),IF(K768='Historical Score'!$C$8,1,0),0)</f>
        <v/>
      </c>
      <c r="AU768" s="3" t="n"/>
      <c r="AV768" s="3" t="n"/>
      <c r="AW768" s="3" t="n"/>
      <c r="AX768" s="3" t="n"/>
      <c r="AY768" s="3" t="n"/>
      <c r="AZ768" s="3" t="n"/>
      <c r="BA768" s="182">
        <f>IF(AD768=1,(AR768*'Historical Score'!$K$29+1-'Historical Score'!$K$29)*(AT768*'Historical Score'!$L$29+1-'Historical Score'!$L$29)*(AS768*'Historical Score'!$M$29+1-'Historical Score'!$M$29)*(AQ768*'Historical Score'!$N$29+1-'Historical Score'!$N$29),0)</f>
        <v/>
      </c>
      <c r="BB768" s="3" t="n"/>
      <c r="BC768" s="3" t="n"/>
    </row>
    <row r="769" ht="15.75" customHeight="1" s="174">
      <c r="A769" s="3" t="inlineStr">
        <is>
          <t>5674181270</t>
        </is>
      </c>
      <c r="B769" s="3" t="inlineStr">
        <is>
          <t>h-h transport</t>
        </is>
      </c>
      <c r="C769" s="3" t="inlineStr">
        <is>
          <t>H-H transport</t>
        </is>
      </c>
      <c r="D769" s="3" t="inlineStr">
        <is>
          <t>Closed</t>
        </is>
      </c>
      <c r="E769" s="23" t="n">
        <v>46114</v>
      </c>
      <c r="F769" s="23" t="n">
        <v>46168</v>
      </c>
      <c r="G769" s="3" t="n">
        <v>3</v>
      </c>
      <c r="H769" s="3" t="inlineStr">
        <is>
          <t>4212</t>
        </is>
      </c>
      <c r="I769" s="3" t="inlineStr">
        <is>
          <t>42</t>
        </is>
      </c>
      <c r="J769" s="3" t="inlineStr">
        <is>
          <t>AZ</t>
        </is>
      </c>
      <c r="K769" s="3" t="inlineStr">
        <is>
          <t>Westwood</t>
        </is>
      </c>
      <c r="L769" s="3" t="inlineStr">
        <is>
          <t>New Deal</t>
        </is>
      </c>
      <c r="M769" s="3" t="n">
        <v>1.49</v>
      </c>
      <c r="N769" s="28" t="n">
        <v>20000</v>
      </c>
      <c r="O769" s="28" t="n">
        <v>2800</v>
      </c>
      <c r="P769" s="28" t="n">
        <v>29800</v>
      </c>
      <c r="Q769" s="28" t="n">
        <v>29800</v>
      </c>
      <c r="R769" s="28" t="n">
        <v>0</v>
      </c>
      <c r="S769" s="42" t="n">
        <v>1</v>
      </c>
      <c r="T769" s="3" t="n">
        <v>1.639</v>
      </c>
      <c r="U769" s="3" t="n">
        <v>0</v>
      </c>
      <c r="V769" s="3" t="n">
        <v>80000</v>
      </c>
      <c r="W769" s="42" t="n">
        <v>0.1422</v>
      </c>
      <c r="X769" s="23" t="n">
        <v>44621</v>
      </c>
      <c r="Y769" s="3">
        <f>IF(I769="","No SIC",IFERROR(VLOOKUP(I769,Ref!$A$2:$B$65,2,FALSE()),"Unclassified"))</f>
        <v/>
      </c>
      <c r="Z769" s="3">
        <f>IF(T769="","",IF(T769&lt;12,"Daily","Weekly"))</f>
        <v/>
      </c>
      <c r="AA769" s="3">
        <f>IF(T769="",0,IF(T769&lt;12,T769*Controls!$B$13,T769*5))</f>
        <v/>
      </c>
      <c r="AB769" s="3">
        <f>IF(E769="",0,NETWORKDAYS(E769,Controls!$B$20,Ref!$K$2:$K$42))</f>
        <v/>
      </c>
      <c r="AC769" s="3">
        <f>IF(OR(AF769=1,AND(AA769&gt;0,AB769&gt;=Controls!$B$23*AA769)),1,0)</f>
        <v/>
      </c>
      <c r="AD769" s="3">
        <f>IF(AND(E769&lt;&gt;"",E769&gt;=Controls!$B$21,E769&lt;=Controls!$B$22),1,0)</f>
        <v/>
      </c>
      <c r="AE769" s="3">
        <f>IF(IFERROR(VLOOKUP(D769,Controls!$A$36:$E$46,2,FALSE()),"No")="Yes",1,0)</f>
        <v/>
      </c>
      <c r="AF769" s="3">
        <f>IF(IFERROR(VLOOKUP(D769,Controls!$A$36:$E$46,3,FALSE()),"No")="Yes",1,0)</f>
        <v/>
      </c>
      <c r="AG769" s="3">
        <f>IF(IFERROR(VLOOKUP(D769,Controls!$A$36:$E$46,4,FALSE()),"No")="Yes",1,0)</f>
        <v/>
      </c>
      <c r="AH769" s="3">
        <f>IF(IFERROR(VLOOKUP(D769,Controls!$A$36:$E$46,5,FALSE()),"No")="Yes",1,0)</f>
        <v/>
      </c>
      <c r="AI769" s="3">
        <f>IF(ISNUMBER(MATCH(D769,Controls!$A$36:$A$46,0)),1,0)</f>
        <v/>
      </c>
      <c r="AJ769" s="28">
        <f>Q769-N769</f>
        <v/>
      </c>
      <c r="AK769" s="3">
        <f>IF(AE769=1,MAX(0,N769-Q769),0)</f>
        <v/>
      </c>
      <c r="AL769" s="3">
        <f>IF(OR(V769="",V769=0),0,N769/V769)</f>
        <v/>
      </c>
      <c r="AM769" s="3">
        <f>IF(OR(V769="",V769=0),0,1)</f>
        <v/>
      </c>
      <c r="AN769" s="3">
        <f>IF(OR(E769="",F769=""),0,NETWORKDAYS(E769,F769,Ref!$K$2:$K$42))</f>
        <v/>
      </c>
      <c r="AO769" s="3">
        <f>IF(L769="Renewal",1,0)</f>
        <v/>
      </c>
      <c r="AP769" s="3">
        <f>AC769*AD769</f>
        <v/>
      </c>
      <c r="AQ769" s="3">
        <f>IF(AND(G769&lt;&gt;"",'Historical Score'!$C$6&lt;&gt;""),IF(G769='Historical Score'!$C$6,1,0),0)</f>
        <v/>
      </c>
      <c r="AR769" s="3">
        <f>IF(AND(L769&lt;&gt;"",'Historical Score'!$C$5&lt;&gt;""),IF(L769='Historical Score'!$C$5,1,0),0)</f>
        <v/>
      </c>
      <c r="AS769" s="3">
        <f>IF(AND(Y769&lt;&gt;"",'Historical Score'!$C$7&lt;&gt;""),IF(Y769='Historical Score'!$C$7,1,0),0)</f>
        <v/>
      </c>
      <c r="AT769" s="3">
        <f>IF(AND(K769&lt;&gt;"",'Historical Score'!$C$8&lt;&gt;""),IF(K769='Historical Score'!$C$8,1,0),0)</f>
        <v/>
      </c>
      <c r="AU769" s="3" t="n"/>
      <c r="AV769" s="3" t="n"/>
      <c r="AW769" s="3" t="n"/>
      <c r="AX769" s="3" t="n"/>
      <c r="AY769" s="3" t="n"/>
      <c r="AZ769" s="3" t="n"/>
      <c r="BA769" s="182">
        <f>IF(AD769=1,(AR769*'Historical Score'!$K$29+1-'Historical Score'!$K$29)*(AT769*'Historical Score'!$L$29+1-'Historical Score'!$L$29)*(AS769*'Historical Score'!$M$29+1-'Historical Score'!$M$29)*(AQ769*'Historical Score'!$N$29+1-'Historical Score'!$N$29),0)</f>
        <v/>
      </c>
      <c r="BB769" s="3" t="n"/>
      <c r="BC769" s="3" t="n"/>
    </row>
    <row r="770" ht="15.75" customHeight="1" s="174">
      <c r="A770" s="3" t="inlineStr">
        <is>
          <t>5674181276</t>
        </is>
      </c>
      <c r="B770" s="3" t="inlineStr">
        <is>
          <t>FIRST CLASS REPAIR CORPORATION</t>
        </is>
      </c>
      <c r="C770" s="3" t="inlineStr">
        <is>
          <t>FIRST CLASS REPAIR CORPORATION</t>
        </is>
      </c>
      <c r="D770" s="3" t="inlineStr">
        <is>
          <t>Bankruptcy</t>
        </is>
      </c>
      <c r="E770" s="23" t="n">
        <v>46114</v>
      </c>
      <c r="F770" s="23" t="n">
        <v>46234</v>
      </c>
      <c r="G770" s="3" t="n">
        <v>3</v>
      </c>
      <c r="H770" s="3" t="inlineStr">
        <is>
          <t>1521</t>
        </is>
      </c>
      <c r="I770" s="3" t="inlineStr">
        <is>
          <t>15</t>
        </is>
      </c>
      <c r="J770" s="3" t="inlineStr">
        <is>
          <t>IA</t>
        </is>
      </c>
      <c r="K770" s="3" t="inlineStr">
        <is>
          <t>TRUSTFI</t>
        </is>
      </c>
      <c r="L770" s="3" t="inlineStr">
        <is>
          <t>New Deal</t>
        </is>
      </c>
      <c r="M770" s="3" t="n">
        <v>1.49</v>
      </c>
      <c r="N770" s="28" t="n">
        <v>20000</v>
      </c>
      <c r="O770" s="28" t="n">
        <v>2800</v>
      </c>
      <c r="P770" s="28" t="n">
        <v>29800</v>
      </c>
      <c r="Q770" s="28" t="n">
        <v>19206.12</v>
      </c>
      <c r="R770" s="28" t="n">
        <v>10593.88</v>
      </c>
      <c r="S770" s="42" t="n">
        <v>0.64450067114094</v>
      </c>
      <c r="T770" s="3" t="n">
        <v>2.951</v>
      </c>
      <c r="U770" s="3" t="n">
        <v>19</v>
      </c>
      <c r="V770" s="3" t="n">
        <v>74692.34</v>
      </c>
      <c r="W770" s="42" t="n">
        <v>0.0931</v>
      </c>
      <c r="X770" s="23" t="n">
        <v>45797</v>
      </c>
      <c r="Y770" s="3">
        <f>IF(I770="","No SIC",IFERROR(VLOOKUP(I770,Ref!$A$2:$B$65,2,FALSE()),"Unclassified"))</f>
        <v/>
      </c>
      <c r="Z770" s="3">
        <f>IF(T770="","",IF(T770&lt;12,"Daily","Weekly"))</f>
        <v/>
      </c>
      <c r="AA770" s="3">
        <f>IF(T770="",0,IF(T770&lt;12,T770*Controls!$B$13,T770*5))</f>
        <v/>
      </c>
      <c r="AB770" s="3">
        <f>IF(E770="",0,NETWORKDAYS(E770,Controls!$B$20,Ref!$K$2:$K$42))</f>
        <v/>
      </c>
      <c r="AC770" s="3">
        <f>IF(OR(AF770=1,AND(AA770&gt;0,AB770&gt;=Controls!$B$23*AA770)),1,0)</f>
        <v/>
      </c>
      <c r="AD770" s="3">
        <f>IF(AND(E770&lt;&gt;"",E770&gt;=Controls!$B$21,E770&lt;=Controls!$B$22),1,0)</f>
        <v/>
      </c>
      <c r="AE770" s="3">
        <f>IF(IFERROR(VLOOKUP(D770,Controls!$A$36:$E$46,2,FALSE()),"No")="Yes",1,0)</f>
        <v/>
      </c>
      <c r="AF770" s="3">
        <f>IF(IFERROR(VLOOKUP(D770,Controls!$A$36:$E$46,3,FALSE()),"No")="Yes",1,0)</f>
        <v/>
      </c>
      <c r="AG770" s="3">
        <f>IF(IFERROR(VLOOKUP(D770,Controls!$A$36:$E$46,4,FALSE()),"No")="Yes",1,0)</f>
        <v/>
      </c>
      <c r="AH770" s="3">
        <f>IF(IFERROR(VLOOKUP(D770,Controls!$A$36:$E$46,5,FALSE()),"No")="Yes",1,0)</f>
        <v/>
      </c>
      <c r="AI770" s="3">
        <f>IF(ISNUMBER(MATCH(D770,Controls!$A$36:$A$46,0)),1,0)</f>
        <v/>
      </c>
      <c r="AJ770" s="28">
        <f>Q770-N770</f>
        <v/>
      </c>
      <c r="AK770" s="3">
        <f>IF(AE770=1,MAX(0,N770-Q770),0)</f>
        <v/>
      </c>
      <c r="AL770" s="3">
        <f>IF(OR(V770="",V770=0),0,N770/V770)</f>
        <v/>
      </c>
      <c r="AM770" s="3">
        <f>IF(OR(V770="",V770=0),0,1)</f>
        <v/>
      </c>
      <c r="AN770" s="3">
        <f>IF(OR(E770="",F770=""),0,NETWORKDAYS(E770,F770,Ref!$K$2:$K$42))</f>
        <v/>
      </c>
      <c r="AO770" s="3">
        <f>IF(L770="Renewal",1,0)</f>
        <v/>
      </c>
      <c r="AP770" s="3">
        <f>AC770*AD770</f>
        <v/>
      </c>
      <c r="AQ770" s="3">
        <f>IF(AND(G770&lt;&gt;"",'Historical Score'!$C$6&lt;&gt;""),IF(G770='Historical Score'!$C$6,1,0),0)</f>
        <v/>
      </c>
      <c r="AR770" s="3">
        <f>IF(AND(L770&lt;&gt;"",'Historical Score'!$C$5&lt;&gt;""),IF(L770='Historical Score'!$C$5,1,0),0)</f>
        <v/>
      </c>
      <c r="AS770" s="3">
        <f>IF(AND(Y770&lt;&gt;"",'Historical Score'!$C$7&lt;&gt;""),IF(Y770='Historical Score'!$C$7,1,0),0)</f>
        <v/>
      </c>
      <c r="AT770" s="3">
        <f>IF(AND(K770&lt;&gt;"",'Historical Score'!$C$8&lt;&gt;""),IF(K770='Historical Score'!$C$8,1,0),0)</f>
        <v/>
      </c>
      <c r="AU770" s="3" t="n"/>
      <c r="AV770" s="3" t="n"/>
      <c r="AW770" s="3" t="n"/>
      <c r="AX770" s="3" t="n"/>
      <c r="AY770" s="3" t="n"/>
      <c r="AZ770" s="3" t="n"/>
      <c r="BA770" s="182">
        <f>IF(AD770=1,(AR770*'Historical Score'!$K$29+1-'Historical Score'!$K$29)*(AT770*'Historical Score'!$L$29+1-'Historical Score'!$L$29)*(AS770*'Historical Score'!$M$29+1-'Historical Score'!$M$29)*(AQ770*'Historical Score'!$N$29+1-'Historical Score'!$N$29),0)</f>
        <v/>
      </c>
      <c r="BB770" s="3" t="n"/>
      <c r="BC770" s="3" t="n"/>
    </row>
    <row r="771" ht="15.75" customHeight="1" s="174">
      <c r="A771" s="3" t="inlineStr">
        <is>
          <t>5674181280</t>
        </is>
      </c>
      <c r="B771" s="3" t="inlineStr">
        <is>
          <t>Hecto Group, LLC</t>
        </is>
      </c>
      <c r="C771" s="3" t="inlineStr">
        <is>
          <t>Hecto Group, LLC</t>
        </is>
      </c>
      <c r="D771" s="3" t="inlineStr">
        <is>
          <t>Closed</t>
        </is>
      </c>
      <c r="E771" s="23" t="n">
        <v>46114</v>
      </c>
      <c r="F771" s="23" t="n">
        <v>46218</v>
      </c>
      <c r="G771" s="3" t="n">
        <v>2</v>
      </c>
      <c r="H771" s="3" t="inlineStr">
        <is>
          <t>8732</t>
        </is>
      </c>
      <c r="I771" s="3" t="inlineStr">
        <is>
          <t>87</t>
        </is>
      </c>
      <c r="J771" s="3" t="inlineStr">
        <is>
          <t>KS</t>
        </is>
      </c>
      <c r="K771" s="3" t="inlineStr">
        <is>
          <t>Westwood</t>
        </is>
      </c>
      <c r="L771" s="3" t="inlineStr">
        <is>
          <t>New Deal</t>
        </is>
      </c>
      <c r="M771" s="3" t="n">
        <v>1.49</v>
      </c>
      <c r="N771" s="28" t="n">
        <v>30000</v>
      </c>
      <c r="O771" s="28" t="n">
        <v>4200</v>
      </c>
      <c r="P771" s="28" t="n">
        <v>44700</v>
      </c>
      <c r="Q771" s="28" t="n">
        <v>44700</v>
      </c>
      <c r="R771" s="28" t="n">
        <v>0</v>
      </c>
      <c r="S771" s="42" t="n">
        <v>1</v>
      </c>
      <c r="T771" s="3" t="n">
        <v>23</v>
      </c>
      <c r="U771" s="3" t="n">
        <v>3</v>
      </c>
      <c r="V771" s="3" t="n">
        <v>103955.24</v>
      </c>
      <c r="W771" s="42" t="n">
        <v>0.07480000000000001</v>
      </c>
      <c r="X771" s="23" t="n">
        <v>40380</v>
      </c>
      <c r="Y771" s="3">
        <f>IF(I771="","No SIC",IFERROR(VLOOKUP(I771,Ref!$A$2:$B$65,2,FALSE()),"Unclassified"))</f>
        <v/>
      </c>
      <c r="Z771" s="3">
        <f>IF(T771="","",IF(T771&lt;12,"Daily","Weekly"))</f>
        <v/>
      </c>
      <c r="AA771" s="3">
        <f>IF(T771="",0,IF(T771&lt;12,T771*Controls!$B$13,T771*5))</f>
        <v/>
      </c>
      <c r="AB771" s="3">
        <f>IF(E771="",0,NETWORKDAYS(E771,Controls!$B$20,Ref!$K$2:$K$42))</f>
        <v/>
      </c>
      <c r="AC771" s="3">
        <f>IF(OR(AF771=1,AND(AA771&gt;0,AB771&gt;=Controls!$B$23*AA771)),1,0)</f>
        <v/>
      </c>
      <c r="AD771" s="3">
        <f>IF(AND(E771&lt;&gt;"",E771&gt;=Controls!$B$21,E771&lt;=Controls!$B$22),1,0)</f>
        <v/>
      </c>
      <c r="AE771" s="3">
        <f>IF(IFERROR(VLOOKUP(D771,Controls!$A$36:$E$46,2,FALSE()),"No")="Yes",1,0)</f>
        <v/>
      </c>
      <c r="AF771" s="3">
        <f>IF(IFERROR(VLOOKUP(D771,Controls!$A$36:$E$46,3,FALSE()),"No")="Yes",1,0)</f>
        <v/>
      </c>
      <c r="AG771" s="3">
        <f>IF(IFERROR(VLOOKUP(D771,Controls!$A$36:$E$46,4,FALSE()),"No")="Yes",1,0)</f>
        <v/>
      </c>
      <c r="AH771" s="3">
        <f>IF(IFERROR(VLOOKUP(D771,Controls!$A$36:$E$46,5,FALSE()),"No")="Yes",1,0)</f>
        <v/>
      </c>
      <c r="AI771" s="3">
        <f>IF(ISNUMBER(MATCH(D771,Controls!$A$36:$A$46,0)),1,0)</f>
        <v/>
      </c>
      <c r="AJ771" s="28">
        <f>Q771-N771</f>
        <v/>
      </c>
      <c r="AK771" s="3">
        <f>IF(AE771=1,MAX(0,N771-Q771),0)</f>
        <v/>
      </c>
      <c r="AL771" s="3">
        <f>IF(OR(V771="",V771=0),0,N771/V771)</f>
        <v/>
      </c>
      <c r="AM771" s="3">
        <f>IF(OR(V771="",V771=0),0,1)</f>
        <v/>
      </c>
      <c r="AN771" s="3">
        <f>IF(OR(E771="",F771=""),0,NETWORKDAYS(E771,F771,Ref!$K$2:$K$42))</f>
        <v/>
      </c>
      <c r="AO771" s="3">
        <f>IF(L771="Renewal",1,0)</f>
        <v/>
      </c>
      <c r="AP771" s="3">
        <f>AC771*AD771</f>
        <v/>
      </c>
      <c r="AQ771" s="3">
        <f>IF(AND(G771&lt;&gt;"",'Historical Score'!$C$6&lt;&gt;""),IF(G771='Historical Score'!$C$6,1,0),0)</f>
        <v/>
      </c>
      <c r="AR771" s="3">
        <f>IF(AND(L771&lt;&gt;"",'Historical Score'!$C$5&lt;&gt;""),IF(L771='Historical Score'!$C$5,1,0),0)</f>
        <v/>
      </c>
      <c r="AS771" s="3">
        <f>IF(AND(Y771&lt;&gt;"",'Historical Score'!$C$7&lt;&gt;""),IF(Y771='Historical Score'!$C$7,1,0),0)</f>
        <v/>
      </c>
      <c r="AT771" s="3">
        <f>IF(AND(K771&lt;&gt;"",'Historical Score'!$C$8&lt;&gt;""),IF(K771='Historical Score'!$C$8,1,0),0)</f>
        <v/>
      </c>
      <c r="AU771" s="3" t="n"/>
      <c r="AV771" s="3" t="n"/>
      <c r="AW771" s="3" t="n"/>
      <c r="AX771" s="3" t="n"/>
      <c r="AY771" s="3" t="n"/>
      <c r="AZ771" s="3" t="n"/>
      <c r="BA771" s="182">
        <f>IF(AD771=1,(AR771*'Historical Score'!$K$29+1-'Historical Score'!$K$29)*(AT771*'Historical Score'!$L$29+1-'Historical Score'!$L$29)*(AS771*'Historical Score'!$M$29+1-'Historical Score'!$M$29)*(AQ771*'Historical Score'!$N$29+1-'Historical Score'!$N$29),0)</f>
        <v/>
      </c>
      <c r="BB771" s="3" t="n"/>
      <c r="BC771" s="3" t="n"/>
    </row>
    <row r="772" ht="15.75" customHeight="1" s="174">
      <c r="A772" s="3" t="inlineStr">
        <is>
          <t>5674181302</t>
        </is>
      </c>
      <c r="B772" s="3" t="inlineStr">
        <is>
          <t>CENTER HARBOR SUTTON HOUSE B&amp;B</t>
        </is>
      </c>
      <c r="C772" s="3" t="inlineStr">
        <is>
          <t>THAIS D ST CLAIR</t>
        </is>
      </c>
      <c r="D772" s="3" t="inlineStr">
        <is>
          <t>Open</t>
        </is>
      </c>
      <c r="E772" s="23" t="n">
        <v>46115</v>
      </c>
      <c r="F772" s="23" t="n">
        <v>46248</v>
      </c>
      <c r="G772" s="3" t="n">
        <v>3</v>
      </c>
      <c r="H772" s="3" t="inlineStr">
        <is>
          <t>5812</t>
        </is>
      </c>
      <c r="I772" s="3" t="inlineStr">
        <is>
          <t>58</t>
        </is>
      </c>
      <c r="J772" s="3" t="inlineStr">
        <is>
          <t>NH</t>
        </is>
      </c>
      <c r="K772" s="3" t="inlineStr">
        <is>
          <t>Ballicci</t>
        </is>
      </c>
      <c r="L772" s="3" t="inlineStr">
        <is>
          <t>New Deal</t>
        </is>
      </c>
      <c r="M772" s="3" t="n">
        <v>1.49</v>
      </c>
      <c r="N772" s="28" t="n">
        <v>25000</v>
      </c>
      <c r="O772" s="28" t="n">
        <v>3500</v>
      </c>
      <c r="P772" s="28" t="n">
        <v>37250</v>
      </c>
      <c r="Q772" s="28" t="n">
        <v>14165.35</v>
      </c>
      <c r="R772" s="28" t="n">
        <v>23084.65</v>
      </c>
      <c r="S772" s="42" t="n">
        <v>0.380277852348993</v>
      </c>
      <c r="T772" s="3" t="n">
        <v>26</v>
      </c>
      <c r="U772" s="3" t="n">
        <v>0</v>
      </c>
      <c r="V772" s="3" t="n">
        <v>47968.78</v>
      </c>
      <c r="W772" s="42" t="n">
        <v>0.1195</v>
      </c>
      <c r="X772" s="23" t="n">
        <v>41377</v>
      </c>
      <c r="Y772" s="3">
        <f>IF(I772="","No SIC",IFERROR(VLOOKUP(I772,Ref!$A$2:$B$65,2,FALSE()),"Unclassified"))</f>
        <v/>
      </c>
      <c r="Z772" s="3">
        <f>IF(T772="","",IF(T772&lt;12,"Daily","Weekly"))</f>
        <v/>
      </c>
      <c r="AA772" s="3">
        <f>IF(T772="",0,IF(T772&lt;12,T772*Controls!$B$13,T772*5))</f>
        <v/>
      </c>
      <c r="AB772" s="3">
        <f>IF(E772="",0,NETWORKDAYS(E772,Controls!$B$20,Ref!$K$2:$K$42))</f>
        <v/>
      </c>
      <c r="AC772" s="3">
        <f>IF(OR(AF772=1,AND(AA772&gt;0,AB772&gt;=Controls!$B$23*AA772)),1,0)</f>
        <v/>
      </c>
      <c r="AD772" s="3">
        <f>IF(AND(E772&lt;&gt;"",E772&gt;=Controls!$B$21,E772&lt;=Controls!$B$22),1,0)</f>
        <v/>
      </c>
      <c r="AE772" s="3">
        <f>IF(IFERROR(VLOOKUP(D772,Controls!$A$36:$E$46,2,FALSE()),"No")="Yes",1,0)</f>
        <v/>
      </c>
      <c r="AF772" s="3">
        <f>IF(IFERROR(VLOOKUP(D772,Controls!$A$36:$E$46,3,FALSE()),"No")="Yes",1,0)</f>
        <v/>
      </c>
      <c r="AG772" s="3">
        <f>IF(IFERROR(VLOOKUP(D772,Controls!$A$36:$E$46,4,FALSE()),"No")="Yes",1,0)</f>
        <v/>
      </c>
      <c r="AH772" s="3">
        <f>IF(IFERROR(VLOOKUP(D772,Controls!$A$36:$E$46,5,FALSE()),"No")="Yes",1,0)</f>
        <v/>
      </c>
      <c r="AI772" s="3">
        <f>IF(ISNUMBER(MATCH(D772,Controls!$A$36:$A$46,0)),1,0)</f>
        <v/>
      </c>
      <c r="AJ772" s="28">
        <f>Q772-N772</f>
        <v/>
      </c>
      <c r="AK772" s="3">
        <f>IF(AE772=1,MAX(0,N772-Q772),0)</f>
        <v/>
      </c>
      <c r="AL772" s="3">
        <f>IF(OR(V772="",V772=0),0,N772/V772)</f>
        <v/>
      </c>
      <c r="AM772" s="3">
        <f>IF(OR(V772="",V772=0),0,1)</f>
        <v/>
      </c>
      <c r="AN772" s="3">
        <f>IF(OR(E772="",F772=""),0,NETWORKDAYS(E772,F772,Ref!$K$2:$K$42))</f>
        <v/>
      </c>
      <c r="AO772" s="3">
        <f>IF(L772="Renewal",1,0)</f>
        <v/>
      </c>
      <c r="AP772" s="3">
        <f>AC772*AD772</f>
        <v/>
      </c>
      <c r="AQ772" s="3">
        <f>IF(AND(G772&lt;&gt;"",'Historical Score'!$C$6&lt;&gt;""),IF(G772='Historical Score'!$C$6,1,0),0)</f>
        <v/>
      </c>
      <c r="AR772" s="3">
        <f>IF(AND(L772&lt;&gt;"",'Historical Score'!$C$5&lt;&gt;""),IF(L772='Historical Score'!$C$5,1,0),0)</f>
        <v/>
      </c>
      <c r="AS772" s="3">
        <f>IF(AND(Y772&lt;&gt;"",'Historical Score'!$C$7&lt;&gt;""),IF(Y772='Historical Score'!$C$7,1,0),0)</f>
        <v/>
      </c>
      <c r="AT772" s="3">
        <f>IF(AND(K772&lt;&gt;"",'Historical Score'!$C$8&lt;&gt;""),IF(K772='Historical Score'!$C$8,1,0),0)</f>
        <v/>
      </c>
      <c r="AU772" s="3" t="n"/>
      <c r="AV772" s="3" t="n"/>
      <c r="AW772" s="3" t="n"/>
      <c r="AX772" s="3" t="n"/>
      <c r="AY772" s="3" t="n"/>
      <c r="AZ772" s="3" t="n"/>
      <c r="BA772" s="182">
        <f>IF(AD772=1,(AR772*'Historical Score'!$K$29+1-'Historical Score'!$K$29)*(AT772*'Historical Score'!$L$29+1-'Historical Score'!$L$29)*(AS772*'Historical Score'!$M$29+1-'Historical Score'!$M$29)*(AQ772*'Historical Score'!$N$29+1-'Historical Score'!$N$29),0)</f>
        <v/>
      </c>
      <c r="BB772" s="3" t="n"/>
      <c r="BC772" s="3" t="n"/>
    </row>
    <row r="773" ht="15.75" customHeight="1" s="174">
      <c r="A773" s="3" t="inlineStr">
        <is>
          <t>5674181345</t>
        </is>
      </c>
      <c r="B773" s="3" t="inlineStr">
        <is>
          <t>Obys Auto Restoration LLC</t>
        </is>
      </c>
      <c r="C773" s="3" t="inlineStr">
        <is>
          <t>Obys Auto Restoration LLC</t>
        </is>
      </c>
      <c r="D773" s="3" t="inlineStr">
        <is>
          <t>Closed</t>
        </is>
      </c>
      <c r="E773" s="23" t="n">
        <v>46118</v>
      </c>
      <c r="F773" s="23" t="n">
        <v>46213</v>
      </c>
      <c r="G773" s="3" t="n">
        <v>3</v>
      </c>
      <c r="H773" s="3" t="inlineStr">
        <is>
          <t>7538</t>
        </is>
      </c>
      <c r="I773" s="3" t="inlineStr">
        <is>
          <t>75</t>
        </is>
      </c>
      <c r="J773" s="3" t="inlineStr">
        <is>
          <t>WI</t>
        </is>
      </c>
      <c r="K773" s="3" t="inlineStr">
        <is>
          <t>United Secured Capital 8</t>
        </is>
      </c>
      <c r="L773" s="3" t="inlineStr">
        <is>
          <t>Renewal</t>
        </is>
      </c>
      <c r="M773" s="3" t="n">
        <v>1.45</v>
      </c>
      <c r="N773" s="28" t="n">
        <v>25000</v>
      </c>
      <c r="O773" s="28" t="n">
        <v>3000</v>
      </c>
      <c r="P773" s="28" t="n">
        <v>36250</v>
      </c>
      <c r="Q773" s="28" t="n">
        <v>36250</v>
      </c>
      <c r="R773" s="28" t="n">
        <v>0</v>
      </c>
      <c r="S773" s="42" t="n">
        <v>1</v>
      </c>
      <c r="T773" s="3" t="n">
        <v>30</v>
      </c>
      <c r="U773" s="3" t="n">
        <v>0</v>
      </c>
      <c r="V773" s="3" t="n">
        <v>36089.77</v>
      </c>
      <c r="W773" s="42" t="n">
        <v>0.1339</v>
      </c>
      <c r="X773" s="23" t="n">
        <v>45812</v>
      </c>
      <c r="Y773" s="3">
        <f>IF(I773="","No SIC",IFERROR(VLOOKUP(I773,Ref!$A$2:$B$65,2,FALSE()),"Unclassified"))</f>
        <v/>
      </c>
      <c r="Z773" s="3">
        <f>IF(T773="","",IF(T773&lt;12,"Daily","Weekly"))</f>
        <v/>
      </c>
      <c r="AA773" s="3">
        <f>IF(T773="",0,IF(T773&lt;12,T773*Controls!$B$13,T773*5))</f>
        <v/>
      </c>
      <c r="AB773" s="3">
        <f>IF(E773="",0,NETWORKDAYS(E773,Controls!$B$20,Ref!$K$2:$K$42))</f>
        <v/>
      </c>
      <c r="AC773" s="3">
        <f>IF(OR(AF773=1,AND(AA773&gt;0,AB773&gt;=Controls!$B$23*AA773)),1,0)</f>
        <v/>
      </c>
      <c r="AD773" s="3">
        <f>IF(AND(E773&lt;&gt;"",E773&gt;=Controls!$B$21,E773&lt;=Controls!$B$22),1,0)</f>
        <v/>
      </c>
      <c r="AE773" s="3">
        <f>IF(IFERROR(VLOOKUP(D773,Controls!$A$36:$E$46,2,FALSE()),"No")="Yes",1,0)</f>
        <v/>
      </c>
      <c r="AF773" s="3">
        <f>IF(IFERROR(VLOOKUP(D773,Controls!$A$36:$E$46,3,FALSE()),"No")="Yes",1,0)</f>
        <v/>
      </c>
      <c r="AG773" s="3">
        <f>IF(IFERROR(VLOOKUP(D773,Controls!$A$36:$E$46,4,FALSE()),"No")="Yes",1,0)</f>
        <v/>
      </c>
      <c r="AH773" s="3">
        <f>IF(IFERROR(VLOOKUP(D773,Controls!$A$36:$E$46,5,FALSE()),"No")="Yes",1,0)</f>
        <v/>
      </c>
      <c r="AI773" s="3">
        <f>IF(ISNUMBER(MATCH(D773,Controls!$A$36:$A$46,0)),1,0)</f>
        <v/>
      </c>
      <c r="AJ773" s="28">
        <f>Q773-N773</f>
        <v/>
      </c>
      <c r="AK773" s="3">
        <f>IF(AE773=1,MAX(0,N773-Q773),0)</f>
        <v/>
      </c>
      <c r="AL773" s="3">
        <f>IF(OR(V773="",V773=0),0,N773/V773)</f>
        <v/>
      </c>
      <c r="AM773" s="3">
        <f>IF(OR(V773="",V773=0),0,1)</f>
        <v/>
      </c>
      <c r="AN773" s="3">
        <f>IF(OR(E773="",F773=""),0,NETWORKDAYS(E773,F773,Ref!$K$2:$K$42))</f>
        <v/>
      </c>
      <c r="AO773" s="3">
        <f>IF(L773="Renewal",1,0)</f>
        <v/>
      </c>
      <c r="AP773" s="3">
        <f>AC773*AD773</f>
        <v/>
      </c>
      <c r="AQ773" s="3">
        <f>IF(AND(G773&lt;&gt;"",'Historical Score'!$C$6&lt;&gt;""),IF(G773='Historical Score'!$C$6,1,0),0)</f>
        <v/>
      </c>
      <c r="AR773" s="3">
        <f>IF(AND(L773&lt;&gt;"",'Historical Score'!$C$5&lt;&gt;""),IF(L773='Historical Score'!$C$5,1,0),0)</f>
        <v/>
      </c>
      <c r="AS773" s="3">
        <f>IF(AND(Y773&lt;&gt;"",'Historical Score'!$C$7&lt;&gt;""),IF(Y773='Historical Score'!$C$7,1,0),0)</f>
        <v/>
      </c>
      <c r="AT773" s="3">
        <f>IF(AND(K773&lt;&gt;"",'Historical Score'!$C$8&lt;&gt;""),IF(K773='Historical Score'!$C$8,1,0),0)</f>
        <v/>
      </c>
      <c r="AU773" s="3" t="n"/>
      <c r="AV773" s="3" t="n"/>
      <c r="AW773" s="3" t="n"/>
      <c r="AX773" s="3" t="n"/>
      <c r="AY773" s="3" t="n"/>
      <c r="AZ773" s="3" t="n"/>
      <c r="BA773" s="182">
        <f>IF(AD773=1,(AR773*'Historical Score'!$K$29+1-'Historical Score'!$K$29)*(AT773*'Historical Score'!$L$29+1-'Historical Score'!$L$29)*(AS773*'Historical Score'!$M$29+1-'Historical Score'!$M$29)*(AQ773*'Historical Score'!$N$29+1-'Historical Score'!$N$29),0)</f>
        <v/>
      </c>
      <c r="BB773" s="3" t="n"/>
      <c r="BC773" s="3" t="n"/>
    </row>
    <row r="774" ht="15.75" customHeight="1" s="174">
      <c r="A774" s="3" t="inlineStr">
        <is>
          <t>5674181352</t>
        </is>
      </c>
      <c r="B774" s="3" t="inlineStr">
        <is>
          <t>Free Flow Plumbing</t>
        </is>
      </c>
      <c r="C774" s="3" t="inlineStr">
        <is>
          <t>FREE FLOW PLUMBING LLC</t>
        </is>
      </c>
      <c r="D774" s="3" t="inlineStr">
        <is>
          <t>Open</t>
        </is>
      </c>
      <c r="E774" s="23" t="n">
        <v>46118</v>
      </c>
      <c r="F774" s="23" t="n">
        <v>46248</v>
      </c>
      <c r="G774" s="3" t="n">
        <v>2</v>
      </c>
      <c r="H774" s="3" t="inlineStr">
        <is>
          <t>1711</t>
        </is>
      </c>
      <c r="I774" s="3" t="inlineStr">
        <is>
          <t>17</t>
        </is>
      </c>
      <c r="J774" s="3" t="inlineStr">
        <is>
          <t>TX</t>
        </is>
      </c>
      <c r="K774" s="3" t="inlineStr">
        <is>
          <t>Fundwell</t>
        </is>
      </c>
      <c r="L774" s="3" t="inlineStr">
        <is>
          <t>New Deal</t>
        </is>
      </c>
      <c r="M774" s="3" t="n">
        <v>1.4</v>
      </c>
      <c r="N774" s="28" t="n">
        <v>12000</v>
      </c>
      <c r="O774" s="28" t="n">
        <v>1560</v>
      </c>
      <c r="P774" s="28" t="n">
        <v>16800</v>
      </c>
      <c r="Q774" s="28" t="n">
        <v>8400.6</v>
      </c>
      <c r="R774" s="28" t="n">
        <v>8399.4</v>
      </c>
      <c r="S774" s="42" t="n">
        <v>0.500035714285714</v>
      </c>
      <c r="T774" s="3" t="n">
        <v>20</v>
      </c>
      <c r="U774" s="3" t="n">
        <v>9</v>
      </c>
      <c r="V774" s="3" t="n">
        <v>26129.33</v>
      </c>
      <c r="W774" s="42" t="n">
        <v>0.1286</v>
      </c>
      <c r="X774" s="23" t="n">
        <v>42170</v>
      </c>
      <c r="Y774" s="3">
        <f>IF(I774="","No SIC",IFERROR(VLOOKUP(I774,Ref!$A$2:$B$65,2,FALSE()),"Unclassified"))</f>
        <v/>
      </c>
      <c r="Z774" s="3">
        <f>IF(T774="","",IF(T774&lt;12,"Daily","Weekly"))</f>
        <v/>
      </c>
      <c r="AA774" s="3">
        <f>IF(T774="",0,IF(T774&lt;12,T774*Controls!$B$13,T774*5))</f>
        <v/>
      </c>
      <c r="AB774" s="3">
        <f>IF(E774="",0,NETWORKDAYS(E774,Controls!$B$20,Ref!$K$2:$K$42))</f>
        <v/>
      </c>
      <c r="AC774" s="3">
        <f>IF(OR(AF774=1,AND(AA774&gt;0,AB774&gt;=Controls!$B$23*AA774)),1,0)</f>
        <v/>
      </c>
      <c r="AD774" s="3">
        <f>IF(AND(E774&lt;&gt;"",E774&gt;=Controls!$B$21,E774&lt;=Controls!$B$22),1,0)</f>
        <v/>
      </c>
      <c r="AE774" s="3">
        <f>IF(IFERROR(VLOOKUP(D774,Controls!$A$36:$E$46,2,FALSE()),"No")="Yes",1,0)</f>
        <v/>
      </c>
      <c r="AF774" s="3">
        <f>IF(IFERROR(VLOOKUP(D774,Controls!$A$36:$E$46,3,FALSE()),"No")="Yes",1,0)</f>
        <v/>
      </c>
      <c r="AG774" s="3">
        <f>IF(IFERROR(VLOOKUP(D774,Controls!$A$36:$E$46,4,FALSE()),"No")="Yes",1,0)</f>
        <v/>
      </c>
      <c r="AH774" s="3">
        <f>IF(IFERROR(VLOOKUP(D774,Controls!$A$36:$E$46,5,FALSE()),"No")="Yes",1,0)</f>
        <v/>
      </c>
      <c r="AI774" s="3">
        <f>IF(ISNUMBER(MATCH(D774,Controls!$A$36:$A$46,0)),1,0)</f>
        <v/>
      </c>
      <c r="AJ774" s="28">
        <f>Q774-N774</f>
        <v/>
      </c>
      <c r="AK774" s="3">
        <f>IF(AE774=1,MAX(0,N774-Q774),0)</f>
        <v/>
      </c>
      <c r="AL774" s="3">
        <f>IF(OR(V774="",V774=0),0,N774/V774)</f>
        <v/>
      </c>
      <c r="AM774" s="3">
        <f>IF(OR(V774="",V774=0),0,1)</f>
        <v/>
      </c>
      <c r="AN774" s="3">
        <f>IF(OR(E774="",F774=""),0,NETWORKDAYS(E774,F774,Ref!$K$2:$K$42))</f>
        <v/>
      </c>
      <c r="AO774" s="3">
        <f>IF(L774="Renewal",1,0)</f>
        <v/>
      </c>
      <c r="AP774" s="3">
        <f>AC774*AD774</f>
        <v/>
      </c>
      <c r="AQ774" s="3">
        <f>IF(AND(G774&lt;&gt;"",'Historical Score'!$C$6&lt;&gt;""),IF(G774='Historical Score'!$C$6,1,0),0)</f>
        <v/>
      </c>
      <c r="AR774" s="3">
        <f>IF(AND(L774&lt;&gt;"",'Historical Score'!$C$5&lt;&gt;""),IF(L774='Historical Score'!$C$5,1,0),0)</f>
        <v/>
      </c>
      <c r="AS774" s="3">
        <f>IF(AND(Y774&lt;&gt;"",'Historical Score'!$C$7&lt;&gt;""),IF(Y774='Historical Score'!$C$7,1,0),0)</f>
        <v/>
      </c>
      <c r="AT774" s="3">
        <f>IF(AND(K774&lt;&gt;"",'Historical Score'!$C$8&lt;&gt;""),IF(K774='Historical Score'!$C$8,1,0),0)</f>
        <v/>
      </c>
      <c r="AU774" s="3" t="n"/>
      <c r="AV774" s="3" t="n"/>
      <c r="AW774" s="3" t="n"/>
      <c r="AX774" s="3" t="n"/>
      <c r="AY774" s="3" t="n"/>
      <c r="AZ774" s="3" t="n"/>
      <c r="BA774" s="182">
        <f>IF(AD774=1,(AR774*'Historical Score'!$K$29+1-'Historical Score'!$K$29)*(AT774*'Historical Score'!$L$29+1-'Historical Score'!$L$29)*(AS774*'Historical Score'!$M$29+1-'Historical Score'!$M$29)*(AQ774*'Historical Score'!$N$29+1-'Historical Score'!$N$29),0)</f>
        <v/>
      </c>
      <c r="BB774" s="3" t="n"/>
      <c r="BC774" s="3" t="n"/>
    </row>
    <row r="775" ht="15.75" customHeight="1" s="174">
      <c r="A775" s="3" t="inlineStr">
        <is>
          <t>5674181355</t>
        </is>
      </c>
      <c r="B775" s="3" t="inlineStr">
        <is>
          <t>ECH TOOLS MATCO DISTRIBUTOR</t>
        </is>
      </c>
      <c r="C775" s="3" t="inlineStr">
        <is>
          <t>ECH TOOLS MATCO DISTRIBUTOR</t>
        </is>
      </c>
      <c r="D775" s="3" t="inlineStr">
        <is>
          <t>Open</t>
        </is>
      </c>
      <c r="E775" s="23" t="n">
        <v>46118</v>
      </c>
      <c r="F775" s="23" t="n">
        <v>46253</v>
      </c>
      <c r="G775" s="3" t="n">
        <v>3</v>
      </c>
      <c r="H775" s="3" t="inlineStr">
        <is>
          <t>3541</t>
        </is>
      </c>
      <c r="I775" s="3" t="inlineStr">
        <is>
          <t>35</t>
        </is>
      </c>
      <c r="J775" s="3" t="inlineStr">
        <is>
          <t>CA</t>
        </is>
      </c>
      <c r="K775" s="3" t="inlineStr">
        <is>
          <t>Ballicci</t>
        </is>
      </c>
      <c r="L775" s="3" t="inlineStr">
        <is>
          <t>New Deal</t>
        </is>
      </c>
      <c r="M775" s="3" t="n">
        <v>1.45</v>
      </c>
      <c r="N775" s="28" t="n">
        <v>25000</v>
      </c>
      <c r="O775" s="28" t="n">
        <v>3000</v>
      </c>
      <c r="P775" s="28" t="n">
        <v>36250</v>
      </c>
      <c r="Q775" s="28" t="n">
        <v>21750.75</v>
      </c>
      <c r="R775" s="28" t="n">
        <v>14499.25</v>
      </c>
      <c r="S775" s="42" t="n">
        <v>0.600020689655172</v>
      </c>
      <c r="T775" s="3" t="n">
        <v>4.098</v>
      </c>
      <c r="U775" s="3" t="n">
        <v>20</v>
      </c>
      <c r="V775" s="3" t="n">
        <v>25882.4</v>
      </c>
      <c r="W775" s="42" t="n">
        <v>0.2353</v>
      </c>
      <c r="X775" s="23" t="n">
        <v>43472</v>
      </c>
      <c r="Y775" s="3">
        <f>IF(I775="","No SIC",IFERROR(VLOOKUP(I775,Ref!$A$2:$B$65,2,FALSE()),"Unclassified"))</f>
        <v/>
      </c>
      <c r="Z775" s="3">
        <f>IF(T775="","",IF(T775&lt;12,"Daily","Weekly"))</f>
        <v/>
      </c>
      <c r="AA775" s="3">
        <f>IF(T775="",0,IF(T775&lt;12,T775*Controls!$B$13,T775*5))</f>
        <v/>
      </c>
      <c r="AB775" s="3">
        <f>IF(E775="",0,NETWORKDAYS(E775,Controls!$B$20,Ref!$K$2:$K$42))</f>
        <v/>
      </c>
      <c r="AC775" s="3">
        <f>IF(OR(AF775=1,AND(AA775&gt;0,AB775&gt;=Controls!$B$23*AA775)),1,0)</f>
        <v/>
      </c>
      <c r="AD775" s="3">
        <f>IF(AND(E775&lt;&gt;"",E775&gt;=Controls!$B$21,E775&lt;=Controls!$B$22),1,0)</f>
        <v/>
      </c>
      <c r="AE775" s="3">
        <f>IF(IFERROR(VLOOKUP(D775,Controls!$A$36:$E$46,2,FALSE()),"No")="Yes",1,0)</f>
        <v/>
      </c>
      <c r="AF775" s="3">
        <f>IF(IFERROR(VLOOKUP(D775,Controls!$A$36:$E$46,3,FALSE()),"No")="Yes",1,0)</f>
        <v/>
      </c>
      <c r="AG775" s="3">
        <f>IF(IFERROR(VLOOKUP(D775,Controls!$A$36:$E$46,4,FALSE()),"No")="Yes",1,0)</f>
        <v/>
      </c>
      <c r="AH775" s="3">
        <f>IF(IFERROR(VLOOKUP(D775,Controls!$A$36:$E$46,5,FALSE()),"No")="Yes",1,0)</f>
        <v/>
      </c>
      <c r="AI775" s="3">
        <f>IF(ISNUMBER(MATCH(D775,Controls!$A$36:$A$46,0)),1,0)</f>
        <v/>
      </c>
      <c r="AJ775" s="28">
        <f>Q775-N775</f>
        <v/>
      </c>
      <c r="AK775" s="3">
        <f>IF(AE775=1,MAX(0,N775-Q775),0)</f>
        <v/>
      </c>
      <c r="AL775" s="3">
        <f>IF(OR(V775="",V775=0),0,N775/V775)</f>
        <v/>
      </c>
      <c r="AM775" s="3">
        <f>IF(OR(V775="",V775=0),0,1)</f>
        <v/>
      </c>
      <c r="AN775" s="3">
        <f>IF(OR(E775="",F775=""),0,NETWORKDAYS(E775,F775,Ref!$K$2:$K$42))</f>
        <v/>
      </c>
      <c r="AO775" s="3">
        <f>IF(L775="Renewal",1,0)</f>
        <v/>
      </c>
      <c r="AP775" s="3">
        <f>AC775*AD775</f>
        <v/>
      </c>
      <c r="AQ775" s="3">
        <f>IF(AND(G775&lt;&gt;"",'Historical Score'!$C$6&lt;&gt;""),IF(G775='Historical Score'!$C$6,1,0),0)</f>
        <v/>
      </c>
      <c r="AR775" s="3">
        <f>IF(AND(L775&lt;&gt;"",'Historical Score'!$C$5&lt;&gt;""),IF(L775='Historical Score'!$C$5,1,0),0)</f>
        <v/>
      </c>
      <c r="AS775" s="3">
        <f>IF(AND(Y775&lt;&gt;"",'Historical Score'!$C$7&lt;&gt;""),IF(Y775='Historical Score'!$C$7,1,0),0)</f>
        <v/>
      </c>
      <c r="AT775" s="3">
        <f>IF(AND(K775&lt;&gt;"",'Historical Score'!$C$8&lt;&gt;""),IF(K775='Historical Score'!$C$8,1,0),0)</f>
        <v/>
      </c>
      <c r="AU775" s="3" t="n"/>
      <c r="AV775" s="3" t="n"/>
      <c r="AW775" s="3" t="n"/>
      <c r="AX775" s="3" t="n"/>
      <c r="AY775" s="3" t="n"/>
      <c r="AZ775" s="3" t="n"/>
      <c r="BA775" s="182">
        <f>IF(AD775=1,(AR775*'Historical Score'!$K$29+1-'Historical Score'!$K$29)*(AT775*'Historical Score'!$L$29+1-'Historical Score'!$L$29)*(AS775*'Historical Score'!$M$29+1-'Historical Score'!$M$29)*(AQ775*'Historical Score'!$N$29+1-'Historical Score'!$N$29),0)</f>
        <v/>
      </c>
      <c r="BB775" s="3" t="n"/>
      <c r="BC775" s="3" t="n"/>
    </row>
    <row r="776" ht="15.75" customHeight="1" s="174">
      <c r="A776" s="3" t="inlineStr">
        <is>
          <t>5674181361</t>
        </is>
      </c>
      <c r="B776" s="3" t="inlineStr">
        <is>
          <t>Ur Power Source Llc</t>
        </is>
      </c>
      <c r="C776" s="3" t="inlineStr">
        <is>
          <t>Ur Power Source Llc</t>
        </is>
      </c>
      <c r="D776" s="3" t="inlineStr">
        <is>
          <t>Legal</t>
        </is>
      </c>
      <c r="E776" s="23" t="n">
        <v>46118</v>
      </c>
      <c r="F776" s="23" t="n">
        <v>46163</v>
      </c>
      <c r="G776" s="3" t="n">
        <v>3</v>
      </c>
      <c r="H776" s="3" t="inlineStr">
        <is>
          <t>1731</t>
        </is>
      </c>
      <c r="I776" s="3" t="inlineStr">
        <is>
          <t>17</t>
        </is>
      </c>
      <c r="J776" s="3" t="inlineStr">
        <is>
          <t>GA</t>
        </is>
      </c>
      <c r="K776" s="3" t="inlineStr">
        <is>
          <t>Ballicci</t>
        </is>
      </c>
      <c r="L776" s="3" t="inlineStr">
        <is>
          <t>New Deal</t>
        </is>
      </c>
      <c r="M776" s="3" t="n">
        <v>1.49</v>
      </c>
      <c r="N776" s="28" t="n">
        <v>20000</v>
      </c>
      <c r="O776" s="28" t="n">
        <v>0</v>
      </c>
      <c r="P776" s="28" t="n">
        <v>29800</v>
      </c>
      <c r="Q776" s="28" t="n">
        <v>7945.44</v>
      </c>
      <c r="R776" s="28" t="n">
        <v>21854.56</v>
      </c>
      <c r="S776" s="42" t="n">
        <v>0.266625503355705</v>
      </c>
      <c r="T776" s="3" t="n">
        <v>2.951</v>
      </c>
      <c r="U776" s="3" t="n">
        <v>6</v>
      </c>
      <c r="V776" s="3" t="n">
        <v>66592.34</v>
      </c>
      <c r="W776" s="42" t="n">
        <v>0.1044</v>
      </c>
      <c r="X776" s="23" t="n">
        <v>44927</v>
      </c>
      <c r="Y776" s="3">
        <f>IF(I776="","No SIC",IFERROR(VLOOKUP(I776,Ref!$A$2:$B$65,2,FALSE()),"Unclassified"))</f>
        <v/>
      </c>
      <c r="Z776" s="3">
        <f>IF(T776="","",IF(T776&lt;12,"Daily","Weekly"))</f>
        <v/>
      </c>
      <c r="AA776" s="3">
        <f>IF(T776="",0,IF(T776&lt;12,T776*Controls!$B$13,T776*5))</f>
        <v/>
      </c>
      <c r="AB776" s="3">
        <f>IF(E776="",0,NETWORKDAYS(E776,Controls!$B$20,Ref!$K$2:$K$42))</f>
        <v/>
      </c>
      <c r="AC776" s="3">
        <f>IF(OR(AF776=1,AND(AA776&gt;0,AB776&gt;=Controls!$B$23*AA776)),1,0)</f>
        <v/>
      </c>
      <c r="AD776" s="3">
        <f>IF(AND(E776&lt;&gt;"",E776&gt;=Controls!$B$21,E776&lt;=Controls!$B$22),1,0)</f>
        <v/>
      </c>
      <c r="AE776" s="3">
        <f>IF(IFERROR(VLOOKUP(D776,Controls!$A$36:$E$46,2,FALSE()),"No")="Yes",1,0)</f>
        <v/>
      </c>
      <c r="AF776" s="3">
        <f>IF(IFERROR(VLOOKUP(D776,Controls!$A$36:$E$46,3,FALSE()),"No")="Yes",1,0)</f>
        <v/>
      </c>
      <c r="AG776" s="3">
        <f>IF(IFERROR(VLOOKUP(D776,Controls!$A$36:$E$46,4,FALSE()),"No")="Yes",1,0)</f>
        <v/>
      </c>
      <c r="AH776" s="3">
        <f>IF(IFERROR(VLOOKUP(D776,Controls!$A$36:$E$46,5,FALSE()),"No")="Yes",1,0)</f>
        <v/>
      </c>
      <c r="AI776" s="3">
        <f>IF(ISNUMBER(MATCH(D776,Controls!$A$36:$A$46,0)),1,0)</f>
        <v/>
      </c>
      <c r="AJ776" s="28">
        <f>Q776-N776</f>
        <v/>
      </c>
      <c r="AK776" s="3">
        <f>IF(AE776=1,MAX(0,N776-Q776),0)</f>
        <v/>
      </c>
      <c r="AL776" s="3">
        <f>IF(OR(V776="",V776=0),0,N776/V776)</f>
        <v/>
      </c>
      <c r="AM776" s="3">
        <f>IF(OR(V776="",V776=0),0,1)</f>
        <v/>
      </c>
      <c r="AN776" s="3">
        <f>IF(OR(E776="",F776=""),0,NETWORKDAYS(E776,F776,Ref!$K$2:$K$42))</f>
        <v/>
      </c>
      <c r="AO776" s="3">
        <f>IF(L776="Renewal",1,0)</f>
        <v/>
      </c>
      <c r="AP776" s="3">
        <f>AC776*AD776</f>
        <v/>
      </c>
      <c r="AQ776" s="3">
        <f>IF(AND(G776&lt;&gt;"",'Historical Score'!$C$6&lt;&gt;""),IF(G776='Historical Score'!$C$6,1,0),0)</f>
        <v/>
      </c>
      <c r="AR776" s="3">
        <f>IF(AND(L776&lt;&gt;"",'Historical Score'!$C$5&lt;&gt;""),IF(L776='Historical Score'!$C$5,1,0),0)</f>
        <v/>
      </c>
      <c r="AS776" s="3">
        <f>IF(AND(Y776&lt;&gt;"",'Historical Score'!$C$7&lt;&gt;""),IF(Y776='Historical Score'!$C$7,1,0),0)</f>
        <v/>
      </c>
      <c r="AT776" s="3">
        <f>IF(AND(K776&lt;&gt;"",'Historical Score'!$C$8&lt;&gt;""),IF(K776='Historical Score'!$C$8,1,0),0)</f>
        <v/>
      </c>
      <c r="AU776" s="3" t="n"/>
      <c r="AV776" s="3" t="n"/>
      <c r="AW776" s="3" t="n"/>
      <c r="AX776" s="3" t="n"/>
      <c r="AY776" s="3" t="n"/>
      <c r="AZ776" s="3" t="n"/>
      <c r="BA776" s="182">
        <f>IF(AD776=1,(AR776*'Historical Score'!$K$29+1-'Historical Score'!$K$29)*(AT776*'Historical Score'!$L$29+1-'Historical Score'!$L$29)*(AS776*'Historical Score'!$M$29+1-'Historical Score'!$M$29)*(AQ776*'Historical Score'!$N$29+1-'Historical Score'!$N$29),0)</f>
        <v/>
      </c>
      <c r="BB776" s="3" t="n"/>
      <c r="BC776" s="3" t="n"/>
    </row>
    <row r="777" ht="15.75" customHeight="1" s="174">
      <c r="A777" s="3" t="inlineStr">
        <is>
          <t>5674181378</t>
        </is>
      </c>
      <c r="B777" s="3" t="inlineStr">
        <is>
          <t>Guided Property Solutions LLC</t>
        </is>
      </c>
      <c r="C777" s="3" t="inlineStr">
        <is>
          <t>Guided Property Solutions LLC</t>
        </is>
      </c>
      <c r="D777" s="3" t="inlineStr">
        <is>
          <t>In House Collection</t>
        </is>
      </c>
      <c r="E777" s="23" t="n">
        <v>46119</v>
      </c>
      <c r="F777" s="23" t="n">
        <v>46248</v>
      </c>
      <c r="G777" s="3" t="n">
        <v>3</v>
      </c>
      <c r="H777" s="3" t="inlineStr">
        <is>
          <t>6531</t>
        </is>
      </c>
      <c r="I777" s="3" t="inlineStr">
        <is>
          <t>65</t>
        </is>
      </c>
      <c r="J777" s="3" t="inlineStr">
        <is>
          <t>TX</t>
        </is>
      </c>
      <c r="K777" s="3" t="inlineStr">
        <is>
          <t>United Secured Capital 8</t>
        </is>
      </c>
      <c r="L777" s="3" t="inlineStr">
        <is>
          <t>New Deal</t>
        </is>
      </c>
      <c r="M777" s="3" t="n">
        <v>1.43</v>
      </c>
      <c r="N777" s="28" t="n">
        <v>25000</v>
      </c>
      <c r="O777" s="28" t="n">
        <v>2750</v>
      </c>
      <c r="P777" s="28" t="n">
        <v>35750</v>
      </c>
      <c r="Q777" s="28" t="n">
        <v>3715.2</v>
      </c>
      <c r="R777" s="28" t="n">
        <v>32034.8</v>
      </c>
      <c r="S777" s="42" t="n">
        <v>0.103921678321678</v>
      </c>
      <c r="T777" s="3" t="n">
        <v>25</v>
      </c>
      <c r="U777" s="3" t="n">
        <v>13</v>
      </c>
      <c r="V777" s="3" t="n">
        <v>196465.29</v>
      </c>
      <c r="W777" s="42" t="n">
        <v>0.0291</v>
      </c>
      <c r="X777" s="23" t="n">
        <v>42704</v>
      </c>
      <c r="Y777" s="3">
        <f>IF(I777="","No SIC",IFERROR(VLOOKUP(I777,Ref!$A$2:$B$65,2,FALSE()),"Unclassified"))</f>
        <v/>
      </c>
      <c r="Z777" s="3">
        <f>IF(T777="","",IF(T777&lt;12,"Daily","Weekly"))</f>
        <v/>
      </c>
      <c r="AA777" s="3">
        <f>IF(T777="",0,IF(T777&lt;12,T777*Controls!$B$13,T777*5))</f>
        <v/>
      </c>
      <c r="AB777" s="3">
        <f>IF(E777="",0,NETWORKDAYS(E777,Controls!$B$20,Ref!$K$2:$K$42))</f>
        <v/>
      </c>
      <c r="AC777" s="3">
        <f>IF(OR(AF777=1,AND(AA777&gt;0,AB777&gt;=Controls!$B$23*AA777)),1,0)</f>
        <v/>
      </c>
      <c r="AD777" s="3">
        <f>IF(AND(E777&lt;&gt;"",E777&gt;=Controls!$B$21,E777&lt;=Controls!$B$22),1,0)</f>
        <v/>
      </c>
      <c r="AE777" s="3">
        <f>IF(IFERROR(VLOOKUP(D777,Controls!$A$36:$E$46,2,FALSE()),"No")="Yes",1,0)</f>
        <v/>
      </c>
      <c r="AF777" s="3">
        <f>IF(IFERROR(VLOOKUP(D777,Controls!$A$36:$E$46,3,FALSE()),"No")="Yes",1,0)</f>
        <v/>
      </c>
      <c r="AG777" s="3">
        <f>IF(IFERROR(VLOOKUP(D777,Controls!$A$36:$E$46,4,FALSE()),"No")="Yes",1,0)</f>
        <v/>
      </c>
      <c r="AH777" s="3">
        <f>IF(IFERROR(VLOOKUP(D777,Controls!$A$36:$E$46,5,FALSE()),"No")="Yes",1,0)</f>
        <v/>
      </c>
      <c r="AI777" s="3">
        <f>IF(ISNUMBER(MATCH(D777,Controls!$A$36:$A$46,0)),1,0)</f>
        <v/>
      </c>
      <c r="AJ777" s="28">
        <f>Q777-N777</f>
        <v/>
      </c>
      <c r="AK777" s="3">
        <f>IF(AE777=1,MAX(0,N777-Q777),0)</f>
        <v/>
      </c>
      <c r="AL777" s="3">
        <f>IF(OR(V777="",V777=0),0,N777/V777)</f>
        <v/>
      </c>
      <c r="AM777" s="3">
        <f>IF(OR(V777="",V777=0),0,1)</f>
        <v/>
      </c>
      <c r="AN777" s="3">
        <f>IF(OR(E777="",F777=""),0,NETWORKDAYS(E777,F777,Ref!$K$2:$K$42))</f>
        <v/>
      </c>
      <c r="AO777" s="3">
        <f>IF(L777="Renewal",1,0)</f>
        <v/>
      </c>
      <c r="AP777" s="3">
        <f>AC777*AD777</f>
        <v/>
      </c>
      <c r="AQ777" s="3">
        <f>IF(AND(G777&lt;&gt;"",'Historical Score'!$C$6&lt;&gt;""),IF(G777='Historical Score'!$C$6,1,0),0)</f>
        <v/>
      </c>
      <c r="AR777" s="3">
        <f>IF(AND(L777&lt;&gt;"",'Historical Score'!$C$5&lt;&gt;""),IF(L777='Historical Score'!$C$5,1,0),0)</f>
        <v/>
      </c>
      <c r="AS777" s="3">
        <f>IF(AND(Y777&lt;&gt;"",'Historical Score'!$C$7&lt;&gt;""),IF(Y777='Historical Score'!$C$7,1,0),0)</f>
        <v/>
      </c>
      <c r="AT777" s="3">
        <f>IF(AND(K777&lt;&gt;"",'Historical Score'!$C$8&lt;&gt;""),IF(K777='Historical Score'!$C$8,1,0),0)</f>
        <v/>
      </c>
      <c r="AU777" s="3" t="n"/>
      <c r="AV777" s="3" t="n"/>
      <c r="AW777" s="3" t="n"/>
      <c r="AX777" s="3" t="n"/>
      <c r="AY777" s="3" t="n"/>
      <c r="AZ777" s="3" t="n"/>
      <c r="BA777" s="182">
        <f>IF(AD777=1,(AR777*'Historical Score'!$K$29+1-'Historical Score'!$K$29)*(AT777*'Historical Score'!$L$29+1-'Historical Score'!$L$29)*(AS777*'Historical Score'!$M$29+1-'Historical Score'!$M$29)*(AQ777*'Historical Score'!$N$29+1-'Historical Score'!$N$29),0)</f>
        <v/>
      </c>
      <c r="BB777" s="3" t="n"/>
      <c r="BC777" s="3" t="n"/>
    </row>
    <row r="778" ht="15.75" customHeight="1" s="174">
      <c r="A778" s="3" t="inlineStr">
        <is>
          <t>5674181380</t>
        </is>
      </c>
      <c r="B778" s="3" t="inlineStr">
        <is>
          <t>ANB PASTRY EMPIRE</t>
        </is>
      </c>
      <c r="C778" s="3" t="inlineStr">
        <is>
          <t>ANB PASTRY EMPIRE LLC</t>
        </is>
      </c>
      <c r="D778" s="3" t="inlineStr">
        <is>
          <t>Open</t>
        </is>
      </c>
      <c r="E778" s="23" t="n">
        <v>46119</v>
      </c>
      <c r="F778" s="23" t="n">
        <v>46246</v>
      </c>
      <c r="G778" s="3" t="n">
        <v>3</v>
      </c>
      <c r="H778" s="3" t="inlineStr">
        <is>
          <t>5812</t>
        </is>
      </c>
      <c r="I778" s="3" t="inlineStr">
        <is>
          <t>58</t>
        </is>
      </c>
      <c r="J778" s="3" t="inlineStr">
        <is>
          <t>TX</t>
        </is>
      </c>
      <c r="K778" s="3" t="inlineStr">
        <is>
          <t>Fundwell</t>
        </is>
      </c>
      <c r="L778" s="3" t="inlineStr">
        <is>
          <t>Renewal</t>
        </is>
      </c>
      <c r="M778" s="3" t="n">
        <v>1.49</v>
      </c>
      <c r="N778" s="28" t="n">
        <v>10000</v>
      </c>
      <c r="O778" s="28" t="n">
        <v>1600</v>
      </c>
      <c r="P778" s="28" t="n">
        <v>14900</v>
      </c>
      <c r="Q778" s="28" t="n">
        <v>14900</v>
      </c>
      <c r="R778" s="28" t="n">
        <v>0</v>
      </c>
      <c r="S778" s="42" t="n">
        <v>1</v>
      </c>
      <c r="T778" s="3" t="n">
        <v>2.951</v>
      </c>
      <c r="U778" s="3" t="n">
        <v>0</v>
      </c>
      <c r="V778" s="3" t="n">
        <v>25456</v>
      </c>
      <c r="W778" s="42" t="n">
        <v>0.1537</v>
      </c>
      <c r="X778" s="23" t="n">
        <v>43623</v>
      </c>
      <c r="Y778" s="3">
        <f>IF(I778="","No SIC",IFERROR(VLOOKUP(I778,Ref!$A$2:$B$65,2,FALSE()),"Unclassified"))</f>
        <v/>
      </c>
      <c r="Z778" s="3">
        <f>IF(T778="","",IF(T778&lt;12,"Daily","Weekly"))</f>
        <v/>
      </c>
      <c r="AA778" s="3">
        <f>IF(T778="",0,IF(T778&lt;12,T778*Controls!$B$13,T778*5))</f>
        <v/>
      </c>
      <c r="AB778" s="3">
        <f>IF(E778="",0,NETWORKDAYS(E778,Controls!$B$20,Ref!$K$2:$K$42))</f>
        <v/>
      </c>
      <c r="AC778" s="3">
        <f>IF(OR(AF778=1,AND(AA778&gt;0,AB778&gt;=Controls!$B$23*AA778)),1,0)</f>
        <v/>
      </c>
      <c r="AD778" s="3">
        <f>IF(AND(E778&lt;&gt;"",E778&gt;=Controls!$B$21,E778&lt;=Controls!$B$22),1,0)</f>
        <v/>
      </c>
      <c r="AE778" s="3">
        <f>IF(IFERROR(VLOOKUP(D778,Controls!$A$36:$E$46,2,FALSE()),"No")="Yes",1,0)</f>
        <v/>
      </c>
      <c r="AF778" s="3">
        <f>IF(IFERROR(VLOOKUP(D778,Controls!$A$36:$E$46,3,FALSE()),"No")="Yes",1,0)</f>
        <v/>
      </c>
      <c r="AG778" s="3">
        <f>IF(IFERROR(VLOOKUP(D778,Controls!$A$36:$E$46,4,FALSE()),"No")="Yes",1,0)</f>
        <v/>
      </c>
      <c r="AH778" s="3">
        <f>IF(IFERROR(VLOOKUP(D778,Controls!$A$36:$E$46,5,FALSE()),"No")="Yes",1,0)</f>
        <v/>
      </c>
      <c r="AI778" s="3">
        <f>IF(ISNUMBER(MATCH(D778,Controls!$A$36:$A$46,0)),1,0)</f>
        <v/>
      </c>
      <c r="AJ778" s="28">
        <f>Q778-N778</f>
        <v/>
      </c>
      <c r="AK778" s="3">
        <f>IF(AE778=1,MAX(0,N778-Q778),0)</f>
        <v/>
      </c>
      <c r="AL778" s="3">
        <f>IF(OR(V778="",V778=0),0,N778/V778)</f>
        <v/>
      </c>
      <c r="AM778" s="3">
        <f>IF(OR(V778="",V778=0),0,1)</f>
        <v/>
      </c>
      <c r="AN778" s="3">
        <f>IF(OR(E778="",F778=""),0,NETWORKDAYS(E778,F778,Ref!$K$2:$K$42))</f>
        <v/>
      </c>
      <c r="AO778" s="3">
        <f>IF(L778="Renewal",1,0)</f>
        <v/>
      </c>
      <c r="AP778" s="3">
        <f>AC778*AD778</f>
        <v/>
      </c>
      <c r="AQ778" s="3">
        <f>IF(AND(G778&lt;&gt;"",'Historical Score'!$C$6&lt;&gt;""),IF(G778='Historical Score'!$C$6,1,0),0)</f>
        <v/>
      </c>
      <c r="AR778" s="3">
        <f>IF(AND(L778&lt;&gt;"",'Historical Score'!$C$5&lt;&gt;""),IF(L778='Historical Score'!$C$5,1,0),0)</f>
        <v/>
      </c>
      <c r="AS778" s="3">
        <f>IF(AND(Y778&lt;&gt;"",'Historical Score'!$C$7&lt;&gt;""),IF(Y778='Historical Score'!$C$7,1,0),0)</f>
        <v/>
      </c>
      <c r="AT778" s="3">
        <f>IF(AND(K778&lt;&gt;"",'Historical Score'!$C$8&lt;&gt;""),IF(K778='Historical Score'!$C$8,1,0),0)</f>
        <v/>
      </c>
      <c r="AU778" s="3" t="n"/>
      <c r="AV778" s="3" t="n"/>
      <c r="AW778" s="3" t="n"/>
      <c r="AX778" s="3" t="n"/>
      <c r="AY778" s="3" t="n"/>
      <c r="AZ778" s="3" t="n"/>
      <c r="BA778" s="182">
        <f>IF(AD778=1,(AR778*'Historical Score'!$K$29+1-'Historical Score'!$K$29)*(AT778*'Historical Score'!$L$29+1-'Historical Score'!$L$29)*(AS778*'Historical Score'!$M$29+1-'Historical Score'!$M$29)*(AQ778*'Historical Score'!$N$29+1-'Historical Score'!$N$29),0)</f>
        <v/>
      </c>
      <c r="BB778" s="3" t="n"/>
      <c r="BC778" s="3" t="n"/>
    </row>
    <row r="779" ht="15.75" customHeight="1" s="174">
      <c r="A779" s="3" t="inlineStr">
        <is>
          <t>5674181387</t>
        </is>
      </c>
      <c r="B779" s="3" t="inlineStr">
        <is>
          <t>TECHNOLOGY INTEGRATORS OF TEXAS</t>
        </is>
      </c>
      <c r="C779" s="3" t="inlineStr">
        <is>
          <t>TECHNOLOGY INTEGRATORS OF TEXAS, LLC</t>
        </is>
      </c>
      <c r="D779" s="3" t="inlineStr">
        <is>
          <t>Legal</t>
        </is>
      </c>
      <c r="E779" s="23" t="n">
        <v>46119</v>
      </c>
      <c r="F779" s="23" t="n">
        <v>46204</v>
      </c>
      <c r="G779" s="3" t="n">
        <v>2</v>
      </c>
      <c r="H779" s="3" t="inlineStr">
        <is>
          <t>7371</t>
        </is>
      </c>
      <c r="I779" s="3" t="inlineStr">
        <is>
          <t>73</t>
        </is>
      </c>
      <c r="J779" s="3" t="inlineStr">
        <is>
          <t>TX</t>
        </is>
      </c>
      <c r="K779" s="3" t="inlineStr">
        <is>
          <t>Fundwell</t>
        </is>
      </c>
      <c r="L779" s="3" t="inlineStr">
        <is>
          <t>New Deal</t>
        </is>
      </c>
      <c r="M779" s="3" t="n">
        <v>1.42</v>
      </c>
      <c r="N779" s="28" t="n">
        <v>10000</v>
      </c>
      <c r="O779" s="28" t="n">
        <v>0</v>
      </c>
      <c r="P779" s="28" t="n">
        <v>14200</v>
      </c>
      <c r="Q779" s="28" t="n">
        <v>6394.86</v>
      </c>
      <c r="R779" s="28" t="n">
        <v>7805.14</v>
      </c>
      <c r="S779" s="42" t="n">
        <v>0.450342253521127</v>
      </c>
      <c r="T779" s="3" t="n">
        <v>20</v>
      </c>
      <c r="U779" s="3" t="n">
        <v>3</v>
      </c>
      <c r="V779" s="3" t="n">
        <v>47369.23</v>
      </c>
      <c r="W779" s="42" t="n">
        <v>0.06</v>
      </c>
      <c r="X779" s="23" t="n">
        <v>44089</v>
      </c>
      <c r="Y779" s="3">
        <f>IF(I779="","No SIC",IFERROR(VLOOKUP(I779,Ref!$A$2:$B$65,2,FALSE()),"Unclassified"))</f>
        <v/>
      </c>
      <c r="Z779" s="3">
        <f>IF(T779="","",IF(T779&lt;12,"Daily","Weekly"))</f>
        <v/>
      </c>
      <c r="AA779" s="3">
        <f>IF(T779="",0,IF(T779&lt;12,T779*Controls!$B$13,T779*5))</f>
        <v/>
      </c>
      <c r="AB779" s="3">
        <f>IF(E779="",0,NETWORKDAYS(E779,Controls!$B$20,Ref!$K$2:$K$42))</f>
        <v/>
      </c>
      <c r="AC779" s="3">
        <f>IF(OR(AF779=1,AND(AA779&gt;0,AB779&gt;=Controls!$B$23*AA779)),1,0)</f>
        <v/>
      </c>
      <c r="AD779" s="3">
        <f>IF(AND(E779&lt;&gt;"",E779&gt;=Controls!$B$21,E779&lt;=Controls!$B$22),1,0)</f>
        <v/>
      </c>
      <c r="AE779" s="3">
        <f>IF(IFERROR(VLOOKUP(D779,Controls!$A$36:$E$46,2,FALSE()),"No")="Yes",1,0)</f>
        <v/>
      </c>
      <c r="AF779" s="3">
        <f>IF(IFERROR(VLOOKUP(D779,Controls!$A$36:$E$46,3,FALSE()),"No")="Yes",1,0)</f>
        <v/>
      </c>
      <c r="AG779" s="3">
        <f>IF(IFERROR(VLOOKUP(D779,Controls!$A$36:$E$46,4,FALSE()),"No")="Yes",1,0)</f>
        <v/>
      </c>
      <c r="AH779" s="3">
        <f>IF(IFERROR(VLOOKUP(D779,Controls!$A$36:$E$46,5,FALSE()),"No")="Yes",1,0)</f>
        <v/>
      </c>
      <c r="AI779" s="3">
        <f>IF(ISNUMBER(MATCH(D779,Controls!$A$36:$A$46,0)),1,0)</f>
        <v/>
      </c>
      <c r="AJ779" s="28">
        <f>Q779-N779</f>
        <v/>
      </c>
      <c r="AK779" s="3">
        <f>IF(AE779=1,MAX(0,N779-Q779),0)</f>
        <v/>
      </c>
      <c r="AL779" s="3">
        <f>IF(OR(V779="",V779=0),0,N779/V779)</f>
        <v/>
      </c>
      <c r="AM779" s="3">
        <f>IF(OR(V779="",V779=0),0,1)</f>
        <v/>
      </c>
      <c r="AN779" s="3">
        <f>IF(OR(E779="",F779=""),0,NETWORKDAYS(E779,F779,Ref!$K$2:$K$42))</f>
        <v/>
      </c>
      <c r="AO779" s="3">
        <f>IF(L779="Renewal",1,0)</f>
        <v/>
      </c>
      <c r="AP779" s="3">
        <f>AC779*AD779</f>
        <v/>
      </c>
      <c r="AQ779" s="3">
        <f>IF(AND(G779&lt;&gt;"",'Historical Score'!$C$6&lt;&gt;""),IF(G779='Historical Score'!$C$6,1,0),0)</f>
        <v/>
      </c>
      <c r="AR779" s="3">
        <f>IF(AND(L779&lt;&gt;"",'Historical Score'!$C$5&lt;&gt;""),IF(L779='Historical Score'!$C$5,1,0),0)</f>
        <v/>
      </c>
      <c r="AS779" s="3">
        <f>IF(AND(Y779&lt;&gt;"",'Historical Score'!$C$7&lt;&gt;""),IF(Y779='Historical Score'!$C$7,1,0),0)</f>
        <v/>
      </c>
      <c r="AT779" s="3">
        <f>IF(AND(K779&lt;&gt;"",'Historical Score'!$C$8&lt;&gt;""),IF(K779='Historical Score'!$C$8,1,0),0)</f>
        <v/>
      </c>
      <c r="AU779" s="3" t="n"/>
      <c r="AV779" s="3" t="n"/>
      <c r="AW779" s="3" t="n"/>
      <c r="AX779" s="3" t="n"/>
      <c r="AY779" s="3" t="n"/>
      <c r="AZ779" s="3" t="n"/>
      <c r="BA779" s="182">
        <f>IF(AD779=1,(AR779*'Historical Score'!$K$29+1-'Historical Score'!$K$29)*(AT779*'Historical Score'!$L$29+1-'Historical Score'!$L$29)*(AS779*'Historical Score'!$M$29+1-'Historical Score'!$M$29)*(AQ779*'Historical Score'!$N$29+1-'Historical Score'!$N$29),0)</f>
        <v/>
      </c>
      <c r="BB779" s="3" t="n"/>
      <c r="BC779" s="3" t="n"/>
    </row>
    <row r="780" ht="15.75" customHeight="1" s="174">
      <c r="A780" s="3" t="inlineStr">
        <is>
          <t>5674181431</t>
        </is>
      </c>
      <c r="B780" s="3" t="inlineStr">
        <is>
          <t>MC SITE WORK INC</t>
        </is>
      </c>
      <c r="C780" s="3" t="inlineStr">
        <is>
          <t>MC SITE WORK INC</t>
        </is>
      </c>
      <c r="D780" s="3" t="inlineStr">
        <is>
          <t>Legal</t>
        </is>
      </c>
      <c r="E780" s="23" t="n">
        <v>46120</v>
      </c>
      <c r="F780" s="23" t="n">
        <v>46212</v>
      </c>
      <c r="G780" s="3" t="n">
        <v>3</v>
      </c>
      <c r="H780" s="3" t="inlineStr">
        <is>
          <t>1521</t>
        </is>
      </c>
      <c r="I780" s="3" t="inlineStr">
        <is>
          <t>15</t>
        </is>
      </c>
      <c r="J780" s="3" t="inlineStr">
        <is>
          <t>IA</t>
        </is>
      </c>
      <c r="K780" s="3" t="inlineStr">
        <is>
          <t>ALLSTATE FUND PROS LLC</t>
        </is>
      </c>
      <c r="L780" s="3" t="inlineStr">
        <is>
          <t>New Deal</t>
        </is>
      </c>
      <c r="M780" s="3" t="n">
        <v>1.45</v>
      </c>
      <c r="N780" s="28" t="n">
        <v>10000</v>
      </c>
      <c r="O780" s="28" t="n">
        <v>1200</v>
      </c>
      <c r="P780" s="28" t="n">
        <v>14500</v>
      </c>
      <c r="Q780" s="28" t="n">
        <v>5478.08</v>
      </c>
      <c r="R780" s="28" t="n">
        <v>9021.92</v>
      </c>
      <c r="S780" s="42" t="n">
        <v>0.377798620689655</v>
      </c>
      <c r="T780" s="3" t="n">
        <v>2.951</v>
      </c>
      <c r="U780" s="3" t="n">
        <v>19</v>
      </c>
      <c r="V780" s="3" t="n">
        <v>58058.07</v>
      </c>
      <c r="W780" s="42" t="n">
        <v>0.0572</v>
      </c>
      <c r="X780" s="23" t="n">
        <v>44409</v>
      </c>
      <c r="Y780" s="3">
        <f>IF(I780="","No SIC",IFERROR(VLOOKUP(I780,Ref!$A$2:$B$65,2,FALSE()),"Unclassified"))</f>
        <v/>
      </c>
      <c r="Z780" s="3">
        <f>IF(T780="","",IF(T780&lt;12,"Daily","Weekly"))</f>
        <v/>
      </c>
      <c r="AA780" s="3">
        <f>IF(T780="",0,IF(T780&lt;12,T780*Controls!$B$13,T780*5))</f>
        <v/>
      </c>
      <c r="AB780" s="3">
        <f>IF(E780="",0,NETWORKDAYS(E780,Controls!$B$20,Ref!$K$2:$K$42))</f>
        <v/>
      </c>
      <c r="AC780" s="3">
        <f>IF(OR(AF780=1,AND(AA780&gt;0,AB780&gt;=Controls!$B$23*AA780)),1,0)</f>
        <v/>
      </c>
      <c r="AD780" s="3">
        <f>IF(AND(E780&lt;&gt;"",E780&gt;=Controls!$B$21,E780&lt;=Controls!$B$22),1,0)</f>
        <v/>
      </c>
      <c r="AE780" s="3">
        <f>IF(IFERROR(VLOOKUP(D780,Controls!$A$36:$E$46,2,FALSE()),"No")="Yes",1,0)</f>
        <v/>
      </c>
      <c r="AF780" s="3">
        <f>IF(IFERROR(VLOOKUP(D780,Controls!$A$36:$E$46,3,FALSE()),"No")="Yes",1,0)</f>
        <v/>
      </c>
      <c r="AG780" s="3">
        <f>IF(IFERROR(VLOOKUP(D780,Controls!$A$36:$E$46,4,FALSE()),"No")="Yes",1,0)</f>
        <v/>
      </c>
      <c r="AH780" s="3">
        <f>IF(IFERROR(VLOOKUP(D780,Controls!$A$36:$E$46,5,FALSE()),"No")="Yes",1,0)</f>
        <v/>
      </c>
      <c r="AI780" s="3">
        <f>IF(ISNUMBER(MATCH(D780,Controls!$A$36:$A$46,0)),1,0)</f>
        <v/>
      </c>
      <c r="AJ780" s="28">
        <f>Q780-N780</f>
        <v/>
      </c>
      <c r="AK780" s="3">
        <f>IF(AE780=1,MAX(0,N780-Q780),0)</f>
        <v/>
      </c>
      <c r="AL780" s="3">
        <f>IF(OR(V780="",V780=0),0,N780/V780)</f>
        <v/>
      </c>
      <c r="AM780" s="3">
        <f>IF(OR(V780="",V780=0),0,1)</f>
        <v/>
      </c>
      <c r="AN780" s="3">
        <f>IF(OR(E780="",F780=""),0,NETWORKDAYS(E780,F780,Ref!$K$2:$K$42))</f>
        <v/>
      </c>
      <c r="AO780" s="3">
        <f>IF(L780="Renewal",1,0)</f>
        <v/>
      </c>
      <c r="AP780" s="3">
        <f>AC780*AD780</f>
        <v/>
      </c>
      <c r="AQ780" s="3">
        <f>IF(AND(G780&lt;&gt;"",'Historical Score'!$C$6&lt;&gt;""),IF(G780='Historical Score'!$C$6,1,0),0)</f>
        <v/>
      </c>
      <c r="AR780" s="3">
        <f>IF(AND(L780&lt;&gt;"",'Historical Score'!$C$5&lt;&gt;""),IF(L780='Historical Score'!$C$5,1,0),0)</f>
        <v/>
      </c>
      <c r="AS780" s="3">
        <f>IF(AND(Y780&lt;&gt;"",'Historical Score'!$C$7&lt;&gt;""),IF(Y780='Historical Score'!$C$7,1,0),0)</f>
        <v/>
      </c>
      <c r="AT780" s="3">
        <f>IF(AND(K780&lt;&gt;"",'Historical Score'!$C$8&lt;&gt;""),IF(K780='Historical Score'!$C$8,1,0),0)</f>
        <v/>
      </c>
      <c r="AU780" s="3" t="n"/>
      <c r="AV780" s="3" t="n"/>
      <c r="AW780" s="3" t="n"/>
      <c r="AX780" s="3" t="n"/>
      <c r="AY780" s="3" t="n"/>
      <c r="AZ780" s="3" t="n"/>
      <c r="BA780" s="182">
        <f>IF(AD780=1,(AR780*'Historical Score'!$K$29+1-'Historical Score'!$K$29)*(AT780*'Historical Score'!$L$29+1-'Historical Score'!$L$29)*(AS780*'Historical Score'!$M$29+1-'Historical Score'!$M$29)*(AQ780*'Historical Score'!$N$29+1-'Historical Score'!$N$29),0)</f>
        <v/>
      </c>
      <c r="BB780" s="3" t="n"/>
      <c r="BC780" s="3" t="n"/>
    </row>
    <row r="781" ht="15.75" customHeight="1" s="174">
      <c r="A781" s="3" t="inlineStr">
        <is>
          <t>5674181443</t>
        </is>
      </c>
      <c r="B781" s="3" t="inlineStr">
        <is>
          <t>AS ONE TRANSPORTATION</t>
        </is>
      </c>
      <c r="C781" s="3" t="inlineStr">
        <is>
          <t>AS ONE TRANSPORTATION</t>
        </is>
      </c>
      <c r="D781" s="3" t="inlineStr">
        <is>
          <t>Closed</t>
        </is>
      </c>
      <c r="E781" s="23" t="n">
        <v>46120</v>
      </c>
      <c r="F781" s="23" t="n">
        <v>46231</v>
      </c>
      <c r="G781" s="3" t="n">
        <v>3</v>
      </c>
      <c r="H781" s="3" t="inlineStr">
        <is>
          <t>4212</t>
        </is>
      </c>
      <c r="I781" s="3" t="inlineStr">
        <is>
          <t>42</t>
        </is>
      </c>
      <c r="J781" s="3" t="inlineStr">
        <is>
          <t>MO</t>
        </is>
      </c>
      <c r="K781" s="3" t="inlineStr">
        <is>
          <t>Westwood</t>
        </is>
      </c>
      <c r="L781" s="3" t="inlineStr">
        <is>
          <t>Renewal</t>
        </is>
      </c>
      <c r="M781" s="3" t="n">
        <v>1.4</v>
      </c>
      <c r="N781" s="28" t="n">
        <v>30000</v>
      </c>
      <c r="O781" s="28" t="n">
        <v>2850</v>
      </c>
      <c r="P781" s="28" t="n">
        <v>42000</v>
      </c>
      <c r="Q781" s="28" t="n">
        <v>42000</v>
      </c>
      <c r="R781" s="28" t="n">
        <v>0</v>
      </c>
      <c r="S781" s="42" t="n">
        <v>1</v>
      </c>
      <c r="T781" s="3" t="n">
        <v>3.934</v>
      </c>
      <c r="U781" s="3" t="n">
        <v>0</v>
      </c>
      <c r="V781" s="3" t="n">
        <v>99070.63</v>
      </c>
      <c r="W781" s="42" t="n">
        <v>0.0742</v>
      </c>
      <c r="X781" s="23" t="n">
        <v>44047</v>
      </c>
      <c r="Y781" s="3">
        <f>IF(I781="","No SIC",IFERROR(VLOOKUP(I781,Ref!$A$2:$B$65,2,FALSE()),"Unclassified"))</f>
        <v/>
      </c>
      <c r="Z781" s="3">
        <f>IF(T781="","",IF(T781&lt;12,"Daily","Weekly"))</f>
        <v/>
      </c>
      <c r="AA781" s="3">
        <f>IF(T781="",0,IF(T781&lt;12,T781*Controls!$B$13,T781*5))</f>
        <v/>
      </c>
      <c r="AB781" s="3">
        <f>IF(E781="",0,NETWORKDAYS(E781,Controls!$B$20,Ref!$K$2:$K$42))</f>
        <v/>
      </c>
      <c r="AC781" s="3">
        <f>IF(OR(AF781=1,AND(AA781&gt;0,AB781&gt;=Controls!$B$23*AA781)),1,0)</f>
        <v/>
      </c>
      <c r="AD781" s="3">
        <f>IF(AND(E781&lt;&gt;"",E781&gt;=Controls!$B$21,E781&lt;=Controls!$B$22),1,0)</f>
        <v/>
      </c>
      <c r="AE781" s="3">
        <f>IF(IFERROR(VLOOKUP(D781,Controls!$A$36:$E$46,2,FALSE()),"No")="Yes",1,0)</f>
        <v/>
      </c>
      <c r="AF781" s="3">
        <f>IF(IFERROR(VLOOKUP(D781,Controls!$A$36:$E$46,3,FALSE()),"No")="Yes",1,0)</f>
        <v/>
      </c>
      <c r="AG781" s="3">
        <f>IF(IFERROR(VLOOKUP(D781,Controls!$A$36:$E$46,4,FALSE()),"No")="Yes",1,0)</f>
        <v/>
      </c>
      <c r="AH781" s="3">
        <f>IF(IFERROR(VLOOKUP(D781,Controls!$A$36:$E$46,5,FALSE()),"No")="Yes",1,0)</f>
        <v/>
      </c>
      <c r="AI781" s="3">
        <f>IF(ISNUMBER(MATCH(D781,Controls!$A$36:$A$46,0)),1,0)</f>
        <v/>
      </c>
      <c r="AJ781" s="28">
        <f>Q781-N781</f>
        <v/>
      </c>
      <c r="AK781" s="3">
        <f>IF(AE781=1,MAX(0,N781-Q781),0)</f>
        <v/>
      </c>
      <c r="AL781" s="3">
        <f>IF(OR(V781="",V781=0),0,N781/V781)</f>
        <v/>
      </c>
      <c r="AM781" s="3">
        <f>IF(OR(V781="",V781=0),0,1)</f>
        <v/>
      </c>
      <c r="AN781" s="3">
        <f>IF(OR(E781="",F781=""),0,NETWORKDAYS(E781,F781,Ref!$K$2:$K$42))</f>
        <v/>
      </c>
      <c r="AO781" s="3">
        <f>IF(L781="Renewal",1,0)</f>
        <v/>
      </c>
      <c r="AP781" s="3">
        <f>AC781*AD781</f>
        <v/>
      </c>
      <c r="AQ781" s="3">
        <f>IF(AND(G781&lt;&gt;"",'Historical Score'!$C$6&lt;&gt;""),IF(G781='Historical Score'!$C$6,1,0),0)</f>
        <v/>
      </c>
      <c r="AR781" s="3">
        <f>IF(AND(L781&lt;&gt;"",'Historical Score'!$C$5&lt;&gt;""),IF(L781='Historical Score'!$C$5,1,0),0)</f>
        <v/>
      </c>
      <c r="AS781" s="3">
        <f>IF(AND(Y781&lt;&gt;"",'Historical Score'!$C$7&lt;&gt;""),IF(Y781='Historical Score'!$C$7,1,0),0)</f>
        <v/>
      </c>
      <c r="AT781" s="3">
        <f>IF(AND(K781&lt;&gt;"",'Historical Score'!$C$8&lt;&gt;""),IF(K781='Historical Score'!$C$8,1,0),0)</f>
        <v/>
      </c>
      <c r="AU781" s="3" t="n"/>
      <c r="AV781" s="3" t="n"/>
      <c r="AW781" s="3" t="n"/>
      <c r="AX781" s="3" t="n"/>
      <c r="AY781" s="3" t="n"/>
      <c r="AZ781" s="3" t="n"/>
      <c r="BA781" s="182">
        <f>IF(AD781=1,(AR781*'Historical Score'!$K$29+1-'Historical Score'!$K$29)*(AT781*'Historical Score'!$L$29+1-'Historical Score'!$L$29)*(AS781*'Historical Score'!$M$29+1-'Historical Score'!$M$29)*(AQ781*'Historical Score'!$N$29+1-'Historical Score'!$N$29),0)</f>
        <v/>
      </c>
      <c r="BB781" s="3" t="n"/>
      <c r="BC781" s="3" t="n"/>
    </row>
    <row r="782" ht="15.75" customHeight="1" s="174">
      <c r="A782" s="3" t="inlineStr">
        <is>
          <t>5674181446</t>
        </is>
      </c>
      <c r="B782" s="3" t="inlineStr">
        <is>
          <t>DBA EL TACO LOCO AL VAPOR</t>
        </is>
      </c>
      <c r="C782" s="3" t="inlineStr">
        <is>
          <t>DBA EL TACO LOCO AL VAPOR</t>
        </is>
      </c>
      <c r="D782" s="3" t="inlineStr">
        <is>
          <t>Closed</t>
        </is>
      </c>
      <c r="E782" s="23" t="n">
        <v>46120</v>
      </c>
      <c r="F782" s="23" t="n">
        <v>46225</v>
      </c>
      <c r="G782" s="3" t="n">
        <v>3</v>
      </c>
      <c r="H782" s="3" t="inlineStr">
        <is>
          <t>5812</t>
        </is>
      </c>
      <c r="I782" s="3" t="inlineStr">
        <is>
          <t>58</t>
        </is>
      </c>
      <c r="J782" s="3" t="inlineStr">
        <is>
          <t>TX</t>
        </is>
      </c>
      <c r="K782" s="3" t="inlineStr">
        <is>
          <t>Westwood</t>
        </is>
      </c>
      <c r="L782" s="3" t="inlineStr">
        <is>
          <t>Renewal</t>
        </is>
      </c>
      <c r="M782" s="3" t="n">
        <v>1.49</v>
      </c>
      <c r="N782" s="28" t="n">
        <v>25000</v>
      </c>
      <c r="O782" s="28" t="n">
        <v>3500</v>
      </c>
      <c r="P782" s="28" t="n">
        <v>37250</v>
      </c>
      <c r="Q782" s="28" t="n">
        <v>37250</v>
      </c>
      <c r="R782" s="28" t="n">
        <v>0</v>
      </c>
      <c r="S782" s="42" t="n">
        <v>1</v>
      </c>
      <c r="T782" s="3" t="n">
        <v>20</v>
      </c>
      <c r="U782" s="3" t="n">
        <v>0</v>
      </c>
      <c r="V782" s="3" t="n">
        <v>42000</v>
      </c>
      <c r="W782" s="42" t="n">
        <v>0.149</v>
      </c>
      <c r="X782" s="23" t="n">
        <v>44977</v>
      </c>
      <c r="Y782" s="3">
        <f>IF(I782="","No SIC",IFERROR(VLOOKUP(I782,Ref!$A$2:$B$65,2,FALSE()),"Unclassified"))</f>
        <v/>
      </c>
      <c r="Z782" s="3">
        <f>IF(T782="","",IF(T782&lt;12,"Daily","Weekly"))</f>
        <v/>
      </c>
      <c r="AA782" s="3">
        <f>IF(T782="",0,IF(T782&lt;12,T782*Controls!$B$13,T782*5))</f>
        <v/>
      </c>
      <c r="AB782" s="3">
        <f>IF(E782="",0,NETWORKDAYS(E782,Controls!$B$20,Ref!$K$2:$K$42))</f>
        <v/>
      </c>
      <c r="AC782" s="3">
        <f>IF(OR(AF782=1,AND(AA782&gt;0,AB782&gt;=Controls!$B$23*AA782)),1,0)</f>
        <v/>
      </c>
      <c r="AD782" s="3">
        <f>IF(AND(E782&lt;&gt;"",E782&gt;=Controls!$B$21,E782&lt;=Controls!$B$22),1,0)</f>
        <v/>
      </c>
      <c r="AE782" s="3">
        <f>IF(IFERROR(VLOOKUP(D782,Controls!$A$36:$E$46,2,FALSE()),"No")="Yes",1,0)</f>
        <v/>
      </c>
      <c r="AF782" s="3">
        <f>IF(IFERROR(VLOOKUP(D782,Controls!$A$36:$E$46,3,FALSE()),"No")="Yes",1,0)</f>
        <v/>
      </c>
      <c r="AG782" s="3">
        <f>IF(IFERROR(VLOOKUP(D782,Controls!$A$36:$E$46,4,FALSE()),"No")="Yes",1,0)</f>
        <v/>
      </c>
      <c r="AH782" s="3">
        <f>IF(IFERROR(VLOOKUP(D782,Controls!$A$36:$E$46,5,FALSE()),"No")="Yes",1,0)</f>
        <v/>
      </c>
      <c r="AI782" s="3">
        <f>IF(ISNUMBER(MATCH(D782,Controls!$A$36:$A$46,0)),1,0)</f>
        <v/>
      </c>
      <c r="AJ782" s="28">
        <f>Q782-N782</f>
        <v/>
      </c>
      <c r="AK782" s="3">
        <f>IF(AE782=1,MAX(0,N782-Q782),0)</f>
        <v/>
      </c>
      <c r="AL782" s="3">
        <f>IF(OR(V782="",V782=0),0,N782/V782)</f>
        <v/>
      </c>
      <c r="AM782" s="3">
        <f>IF(OR(V782="",V782=0),0,1)</f>
        <v/>
      </c>
      <c r="AN782" s="3">
        <f>IF(OR(E782="",F782=""),0,NETWORKDAYS(E782,F782,Ref!$K$2:$K$42))</f>
        <v/>
      </c>
      <c r="AO782" s="3">
        <f>IF(L782="Renewal",1,0)</f>
        <v/>
      </c>
      <c r="AP782" s="3">
        <f>AC782*AD782</f>
        <v/>
      </c>
      <c r="AQ782" s="3">
        <f>IF(AND(G782&lt;&gt;"",'Historical Score'!$C$6&lt;&gt;""),IF(G782='Historical Score'!$C$6,1,0),0)</f>
        <v/>
      </c>
      <c r="AR782" s="3">
        <f>IF(AND(L782&lt;&gt;"",'Historical Score'!$C$5&lt;&gt;""),IF(L782='Historical Score'!$C$5,1,0),0)</f>
        <v/>
      </c>
      <c r="AS782" s="3">
        <f>IF(AND(Y782&lt;&gt;"",'Historical Score'!$C$7&lt;&gt;""),IF(Y782='Historical Score'!$C$7,1,0),0)</f>
        <v/>
      </c>
      <c r="AT782" s="3">
        <f>IF(AND(K782&lt;&gt;"",'Historical Score'!$C$8&lt;&gt;""),IF(K782='Historical Score'!$C$8,1,0),0)</f>
        <v/>
      </c>
      <c r="AU782" s="3" t="n"/>
      <c r="AV782" s="3" t="n"/>
      <c r="AW782" s="3" t="n"/>
      <c r="AX782" s="3" t="n"/>
      <c r="AY782" s="3" t="n"/>
      <c r="AZ782" s="3" t="n"/>
      <c r="BA782" s="182">
        <f>IF(AD782=1,(AR782*'Historical Score'!$K$29+1-'Historical Score'!$K$29)*(AT782*'Historical Score'!$L$29+1-'Historical Score'!$L$29)*(AS782*'Historical Score'!$M$29+1-'Historical Score'!$M$29)*(AQ782*'Historical Score'!$N$29+1-'Historical Score'!$N$29),0)</f>
        <v/>
      </c>
      <c r="BB782" s="3" t="n"/>
      <c r="BC782" s="3" t="n"/>
    </row>
    <row r="783" ht="15.75" customHeight="1" s="174">
      <c r="A783" s="3" t="inlineStr">
        <is>
          <t>5674181461</t>
        </is>
      </c>
      <c r="B783" s="3" t="inlineStr">
        <is>
          <t>paredes construction inc</t>
        </is>
      </c>
      <c r="C783" s="3" t="inlineStr">
        <is>
          <t>paredes construction inc</t>
        </is>
      </c>
      <c r="D783" s="3" t="inlineStr">
        <is>
          <t>In House Collection</t>
        </is>
      </c>
      <c r="E783" s="23" t="n">
        <v>46121</v>
      </c>
      <c r="F783" s="23" t="n">
        <v>46175</v>
      </c>
      <c r="G783" s="3" t="n">
        <v>3</v>
      </c>
      <c r="H783" s="3" t="inlineStr">
        <is>
          <t>1521</t>
        </is>
      </c>
      <c r="I783" s="3" t="inlineStr">
        <is>
          <t>15</t>
        </is>
      </c>
      <c r="J783" s="3" t="inlineStr">
        <is>
          <t>KS</t>
        </is>
      </c>
      <c r="K783" s="3" t="inlineStr">
        <is>
          <t>Ballicci</t>
        </is>
      </c>
      <c r="L783" s="3" t="inlineStr">
        <is>
          <t>New Deal</t>
        </is>
      </c>
      <c r="M783" s="3" t="n">
        <v>1.49</v>
      </c>
      <c r="N783" s="28" t="n">
        <v>10000</v>
      </c>
      <c r="O783" s="28" t="n">
        <v>0</v>
      </c>
      <c r="P783" s="28" t="n">
        <v>14900</v>
      </c>
      <c r="Q783" s="28" t="n">
        <v>4285.12</v>
      </c>
      <c r="R783" s="28" t="n">
        <v>10614.88</v>
      </c>
      <c r="S783" s="42" t="n">
        <v>0.287591946308725</v>
      </c>
      <c r="T783" s="3" t="n">
        <v>2.623</v>
      </c>
      <c r="U783" s="3" t="n">
        <v>12</v>
      </c>
      <c r="V783" s="3" t="n">
        <v>28127.66</v>
      </c>
      <c r="W783" s="42" t="n">
        <v>0.1391</v>
      </c>
      <c r="X783" s="23" t="n">
        <v>36942</v>
      </c>
      <c r="Y783" s="3">
        <f>IF(I783="","No SIC",IFERROR(VLOOKUP(I783,Ref!$A$2:$B$65,2,FALSE()),"Unclassified"))</f>
        <v/>
      </c>
      <c r="Z783" s="3">
        <f>IF(T783="","",IF(T783&lt;12,"Daily","Weekly"))</f>
        <v/>
      </c>
      <c r="AA783" s="3">
        <f>IF(T783="",0,IF(T783&lt;12,T783*Controls!$B$13,T783*5))</f>
        <v/>
      </c>
      <c r="AB783" s="3">
        <f>IF(E783="",0,NETWORKDAYS(E783,Controls!$B$20,Ref!$K$2:$K$42))</f>
        <v/>
      </c>
      <c r="AC783" s="3">
        <f>IF(OR(AF783=1,AND(AA783&gt;0,AB783&gt;=Controls!$B$23*AA783)),1,0)</f>
        <v/>
      </c>
      <c r="AD783" s="3">
        <f>IF(AND(E783&lt;&gt;"",E783&gt;=Controls!$B$21,E783&lt;=Controls!$B$22),1,0)</f>
        <v/>
      </c>
      <c r="AE783" s="3">
        <f>IF(IFERROR(VLOOKUP(D783,Controls!$A$36:$E$46,2,FALSE()),"No")="Yes",1,0)</f>
        <v/>
      </c>
      <c r="AF783" s="3">
        <f>IF(IFERROR(VLOOKUP(D783,Controls!$A$36:$E$46,3,FALSE()),"No")="Yes",1,0)</f>
        <v/>
      </c>
      <c r="AG783" s="3">
        <f>IF(IFERROR(VLOOKUP(D783,Controls!$A$36:$E$46,4,FALSE()),"No")="Yes",1,0)</f>
        <v/>
      </c>
      <c r="AH783" s="3">
        <f>IF(IFERROR(VLOOKUP(D783,Controls!$A$36:$E$46,5,FALSE()),"No")="Yes",1,0)</f>
        <v/>
      </c>
      <c r="AI783" s="3">
        <f>IF(ISNUMBER(MATCH(D783,Controls!$A$36:$A$46,0)),1,0)</f>
        <v/>
      </c>
      <c r="AJ783" s="28">
        <f>Q783-N783</f>
        <v/>
      </c>
      <c r="AK783" s="3">
        <f>IF(AE783=1,MAX(0,N783-Q783),0)</f>
        <v/>
      </c>
      <c r="AL783" s="3">
        <f>IF(OR(V783="",V783=0),0,N783/V783)</f>
        <v/>
      </c>
      <c r="AM783" s="3">
        <f>IF(OR(V783="",V783=0),0,1)</f>
        <v/>
      </c>
      <c r="AN783" s="3">
        <f>IF(OR(E783="",F783=""),0,NETWORKDAYS(E783,F783,Ref!$K$2:$K$42))</f>
        <v/>
      </c>
      <c r="AO783" s="3">
        <f>IF(L783="Renewal",1,0)</f>
        <v/>
      </c>
      <c r="AP783" s="3">
        <f>AC783*AD783</f>
        <v/>
      </c>
      <c r="AQ783" s="3">
        <f>IF(AND(G783&lt;&gt;"",'Historical Score'!$C$6&lt;&gt;""),IF(G783='Historical Score'!$C$6,1,0),0)</f>
        <v/>
      </c>
      <c r="AR783" s="3">
        <f>IF(AND(L783&lt;&gt;"",'Historical Score'!$C$5&lt;&gt;""),IF(L783='Historical Score'!$C$5,1,0),0)</f>
        <v/>
      </c>
      <c r="AS783" s="3">
        <f>IF(AND(Y783&lt;&gt;"",'Historical Score'!$C$7&lt;&gt;""),IF(Y783='Historical Score'!$C$7,1,0),0)</f>
        <v/>
      </c>
      <c r="AT783" s="3">
        <f>IF(AND(K783&lt;&gt;"",'Historical Score'!$C$8&lt;&gt;""),IF(K783='Historical Score'!$C$8,1,0),0)</f>
        <v/>
      </c>
      <c r="AU783" s="3" t="n"/>
      <c r="AV783" s="3" t="n"/>
      <c r="AW783" s="3" t="n"/>
      <c r="AX783" s="3" t="n"/>
      <c r="AY783" s="3" t="n"/>
      <c r="AZ783" s="3" t="n"/>
      <c r="BA783" s="182">
        <f>IF(AD783=1,(AR783*'Historical Score'!$K$29+1-'Historical Score'!$K$29)*(AT783*'Historical Score'!$L$29+1-'Historical Score'!$L$29)*(AS783*'Historical Score'!$M$29+1-'Historical Score'!$M$29)*(AQ783*'Historical Score'!$N$29+1-'Historical Score'!$N$29),0)</f>
        <v/>
      </c>
      <c r="BB783" s="3" t="n"/>
      <c r="BC783" s="3" t="n"/>
    </row>
    <row r="784" ht="15.75" customHeight="1" s="174">
      <c r="A784" s="3" t="inlineStr">
        <is>
          <t>5674181471</t>
        </is>
      </c>
      <c r="B784" s="3" t="inlineStr">
        <is>
          <t>The Face Place</t>
        </is>
      </c>
      <c r="C784" s="3" t="inlineStr">
        <is>
          <t>Green Chrysalis Enterprise LLC</t>
        </is>
      </c>
      <c r="D784" s="3" t="inlineStr">
        <is>
          <t>Open</t>
        </is>
      </c>
      <c r="E784" s="23" t="n">
        <v>46121</v>
      </c>
      <c r="F784" s="23" t="n">
        <v>46247</v>
      </c>
      <c r="G784" s="3" t="n">
        <v>3</v>
      </c>
      <c r="H784" s="3" t="inlineStr">
        <is>
          <t>7231</t>
        </is>
      </c>
      <c r="I784" s="3" t="inlineStr">
        <is>
          <t>72</t>
        </is>
      </c>
      <c r="J784" s="3" t="inlineStr">
        <is>
          <t>TX</t>
        </is>
      </c>
      <c r="K784" s="3" t="inlineStr">
        <is>
          <t>Ballicci</t>
        </is>
      </c>
      <c r="L784" s="3" t="inlineStr">
        <is>
          <t>New Deal</t>
        </is>
      </c>
      <c r="M784" s="3" t="n">
        <v>1.49</v>
      </c>
      <c r="N784" s="28" t="n">
        <v>20000</v>
      </c>
      <c r="O784" s="28" t="n">
        <v>2800</v>
      </c>
      <c r="P784" s="28" t="n">
        <v>29800</v>
      </c>
      <c r="Q784" s="28" t="n">
        <v>5297.12</v>
      </c>
      <c r="R784" s="28" t="n">
        <v>24502.88</v>
      </c>
      <c r="S784" s="42" t="n">
        <v>0.177755704697987</v>
      </c>
      <c r="T784" s="3" t="n">
        <v>2.951</v>
      </c>
      <c r="U784" s="3" t="n">
        <v>7</v>
      </c>
      <c r="V784" s="3" t="n">
        <v>48000</v>
      </c>
      <c r="W784" s="42" t="n">
        <v>0.1545</v>
      </c>
      <c r="X784" s="23" t="n">
        <v>41091</v>
      </c>
      <c r="Y784" s="3">
        <f>IF(I784="","No SIC",IFERROR(VLOOKUP(I784,Ref!$A$2:$B$65,2,FALSE()),"Unclassified"))</f>
        <v/>
      </c>
      <c r="Z784" s="3">
        <f>IF(T784="","",IF(T784&lt;12,"Daily","Weekly"))</f>
        <v/>
      </c>
      <c r="AA784" s="3">
        <f>IF(T784="",0,IF(T784&lt;12,T784*Controls!$B$13,T784*5))</f>
        <v/>
      </c>
      <c r="AB784" s="3">
        <f>IF(E784="",0,NETWORKDAYS(E784,Controls!$B$20,Ref!$K$2:$K$42))</f>
        <v/>
      </c>
      <c r="AC784" s="3">
        <f>IF(OR(AF784=1,AND(AA784&gt;0,AB784&gt;=Controls!$B$23*AA784)),1,0)</f>
        <v/>
      </c>
      <c r="AD784" s="3">
        <f>IF(AND(E784&lt;&gt;"",E784&gt;=Controls!$B$21,E784&lt;=Controls!$B$22),1,0)</f>
        <v/>
      </c>
      <c r="AE784" s="3">
        <f>IF(IFERROR(VLOOKUP(D784,Controls!$A$36:$E$46,2,FALSE()),"No")="Yes",1,0)</f>
        <v/>
      </c>
      <c r="AF784" s="3">
        <f>IF(IFERROR(VLOOKUP(D784,Controls!$A$36:$E$46,3,FALSE()),"No")="Yes",1,0)</f>
        <v/>
      </c>
      <c r="AG784" s="3">
        <f>IF(IFERROR(VLOOKUP(D784,Controls!$A$36:$E$46,4,FALSE()),"No")="Yes",1,0)</f>
        <v/>
      </c>
      <c r="AH784" s="3">
        <f>IF(IFERROR(VLOOKUP(D784,Controls!$A$36:$E$46,5,FALSE()),"No")="Yes",1,0)</f>
        <v/>
      </c>
      <c r="AI784" s="3">
        <f>IF(ISNUMBER(MATCH(D784,Controls!$A$36:$A$46,0)),1,0)</f>
        <v/>
      </c>
      <c r="AJ784" s="28">
        <f>Q784-N784</f>
        <v/>
      </c>
      <c r="AK784" s="3">
        <f>IF(AE784=1,MAX(0,N784-Q784),0)</f>
        <v/>
      </c>
      <c r="AL784" s="3">
        <f>IF(OR(V784="",V784=0),0,N784/V784)</f>
        <v/>
      </c>
      <c r="AM784" s="3">
        <f>IF(OR(V784="",V784=0),0,1)</f>
        <v/>
      </c>
      <c r="AN784" s="3">
        <f>IF(OR(E784="",F784=""),0,NETWORKDAYS(E784,F784,Ref!$K$2:$K$42))</f>
        <v/>
      </c>
      <c r="AO784" s="3">
        <f>IF(L784="Renewal",1,0)</f>
        <v/>
      </c>
      <c r="AP784" s="3">
        <f>AC784*AD784</f>
        <v/>
      </c>
      <c r="AQ784" s="3">
        <f>IF(AND(G784&lt;&gt;"",'Historical Score'!$C$6&lt;&gt;""),IF(G784='Historical Score'!$C$6,1,0),0)</f>
        <v/>
      </c>
      <c r="AR784" s="3">
        <f>IF(AND(L784&lt;&gt;"",'Historical Score'!$C$5&lt;&gt;""),IF(L784='Historical Score'!$C$5,1,0),0)</f>
        <v/>
      </c>
      <c r="AS784" s="3">
        <f>IF(AND(Y784&lt;&gt;"",'Historical Score'!$C$7&lt;&gt;""),IF(Y784='Historical Score'!$C$7,1,0),0)</f>
        <v/>
      </c>
      <c r="AT784" s="3">
        <f>IF(AND(K784&lt;&gt;"",'Historical Score'!$C$8&lt;&gt;""),IF(K784='Historical Score'!$C$8,1,0),0)</f>
        <v/>
      </c>
      <c r="AU784" s="3" t="n"/>
      <c r="AV784" s="3" t="n"/>
      <c r="AW784" s="3" t="n"/>
      <c r="AX784" s="3" t="n"/>
      <c r="AY784" s="3" t="n"/>
      <c r="AZ784" s="3" t="n"/>
      <c r="BA784" s="182">
        <f>IF(AD784=1,(AR784*'Historical Score'!$K$29+1-'Historical Score'!$K$29)*(AT784*'Historical Score'!$L$29+1-'Historical Score'!$L$29)*(AS784*'Historical Score'!$M$29+1-'Historical Score'!$M$29)*(AQ784*'Historical Score'!$N$29+1-'Historical Score'!$N$29),0)</f>
        <v/>
      </c>
      <c r="BB784" s="3" t="n"/>
      <c r="BC784" s="3" t="n"/>
    </row>
    <row r="785" ht="15.75" customHeight="1" s="174">
      <c r="A785" s="3" t="inlineStr">
        <is>
          <t>5674181477</t>
        </is>
      </c>
      <c r="B785" s="3" t="inlineStr">
        <is>
          <t>GP AUTO SERVICES LLC</t>
        </is>
      </c>
      <c r="C785" s="3" t="inlineStr">
        <is>
          <t>GP AUTO SERVICES LLC</t>
        </is>
      </c>
      <c r="D785" s="3" t="inlineStr">
        <is>
          <t>Open</t>
        </is>
      </c>
      <c r="E785" s="23" t="n">
        <v>46121</v>
      </c>
      <c r="F785" s="23" t="n">
        <v>46248</v>
      </c>
      <c r="G785" s="3" t="n">
        <v>3</v>
      </c>
      <c r="H785" s="3" t="inlineStr">
        <is>
          <t>7538</t>
        </is>
      </c>
      <c r="I785" s="3" t="inlineStr">
        <is>
          <t>75</t>
        </is>
      </c>
      <c r="J785" s="3" t="inlineStr">
        <is>
          <t>MD</t>
        </is>
      </c>
      <c r="K785" s="3" t="inlineStr">
        <is>
          <t>Linked In Funding</t>
        </is>
      </c>
      <c r="L785" s="3" t="inlineStr">
        <is>
          <t>New Deal</t>
        </is>
      </c>
      <c r="M785" s="3" t="n">
        <v>1.49</v>
      </c>
      <c r="N785" s="28" t="n">
        <v>35000</v>
      </c>
      <c r="O785" s="28" t="n">
        <v>4900</v>
      </c>
      <c r="P785" s="28" t="n">
        <v>52150</v>
      </c>
      <c r="Q785" s="28" t="n">
        <v>33542.1</v>
      </c>
      <c r="R785" s="28" t="n">
        <v>18607.9</v>
      </c>
      <c r="S785" s="42" t="n">
        <v>0.643185043144775</v>
      </c>
      <c r="T785" s="3" t="n">
        <v>28</v>
      </c>
      <c r="U785" s="3" t="n">
        <v>0</v>
      </c>
      <c r="V785" s="3" t="n">
        <v>80000</v>
      </c>
      <c r="W785" s="42" t="n">
        <v>0.09089999999999999</v>
      </c>
      <c r="X785" s="23" t="n">
        <v>44854</v>
      </c>
      <c r="Y785" s="3">
        <f>IF(I785="","No SIC",IFERROR(VLOOKUP(I785,Ref!$A$2:$B$65,2,FALSE()),"Unclassified"))</f>
        <v/>
      </c>
      <c r="Z785" s="3">
        <f>IF(T785="","",IF(T785&lt;12,"Daily","Weekly"))</f>
        <v/>
      </c>
      <c r="AA785" s="3">
        <f>IF(T785="",0,IF(T785&lt;12,T785*Controls!$B$13,T785*5))</f>
        <v/>
      </c>
      <c r="AB785" s="3">
        <f>IF(E785="",0,NETWORKDAYS(E785,Controls!$B$20,Ref!$K$2:$K$42))</f>
        <v/>
      </c>
      <c r="AC785" s="3">
        <f>IF(OR(AF785=1,AND(AA785&gt;0,AB785&gt;=Controls!$B$23*AA785)),1,0)</f>
        <v/>
      </c>
      <c r="AD785" s="3">
        <f>IF(AND(E785&lt;&gt;"",E785&gt;=Controls!$B$21,E785&lt;=Controls!$B$22),1,0)</f>
        <v/>
      </c>
      <c r="AE785" s="3">
        <f>IF(IFERROR(VLOOKUP(D785,Controls!$A$36:$E$46,2,FALSE()),"No")="Yes",1,0)</f>
        <v/>
      </c>
      <c r="AF785" s="3">
        <f>IF(IFERROR(VLOOKUP(D785,Controls!$A$36:$E$46,3,FALSE()),"No")="Yes",1,0)</f>
        <v/>
      </c>
      <c r="AG785" s="3">
        <f>IF(IFERROR(VLOOKUP(D785,Controls!$A$36:$E$46,4,FALSE()),"No")="Yes",1,0)</f>
        <v/>
      </c>
      <c r="AH785" s="3">
        <f>IF(IFERROR(VLOOKUP(D785,Controls!$A$36:$E$46,5,FALSE()),"No")="Yes",1,0)</f>
        <v/>
      </c>
      <c r="AI785" s="3">
        <f>IF(ISNUMBER(MATCH(D785,Controls!$A$36:$A$46,0)),1,0)</f>
        <v/>
      </c>
      <c r="AJ785" s="28">
        <f>Q785-N785</f>
        <v/>
      </c>
      <c r="AK785" s="3">
        <f>IF(AE785=1,MAX(0,N785-Q785),0)</f>
        <v/>
      </c>
      <c r="AL785" s="3">
        <f>IF(OR(V785="",V785=0),0,N785/V785)</f>
        <v/>
      </c>
      <c r="AM785" s="3">
        <f>IF(OR(V785="",V785=0),0,1)</f>
        <v/>
      </c>
      <c r="AN785" s="3">
        <f>IF(OR(E785="",F785=""),0,NETWORKDAYS(E785,F785,Ref!$K$2:$K$42))</f>
        <v/>
      </c>
      <c r="AO785" s="3">
        <f>IF(L785="Renewal",1,0)</f>
        <v/>
      </c>
      <c r="AP785" s="3">
        <f>AC785*AD785</f>
        <v/>
      </c>
      <c r="AQ785" s="3">
        <f>IF(AND(G785&lt;&gt;"",'Historical Score'!$C$6&lt;&gt;""),IF(G785='Historical Score'!$C$6,1,0),0)</f>
        <v/>
      </c>
      <c r="AR785" s="3">
        <f>IF(AND(L785&lt;&gt;"",'Historical Score'!$C$5&lt;&gt;""),IF(L785='Historical Score'!$C$5,1,0),0)</f>
        <v/>
      </c>
      <c r="AS785" s="3">
        <f>IF(AND(Y785&lt;&gt;"",'Historical Score'!$C$7&lt;&gt;""),IF(Y785='Historical Score'!$C$7,1,0),0)</f>
        <v/>
      </c>
      <c r="AT785" s="3">
        <f>IF(AND(K785&lt;&gt;"",'Historical Score'!$C$8&lt;&gt;""),IF(K785='Historical Score'!$C$8,1,0),0)</f>
        <v/>
      </c>
      <c r="AU785" s="3" t="n"/>
      <c r="AV785" s="3" t="n"/>
      <c r="AW785" s="3" t="n"/>
      <c r="AX785" s="3" t="n"/>
      <c r="AY785" s="3" t="n"/>
      <c r="AZ785" s="3" t="n"/>
      <c r="BA785" s="182">
        <f>IF(AD785=1,(AR785*'Historical Score'!$K$29+1-'Historical Score'!$K$29)*(AT785*'Historical Score'!$L$29+1-'Historical Score'!$L$29)*(AS785*'Historical Score'!$M$29+1-'Historical Score'!$M$29)*(AQ785*'Historical Score'!$N$29+1-'Historical Score'!$N$29),0)</f>
        <v/>
      </c>
      <c r="BB785" s="3" t="n"/>
      <c r="BC785" s="3" t="n"/>
    </row>
    <row r="786" ht="15.75" customHeight="1" s="174">
      <c r="A786" s="3" t="inlineStr">
        <is>
          <t>5674181502</t>
        </is>
      </c>
      <c r="B786" s="3" t="inlineStr">
        <is>
          <t>STAYLO GROUP LLC</t>
        </is>
      </c>
      <c r="C786" s="3" t="inlineStr">
        <is>
          <t>STAYLO GROUP LLC</t>
        </is>
      </c>
      <c r="D786" s="3" t="inlineStr">
        <is>
          <t>Open</t>
        </is>
      </c>
      <c r="E786" s="23" t="n">
        <v>46122</v>
      </c>
      <c r="F786" s="23" t="n">
        <v>46253</v>
      </c>
      <c r="G786" s="3" t="n">
        <v>3</v>
      </c>
      <c r="H786" s="3" t="inlineStr">
        <is>
          <t>5999</t>
        </is>
      </c>
      <c r="I786" s="3" t="inlineStr">
        <is>
          <t>59</t>
        </is>
      </c>
      <c r="J786" s="3" t="inlineStr">
        <is>
          <t>FL</t>
        </is>
      </c>
      <c r="K786" s="3" t="inlineStr">
        <is>
          <t>Westwood</t>
        </is>
      </c>
      <c r="L786" s="3" t="inlineStr">
        <is>
          <t>New Deal</t>
        </is>
      </c>
      <c r="M786" s="3" t="n">
        <v>1.46</v>
      </c>
      <c r="N786" s="28" t="n">
        <v>17500</v>
      </c>
      <c r="O786" s="28" t="n">
        <v>2187.5</v>
      </c>
      <c r="P786" s="28" t="n">
        <v>25550</v>
      </c>
      <c r="Q786" s="28" t="n">
        <v>11500.38</v>
      </c>
      <c r="R786" s="28" t="n">
        <v>14049.62</v>
      </c>
      <c r="S786" s="42" t="n">
        <v>0.450112720156556</v>
      </c>
      <c r="T786" s="3" t="n">
        <v>3.934</v>
      </c>
      <c r="U786" s="3" t="n">
        <v>32</v>
      </c>
      <c r="V786" s="3" t="n">
        <v>41680.35</v>
      </c>
      <c r="W786" s="42" t="n">
        <v>0.1073</v>
      </c>
      <c r="X786" s="23" t="n">
        <v>45575</v>
      </c>
      <c r="Y786" s="3">
        <f>IF(I786="","No SIC",IFERROR(VLOOKUP(I786,Ref!$A$2:$B$65,2,FALSE()),"Unclassified"))</f>
        <v/>
      </c>
      <c r="Z786" s="3">
        <f>IF(T786="","",IF(T786&lt;12,"Daily","Weekly"))</f>
        <v/>
      </c>
      <c r="AA786" s="3">
        <f>IF(T786="",0,IF(T786&lt;12,T786*Controls!$B$13,T786*5))</f>
        <v/>
      </c>
      <c r="AB786" s="3">
        <f>IF(E786="",0,NETWORKDAYS(E786,Controls!$B$20,Ref!$K$2:$K$42))</f>
        <v/>
      </c>
      <c r="AC786" s="3">
        <f>IF(OR(AF786=1,AND(AA786&gt;0,AB786&gt;=Controls!$B$23*AA786)),1,0)</f>
        <v/>
      </c>
      <c r="AD786" s="3">
        <f>IF(AND(E786&lt;&gt;"",E786&gt;=Controls!$B$21,E786&lt;=Controls!$B$22),1,0)</f>
        <v/>
      </c>
      <c r="AE786" s="3">
        <f>IF(IFERROR(VLOOKUP(D786,Controls!$A$36:$E$46,2,FALSE()),"No")="Yes",1,0)</f>
        <v/>
      </c>
      <c r="AF786" s="3">
        <f>IF(IFERROR(VLOOKUP(D786,Controls!$A$36:$E$46,3,FALSE()),"No")="Yes",1,0)</f>
        <v/>
      </c>
      <c r="AG786" s="3">
        <f>IF(IFERROR(VLOOKUP(D786,Controls!$A$36:$E$46,4,FALSE()),"No")="Yes",1,0)</f>
        <v/>
      </c>
      <c r="AH786" s="3">
        <f>IF(IFERROR(VLOOKUP(D786,Controls!$A$36:$E$46,5,FALSE()),"No")="Yes",1,0)</f>
        <v/>
      </c>
      <c r="AI786" s="3">
        <f>IF(ISNUMBER(MATCH(D786,Controls!$A$36:$A$46,0)),1,0)</f>
        <v/>
      </c>
      <c r="AJ786" s="28">
        <f>Q786-N786</f>
        <v/>
      </c>
      <c r="AK786" s="3">
        <f>IF(AE786=1,MAX(0,N786-Q786),0)</f>
        <v/>
      </c>
      <c r="AL786" s="3">
        <f>IF(OR(V786="",V786=0),0,N786/V786)</f>
        <v/>
      </c>
      <c r="AM786" s="3">
        <f>IF(OR(V786="",V786=0),0,1)</f>
        <v/>
      </c>
      <c r="AN786" s="3">
        <f>IF(OR(E786="",F786=""),0,NETWORKDAYS(E786,F786,Ref!$K$2:$K$42))</f>
        <v/>
      </c>
      <c r="AO786" s="3">
        <f>IF(L786="Renewal",1,0)</f>
        <v/>
      </c>
      <c r="AP786" s="3">
        <f>AC786*AD786</f>
        <v/>
      </c>
      <c r="AQ786" s="3">
        <f>IF(AND(G786&lt;&gt;"",'Historical Score'!$C$6&lt;&gt;""),IF(G786='Historical Score'!$C$6,1,0),0)</f>
        <v/>
      </c>
      <c r="AR786" s="3">
        <f>IF(AND(L786&lt;&gt;"",'Historical Score'!$C$5&lt;&gt;""),IF(L786='Historical Score'!$C$5,1,0),0)</f>
        <v/>
      </c>
      <c r="AS786" s="3">
        <f>IF(AND(Y786&lt;&gt;"",'Historical Score'!$C$7&lt;&gt;""),IF(Y786='Historical Score'!$C$7,1,0),0)</f>
        <v/>
      </c>
      <c r="AT786" s="3">
        <f>IF(AND(K786&lt;&gt;"",'Historical Score'!$C$8&lt;&gt;""),IF(K786='Historical Score'!$C$8,1,0),0)</f>
        <v/>
      </c>
      <c r="AU786" s="3" t="n"/>
      <c r="AV786" s="3" t="n"/>
      <c r="AW786" s="3" t="n"/>
      <c r="AX786" s="3" t="n"/>
      <c r="AY786" s="3" t="n"/>
      <c r="AZ786" s="3" t="n"/>
      <c r="BA786" s="182">
        <f>IF(AD786=1,(AR786*'Historical Score'!$K$29+1-'Historical Score'!$K$29)*(AT786*'Historical Score'!$L$29+1-'Historical Score'!$L$29)*(AS786*'Historical Score'!$M$29+1-'Historical Score'!$M$29)*(AQ786*'Historical Score'!$N$29+1-'Historical Score'!$N$29),0)</f>
        <v/>
      </c>
      <c r="BB786" s="3" t="n"/>
      <c r="BC786" s="3" t="n"/>
    </row>
    <row r="787" ht="15.75" customHeight="1" s="174">
      <c r="A787" s="3" t="inlineStr">
        <is>
          <t>5674181521</t>
        </is>
      </c>
      <c r="B787" s="3" t="inlineStr">
        <is>
          <t>National Food Equipment LLC</t>
        </is>
      </c>
      <c r="C787" s="3" t="inlineStr">
        <is>
          <t>National Food Equipment LLC</t>
        </is>
      </c>
      <c r="D787" s="3" t="inlineStr">
        <is>
          <t>Closed</t>
        </is>
      </c>
      <c r="E787" s="23" t="n">
        <v>46122</v>
      </c>
      <c r="F787" s="23" t="n">
        <v>46213</v>
      </c>
      <c r="G787" s="3" t="n">
        <v>3</v>
      </c>
      <c r="H787" s="3" t="inlineStr">
        <is>
          <t>5999</t>
        </is>
      </c>
      <c r="I787" s="3" t="inlineStr">
        <is>
          <t>59</t>
        </is>
      </c>
      <c r="J787" s="3" t="inlineStr">
        <is>
          <t>CA</t>
        </is>
      </c>
      <c r="K787" s="3" t="inlineStr">
        <is>
          <t>AVON ADVANCE</t>
        </is>
      </c>
      <c r="L787" s="3" t="inlineStr">
        <is>
          <t>Renewal</t>
        </is>
      </c>
      <c r="M787" s="3" t="n">
        <v>1.49</v>
      </c>
      <c r="N787" s="28" t="n">
        <v>15000</v>
      </c>
      <c r="O787" s="28" t="n">
        <v>2100</v>
      </c>
      <c r="P787" s="28" t="n">
        <v>22350</v>
      </c>
      <c r="Q787" s="28" t="n">
        <v>22350</v>
      </c>
      <c r="R787" s="28" t="n">
        <v>0</v>
      </c>
      <c r="S787" s="42" t="n">
        <v>1</v>
      </c>
      <c r="T787" s="3" t="n">
        <v>2.951</v>
      </c>
      <c r="U787" s="3" t="n">
        <v>6</v>
      </c>
      <c r="V787" s="3" t="n">
        <v>14538.12</v>
      </c>
      <c r="W787" s="42" t="n">
        <v>0.2037</v>
      </c>
      <c r="X787" s="23" t="n">
        <v>42370</v>
      </c>
      <c r="Y787" s="3">
        <f>IF(I787="","No SIC",IFERROR(VLOOKUP(I787,Ref!$A$2:$B$65,2,FALSE()),"Unclassified"))</f>
        <v/>
      </c>
      <c r="Z787" s="3">
        <f>IF(T787="","",IF(T787&lt;12,"Daily","Weekly"))</f>
        <v/>
      </c>
      <c r="AA787" s="3">
        <f>IF(T787="",0,IF(T787&lt;12,T787*Controls!$B$13,T787*5))</f>
        <v/>
      </c>
      <c r="AB787" s="3">
        <f>IF(E787="",0,NETWORKDAYS(E787,Controls!$B$20,Ref!$K$2:$K$42))</f>
        <v/>
      </c>
      <c r="AC787" s="3">
        <f>IF(OR(AF787=1,AND(AA787&gt;0,AB787&gt;=Controls!$B$23*AA787)),1,0)</f>
        <v/>
      </c>
      <c r="AD787" s="3">
        <f>IF(AND(E787&lt;&gt;"",E787&gt;=Controls!$B$21,E787&lt;=Controls!$B$22),1,0)</f>
        <v/>
      </c>
      <c r="AE787" s="3">
        <f>IF(IFERROR(VLOOKUP(D787,Controls!$A$36:$E$46,2,FALSE()),"No")="Yes",1,0)</f>
        <v/>
      </c>
      <c r="AF787" s="3">
        <f>IF(IFERROR(VLOOKUP(D787,Controls!$A$36:$E$46,3,FALSE()),"No")="Yes",1,0)</f>
        <v/>
      </c>
      <c r="AG787" s="3">
        <f>IF(IFERROR(VLOOKUP(D787,Controls!$A$36:$E$46,4,FALSE()),"No")="Yes",1,0)</f>
        <v/>
      </c>
      <c r="AH787" s="3">
        <f>IF(IFERROR(VLOOKUP(D787,Controls!$A$36:$E$46,5,FALSE()),"No")="Yes",1,0)</f>
        <v/>
      </c>
      <c r="AI787" s="3">
        <f>IF(ISNUMBER(MATCH(D787,Controls!$A$36:$A$46,0)),1,0)</f>
        <v/>
      </c>
      <c r="AJ787" s="28">
        <f>Q787-N787</f>
        <v/>
      </c>
      <c r="AK787" s="3">
        <f>IF(AE787=1,MAX(0,N787-Q787),0)</f>
        <v/>
      </c>
      <c r="AL787" s="3">
        <f>IF(OR(V787="",V787=0),0,N787/V787)</f>
        <v/>
      </c>
      <c r="AM787" s="3">
        <f>IF(OR(V787="",V787=0),0,1)</f>
        <v/>
      </c>
      <c r="AN787" s="3">
        <f>IF(OR(E787="",F787=""),0,NETWORKDAYS(E787,F787,Ref!$K$2:$K$42))</f>
        <v/>
      </c>
      <c r="AO787" s="3">
        <f>IF(L787="Renewal",1,0)</f>
        <v/>
      </c>
      <c r="AP787" s="3">
        <f>AC787*AD787</f>
        <v/>
      </c>
      <c r="AQ787" s="3">
        <f>IF(AND(G787&lt;&gt;"",'Historical Score'!$C$6&lt;&gt;""),IF(G787='Historical Score'!$C$6,1,0),0)</f>
        <v/>
      </c>
      <c r="AR787" s="3">
        <f>IF(AND(L787&lt;&gt;"",'Historical Score'!$C$5&lt;&gt;""),IF(L787='Historical Score'!$C$5,1,0),0)</f>
        <v/>
      </c>
      <c r="AS787" s="3">
        <f>IF(AND(Y787&lt;&gt;"",'Historical Score'!$C$7&lt;&gt;""),IF(Y787='Historical Score'!$C$7,1,0),0)</f>
        <v/>
      </c>
      <c r="AT787" s="3">
        <f>IF(AND(K787&lt;&gt;"",'Historical Score'!$C$8&lt;&gt;""),IF(K787='Historical Score'!$C$8,1,0),0)</f>
        <v/>
      </c>
      <c r="AU787" s="3" t="n"/>
      <c r="AV787" s="3" t="n"/>
      <c r="AW787" s="3" t="n"/>
      <c r="AX787" s="3" t="n"/>
      <c r="AY787" s="3" t="n"/>
      <c r="AZ787" s="3" t="n"/>
      <c r="BA787" s="182">
        <f>IF(AD787=1,(AR787*'Historical Score'!$K$29+1-'Historical Score'!$K$29)*(AT787*'Historical Score'!$L$29+1-'Historical Score'!$L$29)*(AS787*'Historical Score'!$M$29+1-'Historical Score'!$M$29)*(AQ787*'Historical Score'!$N$29+1-'Historical Score'!$N$29),0)</f>
        <v/>
      </c>
      <c r="BB787" s="3" t="n"/>
      <c r="BC787" s="3" t="n"/>
    </row>
    <row r="788" ht="15.75" customHeight="1" s="174">
      <c r="A788" s="3" t="inlineStr">
        <is>
          <t>5674181523</t>
        </is>
      </c>
      <c r="B788" s="3" t="inlineStr">
        <is>
          <t>LONDON'S LITTLE ANGELS LEARNING ACADEMY INC</t>
        </is>
      </c>
      <c r="C788" s="3" t="inlineStr">
        <is>
          <t>LONDON'S LITTLE ANGELS LEARNING ACADEMY INC</t>
        </is>
      </c>
      <c r="D788" s="3" t="inlineStr">
        <is>
          <t>Open</t>
        </is>
      </c>
      <c r="E788" s="23" t="n">
        <v>46122</v>
      </c>
      <c r="F788" s="23" t="n">
        <v>46247</v>
      </c>
      <c r="G788" s="3" t="n">
        <v>3</v>
      </c>
      <c r="H788" s="3" t="inlineStr">
        <is>
          <t>8351</t>
        </is>
      </c>
      <c r="I788" s="3" t="inlineStr">
        <is>
          <t>83</t>
        </is>
      </c>
      <c r="J788" s="3" t="inlineStr">
        <is>
          <t>GA</t>
        </is>
      </c>
      <c r="K788" s="3" t="inlineStr">
        <is>
          <t>Ballicci</t>
        </is>
      </c>
      <c r="L788" s="3" t="inlineStr">
        <is>
          <t>Renewal</t>
        </is>
      </c>
      <c r="M788" s="3" t="n">
        <v>1.49</v>
      </c>
      <c r="N788" s="28" t="n">
        <v>25000</v>
      </c>
      <c r="O788" s="28" t="n">
        <v>3500</v>
      </c>
      <c r="P788" s="28" t="n">
        <v>37250</v>
      </c>
      <c r="Q788" s="28" t="n">
        <v>15410.64</v>
      </c>
      <c r="R788" s="28" t="n">
        <v>21839.36</v>
      </c>
      <c r="S788" s="42" t="n">
        <v>0.413708456375839</v>
      </c>
      <c r="T788" s="3" t="n">
        <v>3.934</v>
      </c>
      <c r="U788" s="3" t="n">
        <v>5</v>
      </c>
      <c r="V788" s="3" t="n">
        <v>43810.35</v>
      </c>
      <c r="W788" s="42" t="n">
        <v>0.1488</v>
      </c>
      <c r="X788" s="23" t="n">
        <v>43621</v>
      </c>
      <c r="Y788" s="3">
        <f>IF(I788="","No SIC",IFERROR(VLOOKUP(I788,Ref!$A$2:$B$65,2,FALSE()),"Unclassified"))</f>
        <v/>
      </c>
      <c r="Z788" s="3">
        <f>IF(T788="","",IF(T788&lt;12,"Daily","Weekly"))</f>
        <v/>
      </c>
      <c r="AA788" s="3">
        <f>IF(T788="",0,IF(T788&lt;12,T788*Controls!$B$13,T788*5))</f>
        <v/>
      </c>
      <c r="AB788" s="3">
        <f>IF(E788="",0,NETWORKDAYS(E788,Controls!$B$20,Ref!$K$2:$K$42))</f>
        <v/>
      </c>
      <c r="AC788" s="3">
        <f>IF(OR(AF788=1,AND(AA788&gt;0,AB788&gt;=Controls!$B$23*AA788)),1,0)</f>
        <v/>
      </c>
      <c r="AD788" s="3">
        <f>IF(AND(E788&lt;&gt;"",E788&gt;=Controls!$B$21,E788&lt;=Controls!$B$22),1,0)</f>
        <v/>
      </c>
      <c r="AE788" s="3">
        <f>IF(IFERROR(VLOOKUP(D788,Controls!$A$36:$E$46,2,FALSE()),"No")="Yes",1,0)</f>
        <v/>
      </c>
      <c r="AF788" s="3">
        <f>IF(IFERROR(VLOOKUP(D788,Controls!$A$36:$E$46,3,FALSE()),"No")="Yes",1,0)</f>
        <v/>
      </c>
      <c r="AG788" s="3">
        <f>IF(IFERROR(VLOOKUP(D788,Controls!$A$36:$E$46,4,FALSE()),"No")="Yes",1,0)</f>
        <v/>
      </c>
      <c r="AH788" s="3">
        <f>IF(IFERROR(VLOOKUP(D788,Controls!$A$36:$E$46,5,FALSE()),"No")="Yes",1,0)</f>
        <v/>
      </c>
      <c r="AI788" s="3">
        <f>IF(ISNUMBER(MATCH(D788,Controls!$A$36:$A$46,0)),1,0)</f>
        <v/>
      </c>
      <c r="AJ788" s="28">
        <f>Q788-N788</f>
        <v/>
      </c>
      <c r="AK788" s="3">
        <f>IF(AE788=1,MAX(0,N788-Q788),0)</f>
        <v/>
      </c>
      <c r="AL788" s="3">
        <f>IF(OR(V788="",V788=0),0,N788/V788)</f>
        <v/>
      </c>
      <c r="AM788" s="3">
        <f>IF(OR(V788="",V788=0),0,1)</f>
        <v/>
      </c>
      <c r="AN788" s="3">
        <f>IF(OR(E788="",F788=""),0,NETWORKDAYS(E788,F788,Ref!$K$2:$K$42))</f>
        <v/>
      </c>
      <c r="AO788" s="3">
        <f>IF(L788="Renewal",1,0)</f>
        <v/>
      </c>
      <c r="AP788" s="3">
        <f>AC788*AD788</f>
        <v/>
      </c>
      <c r="AQ788" s="3">
        <f>IF(AND(G788&lt;&gt;"",'Historical Score'!$C$6&lt;&gt;""),IF(G788='Historical Score'!$C$6,1,0),0)</f>
        <v/>
      </c>
      <c r="AR788" s="3">
        <f>IF(AND(L788&lt;&gt;"",'Historical Score'!$C$5&lt;&gt;""),IF(L788='Historical Score'!$C$5,1,0),0)</f>
        <v/>
      </c>
      <c r="AS788" s="3">
        <f>IF(AND(Y788&lt;&gt;"",'Historical Score'!$C$7&lt;&gt;""),IF(Y788='Historical Score'!$C$7,1,0),0)</f>
        <v/>
      </c>
      <c r="AT788" s="3">
        <f>IF(AND(K788&lt;&gt;"",'Historical Score'!$C$8&lt;&gt;""),IF(K788='Historical Score'!$C$8,1,0),0)</f>
        <v/>
      </c>
      <c r="AU788" s="3" t="n"/>
      <c r="AV788" s="3" t="n"/>
      <c r="AW788" s="3" t="n"/>
      <c r="AX788" s="3" t="n"/>
      <c r="AY788" s="3" t="n"/>
      <c r="AZ788" s="3" t="n"/>
      <c r="BA788" s="182">
        <f>IF(AD788=1,(AR788*'Historical Score'!$K$29+1-'Historical Score'!$K$29)*(AT788*'Historical Score'!$L$29+1-'Historical Score'!$L$29)*(AS788*'Historical Score'!$M$29+1-'Historical Score'!$M$29)*(AQ788*'Historical Score'!$N$29+1-'Historical Score'!$N$29),0)</f>
        <v/>
      </c>
      <c r="BB788" s="3" t="n"/>
      <c r="BC788" s="3" t="n"/>
    </row>
    <row r="789" ht="15.75" customHeight="1" s="174">
      <c r="A789" s="3" t="inlineStr">
        <is>
          <t>5674181642</t>
        </is>
      </c>
      <c r="B789" s="3" t="inlineStr">
        <is>
          <t>Wolf Inn Llc</t>
        </is>
      </c>
      <c r="C789" s="3" t="inlineStr">
        <is>
          <t>Wolf Inn Llc</t>
        </is>
      </c>
      <c r="D789" s="3" t="inlineStr">
        <is>
          <t>Open</t>
        </is>
      </c>
      <c r="E789" s="23" t="n">
        <v>46125</v>
      </c>
      <c r="F789" s="23" t="n">
        <v>46248</v>
      </c>
      <c r="G789" s="3" t="n">
        <v>3</v>
      </c>
      <c r="H789" s="3" t="inlineStr">
        <is>
          <t>7011</t>
        </is>
      </c>
      <c r="I789" s="3" t="inlineStr">
        <is>
          <t>70</t>
        </is>
      </c>
      <c r="J789" s="3" t="inlineStr">
        <is>
          <t>OH</t>
        </is>
      </c>
      <c r="K789" s="3" t="inlineStr">
        <is>
          <t>United Secured Capital 8</t>
        </is>
      </c>
      <c r="L789" s="3" t="inlineStr">
        <is>
          <t>New Deal</t>
        </is>
      </c>
      <c r="M789" s="3" t="n">
        <v>1.49</v>
      </c>
      <c r="N789" s="28" t="n">
        <v>20000</v>
      </c>
      <c r="O789" s="28" t="n">
        <v>2800</v>
      </c>
      <c r="P789" s="28" t="n">
        <v>29800</v>
      </c>
      <c r="Q789" s="28" t="n">
        <v>15608.43</v>
      </c>
      <c r="R789" s="28" t="n">
        <v>14191.57</v>
      </c>
      <c r="S789" s="42" t="n">
        <v>0.523772818791946</v>
      </c>
      <c r="T789" s="3" t="n">
        <v>24</v>
      </c>
      <c r="U789" s="3" t="n">
        <v>1</v>
      </c>
      <c r="V789" s="3" t="n">
        <v>124047.57</v>
      </c>
      <c r="W789" s="42" t="n">
        <v>0.2089</v>
      </c>
      <c r="X789" s="23" t="n">
        <v>43160</v>
      </c>
      <c r="Y789" s="3">
        <f>IF(I789="","No SIC",IFERROR(VLOOKUP(I789,Ref!$A$2:$B$65,2,FALSE()),"Unclassified"))</f>
        <v/>
      </c>
      <c r="Z789" s="3">
        <f>IF(T789="","",IF(T789&lt;12,"Daily","Weekly"))</f>
        <v/>
      </c>
      <c r="AA789" s="3">
        <f>IF(T789="",0,IF(T789&lt;12,T789*Controls!$B$13,T789*5))</f>
        <v/>
      </c>
      <c r="AB789" s="3">
        <f>IF(E789="",0,NETWORKDAYS(E789,Controls!$B$20,Ref!$K$2:$K$42))</f>
        <v/>
      </c>
      <c r="AC789" s="3">
        <f>IF(OR(AF789=1,AND(AA789&gt;0,AB789&gt;=Controls!$B$23*AA789)),1,0)</f>
        <v/>
      </c>
      <c r="AD789" s="3">
        <f>IF(AND(E789&lt;&gt;"",E789&gt;=Controls!$B$21,E789&lt;=Controls!$B$22),1,0)</f>
        <v/>
      </c>
      <c r="AE789" s="3">
        <f>IF(IFERROR(VLOOKUP(D789,Controls!$A$36:$E$46,2,FALSE()),"No")="Yes",1,0)</f>
        <v/>
      </c>
      <c r="AF789" s="3">
        <f>IF(IFERROR(VLOOKUP(D789,Controls!$A$36:$E$46,3,FALSE()),"No")="Yes",1,0)</f>
        <v/>
      </c>
      <c r="AG789" s="3">
        <f>IF(IFERROR(VLOOKUP(D789,Controls!$A$36:$E$46,4,FALSE()),"No")="Yes",1,0)</f>
        <v/>
      </c>
      <c r="AH789" s="3">
        <f>IF(IFERROR(VLOOKUP(D789,Controls!$A$36:$E$46,5,FALSE()),"No")="Yes",1,0)</f>
        <v/>
      </c>
      <c r="AI789" s="3">
        <f>IF(ISNUMBER(MATCH(D789,Controls!$A$36:$A$46,0)),1,0)</f>
        <v/>
      </c>
      <c r="AJ789" s="28">
        <f>Q789-N789</f>
        <v/>
      </c>
      <c r="AK789" s="3">
        <f>IF(AE789=1,MAX(0,N789-Q789),0)</f>
        <v/>
      </c>
      <c r="AL789" s="3">
        <f>IF(OR(V789="",V789=0),0,N789/V789)</f>
        <v/>
      </c>
      <c r="AM789" s="3">
        <f>IF(OR(V789="",V789=0),0,1)</f>
        <v/>
      </c>
      <c r="AN789" s="3">
        <f>IF(OR(E789="",F789=""),0,NETWORKDAYS(E789,F789,Ref!$K$2:$K$42))</f>
        <v/>
      </c>
      <c r="AO789" s="3">
        <f>IF(L789="Renewal",1,0)</f>
        <v/>
      </c>
      <c r="AP789" s="3">
        <f>AC789*AD789</f>
        <v/>
      </c>
      <c r="AQ789" s="3">
        <f>IF(AND(G789&lt;&gt;"",'Historical Score'!$C$6&lt;&gt;""),IF(G789='Historical Score'!$C$6,1,0),0)</f>
        <v/>
      </c>
      <c r="AR789" s="3">
        <f>IF(AND(L789&lt;&gt;"",'Historical Score'!$C$5&lt;&gt;""),IF(L789='Historical Score'!$C$5,1,0),0)</f>
        <v/>
      </c>
      <c r="AS789" s="3">
        <f>IF(AND(Y789&lt;&gt;"",'Historical Score'!$C$7&lt;&gt;""),IF(Y789='Historical Score'!$C$7,1,0),0)</f>
        <v/>
      </c>
      <c r="AT789" s="3">
        <f>IF(AND(K789&lt;&gt;"",'Historical Score'!$C$8&lt;&gt;""),IF(K789='Historical Score'!$C$8,1,0),0)</f>
        <v/>
      </c>
      <c r="AU789" s="3" t="n"/>
      <c r="AV789" s="3" t="n"/>
      <c r="AW789" s="3" t="n"/>
      <c r="AX789" s="3" t="n"/>
      <c r="AY789" s="3" t="n"/>
      <c r="AZ789" s="3" t="n"/>
      <c r="BA789" s="182">
        <f>IF(AD789=1,(AR789*'Historical Score'!$K$29+1-'Historical Score'!$K$29)*(AT789*'Historical Score'!$L$29+1-'Historical Score'!$L$29)*(AS789*'Historical Score'!$M$29+1-'Historical Score'!$M$29)*(AQ789*'Historical Score'!$N$29+1-'Historical Score'!$N$29),0)</f>
        <v/>
      </c>
      <c r="BB789" s="3" t="n"/>
      <c r="BC789" s="3" t="n"/>
    </row>
    <row r="790" ht="15.75" customHeight="1" s="174">
      <c r="A790" s="3" t="inlineStr">
        <is>
          <t>5674181662</t>
        </is>
      </c>
      <c r="B790" s="3" t="inlineStr">
        <is>
          <t>BUG BUSTERS LLC</t>
        </is>
      </c>
      <c r="C790" s="3" t="inlineStr">
        <is>
          <t>BUG BUSTERS LLC</t>
        </is>
      </c>
      <c r="D790" s="3" t="inlineStr">
        <is>
          <t>Open</t>
        </is>
      </c>
      <c r="E790" s="23" t="n">
        <v>46126</v>
      </c>
      <c r="F790" s="23" t="n">
        <v>46253</v>
      </c>
      <c r="G790" s="3" t="n">
        <v>3</v>
      </c>
      <c r="H790" s="3" t="inlineStr">
        <is>
          <t>7342</t>
        </is>
      </c>
      <c r="I790" s="3" t="inlineStr">
        <is>
          <t>73</t>
        </is>
      </c>
      <c r="J790" s="3" t="inlineStr">
        <is>
          <t>SD</t>
        </is>
      </c>
      <c r="K790" s="3" t="inlineStr">
        <is>
          <t>Llama Loan</t>
        </is>
      </c>
      <c r="L790" s="3" t="inlineStr">
        <is>
          <t>New Deal</t>
        </is>
      </c>
      <c r="M790" s="3" t="n">
        <v>1.49</v>
      </c>
      <c r="N790" s="28" t="n">
        <v>10000</v>
      </c>
      <c r="O790" s="28" t="n">
        <v>1400</v>
      </c>
      <c r="P790" s="28" t="n">
        <v>14900</v>
      </c>
      <c r="Q790" s="28" t="n">
        <v>13409.1</v>
      </c>
      <c r="R790" s="28" t="n">
        <v>1490.9</v>
      </c>
      <c r="S790" s="42" t="n">
        <v>0.899939597315436</v>
      </c>
      <c r="T790" s="3" t="n">
        <v>3.279</v>
      </c>
      <c r="U790" s="3" t="n">
        <v>0</v>
      </c>
      <c r="V790" s="3" t="n">
        <v>22590.58</v>
      </c>
      <c r="W790" s="42" t="n">
        <v>0.1385</v>
      </c>
      <c r="X790" s="23" t="n">
        <v>39569</v>
      </c>
      <c r="Y790" s="3">
        <f>IF(I790="","No SIC",IFERROR(VLOOKUP(I790,Ref!$A$2:$B$65,2,FALSE()),"Unclassified"))</f>
        <v/>
      </c>
      <c r="Z790" s="3">
        <f>IF(T790="","",IF(T790&lt;12,"Daily","Weekly"))</f>
        <v/>
      </c>
      <c r="AA790" s="3">
        <f>IF(T790="",0,IF(T790&lt;12,T790*Controls!$B$13,T790*5))</f>
        <v/>
      </c>
      <c r="AB790" s="3">
        <f>IF(E790="",0,NETWORKDAYS(E790,Controls!$B$20,Ref!$K$2:$K$42))</f>
        <v/>
      </c>
      <c r="AC790" s="3">
        <f>IF(OR(AF790=1,AND(AA790&gt;0,AB790&gt;=Controls!$B$23*AA790)),1,0)</f>
        <v/>
      </c>
      <c r="AD790" s="3">
        <f>IF(AND(E790&lt;&gt;"",E790&gt;=Controls!$B$21,E790&lt;=Controls!$B$22),1,0)</f>
        <v/>
      </c>
      <c r="AE790" s="3">
        <f>IF(IFERROR(VLOOKUP(D790,Controls!$A$36:$E$46,2,FALSE()),"No")="Yes",1,0)</f>
        <v/>
      </c>
      <c r="AF790" s="3">
        <f>IF(IFERROR(VLOOKUP(D790,Controls!$A$36:$E$46,3,FALSE()),"No")="Yes",1,0)</f>
        <v/>
      </c>
      <c r="AG790" s="3">
        <f>IF(IFERROR(VLOOKUP(D790,Controls!$A$36:$E$46,4,FALSE()),"No")="Yes",1,0)</f>
        <v/>
      </c>
      <c r="AH790" s="3">
        <f>IF(IFERROR(VLOOKUP(D790,Controls!$A$36:$E$46,5,FALSE()),"No")="Yes",1,0)</f>
        <v/>
      </c>
      <c r="AI790" s="3">
        <f>IF(ISNUMBER(MATCH(D790,Controls!$A$36:$A$46,0)),1,0)</f>
        <v/>
      </c>
      <c r="AJ790" s="28">
        <f>Q790-N790</f>
        <v/>
      </c>
      <c r="AK790" s="3">
        <f>IF(AE790=1,MAX(0,N790-Q790),0)</f>
        <v/>
      </c>
      <c r="AL790" s="3">
        <f>IF(OR(V790="",V790=0),0,N790/V790)</f>
        <v/>
      </c>
      <c r="AM790" s="3">
        <f>IF(OR(V790="",V790=0),0,1)</f>
        <v/>
      </c>
      <c r="AN790" s="3">
        <f>IF(OR(E790="",F790=""),0,NETWORKDAYS(E790,F790,Ref!$K$2:$K$42))</f>
        <v/>
      </c>
      <c r="AO790" s="3">
        <f>IF(L790="Renewal",1,0)</f>
        <v/>
      </c>
      <c r="AP790" s="3">
        <f>AC790*AD790</f>
        <v/>
      </c>
      <c r="AQ790" s="3">
        <f>IF(AND(G790&lt;&gt;"",'Historical Score'!$C$6&lt;&gt;""),IF(G790='Historical Score'!$C$6,1,0),0)</f>
        <v/>
      </c>
      <c r="AR790" s="3">
        <f>IF(AND(L790&lt;&gt;"",'Historical Score'!$C$5&lt;&gt;""),IF(L790='Historical Score'!$C$5,1,0),0)</f>
        <v/>
      </c>
      <c r="AS790" s="3">
        <f>IF(AND(Y790&lt;&gt;"",'Historical Score'!$C$7&lt;&gt;""),IF(Y790='Historical Score'!$C$7,1,0),0)</f>
        <v/>
      </c>
      <c r="AT790" s="3">
        <f>IF(AND(K790&lt;&gt;"",'Historical Score'!$C$8&lt;&gt;""),IF(K790='Historical Score'!$C$8,1,0),0)</f>
        <v/>
      </c>
      <c r="AU790" s="3" t="n"/>
      <c r="AV790" s="3" t="n"/>
      <c r="AW790" s="3" t="n"/>
      <c r="AX790" s="3" t="n"/>
      <c r="AY790" s="3" t="n"/>
      <c r="AZ790" s="3" t="n"/>
      <c r="BA790" s="182">
        <f>IF(AD790=1,(AR790*'Historical Score'!$K$29+1-'Historical Score'!$K$29)*(AT790*'Historical Score'!$L$29+1-'Historical Score'!$L$29)*(AS790*'Historical Score'!$M$29+1-'Historical Score'!$M$29)*(AQ790*'Historical Score'!$N$29+1-'Historical Score'!$N$29),0)</f>
        <v/>
      </c>
      <c r="BB790" s="3" t="n"/>
      <c r="BC790" s="3" t="n"/>
    </row>
    <row r="791" ht="15.75" customHeight="1" s="174">
      <c r="A791" s="3" t="inlineStr">
        <is>
          <t>5674181703</t>
        </is>
      </c>
      <c r="B791" s="3" t="inlineStr">
        <is>
          <t>SANSAN USA</t>
        </is>
      </c>
      <c r="C791" s="3" t="inlineStr">
        <is>
          <t>SANSAN USA</t>
        </is>
      </c>
      <c r="D791" s="3" t="inlineStr">
        <is>
          <t>Closed</t>
        </is>
      </c>
      <c r="E791" s="23" t="n">
        <v>46126</v>
      </c>
      <c r="F791" s="23" t="n">
        <v>46188</v>
      </c>
      <c r="G791" s="3" t="n">
        <v>3</v>
      </c>
      <c r="H791" s="3" t="inlineStr">
        <is>
          <t>8748</t>
        </is>
      </c>
      <c r="I791" s="3" t="inlineStr">
        <is>
          <t>87</t>
        </is>
      </c>
      <c r="J791" s="3" t="inlineStr">
        <is>
          <t>CA</t>
        </is>
      </c>
      <c r="K791" s="3" t="inlineStr">
        <is>
          <t>Can I Have Money</t>
        </is>
      </c>
      <c r="L791" s="3" t="inlineStr">
        <is>
          <t>New Deal</t>
        </is>
      </c>
      <c r="M791" s="3" t="n">
        <v>1.4</v>
      </c>
      <c r="N791" s="28" t="n">
        <v>20000</v>
      </c>
      <c r="O791" s="28" t="n">
        <v>1900</v>
      </c>
      <c r="P791" s="28" t="n">
        <v>28000</v>
      </c>
      <c r="Q791" s="28" t="n">
        <v>28000</v>
      </c>
      <c r="R791" s="28" t="n">
        <v>0</v>
      </c>
      <c r="S791" s="42" t="n">
        <v>1</v>
      </c>
      <c r="T791" s="3" t="n">
        <v>24</v>
      </c>
      <c r="U791" s="3" t="n">
        <v>0</v>
      </c>
      <c r="V791" s="3" t="n">
        <v>235136.27</v>
      </c>
      <c r="W791" s="42" t="n">
        <v>0.0198</v>
      </c>
      <c r="X791" s="23" t="n">
        <v>44761</v>
      </c>
      <c r="Y791" s="3">
        <f>IF(I791="","No SIC",IFERROR(VLOOKUP(I791,Ref!$A$2:$B$65,2,FALSE()),"Unclassified"))</f>
        <v/>
      </c>
      <c r="Z791" s="3">
        <f>IF(T791="","",IF(T791&lt;12,"Daily","Weekly"))</f>
        <v/>
      </c>
      <c r="AA791" s="3">
        <f>IF(T791="",0,IF(T791&lt;12,T791*Controls!$B$13,T791*5))</f>
        <v/>
      </c>
      <c r="AB791" s="3">
        <f>IF(E791="",0,NETWORKDAYS(E791,Controls!$B$20,Ref!$K$2:$K$42))</f>
        <v/>
      </c>
      <c r="AC791" s="3">
        <f>IF(OR(AF791=1,AND(AA791&gt;0,AB791&gt;=Controls!$B$23*AA791)),1,0)</f>
        <v/>
      </c>
      <c r="AD791" s="3">
        <f>IF(AND(E791&lt;&gt;"",E791&gt;=Controls!$B$21,E791&lt;=Controls!$B$22),1,0)</f>
        <v/>
      </c>
      <c r="AE791" s="3">
        <f>IF(IFERROR(VLOOKUP(D791,Controls!$A$36:$E$46,2,FALSE()),"No")="Yes",1,0)</f>
        <v/>
      </c>
      <c r="AF791" s="3">
        <f>IF(IFERROR(VLOOKUP(D791,Controls!$A$36:$E$46,3,FALSE()),"No")="Yes",1,0)</f>
        <v/>
      </c>
      <c r="AG791" s="3">
        <f>IF(IFERROR(VLOOKUP(D791,Controls!$A$36:$E$46,4,FALSE()),"No")="Yes",1,0)</f>
        <v/>
      </c>
      <c r="AH791" s="3">
        <f>IF(IFERROR(VLOOKUP(D791,Controls!$A$36:$E$46,5,FALSE()),"No")="Yes",1,0)</f>
        <v/>
      </c>
      <c r="AI791" s="3">
        <f>IF(ISNUMBER(MATCH(D791,Controls!$A$36:$A$46,0)),1,0)</f>
        <v/>
      </c>
      <c r="AJ791" s="28">
        <f>Q791-N791</f>
        <v/>
      </c>
      <c r="AK791" s="3">
        <f>IF(AE791=1,MAX(0,N791-Q791),0)</f>
        <v/>
      </c>
      <c r="AL791" s="3">
        <f>IF(OR(V791="",V791=0),0,N791/V791)</f>
        <v/>
      </c>
      <c r="AM791" s="3">
        <f>IF(OR(V791="",V791=0),0,1)</f>
        <v/>
      </c>
      <c r="AN791" s="3">
        <f>IF(OR(E791="",F791=""),0,NETWORKDAYS(E791,F791,Ref!$K$2:$K$42))</f>
        <v/>
      </c>
      <c r="AO791" s="3">
        <f>IF(L791="Renewal",1,0)</f>
        <v/>
      </c>
      <c r="AP791" s="3">
        <f>AC791*AD791</f>
        <v/>
      </c>
      <c r="AQ791" s="3">
        <f>IF(AND(G791&lt;&gt;"",'Historical Score'!$C$6&lt;&gt;""),IF(G791='Historical Score'!$C$6,1,0),0)</f>
        <v/>
      </c>
      <c r="AR791" s="3">
        <f>IF(AND(L791&lt;&gt;"",'Historical Score'!$C$5&lt;&gt;""),IF(L791='Historical Score'!$C$5,1,0),0)</f>
        <v/>
      </c>
      <c r="AS791" s="3">
        <f>IF(AND(Y791&lt;&gt;"",'Historical Score'!$C$7&lt;&gt;""),IF(Y791='Historical Score'!$C$7,1,0),0)</f>
        <v/>
      </c>
      <c r="AT791" s="3">
        <f>IF(AND(K791&lt;&gt;"",'Historical Score'!$C$8&lt;&gt;""),IF(K791='Historical Score'!$C$8,1,0),0)</f>
        <v/>
      </c>
      <c r="AU791" s="3" t="n"/>
      <c r="AV791" s="3" t="n"/>
      <c r="AW791" s="3" t="n"/>
      <c r="AX791" s="3" t="n"/>
      <c r="AY791" s="3" t="n"/>
      <c r="AZ791" s="3" t="n"/>
      <c r="BA791" s="182">
        <f>IF(AD791=1,(AR791*'Historical Score'!$K$29+1-'Historical Score'!$K$29)*(AT791*'Historical Score'!$L$29+1-'Historical Score'!$L$29)*(AS791*'Historical Score'!$M$29+1-'Historical Score'!$M$29)*(AQ791*'Historical Score'!$N$29+1-'Historical Score'!$N$29),0)</f>
        <v/>
      </c>
      <c r="BB791" s="3" t="n"/>
      <c r="BC791" s="3" t="n"/>
    </row>
    <row r="792" ht="15.75" customHeight="1" s="174">
      <c r="A792" s="3" t="inlineStr">
        <is>
          <t>5674181745</t>
        </is>
      </c>
      <c r="B792" s="3" t="inlineStr">
        <is>
          <t>A &amp; H Sullivan Construction</t>
        </is>
      </c>
      <c r="C792" s="3" t="inlineStr">
        <is>
          <t>A &amp; H Sullivan Construction LLC</t>
        </is>
      </c>
      <c r="D792" s="3" t="inlineStr">
        <is>
          <t>Legal</t>
        </is>
      </c>
      <c r="E792" s="23" t="n">
        <v>46126</v>
      </c>
      <c r="F792" s="23" t="n">
        <v>46155</v>
      </c>
      <c r="G792" s="3" t="n">
        <v>3</v>
      </c>
      <c r="H792" s="3" t="inlineStr">
        <is>
          <t>1521</t>
        </is>
      </c>
      <c r="I792" s="3" t="inlineStr">
        <is>
          <t>15</t>
        </is>
      </c>
      <c r="J792" s="3" t="inlineStr">
        <is>
          <t>CA</t>
        </is>
      </c>
      <c r="K792" s="3" t="inlineStr">
        <is>
          <t>Westwood</t>
        </is>
      </c>
      <c r="L792" s="3" t="inlineStr">
        <is>
          <t>New Deal</t>
        </is>
      </c>
      <c r="M792" s="3" t="n">
        <v>1.49</v>
      </c>
      <c r="N792" s="28" t="n">
        <v>10000</v>
      </c>
      <c r="O792" s="28" t="n">
        <v>0</v>
      </c>
      <c r="P792" s="28" t="n">
        <v>14900</v>
      </c>
      <c r="Q792" s="28" t="n">
        <v>2978.82</v>
      </c>
      <c r="R792" s="28" t="n">
        <v>11921.18</v>
      </c>
      <c r="S792" s="42" t="n">
        <v>0.199920805369128</v>
      </c>
      <c r="T792" s="3" t="n">
        <v>2.951</v>
      </c>
      <c r="U792" s="3" t="n">
        <v>8</v>
      </c>
      <c r="V792" s="3" t="n">
        <v>31795.77</v>
      </c>
      <c r="W792" s="42" t="n">
        <v>0.1093</v>
      </c>
      <c r="X792" s="23" t="n">
        <v>45272</v>
      </c>
      <c r="Y792" s="3">
        <f>IF(I792="","No SIC",IFERROR(VLOOKUP(I792,Ref!$A$2:$B$65,2,FALSE()),"Unclassified"))</f>
        <v/>
      </c>
      <c r="Z792" s="3">
        <f>IF(T792="","",IF(T792&lt;12,"Daily","Weekly"))</f>
        <v/>
      </c>
      <c r="AA792" s="3">
        <f>IF(T792="",0,IF(T792&lt;12,T792*Controls!$B$13,T792*5))</f>
        <v/>
      </c>
      <c r="AB792" s="3">
        <f>IF(E792="",0,NETWORKDAYS(E792,Controls!$B$20,Ref!$K$2:$K$42))</f>
        <v/>
      </c>
      <c r="AC792" s="3">
        <f>IF(OR(AF792=1,AND(AA792&gt;0,AB792&gt;=Controls!$B$23*AA792)),1,0)</f>
        <v/>
      </c>
      <c r="AD792" s="3">
        <f>IF(AND(E792&lt;&gt;"",E792&gt;=Controls!$B$21,E792&lt;=Controls!$B$22),1,0)</f>
        <v/>
      </c>
      <c r="AE792" s="3">
        <f>IF(IFERROR(VLOOKUP(D792,Controls!$A$36:$E$46,2,FALSE()),"No")="Yes",1,0)</f>
        <v/>
      </c>
      <c r="AF792" s="3">
        <f>IF(IFERROR(VLOOKUP(D792,Controls!$A$36:$E$46,3,FALSE()),"No")="Yes",1,0)</f>
        <v/>
      </c>
      <c r="AG792" s="3">
        <f>IF(IFERROR(VLOOKUP(D792,Controls!$A$36:$E$46,4,FALSE()),"No")="Yes",1,0)</f>
        <v/>
      </c>
      <c r="AH792" s="3">
        <f>IF(IFERROR(VLOOKUP(D792,Controls!$A$36:$E$46,5,FALSE()),"No")="Yes",1,0)</f>
        <v/>
      </c>
      <c r="AI792" s="3">
        <f>IF(ISNUMBER(MATCH(D792,Controls!$A$36:$A$46,0)),1,0)</f>
        <v/>
      </c>
      <c r="AJ792" s="28">
        <f>Q792-N792</f>
        <v/>
      </c>
      <c r="AK792" s="3">
        <f>IF(AE792=1,MAX(0,N792-Q792),0)</f>
        <v/>
      </c>
      <c r="AL792" s="3">
        <f>IF(OR(V792="",V792=0),0,N792/V792)</f>
        <v/>
      </c>
      <c r="AM792" s="3">
        <f>IF(OR(V792="",V792=0),0,1)</f>
        <v/>
      </c>
      <c r="AN792" s="3">
        <f>IF(OR(E792="",F792=""),0,NETWORKDAYS(E792,F792,Ref!$K$2:$K$42))</f>
        <v/>
      </c>
      <c r="AO792" s="3">
        <f>IF(L792="Renewal",1,0)</f>
        <v/>
      </c>
      <c r="AP792" s="3">
        <f>AC792*AD792</f>
        <v/>
      </c>
      <c r="AQ792" s="3">
        <f>IF(AND(G792&lt;&gt;"",'Historical Score'!$C$6&lt;&gt;""),IF(G792='Historical Score'!$C$6,1,0),0)</f>
        <v/>
      </c>
      <c r="AR792" s="3">
        <f>IF(AND(L792&lt;&gt;"",'Historical Score'!$C$5&lt;&gt;""),IF(L792='Historical Score'!$C$5,1,0),0)</f>
        <v/>
      </c>
      <c r="AS792" s="3">
        <f>IF(AND(Y792&lt;&gt;"",'Historical Score'!$C$7&lt;&gt;""),IF(Y792='Historical Score'!$C$7,1,0),0)</f>
        <v/>
      </c>
      <c r="AT792" s="3">
        <f>IF(AND(K792&lt;&gt;"",'Historical Score'!$C$8&lt;&gt;""),IF(K792='Historical Score'!$C$8,1,0),0)</f>
        <v/>
      </c>
      <c r="AU792" s="3" t="n"/>
      <c r="AV792" s="3" t="n"/>
      <c r="AW792" s="3" t="n"/>
      <c r="AX792" s="3" t="n"/>
      <c r="AY792" s="3" t="n"/>
      <c r="AZ792" s="3" t="n"/>
      <c r="BA792" s="182">
        <f>IF(AD792=1,(AR792*'Historical Score'!$K$29+1-'Historical Score'!$K$29)*(AT792*'Historical Score'!$L$29+1-'Historical Score'!$L$29)*(AS792*'Historical Score'!$M$29+1-'Historical Score'!$M$29)*(AQ792*'Historical Score'!$N$29+1-'Historical Score'!$N$29),0)</f>
        <v/>
      </c>
      <c r="BB792" s="3" t="n"/>
      <c r="BC792" s="3" t="n"/>
    </row>
    <row r="793" ht="15.75" customHeight="1" s="174">
      <c r="A793" s="3" t="inlineStr">
        <is>
          <t>5674181778</t>
        </is>
      </c>
      <c r="B793" s="3" t="inlineStr">
        <is>
          <t>U.S. Moving</t>
        </is>
      </c>
      <c r="C793" s="3" t="inlineStr">
        <is>
          <t>U.S. Moving</t>
        </is>
      </c>
      <c r="D793" s="3" t="inlineStr">
        <is>
          <t>Open</t>
        </is>
      </c>
      <c r="E793" s="23" t="n">
        <v>46127</v>
      </c>
      <c r="F793" s="23" t="n">
        <v>46248</v>
      </c>
      <c r="G793" s="3" t="n">
        <v>3</v>
      </c>
      <c r="H793" s="3" t="inlineStr">
        <is>
          <t>4212</t>
        </is>
      </c>
      <c r="I793" s="3" t="inlineStr">
        <is>
          <t>42</t>
        </is>
      </c>
      <c r="J793" s="3" t="inlineStr">
        <is>
          <t>TN</t>
        </is>
      </c>
      <c r="K793" s="3" t="inlineStr">
        <is>
          <t>Platform Funding</t>
        </is>
      </c>
      <c r="L793" s="3" t="inlineStr">
        <is>
          <t>New Deal</t>
        </is>
      </c>
      <c r="M793" s="3" t="n">
        <v>1.48</v>
      </c>
      <c r="N793" s="28" t="n">
        <v>45000</v>
      </c>
      <c r="O793" s="28" t="n">
        <v>6075</v>
      </c>
      <c r="P793" s="28" t="n">
        <v>66600</v>
      </c>
      <c r="Q793" s="28" t="n">
        <v>22878.68</v>
      </c>
      <c r="R793" s="28" t="n">
        <v>43721.32</v>
      </c>
      <c r="S793" s="42" t="n">
        <v>0.343523723723724</v>
      </c>
      <c r="T793" s="3" t="n">
        <v>32</v>
      </c>
      <c r="U793" s="3" t="n">
        <v>7</v>
      </c>
      <c r="V793" s="3" t="n">
        <v>158466.98</v>
      </c>
      <c r="W793" s="42" t="n">
        <v>0.0525</v>
      </c>
      <c r="X793" s="23" t="n">
        <v>41640</v>
      </c>
      <c r="Y793" s="3">
        <f>IF(I793="","No SIC",IFERROR(VLOOKUP(I793,Ref!$A$2:$B$65,2,FALSE()),"Unclassified"))</f>
        <v/>
      </c>
      <c r="Z793" s="3">
        <f>IF(T793="","",IF(T793&lt;12,"Daily","Weekly"))</f>
        <v/>
      </c>
      <c r="AA793" s="3">
        <f>IF(T793="",0,IF(T793&lt;12,T793*Controls!$B$13,T793*5))</f>
        <v/>
      </c>
      <c r="AB793" s="3">
        <f>IF(E793="",0,NETWORKDAYS(E793,Controls!$B$20,Ref!$K$2:$K$42))</f>
        <v/>
      </c>
      <c r="AC793" s="3">
        <f>IF(OR(AF793=1,AND(AA793&gt;0,AB793&gt;=Controls!$B$23*AA793)),1,0)</f>
        <v/>
      </c>
      <c r="AD793" s="3">
        <f>IF(AND(E793&lt;&gt;"",E793&gt;=Controls!$B$21,E793&lt;=Controls!$B$22),1,0)</f>
        <v/>
      </c>
      <c r="AE793" s="3">
        <f>IF(IFERROR(VLOOKUP(D793,Controls!$A$36:$E$46,2,FALSE()),"No")="Yes",1,0)</f>
        <v/>
      </c>
      <c r="AF793" s="3">
        <f>IF(IFERROR(VLOOKUP(D793,Controls!$A$36:$E$46,3,FALSE()),"No")="Yes",1,0)</f>
        <v/>
      </c>
      <c r="AG793" s="3">
        <f>IF(IFERROR(VLOOKUP(D793,Controls!$A$36:$E$46,4,FALSE()),"No")="Yes",1,0)</f>
        <v/>
      </c>
      <c r="AH793" s="3">
        <f>IF(IFERROR(VLOOKUP(D793,Controls!$A$36:$E$46,5,FALSE()),"No")="Yes",1,0)</f>
        <v/>
      </c>
      <c r="AI793" s="3">
        <f>IF(ISNUMBER(MATCH(D793,Controls!$A$36:$A$46,0)),1,0)</f>
        <v/>
      </c>
      <c r="AJ793" s="28">
        <f>Q793-N793</f>
        <v/>
      </c>
      <c r="AK793" s="3">
        <f>IF(AE793=1,MAX(0,N793-Q793),0)</f>
        <v/>
      </c>
      <c r="AL793" s="3">
        <f>IF(OR(V793="",V793=0),0,N793/V793)</f>
        <v/>
      </c>
      <c r="AM793" s="3">
        <f>IF(OR(V793="",V793=0),0,1)</f>
        <v/>
      </c>
      <c r="AN793" s="3">
        <f>IF(OR(E793="",F793=""),0,NETWORKDAYS(E793,F793,Ref!$K$2:$K$42))</f>
        <v/>
      </c>
      <c r="AO793" s="3">
        <f>IF(L793="Renewal",1,0)</f>
        <v/>
      </c>
      <c r="AP793" s="3">
        <f>AC793*AD793</f>
        <v/>
      </c>
      <c r="AQ793" s="3">
        <f>IF(AND(G793&lt;&gt;"",'Historical Score'!$C$6&lt;&gt;""),IF(G793='Historical Score'!$C$6,1,0),0)</f>
        <v/>
      </c>
      <c r="AR793" s="3">
        <f>IF(AND(L793&lt;&gt;"",'Historical Score'!$C$5&lt;&gt;""),IF(L793='Historical Score'!$C$5,1,0),0)</f>
        <v/>
      </c>
      <c r="AS793" s="3">
        <f>IF(AND(Y793&lt;&gt;"",'Historical Score'!$C$7&lt;&gt;""),IF(Y793='Historical Score'!$C$7,1,0),0)</f>
        <v/>
      </c>
      <c r="AT793" s="3">
        <f>IF(AND(K793&lt;&gt;"",'Historical Score'!$C$8&lt;&gt;""),IF(K793='Historical Score'!$C$8,1,0),0)</f>
        <v/>
      </c>
      <c r="AU793" s="3" t="n"/>
      <c r="AV793" s="3" t="n"/>
      <c r="AW793" s="3" t="n"/>
      <c r="AX793" s="3" t="n"/>
      <c r="AY793" s="3" t="n"/>
      <c r="AZ793" s="3" t="n"/>
      <c r="BA793" s="182">
        <f>IF(AD793=1,(AR793*'Historical Score'!$K$29+1-'Historical Score'!$K$29)*(AT793*'Historical Score'!$L$29+1-'Historical Score'!$L$29)*(AS793*'Historical Score'!$M$29+1-'Historical Score'!$M$29)*(AQ793*'Historical Score'!$N$29+1-'Historical Score'!$N$29),0)</f>
        <v/>
      </c>
      <c r="BB793" s="3" t="n"/>
      <c r="BC793" s="3" t="n"/>
    </row>
    <row r="794" ht="15.75" customHeight="1" s="174">
      <c r="A794" s="3" t="inlineStr">
        <is>
          <t>5674181807</t>
        </is>
      </c>
      <c r="B794" s="3" t="inlineStr">
        <is>
          <t>503 BUILDERS LLC</t>
        </is>
      </c>
      <c r="C794" s="3" t="inlineStr">
        <is>
          <t>503 Builders LLC</t>
        </is>
      </c>
      <c r="D794" s="3" t="inlineStr">
        <is>
          <t>Open</t>
        </is>
      </c>
      <c r="E794" s="23" t="n">
        <v>46127</v>
      </c>
      <c r="F794" s="23" t="n">
        <v>46248</v>
      </c>
      <c r="G794" s="3" t="n">
        <v>3</v>
      </c>
      <c r="H794" s="3" t="inlineStr">
        <is>
          <t>1521</t>
        </is>
      </c>
      <c r="I794" s="3" t="inlineStr">
        <is>
          <t>15</t>
        </is>
      </c>
      <c r="J794" s="3" t="inlineStr">
        <is>
          <t>OR</t>
        </is>
      </c>
      <c r="K794" s="3" t="inlineStr">
        <is>
          <t>Biz fuel</t>
        </is>
      </c>
      <c r="L794" s="3" t="inlineStr">
        <is>
          <t>Renewal</t>
        </is>
      </c>
      <c r="M794" s="3" t="n">
        <v>1.49</v>
      </c>
      <c r="N794" s="28" t="n">
        <v>70000</v>
      </c>
      <c r="O794" s="28" t="n">
        <v>9800</v>
      </c>
      <c r="P794" s="28" t="n">
        <v>104300</v>
      </c>
      <c r="Q794" s="28" t="n">
        <v>39937.84</v>
      </c>
      <c r="R794" s="28" t="n">
        <v>64362.16</v>
      </c>
      <c r="S794" s="42" t="n">
        <v>0.382913135186961</v>
      </c>
      <c r="T794" s="3" t="n">
        <v>38</v>
      </c>
      <c r="U794" s="3" t="n">
        <v>0</v>
      </c>
      <c r="V794" s="3" t="n">
        <v>64267.19</v>
      </c>
      <c r="W794" s="42" t="n"/>
      <c r="X794" s="23" t="n">
        <v>44367</v>
      </c>
      <c r="Y794" s="3">
        <f>IF(I794="","No SIC",IFERROR(VLOOKUP(I794,Ref!$A$2:$B$65,2,FALSE()),"Unclassified"))</f>
        <v/>
      </c>
      <c r="Z794" s="3">
        <f>IF(T794="","",IF(T794&lt;12,"Daily","Weekly"))</f>
        <v/>
      </c>
      <c r="AA794" s="3">
        <f>IF(T794="",0,IF(T794&lt;12,T794*Controls!$B$13,T794*5))</f>
        <v/>
      </c>
      <c r="AB794" s="3">
        <f>IF(E794="",0,NETWORKDAYS(E794,Controls!$B$20,Ref!$K$2:$K$42))</f>
        <v/>
      </c>
      <c r="AC794" s="3">
        <f>IF(OR(AF794=1,AND(AA794&gt;0,AB794&gt;=Controls!$B$23*AA794)),1,0)</f>
        <v/>
      </c>
      <c r="AD794" s="3">
        <f>IF(AND(E794&lt;&gt;"",E794&gt;=Controls!$B$21,E794&lt;=Controls!$B$22),1,0)</f>
        <v/>
      </c>
      <c r="AE794" s="3">
        <f>IF(IFERROR(VLOOKUP(D794,Controls!$A$36:$E$46,2,FALSE()),"No")="Yes",1,0)</f>
        <v/>
      </c>
      <c r="AF794" s="3">
        <f>IF(IFERROR(VLOOKUP(D794,Controls!$A$36:$E$46,3,FALSE()),"No")="Yes",1,0)</f>
        <v/>
      </c>
      <c r="AG794" s="3">
        <f>IF(IFERROR(VLOOKUP(D794,Controls!$A$36:$E$46,4,FALSE()),"No")="Yes",1,0)</f>
        <v/>
      </c>
      <c r="AH794" s="3">
        <f>IF(IFERROR(VLOOKUP(D794,Controls!$A$36:$E$46,5,FALSE()),"No")="Yes",1,0)</f>
        <v/>
      </c>
      <c r="AI794" s="3">
        <f>IF(ISNUMBER(MATCH(D794,Controls!$A$36:$A$46,0)),1,0)</f>
        <v/>
      </c>
      <c r="AJ794" s="28">
        <f>Q794-N794</f>
        <v/>
      </c>
      <c r="AK794" s="3">
        <f>IF(AE794=1,MAX(0,N794-Q794),0)</f>
        <v/>
      </c>
      <c r="AL794" s="3">
        <f>IF(OR(V794="",V794=0),0,N794/V794)</f>
        <v/>
      </c>
      <c r="AM794" s="3">
        <f>IF(OR(V794="",V794=0),0,1)</f>
        <v/>
      </c>
      <c r="AN794" s="3">
        <f>IF(OR(E794="",F794=""),0,NETWORKDAYS(E794,F794,Ref!$K$2:$K$42))</f>
        <v/>
      </c>
      <c r="AO794" s="3">
        <f>IF(L794="Renewal",1,0)</f>
        <v/>
      </c>
      <c r="AP794" s="3">
        <f>AC794*AD794</f>
        <v/>
      </c>
      <c r="AQ794" s="3">
        <f>IF(AND(G794&lt;&gt;"",'Historical Score'!$C$6&lt;&gt;""),IF(G794='Historical Score'!$C$6,1,0),0)</f>
        <v/>
      </c>
      <c r="AR794" s="3">
        <f>IF(AND(L794&lt;&gt;"",'Historical Score'!$C$5&lt;&gt;""),IF(L794='Historical Score'!$C$5,1,0),0)</f>
        <v/>
      </c>
      <c r="AS794" s="3">
        <f>IF(AND(Y794&lt;&gt;"",'Historical Score'!$C$7&lt;&gt;""),IF(Y794='Historical Score'!$C$7,1,0),0)</f>
        <v/>
      </c>
      <c r="AT794" s="3">
        <f>IF(AND(K794&lt;&gt;"",'Historical Score'!$C$8&lt;&gt;""),IF(K794='Historical Score'!$C$8,1,0),0)</f>
        <v/>
      </c>
      <c r="AU794" s="3" t="n"/>
      <c r="AV794" s="3" t="n"/>
      <c r="AW794" s="3" t="n"/>
      <c r="AX794" s="3" t="n"/>
      <c r="AY794" s="3" t="n"/>
      <c r="AZ794" s="3" t="n"/>
      <c r="BA794" s="182">
        <f>IF(AD794=1,(AR794*'Historical Score'!$K$29+1-'Historical Score'!$K$29)*(AT794*'Historical Score'!$L$29+1-'Historical Score'!$L$29)*(AS794*'Historical Score'!$M$29+1-'Historical Score'!$M$29)*(AQ794*'Historical Score'!$N$29+1-'Historical Score'!$N$29),0)</f>
        <v/>
      </c>
      <c r="BB794" s="3" t="n"/>
      <c r="BC794" s="3" t="n"/>
    </row>
    <row r="795" ht="15.75" customHeight="1" s="174">
      <c r="A795" s="3" t="inlineStr">
        <is>
          <t>5674181840</t>
        </is>
      </c>
      <c r="B795" s="3" t="inlineStr">
        <is>
          <t>NHI T DAO SOLE PROP</t>
        </is>
      </c>
      <c r="C795" s="3" t="inlineStr">
        <is>
          <t>NHI T DAO SOLE PROP</t>
        </is>
      </c>
      <c r="D795" s="3" t="inlineStr">
        <is>
          <t>Closed</t>
        </is>
      </c>
      <c r="E795" s="23" t="n">
        <v>46127</v>
      </c>
      <c r="F795" s="23" t="n">
        <v>46241</v>
      </c>
      <c r="G795" s="3" t="n">
        <v>3</v>
      </c>
      <c r="H795" s="3" t="inlineStr">
        <is>
          <t>7231</t>
        </is>
      </c>
      <c r="I795" s="3" t="inlineStr">
        <is>
          <t>72</t>
        </is>
      </c>
      <c r="J795" s="3" t="inlineStr">
        <is>
          <t>MI</t>
        </is>
      </c>
      <c r="K795" s="3" t="inlineStr">
        <is>
          <t>United Secured Capital 8</t>
        </is>
      </c>
      <c r="L795" s="3" t="inlineStr">
        <is>
          <t>New Deal</t>
        </is>
      </c>
      <c r="M795" s="3" t="n">
        <v>1.49</v>
      </c>
      <c r="N795" s="28" t="n">
        <v>5000</v>
      </c>
      <c r="O795" s="28" t="n">
        <v>700</v>
      </c>
      <c r="P795" s="28" t="n">
        <v>7450</v>
      </c>
      <c r="Q795" s="28" t="n">
        <v>7450</v>
      </c>
      <c r="R795" s="28" t="n">
        <v>0</v>
      </c>
      <c r="S795" s="42" t="n">
        <v>1</v>
      </c>
      <c r="T795" s="3" t="n">
        <v>2.623</v>
      </c>
      <c r="U795" s="3" t="n">
        <v>0</v>
      </c>
      <c r="V795" s="3" t="n">
        <v>50624.1</v>
      </c>
      <c r="W795" s="42" t="n">
        <v>0.0386</v>
      </c>
      <c r="X795" s="23" t="n">
        <v>45612</v>
      </c>
      <c r="Y795" s="3">
        <f>IF(I795="","No SIC",IFERROR(VLOOKUP(I795,Ref!$A$2:$B$65,2,FALSE()),"Unclassified"))</f>
        <v/>
      </c>
      <c r="Z795" s="3">
        <f>IF(T795="","",IF(T795&lt;12,"Daily","Weekly"))</f>
        <v/>
      </c>
      <c r="AA795" s="3">
        <f>IF(T795="",0,IF(T795&lt;12,T795*Controls!$B$13,T795*5))</f>
        <v/>
      </c>
      <c r="AB795" s="3">
        <f>IF(E795="",0,NETWORKDAYS(E795,Controls!$B$20,Ref!$K$2:$K$42))</f>
        <v/>
      </c>
      <c r="AC795" s="3">
        <f>IF(OR(AF795=1,AND(AA795&gt;0,AB795&gt;=Controls!$B$23*AA795)),1,0)</f>
        <v/>
      </c>
      <c r="AD795" s="3">
        <f>IF(AND(E795&lt;&gt;"",E795&gt;=Controls!$B$21,E795&lt;=Controls!$B$22),1,0)</f>
        <v/>
      </c>
      <c r="AE795" s="3">
        <f>IF(IFERROR(VLOOKUP(D795,Controls!$A$36:$E$46,2,FALSE()),"No")="Yes",1,0)</f>
        <v/>
      </c>
      <c r="AF795" s="3">
        <f>IF(IFERROR(VLOOKUP(D795,Controls!$A$36:$E$46,3,FALSE()),"No")="Yes",1,0)</f>
        <v/>
      </c>
      <c r="AG795" s="3">
        <f>IF(IFERROR(VLOOKUP(D795,Controls!$A$36:$E$46,4,FALSE()),"No")="Yes",1,0)</f>
        <v/>
      </c>
      <c r="AH795" s="3">
        <f>IF(IFERROR(VLOOKUP(D795,Controls!$A$36:$E$46,5,FALSE()),"No")="Yes",1,0)</f>
        <v/>
      </c>
      <c r="AI795" s="3">
        <f>IF(ISNUMBER(MATCH(D795,Controls!$A$36:$A$46,0)),1,0)</f>
        <v/>
      </c>
      <c r="AJ795" s="28">
        <f>Q795-N795</f>
        <v/>
      </c>
      <c r="AK795" s="3">
        <f>IF(AE795=1,MAX(0,N795-Q795),0)</f>
        <v/>
      </c>
      <c r="AL795" s="3">
        <f>IF(OR(V795="",V795=0),0,N795/V795)</f>
        <v/>
      </c>
      <c r="AM795" s="3">
        <f>IF(OR(V795="",V795=0),0,1)</f>
        <v/>
      </c>
      <c r="AN795" s="3">
        <f>IF(OR(E795="",F795=""),0,NETWORKDAYS(E795,F795,Ref!$K$2:$K$42))</f>
        <v/>
      </c>
      <c r="AO795" s="3">
        <f>IF(L795="Renewal",1,0)</f>
        <v/>
      </c>
      <c r="AP795" s="3">
        <f>AC795*AD795</f>
        <v/>
      </c>
      <c r="AQ795" s="3">
        <f>IF(AND(G795&lt;&gt;"",'Historical Score'!$C$6&lt;&gt;""),IF(G795='Historical Score'!$C$6,1,0),0)</f>
        <v/>
      </c>
      <c r="AR795" s="3">
        <f>IF(AND(L795&lt;&gt;"",'Historical Score'!$C$5&lt;&gt;""),IF(L795='Historical Score'!$C$5,1,0),0)</f>
        <v/>
      </c>
      <c r="AS795" s="3">
        <f>IF(AND(Y795&lt;&gt;"",'Historical Score'!$C$7&lt;&gt;""),IF(Y795='Historical Score'!$C$7,1,0),0)</f>
        <v/>
      </c>
      <c r="AT795" s="3">
        <f>IF(AND(K795&lt;&gt;"",'Historical Score'!$C$8&lt;&gt;""),IF(K795='Historical Score'!$C$8,1,0),0)</f>
        <v/>
      </c>
      <c r="AU795" s="3" t="n"/>
      <c r="AV795" s="3" t="n"/>
      <c r="AW795" s="3" t="n"/>
      <c r="AX795" s="3" t="n"/>
      <c r="AY795" s="3" t="n"/>
      <c r="AZ795" s="3" t="n"/>
      <c r="BA795" s="182">
        <f>IF(AD795=1,(AR795*'Historical Score'!$K$29+1-'Historical Score'!$K$29)*(AT795*'Historical Score'!$L$29+1-'Historical Score'!$L$29)*(AS795*'Historical Score'!$M$29+1-'Historical Score'!$M$29)*(AQ795*'Historical Score'!$N$29+1-'Historical Score'!$N$29),0)</f>
        <v/>
      </c>
      <c r="BB795" s="3" t="n"/>
      <c r="BC795" s="3" t="n"/>
    </row>
    <row r="796" ht="15.75" customHeight="1" s="174">
      <c r="A796" s="3" t="inlineStr">
        <is>
          <t>5674181872</t>
        </is>
      </c>
      <c r="B796" s="3" t="inlineStr">
        <is>
          <t>Matt Gifford Painting LLC</t>
        </is>
      </c>
      <c r="C796" s="3" t="inlineStr">
        <is>
          <t>Matt Gifford Painting LLC</t>
        </is>
      </c>
      <c r="D796" s="3" t="inlineStr">
        <is>
          <t>Open</t>
        </is>
      </c>
      <c r="E796" s="23" t="n">
        <v>46128</v>
      </c>
      <c r="F796" s="23" t="n">
        <v>46248</v>
      </c>
      <c r="G796" s="3" t="n">
        <v>3</v>
      </c>
      <c r="H796" s="3" t="inlineStr">
        <is>
          <t>1799</t>
        </is>
      </c>
      <c r="I796" s="3" t="inlineStr">
        <is>
          <t>17</t>
        </is>
      </c>
      <c r="J796" s="3" t="inlineStr">
        <is>
          <t>CA</t>
        </is>
      </c>
      <c r="K796" s="3" t="inlineStr">
        <is>
          <t>Vanguard Equities</t>
        </is>
      </c>
      <c r="L796" s="3" t="inlineStr">
        <is>
          <t>New Deal</t>
        </is>
      </c>
      <c r="M796" s="3" t="n">
        <v>1.4</v>
      </c>
      <c r="N796" s="28" t="n">
        <v>20000</v>
      </c>
      <c r="O796" s="28" t="n">
        <v>1900</v>
      </c>
      <c r="P796" s="28" t="n">
        <v>28000</v>
      </c>
      <c r="Q796" s="28" t="n">
        <v>21629.61</v>
      </c>
      <c r="R796" s="28" t="n">
        <v>6370.39</v>
      </c>
      <c r="S796" s="42" t="n">
        <v>0.772486071428571</v>
      </c>
      <c r="T796" s="3" t="n">
        <v>22</v>
      </c>
      <c r="U796" s="3" t="n">
        <v>0</v>
      </c>
      <c r="V796" s="3" t="n">
        <v>65584.03</v>
      </c>
      <c r="W796" s="42" t="n">
        <v>0.0776</v>
      </c>
      <c r="X796" s="23" t="n">
        <v>43800</v>
      </c>
      <c r="Y796" s="3">
        <f>IF(I796="","No SIC",IFERROR(VLOOKUP(I796,Ref!$A$2:$B$65,2,FALSE()),"Unclassified"))</f>
        <v/>
      </c>
      <c r="Z796" s="3">
        <f>IF(T796="","",IF(T796&lt;12,"Daily","Weekly"))</f>
        <v/>
      </c>
      <c r="AA796" s="3">
        <f>IF(T796="",0,IF(T796&lt;12,T796*Controls!$B$13,T796*5))</f>
        <v/>
      </c>
      <c r="AB796" s="3">
        <f>IF(E796="",0,NETWORKDAYS(E796,Controls!$B$20,Ref!$K$2:$K$42))</f>
        <v/>
      </c>
      <c r="AC796" s="3">
        <f>IF(OR(AF796=1,AND(AA796&gt;0,AB796&gt;=Controls!$B$23*AA796)),1,0)</f>
        <v/>
      </c>
      <c r="AD796" s="3">
        <f>IF(AND(E796&lt;&gt;"",E796&gt;=Controls!$B$21,E796&lt;=Controls!$B$22),1,0)</f>
        <v/>
      </c>
      <c r="AE796" s="3">
        <f>IF(IFERROR(VLOOKUP(D796,Controls!$A$36:$E$46,2,FALSE()),"No")="Yes",1,0)</f>
        <v/>
      </c>
      <c r="AF796" s="3">
        <f>IF(IFERROR(VLOOKUP(D796,Controls!$A$36:$E$46,3,FALSE()),"No")="Yes",1,0)</f>
        <v/>
      </c>
      <c r="AG796" s="3">
        <f>IF(IFERROR(VLOOKUP(D796,Controls!$A$36:$E$46,4,FALSE()),"No")="Yes",1,0)</f>
        <v/>
      </c>
      <c r="AH796" s="3">
        <f>IF(IFERROR(VLOOKUP(D796,Controls!$A$36:$E$46,5,FALSE()),"No")="Yes",1,0)</f>
        <v/>
      </c>
      <c r="AI796" s="3">
        <f>IF(ISNUMBER(MATCH(D796,Controls!$A$36:$A$46,0)),1,0)</f>
        <v/>
      </c>
      <c r="AJ796" s="28">
        <f>Q796-N796</f>
        <v/>
      </c>
      <c r="AK796" s="3">
        <f>IF(AE796=1,MAX(0,N796-Q796),0)</f>
        <v/>
      </c>
      <c r="AL796" s="3">
        <f>IF(OR(V796="",V796=0),0,N796/V796)</f>
        <v/>
      </c>
      <c r="AM796" s="3">
        <f>IF(OR(V796="",V796=0),0,1)</f>
        <v/>
      </c>
      <c r="AN796" s="3">
        <f>IF(OR(E796="",F796=""),0,NETWORKDAYS(E796,F796,Ref!$K$2:$K$42))</f>
        <v/>
      </c>
      <c r="AO796" s="3">
        <f>IF(L796="Renewal",1,0)</f>
        <v/>
      </c>
      <c r="AP796" s="3">
        <f>AC796*AD796</f>
        <v/>
      </c>
      <c r="AQ796" s="3">
        <f>IF(AND(G796&lt;&gt;"",'Historical Score'!$C$6&lt;&gt;""),IF(G796='Historical Score'!$C$6,1,0),0)</f>
        <v/>
      </c>
      <c r="AR796" s="3">
        <f>IF(AND(L796&lt;&gt;"",'Historical Score'!$C$5&lt;&gt;""),IF(L796='Historical Score'!$C$5,1,0),0)</f>
        <v/>
      </c>
      <c r="AS796" s="3">
        <f>IF(AND(Y796&lt;&gt;"",'Historical Score'!$C$7&lt;&gt;""),IF(Y796='Historical Score'!$C$7,1,0),0)</f>
        <v/>
      </c>
      <c r="AT796" s="3">
        <f>IF(AND(K796&lt;&gt;"",'Historical Score'!$C$8&lt;&gt;""),IF(K796='Historical Score'!$C$8,1,0),0)</f>
        <v/>
      </c>
      <c r="AU796" s="3" t="n"/>
      <c r="AV796" s="3" t="n"/>
      <c r="AW796" s="3" t="n"/>
      <c r="AX796" s="3" t="n"/>
      <c r="AY796" s="3" t="n"/>
      <c r="AZ796" s="3" t="n"/>
      <c r="BA796" s="182">
        <f>IF(AD796=1,(AR796*'Historical Score'!$K$29+1-'Historical Score'!$K$29)*(AT796*'Historical Score'!$L$29+1-'Historical Score'!$L$29)*(AS796*'Historical Score'!$M$29+1-'Historical Score'!$M$29)*(AQ796*'Historical Score'!$N$29+1-'Historical Score'!$N$29),0)</f>
        <v/>
      </c>
      <c r="BB796" s="3" t="n"/>
      <c r="BC796" s="3" t="n"/>
    </row>
    <row r="797" ht="15.75" customHeight="1" s="174">
      <c r="A797" s="3" t="inlineStr">
        <is>
          <t>5674181931</t>
        </is>
      </c>
      <c r="B797" s="3" t="inlineStr">
        <is>
          <t>CP INFINITY CONSULTING LLC</t>
        </is>
      </c>
      <c r="C797" s="3" t="inlineStr">
        <is>
          <t>CP INFINITY CONSULTING LLC</t>
        </is>
      </c>
      <c r="D797" s="3" t="inlineStr">
        <is>
          <t>Open</t>
        </is>
      </c>
      <c r="E797" s="23" t="n">
        <v>46128</v>
      </c>
      <c r="F797" s="23" t="n">
        <v>46248</v>
      </c>
      <c r="G797" s="3" t="n">
        <v>3</v>
      </c>
      <c r="H797" s="3" t="inlineStr">
        <is>
          <t>8742</t>
        </is>
      </c>
      <c r="I797" s="3" t="inlineStr">
        <is>
          <t>87</t>
        </is>
      </c>
      <c r="J797" s="3" t="inlineStr">
        <is>
          <t>FL</t>
        </is>
      </c>
      <c r="K797" s="3" t="inlineStr">
        <is>
          <t>level 3 funding</t>
        </is>
      </c>
      <c r="L797" s="3" t="inlineStr">
        <is>
          <t>New Deal</t>
        </is>
      </c>
      <c r="M797" s="3" t="n">
        <v>1.49</v>
      </c>
      <c r="N797" s="28" t="n">
        <v>6000</v>
      </c>
      <c r="O797" s="28" t="n">
        <v>840</v>
      </c>
      <c r="P797" s="28" t="n">
        <v>8940</v>
      </c>
      <c r="Q797" s="28" t="n">
        <v>4470.24</v>
      </c>
      <c r="R797" s="28" t="n">
        <v>4469.76</v>
      </c>
      <c r="S797" s="42" t="n">
        <v>0.500026845637584</v>
      </c>
      <c r="T797" s="3" t="n">
        <v>24</v>
      </c>
      <c r="U797" s="3" t="n">
        <v>5</v>
      </c>
      <c r="V797" s="3" t="n">
        <v>6400.67</v>
      </c>
      <c r="W797" s="42" t="n">
        <v>0.2328</v>
      </c>
      <c r="X797" s="23" t="n">
        <v>45627</v>
      </c>
      <c r="Y797" s="3">
        <f>IF(I797="","No SIC",IFERROR(VLOOKUP(I797,Ref!$A$2:$B$65,2,FALSE()),"Unclassified"))</f>
        <v/>
      </c>
      <c r="Z797" s="3">
        <f>IF(T797="","",IF(T797&lt;12,"Daily","Weekly"))</f>
        <v/>
      </c>
      <c r="AA797" s="3">
        <f>IF(T797="",0,IF(T797&lt;12,T797*Controls!$B$13,T797*5))</f>
        <v/>
      </c>
      <c r="AB797" s="3">
        <f>IF(E797="",0,NETWORKDAYS(E797,Controls!$B$20,Ref!$K$2:$K$42))</f>
        <v/>
      </c>
      <c r="AC797" s="3">
        <f>IF(OR(AF797=1,AND(AA797&gt;0,AB797&gt;=Controls!$B$23*AA797)),1,0)</f>
        <v/>
      </c>
      <c r="AD797" s="3">
        <f>IF(AND(E797&lt;&gt;"",E797&gt;=Controls!$B$21,E797&lt;=Controls!$B$22),1,0)</f>
        <v/>
      </c>
      <c r="AE797" s="3">
        <f>IF(IFERROR(VLOOKUP(D797,Controls!$A$36:$E$46,2,FALSE()),"No")="Yes",1,0)</f>
        <v/>
      </c>
      <c r="AF797" s="3">
        <f>IF(IFERROR(VLOOKUP(D797,Controls!$A$36:$E$46,3,FALSE()),"No")="Yes",1,0)</f>
        <v/>
      </c>
      <c r="AG797" s="3">
        <f>IF(IFERROR(VLOOKUP(D797,Controls!$A$36:$E$46,4,FALSE()),"No")="Yes",1,0)</f>
        <v/>
      </c>
      <c r="AH797" s="3">
        <f>IF(IFERROR(VLOOKUP(D797,Controls!$A$36:$E$46,5,FALSE()),"No")="Yes",1,0)</f>
        <v/>
      </c>
      <c r="AI797" s="3">
        <f>IF(ISNUMBER(MATCH(D797,Controls!$A$36:$A$46,0)),1,0)</f>
        <v/>
      </c>
      <c r="AJ797" s="28">
        <f>Q797-N797</f>
        <v/>
      </c>
      <c r="AK797" s="3">
        <f>IF(AE797=1,MAX(0,N797-Q797),0)</f>
        <v/>
      </c>
      <c r="AL797" s="3">
        <f>IF(OR(V797="",V797=0),0,N797/V797)</f>
        <v/>
      </c>
      <c r="AM797" s="3">
        <f>IF(OR(V797="",V797=0),0,1)</f>
        <v/>
      </c>
      <c r="AN797" s="3">
        <f>IF(OR(E797="",F797=""),0,NETWORKDAYS(E797,F797,Ref!$K$2:$K$42))</f>
        <v/>
      </c>
      <c r="AO797" s="3">
        <f>IF(L797="Renewal",1,0)</f>
        <v/>
      </c>
      <c r="AP797" s="3">
        <f>AC797*AD797</f>
        <v/>
      </c>
      <c r="AQ797" s="3">
        <f>IF(AND(G797&lt;&gt;"",'Historical Score'!$C$6&lt;&gt;""),IF(G797='Historical Score'!$C$6,1,0),0)</f>
        <v/>
      </c>
      <c r="AR797" s="3">
        <f>IF(AND(L797&lt;&gt;"",'Historical Score'!$C$5&lt;&gt;""),IF(L797='Historical Score'!$C$5,1,0),0)</f>
        <v/>
      </c>
      <c r="AS797" s="3">
        <f>IF(AND(Y797&lt;&gt;"",'Historical Score'!$C$7&lt;&gt;""),IF(Y797='Historical Score'!$C$7,1,0),0)</f>
        <v/>
      </c>
      <c r="AT797" s="3">
        <f>IF(AND(K797&lt;&gt;"",'Historical Score'!$C$8&lt;&gt;""),IF(K797='Historical Score'!$C$8,1,0),0)</f>
        <v/>
      </c>
      <c r="AU797" s="3" t="n"/>
      <c r="AV797" s="3" t="n"/>
      <c r="AW797" s="3" t="n"/>
      <c r="AX797" s="3" t="n"/>
      <c r="AY797" s="3" t="n"/>
      <c r="AZ797" s="3" t="n"/>
      <c r="BA797" s="182">
        <f>IF(AD797=1,(AR797*'Historical Score'!$K$29+1-'Historical Score'!$K$29)*(AT797*'Historical Score'!$L$29+1-'Historical Score'!$L$29)*(AS797*'Historical Score'!$M$29+1-'Historical Score'!$M$29)*(AQ797*'Historical Score'!$N$29+1-'Historical Score'!$N$29),0)</f>
        <v/>
      </c>
      <c r="BB797" s="3" t="n"/>
      <c r="BC797" s="3" t="n"/>
    </row>
    <row r="798" ht="15.75" customHeight="1" s="174">
      <c r="A798" s="3" t="inlineStr">
        <is>
          <t>5674181935</t>
        </is>
      </c>
      <c r="B798" s="3" t="inlineStr">
        <is>
          <t>All inclusive service station Corp</t>
        </is>
      </c>
      <c r="C798" s="3" t="inlineStr">
        <is>
          <t>All inclusive service station Corp</t>
        </is>
      </c>
      <c r="D798" s="3" t="inlineStr">
        <is>
          <t>Closed</t>
        </is>
      </c>
      <c r="E798" s="23" t="n">
        <v>46128</v>
      </c>
      <c r="F798" s="23" t="n">
        <v>46181</v>
      </c>
      <c r="G798" s="3" t="n">
        <v>3</v>
      </c>
      <c r="H798" s="3" t="inlineStr">
        <is>
          <t>5541</t>
        </is>
      </c>
      <c r="I798" s="3" t="inlineStr">
        <is>
          <t>55</t>
        </is>
      </c>
      <c r="J798" s="3" t="inlineStr">
        <is>
          <t>PR</t>
        </is>
      </c>
      <c r="K798" s="3" t="inlineStr">
        <is>
          <t>ontime cap</t>
        </is>
      </c>
      <c r="L798" s="3" t="inlineStr">
        <is>
          <t>Renewal</t>
        </is>
      </c>
      <c r="M798" s="3" t="n">
        <v>1.49</v>
      </c>
      <c r="N798" s="28" t="n">
        <v>40000</v>
      </c>
      <c r="O798" s="28" t="n">
        <v>5600</v>
      </c>
      <c r="P798" s="28" t="n">
        <v>59600</v>
      </c>
      <c r="Q798" s="28" t="n">
        <v>59600</v>
      </c>
      <c r="R798" s="28" t="n">
        <v>0</v>
      </c>
      <c r="S798" s="42" t="n">
        <v>1</v>
      </c>
      <c r="T798" s="3" t="n">
        <v>1.967</v>
      </c>
      <c r="U798" s="3" t="n">
        <v>0</v>
      </c>
      <c r="V798" s="3" t="n">
        <v>457409.35</v>
      </c>
      <c r="W798" s="42" t="n">
        <v>0.0553</v>
      </c>
      <c r="X798" s="23" t="n">
        <v>42535</v>
      </c>
      <c r="Y798" s="3">
        <f>IF(I798="","No SIC",IFERROR(VLOOKUP(I798,Ref!$A$2:$B$65,2,FALSE()),"Unclassified"))</f>
        <v/>
      </c>
      <c r="Z798" s="3">
        <f>IF(T798="","",IF(T798&lt;12,"Daily","Weekly"))</f>
        <v/>
      </c>
      <c r="AA798" s="3">
        <f>IF(T798="",0,IF(T798&lt;12,T798*Controls!$B$13,T798*5))</f>
        <v/>
      </c>
      <c r="AB798" s="3">
        <f>IF(E798="",0,NETWORKDAYS(E798,Controls!$B$20,Ref!$K$2:$K$42))</f>
        <v/>
      </c>
      <c r="AC798" s="3">
        <f>IF(OR(AF798=1,AND(AA798&gt;0,AB798&gt;=Controls!$B$23*AA798)),1,0)</f>
        <v/>
      </c>
      <c r="AD798" s="3">
        <f>IF(AND(E798&lt;&gt;"",E798&gt;=Controls!$B$21,E798&lt;=Controls!$B$22),1,0)</f>
        <v/>
      </c>
      <c r="AE798" s="3">
        <f>IF(IFERROR(VLOOKUP(D798,Controls!$A$36:$E$46,2,FALSE()),"No")="Yes",1,0)</f>
        <v/>
      </c>
      <c r="AF798" s="3">
        <f>IF(IFERROR(VLOOKUP(D798,Controls!$A$36:$E$46,3,FALSE()),"No")="Yes",1,0)</f>
        <v/>
      </c>
      <c r="AG798" s="3">
        <f>IF(IFERROR(VLOOKUP(D798,Controls!$A$36:$E$46,4,FALSE()),"No")="Yes",1,0)</f>
        <v/>
      </c>
      <c r="AH798" s="3">
        <f>IF(IFERROR(VLOOKUP(D798,Controls!$A$36:$E$46,5,FALSE()),"No")="Yes",1,0)</f>
        <v/>
      </c>
      <c r="AI798" s="3">
        <f>IF(ISNUMBER(MATCH(D798,Controls!$A$36:$A$46,0)),1,0)</f>
        <v/>
      </c>
      <c r="AJ798" s="28">
        <f>Q798-N798</f>
        <v/>
      </c>
      <c r="AK798" s="3">
        <f>IF(AE798=1,MAX(0,N798-Q798),0)</f>
        <v/>
      </c>
      <c r="AL798" s="3">
        <f>IF(OR(V798="",V798=0),0,N798/V798)</f>
        <v/>
      </c>
      <c r="AM798" s="3">
        <f>IF(OR(V798="",V798=0),0,1)</f>
        <v/>
      </c>
      <c r="AN798" s="3">
        <f>IF(OR(E798="",F798=""),0,NETWORKDAYS(E798,F798,Ref!$K$2:$K$42))</f>
        <v/>
      </c>
      <c r="AO798" s="3">
        <f>IF(L798="Renewal",1,0)</f>
        <v/>
      </c>
      <c r="AP798" s="3">
        <f>AC798*AD798</f>
        <v/>
      </c>
      <c r="AQ798" s="3">
        <f>IF(AND(G798&lt;&gt;"",'Historical Score'!$C$6&lt;&gt;""),IF(G798='Historical Score'!$C$6,1,0),0)</f>
        <v/>
      </c>
      <c r="AR798" s="3">
        <f>IF(AND(L798&lt;&gt;"",'Historical Score'!$C$5&lt;&gt;""),IF(L798='Historical Score'!$C$5,1,0),0)</f>
        <v/>
      </c>
      <c r="AS798" s="3">
        <f>IF(AND(Y798&lt;&gt;"",'Historical Score'!$C$7&lt;&gt;""),IF(Y798='Historical Score'!$C$7,1,0),0)</f>
        <v/>
      </c>
      <c r="AT798" s="3">
        <f>IF(AND(K798&lt;&gt;"",'Historical Score'!$C$8&lt;&gt;""),IF(K798='Historical Score'!$C$8,1,0),0)</f>
        <v/>
      </c>
      <c r="AU798" s="3" t="n"/>
      <c r="AV798" s="3" t="n"/>
      <c r="AW798" s="3" t="n"/>
      <c r="AX798" s="3" t="n"/>
      <c r="AY798" s="3" t="n"/>
      <c r="AZ798" s="3" t="n"/>
      <c r="BA798" s="182">
        <f>IF(AD798=1,(AR798*'Historical Score'!$K$29+1-'Historical Score'!$K$29)*(AT798*'Historical Score'!$L$29+1-'Historical Score'!$L$29)*(AS798*'Historical Score'!$M$29+1-'Historical Score'!$M$29)*(AQ798*'Historical Score'!$N$29+1-'Historical Score'!$N$29),0)</f>
        <v/>
      </c>
      <c r="BB798" s="3" t="n"/>
      <c r="BC798" s="3" t="n"/>
    </row>
    <row r="799" ht="15.75" customHeight="1" s="174">
      <c r="A799" s="3" t="inlineStr">
        <is>
          <t>5674181942</t>
        </is>
      </c>
      <c r="B799" s="3" t="inlineStr">
        <is>
          <t>MCD VETERANS LLC</t>
        </is>
      </c>
      <c r="C799" s="3" t="inlineStr">
        <is>
          <t>MCD VETERANS LLC</t>
        </is>
      </c>
      <c r="D799" s="3" t="inlineStr">
        <is>
          <t>Open</t>
        </is>
      </c>
      <c r="E799" s="23" t="n">
        <v>46128</v>
      </c>
      <c r="F799" s="23" t="n">
        <v>46233</v>
      </c>
      <c r="G799" s="3" t="n">
        <v>3</v>
      </c>
      <c r="H799" s="3" t="inlineStr">
        <is>
          <t>6531</t>
        </is>
      </c>
      <c r="I799" s="3" t="inlineStr">
        <is>
          <t>65</t>
        </is>
      </c>
      <c r="J799" s="3" t="inlineStr">
        <is>
          <t>LA</t>
        </is>
      </c>
      <c r="K799" s="3" t="inlineStr">
        <is>
          <t>United Secured Capital 8</t>
        </is>
      </c>
      <c r="L799" s="3" t="inlineStr">
        <is>
          <t>New Deal</t>
        </is>
      </c>
      <c r="M799" s="3" t="n">
        <v>1.49</v>
      </c>
      <c r="N799" s="28" t="n">
        <v>20000</v>
      </c>
      <c r="O799" s="28" t="n">
        <v>2800</v>
      </c>
      <c r="P799" s="28" t="n">
        <v>29800</v>
      </c>
      <c r="Q799" s="28" t="n">
        <v>29765</v>
      </c>
      <c r="R799" s="28" t="n">
        <v>35</v>
      </c>
      <c r="S799" s="42" t="n">
        <v>0.998825503355705</v>
      </c>
      <c r="T799" s="3" t="n">
        <v>3.279</v>
      </c>
      <c r="U799" s="3" t="n">
        <v>1</v>
      </c>
      <c r="V799" s="3" t="n">
        <v>144343.78</v>
      </c>
      <c r="W799" s="42" t="n">
        <v>0.0434</v>
      </c>
      <c r="X799" s="23" t="n">
        <v>44044</v>
      </c>
      <c r="Y799" s="3">
        <f>IF(I799="","No SIC",IFERROR(VLOOKUP(I799,Ref!$A$2:$B$65,2,FALSE()),"Unclassified"))</f>
        <v/>
      </c>
      <c r="Z799" s="3">
        <f>IF(T799="","",IF(T799&lt;12,"Daily","Weekly"))</f>
        <v/>
      </c>
      <c r="AA799" s="3">
        <f>IF(T799="",0,IF(T799&lt;12,T799*Controls!$B$13,T799*5))</f>
        <v/>
      </c>
      <c r="AB799" s="3">
        <f>IF(E799="",0,NETWORKDAYS(E799,Controls!$B$20,Ref!$K$2:$K$42))</f>
        <v/>
      </c>
      <c r="AC799" s="3">
        <f>IF(OR(AF799=1,AND(AA799&gt;0,AB799&gt;=Controls!$B$23*AA799)),1,0)</f>
        <v/>
      </c>
      <c r="AD799" s="3">
        <f>IF(AND(E799&lt;&gt;"",E799&gt;=Controls!$B$21,E799&lt;=Controls!$B$22),1,0)</f>
        <v/>
      </c>
      <c r="AE799" s="3">
        <f>IF(IFERROR(VLOOKUP(D799,Controls!$A$36:$E$46,2,FALSE()),"No")="Yes",1,0)</f>
        <v/>
      </c>
      <c r="AF799" s="3">
        <f>IF(IFERROR(VLOOKUP(D799,Controls!$A$36:$E$46,3,FALSE()),"No")="Yes",1,0)</f>
        <v/>
      </c>
      <c r="AG799" s="3">
        <f>IF(IFERROR(VLOOKUP(D799,Controls!$A$36:$E$46,4,FALSE()),"No")="Yes",1,0)</f>
        <v/>
      </c>
      <c r="AH799" s="3">
        <f>IF(IFERROR(VLOOKUP(D799,Controls!$A$36:$E$46,5,FALSE()),"No")="Yes",1,0)</f>
        <v/>
      </c>
      <c r="AI799" s="3">
        <f>IF(ISNUMBER(MATCH(D799,Controls!$A$36:$A$46,0)),1,0)</f>
        <v/>
      </c>
      <c r="AJ799" s="28">
        <f>Q799-N799</f>
        <v/>
      </c>
      <c r="AK799" s="3">
        <f>IF(AE799=1,MAX(0,N799-Q799),0)</f>
        <v/>
      </c>
      <c r="AL799" s="3">
        <f>IF(OR(V799="",V799=0),0,N799/V799)</f>
        <v/>
      </c>
      <c r="AM799" s="3">
        <f>IF(OR(V799="",V799=0),0,1)</f>
        <v/>
      </c>
      <c r="AN799" s="3">
        <f>IF(OR(E799="",F799=""),0,NETWORKDAYS(E799,F799,Ref!$K$2:$K$42))</f>
        <v/>
      </c>
      <c r="AO799" s="3">
        <f>IF(L799="Renewal",1,0)</f>
        <v/>
      </c>
      <c r="AP799" s="3">
        <f>AC799*AD799</f>
        <v/>
      </c>
      <c r="AQ799" s="3">
        <f>IF(AND(G799&lt;&gt;"",'Historical Score'!$C$6&lt;&gt;""),IF(G799='Historical Score'!$C$6,1,0),0)</f>
        <v/>
      </c>
      <c r="AR799" s="3">
        <f>IF(AND(L799&lt;&gt;"",'Historical Score'!$C$5&lt;&gt;""),IF(L799='Historical Score'!$C$5,1,0),0)</f>
        <v/>
      </c>
      <c r="AS799" s="3">
        <f>IF(AND(Y799&lt;&gt;"",'Historical Score'!$C$7&lt;&gt;""),IF(Y799='Historical Score'!$C$7,1,0),0)</f>
        <v/>
      </c>
      <c r="AT799" s="3">
        <f>IF(AND(K799&lt;&gt;"",'Historical Score'!$C$8&lt;&gt;""),IF(K799='Historical Score'!$C$8,1,0),0)</f>
        <v/>
      </c>
      <c r="AU799" s="3" t="n"/>
      <c r="AV799" s="3" t="n"/>
      <c r="AW799" s="3" t="n"/>
      <c r="AX799" s="3" t="n"/>
      <c r="AY799" s="3" t="n"/>
      <c r="AZ799" s="3" t="n"/>
      <c r="BA799" s="182">
        <f>IF(AD799=1,(AR799*'Historical Score'!$K$29+1-'Historical Score'!$K$29)*(AT799*'Historical Score'!$L$29+1-'Historical Score'!$L$29)*(AS799*'Historical Score'!$M$29+1-'Historical Score'!$M$29)*(AQ799*'Historical Score'!$N$29+1-'Historical Score'!$N$29),0)</f>
        <v/>
      </c>
      <c r="BB799" s="3" t="n"/>
      <c r="BC799" s="3" t="n"/>
    </row>
    <row r="800" ht="15.75" customHeight="1" s="174">
      <c r="A800" s="3" t="inlineStr">
        <is>
          <t>5674181949</t>
        </is>
      </c>
      <c r="B800" s="3" t="inlineStr">
        <is>
          <t>1st Choice Realty, LLC</t>
        </is>
      </c>
      <c r="C800" s="3" t="inlineStr">
        <is>
          <t>1st Choice Realty, LLC</t>
        </is>
      </c>
      <c r="D800" s="3" t="inlineStr">
        <is>
          <t>Closed</t>
        </is>
      </c>
      <c r="E800" s="23" t="n">
        <v>46128</v>
      </c>
      <c r="F800" s="23" t="n">
        <v>46218</v>
      </c>
      <c r="G800" s="3" t="n">
        <v>3</v>
      </c>
      <c r="H800" s="3" t="inlineStr">
        <is>
          <t>6531</t>
        </is>
      </c>
      <c r="I800" s="3" t="inlineStr">
        <is>
          <t>65</t>
        </is>
      </c>
      <c r="J800" s="3" t="inlineStr">
        <is>
          <t>No state</t>
        </is>
      </c>
      <c r="K800" s="3" t="inlineStr">
        <is>
          <t>Monarch funding Group</t>
        </is>
      </c>
      <c r="L800" s="3" t="inlineStr">
        <is>
          <t>New Deal</t>
        </is>
      </c>
      <c r="M800" s="3" t="n">
        <v>1.49</v>
      </c>
      <c r="N800" s="28" t="n">
        <v>10000</v>
      </c>
      <c r="O800" s="28" t="n">
        <v>1400</v>
      </c>
      <c r="P800" s="28" t="n">
        <v>14900</v>
      </c>
      <c r="Q800" s="28" t="n">
        <v>14900</v>
      </c>
      <c r="R800" s="28" t="n">
        <v>0</v>
      </c>
      <c r="S800" s="42" t="n">
        <v>1</v>
      </c>
      <c r="T800" s="3" t="n">
        <v>2.459</v>
      </c>
      <c r="U800" s="3" t="n">
        <v>0</v>
      </c>
      <c r="V800" s="3" t="n">
        <v>96907.37</v>
      </c>
      <c r="W800" s="42" t="n">
        <v>0.0431</v>
      </c>
      <c r="X800" s="23" t="n">
        <v>44232</v>
      </c>
      <c r="Y800" s="3">
        <f>IF(I800="","No SIC",IFERROR(VLOOKUP(I800,Ref!$A$2:$B$65,2,FALSE()),"Unclassified"))</f>
        <v/>
      </c>
      <c r="Z800" s="3">
        <f>IF(T800="","",IF(T800&lt;12,"Daily","Weekly"))</f>
        <v/>
      </c>
      <c r="AA800" s="3">
        <f>IF(T800="",0,IF(T800&lt;12,T800*Controls!$B$13,T800*5))</f>
        <v/>
      </c>
      <c r="AB800" s="3">
        <f>IF(E800="",0,NETWORKDAYS(E800,Controls!$B$20,Ref!$K$2:$K$42))</f>
        <v/>
      </c>
      <c r="AC800" s="3">
        <f>IF(OR(AF800=1,AND(AA800&gt;0,AB800&gt;=Controls!$B$23*AA800)),1,0)</f>
        <v/>
      </c>
      <c r="AD800" s="3">
        <f>IF(AND(E800&lt;&gt;"",E800&gt;=Controls!$B$21,E800&lt;=Controls!$B$22),1,0)</f>
        <v/>
      </c>
      <c r="AE800" s="3">
        <f>IF(IFERROR(VLOOKUP(D800,Controls!$A$36:$E$46,2,FALSE()),"No")="Yes",1,0)</f>
        <v/>
      </c>
      <c r="AF800" s="3">
        <f>IF(IFERROR(VLOOKUP(D800,Controls!$A$36:$E$46,3,FALSE()),"No")="Yes",1,0)</f>
        <v/>
      </c>
      <c r="AG800" s="3">
        <f>IF(IFERROR(VLOOKUP(D800,Controls!$A$36:$E$46,4,FALSE()),"No")="Yes",1,0)</f>
        <v/>
      </c>
      <c r="AH800" s="3">
        <f>IF(IFERROR(VLOOKUP(D800,Controls!$A$36:$E$46,5,FALSE()),"No")="Yes",1,0)</f>
        <v/>
      </c>
      <c r="AI800" s="3">
        <f>IF(ISNUMBER(MATCH(D800,Controls!$A$36:$A$46,0)),1,0)</f>
        <v/>
      </c>
      <c r="AJ800" s="28">
        <f>Q800-N800</f>
        <v/>
      </c>
      <c r="AK800" s="3">
        <f>IF(AE800=1,MAX(0,N800-Q800),0)</f>
        <v/>
      </c>
      <c r="AL800" s="3">
        <f>IF(OR(V800="",V800=0),0,N800/V800)</f>
        <v/>
      </c>
      <c r="AM800" s="3">
        <f>IF(OR(V800="",V800=0),0,1)</f>
        <v/>
      </c>
      <c r="AN800" s="3">
        <f>IF(OR(E800="",F800=""),0,NETWORKDAYS(E800,F800,Ref!$K$2:$K$42))</f>
        <v/>
      </c>
      <c r="AO800" s="3">
        <f>IF(L800="Renewal",1,0)</f>
        <v/>
      </c>
      <c r="AP800" s="3">
        <f>AC800*AD800</f>
        <v/>
      </c>
      <c r="AQ800" s="3">
        <f>IF(AND(G800&lt;&gt;"",'Historical Score'!$C$6&lt;&gt;""),IF(G800='Historical Score'!$C$6,1,0),0)</f>
        <v/>
      </c>
      <c r="AR800" s="3">
        <f>IF(AND(L800&lt;&gt;"",'Historical Score'!$C$5&lt;&gt;""),IF(L800='Historical Score'!$C$5,1,0),0)</f>
        <v/>
      </c>
      <c r="AS800" s="3">
        <f>IF(AND(Y800&lt;&gt;"",'Historical Score'!$C$7&lt;&gt;""),IF(Y800='Historical Score'!$C$7,1,0),0)</f>
        <v/>
      </c>
      <c r="AT800" s="3">
        <f>IF(AND(K800&lt;&gt;"",'Historical Score'!$C$8&lt;&gt;""),IF(K800='Historical Score'!$C$8,1,0),0)</f>
        <v/>
      </c>
      <c r="AU800" s="3" t="n"/>
      <c r="AV800" s="3" t="n"/>
      <c r="AW800" s="3" t="n"/>
      <c r="AX800" s="3" t="n"/>
      <c r="AY800" s="3" t="n"/>
      <c r="AZ800" s="3" t="n"/>
      <c r="BA800" s="182">
        <f>IF(AD800=1,(AR800*'Historical Score'!$K$29+1-'Historical Score'!$K$29)*(AT800*'Historical Score'!$L$29+1-'Historical Score'!$L$29)*(AS800*'Historical Score'!$M$29+1-'Historical Score'!$M$29)*(AQ800*'Historical Score'!$N$29+1-'Historical Score'!$N$29),0)</f>
        <v/>
      </c>
      <c r="BB800" s="3" t="n"/>
      <c r="BC800" s="3" t="n"/>
    </row>
    <row r="801" ht="15.75" customHeight="1" s="174">
      <c r="A801" s="3" t="inlineStr">
        <is>
          <t>5674182027</t>
        </is>
      </c>
      <c r="B801" s="3" t="inlineStr">
        <is>
          <t>KNIGHT MAINTENANCE LLC</t>
        </is>
      </c>
      <c r="C801" s="3" t="inlineStr">
        <is>
          <t>KNIGHT MAINTENANCE LLC</t>
        </is>
      </c>
      <c r="D801" s="3" t="inlineStr">
        <is>
          <t>Closed</t>
        </is>
      </c>
      <c r="E801" s="23" t="n">
        <v>46129</v>
      </c>
      <c r="F801" s="23" t="n">
        <v>46231</v>
      </c>
      <c r="G801" s="3" t="n">
        <v>7</v>
      </c>
      <c r="H801" s="3" t="inlineStr">
        <is>
          <t>7349</t>
        </is>
      </c>
      <c r="I801" s="3" t="inlineStr">
        <is>
          <t>73</t>
        </is>
      </c>
      <c r="J801" s="3" t="inlineStr">
        <is>
          <t>NJ</t>
        </is>
      </c>
      <c r="K801" s="3" t="inlineStr">
        <is>
          <t>Triumph Cap Fund</t>
        </is>
      </c>
      <c r="L801" s="3" t="inlineStr">
        <is>
          <t>Renewal</t>
        </is>
      </c>
      <c r="M801" s="3" t="n">
        <v>1.49</v>
      </c>
      <c r="N801" s="28" t="n">
        <v>25000</v>
      </c>
      <c r="O801" s="28" t="n">
        <v>3500</v>
      </c>
      <c r="P801" s="28" t="n">
        <v>37250</v>
      </c>
      <c r="Q801" s="28" t="n">
        <v>37250</v>
      </c>
      <c r="R801" s="28" t="n">
        <v>0</v>
      </c>
      <c r="S801" s="42" t="n">
        <v>1</v>
      </c>
      <c r="T801" s="3" t="n">
        <v>3.934</v>
      </c>
      <c r="U801" s="3" t="n">
        <v>0</v>
      </c>
      <c r="V801" s="3" t="n">
        <v>56609.08</v>
      </c>
      <c r="W801" s="42" t="n">
        <v>0.1152</v>
      </c>
      <c r="X801" s="23" t="n">
        <v>42223</v>
      </c>
      <c r="Y801" s="3">
        <f>IF(I801="","No SIC",IFERROR(VLOOKUP(I801,Ref!$A$2:$B$65,2,FALSE()),"Unclassified"))</f>
        <v/>
      </c>
      <c r="Z801" s="3">
        <f>IF(T801="","",IF(T801&lt;12,"Daily","Weekly"))</f>
        <v/>
      </c>
      <c r="AA801" s="3">
        <f>IF(T801="",0,IF(T801&lt;12,T801*Controls!$B$13,T801*5))</f>
        <v/>
      </c>
      <c r="AB801" s="3">
        <f>IF(E801="",0,NETWORKDAYS(E801,Controls!$B$20,Ref!$K$2:$K$42))</f>
        <v/>
      </c>
      <c r="AC801" s="3">
        <f>IF(OR(AF801=1,AND(AA801&gt;0,AB801&gt;=Controls!$B$23*AA801)),1,0)</f>
        <v/>
      </c>
      <c r="AD801" s="3">
        <f>IF(AND(E801&lt;&gt;"",E801&gt;=Controls!$B$21,E801&lt;=Controls!$B$22),1,0)</f>
        <v/>
      </c>
      <c r="AE801" s="3">
        <f>IF(IFERROR(VLOOKUP(D801,Controls!$A$36:$E$46,2,FALSE()),"No")="Yes",1,0)</f>
        <v/>
      </c>
      <c r="AF801" s="3">
        <f>IF(IFERROR(VLOOKUP(D801,Controls!$A$36:$E$46,3,FALSE()),"No")="Yes",1,0)</f>
        <v/>
      </c>
      <c r="AG801" s="3">
        <f>IF(IFERROR(VLOOKUP(D801,Controls!$A$36:$E$46,4,FALSE()),"No")="Yes",1,0)</f>
        <v/>
      </c>
      <c r="AH801" s="3">
        <f>IF(IFERROR(VLOOKUP(D801,Controls!$A$36:$E$46,5,FALSE()),"No")="Yes",1,0)</f>
        <v/>
      </c>
      <c r="AI801" s="3">
        <f>IF(ISNUMBER(MATCH(D801,Controls!$A$36:$A$46,0)),1,0)</f>
        <v/>
      </c>
      <c r="AJ801" s="28">
        <f>Q801-N801</f>
        <v/>
      </c>
      <c r="AK801" s="3">
        <f>IF(AE801=1,MAX(0,N801-Q801),0)</f>
        <v/>
      </c>
      <c r="AL801" s="3">
        <f>IF(OR(V801="",V801=0),0,N801/V801)</f>
        <v/>
      </c>
      <c r="AM801" s="3">
        <f>IF(OR(V801="",V801=0),0,1)</f>
        <v/>
      </c>
      <c r="AN801" s="3">
        <f>IF(OR(E801="",F801=""),0,NETWORKDAYS(E801,F801,Ref!$K$2:$K$42))</f>
        <v/>
      </c>
      <c r="AO801" s="3">
        <f>IF(L801="Renewal",1,0)</f>
        <v/>
      </c>
      <c r="AP801" s="3">
        <f>AC801*AD801</f>
        <v/>
      </c>
      <c r="AQ801" s="3">
        <f>IF(AND(G801&lt;&gt;"",'Historical Score'!$C$6&lt;&gt;""),IF(G801='Historical Score'!$C$6,1,0),0)</f>
        <v/>
      </c>
      <c r="AR801" s="3">
        <f>IF(AND(L801&lt;&gt;"",'Historical Score'!$C$5&lt;&gt;""),IF(L801='Historical Score'!$C$5,1,0),0)</f>
        <v/>
      </c>
      <c r="AS801" s="3">
        <f>IF(AND(Y801&lt;&gt;"",'Historical Score'!$C$7&lt;&gt;""),IF(Y801='Historical Score'!$C$7,1,0),0)</f>
        <v/>
      </c>
      <c r="AT801" s="3">
        <f>IF(AND(K801&lt;&gt;"",'Historical Score'!$C$8&lt;&gt;""),IF(K801='Historical Score'!$C$8,1,0),0)</f>
        <v/>
      </c>
      <c r="AU801" s="3" t="n"/>
      <c r="AV801" s="3" t="n"/>
      <c r="AW801" s="3" t="n"/>
      <c r="AX801" s="3" t="n"/>
      <c r="AY801" s="3" t="n"/>
      <c r="AZ801" s="3" t="n"/>
      <c r="BA801" s="182">
        <f>IF(AD801=1,(AR801*'Historical Score'!$K$29+1-'Historical Score'!$K$29)*(AT801*'Historical Score'!$L$29+1-'Historical Score'!$L$29)*(AS801*'Historical Score'!$M$29+1-'Historical Score'!$M$29)*(AQ801*'Historical Score'!$N$29+1-'Historical Score'!$N$29),0)</f>
        <v/>
      </c>
      <c r="BB801" s="3" t="n"/>
      <c r="BC801" s="3" t="n"/>
    </row>
    <row r="802" ht="15.75" customHeight="1" s="174">
      <c r="A802" s="3" t="inlineStr">
        <is>
          <t>5674182028</t>
        </is>
      </c>
      <c r="B802" s="3" t="inlineStr">
        <is>
          <t>BSL Construction LLC</t>
        </is>
      </c>
      <c r="C802" s="3" t="inlineStr">
        <is>
          <t>BSL Construction LLC</t>
        </is>
      </c>
      <c r="D802" s="3" t="inlineStr">
        <is>
          <t>In House Collection</t>
        </is>
      </c>
      <c r="E802" s="23" t="n">
        <v>46129</v>
      </c>
      <c r="F802" s="23" t="n">
        <v>46203</v>
      </c>
      <c r="G802" s="3" t="n">
        <v>3</v>
      </c>
      <c r="H802" s="3" t="inlineStr">
        <is>
          <t>1521</t>
        </is>
      </c>
      <c r="I802" s="3" t="inlineStr">
        <is>
          <t>15</t>
        </is>
      </c>
      <c r="J802" s="3" t="inlineStr">
        <is>
          <t>TX</t>
        </is>
      </c>
      <c r="K802" s="3" t="inlineStr">
        <is>
          <t>Premium Capital (AMRK)</t>
        </is>
      </c>
      <c r="L802" s="3" t="inlineStr">
        <is>
          <t>New Deal</t>
        </is>
      </c>
      <c r="M802" s="3" t="n">
        <v>1.49</v>
      </c>
      <c r="N802" s="28" t="n">
        <v>3500</v>
      </c>
      <c r="O802" s="28" t="n">
        <v>490</v>
      </c>
      <c r="P802" s="28" t="n">
        <v>5215</v>
      </c>
      <c r="Q802" s="28" t="n">
        <v>1490.82</v>
      </c>
      <c r="R802" s="28" t="n">
        <v>3724.18</v>
      </c>
      <c r="S802" s="42" t="n">
        <v>0.285871524448706</v>
      </c>
      <c r="T802" s="3" t="n">
        <v>2.295</v>
      </c>
      <c r="U802" s="3" t="n">
        <v>19</v>
      </c>
      <c r="V802" s="3" t="n">
        <v>23956.58</v>
      </c>
      <c r="W802" s="42" t="n">
        <v>0.0653</v>
      </c>
      <c r="X802" s="23" t="n">
        <v>45139</v>
      </c>
      <c r="Y802" s="3">
        <f>IF(I802="","No SIC",IFERROR(VLOOKUP(I802,Ref!$A$2:$B$65,2,FALSE()),"Unclassified"))</f>
        <v/>
      </c>
      <c r="Z802" s="3">
        <f>IF(T802="","",IF(T802&lt;12,"Daily","Weekly"))</f>
        <v/>
      </c>
      <c r="AA802" s="3">
        <f>IF(T802="",0,IF(T802&lt;12,T802*Controls!$B$13,T802*5))</f>
        <v/>
      </c>
      <c r="AB802" s="3">
        <f>IF(E802="",0,NETWORKDAYS(E802,Controls!$B$20,Ref!$K$2:$K$42))</f>
        <v/>
      </c>
      <c r="AC802" s="3">
        <f>IF(OR(AF802=1,AND(AA802&gt;0,AB802&gt;=Controls!$B$23*AA802)),1,0)</f>
        <v/>
      </c>
      <c r="AD802" s="3">
        <f>IF(AND(E802&lt;&gt;"",E802&gt;=Controls!$B$21,E802&lt;=Controls!$B$22),1,0)</f>
        <v/>
      </c>
      <c r="AE802" s="3">
        <f>IF(IFERROR(VLOOKUP(D802,Controls!$A$36:$E$46,2,FALSE()),"No")="Yes",1,0)</f>
        <v/>
      </c>
      <c r="AF802" s="3">
        <f>IF(IFERROR(VLOOKUP(D802,Controls!$A$36:$E$46,3,FALSE()),"No")="Yes",1,0)</f>
        <v/>
      </c>
      <c r="AG802" s="3">
        <f>IF(IFERROR(VLOOKUP(D802,Controls!$A$36:$E$46,4,FALSE()),"No")="Yes",1,0)</f>
        <v/>
      </c>
      <c r="AH802" s="3">
        <f>IF(IFERROR(VLOOKUP(D802,Controls!$A$36:$E$46,5,FALSE()),"No")="Yes",1,0)</f>
        <v/>
      </c>
      <c r="AI802" s="3">
        <f>IF(ISNUMBER(MATCH(D802,Controls!$A$36:$A$46,0)),1,0)</f>
        <v/>
      </c>
      <c r="AJ802" s="28">
        <f>Q802-N802</f>
        <v/>
      </c>
      <c r="AK802" s="3">
        <f>IF(AE802=1,MAX(0,N802-Q802),0)</f>
        <v/>
      </c>
      <c r="AL802" s="3">
        <f>IF(OR(V802="",V802=0),0,N802/V802)</f>
        <v/>
      </c>
      <c r="AM802" s="3">
        <f>IF(OR(V802="",V802=0),0,1)</f>
        <v/>
      </c>
      <c r="AN802" s="3">
        <f>IF(OR(E802="",F802=""),0,NETWORKDAYS(E802,F802,Ref!$K$2:$K$42))</f>
        <v/>
      </c>
      <c r="AO802" s="3">
        <f>IF(L802="Renewal",1,0)</f>
        <v/>
      </c>
      <c r="AP802" s="3">
        <f>AC802*AD802</f>
        <v/>
      </c>
      <c r="AQ802" s="3">
        <f>IF(AND(G802&lt;&gt;"",'Historical Score'!$C$6&lt;&gt;""),IF(G802='Historical Score'!$C$6,1,0),0)</f>
        <v/>
      </c>
      <c r="AR802" s="3">
        <f>IF(AND(L802&lt;&gt;"",'Historical Score'!$C$5&lt;&gt;""),IF(L802='Historical Score'!$C$5,1,0),0)</f>
        <v/>
      </c>
      <c r="AS802" s="3">
        <f>IF(AND(Y802&lt;&gt;"",'Historical Score'!$C$7&lt;&gt;""),IF(Y802='Historical Score'!$C$7,1,0),0)</f>
        <v/>
      </c>
      <c r="AT802" s="3">
        <f>IF(AND(K802&lt;&gt;"",'Historical Score'!$C$8&lt;&gt;""),IF(K802='Historical Score'!$C$8,1,0),0)</f>
        <v/>
      </c>
      <c r="AU802" s="3" t="n"/>
      <c r="AV802" s="3" t="n"/>
      <c r="AW802" s="3" t="n"/>
      <c r="AX802" s="3" t="n"/>
      <c r="AY802" s="3" t="n"/>
      <c r="AZ802" s="3" t="n"/>
      <c r="BA802" s="182">
        <f>IF(AD802=1,(AR802*'Historical Score'!$K$29+1-'Historical Score'!$K$29)*(AT802*'Historical Score'!$L$29+1-'Historical Score'!$L$29)*(AS802*'Historical Score'!$M$29+1-'Historical Score'!$M$29)*(AQ802*'Historical Score'!$N$29+1-'Historical Score'!$N$29),0)</f>
        <v/>
      </c>
      <c r="BB802" s="3" t="n"/>
      <c r="BC802" s="3" t="n"/>
    </row>
    <row r="803" ht="15.75" customHeight="1" s="174">
      <c r="A803" s="3" t="inlineStr">
        <is>
          <t>5674182067</t>
        </is>
      </c>
      <c r="B803" s="3" t="inlineStr">
        <is>
          <t>S&amp;K Property Services LLC</t>
        </is>
      </c>
      <c r="C803" s="3" t="inlineStr">
        <is>
          <t>S&amp;K Property Services LLC</t>
        </is>
      </c>
      <c r="D803" s="3" t="inlineStr">
        <is>
          <t>Open</t>
        </is>
      </c>
      <c r="E803" s="23" t="n">
        <v>46132</v>
      </c>
      <c r="F803" s="23" t="n">
        <v>46248</v>
      </c>
      <c r="G803" s="3" t="n">
        <v>3</v>
      </c>
      <c r="H803" s="3" t="inlineStr">
        <is>
          <t>6531</t>
        </is>
      </c>
      <c r="I803" s="3" t="inlineStr">
        <is>
          <t>65</t>
        </is>
      </c>
      <c r="J803" s="3" t="inlineStr">
        <is>
          <t>GA</t>
        </is>
      </c>
      <c r="K803" s="3" t="inlineStr">
        <is>
          <t>Ballicci</t>
        </is>
      </c>
      <c r="L803" s="3" t="inlineStr">
        <is>
          <t>Renewal</t>
        </is>
      </c>
      <c r="M803" s="3" t="n">
        <v>1.49</v>
      </c>
      <c r="N803" s="28" t="n">
        <v>40000</v>
      </c>
      <c r="O803" s="28" t="n">
        <v>5600</v>
      </c>
      <c r="P803" s="28" t="n">
        <v>59600</v>
      </c>
      <c r="Q803" s="28" t="n">
        <v>16385.49</v>
      </c>
      <c r="R803" s="28" t="n">
        <v>43214.51</v>
      </c>
      <c r="S803" s="42" t="n">
        <v>0.27492432885906</v>
      </c>
      <c r="T803" s="3" t="n">
        <v>40</v>
      </c>
      <c r="U803" s="3" t="n">
        <v>6</v>
      </c>
      <c r="V803" s="3" t="n">
        <v>40259.29</v>
      </c>
      <c r="W803" s="42" t="n">
        <v>0.148</v>
      </c>
      <c r="X803" s="23" t="n">
        <v>43466</v>
      </c>
      <c r="Y803" s="3">
        <f>IF(I803="","No SIC",IFERROR(VLOOKUP(I803,Ref!$A$2:$B$65,2,FALSE()),"Unclassified"))</f>
        <v/>
      </c>
      <c r="Z803" s="3">
        <f>IF(T803="","",IF(T803&lt;12,"Daily","Weekly"))</f>
        <v/>
      </c>
      <c r="AA803" s="3">
        <f>IF(T803="",0,IF(T803&lt;12,T803*Controls!$B$13,T803*5))</f>
        <v/>
      </c>
      <c r="AB803" s="3">
        <f>IF(E803="",0,NETWORKDAYS(E803,Controls!$B$20,Ref!$K$2:$K$42))</f>
        <v/>
      </c>
      <c r="AC803" s="3">
        <f>IF(OR(AF803=1,AND(AA803&gt;0,AB803&gt;=Controls!$B$23*AA803)),1,0)</f>
        <v/>
      </c>
      <c r="AD803" s="3">
        <f>IF(AND(E803&lt;&gt;"",E803&gt;=Controls!$B$21,E803&lt;=Controls!$B$22),1,0)</f>
        <v/>
      </c>
      <c r="AE803" s="3">
        <f>IF(IFERROR(VLOOKUP(D803,Controls!$A$36:$E$46,2,FALSE()),"No")="Yes",1,0)</f>
        <v/>
      </c>
      <c r="AF803" s="3">
        <f>IF(IFERROR(VLOOKUP(D803,Controls!$A$36:$E$46,3,FALSE()),"No")="Yes",1,0)</f>
        <v/>
      </c>
      <c r="AG803" s="3">
        <f>IF(IFERROR(VLOOKUP(D803,Controls!$A$36:$E$46,4,FALSE()),"No")="Yes",1,0)</f>
        <v/>
      </c>
      <c r="AH803" s="3">
        <f>IF(IFERROR(VLOOKUP(D803,Controls!$A$36:$E$46,5,FALSE()),"No")="Yes",1,0)</f>
        <v/>
      </c>
      <c r="AI803" s="3">
        <f>IF(ISNUMBER(MATCH(D803,Controls!$A$36:$A$46,0)),1,0)</f>
        <v/>
      </c>
      <c r="AJ803" s="28">
        <f>Q803-N803</f>
        <v/>
      </c>
      <c r="AK803" s="3">
        <f>IF(AE803=1,MAX(0,N803-Q803),0)</f>
        <v/>
      </c>
      <c r="AL803" s="3">
        <f>IF(OR(V803="",V803=0),0,N803/V803)</f>
        <v/>
      </c>
      <c r="AM803" s="3">
        <f>IF(OR(V803="",V803=0),0,1)</f>
        <v/>
      </c>
      <c r="AN803" s="3">
        <f>IF(OR(E803="",F803=""),0,NETWORKDAYS(E803,F803,Ref!$K$2:$K$42))</f>
        <v/>
      </c>
      <c r="AO803" s="3">
        <f>IF(L803="Renewal",1,0)</f>
        <v/>
      </c>
      <c r="AP803" s="3">
        <f>AC803*AD803</f>
        <v/>
      </c>
      <c r="AQ803" s="3">
        <f>IF(AND(G803&lt;&gt;"",'Historical Score'!$C$6&lt;&gt;""),IF(G803='Historical Score'!$C$6,1,0),0)</f>
        <v/>
      </c>
      <c r="AR803" s="3">
        <f>IF(AND(L803&lt;&gt;"",'Historical Score'!$C$5&lt;&gt;""),IF(L803='Historical Score'!$C$5,1,0),0)</f>
        <v/>
      </c>
      <c r="AS803" s="3">
        <f>IF(AND(Y803&lt;&gt;"",'Historical Score'!$C$7&lt;&gt;""),IF(Y803='Historical Score'!$C$7,1,0),0)</f>
        <v/>
      </c>
      <c r="AT803" s="3">
        <f>IF(AND(K803&lt;&gt;"",'Historical Score'!$C$8&lt;&gt;""),IF(K803='Historical Score'!$C$8,1,0),0)</f>
        <v/>
      </c>
      <c r="AU803" s="3" t="n"/>
      <c r="AV803" s="3" t="n"/>
      <c r="AW803" s="3" t="n"/>
      <c r="AX803" s="3" t="n"/>
      <c r="AY803" s="3" t="n"/>
      <c r="AZ803" s="3" t="n"/>
      <c r="BA803" s="182">
        <f>IF(AD803=1,(AR803*'Historical Score'!$K$29+1-'Historical Score'!$K$29)*(AT803*'Historical Score'!$L$29+1-'Historical Score'!$L$29)*(AS803*'Historical Score'!$M$29+1-'Historical Score'!$M$29)*(AQ803*'Historical Score'!$N$29+1-'Historical Score'!$N$29),0)</f>
        <v/>
      </c>
      <c r="BB803" s="3" t="n"/>
      <c r="BC803" s="3" t="n"/>
    </row>
    <row r="804" ht="15.75" customHeight="1" s="174">
      <c r="A804" s="3" t="inlineStr">
        <is>
          <t>5674182078</t>
        </is>
      </c>
      <c r="B804" s="3" t="inlineStr">
        <is>
          <t>LEGACY BARN DOORS INC.</t>
        </is>
      </c>
      <c r="C804" s="3" t="inlineStr">
        <is>
          <t>LEGACY BARN DOORS INC.</t>
        </is>
      </c>
      <c r="D804" s="3" t="inlineStr">
        <is>
          <t>Closed</t>
        </is>
      </c>
      <c r="E804" s="23" t="n">
        <v>46132</v>
      </c>
      <c r="F804" s="23" t="n">
        <v>46230</v>
      </c>
      <c r="G804" s="3" t="n">
        <v>3</v>
      </c>
      <c r="H804" s="3" t="inlineStr">
        <is>
          <t>6221</t>
        </is>
      </c>
      <c r="I804" s="3" t="inlineStr">
        <is>
          <t>62</t>
        </is>
      </c>
      <c r="J804" s="3" t="inlineStr">
        <is>
          <t>TX</t>
        </is>
      </c>
      <c r="K804" s="3" t="inlineStr">
        <is>
          <t>United Secured Capital 8</t>
        </is>
      </c>
      <c r="L804" s="3" t="inlineStr">
        <is>
          <t>Renewal</t>
        </is>
      </c>
      <c r="M804" s="3" t="n">
        <v>1.49</v>
      </c>
      <c r="N804" s="28" t="n">
        <v>30000</v>
      </c>
      <c r="O804" s="28" t="n">
        <v>4200</v>
      </c>
      <c r="P804" s="28" t="n">
        <v>44700</v>
      </c>
      <c r="Q804" s="28" t="n">
        <v>44700</v>
      </c>
      <c r="R804" s="28" t="n">
        <v>0</v>
      </c>
      <c r="S804" s="42" t="n">
        <v>1</v>
      </c>
      <c r="T804" s="3" t="n">
        <v>26</v>
      </c>
      <c r="U804" s="3" t="n">
        <v>0</v>
      </c>
      <c r="V804" s="3" t="n">
        <v>45291.67</v>
      </c>
      <c r="W804" s="42" t="n">
        <v>0.1518</v>
      </c>
      <c r="X804" s="23" t="n">
        <v>44427</v>
      </c>
      <c r="Y804" s="3">
        <f>IF(I804="","No SIC",IFERROR(VLOOKUP(I804,Ref!$A$2:$B$65,2,FALSE()),"Unclassified"))</f>
        <v/>
      </c>
      <c r="Z804" s="3">
        <f>IF(T804="","",IF(T804&lt;12,"Daily","Weekly"))</f>
        <v/>
      </c>
      <c r="AA804" s="3">
        <f>IF(T804="",0,IF(T804&lt;12,T804*Controls!$B$13,T804*5))</f>
        <v/>
      </c>
      <c r="AB804" s="3">
        <f>IF(E804="",0,NETWORKDAYS(E804,Controls!$B$20,Ref!$K$2:$K$42))</f>
        <v/>
      </c>
      <c r="AC804" s="3">
        <f>IF(OR(AF804=1,AND(AA804&gt;0,AB804&gt;=Controls!$B$23*AA804)),1,0)</f>
        <v/>
      </c>
      <c r="AD804" s="3">
        <f>IF(AND(E804&lt;&gt;"",E804&gt;=Controls!$B$21,E804&lt;=Controls!$B$22),1,0)</f>
        <v/>
      </c>
      <c r="AE804" s="3">
        <f>IF(IFERROR(VLOOKUP(D804,Controls!$A$36:$E$46,2,FALSE()),"No")="Yes",1,0)</f>
        <v/>
      </c>
      <c r="AF804" s="3">
        <f>IF(IFERROR(VLOOKUP(D804,Controls!$A$36:$E$46,3,FALSE()),"No")="Yes",1,0)</f>
        <v/>
      </c>
      <c r="AG804" s="3">
        <f>IF(IFERROR(VLOOKUP(D804,Controls!$A$36:$E$46,4,FALSE()),"No")="Yes",1,0)</f>
        <v/>
      </c>
      <c r="AH804" s="3">
        <f>IF(IFERROR(VLOOKUP(D804,Controls!$A$36:$E$46,5,FALSE()),"No")="Yes",1,0)</f>
        <v/>
      </c>
      <c r="AI804" s="3">
        <f>IF(ISNUMBER(MATCH(D804,Controls!$A$36:$A$46,0)),1,0)</f>
        <v/>
      </c>
      <c r="AJ804" s="28">
        <f>Q804-N804</f>
        <v/>
      </c>
      <c r="AK804" s="3">
        <f>IF(AE804=1,MAX(0,N804-Q804),0)</f>
        <v/>
      </c>
      <c r="AL804" s="3">
        <f>IF(OR(V804="",V804=0),0,N804/V804)</f>
        <v/>
      </c>
      <c r="AM804" s="3">
        <f>IF(OR(V804="",V804=0),0,1)</f>
        <v/>
      </c>
      <c r="AN804" s="3">
        <f>IF(OR(E804="",F804=""),0,NETWORKDAYS(E804,F804,Ref!$K$2:$K$42))</f>
        <v/>
      </c>
      <c r="AO804" s="3">
        <f>IF(L804="Renewal",1,0)</f>
        <v/>
      </c>
      <c r="AP804" s="3">
        <f>AC804*AD804</f>
        <v/>
      </c>
      <c r="AQ804" s="3">
        <f>IF(AND(G804&lt;&gt;"",'Historical Score'!$C$6&lt;&gt;""),IF(G804='Historical Score'!$C$6,1,0),0)</f>
        <v/>
      </c>
      <c r="AR804" s="3">
        <f>IF(AND(L804&lt;&gt;"",'Historical Score'!$C$5&lt;&gt;""),IF(L804='Historical Score'!$C$5,1,0),0)</f>
        <v/>
      </c>
      <c r="AS804" s="3">
        <f>IF(AND(Y804&lt;&gt;"",'Historical Score'!$C$7&lt;&gt;""),IF(Y804='Historical Score'!$C$7,1,0),0)</f>
        <v/>
      </c>
      <c r="AT804" s="3">
        <f>IF(AND(K804&lt;&gt;"",'Historical Score'!$C$8&lt;&gt;""),IF(K804='Historical Score'!$C$8,1,0),0)</f>
        <v/>
      </c>
      <c r="AU804" s="3" t="n"/>
      <c r="AV804" s="3" t="n"/>
      <c r="AW804" s="3" t="n"/>
      <c r="AX804" s="3" t="n"/>
      <c r="AY804" s="3" t="n"/>
      <c r="AZ804" s="3" t="n"/>
      <c r="BA804" s="182">
        <f>IF(AD804=1,(AR804*'Historical Score'!$K$29+1-'Historical Score'!$K$29)*(AT804*'Historical Score'!$L$29+1-'Historical Score'!$L$29)*(AS804*'Historical Score'!$M$29+1-'Historical Score'!$M$29)*(AQ804*'Historical Score'!$N$29+1-'Historical Score'!$N$29),0)</f>
        <v/>
      </c>
      <c r="BB804" s="3" t="n"/>
      <c r="BC804" s="3" t="n"/>
    </row>
    <row r="805" ht="15.75" customHeight="1" s="174">
      <c r="A805" s="3" t="inlineStr">
        <is>
          <t>5674182104</t>
        </is>
      </c>
      <c r="B805" s="3" t="inlineStr">
        <is>
          <t>TAVERN ON THE HILL</t>
        </is>
      </c>
      <c r="C805" s="3" t="inlineStr">
        <is>
          <t>TAVERN ON THE HILL LLC</t>
        </is>
      </c>
      <c r="D805" s="3" t="inlineStr">
        <is>
          <t>Open</t>
        </is>
      </c>
      <c r="E805" s="23" t="n">
        <v>46132</v>
      </c>
      <c r="F805" s="23" t="n">
        <v>46248</v>
      </c>
      <c r="G805" s="3" t="n">
        <v>3</v>
      </c>
      <c r="H805" s="3" t="inlineStr">
        <is>
          <t>5812</t>
        </is>
      </c>
      <c r="I805" s="3" t="inlineStr">
        <is>
          <t>58</t>
        </is>
      </c>
      <c r="J805" s="3" t="inlineStr">
        <is>
          <t>PA</t>
        </is>
      </c>
      <c r="K805" s="3" t="inlineStr">
        <is>
          <t>Ballicci</t>
        </is>
      </c>
      <c r="L805" s="3" t="inlineStr">
        <is>
          <t>New Deal</t>
        </is>
      </c>
      <c r="M805" s="3" t="n">
        <v>1.4</v>
      </c>
      <c r="N805" s="28" t="n">
        <v>20000</v>
      </c>
      <c r="O805" s="28" t="n">
        <v>1900</v>
      </c>
      <c r="P805" s="28" t="n">
        <v>28000</v>
      </c>
      <c r="Q805" s="28" t="n">
        <v>15410.78</v>
      </c>
      <c r="R805" s="28" t="n">
        <v>12589.22</v>
      </c>
      <c r="S805" s="42" t="n">
        <v>0.550385</v>
      </c>
      <c r="T805" s="3" t="n">
        <v>20</v>
      </c>
      <c r="U805" s="3" t="n">
        <v>6</v>
      </c>
      <c r="V805" s="3" t="n">
        <v>94025.75999999999</v>
      </c>
      <c r="W805" s="42" t="n">
        <v>0.0596</v>
      </c>
      <c r="X805" s="23" t="n">
        <v>38949</v>
      </c>
      <c r="Y805" s="3">
        <f>IF(I805="","No SIC",IFERROR(VLOOKUP(I805,Ref!$A$2:$B$65,2,FALSE()),"Unclassified"))</f>
        <v/>
      </c>
      <c r="Z805" s="3">
        <f>IF(T805="","",IF(T805&lt;12,"Daily","Weekly"))</f>
        <v/>
      </c>
      <c r="AA805" s="3">
        <f>IF(T805="",0,IF(T805&lt;12,T805*Controls!$B$13,T805*5))</f>
        <v/>
      </c>
      <c r="AB805" s="3">
        <f>IF(E805="",0,NETWORKDAYS(E805,Controls!$B$20,Ref!$K$2:$K$42))</f>
        <v/>
      </c>
      <c r="AC805" s="3">
        <f>IF(OR(AF805=1,AND(AA805&gt;0,AB805&gt;=Controls!$B$23*AA805)),1,0)</f>
        <v/>
      </c>
      <c r="AD805" s="3">
        <f>IF(AND(E805&lt;&gt;"",E805&gt;=Controls!$B$21,E805&lt;=Controls!$B$22),1,0)</f>
        <v/>
      </c>
      <c r="AE805" s="3">
        <f>IF(IFERROR(VLOOKUP(D805,Controls!$A$36:$E$46,2,FALSE()),"No")="Yes",1,0)</f>
        <v/>
      </c>
      <c r="AF805" s="3">
        <f>IF(IFERROR(VLOOKUP(D805,Controls!$A$36:$E$46,3,FALSE()),"No")="Yes",1,0)</f>
        <v/>
      </c>
      <c r="AG805" s="3">
        <f>IF(IFERROR(VLOOKUP(D805,Controls!$A$36:$E$46,4,FALSE()),"No")="Yes",1,0)</f>
        <v/>
      </c>
      <c r="AH805" s="3">
        <f>IF(IFERROR(VLOOKUP(D805,Controls!$A$36:$E$46,5,FALSE()),"No")="Yes",1,0)</f>
        <v/>
      </c>
      <c r="AI805" s="3">
        <f>IF(ISNUMBER(MATCH(D805,Controls!$A$36:$A$46,0)),1,0)</f>
        <v/>
      </c>
      <c r="AJ805" s="28">
        <f>Q805-N805</f>
        <v/>
      </c>
      <c r="AK805" s="3">
        <f>IF(AE805=1,MAX(0,N805-Q805),0)</f>
        <v/>
      </c>
      <c r="AL805" s="3">
        <f>IF(OR(V805="",V805=0),0,N805/V805)</f>
        <v/>
      </c>
      <c r="AM805" s="3">
        <f>IF(OR(V805="",V805=0),0,1)</f>
        <v/>
      </c>
      <c r="AN805" s="3">
        <f>IF(OR(E805="",F805=""),0,NETWORKDAYS(E805,F805,Ref!$K$2:$K$42))</f>
        <v/>
      </c>
      <c r="AO805" s="3">
        <f>IF(L805="Renewal",1,0)</f>
        <v/>
      </c>
      <c r="AP805" s="3">
        <f>AC805*AD805</f>
        <v/>
      </c>
      <c r="AQ805" s="3">
        <f>IF(AND(G805&lt;&gt;"",'Historical Score'!$C$6&lt;&gt;""),IF(G805='Historical Score'!$C$6,1,0),0)</f>
        <v/>
      </c>
      <c r="AR805" s="3">
        <f>IF(AND(L805&lt;&gt;"",'Historical Score'!$C$5&lt;&gt;""),IF(L805='Historical Score'!$C$5,1,0),0)</f>
        <v/>
      </c>
      <c r="AS805" s="3">
        <f>IF(AND(Y805&lt;&gt;"",'Historical Score'!$C$7&lt;&gt;""),IF(Y805='Historical Score'!$C$7,1,0),0)</f>
        <v/>
      </c>
      <c r="AT805" s="3">
        <f>IF(AND(K805&lt;&gt;"",'Historical Score'!$C$8&lt;&gt;""),IF(K805='Historical Score'!$C$8,1,0),0)</f>
        <v/>
      </c>
      <c r="AU805" s="3" t="n"/>
      <c r="AV805" s="3" t="n"/>
      <c r="AW805" s="3" t="n"/>
      <c r="AX805" s="3" t="n"/>
      <c r="AY805" s="3" t="n"/>
      <c r="AZ805" s="3" t="n"/>
      <c r="BA805" s="182">
        <f>IF(AD805=1,(AR805*'Historical Score'!$K$29+1-'Historical Score'!$K$29)*(AT805*'Historical Score'!$L$29+1-'Historical Score'!$L$29)*(AS805*'Historical Score'!$M$29+1-'Historical Score'!$M$29)*(AQ805*'Historical Score'!$N$29+1-'Historical Score'!$N$29),0)</f>
        <v/>
      </c>
      <c r="BB805" s="3" t="n"/>
      <c r="BC805" s="3" t="n"/>
    </row>
    <row r="806" ht="15.75" customHeight="1" s="174">
      <c r="A806" s="3" t="inlineStr">
        <is>
          <t>5674182144</t>
        </is>
      </c>
      <c r="B806" s="3" t="inlineStr">
        <is>
          <t>REVUP ENTERPRISES LLC</t>
        </is>
      </c>
      <c r="C806" s="3" t="inlineStr">
        <is>
          <t>REVUP ENTERPRISES LLC</t>
        </is>
      </c>
      <c r="D806" s="3" t="inlineStr">
        <is>
          <t>Closed</t>
        </is>
      </c>
      <c r="E806" s="23" t="n">
        <v>46133</v>
      </c>
      <c r="F806" s="23" t="n">
        <v>46177</v>
      </c>
      <c r="G806" s="3" t="n">
        <v>3</v>
      </c>
      <c r="H806" s="3" t="inlineStr">
        <is>
          <t>7538</t>
        </is>
      </c>
      <c r="I806" s="3" t="inlineStr">
        <is>
          <t>75</t>
        </is>
      </c>
      <c r="J806" s="3" t="inlineStr">
        <is>
          <t>TX</t>
        </is>
      </c>
      <c r="K806" s="3" t="inlineStr">
        <is>
          <t>PMF</t>
        </is>
      </c>
      <c r="L806" s="3" t="inlineStr">
        <is>
          <t>New Deal</t>
        </is>
      </c>
      <c r="M806" s="3" t="n">
        <v>1.49</v>
      </c>
      <c r="N806" s="28" t="n">
        <v>8500</v>
      </c>
      <c r="O806" s="28" t="n">
        <v>1190</v>
      </c>
      <c r="P806" s="28" t="n">
        <v>12665</v>
      </c>
      <c r="Q806" s="28" t="n">
        <v>12665</v>
      </c>
      <c r="R806" s="28" t="n">
        <v>0</v>
      </c>
      <c r="S806" s="42" t="n">
        <v>1</v>
      </c>
      <c r="T806" s="3" t="n">
        <v>1.311</v>
      </c>
      <c r="U806" s="3" t="n">
        <v>0</v>
      </c>
      <c r="V806" s="3" t="n">
        <v>94553.25</v>
      </c>
      <c r="W806" s="42" t="n">
        <v>0.0703</v>
      </c>
      <c r="X806" s="23" t="n">
        <v>45465</v>
      </c>
      <c r="Y806" s="3">
        <f>IF(I806="","No SIC",IFERROR(VLOOKUP(I806,Ref!$A$2:$B$65,2,FALSE()),"Unclassified"))</f>
        <v/>
      </c>
      <c r="Z806" s="3">
        <f>IF(T806="","",IF(T806&lt;12,"Daily","Weekly"))</f>
        <v/>
      </c>
      <c r="AA806" s="3">
        <f>IF(T806="",0,IF(T806&lt;12,T806*Controls!$B$13,T806*5))</f>
        <v/>
      </c>
      <c r="AB806" s="3">
        <f>IF(E806="",0,NETWORKDAYS(E806,Controls!$B$20,Ref!$K$2:$K$42))</f>
        <v/>
      </c>
      <c r="AC806" s="3">
        <f>IF(OR(AF806=1,AND(AA806&gt;0,AB806&gt;=Controls!$B$23*AA806)),1,0)</f>
        <v/>
      </c>
      <c r="AD806" s="3">
        <f>IF(AND(E806&lt;&gt;"",E806&gt;=Controls!$B$21,E806&lt;=Controls!$B$22),1,0)</f>
        <v/>
      </c>
      <c r="AE806" s="3">
        <f>IF(IFERROR(VLOOKUP(D806,Controls!$A$36:$E$46,2,FALSE()),"No")="Yes",1,0)</f>
        <v/>
      </c>
      <c r="AF806" s="3">
        <f>IF(IFERROR(VLOOKUP(D806,Controls!$A$36:$E$46,3,FALSE()),"No")="Yes",1,0)</f>
        <v/>
      </c>
      <c r="AG806" s="3">
        <f>IF(IFERROR(VLOOKUP(D806,Controls!$A$36:$E$46,4,FALSE()),"No")="Yes",1,0)</f>
        <v/>
      </c>
      <c r="AH806" s="3">
        <f>IF(IFERROR(VLOOKUP(D806,Controls!$A$36:$E$46,5,FALSE()),"No")="Yes",1,0)</f>
        <v/>
      </c>
      <c r="AI806" s="3">
        <f>IF(ISNUMBER(MATCH(D806,Controls!$A$36:$A$46,0)),1,0)</f>
        <v/>
      </c>
      <c r="AJ806" s="28">
        <f>Q806-N806</f>
        <v/>
      </c>
      <c r="AK806" s="3">
        <f>IF(AE806=1,MAX(0,N806-Q806),0)</f>
        <v/>
      </c>
      <c r="AL806" s="3">
        <f>IF(OR(V806="",V806=0),0,N806/V806)</f>
        <v/>
      </c>
      <c r="AM806" s="3">
        <f>IF(OR(V806="",V806=0),0,1)</f>
        <v/>
      </c>
      <c r="AN806" s="3">
        <f>IF(OR(E806="",F806=""),0,NETWORKDAYS(E806,F806,Ref!$K$2:$K$42))</f>
        <v/>
      </c>
      <c r="AO806" s="3">
        <f>IF(L806="Renewal",1,0)</f>
        <v/>
      </c>
      <c r="AP806" s="3">
        <f>AC806*AD806</f>
        <v/>
      </c>
      <c r="AQ806" s="3">
        <f>IF(AND(G806&lt;&gt;"",'Historical Score'!$C$6&lt;&gt;""),IF(G806='Historical Score'!$C$6,1,0),0)</f>
        <v/>
      </c>
      <c r="AR806" s="3">
        <f>IF(AND(L806&lt;&gt;"",'Historical Score'!$C$5&lt;&gt;""),IF(L806='Historical Score'!$C$5,1,0),0)</f>
        <v/>
      </c>
      <c r="AS806" s="3">
        <f>IF(AND(Y806&lt;&gt;"",'Historical Score'!$C$7&lt;&gt;""),IF(Y806='Historical Score'!$C$7,1,0),0)</f>
        <v/>
      </c>
      <c r="AT806" s="3">
        <f>IF(AND(K806&lt;&gt;"",'Historical Score'!$C$8&lt;&gt;""),IF(K806='Historical Score'!$C$8,1,0),0)</f>
        <v/>
      </c>
      <c r="AU806" s="3" t="n"/>
      <c r="AV806" s="3" t="n"/>
      <c r="AW806" s="3" t="n"/>
      <c r="AX806" s="3" t="n"/>
      <c r="AY806" s="3" t="n"/>
      <c r="AZ806" s="3" t="n"/>
      <c r="BA806" s="182">
        <f>IF(AD806=1,(AR806*'Historical Score'!$K$29+1-'Historical Score'!$K$29)*(AT806*'Historical Score'!$L$29+1-'Historical Score'!$L$29)*(AS806*'Historical Score'!$M$29+1-'Historical Score'!$M$29)*(AQ806*'Historical Score'!$N$29+1-'Historical Score'!$N$29),0)</f>
        <v/>
      </c>
      <c r="BB806" s="3" t="n"/>
      <c r="BC806" s="3" t="n"/>
    </row>
    <row r="807" ht="15.75" customHeight="1" s="174">
      <c r="A807" s="3" t="inlineStr">
        <is>
          <t>5674182179</t>
        </is>
      </c>
      <c r="B807" s="3" t="inlineStr">
        <is>
          <t>JIMMY IN THE HOUSE SERVICES LLC</t>
        </is>
      </c>
      <c r="C807" s="3" t="inlineStr">
        <is>
          <t>JIMMY IN THE HOUSE SERVICES LLC</t>
        </is>
      </c>
      <c r="D807" s="3" t="inlineStr">
        <is>
          <t>Open</t>
        </is>
      </c>
      <c r="E807" s="23" t="n">
        <v>46133</v>
      </c>
      <c r="F807" s="23" t="n">
        <v>46253</v>
      </c>
      <c r="G807" s="3" t="n">
        <v>3</v>
      </c>
      <c r="H807" s="3" t="inlineStr">
        <is>
          <t>7217</t>
        </is>
      </c>
      <c r="I807" s="3" t="inlineStr">
        <is>
          <t>72</t>
        </is>
      </c>
      <c r="J807" s="3" t="inlineStr">
        <is>
          <t>KS</t>
        </is>
      </c>
      <c r="K807" s="3" t="inlineStr">
        <is>
          <t>level 3 funding</t>
        </is>
      </c>
      <c r="L807" s="3" t="inlineStr">
        <is>
          <t>Renewal</t>
        </is>
      </c>
      <c r="M807" s="3" t="n">
        <v>1.49</v>
      </c>
      <c r="N807" s="28" t="n">
        <v>7500</v>
      </c>
      <c r="O807" s="28" t="n">
        <v>1050</v>
      </c>
      <c r="P807" s="28" t="n">
        <v>11175</v>
      </c>
      <c r="Q807" s="28" t="n">
        <v>3677.81</v>
      </c>
      <c r="R807" s="28" t="n">
        <v>7497.19</v>
      </c>
      <c r="S807" s="42" t="n">
        <v>0.329110514541387</v>
      </c>
      <c r="T807" s="3" t="n">
        <v>4.098</v>
      </c>
      <c r="U807" s="3" t="n">
        <v>48</v>
      </c>
      <c r="V807" s="3" t="n">
        <v>34534.9</v>
      </c>
      <c r="W807" s="42" t="n">
        <v>0.0444</v>
      </c>
      <c r="X807" s="23" t="n">
        <v>44289</v>
      </c>
      <c r="Y807" s="3">
        <f>IF(I807="","No SIC",IFERROR(VLOOKUP(I807,Ref!$A$2:$B$65,2,FALSE()),"Unclassified"))</f>
        <v/>
      </c>
      <c r="Z807" s="3">
        <f>IF(T807="","",IF(T807&lt;12,"Daily","Weekly"))</f>
        <v/>
      </c>
      <c r="AA807" s="3">
        <f>IF(T807="",0,IF(T807&lt;12,T807*Controls!$B$13,T807*5))</f>
        <v/>
      </c>
      <c r="AB807" s="3">
        <f>IF(E807="",0,NETWORKDAYS(E807,Controls!$B$20,Ref!$K$2:$K$42))</f>
        <v/>
      </c>
      <c r="AC807" s="3">
        <f>IF(OR(AF807=1,AND(AA807&gt;0,AB807&gt;=Controls!$B$23*AA807)),1,0)</f>
        <v/>
      </c>
      <c r="AD807" s="3">
        <f>IF(AND(E807&lt;&gt;"",E807&gt;=Controls!$B$21,E807&lt;=Controls!$B$22),1,0)</f>
        <v/>
      </c>
      <c r="AE807" s="3">
        <f>IF(IFERROR(VLOOKUP(D807,Controls!$A$36:$E$46,2,FALSE()),"No")="Yes",1,0)</f>
        <v/>
      </c>
      <c r="AF807" s="3">
        <f>IF(IFERROR(VLOOKUP(D807,Controls!$A$36:$E$46,3,FALSE()),"No")="Yes",1,0)</f>
        <v/>
      </c>
      <c r="AG807" s="3">
        <f>IF(IFERROR(VLOOKUP(D807,Controls!$A$36:$E$46,4,FALSE()),"No")="Yes",1,0)</f>
        <v/>
      </c>
      <c r="AH807" s="3">
        <f>IF(IFERROR(VLOOKUP(D807,Controls!$A$36:$E$46,5,FALSE()),"No")="Yes",1,0)</f>
        <v/>
      </c>
      <c r="AI807" s="3">
        <f>IF(ISNUMBER(MATCH(D807,Controls!$A$36:$A$46,0)),1,0)</f>
        <v/>
      </c>
      <c r="AJ807" s="28">
        <f>Q807-N807</f>
        <v/>
      </c>
      <c r="AK807" s="3">
        <f>IF(AE807=1,MAX(0,N807-Q807),0)</f>
        <v/>
      </c>
      <c r="AL807" s="3">
        <f>IF(OR(V807="",V807=0),0,N807/V807)</f>
        <v/>
      </c>
      <c r="AM807" s="3">
        <f>IF(OR(V807="",V807=0),0,1)</f>
        <v/>
      </c>
      <c r="AN807" s="3">
        <f>IF(OR(E807="",F807=""),0,NETWORKDAYS(E807,F807,Ref!$K$2:$K$42))</f>
        <v/>
      </c>
      <c r="AO807" s="3">
        <f>IF(L807="Renewal",1,0)</f>
        <v/>
      </c>
      <c r="AP807" s="3">
        <f>AC807*AD807</f>
        <v/>
      </c>
      <c r="AQ807" s="3">
        <f>IF(AND(G807&lt;&gt;"",'Historical Score'!$C$6&lt;&gt;""),IF(G807='Historical Score'!$C$6,1,0),0)</f>
        <v/>
      </c>
      <c r="AR807" s="3">
        <f>IF(AND(L807&lt;&gt;"",'Historical Score'!$C$5&lt;&gt;""),IF(L807='Historical Score'!$C$5,1,0),0)</f>
        <v/>
      </c>
      <c r="AS807" s="3">
        <f>IF(AND(Y807&lt;&gt;"",'Historical Score'!$C$7&lt;&gt;""),IF(Y807='Historical Score'!$C$7,1,0),0)</f>
        <v/>
      </c>
      <c r="AT807" s="3">
        <f>IF(AND(K807&lt;&gt;"",'Historical Score'!$C$8&lt;&gt;""),IF(K807='Historical Score'!$C$8,1,0),0)</f>
        <v/>
      </c>
      <c r="AU807" s="3" t="n"/>
      <c r="AV807" s="3" t="n"/>
      <c r="AW807" s="3" t="n"/>
      <c r="AX807" s="3" t="n"/>
      <c r="AY807" s="3" t="n"/>
      <c r="AZ807" s="3" t="n"/>
      <c r="BA807" s="182">
        <f>IF(AD807=1,(AR807*'Historical Score'!$K$29+1-'Historical Score'!$K$29)*(AT807*'Historical Score'!$L$29+1-'Historical Score'!$L$29)*(AS807*'Historical Score'!$M$29+1-'Historical Score'!$M$29)*(AQ807*'Historical Score'!$N$29+1-'Historical Score'!$N$29),0)</f>
        <v/>
      </c>
      <c r="BB807" s="3" t="n"/>
      <c r="BC807" s="3" t="n"/>
    </row>
    <row r="808" ht="15.75" customHeight="1" s="174">
      <c r="A808" s="3" t="inlineStr">
        <is>
          <t>5674182193</t>
        </is>
      </c>
      <c r="B808" s="3" t="inlineStr">
        <is>
          <t>PARIKH LAW GROUP</t>
        </is>
      </c>
      <c r="C808" s="3" t="inlineStr">
        <is>
          <t>PARIKH LAW GROUP LLC</t>
        </is>
      </c>
      <c r="D808" s="3" t="inlineStr">
        <is>
          <t>Open</t>
        </is>
      </c>
      <c r="E808" s="23" t="n">
        <v>46133</v>
      </c>
      <c r="F808" s="23" t="n">
        <v>46253</v>
      </c>
      <c r="G808" s="3" t="n">
        <v>4</v>
      </c>
      <c r="H808" s="3" t="inlineStr">
        <is>
          <t>8111</t>
        </is>
      </c>
      <c r="I808" s="3" t="inlineStr">
        <is>
          <t>81</t>
        </is>
      </c>
      <c r="J808" s="3" t="inlineStr">
        <is>
          <t>IL</t>
        </is>
      </c>
      <c r="K808" s="3" t="inlineStr">
        <is>
          <t>Westwood</t>
        </is>
      </c>
      <c r="L808" s="3" t="inlineStr">
        <is>
          <t>Renewal</t>
        </is>
      </c>
      <c r="M808" s="3" t="n">
        <v>1.49</v>
      </c>
      <c r="N808" s="28" t="n">
        <v>210000</v>
      </c>
      <c r="O808" s="28" t="n">
        <v>31500</v>
      </c>
      <c r="P808" s="28" t="n">
        <v>312900</v>
      </c>
      <c r="Q808" s="28" t="n">
        <v>98912.60000000001</v>
      </c>
      <c r="R808" s="28" t="n">
        <v>213987.4</v>
      </c>
      <c r="S808" s="42" t="n">
        <v>0.31611569191435</v>
      </c>
      <c r="T808" s="3" t="n">
        <v>3.77</v>
      </c>
      <c r="U808" s="3" t="n">
        <v>39</v>
      </c>
      <c r="V808" s="3" t="n">
        <v>215089.84</v>
      </c>
      <c r="W808" s="42" t="n">
        <v>0.2148</v>
      </c>
      <c r="X808" s="23" t="n">
        <v>40198</v>
      </c>
      <c r="Y808" s="3">
        <f>IF(I808="","No SIC",IFERROR(VLOOKUP(I808,Ref!$A$2:$B$65,2,FALSE()),"Unclassified"))</f>
        <v/>
      </c>
      <c r="Z808" s="3">
        <f>IF(T808="","",IF(T808&lt;12,"Daily","Weekly"))</f>
        <v/>
      </c>
      <c r="AA808" s="3">
        <f>IF(T808="",0,IF(T808&lt;12,T808*Controls!$B$13,T808*5))</f>
        <v/>
      </c>
      <c r="AB808" s="3">
        <f>IF(E808="",0,NETWORKDAYS(E808,Controls!$B$20,Ref!$K$2:$K$42))</f>
        <v/>
      </c>
      <c r="AC808" s="3">
        <f>IF(OR(AF808=1,AND(AA808&gt;0,AB808&gt;=Controls!$B$23*AA808)),1,0)</f>
        <v/>
      </c>
      <c r="AD808" s="3">
        <f>IF(AND(E808&lt;&gt;"",E808&gt;=Controls!$B$21,E808&lt;=Controls!$B$22),1,0)</f>
        <v/>
      </c>
      <c r="AE808" s="3">
        <f>IF(IFERROR(VLOOKUP(D808,Controls!$A$36:$E$46,2,FALSE()),"No")="Yes",1,0)</f>
        <v/>
      </c>
      <c r="AF808" s="3">
        <f>IF(IFERROR(VLOOKUP(D808,Controls!$A$36:$E$46,3,FALSE()),"No")="Yes",1,0)</f>
        <v/>
      </c>
      <c r="AG808" s="3">
        <f>IF(IFERROR(VLOOKUP(D808,Controls!$A$36:$E$46,4,FALSE()),"No")="Yes",1,0)</f>
        <v/>
      </c>
      <c r="AH808" s="3">
        <f>IF(IFERROR(VLOOKUP(D808,Controls!$A$36:$E$46,5,FALSE()),"No")="Yes",1,0)</f>
        <v/>
      </c>
      <c r="AI808" s="3">
        <f>IF(ISNUMBER(MATCH(D808,Controls!$A$36:$A$46,0)),1,0)</f>
        <v/>
      </c>
      <c r="AJ808" s="28">
        <f>Q808-N808</f>
        <v/>
      </c>
      <c r="AK808" s="3">
        <f>IF(AE808=1,MAX(0,N808-Q808),0)</f>
        <v/>
      </c>
      <c r="AL808" s="3">
        <f>IF(OR(V808="",V808=0),0,N808/V808)</f>
        <v/>
      </c>
      <c r="AM808" s="3">
        <f>IF(OR(V808="",V808=0),0,1)</f>
        <v/>
      </c>
      <c r="AN808" s="3">
        <f>IF(OR(E808="",F808=""),0,NETWORKDAYS(E808,F808,Ref!$K$2:$K$42))</f>
        <v/>
      </c>
      <c r="AO808" s="3">
        <f>IF(L808="Renewal",1,0)</f>
        <v/>
      </c>
      <c r="AP808" s="3">
        <f>AC808*AD808</f>
        <v/>
      </c>
      <c r="AQ808" s="3">
        <f>IF(AND(G808&lt;&gt;"",'Historical Score'!$C$6&lt;&gt;""),IF(G808='Historical Score'!$C$6,1,0),0)</f>
        <v/>
      </c>
      <c r="AR808" s="3">
        <f>IF(AND(L808&lt;&gt;"",'Historical Score'!$C$5&lt;&gt;""),IF(L808='Historical Score'!$C$5,1,0),0)</f>
        <v/>
      </c>
      <c r="AS808" s="3">
        <f>IF(AND(Y808&lt;&gt;"",'Historical Score'!$C$7&lt;&gt;""),IF(Y808='Historical Score'!$C$7,1,0),0)</f>
        <v/>
      </c>
      <c r="AT808" s="3">
        <f>IF(AND(K808&lt;&gt;"",'Historical Score'!$C$8&lt;&gt;""),IF(K808='Historical Score'!$C$8,1,0),0)</f>
        <v/>
      </c>
      <c r="AU808" s="3" t="n"/>
      <c r="AV808" s="3" t="n"/>
      <c r="AW808" s="3" t="n"/>
      <c r="AX808" s="3" t="n"/>
      <c r="AY808" s="3" t="n"/>
      <c r="AZ808" s="3" t="n"/>
      <c r="BA808" s="182">
        <f>IF(AD808=1,(AR808*'Historical Score'!$K$29+1-'Historical Score'!$K$29)*(AT808*'Historical Score'!$L$29+1-'Historical Score'!$L$29)*(AS808*'Historical Score'!$M$29+1-'Historical Score'!$M$29)*(AQ808*'Historical Score'!$N$29+1-'Historical Score'!$N$29),0)</f>
        <v/>
      </c>
      <c r="BB808" s="3" t="n"/>
      <c r="BC808" s="3" t="n"/>
    </row>
    <row r="809" ht="15.75" customHeight="1" s="174">
      <c r="A809" s="3" t="inlineStr">
        <is>
          <t>5674182197</t>
        </is>
      </c>
      <c r="B809" s="3" t="inlineStr">
        <is>
          <t>Brass Kisses</t>
        </is>
      </c>
      <c r="C809" s="3" t="inlineStr">
        <is>
          <t>Douglas Alan, LLC</t>
        </is>
      </c>
      <c r="D809" s="3" t="inlineStr">
        <is>
          <t>Open</t>
        </is>
      </c>
      <c r="E809" s="23" t="n">
        <v>46133</v>
      </c>
      <c r="F809" s="23" t="n">
        <v>46211</v>
      </c>
      <c r="G809" s="3" t="n">
        <v>3</v>
      </c>
      <c r="H809" s="3" t="inlineStr">
        <is>
          <t>5999</t>
        </is>
      </c>
      <c r="I809" s="3" t="inlineStr">
        <is>
          <t>59</t>
        </is>
      </c>
      <c r="J809" s="3" t="inlineStr">
        <is>
          <t>UT</t>
        </is>
      </c>
      <c r="K809" s="3" t="inlineStr">
        <is>
          <t>United Secured Capital 8</t>
        </is>
      </c>
      <c r="L809" s="3" t="inlineStr">
        <is>
          <t>New Deal</t>
        </is>
      </c>
      <c r="M809" s="3" t="n">
        <v>1.49</v>
      </c>
      <c r="N809" s="28" t="n">
        <v>25000</v>
      </c>
      <c r="O809" s="28" t="n">
        <v>3500</v>
      </c>
      <c r="P809" s="28" t="n">
        <v>37250</v>
      </c>
      <c r="Q809" s="28" t="n">
        <v>12672.14</v>
      </c>
      <c r="R809" s="28" t="n">
        <v>24577.86</v>
      </c>
      <c r="S809" s="42" t="n">
        <v>0.340191677852349</v>
      </c>
      <c r="T809" s="3" t="n">
        <v>3.279</v>
      </c>
      <c r="U809" s="3" t="n">
        <v>15</v>
      </c>
      <c r="V809" s="3" t="n">
        <v>148238.19</v>
      </c>
      <c r="W809" s="42" t="n">
        <v>0.0528</v>
      </c>
      <c r="X809" s="23" t="n">
        <v>44063</v>
      </c>
      <c r="Y809" s="3">
        <f>IF(I809="","No SIC",IFERROR(VLOOKUP(I809,Ref!$A$2:$B$65,2,FALSE()),"Unclassified"))</f>
        <v/>
      </c>
      <c r="Z809" s="3">
        <f>IF(T809="","",IF(T809&lt;12,"Daily","Weekly"))</f>
        <v/>
      </c>
      <c r="AA809" s="3">
        <f>IF(T809="",0,IF(T809&lt;12,T809*Controls!$B$13,T809*5))</f>
        <v/>
      </c>
      <c r="AB809" s="3">
        <f>IF(E809="",0,NETWORKDAYS(E809,Controls!$B$20,Ref!$K$2:$K$42))</f>
        <v/>
      </c>
      <c r="AC809" s="3">
        <f>IF(OR(AF809=1,AND(AA809&gt;0,AB809&gt;=Controls!$B$23*AA809)),1,0)</f>
        <v/>
      </c>
      <c r="AD809" s="3">
        <f>IF(AND(E809&lt;&gt;"",E809&gt;=Controls!$B$21,E809&lt;=Controls!$B$22),1,0)</f>
        <v/>
      </c>
      <c r="AE809" s="3">
        <f>IF(IFERROR(VLOOKUP(D809,Controls!$A$36:$E$46,2,FALSE()),"No")="Yes",1,0)</f>
        <v/>
      </c>
      <c r="AF809" s="3">
        <f>IF(IFERROR(VLOOKUP(D809,Controls!$A$36:$E$46,3,FALSE()),"No")="Yes",1,0)</f>
        <v/>
      </c>
      <c r="AG809" s="3">
        <f>IF(IFERROR(VLOOKUP(D809,Controls!$A$36:$E$46,4,FALSE()),"No")="Yes",1,0)</f>
        <v/>
      </c>
      <c r="AH809" s="3">
        <f>IF(IFERROR(VLOOKUP(D809,Controls!$A$36:$E$46,5,FALSE()),"No")="Yes",1,0)</f>
        <v/>
      </c>
      <c r="AI809" s="3">
        <f>IF(ISNUMBER(MATCH(D809,Controls!$A$36:$A$46,0)),1,0)</f>
        <v/>
      </c>
      <c r="AJ809" s="28">
        <f>Q809-N809</f>
        <v/>
      </c>
      <c r="AK809" s="3">
        <f>IF(AE809=1,MAX(0,N809-Q809),0)</f>
        <v/>
      </c>
      <c r="AL809" s="3">
        <f>IF(OR(V809="",V809=0),0,N809/V809)</f>
        <v/>
      </c>
      <c r="AM809" s="3">
        <f>IF(OR(V809="",V809=0),0,1)</f>
        <v/>
      </c>
      <c r="AN809" s="3">
        <f>IF(OR(E809="",F809=""),0,NETWORKDAYS(E809,F809,Ref!$K$2:$K$42))</f>
        <v/>
      </c>
      <c r="AO809" s="3">
        <f>IF(L809="Renewal",1,0)</f>
        <v/>
      </c>
      <c r="AP809" s="3">
        <f>AC809*AD809</f>
        <v/>
      </c>
      <c r="AQ809" s="3">
        <f>IF(AND(G809&lt;&gt;"",'Historical Score'!$C$6&lt;&gt;""),IF(G809='Historical Score'!$C$6,1,0),0)</f>
        <v/>
      </c>
      <c r="AR809" s="3">
        <f>IF(AND(L809&lt;&gt;"",'Historical Score'!$C$5&lt;&gt;""),IF(L809='Historical Score'!$C$5,1,0),0)</f>
        <v/>
      </c>
      <c r="AS809" s="3">
        <f>IF(AND(Y809&lt;&gt;"",'Historical Score'!$C$7&lt;&gt;""),IF(Y809='Historical Score'!$C$7,1,0),0)</f>
        <v/>
      </c>
      <c r="AT809" s="3">
        <f>IF(AND(K809&lt;&gt;"",'Historical Score'!$C$8&lt;&gt;""),IF(K809='Historical Score'!$C$8,1,0),0)</f>
        <v/>
      </c>
      <c r="AU809" s="3" t="n"/>
      <c r="AV809" s="3" t="n"/>
      <c r="AW809" s="3" t="n"/>
      <c r="AX809" s="3" t="n"/>
      <c r="AY809" s="3" t="n"/>
      <c r="AZ809" s="3" t="n"/>
      <c r="BA809" s="182">
        <f>IF(AD809=1,(AR809*'Historical Score'!$K$29+1-'Historical Score'!$K$29)*(AT809*'Historical Score'!$L$29+1-'Historical Score'!$L$29)*(AS809*'Historical Score'!$M$29+1-'Historical Score'!$M$29)*(AQ809*'Historical Score'!$N$29+1-'Historical Score'!$N$29),0)</f>
        <v/>
      </c>
      <c r="BB809" s="3" t="n"/>
      <c r="BC809" s="3" t="n"/>
    </row>
    <row r="810" ht="15.75" customHeight="1" s="174">
      <c r="A810" s="3" t="inlineStr">
        <is>
          <t>5674182220</t>
        </is>
      </c>
      <c r="B810" s="3" t="inlineStr">
        <is>
          <t>Design Mix Solutions</t>
        </is>
      </c>
      <c r="C810" s="3" t="inlineStr">
        <is>
          <t>Design Mix Solutions</t>
        </is>
      </c>
      <c r="D810" s="3" t="inlineStr">
        <is>
          <t>In House Collection</t>
        </is>
      </c>
      <c r="E810" s="23" t="n">
        <v>46134</v>
      </c>
      <c r="F810" s="23" t="n">
        <v>46241</v>
      </c>
      <c r="G810" s="3" t="n">
        <v>3</v>
      </c>
      <c r="H810" s="3" t="inlineStr">
        <is>
          <t>5039</t>
        </is>
      </c>
      <c r="I810" s="3" t="inlineStr">
        <is>
          <t>50</t>
        </is>
      </c>
      <c r="J810" s="3" t="inlineStr">
        <is>
          <t>FL</t>
        </is>
      </c>
      <c r="K810" s="3" t="inlineStr">
        <is>
          <t>TRUSTFI</t>
        </is>
      </c>
      <c r="L810" s="3" t="inlineStr">
        <is>
          <t>New Deal</t>
        </is>
      </c>
      <c r="M810" s="3" t="n">
        <v>1.49</v>
      </c>
      <c r="N810" s="28" t="n">
        <v>20000</v>
      </c>
      <c r="O810" s="28" t="n">
        <v>2800</v>
      </c>
      <c r="P810" s="28" t="n">
        <v>29800</v>
      </c>
      <c r="Q810" s="28" t="n">
        <v>17383.1</v>
      </c>
      <c r="R810" s="28" t="n">
        <v>12416.9</v>
      </c>
      <c r="S810" s="42" t="n">
        <v>0.583325503355705</v>
      </c>
      <c r="T810" s="3" t="n">
        <v>24</v>
      </c>
      <c r="U810" s="3" t="n">
        <v>2</v>
      </c>
      <c r="V810" s="3" t="n">
        <v>29829.51</v>
      </c>
      <c r="W810" s="42" t="n">
        <v>0.1665</v>
      </c>
      <c r="X810" s="23" t="n">
        <v>44583</v>
      </c>
      <c r="Y810" s="3">
        <f>IF(I810="","No SIC",IFERROR(VLOOKUP(I810,Ref!$A$2:$B$65,2,FALSE()),"Unclassified"))</f>
        <v/>
      </c>
      <c r="Z810" s="3">
        <f>IF(T810="","",IF(T810&lt;12,"Daily","Weekly"))</f>
        <v/>
      </c>
      <c r="AA810" s="3">
        <f>IF(T810="",0,IF(T810&lt;12,T810*Controls!$B$13,T810*5))</f>
        <v/>
      </c>
      <c r="AB810" s="3">
        <f>IF(E810="",0,NETWORKDAYS(E810,Controls!$B$20,Ref!$K$2:$K$42))</f>
        <v/>
      </c>
      <c r="AC810" s="3">
        <f>IF(OR(AF810=1,AND(AA810&gt;0,AB810&gt;=Controls!$B$23*AA810)),1,0)</f>
        <v/>
      </c>
      <c r="AD810" s="3">
        <f>IF(AND(E810&lt;&gt;"",E810&gt;=Controls!$B$21,E810&lt;=Controls!$B$22),1,0)</f>
        <v/>
      </c>
      <c r="AE810" s="3">
        <f>IF(IFERROR(VLOOKUP(D810,Controls!$A$36:$E$46,2,FALSE()),"No")="Yes",1,0)</f>
        <v/>
      </c>
      <c r="AF810" s="3">
        <f>IF(IFERROR(VLOOKUP(D810,Controls!$A$36:$E$46,3,FALSE()),"No")="Yes",1,0)</f>
        <v/>
      </c>
      <c r="AG810" s="3">
        <f>IF(IFERROR(VLOOKUP(D810,Controls!$A$36:$E$46,4,FALSE()),"No")="Yes",1,0)</f>
        <v/>
      </c>
      <c r="AH810" s="3">
        <f>IF(IFERROR(VLOOKUP(D810,Controls!$A$36:$E$46,5,FALSE()),"No")="Yes",1,0)</f>
        <v/>
      </c>
      <c r="AI810" s="3">
        <f>IF(ISNUMBER(MATCH(D810,Controls!$A$36:$A$46,0)),1,0)</f>
        <v/>
      </c>
      <c r="AJ810" s="28">
        <f>Q810-N810</f>
        <v/>
      </c>
      <c r="AK810" s="3">
        <f>IF(AE810=1,MAX(0,N810-Q810),0)</f>
        <v/>
      </c>
      <c r="AL810" s="3">
        <f>IF(OR(V810="",V810=0),0,N810/V810)</f>
        <v/>
      </c>
      <c r="AM810" s="3">
        <f>IF(OR(V810="",V810=0),0,1)</f>
        <v/>
      </c>
      <c r="AN810" s="3">
        <f>IF(OR(E810="",F810=""),0,NETWORKDAYS(E810,F810,Ref!$K$2:$K$42))</f>
        <v/>
      </c>
      <c r="AO810" s="3">
        <f>IF(L810="Renewal",1,0)</f>
        <v/>
      </c>
      <c r="AP810" s="3">
        <f>AC810*AD810</f>
        <v/>
      </c>
      <c r="AQ810" s="3">
        <f>IF(AND(G810&lt;&gt;"",'Historical Score'!$C$6&lt;&gt;""),IF(G810='Historical Score'!$C$6,1,0),0)</f>
        <v/>
      </c>
      <c r="AR810" s="3">
        <f>IF(AND(L810&lt;&gt;"",'Historical Score'!$C$5&lt;&gt;""),IF(L810='Historical Score'!$C$5,1,0),0)</f>
        <v/>
      </c>
      <c r="AS810" s="3">
        <f>IF(AND(Y810&lt;&gt;"",'Historical Score'!$C$7&lt;&gt;""),IF(Y810='Historical Score'!$C$7,1,0),0)</f>
        <v/>
      </c>
      <c r="AT810" s="3">
        <f>IF(AND(K810&lt;&gt;"",'Historical Score'!$C$8&lt;&gt;""),IF(K810='Historical Score'!$C$8,1,0),0)</f>
        <v/>
      </c>
      <c r="AU810" s="3" t="n"/>
      <c r="AV810" s="3" t="n"/>
      <c r="AW810" s="3" t="n"/>
      <c r="AX810" s="3" t="n"/>
      <c r="AY810" s="3" t="n"/>
      <c r="AZ810" s="3" t="n"/>
      <c r="BA810" s="182">
        <f>IF(AD810=1,(AR810*'Historical Score'!$K$29+1-'Historical Score'!$K$29)*(AT810*'Historical Score'!$L$29+1-'Historical Score'!$L$29)*(AS810*'Historical Score'!$M$29+1-'Historical Score'!$M$29)*(AQ810*'Historical Score'!$N$29+1-'Historical Score'!$N$29),0)</f>
        <v/>
      </c>
      <c r="BB810" s="3" t="n"/>
      <c r="BC810" s="3" t="n"/>
    </row>
    <row r="811" ht="15.75" customHeight="1" s="174">
      <c r="A811" s="3" t="inlineStr">
        <is>
          <t>5674182236</t>
        </is>
      </c>
      <c r="B811" s="3" t="inlineStr">
        <is>
          <t>FIRST STEPS PEDIATRICS, BRUCE R. LANTRY, MD</t>
        </is>
      </c>
      <c r="C811" s="3" t="inlineStr">
        <is>
          <t>First Steps Pediatrics PLLC</t>
        </is>
      </c>
      <c r="D811" s="3" t="inlineStr">
        <is>
          <t>Open</t>
        </is>
      </c>
      <c r="E811" s="23" t="n">
        <v>46134</v>
      </c>
      <c r="F811" s="23" t="n">
        <v>46251</v>
      </c>
      <c r="G811" s="3" t="n">
        <v>4</v>
      </c>
      <c r="H811" s="3" t="inlineStr">
        <is>
          <t>8011</t>
        </is>
      </c>
      <c r="I811" s="3" t="inlineStr">
        <is>
          <t>80</t>
        </is>
      </c>
      <c r="J811" s="3" t="inlineStr">
        <is>
          <t>TX</t>
        </is>
      </c>
      <c r="K811" s="3" t="inlineStr">
        <is>
          <t>Vanguard Equities</t>
        </is>
      </c>
      <c r="L811" s="3" t="inlineStr">
        <is>
          <t>New Deal</t>
        </is>
      </c>
      <c r="M811" s="3" t="n">
        <v>1.49</v>
      </c>
      <c r="N811" s="28" t="n">
        <v>15000</v>
      </c>
      <c r="O811" s="28" t="n">
        <v>2100</v>
      </c>
      <c r="P811" s="28" t="n">
        <v>22350</v>
      </c>
      <c r="Q811" s="28" t="n">
        <v>13966.35</v>
      </c>
      <c r="R811" s="28" t="n">
        <v>8383.65</v>
      </c>
      <c r="S811" s="42" t="n">
        <v>0.624892617449664</v>
      </c>
      <c r="T811" s="3" t="n">
        <v>24</v>
      </c>
      <c r="U811" s="3" t="n">
        <v>2</v>
      </c>
      <c r="V811" s="3" t="n">
        <v>26621.57</v>
      </c>
      <c r="W811" s="42" t="n">
        <v>0.1399</v>
      </c>
      <c r="X811" s="23" t="n">
        <v>36100</v>
      </c>
      <c r="Y811" s="3">
        <f>IF(I811="","No SIC",IFERROR(VLOOKUP(I811,Ref!$A$2:$B$65,2,FALSE()),"Unclassified"))</f>
        <v/>
      </c>
      <c r="Z811" s="3">
        <f>IF(T811="","",IF(T811&lt;12,"Daily","Weekly"))</f>
        <v/>
      </c>
      <c r="AA811" s="3">
        <f>IF(T811="",0,IF(T811&lt;12,T811*Controls!$B$13,T811*5))</f>
        <v/>
      </c>
      <c r="AB811" s="3">
        <f>IF(E811="",0,NETWORKDAYS(E811,Controls!$B$20,Ref!$K$2:$K$42))</f>
        <v/>
      </c>
      <c r="AC811" s="3">
        <f>IF(OR(AF811=1,AND(AA811&gt;0,AB811&gt;=Controls!$B$23*AA811)),1,0)</f>
        <v/>
      </c>
      <c r="AD811" s="3">
        <f>IF(AND(E811&lt;&gt;"",E811&gt;=Controls!$B$21,E811&lt;=Controls!$B$22),1,0)</f>
        <v/>
      </c>
      <c r="AE811" s="3">
        <f>IF(IFERROR(VLOOKUP(D811,Controls!$A$36:$E$46,2,FALSE()),"No")="Yes",1,0)</f>
        <v/>
      </c>
      <c r="AF811" s="3">
        <f>IF(IFERROR(VLOOKUP(D811,Controls!$A$36:$E$46,3,FALSE()),"No")="Yes",1,0)</f>
        <v/>
      </c>
      <c r="AG811" s="3">
        <f>IF(IFERROR(VLOOKUP(D811,Controls!$A$36:$E$46,4,FALSE()),"No")="Yes",1,0)</f>
        <v/>
      </c>
      <c r="AH811" s="3">
        <f>IF(IFERROR(VLOOKUP(D811,Controls!$A$36:$E$46,5,FALSE()),"No")="Yes",1,0)</f>
        <v/>
      </c>
      <c r="AI811" s="3">
        <f>IF(ISNUMBER(MATCH(D811,Controls!$A$36:$A$46,0)),1,0)</f>
        <v/>
      </c>
      <c r="AJ811" s="28">
        <f>Q811-N811</f>
        <v/>
      </c>
      <c r="AK811" s="3">
        <f>IF(AE811=1,MAX(0,N811-Q811),0)</f>
        <v/>
      </c>
      <c r="AL811" s="3">
        <f>IF(OR(V811="",V811=0),0,N811/V811)</f>
        <v/>
      </c>
      <c r="AM811" s="3">
        <f>IF(OR(V811="",V811=0),0,1)</f>
        <v/>
      </c>
      <c r="AN811" s="3">
        <f>IF(OR(E811="",F811=""),0,NETWORKDAYS(E811,F811,Ref!$K$2:$K$42))</f>
        <v/>
      </c>
      <c r="AO811" s="3">
        <f>IF(L811="Renewal",1,0)</f>
        <v/>
      </c>
      <c r="AP811" s="3">
        <f>AC811*AD811</f>
        <v/>
      </c>
      <c r="AQ811" s="3">
        <f>IF(AND(G811&lt;&gt;"",'Historical Score'!$C$6&lt;&gt;""),IF(G811='Historical Score'!$C$6,1,0),0)</f>
        <v/>
      </c>
      <c r="AR811" s="3">
        <f>IF(AND(L811&lt;&gt;"",'Historical Score'!$C$5&lt;&gt;""),IF(L811='Historical Score'!$C$5,1,0),0)</f>
        <v/>
      </c>
      <c r="AS811" s="3">
        <f>IF(AND(Y811&lt;&gt;"",'Historical Score'!$C$7&lt;&gt;""),IF(Y811='Historical Score'!$C$7,1,0),0)</f>
        <v/>
      </c>
      <c r="AT811" s="3">
        <f>IF(AND(K811&lt;&gt;"",'Historical Score'!$C$8&lt;&gt;""),IF(K811='Historical Score'!$C$8,1,0),0)</f>
        <v/>
      </c>
      <c r="AU811" s="3" t="n"/>
      <c r="AV811" s="3" t="n"/>
      <c r="AW811" s="3" t="n"/>
      <c r="AX811" s="3" t="n"/>
      <c r="AY811" s="3" t="n"/>
      <c r="AZ811" s="3" t="n"/>
      <c r="BA811" s="182">
        <f>IF(AD811=1,(AR811*'Historical Score'!$K$29+1-'Historical Score'!$K$29)*(AT811*'Historical Score'!$L$29+1-'Historical Score'!$L$29)*(AS811*'Historical Score'!$M$29+1-'Historical Score'!$M$29)*(AQ811*'Historical Score'!$N$29+1-'Historical Score'!$N$29),0)</f>
        <v/>
      </c>
      <c r="BB811" s="3" t="n"/>
      <c r="BC811" s="3" t="n"/>
    </row>
    <row r="812" ht="15.75" customHeight="1" s="174">
      <c r="A812" s="3" t="inlineStr">
        <is>
          <t>5674182314</t>
        </is>
      </c>
      <c r="B812" s="3" t="inlineStr">
        <is>
          <t>LUKA CONTRACTING SERVICES LLC</t>
        </is>
      </c>
      <c r="C812" s="3" t="inlineStr">
        <is>
          <t>LUKA CONTRACTING SERVICES LLC</t>
        </is>
      </c>
      <c r="D812" s="3" t="inlineStr">
        <is>
          <t>Open</t>
        </is>
      </c>
      <c r="E812" s="23" t="n">
        <v>46135</v>
      </c>
      <c r="F812" s="23" t="n">
        <v>46253</v>
      </c>
      <c r="G812" s="3" t="n">
        <v>3</v>
      </c>
      <c r="H812" s="3" t="inlineStr">
        <is>
          <t>1521</t>
        </is>
      </c>
      <c r="I812" s="3" t="inlineStr">
        <is>
          <t>15</t>
        </is>
      </c>
      <c r="J812" s="3" t="inlineStr">
        <is>
          <t>NJ</t>
        </is>
      </c>
      <c r="K812" s="3" t="inlineStr">
        <is>
          <t>Lend Bull LLC</t>
        </is>
      </c>
      <c r="L812" s="3" t="inlineStr">
        <is>
          <t>New Deal</t>
        </is>
      </c>
      <c r="M812" s="3" t="n">
        <v>1.45</v>
      </c>
      <c r="N812" s="28" t="n">
        <v>30000</v>
      </c>
      <c r="O812" s="28" t="n">
        <v>3600</v>
      </c>
      <c r="P812" s="28" t="n">
        <v>43500</v>
      </c>
      <c r="Q812" s="28" t="n">
        <v>19919.35</v>
      </c>
      <c r="R812" s="28" t="n">
        <v>23580.65</v>
      </c>
      <c r="S812" s="42" t="n">
        <v>0.457916091954023</v>
      </c>
      <c r="T812" s="3" t="n">
        <v>3.934</v>
      </c>
      <c r="U812" s="3" t="n">
        <v>27</v>
      </c>
      <c r="V812" s="3" t="n">
        <v>139553.38</v>
      </c>
      <c r="W812" s="42" t="n">
        <v>0.0545</v>
      </c>
      <c r="X812" s="23" t="n">
        <v>45839</v>
      </c>
      <c r="Y812" s="3">
        <f>IF(I812="","No SIC",IFERROR(VLOOKUP(I812,Ref!$A$2:$B$65,2,FALSE()),"Unclassified"))</f>
        <v/>
      </c>
      <c r="Z812" s="3">
        <f>IF(T812="","",IF(T812&lt;12,"Daily","Weekly"))</f>
        <v/>
      </c>
      <c r="AA812" s="3">
        <f>IF(T812="",0,IF(T812&lt;12,T812*Controls!$B$13,T812*5))</f>
        <v/>
      </c>
      <c r="AB812" s="3">
        <f>IF(E812="",0,NETWORKDAYS(E812,Controls!$B$20,Ref!$K$2:$K$42))</f>
        <v/>
      </c>
      <c r="AC812" s="3">
        <f>IF(OR(AF812=1,AND(AA812&gt;0,AB812&gt;=Controls!$B$23*AA812)),1,0)</f>
        <v/>
      </c>
      <c r="AD812" s="3">
        <f>IF(AND(E812&lt;&gt;"",E812&gt;=Controls!$B$21,E812&lt;=Controls!$B$22),1,0)</f>
        <v/>
      </c>
      <c r="AE812" s="3">
        <f>IF(IFERROR(VLOOKUP(D812,Controls!$A$36:$E$46,2,FALSE()),"No")="Yes",1,0)</f>
        <v/>
      </c>
      <c r="AF812" s="3">
        <f>IF(IFERROR(VLOOKUP(D812,Controls!$A$36:$E$46,3,FALSE()),"No")="Yes",1,0)</f>
        <v/>
      </c>
      <c r="AG812" s="3">
        <f>IF(IFERROR(VLOOKUP(D812,Controls!$A$36:$E$46,4,FALSE()),"No")="Yes",1,0)</f>
        <v/>
      </c>
      <c r="AH812" s="3">
        <f>IF(IFERROR(VLOOKUP(D812,Controls!$A$36:$E$46,5,FALSE()),"No")="Yes",1,0)</f>
        <v/>
      </c>
      <c r="AI812" s="3">
        <f>IF(ISNUMBER(MATCH(D812,Controls!$A$36:$A$46,0)),1,0)</f>
        <v/>
      </c>
      <c r="AJ812" s="28">
        <f>Q812-N812</f>
        <v/>
      </c>
      <c r="AK812" s="3">
        <f>IF(AE812=1,MAX(0,N812-Q812),0)</f>
        <v/>
      </c>
      <c r="AL812" s="3">
        <f>IF(OR(V812="",V812=0),0,N812/V812)</f>
        <v/>
      </c>
      <c r="AM812" s="3">
        <f>IF(OR(V812="",V812=0),0,1)</f>
        <v/>
      </c>
      <c r="AN812" s="3">
        <f>IF(OR(E812="",F812=""),0,NETWORKDAYS(E812,F812,Ref!$K$2:$K$42))</f>
        <v/>
      </c>
      <c r="AO812" s="3">
        <f>IF(L812="Renewal",1,0)</f>
        <v/>
      </c>
      <c r="AP812" s="3">
        <f>AC812*AD812</f>
        <v/>
      </c>
      <c r="AQ812" s="3">
        <f>IF(AND(G812&lt;&gt;"",'Historical Score'!$C$6&lt;&gt;""),IF(G812='Historical Score'!$C$6,1,0),0)</f>
        <v/>
      </c>
      <c r="AR812" s="3">
        <f>IF(AND(L812&lt;&gt;"",'Historical Score'!$C$5&lt;&gt;""),IF(L812='Historical Score'!$C$5,1,0),0)</f>
        <v/>
      </c>
      <c r="AS812" s="3">
        <f>IF(AND(Y812&lt;&gt;"",'Historical Score'!$C$7&lt;&gt;""),IF(Y812='Historical Score'!$C$7,1,0),0)</f>
        <v/>
      </c>
      <c r="AT812" s="3">
        <f>IF(AND(K812&lt;&gt;"",'Historical Score'!$C$8&lt;&gt;""),IF(K812='Historical Score'!$C$8,1,0),0)</f>
        <v/>
      </c>
      <c r="AU812" s="3" t="n"/>
      <c r="AV812" s="3" t="n"/>
      <c r="AW812" s="3" t="n"/>
      <c r="AX812" s="3" t="n"/>
      <c r="AY812" s="3" t="n"/>
      <c r="AZ812" s="3" t="n"/>
      <c r="BA812" s="182">
        <f>IF(AD812=1,(AR812*'Historical Score'!$K$29+1-'Historical Score'!$K$29)*(AT812*'Historical Score'!$L$29+1-'Historical Score'!$L$29)*(AS812*'Historical Score'!$M$29+1-'Historical Score'!$M$29)*(AQ812*'Historical Score'!$N$29+1-'Historical Score'!$N$29),0)</f>
        <v/>
      </c>
      <c r="BB812" s="3" t="n"/>
      <c r="BC812" s="3" t="n"/>
    </row>
    <row r="813" ht="15.75" customHeight="1" s="174">
      <c r="A813" s="3" t="inlineStr">
        <is>
          <t>5674182328</t>
        </is>
      </c>
      <c r="B813" s="3" t="inlineStr">
        <is>
          <t>CORNUCOPIA FARMS LLC</t>
        </is>
      </c>
      <c r="C813" s="3" t="inlineStr">
        <is>
          <t>CORNUCOPIA FARMS LLC</t>
        </is>
      </c>
      <c r="D813" s="3" t="inlineStr">
        <is>
          <t>Open</t>
        </is>
      </c>
      <c r="E813" s="23" t="n">
        <v>46135</v>
      </c>
      <c r="F813" s="23" t="n">
        <v>46253</v>
      </c>
      <c r="G813" s="3" t="n">
        <v>3</v>
      </c>
      <c r="H813" s="3" t="inlineStr">
        <is>
          <t>5999</t>
        </is>
      </c>
      <c r="I813" s="3" t="inlineStr">
        <is>
          <t>59</t>
        </is>
      </c>
      <c r="J813" s="3" t="inlineStr">
        <is>
          <t>GA</t>
        </is>
      </c>
      <c r="K813" s="3" t="inlineStr">
        <is>
          <t>United Secured Capital 8</t>
        </is>
      </c>
      <c r="L813" s="3" t="inlineStr">
        <is>
          <t>Renewal</t>
        </is>
      </c>
      <c r="M813" s="3" t="n">
        <v>1.49</v>
      </c>
      <c r="N813" s="28" t="n">
        <v>40000</v>
      </c>
      <c r="O813" s="28" t="n">
        <v>5600</v>
      </c>
      <c r="P813" s="28" t="n">
        <v>59600</v>
      </c>
      <c r="Q813" s="28" t="n">
        <v>22084.92</v>
      </c>
      <c r="R813" s="28" t="n">
        <v>37515.08</v>
      </c>
      <c r="S813" s="42" t="n">
        <v>0.370552348993289</v>
      </c>
      <c r="T813" s="3" t="n">
        <v>4.262</v>
      </c>
      <c r="U813" s="3" t="n">
        <v>33</v>
      </c>
      <c r="V813" s="3" t="n">
        <v>94891.3</v>
      </c>
      <c r="W813" s="42" t="n">
        <v>0.1234</v>
      </c>
      <c r="X813" s="23" t="n">
        <v>45045</v>
      </c>
      <c r="Y813" s="3">
        <f>IF(I813="","No SIC",IFERROR(VLOOKUP(I813,Ref!$A$2:$B$65,2,FALSE()),"Unclassified"))</f>
        <v/>
      </c>
      <c r="Z813" s="3">
        <f>IF(T813="","",IF(T813&lt;12,"Daily","Weekly"))</f>
        <v/>
      </c>
      <c r="AA813" s="3">
        <f>IF(T813="",0,IF(T813&lt;12,T813*Controls!$B$13,T813*5))</f>
        <v/>
      </c>
      <c r="AB813" s="3">
        <f>IF(E813="",0,NETWORKDAYS(E813,Controls!$B$20,Ref!$K$2:$K$42))</f>
        <v/>
      </c>
      <c r="AC813" s="3">
        <f>IF(OR(AF813=1,AND(AA813&gt;0,AB813&gt;=Controls!$B$23*AA813)),1,0)</f>
        <v/>
      </c>
      <c r="AD813" s="3">
        <f>IF(AND(E813&lt;&gt;"",E813&gt;=Controls!$B$21,E813&lt;=Controls!$B$22),1,0)</f>
        <v/>
      </c>
      <c r="AE813" s="3">
        <f>IF(IFERROR(VLOOKUP(D813,Controls!$A$36:$E$46,2,FALSE()),"No")="Yes",1,0)</f>
        <v/>
      </c>
      <c r="AF813" s="3">
        <f>IF(IFERROR(VLOOKUP(D813,Controls!$A$36:$E$46,3,FALSE()),"No")="Yes",1,0)</f>
        <v/>
      </c>
      <c r="AG813" s="3">
        <f>IF(IFERROR(VLOOKUP(D813,Controls!$A$36:$E$46,4,FALSE()),"No")="Yes",1,0)</f>
        <v/>
      </c>
      <c r="AH813" s="3">
        <f>IF(IFERROR(VLOOKUP(D813,Controls!$A$36:$E$46,5,FALSE()),"No")="Yes",1,0)</f>
        <v/>
      </c>
      <c r="AI813" s="3">
        <f>IF(ISNUMBER(MATCH(D813,Controls!$A$36:$A$46,0)),1,0)</f>
        <v/>
      </c>
      <c r="AJ813" s="28">
        <f>Q813-N813</f>
        <v/>
      </c>
      <c r="AK813" s="3">
        <f>IF(AE813=1,MAX(0,N813-Q813),0)</f>
        <v/>
      </c>
      <c r="AL813" s="3">
        <f>IF(OR(V813="",V813=0),0,N813/V813)</f>
        <v/>
      </c>
      <c r="AM813" s="3">
        <f>IF(OR(V813="",V813=0),0,1)</f>
        <v/>
      </c>
      <c r="AN813" s="3">
        <f>IF(OR(E813="",F813=""),0,NETWORKDAYS(E813,F813,Ref!$K$2:$K$42))</f>
        <v/>
      </c>
      <c r="AO813" s="3">
        <f>IF(L813="Renewal",1,0)</f>
        <v/>
      </c>
      <c r="AP813" s="3">
        <f>AC813*AD813</f>
        <v/>
      </c>
      <c r="AQ813" s="3">
        <f>IF(AND(G813&lt;&gt;"",'Historical Score'!$C$6&lt;&gt;""),IF(G813='Historical Score'!$C$6,1,0),0)</f>
        <v/>
      </c>
      <c r="AR813" s="3">
        <f>IF(AND(L813&lt;&gt;"",'Historical Score'!$C$5&lt;&gt;""),IF(L813='Historical Score'!$C$5,1,0),0)</f>
        <v/>
      </c>
      <c r="AS813" s="3">
        <f>IF(AND(Y813&lt;&gt;"",'Historical Score'!$C$7&lt;&gt;""),IF(Y813='Historical Score'!$C$7,1,0),0)</f>
        <v/>
      </c>
      <c r="AT813" s="3">
        <f>IF(AND(K813&lt;&gt;"",'Historical Score'!$C$8&lt;&gt;""),IF(K813='Historical Score'!$C$8,1,0),0)</f>
        <v/>
      </c>
      <c r="AU813" s="3" t="n"/>
      <c r="AV813" s="3" t="n"/>
      <c r="AW813" s="3" t="n"/>
      <c r="AX813" s="3" t="n"/>
      <c r="AY813" s="3" t="n"/>
      <c r="AZ813" s="3" t="n"/>
      <c r="BA813" s="182">
        <f>IF(AD813=1,(AR813*'Historical Score'!$K$29+1-'Historical Score'!$K$29)*(AT813*'Historical Score'!$L$29+1-'Historical Score'!$L$29)*(AS813*'Historical Score'!$M$29+1-'Historical Score'!$M$29)*(AQ813*'Historical Score'!$N$29+1-'Historical Score'!$N$29),0)</f>
        <v/>
      </c>
      <c r="BB813" s="3" t="n"/>
      <c r="BC813" s="3" t="n"/>
    </row>
    <row r="814" ht="15.75" customHeight="1" s="174">
      <c r="A814" s="3" t="inlineStr">
        <is>
          <t>5674182355</t>
        </is>
      </c>
      <c r="B814" s="3" t="inlineStr">
        <is>
          <t>ApexCare</t>
        </is>
      </c>
      <c r="C814" s="3" t="inlineStr">
        <is>
          <t>ApexCare</t>
        </is>
      </c>
      <c r="D814" s="3" t="inlineStr">
        <is>
          <t>Legal</t>
        </is>
      </c>
      <c r="E814" s="23" t="n">
        <v>46135</v>
      </c>
      <c r="F814" s="23" t="n">
        <v>46150</v>
      </c>
      <c r="G814" s="3" t="n">
        <v>3</v>
      </c>
      <c r="H814" s="3" t="inlineStr">
        <is>
          <t>8011</t>
        </is>
      </c>
      <c r="I814" s="3" t="inlineStr">
        <is>
          <t>80</t>
        </is>
      </c>
      <c r="J814" s="3" t="inlineStr">
        <is>
          <t>TX</t>
        </is>
      </c>
      <c r="K814" s="3" t="inlineStr">
        <is>
          <t>Platform Funding</t>
        </is>
      </c>
      <c r="L814" s="3" t="inlineStr">
        <is>
          <t>New Deal</t>
        </is>
      </c>
      <c r="M814" s="3" t="n">
        <v>1.45</v>
      </c>
      <c r="N814" s="28" t="n">
        <v>40000</v>
      </c>
      <c r="O814" s="28" t="n">
        <v>4800</v>
      </c>
      <c r="P814" s="28" t="n">
        <v>58000</v>
      </c>
      <c r="Q814" s="28" t="n">
        <v>2898.17</v>
      </c>
      <c r="R814" s="28" t="n">
        <v>55101.83</v>
      </c>
      <c r="S814" s="42" t="n">
        <v>0.0499684482758621</v>
      </c>
      <c r="T814" s="3" t="n">
        <v>20</v>
      </c>
      <c r="U814" s="3" t="n">
        <v>1</v>
      </c>
      <c r="V814" s="3" t="n">
        <v>167282.61</v>
      </c>
      <c r="W814" s="42" t="n">
        <v>0.0693</v>
      </c>
      <c r="X814" s="23" t="n">
        <v>43770</v>
      </c>
      <c r="Y814" s="3">
        <f>IF(I814="","No SIC",IFERROR(VLOOKUP(I814,Ref!$A$2:$B$65,2,FALSE()),"Unclassified"))</f>
        <v/>
      </c>
      <c r="Z814" s="3">
        <f>IF(T814="","",IF(T814&lt;12,"Daily","Weekly"))</f>
        <v/>
      </c>
      <c r="AA814" s="3">
        <f>IF(T814="",0,IF(T814&lt;12,T814*Controls!$B$13,T814*5))</f>
        <v/>
      </c>
      <c r="AB814" s="3">
        <f>IF(E814="",0,NETWORKDAYS(E814,Controls!$B$20,Ref!$K$2:$K$42))</f>
        <v/>
      </c>
      <c r="AC814" s="3">
        <f>IF(OR(AF814=1,AND(AA814&gt;0,AB814&gt;=Controls!$B$23*AA814)),1,0)</f>
        <v/>
      </c>
      <c r="AD814" s="3">
        <f>IF(AND(E814&lt;&gt;"",E814&gt;=Controls!$B$21,E814&lt;=Controls!$B$22),1,0)</f>
        <v/>
      </c>
      <c r="AE814" s="3">
        <f>IF(IFERROR(VLOOKUP(D814,Controls!$A$36:$E$46,2,FALSE()),"No")="Yes",1,0)</f>
        <v/>
      </c>
      <c r="AF814" s="3">
        <f>IF(IFERROR(VLOOKUP(D814,Controls!$A$36:$E$46,3,FALSE()),"No")="Yes",1,0)</f>
        <v/>
      </c>
      <c r="AG814" s="3">
        <f>IF(IFERROR(VLOOKUP(D814,Controls!$A$36:$E$46,4,FALSE()),"No")="Yes",1,0)</f>
        <v/>
      </c>
      <c r="AH814" s="3">
        <f>IF(IFERROR(VLOOKUP(D814,Controls!$A$36:$E$46,5,FALSE()),"No")="Yes",1,0)</f>
        <v/>
      </c>
      <c r="AI814" s="3">
        <f>IF(ISNUMBER(MATCH(D814,Controls!$A$36:$A$46,0)),1,0)</f>
        <v/>
      </c>
      <c r="AJ814" s="28">
        <f>Q814-N814</f>
        <v/>
      </c>
      <c r="AK814" s="3">
        <f>IF(AE814=1,MAX(0,N814-Q814),0)</f>
        <v/>
      </c>
      <c r="AL814" s="3">
        <f>IF(OR(V814="",V814=0),0,N814/V814)</f>
        <v/>
      </c>
      <c r="AM814" s="3">
        <f>IF(OR(V814="",V814=0),0,1)</f>
        <v/>
      </c>
      <c r="AN814" s="3">
        <f>IF(OR(E814="",F814=""),0,NETWORKDAYS(E814,F814,Ref!$K$2:$K$42))</f>
        <v/>
      </c>
      <c r="AO814" s="3">
        <f>IF(L814="Renewal",1,0)</f>
        <v/>
      </c>
      <c r="AP814" s="3">
        <f>AC814*AD814</f>
        <v/>
      </c>
      <c r="AQ814" s="3">
        <f>IF(AND(G814&lt;&gt;"",'Historical Score'!$C$6&lt;&gt;""),IF(G814='Historical Score'!$C$6,1,0),0)</f>
        <v/>
      </c>
      <c r="AR814" s="3">
        <f>IF(AND(L814&lt;&gt;"",'Historical Score'!$C$5&lt;&gt;""),IF(L814='Historical Score'!$C$5,1,0),0)</f>
        <v/>
      </c>
      <c r="AS814" s="3">
        <f>IF(AND(Y814&lt;&gt;"",'Historical Score'!$C$7&lt;&gt;""),IF(Y814='Historical Score'!$C$7,1,0),0)</f>
        <v/>
      </c>
      <c r="AT814" s="3">
        <f>IF(AND(K814&lt;&gt;"",'Historical Score'!$C$8&lt;&gt;""),IF(K814='Historical Score'!$C$8,1,0),0)</f>
        <v/>
      </c>
      <c r="AU814" s="3" t="n"/>
      <c r="AV814" s="3" t="n"/>
      <c r="AW814" s="3" t="n"/>
      <c r="AX814" s="3" t="n"/>
      <c r="AY814" s="3" t="n"/>
      <c r="AZ814" s="3" t="n"/>
      <c r="BA814" s="182">
        <f>IF(AD814=1,(AR814*'Historical Score'!$K$29+1-'Historical Score'!$K$29)*(AT814*'Historical Score'!$L$29+1-'Historical Score'!$L$29)*(AS814*'Historical Score'!$M$29+1-'Historical Score'!$M$29)*(AQ814*'Historical Score'!$N$29+1-'Historical Score'!$N$29),0)</f>
        <v/>
      </c>
      <c r="BB814" s="3" t="n"/>
      <c r="BC814" s="3" t="n"/>
    </row>
    <row r="815" ht="15.75" customHeight="1" s="174">
      <c r="A815" s="3" t="inlineStr">
        <is>
          <t>5674182358</t>
        </is>
      </c>
      <c r="B815" s="3" t="inlineStr">
        <is>
          <t>UPPLICATION LLC</t>
        </is>
      </c>
      <c r="C815" s="3" t="inlineStr">
        <is>
          <t>UPPLICATION LLC</t>
        </is>
      </c>
      <c r="D815" s="3" t="inlineStr">
        <is>
          <t>Open</t>
        </is>
      </c>
      <c r="E815" s="23" t="n">
        <v>46135</v>
      </c>
      <c r="F815" s="23" t="n">
        <v>46253</v>
      </c>
      <c r="G815" s="3" t="n">
        <v>3</v>
      </c>
      <c r="H815" s="3" t="inlineStr">
        <is>
          <t>7371</t>
        </is>
      </c>
      <c r="I815" s="3" t="inlineStr">
        <is>
          <t>73</t>
        </is>
      </c>
      <c r="J815" s="3" t="inlineStr">
        <is>
          <t>FL</t>
        </is>
      </c>
      <c r="K815" s="3" t="inlineStr">
        <is>
          <t>Westwood</t>
        </is>
      </c>
      <c r="L815" s="3" t="inlineStr">
        <is>
          <t>New Deal</t>
        </is>
      </c>
      <c r="M815" s="3" t="n">
        <v>1.49</v>
      </c>
      <c r="N815" s="28" t="n">
        <v>15000</v>
      </c>
      <c r="O815" s="28" t="n">
        <v>2100</v>
      </c>
      <c r="P815" s="28" t="n">
        <v>22350</v>
      </c>
      <c r="Q815" s="28" t="n">
        <v>20608.9</v>
      </c>
      <c r="R815" s="28" t="n">
        <v>1741.1</v>
      </c>
      <c r="S815" s="42" t="n">
        <v>0.922098434004474</v>
      </c>
      <c r="T815" s="3" t="n">
        <v>2.951</v>
      </c>
      <c r="U815" s="3" t="n">
        <v>0</v>
      </c>
      <c r="V815" s="3" t="n">
        <v>147294.84</v>
      </c>
      <c r="W815" s="42" t="n">
        <v>0.0354</v>
      </c>
      <c r="X815" s="23" t="n">
        <v>45585</v>
      </c>
      <c r="Y815" s="3">
        <f>IF(I815="","No SIC",IFERROR(VLOOKUP(I815,Ref!$A$2:$B$65,2,FALSE()),"Unclassified"))</f>
        <v/>
      </c>
      <c r="Z815" s="3">
        <f>IF(T815="","",IF(T815&lt;12,"Daily","Weekly"))</f>
        <v/>
      </c>
      <c r="AA815" s="3">
        <f>IF(T815="",0,IF(T815&lt;12,T815*Controls!$B$13,T815*5))</f>
        <v/>
      </c>
      <c r="AB815" s="3">
        <f>IF(E815="",0,NETWORKDAYS(E815,Controls!$B$20,Ref!$K$2:$K$42))</f>
        <v/>
      </c>
      <c r="AC815" s="3">
        <f>IF(OR(AF815=1,AND(AA815&gt;0,AB815&gt;=Controls!$B$23*AA815)),1,0)</f>
        <v/>
      </c>
      <c r="AD815" s="3">
        <f>IF(AND(E815&lt;&gt;"",E815&gt;=Controls!$B$21,E815&lt;=Controls!$B$22),1,0)</f>
        <v/>
      </c>
      <c r="AE815" s="3">
        <f>IF(IFERROR(VLOOKUP(D815,Controls!$A$36:$E$46,2,FALSE()),"No")="Yes",1,0)</f>
        <v/>
      </c>
      <c r="AF815" s="3">
        <f>IF(IFERROR(VLOOKUP(D815,Controls!$A$36:$E$46,3,FALSE()),"No")="Yes",1,0)</f>
        <v/>
      </c>
      <c r="AG815" s="3">
        <f>IF(IFERROR(VLOOKUP(D815,Controls!$A$36:$E$46,4,FALSE()),"No")="Yes",1,0)</f>
        <v/>
      </c>
      <c r="AH815" s="3">
        <f>IF(IFERROR(VLOOKUP(D815,Controls!$A$36:$E$46,5,FALSE()),"No")="Yes",1,0)</f>
        <v/>
      </c>
      <c r="AI815" s="3">
        <f>IF(ISNUMBER(MATCH(D815,Controls!$A$36:$A$46,0)),1,0)</f>
        <v/>
      </c>
      <c r="AJ815" s="28">
        <f>Q815-N815</f>
        <v/>
      </c>
      <c r="AK815" s="3">
        <f>IF(AE815=1,MAX(0,N815-Q815),0)</f>
        <v/>
      </c>
      <c r="AL815" s="3">
        <f>IF(OR(V815="",V815=0),0,N815/V815)</f>
        <v/>
      </c>
      <c r="AM815" s="3">
        <f>IF(OR(V815="",V815=0),0,1)</f>
        <v/>
      </c>
      <c r="AN815" s="3">
        <f>IF(OR(E815="",F815=""),0,NETWORKDAYS(E815,F815,Ref!$K$2:$K$42))</f>
        <v/>
      </c>
      <c r="AO815" s="3">
        <f>IF(L815="Renewal",1,0)</f>
        <v/>
      </c>
      <c r="AP815" s="3">
        <f>AC815*AD815</f>
        <v/>
      </c>
      <c r="AQ815" s="3">
        <f>IF(AND(G815&lt;&gt;"",'Historical Score'!$C$6&lt;&gt;""),IF(G815='Historical Score'!$C$6,1,0),0)</f>
        <v/>
      </c>
      <c r="AR815" s="3">
        <f>IF(AND(L815&lt;&gt;"",'Historical Score'!$C$5&lt;&gt;""),IF(L815='Historical Score'!$C$5,1,0),0)</f>
        <v/>
      </c>
      <c r="AS815" s="3">
        <f>IF(AND(Y815&lt;&gt;"",'Historical Score'!$C$7&lt;&gt;""),IF(Y815='Historical Score'!$C$7,1,0),0)</f>
        <v/>
      </c>
      <c r="AT815" s="3">
        <f>IF(AND(K815&lt;&gt;"",'Historical Score'!$C$8&lt;&gt;""),IF(K815='Historical Score'!$C$8,1,0),0)</f>
        <v/>
      </c>
      <c r="AU815" s="3" t="n"/>
      <c r="AV815" s="3" t="n"/>
      <c r="AW815" s="3" t="n"/>
      <c r="AX815" s="3" t="n"/>
      <c r="AY815" s="3" t="n"/>
      <c r="AZ815" s="3" t="n"/>
      <c r="BA815" s="182">
        <f>IF(AD815=1,(AR815*'Historical Score'!$K$29+1-'Historical Score'!$K$29)*(AT815*'Historical Score'!$L$29+1-'Historical Score'!$L$29)*(AS815*'Historical Score'!$M$29+1-'Historical Score'!$M$29)*(AQ815*'Historical Score'!$N$29+1-'Historical Score'!$N$29),0)</f>
        <v/>
      </c>
      <c r="BB815" s="3" t="n"/>
      <c r="BC815" s="3" t="n"/>
    </row>
    <row r="816" ht="15.75" customHeight="1" s="174">
      <c r="A816" s="3" t="inlineStr">
        <is>
          <t>5674182385</t>
        </is>
      </c>
      <c r="B816" s="3" t="inlineStr">
        <is>
          <t>BARKLEAN CORP</t>
        </is>
      </c>
      <c r="C816" s="3" t="inlineStr">
        <is>
          <t>BARKLEAN CORP</t>
        </is>
      </c>
      <c r="D816" s="3" t="inlineStr">
        <is>
          <t>Open</t>
        </is>
      </c>
      <c r="E816" s="23" t="n">
        <v>46136</v>
      </c>
      <c r="F816" s="23" t="n">
        <v>46248</v>
      </c>
      <c r="G816" s="3" t="n">
        <v>3</v>
      </c>
      <c r="H816" s="3" t="inlineStr">
        <is>
          <t>0752</t>
        </is>
      </c>
      <c r="I816" s="3" t="inlineStr">
        <is>
          <t>07</t>
        </is>
      </c>
      <c r="J816" s="3" t="inlineStr">
        <is>
          <t>FL</t>
        </is>
      </c>
      <c r="K816" s="3" t="inlineStr">
        <is>
          <t>Credibly</t>
        </is>
      </c>
      <c r="L816" s="3" t="inlineStr">
        <is>
          <t>New Deal</t>
        </is>
      </c>
      <c r="M816" s="3" t="n">
        <v>1.35</v>
      </c>
      <c r="N816" s="28" t="n">
        <v>15000</v>
      </c>
      <c r="O816" s="28" t="n">
        <v>1050</v>
      </c>
      <c r="P816" s="28" t="n">
        <v>20250</v>
      </c>
      <c r="Q816" s="28" t="n">
        <v>12464</v>
      </c>
      <c r="R816" s="28" t="n">
        <v>7786</v>
      </c>
      <c r="S816" s="42" t="n">
        <v>0.615506172839506</v>
      </c>
      <c r="T816" s="3" t="n">
        <v>26</v>
      </c>
      <c r="U816" s="3" t="n">
        <v>0</v>
      </c>
      <c r="V816" s="3" t="n">
        <v>38000</v>
      </c>
      <c r="W816" s="42" t="n">
        <v>0.1558</v>
      </c>
      <c r="X816" s="23" t="n">
        <v>45005</v>
      </c>
      <c r="Y816" s="3">
        <f>IF(I816="","No SIC",IFERROR(VLOOKUP(I816,Ref!$A$2:$B$65,2,FALSE()),"Unclassified"))</f>
        <v/>
      </c>
      <c r="Z816" s="3">
        <f>IF(T816="","",IF(T816&lt;12,"Daily","Weekly"))</f>
        <v/>
      </c>
      <c r="AA816" s="3">
        <f>IF(T816="",0,IF(T816&lt;12,T816*Controls!$B$13,T816*5))</f>
        <v/>
      </c>
      <c r="AB816" s="3">
        <f>IF(E816="",0,NETWORKDAYS(E816,Controls!$B$20,Ref!$K$2:$K$42))</f>
        <v/>
      </c>
      <c r="AC816" s="3">
        <f>IF(OR(AF816=1,AND(AA816&gt;0,AB816&gt;=Controls!$B$23*AA816)),1,0)</f>
        <v/>
      </c>
      <c r="AD816" s="3">
        <f>IF(AND(E816&lt;&gt;"",E816&gt;=Controls!$B$21,E816&lt;=Controls!$B$22),1,0)</f>
        <v/>
      </c>
      <c r="AE816" s="3">
        <f>IF(IFERROR(VLOOKUP(D816,Controls!$A$36:$E$46,2,FALSE()),"No")="Yes",1,0)</f>
        <v/>
      </c>
      <c r="AF816" s="3">
        <f>IF(IFERROR(VLOOKUP(D816,Controls!$A$36:$E$46,3,FALSE()),"No")="Yes",1,0)</f>
        <v/>
      </c>
      <c r="AG816" s="3">
        <f>IF(IFERROR(VLOOKUP(D816,Controls!$A$36:$E$46,4,FALSE()),"No")="Yes",1,0)</f>
        <v/>
      </c>
      <c r="AH816" s="3">
        <f>IF(IFERROR(VLOOKUP(D816,Controls!$A$36:$E$46,5,FALSE()),"No")="Yes",1,0)</f>
        <v/>
      </c>
      <c r="AI816" s="3">
        <f>IF(ISNUMBER(MATCH(D816,Controls!$A$36:$A$46,0)),1,0)</f>
        <v/>
      </c>
      <c r="AJ816" s="28">
        <f>Q816-N816</f>
        <v/>
      </c>
      <c r="AK816" s="3">
        <f>IF(AE816=1,MAX(0,N816-Q816),0)</f>
        <v/>
      </c>
      <c r="AL816" s="3">
        <f>IF(OR(V816="",V816=0),0,N816/V816)</f>
        <v/>
      </c>
      <c r="AM816" s="3">
        <f>IF(OR(V816="",V816=0),0,1)</f>
        <v/>
      </c>
      <c r="AN816" s="3">
        <f>IF(OR(E816="",F816=""),0,NETWORKDAYS(E816,F816,Ref!$K$2:$K$42))</f>
        <v/>
      </c>
      <c r="AO816" s="3">
        <f>IF(L816="Renewal",1,0)</f>
        <v/>
      </c>
      <c r="AP816" s="3">
        <f>AC816*AD816</f>
        <v/>
      </c>
      <c r="AQ816" s="3">
        <f>IF(AND(G816&lt;&gt;"",'Historical Score'!$C$6&lt;&gt;""),IF(G816='Historical Score'!$C$6,1,0),0)</f>
        <v/>
      </c>
      <c r="AR816" s="3">
        <f>IF(AND(L816&lt;&gt;"",'Historical Score'!$C$5&lt;&gt;""),IF(L816='Historical Score'!$C$5,1,0),0)</f>
        <v/>
      </c>
      <c r="AS816" s="3">
        <f>IF(AND(Y816&lt;&gt;"",'Historical Score'!$C$7&lt;&gt;""),IF(Y816='Historical Score'!$C$7,1,0),0)</f>
        <v/>
      </c>
      <c r="AT816" s="3">
        <f>IF(AND(K816&lt;&gt;"",'Historical Score'!$C$8&lt;&gt;""),IF(K816='Historical Score'!$C$8,1,0),0)</f>
        <v/>
      </c>
      <c r="AU816" s="3" t="n"/>
      <c r="AV816" s="3" t="n"/>
      <c r="AW816" s="3" t="n"/>
      <c r="AX816" s="3" t="n"/>
      <c r="AY816" s="3" t="n"/>
      <c r="AZ816" s="3" t="n"/>
      <c r="BA816" s="182">
        <f>IF(AD816=1,(AR816*'Historical Score'!$K$29+1-'Historical Score'!$K$29)*(AT816*'Historical Score'!$L$29+1-'Historical Score'!$L$29)*(AS816*'Historical Score'!$M$29+1-'Historical Score'!$M$29)*(AQ816*'Historical Score'!$N$29+1-'Historical Score'!$N$29),0)</f>
        <v/>
      </c>
      <c r="BB816" s="3" t="n"/>
      <c r="BC816" s="3" t="n"/>
    </row>
    <row r="817" ht="15.75" customHeight="1" s="174">
      <c r="A817" s="3" t="inlineStr">
        <is>
          <t>5674182388</t>
        </is>
      </c>
      <c r="B817" s="3" t="inlineStr">
        <is>
          <t>Bland Funeral Home, LLC</t>
        </is>
      </c>
      <c r="C817" s="3" t="inlineStr">
        <is>
          <t>Bland Funeral Home, LLC</t>
        </is>
      </c>
      <c r="D817" s="3" t="inlineStr">
        <is>
          <t>Open</t>
        </is>
      </c>
      <c r="E817" s="23" t="n">
        <v>46136</v>
      </c>
      <c r="F817" s="23" t="n">
        <v>46253</v>
      </c>
      <c r="G817" s="3" t="n">
        <v>3</v>
      </c>
      <c r="H817" s="3" t="inlineStr">
        <is>
          <t>7261</t>
        </is>
      </c>
      <c r="I817" s="3" t="inlineStr">
        <is>
          <t>72</t>
        </is>
      </c>
      <c r="J817" s="3" t="inlineStr">
        <is>
          <t>VA</t>
        </is>
      </c>
      <c r="K817" s="3" t="inlineStr">
        <is>
          <t>Ballicci</t>
        </is>
      </c>
      <c r="L817" s="3" t="inlineStr">
        <is>
          <t>Renewal</t>
        </is>
      </c>
      <c r="M817" s="3" t="n">
        <v>1.49</v>
      </c>
      <c r="N817" s="28" t="n">
        <v>40000</v>
      </c>
      <c r="O817" s="28" t="n">
        <v>5600</v>
      </c>
      <c r="P817" s="28" t="n">
        <v>59600</v>
      </c>
      <c r="Q817" s="28" t="n">
        <v>28809.18</v>
      </c>
      <c r="R817" s="28" t="n">
        <v>30790.82</v>
      </c>
      <c r="S817" s="42" t="n">
        <v>0.483375503355705</v>
      </c>
      <c r="T817" s="3" t="n">
        <v>3.934</v>
      </c>
      <c r="U817" s="3" t="n">
        <v>10</v>
      </c>
      <c r="V817" s="3" t="n">
        <v>57502.52</v>
      </c>
      <c r="W817" s="42" t="n">
        <v>0.1814</v>
      </c>
      <c r="X817" s="23" t="n">
        <v>36323</v>
      </c>
      <c r="Y817" s="3">
        <f>IF(I817="","No SIC",IFERROR(VLOOKUP(I817,Ref!$A$2:$B$65,2,FALSE()),"Unclassified"))</f>
        <v/>
      </c>
      <c r="Z817" s="3">
        <f>IF(T817="","",IF(T817&lt;12,"Daily","Weekly"))</f>
        <v/>
      </c>
      <c r="AA817" s="3">
        <f>IF(T817="",0,IF(T817&lt;12,T817*Controls!$B$13,T817*5))</f>
        <v/>
      </c>
      <c r="AB817" s="3">
        <f>IF(E817="",0,NETWORKDAYS(E817,Controls!$B$20,Ref!$K$2:$K$42))</f>
        <v/>
      </c>
      <c r="AC817" s="3">
        <f>IF(OR(AF817=1,AND(AA817&gt;0,AB817&gt;=Controls!$B$23*AA817)),1,0)</f>
        <v/>
      </c>
      <c r="AD817" s="3">
        <f>IF(AND(E817&lt;&gt;"",E817&gt;=Controls!$B$21,E817&lt;=Controls!$B$22),1,0)</f>
        <v/>
      </c>
      <c r="AE817" s="3">
        <f>IF(IFERROR(VLOOKUP(D817,Controls!$A$36:$E$46,2,FALSE()),"No")="Yes",1,0)</f>
        <v/>
      </c>
      <c r="AF817" s="3">
        <f>IF(IFERROR(VLOOKUP(D817,Controls!$A$36:$E$46,3,FALSE()),"No")="Yes",1,0)</f>
        <v/>
      </c>
      <c r="AG817" s="3">
        <f>IF(IFERROR(VLOOKUP(D817,Controls!$A$36:$E$46,4,FALSE()),"No")="Yes",1,0)</f>
        <v/>
      </c>
      <c r="AH817" s="3">
        <f>IF(IFERROR(VLOOKUP(D817,Controls!$A$36:$E$46,5,FALSE()),"No")="Yes",1,0)</f>
        <v/>
      </c>
      <c r="AI817" s="3">
        <f>IF(ISNUMBER(MATCH(D817,Controls!$A$36:$A$46,0)),1,0)</f>
        <v/>
      </c>
      <c r="AJ817" s="28">
        <f>Q817-N817</f>
        <v/>
      </c>
      <c r="AK817" s="3">
        <f>IF(AE817=1,MAX(0,N817-Q817),0)</f>
        <v/>
      </c>
      <c r="AL817" s="3">
        <f>IF(OR(V817="",V817=0),0,N817/V817)</f>
        <v/>
      </c>
      <c r="AM817" s="3">
        <f>IF(OR(V817="",V817=0),0,1)</f>
        <v/>
      </c>
      <c r="AN817" s="3">
        <f>IF(OR(E817="",F817=""),0,NETWORKDAYS(E817,F817,Ref!$K$2:$K$42))</f>
        <v/>
      </c>
      <c r="AO817" s="3">
        <f>IF(L817="Renewal",1,0)</f>
        <v/>
      </c>
      <c r="AP817" s="3">
        <f>AC817*AD817</f>
        <v/>
      </c>
      <c r="AQ817" s="3">
        <f>IF(AND(G817&lt;&gt;"",'Historical Score'!$C$6&lt;&gt;""),IF(G817='Historical Score'!$C$6,1,0),0)</f>
        <v/>
      </c>
      <c r="AR817" s="3">
        <f>IF(AND(L817&lt;&gt;"",'Historical Score'!$C$5&lt;&gt;""),IF(L817='Historical Score'!$C$5,1,0),0)</f>
        <v/>
      </c>
      <c r="AS817" s="3">
        <f>IF(AND(Y817&lt;&gt;"",'Historical Score'!$C$7&lt;&gt;""),IF(Y817='Historical Score'!$C$7,1,0),0)</f>
        <v/>
      </c>
      <c r="AT817" s="3">
        <f>IF(AND(K817&lt;&gt;"",'Historical Score'!$C$8&lt;&gt;""),IF(K817='Historical Score'!$C$8,1,0),0)</f>
        <v/>
      </c>
      <c r="AU817" s="3" t="n"/>
      <c r="AV817" s="3" t="n"/>
      <c r="AW817" s="3" t="n"/>
      <c r="AX817" s="3" t="n"/>
      <c r="AY817" s="3" t="n"/>
      <c r="AZ817" s="3" t="n"/>
      <c r="BA817" s="182">
        <f>IF(AD817=1,(AR817*'Historical Score'!$K$29+1-'Historical Score'!$K$29)*(AT817*'Historical Score'!$L$29+1-'Historical Score'!$L$29)*(AS817*'Historical Score'!$M$29+1-'Historical Score'!$M$29)*(AQ817*'Historical Score'!$N$29+1-'Historical Score'!$N$29),0)</f>
        <v/>
      </c>
      <c r="BB817" s="3" t="n"/>
      <c r="BC817" s="3" t="n"/>
    </row>
    <row r="818" ht="15.75" customHeight="1" s="174">
      <c r="A818" s="3" t="inlineStr">
        <is>
          <t>5674182444</t>
        </is>
      </c>
      <c r="B818" s="3" t="inlineStr">
        <is>
          <t>Gallo Enterprise</t>
        </is>
      </c>
      <c r="C818" s="3" t="inlineStr">
        <is>
          <t>SAGRARIO RAMIREZ-HERNANDEZ SOLE PROP</t>
        </is>
      </c>
      <c r="D818" s="3" t="inlineStr">
        <is>
          <t>Legal</t>
        </is>
      </c>
      <c r="E818" s="23" t="n">
        <v>46136</v>
      </c>
      <c r="F818" s="23" t="n">
        <v>46168</v>
      </c>
      <c r="G818" s="3" t="n">
        <v>1</v>
      </c>
      <c r="H818" s="3" t="inlineStr">
        <is>
          <t>1521</t>
        </is>
      </c>
      <c r="I818" s="3" t="inlineStr">
        <is>
          <t>15</t>
        </is>
      </c>
      <c r="J818" s="3" t="inlineStr">
        <is>
          <t>TX</t>
        </is>
      </c>
      <c r="K818" s="3" t="inlineStr">
        <is>
          <t>Premium Capital (AMRK)</t>
        </is>
      </c>
      <c r="L818" s="3" t="inlineStr">
        <is>
          <t>New Deal</t>
        </is>
      </c>
      <c r="M818" s="3" t="n">
        <v>1.4</v>
      </c>
      <c r="N818" s="28" t="n">
        <v>15000</v>
      </c>
      <c r="O818" s="28" t="n">
        <v>0</v>
      </c>
      <c r="P818" s="28" t="n">
        <v>21000</v>
      </c>
      <c r="Q818" s="28" t="n">
        <v>2247.3</v>
      </c>
      <c r="R818" s="28" t="n">
        <v>18752.7</v>
      </c>
      <c r="S818" s="42" t="n">
        <v>0.107014285714286</v>
      </c>
      <c r="T818" s="3" t="n">
        <v>28</v>
      </c>
      <c r="U818" s="3" t="n">
        <v>1</v>
      </c>
      <c r="V818" s="3" t="n">
        <v>121805.2</v>
      </c>
      <c r="W818" s="42" t="n">
        <v>0.0246</v>
      </c>
      <c r="X818" s="23" t="n">
        <v>40179</v>
      </c>
      <c r="Y818" s="3">
        <f>IF(I818="","No SIC",IFERROR(VLOOKUP(I818,Ref!$A$2:$B$65,2,FALSE()),"Unclassified"))</f>
        <v/>
      </c>
      <c r="Z818" s="3">
        <f>IF(T818="","",IF(T818&lt;12,"Daily","Weekly"))</f>
        <v/>
      </c>
      <c r="AA818" s="3">
        <f>IF(T818="",0,IF(T818&lt;12,T818*Controls!$B$13,T818*5))</f>
        <v/>
      </c>
      <c r="AB818" s="3">
        <f>IF(E818="",0,NETWORKDAYS(E818,Controls!$B$20,Ref!$K$2:$K$42))</f>
        <v/>
      </c>
      <c r="AC818" s="3">
        <f>IF(OR(AF818=1,AND(AA818&gt;0,AB818&gt;=Controls!$B$23*AA818)),1,0)</f>
        <v/>
      </c>
      <c r="AD818" s="3">
        <f>IF(AND(E818&lt;&gt;"",E818&gt;=Controls!$B$21,E818&lt;=Controls!$B$22),1,0)</f>
        <v/>
      </c>
      <c r="AE818" s="3">
        <f>IF(IFERROR(VLOOKUP(D818,Controls!$A$36:$E$46,2,FALSE()),"No")="Yes",1,0)</f>
        <v/>
      </c>
      <c r="AF818" s="3">
        <f>IF(IFERROR(VLOOKUP(D818,Controls!$A$36:$E$46,3,FALSE()),"No")="Yes",1,0)</f>
        <v/>
      </c>
      <c r="AG818" s="3">
        <f>IF(IFERROR(VLOOKUP(D818,Controls!$A$36:$E$46,4,FALSE()),"No")="Yes",1,0)</f>
        <v/>
      </c>
      <c r="AH818" s="3">
        <f>IF(IFERROR(VLOOKUP(D818,Controls!$A$36:$E$46,5,FALSE()),"No")="Yes",1,0)</f>
        <v/>
      </c>
      <c r="AI818" s="3">
        <f>IF(ISNUMBER(MATCH(D818,Controls!$A$36:$A$46,0)),1,0)</f>
        <v/>
      </c>
      <c r="AJ818" s="28">
        <f>Q818-N818</f>
        <v/>
      </c>
      <c r="AK818" s="3">
        <f>IF(AE818=1,MAX(0,N818-Q818),0)</f>
        <v/>
      </c>
      <c r="AL818" s="3">
        <f>IF(OR(V818="",V818=0),0,N818/V818)</f>
        <v/>
      </c>
      <c r="AM818" s="3">
        <f>IF(OR(V818="",V818=0),0,1)</f>
        <v/>
      </c>
      <c r="AN818" s="3">
        <f>IF(OR(E818="",F818=""),0,NETWORKDAYS(E818,F818,Ref!$K$2:$K$42))</f>
        <v/>
      </c>
      <c r="AO818" s="3">
        <f>IF(L818="Renewal",1,0)</f>
        <v/>
      </c>
      <c r="AP818" s="3">
        <f>AC818*AD818</f>
        <v/>
      </c>
      <c r="AQ818" s="3">
        <f>IF(AND(G818&lt;&gt;"",'Historical Score'!$C$6&lt;&gt;""),IF(G818='Historical Score'!$C$6,1,0),0)</f>
        <v/>
      </c>
      <c r="AR818" s="3">
        <f>IF(AND(L818&lt;&gt;"",'Historical Score'!$C$5&lt;&gt;""),IF(L818='Historical Score'!$C$5,1,0),0)</f>
        <v/>
      </c>
      <c r="AS818" s="3">
        <f>IF(AND(Y818&lt;&gt;"",'Historical Score'!$C$7&lt;&gt;""),IF(Y818='Historical Score'!$C$7,1,0),0)</f>
        <v/>
      </c>
      <c r="AT818" s="3">
        <f>IF(AND(K818&lt;&gt;"",'Historical Score'!$C$8&lt;&gt;""),IF(K818='Historical Score'!$C$8,1,0),0)</f>
        <v/>
      </c>
      <c r="AU818" s="3" t="n"/>
      <c r="AV818" s="3" t="n"/>
      <c r="AW818" s="3" t="n"/>
      <c r="AX818" s="3" t="n"/>
      <c r="AY818" s="3" t="n"/>
      <c r="AZ818" s="3" t="n"/>
      <c r="BA818" s="182">
        <f>IF(AD818=1,(AR818*'Historical Score'!$K$29+1-'Historical Score'!$K$29)*(AT818*'Historical Score'!$L$29+1-'Historical Score'!$L$29)*(AS818*'Historical Score'!$M$29+1-'Historical Score'!$M$29)*(AQ818*'Historical Score'!$N$29+1-'Historical Score'!$N$29),0)</f>
        <v/>
      </c>
      <c r="BB818" s="3" t="n"/>
      <c r="BC818" s="3" t="n"/>
    </row>
    <row r="819" ht="15.75" customHeight="1" s="174">
      <c r="A819" s="3" t="inlineStr">
        <is>
          <t>5674182475</t>
        </is>
      </c>
      <c r="B819" s="3" t="inlineStr">
        <is>
          <t>Fresh Dental</t>
        </is>
      </c>
      <c r="C819" s="3" t="inlineStr">
        <is>
          <t>Fresh Dental LLC</t>
        </is>
      </c>
      <c r="D819" s="3" t="inlineStr">
        <is>
          <t>Open</t>
        </is>
      </c>
      <c r="E819" s="23" t="n">
        <v>46136</v>
      </c>
      <c r="F819" s="23" t="n">
        <v>46253</v>
      </c>
      <c r="G819" s="3" t="n">
        <v>3</v>
      </c>
      <c r="H819" s="3" t="inlineStr">
        <is>
          <t>5047</t>
        </is>
      </c>
      <c r="I819" s="3" t="inlineStr">
        <is>
          <t>50</t>
        </is>
      </c>
      <c r="J819" s="3" t="inlineStr">
        <is>
          <t>GA</t>
        </is>
      </c>
      <c r="K819" s="3" t="inlineStr">
        <is>
          <t>Westwood</t>
        </is>
      </c>
      <c r="L819" s="3" t="inlineStr">
        <is>
          <t>Renewal</t>
        </is>
      </c>
      <c r="M819" s="3" t="n">
        <v>1.459</v>
      </c>
      <c r="N819" s="28" t="n">
        <v>200000</v>
      </c>
      <c r="O819" s="28" t="n">
        <v>26000</v>
      </c>
      <c r="P819" s="28" t="n">
        <v>291800</v>
      </c>
      <c r="Q819" s="28" t="n">
        <v>103589</v>
      </c>
      <c r="R819" s="28" t="n">
        <v>188211</v>
      </c>
      <c r="S819" s="42" t="n">
        <v>0.355</v>
      </c>
      <c r="T819" s="3" t="n">
        <v>6.557</v>
      </c>
      <c r="U819" s="3" t="n">
        <v>4</v>
      </c>
      <c r="V819" s="3" t="n">
        <v>210633.67</v>
      </c>
      <c r="W819" s="42" t="n">
        <v>0.1282</v>
      </c>
      <c r="X819" s="23" t="n">
        <v>43714</v>
      </c>
      <c r="Y819" s="3">
        <f>IF(I819="","No SIC",IFERROR(VLOOKUP(I819,Ref!$A$2:$B$65,2,FALSE()),"Unclassified"))</f>
        <v/>
      </c>
      <c r="Z819" s="3">
        <f>IF(T819="","",IF(T819&lt;12,"Daily","Weekly"))</f>
        <v/>
      </c>
      <c r="AA819" s="3">
        <f>IF(T819="",0,IF(T819&lt;12,T819*Controls!$B$13,T819*5))</f>
        <v/>
      </c>
      <c r="AB819" s="3">
        <f>IF(E819="",0,NETWORKDAYS(E819,Controls!$B$20,Ref!$K$2:$K$42))</f>
        <v/>
      </c>
      <c r="AC819" s="3">
        <f>IF(OR(AF819=1,AND(AA819&gt;0,AB819&gt;=Controls!$B$23*AA819)),1,0)</f>
        <v/>
      </c>
      <c r="AD819" s="3">
        <f>IF(AND(E819&lt;&gt;"",E819&gt;=Controls!$B$21,E819&lt;=Controls!$B$22),1,0)</f>
        <v/>
      </c>
      <c r="AE819" s="3">
        <f>IF(IFERROR(VLOOKUP(D819,Controls!$A$36:$E$46,2,FALSE()),"No")="Yes",1,0)</f>
        <v/>
      </c>
      <c r="AF819" s="3">
        <f>IF(IFERROR(VLOOKUP(D819,Controls!$A$36:$E$46,3,FALSE()),"No")="Yes",1,0)</f>
        <v/>
      </c>
      <c r="AG819" s="3">
        <f>IF(IFERROR(VLOOKUP(D819,Controls!$A$36:$E$46,4,FALSE()),"No")="Yes",1,0)</f>
        <v/>
      </c>
      <c r="AH819" s="3">
        <f>IF(IFERROR(VLOOKUP(D819,Controls!$A$36:$E$46,5,FALSE()),"No")="Yes",1,0)</f>
        <v/>
      </c>
      <c r="AI819" s="3">
        <f>IF(ISNUMBER(MATCH(D819,Controls!$A$36:$A$46,0)),1,0)</f>
        <v/>
      </c>
      <c r="AJ819" s="28">
        <f>Q819-N819</f>
        <v/>
      </c>
      <c r="AK819" s="3">
        <f>IF(AE819=1,MAX(0,N819-Q819),0)</f>
        <v/>
      </c>
      <c r="AL819" s="3">
        <f>IF(OR(V819="",V819=0),0,N819/V819)</f>
        <v/>
      </c>
      <c r="AM819" s="3">
        <f>IF(OR(V819="",V819=0),0,1)</f>
        <v/>
      </c>
      <c r="AN819" s="3">
        <f>IF(OR(E819="",F819=""),0,NETWORKDAYS(E819,F819,Ref!$K$2:$K$42))</f>
        <v/>
      </c>
      <c r="AO819" s="3">
        <f>IF(L819="Renewal",1,0)</f>
        <v/>
      </c>
      <c r="AP819" s="3">
        <f>AC819*AD819</f>
        <v/>
      </c>
      <c r="AQ819" s="3">
        <f>IF(AND(G819&lt;&gt;"",'Historical Score'!$C$6&lt;&gt;""),IF(G819='Historical Score'!$C$6,1,0),0)</f>
        <v/>
      </c>
      <c r="AR819" s="3">
        <f>IF(AND(L819&lt;&gt;"",'Historical Score'!$C$5&lt;&gt;""),IF(L819='Historical Score'!$C$5,1,0),0)</f>
        <v/>
      </c>
      <c r="AS819" s="3">
        <f>IF(AND(Y819&lt;&gt;"",'Historical Score'!$C$7&lt;&gt;""),IF(Y819='Historical Score'!$C$7,1,0),0)</f>
        <v/>
      </c>
      <c r="AT819" s="3">
        <f>IF(AND(K819&lt;&gt;"",'Historical Score'!$C$8&lt;&gt;""),IF(K819='Historical Score'!$C$8,1,0),0)</f>
        <v/>
      </c>
      <c r="AU819" s="3" t="n"/>
      <c r="AV819" s="3" t="n"/>
      <c r="AW819" s="3" t="n"/>
      <c r="AX819" s="3" t="n"/>
      <c r="AY819" s="3" t="n"/>
      <c r="AZ819" s="3" t="n"/>
      <c r="BA819" s="182">
        <f>IF(AD819=1,(AR819*'Historical Score'!$K$29+1-'Historical Score'!$K$29)*(AT819*'Historical Score'!$L$29+1-'Historical Score'!$L$29)*(AS819*'Historical Score'!$M$29+1-'Historical Score'!$M$29)*(AQ819*'Historical Score'!$N$29+1-'Historical Score'!$N$29),0)</f>
        <v/>
      </c>
      <c r="BB819" s="3" t="n"/>
      <c r="BC819" s="3" t="n"/>
    </row>
    <row r="820" ht="15.75" customHeight="1" s="174">
      <c r="A820" s="3" t="inlineStr">
        <is>
          <t>5674182494</t>
        </is>
      </c>
      <c r="B820" s="3" t="inlineStr">
        <is>
          <t>KATHY'S MASON JAR FAMILY DINER LLC</t>
        </is>
      </c>
      <c r="C820" s="3" t="inlineStr">
        <is>
          <t>KATHY'S MASON JAR FAMILY DINER LLC</t>
        </is>
      </c>
      <c r="D820" s="3" t="inlineStr">
        <is>
          <t>Closed</t>
        </is>
      </c>
      <c r="E820" s="23" t="n">
        <v>46139</v>
      </c>
      <c r="F820" s="23" t="n">
        <v>46237</v>
      </c>
      <c r="G820" s="3" t="n">
        <v>3</v>
      </c>
      <c r="H820" s="3" t="n"/>
      <c r="I820" s="3" t="n"/>
      <c r="J820" s="3" t="inlineStr">
        <is>
          <t>OK</t>
        </is>
      </c>
      <c r="K820" s="3" t="inlineStr">
        <is>
          <t>United Secured Capital 8</t>
        </is>
      </c>
      <c r="L820" s="3" t="inlineStr">
        <is>
          <t>Renewal</t>
        </is>
      </c>
      <c r="M820" s="3" t="n">
        <v>1.49</v>
      </c>
      <c r="N820" s="28" t="n">
        <v>25000</v>
      </c>
      <c r="O820" s="28" t="n">
        <v>3500</v>
      </c>
      <c r="P820" s="28" t="n">
        <v>37250</v>
      </c>
      <c r="Q820" s="28" t="n">
        <v>37250</v>
      </c>
      <c r="R820" s="28" t="n">
        <v>0</v>
      </c>
      <c r="S820" s="42" t="n">
        <v>1</v>
      </c>
      <c r="T820" s="3" t="n">
        <v>3.607</v>
      </c>
      <c r="U820" s="3" t="n">
        <v>0</v>
      </c>
      <c r="V820" s="3" t="n">
        <v>37733.39</v>
      </c>
      <c r="W820" s="42" t="n">
        <v>0.1885</v>
      </c>
      <c r="X820" s="23" t="n">
        <v>44793</v>
      </c>
      <c r="Y820" s="3">
        <f>IF(I820="","No SIC",IFERROR(VLOOKUP(I820,Ref!$A$2:$B$65,2,FALSE()),"Unclassified"))</f>
        <v/>
      </c>
      <c r="Z820" s="3">
        <f>IF(T820="","",IF(T820&lt;12,"Daily","Weekly"))</f>
        <v/>
      </c>
      <c r="AA820" s="3">
        <f>IF(T820="",0,IF(T820&lt;12,T820*Controls!$B$13,T820*5))</f>
        <v/>
      </c>
      <c r="AB820" s="3">
        <f>IF(E820="",0,NETWORKDAYS(E820,Controls!$B$20,Ref!$K$2:$K$42))</f>
        <v/>
      </c>
      <c r="AC820" s="3">
        <f>IF(OR(AF820=1,AND(AA820&gt;0,AB820&gt;=Controls!$B$23*AA820)),1,0)</f>
        <v/>
      </c>
      <c r="AD820" s="3">
        <f>IF(AND(E820&lt;&gt;"",E820&gt;=Controls!$B$21,E820&lt;=Controls!$B$22),1,0)</f>
        <v/>
      </c>
      <c r="AE820" s="3">
        <f>IF(IFERROR(VLOOKUP(D820,Controls!$A$36:$E$46,2,FALSE()),"No")="Yes",1,0)</f>
        <v/>
      </c>
      <c r="AF820" s="3">
        <f>IF(IFERROR(VLOOKUP(D820,Controls!$A$36:$E$46,3,FALSE()),"No")="Yes",1,0)</f>
        <v/>
      </c>
      <c r="AG820" s="3">
        <f>IF(IFERROR(VLOOKUP(D820,Controls!$A$36:$E$46,4,FALSE()),"No")="Yes",1,0)</f>
        <v/>
      </c>
      <c r="AH820" s="3">
        <f>IF(IFERROR(VLOOKUP(D820,Controls!$A$36:$E$46,5,FALSE()),"No")="Yes",1,0)</f>
        <v/>
      </c>
      <c r="AI820" s="3">
        <f>IF(ISNUMBER(MATCH(D820,Controls!$A$36:$A$46,0)),1,0)</f>
        <v/>
      </c>
      <c r="AJ820" s="28">
        <f>Q820-N820</f>
        <v/>
      </c>
      <c r="AK820" s="3">
        <f>IF(AE820=1,MAX(0,N820-Q820),0)</f>
        <v/>
      </c>
      <c r="AL820" s="3">
        <f>IF(OR(V820="",V820=0),0,N820/V820)</f>
        <v/>
      </c>
      <c r="AM820" s="3">
        <f>IF(OR(V820="",V820=0),0,1)</f>
        <v/>
      </c>
      <c r="AN820" s="3">
        <f>IF(OR(E820="",F820=""),0,NETWORKDAYS(E820,F820,Ref!$K$2:$K$42))</f>
        <v/>
      </c>
      <c r="AO820" s="3">
        <f>IF(L820="Renewal",1,0)</f>
        <v/>
      </c>
      <c r="AP820" s="3">
        <f>AC820*AD820</f>
        <v/>
      </c>
      <c r="AQ820" s="3">
        <f>IF(AND(G820&lt;&gt;"",'Historical Score'!$C$6&lt;&gt;""),IF(G820='Historical Score'!$C$6,1,0),0)</f>
        <v/>
      </c>
      <c r="AR820" s="3">
        <f>IF(AND(L820&lt;&gt;"",'Historical Score'!$C$5&lt;&gt;""),IF(L820='Historical Score'!$C$5,1,0),0)</f>
        <v/>
      </c>
      <c r="AS820" s="3">
        <f>IF(AND(Y820&lt;&gt;"",'Historical Score'!$C$7&lt;&gt;""),IF(Y820='Historical Score'!$C$7,1,0),0)</f>
        <v/>
      </c>
      <c r="AT820" s="3">
        <f>IF(AND(K820&lt;&gt;"",'Historical Score'!$C$8&lt;&gt;""),IF(K820='Historical Score'!$C$8,1,0),0)</f>
        <v/>
      </c>
      <c r="AU820" s="3" t="n"/>
      <c r="AV820" s="3" t="n"/>
      <c r="AW820" s="3" t="n"/>
      <c r="AX820" s="3" t="n"/>
      <c r="AY820" s="3" t="n"/>
      <c r="AZ820" s="3" t="n"/>
      <c r="BA820" s="182">
        <f>IF(AD820=1,(AR820*'Historical Score'!$K$29+1-'Historical Score'!$K$29)*(AT820*'Historical Score'!$L$29+1-'Historical Score'!$L$29)*(AS820*'Historical Score'!$M$29+1-'Historical Score'!$M$29)*(AQ820*'Historical Score'!$N$29+1-'Historical Score'!$N$29),0)</f>
        <v/>
      </c>
      <c r="BB820" s="3" t="n"/>
      <c r="BC820" s="3" t="n"/>
    </row>
    <row r="821" ht="15.75" customHeight="1" s="174">
      <c r="A821" s="3" t="inlineStr">
        <is>
          <t>5674182516</t>
        </is>
      </c>
      <c r="B821" s="3" t="inlineStr">
        <is>
          <t>DOMINIC'S ITALIAN RESTAURANT</t>
        </is>
      </c>
      <c r="C821" s="3" t="inlineStr">
        <is>
          <t>Dominic the great Inc.</t>
        </is>
      </c>
      <c r="D821" s="3" t="inlineStr">
        <is>
          <t>Legal</t>
        </is>
      </c>
      <c r="E821" s="23" t="n">
        <v>46139</v>
      </c>
      <c r="F821" s="23" t="n">
        <v>46217</v>
      </c>
      <c r="G821" s="3" t="n">
        <v>4</v>
      </c>
      <c r="H821" s="3" t="inlineStr">
        <is>
          <t>5812</t>
        </is>
      </c>
      <c r="I821" s="3" t="inlineStr">
        <is>
          <t>58</t>
        </is>
      </c>
      <c r="J821" s="3" t="inlineStr">
        <is>
          <t>CA</t>
        </is>
      </c>
      <c r="K821" s="3" t="inlineStr">
        <is>
          <t>PMF</t>
        </is>
      </c>
      <c r="L821" s="3" t="inlineStr">
        <is>
          <t>New Deal</t>
        </is>
      </c>
      <c r="M821" s="3" t="n">
        <v>1.37</v>
      </c>
      <c r="N821" s="28" t="n">
        <v>80000</v>
      </c>
      <c r="O821" s="28" t="n">
        <v>4000</v>
      </c>
      <c r="P821" s="28" t="n">
        <v>109600</v>
      </c>
      <c r="Q821" s="28" t="n">
        <v>20549.94</v>
      </c>
      <c r="R821" s="28" t="n">
        <v>89050.06</v>
      </c>
      <c r="S821" s="42" t="n">
        <v>0.187499452554745</v>
      </c>
      <c r="T821" s="3" t="n">
        <v>32</v>
      </c>
      <c r="U821" s="3" t="n">
        <v>5</v>
      </c>
      <c r="V821" s="3" t="n">
        <v>111745.14</v>
      </c>
      <c r="W821" s="42" t="n">
        <v>0.1226</v>
      </c>
      <c r="X821" s="23" t="n">
        <v>36861</v>
      </c>
      <c r="Y821" s="3">
        <f>IF(I821="","No SIC",IFERROR(VLOOKUP(I821,Ref!$A$2:$B$65,2,FALSE()),"Unclassified"))</f>
        <v/>
      </c>
      <c r="Z821" s="3">
        <f>IF(T821="","",IF(T821&lt;12,"Daily","Weekly"))</f>
        <v/>
      </c>
      <c r="AA821" s="3">
        <f>IF(T821="",0,IF(T821&lt;12,T821*Controls!$B$13,T821*5))</f>
        <v/>
      </c>
      <c r="AB821" s="3">
        <f>IF(E821="",0,NETWORKDAYS(E821,Controls!$B$20,Ref!$K$2:$K$42))</f>
        <v/>
      </c>
      <c r="AC821" s="3">
        <f>IF(OR(AF821=1,AND(AA821&gt;0,AB821&gt;=Controls!$B$23*AA821)),1,0)</f>
        <v/>
      </c>
      <c r="AD821" s="3">
        <f>IF(AND(E821&lt;&gt;"",E821&gt;=Controls!$B$21,E821&lt;=Controls!$B$22),1,0)</f>
        <v/>
      </c>
      <c r="AE821" s="3">
        <f>IF(IFERROR(VLOOKUP(D821,Controls!$A$36:$E$46,2,FALSE()),"No")="Yes",1,0)</f>
        <v/>
      </c>
      <c r="AF821" s="3">
        <f>IF(IFERROR(VLOOKUP(D821,Controls!$A$36:$E$46,3,FALSE()),"No")="Yes",1,0)</f>
        <v/>
      </c>
      <c r="AG821" s="3">
        <f>IF(IFERROR(VLOOKUP(D821,Controls!$A$36:$E$46,4,FALSE()),"No")="Yes",1,0)</f>
        <v/>
      </c>
      <c r="AH821" s="3">
        <f>IF(IFERROR(VLOOKUP(D821,Controls!$A$36:$E$46,5,FALSE()),"No")="Yes",1,0)</f>
        <v/>
      </c>
      <c r="AI821" s="3">
        <f>IF(ISNUMBER(MATCH(D821,Controls!$A$36:$A$46,0)),1,0)</f>
        <v/>
      </c>
      <c r="AJ821" s="28">
        <f>Q821-N821</f>
        <v/>
      </c>
      <c r="AK821" s="3">
        <f>IF(AE821=1,MAX(0,N821-Q821),0)</f>
        <v/>
      </c>
      <c r="AL821" s="3">
        <f>IF(OR(V821="",V821=0),0,N821/V821)</f>
        <v/>
      </c>
      <c r="AM821" s="3">
        <f>IF(OR(V821="",V821=0),0,1)</f>
        <v/>
      </c>
      <c r="AN821" s="3">
        <f>IF(OR(E821="",F821=""),0,NETWORKDAYS(E821,F821,Ref!$K$2:$K$42))</f>
        <v/>
      </c>
      <c r="AO821" s="3">
        <f>IF(L821="Renewal",1,0)</f>
        <v/>
      </c>
      <c r="AP821" s="3">
        <f>AC821*AD821</f>
        <v/>
      </c>
      <c r="AQ821" s="3">
        <f>IF(AND(G821&lt;&gt;"",'Historical Score'!$C$6&lt;&gt;""),IF(G821='Historical Score'!$C$6,1,0),0)</f>
        <v/>
      </c>
      <c r="AR821" s="3">
        <f>IF(AND(L821&lt;&gt;"",'Historical Score'!$C$5&lt;&gt;""),IF(L821='Historical Score'!$C$5,1,0),0)</f>
        <v/>
      </c>
      <c r="AS821" s="3">
        <f>IF(AND(Y821&lt;&gt;"",'Historical Score'!$C$7&lt;&gt;""),IF(Y821='Historical Score'!$C$7,1,0),0)</f>
        <v/>
      </c>
      <c r="AT821" s="3">
        <f>IF(AND(K821&lt;&gt;"",'Historical Score'!$C$8&lt;&gt;""),IF(K821='Historical Score'!$C$8,1,0),0)</f>
        <v/>
      </c>
      <c r="AU821" s="3" t="n"/>
      <c r="AV821" s="3" t="n"/>
      <c r="AW821" s="3" t="n"/>
      <c r="AX821" s="3" t="n"/>
      <c r="AY821" s="3" t="n"/>
      <c r="AZ821" s="3" t="n"/>
      <c r="BA821" s="182">
        <f>IF(AD821=1,(AR821*'Historical Score'!$K$29+1-'Historical Score'!$K$29)*(AT821*'Historical Score'!$L$29+1-'Historical Score'!$L$29)*(AS821*'Historical Score'!$M$29+1-'Historical Score'!$M$29)*(AQ821*'Historical Score'!$N$29+1-'Historical Score'!$N$29),0)</f>
        <v/>
      </c>
      <c r="BB821" s="3" t="n"/>
      <c r="BC821" s="3" t="n"/>
    </row>
    <row r="822" ht="15.75" customHeight="1" s="174">
      <c r="A822" s="3" t="inlineStr">
        <is>
          <t>5674182552</t>
        </is>
      </c>
      <c r="B822" s="3" t="inlineStr">
        <is>
          <t>AAMCO of Athens</t>
        </is>
      </c>
      <c r="C822" s="3" t="inlineStr">
        <is>
          <t>RL BARRRON HOLDING INC</t>
        </is>
      </c>
      <c r="D822" s="3" t="inlineStr">
        <is>
          <t>Closed</t>
        </is>
      </c>
      <c r="E822" s="23" t="n">
        <v>46140</v>
      </c>
      <c r="F822" s="23" t="n">
        <v>46213</v>
      </c>
      <c r="G822" s="3" t="n">
        <v>3</v>
      </c>
      <c r="H822" s="3" t="inlineStr">
        <is>
          <t>7538</t>
        </is>
      </c>
      <c r="I822" s="3" t="inlineStr">
        <is>
          <t>75</t>
        </is>
      </c>
      <c r="J822" s="3" t="inlineStr">
        <is>
          <t>GA</t>
        </is>
      </c>
      <c r="K822" s="3" t="inlineStr">
        <is>
          <t>Ballicci</t>
        </is>
      </c>
      <c r="L822" s="3" t="inlineStr">
        <is>
          <t>Renewal</t>
        </is>
      </c>
      <c r="M822" s="3" t="n">
        <v>1.49</v>
      </c>
      <c r="N822" s="28" t="n">
        <v>35000</v>
      </c>
      <c r="O822" s="28" t="n">
        <v>4900</v>
      </c>
      <c r="P822" s="28" t="n">
        <v>52150</v>
      </c>
      <c r="Q822" s="28" t="n">
        <v>52150</v>
      </c>
      <c r="R822" s="28" t="n">
        <v>0</v>
      </c>
      <c r="S822" s="42" t="n">
        <v>1</v>
      </c>
      <c r="T822" s="3" t="n">
        <v>3.934</v>
      </c>
      <c r="U822" s="3" t="n">
        <v>3</v>
      </c>
      <c r="V822" s="3" t="n">
        <v>41414.05</v>
      </c>
      <c r="W822" s="42" t="n">
        <v>0.2204</v>
      </c>
      <c r="X822" s="23" t="n">
        <v>41351</v>
      </c>
      <c r="Y822" s="3">
        <f>IF(I822="","No SIC",IFERROR(VLOOKUP(I822,Ref!$A$2:$B$65,2,FALSE()),"Unclassified"))</f>
        <v/>
      </c>
      <c r="Z822" s="3">
        <f>IF(T822="","",IF(T822&lt;12,"Daily","Weekly"))</f>
        <v/>
      </c>
      <c r="AA822" s="3">
        <f>IF(T822="",0,IF(T822&lt;12,T822*Controls!$B$13,T822*5))</f>
        <v/>
      </c>
      <c r="AB822" s="3">
        <f>IF(E822="",0,NETWORKDAYS(E822,Controls!$B$20,Ref!$K$2:$K$42))</f>
        <v/>
      </c>
      <c r="AC822" s="3">
        <f>IF(OR(AF822=1,AND(AA822&gt;0,AB822&gt;=Controls!$B$23*AA822)),1,0)</f>
        <v/>
      </c>
      <c r="AD822" s="3">
        <f>IF(AND(E822&lt;&gt;"",E822&gt;=Controls!$B$21,E822&lt;=Controls!$B$22),1,0)</f>
        <v/>
      </c>
      <c r="AE822" s="3">
        <f>IF(IFERROR(VLOOKUP(D822,Controls!$A$36:$E$46,2,FALSE()),"No")="Yes",1,0)</f>
        <v/>
      </c>
      <c r="AF822" s="3">
        <f>IF(IFERROR(VLOOKUP(D822,Controls!$A$36:$E$46,3,FALSE()),"No")="Yes",1,0)</f>
        <v/>
      </c>
      <c r="AG822" s="3">
        <f>IF(IFERROR(VLOOKUP(D822,Controls!$A$36:$E$46,4,FALSE()),"No")="Yes",1,0)</f>
        <v/>
      </c>
      <c r="AH822" s="3">
        <f>IF(IFERROR(VLOOKUP(D822,Controls!$A$36:$E$46,5,FALSE()),"No")="Yes",1,0)</f>
        <v/>
      </c>
      <c r="AI822" s="3">
        <f>IF(ISNUMBER(MATCH(D822,Controls!$A$36:$A$46,0)),1,0)</f>
        <v/>
      </c>
      <c r="AJ822" s="28">
        <f>Q822-N822</f>
        <v/>
      </c>
      <c r="AK822" s="3">
        <f>IF(AE822=1,MAX(0,N822-Q822),0)</f>
        <v/>
      </c>
      <c r="AL822" s="3">
        <f>IF(OR(V822="",V822=0),0,N822/V822)</f>
        <v/>
      </c>
      <c r="AM822" s="3">
        <f>IF(OR(V822="",V822=0),0,1)</f>
        <v/>
      </c>
      <c r="AN822" s="3">
        <f>IF(OR(E822="",F822=""),0,NETWORKDAYS(E822,F822,Ref!$K$2:$K$42))</f>
        <v/>
      </c>
      <c r="AO822" s="3">
        <f>IF(L822="Renewal",1,0)</f>
        <v/>
      </c>
      <c r="AP822" s="3">
        <f>AC822*AD822</f>
        <v/>
      </c>
      <c r="AQ822" s="3">
        <f>IF(AND(G822&lt;&gt;"",'Historical Score'!$C$6&lt;&gt;""),IF(G822='Historical Score'!$C$6,1,0),0)</f>
        <v/>
      </c>
      <c r="AR822" s="3">
        <f>IF(AND(L822&lt;&gt;"",'Historical Score'!$C$5&lt;&gt;""),IF(L822='Historical Score'!$C$5,1,0),0)</f>
        <v/>
      </c>
      <c r="AS822" s="3">
        <f>IF(AND(Y822&lt;&gt;"",'Historical Score'!$C$7&lt;&gt;""),IF(Y822='Historical Score'!$C$7,1,0),0)</f>
        <v/>
      </c>
      <c r="AT822" s="3">
        <f>IF(AND(K822&lt;&gt;"",'Historical Score'!$C$8&lt;&gt;""),IF(K822='Historical Score'!$C$8,1,0),0)</f>
        <v/>
      </c>
      <c r="AU822" s="3" t="n"/>
      <c r="AV822" s="3" t="n"/>
      <c r="AW822" s="3" t="n"/>
      <c r="AX822" s="3" t="n"/>
      <c r="AY822" s="3" t="n"/>
      <c r="AZ822" s="3" t="n"/>
      <c r="BA822" s="182">
        <f>IF(AD822=1,(AR822*'Historical Score'!$K$29+1-'Historical Score'!$K$29)*(AT822*'Historical Score'!$L$29+1-'Historical Score'!$L$29)*(AS822*'Historical Score'!$M$29+1-'Historical Score'!$M$29)*(AQ822*'Historical Score'!$N$29+1-'Historical Score'!$N$29),0)</f>
        <v/>
      </c>
      <c r="BB822" s="3" t="n"/>
      <c r="BC822" s="3" t="n"/>
    </row>
    <row r="823" ht="15.75" customHeight="1" s="174">
      <c r="A823" s="3" t="inlineStr">
        <is>
          <t>5674182566</t>
        </is>
      </c>
      <c r="B823" s="3" t="inlineStr">
        <is>
          <t>Mobile Park Management LLC</t>
        </is>
      </c>
      <c r="C823" s="3" t="inlineStr">
        <is>
          <t>Mobile Park Management LLC</t>
        </is>
      </c>
      <c r="D823" s="3" t="inlineStr">
        <is>
          <t>Open</t>
        </is>
      </c>
      <c r="E823" s="23" t="n">
        <v>46140</v>
      </c>
      <c r="F823" s="23" t="n">
        <v>46227</v>
      </c>
      <c r="G823" s="3" t="n">
        <v>3</v>
      </c>
      <c r="H823" s="3" t="inlineStr">
        <is>
          <t>6531</t>
        </is>
      </c>
      <c r="I823" s="3" t="inlineStr">
        <is>
          <t>65</t>
        </is>
      </c>
      <c r="J823" s="3" t="inlineStr">
        <is>
          <t>TX</t>
        </is>
      </c>
      <c r="K823" s="3" t="inlineStr">
        <is>
          <t>Pro Source Lending Group</t>
        </is>
      </c>
      <c r="L823" s="3" t="inlineStr">
        <is>
          <t>New Deal</t>
        </is>
      </c>
      <c r="M823" s="3" t="n">
        <v>1.48</v>
      </c>
      <c r="N823" s="28" t="n">
        <v>30000</v>
      </c>
      <c r="O823" s="28" t="n">
        <v>4050</v>
      </c>
      <c r="P823" s="28" t="n">
        <v>44400</v>
      </c>
      <c r="Q823" s="28" t="n">
        <v>20337.24</v>
      </c>
      <c r="R823" s="28" t="n">
        <v>24062.76</v>
      </c>
      <c r="S823" s="42" t="n">
        <v>0.458045945945946</v>
      </c>
      <c r="T823" s="3" t="n">
        <v>24</v>
      </c>
      <c r="U823" s="3" t="n">
        <v>1</v>
      </c>
      <c r="V823" s="3" t="n">
        <v>324357.13</v>
      </c>
      <c r="W823" s="42" t="n">
        <v>0.0228</v>
      </c>
      <c r="X823" s="23" t="n">
        <v>45323</v>
      </c>
      <c r="Y823" s="3">
        <f>IF(I823="","No SIC",IFERROR(VLOOKUP(I823,Ref!$A$2:$B$65,2,FALSE()),"Unclassified"))</f>
        <v/>
      </c>
      <c r="Z823" s="3">
        <f>IF(T823="","",IF(T823&lt;12,"Daily","Weekly"))</f>
        <v/>
      </c>
      <c r="AA823" s="3">
        <f>IF(T823="",0,IF(T823&lt;12,T823*Controls!$B$13,T823*5))</f>
        <v/>
      </c>
      <c r="AB823" s="3">
        <f>IF(E823="",0,NETWORKDAYS(E823,Controls!$B$20,Ref!$K$2:$K$42))</f>
        <v/>
      </c>
      <c r="AC823" s="3">
        <f>IF(OR(AF823=1,AND(AA823&gt;0,AB823&gt;=Controls!$B$23*AA823)),1,0)</f>
        <v/>
      </c>
      <c r="AD823" s="3">
        <f>IF(AND(E823&lt;&gt;"",E823&gt;=Controls!$B$21,E823&lt;=Controls!$B$22),1,0)</f>
        <v/>
      </c>
      <c r="AE823" s="3">
        <f>IF(IFERROR(VLOOKUP(D823,Controls!$A$36:$E$46,2,FALSE()),"No")="Yes",1,0)</f>
        <v/>
      </c>
      <c r="AF823" s="3">
        <f>IF(IFERROR(VLOOKUP(D823,Controls!$A$36:$E$46,3,FALSE()),"No")="Yes",1,0)</f>
        <v/>
      </c>
      <c r="AG823" s="3">
        <f>IF(IFERROR(VLOOKUP(D823,Controls!$A$36:$E$46,4,FALSE()),"No")="Yes",1,0)</f>
        <v/>
      </c>
      <c r="AH823" s="3">
        <f>IF(IFERROR(VLOOKUP(D823,Controls!$A$36:$E$46,5,FALSE()),"No")="Yes",1,0)</f>
        <v/>
      </c>
      <c r="AI823" s="3">
        <f>IF(ISNUMBER(MATCH(D823,Controls!$A$36:$A$46,0)),1,0)</f>
        <v/>
      </c>
      <c r="AJ823" s="28">
        <f>Q823-N823</f>
        <v/>
      </c>
      <c r="AK823" s="3">
        <f>IF(AE823=1,MAX(0,N823-Q823),0)</f>
        <v/>
      </c>
      <c r="AL823" s="3">
        <f>IF(OR(V823="",V823=0),0,N823/V823)</f>
        <v/>
      </c>
      <c r="AM823" s="3">
        <f>IF(OR(V823="",V823=0),0,1)</f>
        <v/>
      </c>
      <c r="AN823" s="3">
        <f>IF(OR(E823="",F823=""),0,NETWORKDAYS(E823,F823,Ref!$K$2:$K$42))</f>
        <v/>
      </c>
      <c r="AO823" s="3">
        <f>IF(L823="Renewal",1,0)</f>
        <v/>
      </c>
      <c r="AP823" s="3">
        <f>AC823*AD823</f>
        <v/>
      </c>
      <c r="AQ823" s="3">
        <f>IF(AND(G823&lt;&gt;"",'Historical Score'!$C$6&lt;&gt;""),IF(G823='Historical Score'!$C$6,1,0),0)</f>
        <v/>
      </c>
      <c r="AR823" s="3">
        <f>IF(AND(L823&lt;&gt;"",'Historical Score'!$C$5&lt;&gt;""),IF(L823='Historical Score'!$C$5,1,0),0)</f>
        <v/>
      </c>
      <c r="AS823" s="3">
        <f>IF(AND(Y823&lt;&gt;"",'Historical Score'!$C$7&lt;&gt;""),IF(Y823='Historical Score'!$C$7,1,0),0)</f>
        <v/>
      </c>
      <c r="AT823" s="3">
        <f>IF(AND(K823&lt;&gt;"",'Historical Score'!$C$8&lt;&gt;""),IF(K823='Historical Score'!$C$8,1,0),0)</f>
        <v/>
      </c>
      <c r="AU823" s="3" t="n"/>
      <c r="AV823" s="3" t="n"/>
      <c r="AW823" s="3" t="n"/>
      <c r="AX823" s="3" t="n"/>
      <c r="AY823" s="3" t="n"/>
      <c r="AZ823" s="3" t="n"/>
      <c r="BA823" s="182">
        <f>IF(AD823=1,(AR823*'Historical Score'!$K$29+1-'Historical Score'!$K$29)*(AT823*'Historical Score'!$L$29+1-'Historical Score'!$L$29)*(AS823*'Historical Score'!$M$29+1-'Historical Score'!$M$29)*(AQ823*'Historical Score'!$N$29+1-'Historical Score'!$N$29),0)</f>
        <v/>
      </c>
      <c r="BB823" s="3" t="n"/>
      <c r="BC823" s="3" t="n"/>
    </row>
    <row r="824" ht="15.75" customHeight="1" s="174">
      <c r="A824" s="3" t="inlineStr">
        <is>
          <t>5674182569</t>
        </is>
      </c>
      <c r="B824" s="3" t="inlineStr">
        <is>
          <t>A AND K ASSOCIATES</t>
        </is>
      </c>
      <c r="C824" s="3" t="inlineStr">
        <is>
          <t>KAY INVESTMENT INC</t>
        </is>
      </c>
      <c r="D824" s="3" t="inlineStr">
        <is>
          <t>Open</t>
        </is>
      </c>
      <c r="E824" s="23" t="n">
        <v>46140</v>
      </c>
      <c r="F824" s="23" t="n">
        <v>46248</v>
      </c>
      <c r="G824" s="3" t="n">
        <v>3</v>
      </c>
      <c r="H824" s="3" t="inlineStr">
        <is>
          <t>8748</t>
        </is>
      </c>
      <c r="I824" s="3" t="inlineStr">
        <is>
          <t>87</t>
        </is>
      </c>
      <c r="J824" s="3" t="inlineStr">
        <is>
          <t>TX</t>
        </is>
      </c>
      <c r="K824" s="3" t="inlineStr">
        <is>
          <t>Triumph Cap Fund</t>
        </is>
      </c>
      <c r="L824" s="3" t="inlineStr">
        <is>
          <t>Renewal</t>
        </is>
      </c>
      <c r="M824" s="3" t="n">
        <v>1.49</v>
      </c>
      <c r="N824" s="28" t="n">
        <v>30000</v>
      </c>
      <c r="O824" s="28" t="n">
        <v>4200</v>
      </c>
      <c r="P824" s="28" t="n">
        <v>44700</v>
      </c>
      <c r="Q824" s="28" t="n">
        <v>25782.15</v>
      </c>
      <c r="R824" s="28" t="n">
        <v>18917.85</v>
      </c>
      <c r="S824" s="42" t="n">
        <v>0.576781879194631</v>
      </c>
      <c r="T824" s="3" t="n">
        <v>26</v>
      </c>
      <c r="U824" s="3" t="n">
        <v>0</v>
      </c>
      <c r="V824" s="3" t="n">
        <v>50516.18</v>
      </c>
      <c r="W824" s="42" t="n">
        <v>0.1361</v>
      </c>
      <c r="X824" s="23" t="n">
        <v>44341</v>
      </c>
      <c r="Y824" s="3">
        <f>IF(I824="","No SIC",IFERROR(VLOOKUP(I824,Ref!$A$2:$B$65,2,FALSE()),"Unclassified"))</f>
        <v/>
      </c>
      <c r="Z824" s="3">
        <f>IF(T824="","",IF(T824&lt;12,"Daily","Weekly"))</f>
        <v/>
      </c>
      <c r="AA824" s="3">
        <f>IF(T824="",0,IF(T824&lt;12,T824*Controls!$B$13,T824*5))</f>
        <v/>
      </c>
      <c r="AB824" s="3">
        <f>IF(E824="",0,NETWORKDAYS(E824,Controls!$B$20,Ref!$K$2:$K$42))</f>
        <v/>
      </c>
      <c r="AC824" s="3">
        <f>IF(OR(AF824=1,AND(AA824&gt;0,AB824&gt;=Controls!$B$23*AA824)),1,0)</f>
        <v/>
      </c>
      <c r="AD824" s="3">
        <f>IF(AND(E824&lt;&gt;"",E824&gt;=Controls!$B$21,E824&lt;=Controls!$B$22),1,0)</f>
        <v/>
      </c>
      <c r="AE824" s="3">
        <f>IF(IFERROR(VLOOKUP(D824,Controls!$A$36:$E$46,2,FALSE()),"No")="Yes",1,0)</f>
        <v/>
      </c>
      <c r="AF824" s="3">
        <f>IF(IFERROR(VLOOKUP(D824,Controls!$A$36:$E$46,3,FALSE()),"No")="Yes",1,0)</f>
        <v/>
      </c>
      <c r="AG824" s="3">
        <f>IF(IFERROR(VLOOKUP(D824,Controls!$A$36:$E$46,4,FALSE()),"No")="Yes",1,0)</f>
        <v/>
      </c>
      <c r="AH824" s="3">
        <f>IF(IFERROR(VLOOKUP(D824,Controls!$A$36:$E$46,5,FALSE()),"No")="Yes",1,0)</f>
        <v/>
      </c>
      <c r="AI824" s="3">
        <f>IF(ISNUMBER(MATCH(D824,Controls!$A$36:$A$46,0)),1,0)</f>
        <v/>
      </c>
      <c r="AJ824" s="28">
        <f>Q824-N824</f>
        <v/>
      </c>
      <c r="AK824" s="3">
        <f>IF(AE824=1,MAX(0,N824-Q824),0)</f>
        <v/>
      </c>
      <c r="AL824" s="3">
        <f>IF(OR(V824="",V824=0),0,N824/V824)</f>
        <v/>
      </c>
      <c r="AM824" s="3">
        <f>IF(OR(V824="",V824=0),0,1)</f>
        <v/>
      </c>
      <c r="AN824" s="3">
        <f>IF(OR(E824="",F824=""),0,NETWORKDAYS(E824,F824,Ref!$K$2:$K$42))</f>
        <v/>
      </c>
      <c r="AO824" s="3">
        <f>IF(L824="Renewal",1,0)</f>
        <v/>
      </c>
      <c r="AP824" s="3">
        <f>AC824*AD824</f>
        <v/>
      </c>
      <c r="AQ824" s="3">
        <f>IF(AND(G824&lt;&gt;"",'Historical Score'!$C$6&lt;&gt;""),IF(G824='Historical Score'!$C$6,1,0),0)</f>
        <v/>
      </c>
      <c r="AR824" s="3">
        <f>IF(AND(L824&lt;&gt;"",'Historical Score'!$C$5&lt;&gt;""),IF(L824='Historical Score'!$C$5,1,0),0)</f>
        <v/>
      </c>
      <c r="AS824" s="3">
        <f>IF(AND(Y824&lt;&gt;"",'Historical Score'!$C$7&lt;&gt;""),IF(Y824='Historical Score'!$C$7,1,0),0)</f>
        <v/>
      </c>
      <c r="AT824" s="3">
        <f>IF(AND(K824&lt;&gt;"",'Historical Score'!$C$8&lt;&gt;""),IF(K824='Historical Score'!$C$8,1,0),0)</f>
        <v/>
      </c>
      <c r="AU824" s="3" t="n"/>
      <c r="AV824" s="3" t="n"/>
      <c r="AW824" s="3" t="n"/>
      <c r="AX824" s="3" t="n"/>
      <c r="AY824" s="3" t="n"/>
      <c r="AZ824" s="3" t="n"/>
      <c r="BA824" s="182">
        <f>IF(AD824=1,(AR824*'Historical Score'!$K$29+1-'Historical Score'!$K$29)*(AT824*'Historical Score'!$L$29+1-'Historical Score'!$L$29)*(AS824*'Historical Score'!$M$29+1-'Historical Score'!$M$29)*(AQ824*'Historical Score'!$N$29+1-'Historical Score'!$N$29),0)</f>
        <v/>
      </c>
      <c r="BB824" s="3" t="n"/>
      <c r="BC824" s="3" t="n"/>
    </row>
    <row r="825" ht="15.75" customHeight="1" s="174">
      <c r="A825" s="3" t="inlineStr">
        <is>
          <t>5674182576</t>
        </is>
      </c>
      <c r="B825" s="3" t="inlineStr">
        <is>
          <t>DRTX Facility Maintenance, LLC</t>
        </is>
      </c>
      <c r="C825" s="3" t="inlineStr">
        <is>
          <t>DRTX Facility Maintenance, LLC</t>
        </is>
      </c>
      <c r="D825" s="3" t="inlineStr">
        <is>
          <t>Closed</t>
        </is>
      </c>
      <c r="E825" s="23" t="n">
        <v>46140</v>
      </c>
      <c r="F825" s="23" t="n">
        <v>46220</v>
      </c>
      <c r="G825" s="3" t="n">
        <v>3</v>
      </c>
      <c r="H825" s="3" t="inlineStr">
        <is>
          <t>1521</t>
        </is>
      </c>
      <c r="I825" s="3" t="inlineStr">
        <is>
          <t>15</t>
        </is>
      </c>
      <c r="J825" s="3" t="inlineStr">
        <is>
          <t>TX</t>
        </is>
      </c>
      <c r="K825" s="3" t="inlineStr">
        <is>
          <t>SNB CAPITAL 18 LLC</t>
        </is>
      </c>
      <c r="L825" s="3" t="inlineStr">
        <is>
          <t>New Deal</t>
        </is>
      </c>
      <c r="M825" s="3" t="n">
        <v>1.49</v>
      </c>
      <c r="N825" s="28" t="n">
        <v>8000</v>
      </c>
      <c r="O825" s="28" t="n">
        <v>1120</v>
      </c>
      <c r="P825" s="28" t="n">
        <v>11920</v>
      </c>
      <c r="Q825" s="28" t="n">
        <v>11920</v>
      </c>
      <c r="R825" s="28" t="n">
        <v>0</v>
      </c>
      <c r="S825" s="42" t="n">
        <v>1</v>
      </c>
      <c r="T825" s="3" t="n">
        <v>3.279</v>
      </c>
      <c r="U825" s="3" t="n">
        <v>0</v>
      </c>
      <c r="V825" s="3" t="n">
        <v>51341.83</v>
      </c>
      <c r="W825" s="42" t="n">
        <v>0.0488</v>
      </c>
      <c r="X825" s="23" t="n">
        <v>39965</v>
      </c>
      <c r="Y825" s="3">
        <f>IF(I825="","No SIC",IFERROR(VLOOKUP(I825,Ref!$A$2:$B$65,2,FALSE()),"Unclassified"))</f>
        <v/>
      </c>
      <c r="Z825" s="3">
        <f>IF(T825="","",IF(T825&lt;12,"Daily","Weekly"))</f>
        <v/>
      </c>
      <c r="AA825" s="3">
        <f>IF(T825="",0,IF(T825&lt;12,T825*Controls!$B$13,T825*5))</f>
        <v/>
      </c>
      <c r="AB825" s="3">
        <f>IF(E825="",0,NETWORKDAYS(E825,Controls!$B$20,Ref!$K$2:$K$42))</f>
        <v/>
      </c>
      <c r="AC825" s="3">
        <f>IF(OR(AF825=1,AND(AA825&gt;0,AB825&gt;=Controls!$B$23*AA825)),1,0)</f>
        <v/>
      </c>
      <c r="AD825" s="3">
        <f>IF(AND(E825&lt;&gt;"",E825&gt;=Controls!$B$21,E825&lt;=Controls!$B$22),1,0)</f>
        <v/>
      </c>
      <c r="AE825" s="3">
        <f>IF(IFERROR(VLOOKUP(D825,Controls!$A$36:$E$46,2,FALSE()),"No")="Yes",1,0)</f>
        <v/>
      </c>
      <c r="AF825" s="3">
        <f>IF(IFERROR(VLOOKUP(D825,Controls!$A$36:$E$46,3,FALSE()),"No")="Yes",1,0)</f>
        <v/>
      </c>
      <c r="AG825" s="3">
        <f>IF(IFERROR(VLOOKUP(D825,Controls!$A$36:$E$46,4,FALSE()),"No")="Yes",1,0)</f>
        <v/>
      </c>
      <c r="AH825" s="3">
        <f>IF(IFERROR(VLOOKUP(D825,Controls!$A$36:$E$46,5,FALSE()),"No")="Yes",1,0)</f>
        <v/>
      </c>
      <c r="AI825" s="3">
        <f>IF(ISNUMBER(MATCH(D825,Controls!$A$36:$A$46,0)),1,0)</f>
        <v/>
      </c>
      <c r="AJ825" s="28">
        <f>Q825-N825</f>
        <v/>
      </c>
      <c r="AK825" s="3">
        <f>IF(AE825=1,MAX(0,N825-Q825),0)</f>
        <v/>
      </c>
      <c r="AL825" s="3">
        <f>IF(OR(V825="",V825=0),0,N825/V825)</f>
        <v/>
      </c>
      <c r="AM825" s="3">
        <f>IF(OR(V825="",V825=0),0,1)</f>
        <v/>
      </c>
      <c r="AN825" s="3">
        <f>IF(OR(E825="",F825=""),0,NETWORKDAYS(E825,F825,Ref!$K$2:$K$42))</f>
        <v/>
      </c>
      <c r="AO825" s="3">
        <f>IF(L825="Renewal",1,0)</f>
        <v/>
      </c>
      <c r="AP825" s="3">
        <f>AC825*AD825</f>
        <v/>
      </c>
      <c r="AQ825" s="3">
        <f>IF(AND(G825&lt;&gt;"",'Historical Score'!$C$6&lt;&gt;""),IF(G825='Historical Score'!$C$6,1,0),0)</f>
        <v/>
      </c>
      <c r="AR825" s="3">
        <f>IF(AND(L825&lt;&gt;"",'Historical Score'!$C$5&lt;&gt;""),IF(L825='Historical Score'!$C$5,1,0),0)</f>
        <v/>
      </c>
      <c r="AS825" s="3">
        <f>IF(AND(Y825&lt;&gt;"",'Historical Score'!$C$7&lt;&gt;""),IF(Y825='Historical Score'!$C$7,1,0),0)</f>
        <v/>
      </c>
      <c r="AT825" s="3">
        <f>IF(AND(K825&lt;&gt;"",'Historical Score'!$C$8&lt;&gt;""),IF(K825='Historical Score'!$C$8,1,0),0)</f>
        <v/>
      </c>
      <c r="AU825" s="3" t="n"/>
      <c r="AV825" s="3" t="n"/>
      <c r="AW825" s="3" t="n"/>
      <c r="AX825" s="3" t="n"/>
      <c r="AY825" s="3" t="n"/>
      <c r="AZ825" s="3" t="n"/>
      <c r="BA825" s="182">
        <f>IF(AD825=1,(AR825*'Historical Score'!$K$29+1-'Historical Score'!$K$29)*(AT825*'Historical Score'!$L$29+1-'Historical Score'!$L$29)*(AS825*'Historical Score'!$M$29+1-'Historical Score'!$M$29)*(AQ825*'Historical Score'!$N$29+1-'Historical Score'!$N$29),0)</f>
        <v/>
      </c>
      <c r="BB825" s="3" t="n"/>
      <c r="BC825" s="3" t="n"/>
    </row>
    <row r="826" ht="15.75" customHeight="1" s="174">
      <c r="A826" s="3" t="inlineStr">
        <is>
          <t>5674182583</t>
        </is>
      </c>
      <c r="B826" s="3" t="inlineStr">
        <is>
          <t>Connected Contracting Corp</t>
        </is>
      </c>
      <c r="C826" s="3" t="inlineStr">
        <is>
          <t>Connected Contracting Corp</t>
        </is>
      </c>
      <c r="D826" s="3" t="inlineStr">
        <is>
          <t>Open</t>
        </is>
      </c>
      <c r="E826" s="23" t="n">
        <v>46140</v>
      </c>
      <c r="F826" s="23" t="n">
        <v>46253</v>
      </c>
      <c r="G826" s="3" t="n">
        <v>3</v>
      </c>
      <c r="H826" s="3" t="inlineStr">
        <is>
          <t>1799</t>
        </is>
      </c>
      <c r="I826" s="3" t="inlineStr">
        <is>
          <t>17</t>
        </is>
      </c>
      <c r="J826" s="3" t="inlineStr">
        <is>
          <t>FL</t>
        </is>
      </c>
      <c r="K826" s="3" t="inlineStr">
        <is>
          <t>Credibly</t>
        </is>
      </c>
      <c r="L826" s="3" t="inlineStr">
        <is>
          <t>New Deal</t>
        </is>
      </c>
      <c r="M826" s="3" t="n">
        <v>1.34</v>
      </c>
      <c r="N826" s="28" t="n">
        <v>10000</v>
      </c>
      <c r="O826" s="28" t="n">
        <v>600</v>
      </c>
      <c r="P826" s="28" t="n">
        <v>13400</v>
      </c>
      <c r="Q826" s="28" t="n">
        <v>5474.77</v>
      </c>
      <c r="R826" s="28" t="n">
        <v>7925.23</v>
      </c>
      <c r="S826" s="42" t="n">
        <v>0.408564925373134</v>
      </c>
      <c r="T826" s="3" t="n">
        <v>3.934</v>
      </c>
      <c r="U826" s="3" t="n">
        <v>31</v>
      </c>
      <c r="V826" s="3" t="n">
        <v>26098.36</v>
      </c>
      <c r="W826" s="42" t="n">
        <v>0.08989999999999999</v>
      </c>
      <c r="X826" s="23" t="n">
        <v>45007</v>
      </c>
      <c r="Y826" s="3">
        <f>IF(I826="","No SIC",IFERROR(VLOOKUP(I826,Ref!$A$2:$B$65,2,FALSE()),"Unclassified"))</f>
        <v/>
      </c>
      <c r="Z826" s="3">
        <f>IF(T826="","",IF(T826&lt;12,"Daily","Weekly"))</f>
        <v/>
      </c>
      <c r="AA826" s="3">
        <f>IF(T826="",0,IF(T826&lt;12,T826*Controls!$B$13,T826*5))</f>
        <v/>
      </c>
      <c r="AB826" s="3">
        <f>IF(E826="",0,NETWORKDAYS(E826,Controls!$B$20,Ref!$K$2:$K$42))</f>
        <v/>
      </c>
      <c r="AC826" s="3">
        <f>IF(OR(AF826=1,AND(AA826&gt;0,AB826&gt;=Controls!$B$23*AA826)),1,0)</f>
        <v/>
      </c>
      <c r="AD826" s="3">
        <f>IF(AND(E826&lt;&gt;"",E826&gt;=Controls!$B$21,E826&lt;=Controls!$B$22),1,0)</f>
        <v/>
      </c>
      <c r="AE826" s="3">
        <f>IF(IFERROR(VLOOKUP(D826,Controls!$A$36:$E$46,2,FALSE()),"No")="Yes",1,0)</f>
        <v/>
      </c>
      <c r="AF826" s="3">
        <f>IF(IFERROR(VLOOKUP(D826,Controls!$A$36:$E$46,3,FALSE()),"No")="Yes",1,0)</f>
        <v/>
      </c>
      <c r="AG826" s="3">
        <f>IF(IFERROR(VLOOKUP(D826,Controls!$A$36:$E$46,4,FALSE()),"No")="Yes",1,0)</f>
        <v/>
      </c>
      <c r="AH826" s="3">
        <f>IF(IFERROR(VLOOKUP(D826,Controls!$A$36:$E$46,5,FALSE()),"No")="Yes",1,0)</f>
        <v/>
      </c>
      <c r="AI826" s="3">
        <f>IF(ISNUMBER(MATCH(D826,Controls!$A$36:$A$46,0)),1,0)</f>
        <v/>
      </c>
      <c r="AJ826" s="28">
        <f>Q826-N826</f>
        <v/>
      </c>
      <c r="AK826" s="3">
        <f>IF(AE826=1,MAX(0,N826-Q826),0)</f>
        <v/>
      </c>
      <c r="AL826" s="3">
        <f>IF(OR(V826="",V826=0),0,N826/V826)</f>
        <v/>
      </c>
      <c r="AM826" s="3">
        <f>IF(OR(V826="",V826=0),0,1)</f>
        <v/>
      </c>
      <c r="AN826" s="3">
        <f>IF(OR(E826="",F826=""),0,NETWORKDAYS(E826,F826,Ref!$K$2:$K$42))</f>
        <v/>
      </c>
      <c r="AO826" s="3">
        <f>IF(L826="Renewal",1,0)</f>
        <v/>
      </c>
      <c r="AP826" s="3">
        <f>AC826*AD826</f>
        <v/>
      </c>
      <c r="AQ826" s="3">
        <f>IF(AND(G826&lt;&gt;"",'Historical Score'!$C$6&lt;&gt;""),IF(G826='Historical Score'!$C$6,1,0),0)</f>
        <v/>
      </c>
      <c r="AR826" s="3">
        <f>IF(AND(L826&lt;&gt;"",'Historical Score'!$C$5&lt;&gt;""),IF(L826='Historical Score'!$C$5,1,0),0)</f>
        <v/>
      </c>
      <c r="AS826" s="3">
        <f>IF(AND(Y826&lt;&gt;"",'Historical Score'!$C$7&lt;&gt;""),IF(Y826='Historical Score'!$C$7,1,0),0)</f>
        <v/>
      </c>
      <c r="AT826" s="3">
        <f>IF(AND(K826&lt;&gt;"",'Historical Score'!$C$8&lt;&gt;""),IF(K826='Historical Score'!$C$8,1,0),0)</f>
        <v/>
      </c>
      <c r="AU826" s="3" t="n"/>
      <c r="AV826" s="3" t="n"/>
      <c r="AW826" s="3" t="n"/>
      <c r="AX826" s="3" t="n"/>
      <c r="AY826" s="3" t="n"/>
      <c r="AZ826" s="3" t="n"/>
      <c r="BA826" s="182">
        <f>IF(AD826=1,(AR826*'Historical Score'!$K$29+1-'Historical Score'!$K$29)*(AT826*'Historical Score'!$L$29+1-'Historical Score'!$L$29)*(AS826*'Historical Score'!$M$29+1-'Historical Score'!$M$29)*(AQ826*'Historical Score'!$N$29+1-'Historical Score'!$N$29),0)</f>
        <v/>
      </c>
      <c r="BB826" s="3" t="n"/>
      <c r="BC826" s="3" t="n"/>
    </row>
    <row r="827" ht="15.75" customHeight="1" s="174">
      <c r="A827" s="3" t="inlineStr">
        <is>
          <t>5674182601</t>
        </is>
      </c>
      <c r="B827" s="3" t="inlineStr">
        <is>
          <t>Donopoly remodeling expert LLC</t>
        </is>
      </c>
      <c r="C827" s="3" t="inlineStr">
        <is>
          <t>Donopoly remodeling expert LLC</t>
        </is>
      </c>
      <c r="D827" s="3" t="inlineStr">
        <is>
          <t>Legal</t>
        </is>
      </c>
      <c r="E827" s="23" t="n">
        <v>46140</v>
      </c>
      <c r="F827" s="23" t="n">
        <v>46150</v>
      </c>
      <c r="G827" s="3" t="n">
        <v>3</v>
      </c>
      <c r="H827" s="3" t="inlineStr">
        <is>
          <t>1521</t>
        </is>
      </c>
      <c r="I827" s="3" t="inlineStr">
        <is>
          <t>15</t>
        </is>
      </c>
      <c r="J827" s="3" t="inlineStr">
        <is>
          <t>PA</t>
        </is>
      </c>
      <c r="K827" s="3" t="inlineStr">
        <is>
          <t>Shore Funding USA</t>
        </is>
      </c>
      <c r="L827" s="3" t="inlineStr">
        <is>
          <t>New Deal</t>
        </is>
      </c>
      <c r="M827" s="3" t="n">
        <v>1.49</v>
      </c>
      <c r="N827" s="28" t="n">
        <v>20000</v>
      </c>
      <c r="O827" s="28" t="n">
        <v>0</v>
      </c>
      <c r="P827" s="28" t="n">
        <v>29800</v>
      </c>
      <c r="Q827" s="28" t="n">
        <v>0</v>
      </c>
      <c r="R827" s="28" t="n">
        <v>29800</v>
      </c>
      <c r="S827" s="42" t="n">
        <v>0</v>
      </c>
      <c r="T827" s="3" t="n">
        <v>28</v>
      </c>
      <c r="U827" s="3" t="n">
        <v>1</v>
      </c>
      <c r="V827" s="3" t="n">
        <v>49200.57</v>
      </c>
      <c r="W827" s="42" t="n">
        <v>0.08649999999999999</v>
      </c>
      <c r="X827" s="23" t="n">
        <v>32025</v>
      </c>
      <c r="Y827" s="3">
        <f>IF(I827="","No SIC",IFERROR(VLOOKUP(I827,Ref!$A$2:$B$65,2,FALSE()),"Unclassified"))</f>
        <v/>
      </c>
      <c r="Z827" s="3">
        <f>IF(T827="","",IF(T827&lt;12,"Daily","Weekly"))</f>
        <v/>
      </c>
      <c r="AA827" s="3">
        <f>IF(T827="",0,IF(T827&lt;12,T827*Controls!$B$13,T827*5))</f>
        <v/>
      </c>
      <c r="AB827" s="3">
        <f>IF(E827="",0,NETWORKDAYS(E827,Controls!$B$20,Ref!$K$2:$K$42))</f>
        <v/>
      </c>
      <c r="AC827" s="3">
        <f>IF(OR(AF827=1,AND(AA827&gt;0,AB827&gt;=Controls!$B$23*AA827)),1,0)</f>
        <v/>
      </c>
      <c r="AD827" s="3">
        <f>IF(AND(E827&lt;&gt;"",E827&gt;=Controls!$B$21,E827&lt;=Controls!$B$22),1,0)</f>
        <v/>
      </c>
      <c r="AE827" s="3">
        <f>IF(IFERROR(VLOOKUP(D827,Controls!$A$36:$E$46,2,FALSE()),"No")="Yes",1,0)</f>
        <v/>
      </c>
      <c r="AF827" s="3">
        <f>IF(IFERROR(VLOOKUP(D827,Controls!$A$36:$E$46,3,FALSE()),"No")="Yes",1,0)</f>
        <v/>
      </c>
      <c r="AG827" s="3">
        <f>IF(IFERROR(VLOOKUP(D827,Controls!$A$36:$E$46,4,FALSE()),"No")="Yes",1,0)</f>
        <v/>
      </c>
      <c r="AH827" s="3">
        <f>IF(IFERROR(VLOOKUP(D827,Controls!$A$36:$E$46,5,FALSE()),"No")="Yes",1,0)</f>
        <v/>
      </c>
      <c r="AI827" s="3">
        <f>IF(ISNUMBER(MATCH(D827,Controls!$A$36:$A$46,0)),1,0)</f>
        <v/>
      </c>
      <c r="AJ827" s="28">
        <f>Q827-N827</f>
        <v/>
      </c>
      <c r="AK827" s="3">
        <f>IF(AE827=1,MAX(0,N827-Q827),0)</f>
        <v/>
      </c>
      <c r="AL827" s="3">
        <f>IF(OR(V827="",V827=0),0,N827/V827)</f>
        <v/>
      </c>
      <c r="AM827" s="3">
        <f>IF(OR(V827="",V827=0),0,1)</f>
        <v/>
      </c>
      <c r="AN827" s="3">
        <f>IF(OR(E827="",F827=""),0,NETWORKDAYS(E827,F827,Ref!$K$2:$K$42))</f>
        <v/>
      </c>
      <c r="AO827" s="3">
        <f>IF(L827="Renewal",1,0)</f>
        <v/>
      </c>
      <c r="AP827" s="3">
        <f>AC827*AD827</f>
        <v/>
      </c>
      <c r="AQ827" s="3">
        <f>IF(AND(G827&lt;&gt;"",'Historical Score'!$C$6&lt;&gt;""),IF(G827='Historical Score'!$C$6,1,0),0)</f>
        <v/>
      </c>
      <c r="AR827" s="3">
        <f>IF(AND(L827&lt;&gt;"",'Historical Score'!$C$5&lt;&gt;""),IF(L827='Historical Score'!$C$5,1,0),0)</f>
        <v/>
      </c>
      <c r="AS827" s="3">
        <f>IF(AND(Y827&lt;&gt;"",'Historical Score'!$C$7&lt;&gt;""),IF(Y827='Historical Score'!$C$7,1,0),0)</f>
        <v/>
      </c>
      <c r="AT827" s="3">
        <f>IF(AND(K827&lt;&gt;"",'Historical Score'!$C$8&lt;&gt;""),IF(K827='Historical Score'!$C$8,1,0),0)</f>
        <v/>
      </c>
      <c r="AU827" s="3" t="n"/>
      <c r="AV827" s="3" t="n"/>
      <c r="AW827" s="3" t="n"/>
      <c r="AX827" s="3" t="n"/>
      <c r="AY827" s="3" t="n"/>
      <c r="AZ827" s="3" t="n"/>
      <c r="BA827" s="182">
        <f>IF(AD827=1,(AR827*'Historical Score'!$K$29+1-'Historical Score'!$K$29)*(AT827*'Historical Score'!$L$29+1-'Historical Score'!$L$29)*(AS827*'Historical Score'!$M$29+1-'Historical Score'!$M$29)*(AQ827*'Historical Score'!$N$29+1-'Historical Score'!$N$29),0)</f>
        <v/>
      </c>
      <c r="BB827" s="3" t="n"/>
      <c r="BC827" s="3" t="n"/>
    </row>
    <row r="828" ht="15.75" customHeight="1" s="174">
      <c r="A828" s="3" t="inlineStr">
        <is>
          <t>5674182640</t>
        </is>
      </c>
      <c r="B828" s="3" t="inlineStr">
        <is>
          <t>Elk Hotel, LLC Dba</t>
        </is>
      </c>
      <c r="C828" s="3" t="inlineStr">
        <is>
          <t>Elk Hotel, LLC Dba</t>
        </is>
      </c>
      <c r="D828" s="3" t="inlineStr">
        <is>
          <t>Open</t>
        </is>
      </c>
      <c r="E828" s="23" t="n">
        <v>46141</v>
      </c>
      <c r="F828" s="23" t="n">
        <v>46251</v>
      </c>
      <c r="G828" s="3" t="n">
        <v>3</v>
      </c>
      <c r="H828" s="3" t="inlineStr">
        <is>
          <t>7011</t>
        </is>
      </c>
      <c r="I828" s="3" t="inlineStr">
        <is>
          <t>70</t>
        </is>
      </c>
      <c r="J828" s="3" t="inlineStr">
        <is>
          <t>CA</t>
        </is>
      </c>
      <c r="K828" s="3" t="inlineStr">
        <is>
          <t>Llama Loan</t>
        </is>
      </c>
      <c r="L828" s="3" t="inlineStr">
        <is>
          <t>New Deal</t>
        </is>
      </c>
      <c r="M828" s="3" t="n">
        <v>1.49</v>
      </c>
      <c r="N828" s="28" t="n">
        <v>45000</v>
      </c>
      <c r="O828" s="28" t="n">
        <v>6300</v>
      </c>
      <c r="P828" s="28" t="n">
        <v>67050</v>
      </c>
      <c r="Q828" s="28" t="n">
        <v>67050</v>
      </c>
      <c r="R828" s="28" t="n">
        <v>0</v>
      </c>
      <c r="S828" s="42" t="n">
        <v>1</v>
      </c>
      <c r="T828" s="3" t="n">
        <v>24</v>
      </c>
      <c r="U828" s="3" t="n">
        <v>0</v>
      </c>
      <c r="V828" s="3" t="n">
        <v>71345.28</v>
      </c>
      <c r="W828" s="42" t="n">
        <v>0.1566</v>
      </c>
      <c r="X828" s="23" t="n">
        <v>37257</v>
      </c>
      <c r="Y828" s="3">
        <f>IF(I828="","No SIC",IFERROR(VLOOKUP(I828,Ref!$A$2:$B$65,2,FALSE()),"Unclassified"))</f>
        <v/>
      </c>
      <c r="Z828" s="3">
        <f>IF(T828="","",IF(T828&lt;12,"Daily","Weekly"))</f>
        <v/>
      </c>
      <c r="AA828" s="3">
        <f>IF(T828="",0,IF(T828&lt;12,T828*Controls!$B$13,T828*5))</f>
        <v/>
      </c>
      <c r="AB828" s="3">
        <f>IF(E828="",0,NETWORKDAYS(E828,Controls!$B$20,Ref!$K$2:$K$42))</f>
        <v/>
      </c>
      <c r="AC828" s="3">
        <f>IF(OR(AF828=1,AND(AA828&gt;0,AB828&gt;=Controls!$B$23*AA828)),1,0)</f>
        <v/>
      </c>
      <c r="AD828" s="3">
        <f>IF(AND(E828&lt;&gt;"",E828&gt;=Controls!$B$21,E828&lt;=Controls!$B$22),1,0)</f>
        <v/>
      </c>
      <c r="AE828" s="3">
        <f>IF(IFERROR(VLOOKUP(D828,Controls!$A$36:$E$46,2,FALSE()),"No")="Yes",1,0)</f>
        <v/>
      </c>
      <c r="AF828" s="3">
        <f>IF(IFERROR(VLOOKUP(D828,Controls!$A$36:$E$46,3,FALSE()),"No")="Yes",1,0)</f>
        <v/>
      </c>
      <c r="AG828" s="3">
        <f>IF(IFERROR(VLOOKUP(D828,Controls!$A$36:$E$46,4,FALSE()),"No")="Yes",1,0)</f>
        <v/>
      </c>
      <c r="AH828" s="3">
        <f>IF(IFERROR(VLOOKUP(D828,Controls!$A$36:$E$46,5,FALSE()),"No")="Yes",1,0)</f>
        <v/>
      </c>
      <c r="AI828" s="3">
        <f>IF(ISNUMBER(MATCH(D828,Controls!$A$36:$A$46,0)),1,0)</f>
        <v/>
      </c>
      <c r="AJ828" s="28">
        <f>Q828-N828</f>
        <v/>
      </c>
      <c r="AK828" s="3">
        <f>IF(AE828=1,MAX(0,N828-Q828),0)</f>
        <v/>
      </c>
      <c r="AL828" s="3">
        <f>IF(OR(V828="",V828=0),0,N828/V828)</f>
        <v/>
      </c>
      <c r="AM828" s="3">
        <f>IF(OR(V828="",V828=0),0,1)</f>
        <v/>
      </c>
      <c r="AN828" s="3">
        <f>IF(OR(E828="",F828=""),0,NETWORKDAYS(E828,F828,Ref!$K$2:$K$42))</f>
        <v/>
      </c>
      <c r="AO828" s="3">
        <f>IF(L828="Renewal",1,0)</f>
        <v/>
      </c>
      <c r="AP828" s="3">
        <f>AC828*AD828</f>
        <v/>
      </c>
      <c r="AQ828" s="3">
        <f>IF(AND(G828&lt;&gt;"",'Historical Score'!$C$6&lt;&gt;""),IF(G828='Historical Score'!$C$6,1,0),0)</f>
        <v/>
      </c>
      <c r="AR828" s="3">
        <f>IF(AND(L828&lt;&gt;"",'Historical Score'!$C$5&lt;&gt;""),IF(L828='Historical Score'!$C$5,1,0),0)</f>
        <v/>
      </c>
      <c r="AS828" s="3">
        <f>IF(AND(Y828&lt;&gt;"",'Historical Score'!$C$7&lt;&gt;""),IF(Y828='Historical Score'!$C$7,1,0),0)</f>
        <v/>
      </c>
      <c r="AT828" s="3">
        <f>IF(AND(K828&lt;&gt;"",'Historical Score'!$C$8&lt;&gt;""),IF(K828='Historical Score'!$C$8,1,0),0)</f>
        <v/>
      </c>
      <c r="AU828" s="3" t="n"/>
      <c r="AV828" s="3" t="n"/>
      <c r="AW828" s="3" t="n"/>
      <c r="AX828" s="3" t="n"/>
      <c r="AY828" s="3" t="n"/>
      <c r="AZ828" s="3" t="n"/>
      <c r="BA828" s="182">
        <f>IF(AD828=1,(AR828*'Historical Score'!$K$29+1-'Historical Score'!$K$29)*(AT828*'Historical Score'!$L$29+1-'Historical Score'!$L$29)*(AS828*'Historical Score'!$M$29+1-'Historical Score'!$M$29)*(AQ828*'Historical Score'!$N$29+1-'Historical Score'!$N$29),0)</f>
        <v/>
      </c>
      <c r="BB828" s="3" t="n"/>
      <c r="BC828" s="3" t="n"/>
    </row>
    <row r="829" ht="15.75" customHeight="1" s="174">
      <c r="A829" s="3" t="inlineStr">
        <is>
          <t>5674182650</t>
        </is>
      </c>
      <c r="B829" s="3" t="inlineStr">
        <is>
          <t>JIU HONG CANYIN YULE, INC</t>
        </is>
      </c>
      <c r="C829" s="3" t="inlineStr">
        <is>
          <t>JIU HONG CANYIN YULE, INC</t>
        </is>
      </c>
      <c r="D829" s="3" t="inlineStr">
        <is>
          <t>In House Collection</t>
        </is>
      </c>
      <c r="E829" s="23" t="n">
        <v>46141</v>
      </c>
      <c r="F829" s="23" t="n">
        <v>46195</v>
      </c>
      <c r="G829" s="3" t="n">
        <v>3</v>
      </c>
      <c r="H829" s="3" t="inlineStr">
        <is>
          <t>5699</t>
        </is>
      </c>
      <c r="I829" s="3" t="inlineStr">
        <is>
          <t>56</t>
        </is>
      </c>
      <c r="J829" s="3" t="inlineStr">
        <is>
          <t>CO</t>
        </is>
      </c>
      <c r="K829" s="3" t="inlineStr">
        <is>
          <t>United Secured Capital 8</t>
        </is>
      </c>
      <c r="L829" s="3" t="inlineStr">
        <is>
          <t>Renewal</t>
        </is>
      </c>
      <c r="M829" s="3" t="n">
        <v>1.49</v>
      </c>
      <c r="N829" s="28" t="n">
        <v>50000</v>
      </c>
      <c r="O829" s="28" t="n">
        <v>7000</v>
      </c>
      <c r="P829" s="28" t="n">
        <v>74500</v>
      </c>
      <c r="Q829" s="28" t="n">
        <v>12240.14</v>
      </c>
      <c r="R829" s="28" t="n">
        <v>62259.86</v>
      </c>
      <c r="S829" s="42" t="n">
        <v>0.164297181208054</v>
      </c>
      <c r="T829" s="3" t="n">
        <v>4.59</v>
      </c>
      <c r="U829" s="3" t="n">
        <v>4</v>
      </c>
      <c r="V829" s="3" t="n">
        <v>42013.9</v>
      </c>
      <c r="W829" s="42" t="n">
        <v>0.266</v>
      </c>
      <c r="X829" s="23" t="n">
        <v>44659</v>
      </c>
      <c r="Y829" s="3">
        <f>IF(I829="","No SIC",IFERROR(VLOOKUP(I829,Ref!$A$2:$B$65,2,FALSE()),"Unclassified"))</f>
        <v/>
      </c>
      <c r="Z829" s="3">
        <f>IF(T829="","",IF(T829&lt;12,"Daily","Weekly"))</f>
        <v/>
      </c>
      <c r="AA829" s="3">
        <f>IF(T829="",0,IF(T829&lt;12,T829*Controls!$B$13,T829*5))</f>
        <v/>
      </c>
      <c r="AB829" s="3">
        <f>IF(E829="",0,NETWORKDAYS(E829,Controls!$B$20,Ref!$K$2:$K$42))</f>
        <v/>
      </c>
      <c r="AC829" s="3">
        <f>IF(OR(AF829=1,AND(AA829&gt;0,AB829&gt;=Controls!$B$23*AA829)),1,0)</f>
        <v/>
      </c>
      <c r="AD829" s="3">
        <f>IF(AND(E829&lt;&gt;"",E829&gt;=Controls!$B$21,E829&lt;=Controls!$B$22),1,0)</f>
        <v/>
      </c>
      <c r="AE829" s="3">
        <f>IF(IFERROR(VLOOKUP(D829,Controls!$A$36:$E$46,2,FALSE()),"No")="Yes",1,0)</f>
        <v/>
      </c>
      <c r="AF829" s="3">
        <f>IF(IFERROR(VLOOKUP(D829,Controls!$A$36:$E$46,3,FALSE()),"No")="Yes",1,0)</f>
        <v/>
      </c>
      <c r="AG829" s="3">
        <f>IF(IFERROR(VLOOKUP(D829,Controls!$A$36:$E$46,4,FALSE()),"No")="Yes",1,0)</f>
        <v/>
      </c>
      <c r="AH829" s="3">
        <f>IF(IFERROR(VLOOKUP(D829,Controls!$A$36:$E$46,5,FALSE()),"No")="Yes",1,0)</f>
        <v/>
      </c>
      <c r="AI829" s="3">
        <f>IF(ISNUMBER(MATCH(D829,Controls!$A$36:$A$46,0)),1,0)</f>
        <v/>
      </c>
      <c r="AJ829" s="28">
        <f>Q829-N829</f>
        <v/>
      </c>
      <c r="AK829" s="3">
        <f>IF(AE829=1,MAX(0,N829-Q829),0)</f>
        <v/>
      </c>
      <c r="AL829" s="3">
        <f>IF(OR(V829="",V829=0),0,N829/V829)</f>
        <v/>
      </c>
      <c r="AM829" s="3">
        <f>IF(OR(V829="",V829=0),0,1)</f>
        <v/>
      </c>
      <c r="AN829" s="3">
        <f>IF(OR(E829="",F829=""),0,NETWORKDAYS(E829,F829,Ref!$K$2:$K$42))</f>
        <v/>
      </c>
      <c r="AO829" s="3">
        <f>IF(L829="Renewal",1,0)</f>
        <v/>
      </c>
      <c r="AP829" s="3">
        <f>AC829*AD829</f>
        <v/>
      </c>
      <c r="AQ829" s="3">
        <f>IF(AND(G829&lt;&gt;"",'Historical Score'!$C$6&lt;&gt;""),IF(G829='Historical Score'!$C$6,1,0),0)</f>
        <v/>
      </c>
      <c r="AR829" s="3">
        <f>IF(AND(L829&lt;&gt;"",'Historical Score'!$C$5&lt;&gt;""),IF(L829='Historical Score'!$C$5,1,0),0)</f>
        <v/>
      </c>
      <c r="AS829" s="3">
        <f>IF(AND(Y829&lt;&gt;"",'Historical Score'!$C$7&lt;&gt;""),IF(Y829='Historical Score'!$C$7,1,0),0)</f>
        <v/>
      </c>
      <c r="AT829" s="3">
        <f>IF(AND(K829&lt;&gt;"",'Historical Score'!$C$8&lt;&gt;""),IF(K829='Historical Score'!$C$8,1,0),0)</f>
        <v/>
      </c>
      <c r="AU829" s="3" t="n"/>
      <c r="AV829" s="3" t="n"/>
      <c r="AW829" s="3" t="n"/>
      <c r="AX829" s="3" t="n"/>
      <c r="AY829" s="3" t="n"/>
      <c r="AZ829" s="3" t="n"/>
      <c r="BA829" s="182">
        <f>IF(AD829=1,(AR829*'Historical Score'!$K$29+1-'Historical Score'!$K$29)*(AT829*'Historical Score'!$L$29+1-'Historical Score'!$L$29)*(AS829*'Historical Score'!$M$29+1-'Historical Score'!$M$29)*(AQ829*'Historical Score'!$N$29+1-'Historical Score'!$N$29),0)</f>
        <v/>
      </c>
      <c r="BB829" s="3" t="n"/>
      <c r="BC829" s="3" t="n"/>
    </row>
    <row r="830" ht="15.75" customHeight="1" s="174">
      <c r="A830" s="3" t="inlineStr">
        <is>
          <t>5674182666</t>
        </is>
      </c>
      <c r="B830" s="3" t="inlineStr">
        <is>
          <t>Immpacto flooring LLc</t>
        </is>
      </c>
      <c r="C830" s="3" t="inlineStr">
        <is>
          <t>Immpacto flooring LLc</t>
        </is>
      </c>
      <c r="D830" s="3" t="inlineStr">
        <is>
          <t>Legal</t>
        </is>
      </c>
      <c r="E830" s="23" t="n">
        <v>46141</v>
      </c>
      <c r="F830" s="23" t="n">
        <v>46171</v>
      </c>
      <c r="G830" s="3" t="n">
        <v>3</v>
      </c>
      <c r="H830" s="3" t="inlineStr">
        <is>
          <t>1799</t>
        </is>
      </c>
      <c r="I830" s="3" t="inlineStr">
        <is>
          <t>17</t>
        </is>
      </c>
      <c r="J830" s="3" t="inlineStr">
        <is>
          <t>NJ</t>
        </is>
      </c>
      <c r="K830" s="3" t="inlineStr">
        <is>
          <t>PMF</t>
        </is>
      </c>
      <c r="L830" s="3" t="inlineStr">
        <is>
          <t>New Deal</t>
        </is>
      </c>
      <c r="M830" s="3" t="n">
        <v>1.49</v>
      </c>
      <c r="N830" s="28" t="n">
        <v>35000</v>
      </c>
      <c r="O830" s="28" t="n">
        <v>0</v>
      </c>
      <c r="P830" s="28" t="n">
        <v>52150</v>
      </c>
      <c r="Q830" s="28" t="n">
        <v>3722.18</v>
      </c>
      <c r="R830" s="28" t="n">
        <v>48427.82</v>
      </c>
      <c r="S830" s="42" t="n">
        <v>0.07137449664429529</v>
      </c>
      <c r="T830" s="3" t="n">
        <v>28</v>
      </c>
      <c r="U830" s="3" t="n">
        <v>2</v>
      </c>
      <c r="V830" s="3" t="n">
        <v>809169.74</v>
      </c>
      <c r="W830" s="42" t="n">
        <v>0.0092</v>
      </c>
      <c r="X830" s="23" t="n">
        <v>42467</v>
      </c>
      <c r="Y830" s="3">
        <f>IF(I830="","No SIC",IFERROR(VLOOKUP(I830,Ref!$A$2:$B$65,2,FALSE()),"Unclassified"))</f>
        <v/>
      </c>
      <c r="Z830" s="3">
        <f>IF(T830="","",IF(T830&lt;12,"Daily","Weekly"))</f>
        <v/>
      </c>
      <c r="AA830" s="3">
        <f>IF(T830="",0,IF(T830&lt;12,T830*Controls!$B$13,T830*5))</f>
        <v/>
      </c>
      <c r="AB830" s="3">
        <f>IF(E830="",0,NETWORKDAYS(E830,Controls!$B$20,Ref!$K$2:$K$42))</f>
        <v/>
      </c>
      <c r="AC830" s="3">
        <f>IF(OR(AF830=1,AND(AA830&gt;0,AB830&gt;=Controls!$B$23*AA830)),1,0)</f>
        <v/>
      </c>
      <c r="AD830" s="3">
        <f>IF(AND(E830&lt;&gt;"",E830&gt;=Controls!$B$21,E830&lt;=Controls!$B$22),1,0)</f>
        <v/>
      </c>
      <c r="AE830" s="3">
        <f>IF(IFERROR(VLOOKUP(D830,Controls!$A$36:$E$46,2,FALSE()),"No")="Yes",1,0)</f>
        <v/>
      </c>
      <c r="AF830" s="3">
        <f>IF(IFERROR(VLOOKUP(D830,Controls!$A$36:$E$46,3,FALSE()),"No")="Yes",1,0)</f>
        <v/>
      </c>
      <c r="AG830" s="3">
        <f>IF(IFERROR(VLOOKUP(D830,Controls!$A$36:$E$46,4,FALSE()),"No")="Yes",1,0)</f>
        <v/>
      </c>
      <c r="AH830" s="3">
        <f>IF(IFERROR(VLOOKUP(D830,Controls!$A$36:$E$46,5,FALSE()),"No")="Yes",1,0)</f>
        <v/>
      </c>
      <c r="AI830" s="3">
        <f>IF(ISNUMBER(MATCH(D830,Controls!$A$36:$A$46,0)),1,0)</f>
        <v/>
      </c>
      <c r="AJ830" s="28">
        <f>Q830-N830</f>
        <v/>
      </c>
      <c r="AK830" s="3">
        <f>IF(AE830=1,MAX(0,N830-Q830),0)</f>
        <v/>
      </c>
      <c r="AL830" s="3">
        <f>IF(OR(V830="",V830=0),0,N830/V830)</f>
        <v/>
      </c>
      <c r="AM830" s="3">
        <f>IF(OR(V830="",V830=0),0,1)</f>
        <v/>
      </c>
      <c r="AN830" s="3">
        <f>IF(OR(E830="",F830=""),0,NETWORKDAYS(E830,F830,Ref!$K$2:$K$42))</f>
        <v/>
      </c>
      <c r="AO830" s="3">
        <f>IF(L830="Renewal",1,0)</f>
        <v/>
      </c>
      <c r="AP830" s="3">
        <f>AC830*AD830</f>
        <v/>
      </c>
      <c r="AQ830" s="3">
        <f>IF(AND(G830&lt;&gt;"",'Historical Score'!$C$6&lt;&gt;""),IF(G830='Historical Score'!$C$6,1,0),0)</f>
        <v/>
      </c>
      <c r="AR830" s="3">
        <f>IF(AND(L830&lt;&gt;"",'Historical Score'!$C$5&lt;&gt;""),IF(L830='Historical Score'!$C$5,1,0),0)</f>
        <v/>
      </c>
      <c r="AS830" s="3">
        <f>IF(AND(Y830&lt;&gt;"",'Historical Score'!$C$7&lt;&gt;""),IF(Y830='Historical Score'!$C$7,1,0),0)</f>
        <v/>
      </c>
      <c r="AT830" s="3">
        <f>IF(AND(K830&lt;&gt;"",'Historical Score'!$C$8&lt;&gt;""),IF(K830='Historical Score'!$C$8,1,0),0)</f>
        <v/>
      </c>
      <c r="AU830" s="3" t="n"/>
      <c r="AV830" s="3" t="n"/>
      <c r="AW830" s="3" t="n"/>
      <c r="AX830" s="3" t="n"/>
      <c r="AY830" s="3" t="n"/>
      <c r="AZ830" s="3" t="n"/>
      <c r="BA830" s="182">
        <f>IF(AD830=1,(AR830*'Historical Score'!$K$29+1-'Historical Score'!$K$29)*(AT830*'Historical Score'!$L$29+1-'Historical Score'!$L$29)*(AS830*'Historical Score'!$M$29+1-'Historical Score'!$M$29)*(AQ830*'Historical Score'!$N$29+1-'Historical Score'!$N$29),0)</f>
        <v/>
      </c>
      <c r="BB830" s="3" t="n"/>
      <c r="BC830" s="3" t="n"/>
    </row>
    <row r="831" ht="15.75" customHeight="1" s="174">
      <c r="A831" s="3" t="inlineStr">
        <is>
          <t>5674182695</t>
        </is>
      </c>
      <c r="B831" s="3" t="inlineStr">
        <is>
          <t>Beauty Bar Medispa Greenville, PLLC</t>
        </is>
      </c>
      <c r="C831" s="3" t="inlineStr">
        <is>
          <t>Beauty Bar Medispa Greenville, PLLC</t>
        </is>
      </c>
      <c r="D831" s="3" t="inlineStr">
        <is>
          <t>Open</t>
        </is>
      </c>
      <c r="E831" s="23" t="n">
        <v>46141</v>
      </c>
      <c r="F831" s="23" t="n">
        <v>46218</v>
      </c>
      <c r="G831" s="3" t="n">
        <v>3</v>
      </c>
      <c r="H831" s="3" t="inlineStr">
        <is>
          <t>7231</t>
        </is>
      </c>
      <c r="I831" s="3" t="inlineStr">
        <is>
          <t>72</t>
        </is>
      </c>
      <c r="J831" s="3" t="inlineStr">
        <is>
          <t>NC</t>
        </is>
      </c>
      <c r="K831" s="3" t="inlineStr">
        <is>
          <t>Ballicci</t>
        </is>
      </c>
      <c r="L831" s="3" t="inlineStr">
        <is>
          <t>Renewal</t>
        </is>
      </c>
      <c r="M831" s="3" t="n">
        <v>1.49</v>
      </c>
      <c r="N831" s="28" t="n">
        <v>50000</v>
      </c>
      <c r="O831" s="28" t="n">
        <v>7000</v>
      </c>
      <c r="P831" s="28" t="n">
        <v>74500</v>
      </c>
      <c r="Q831" s="28" t="n">
        <v>19864</v>
      </c>
      <c r="R831" s="28" t="n">
        <v>54636</v>
      </c>
      <c r="S831" s="42" t="n">
        <v>0.266630872483222</v>
      </c>
      <c r="T831" s="3" t="n">
        <v>30</v>
      </c>
      <c r="U831" s="3" t="n">
        <v>2</v>
      </c>
      <c r="V831" s="3" t="n">
        <v>165533.36</v>
      </c>
      <c r="W831" s="42" t="n">
        <v>0.06</v>
      </c>
      <c r="X831" s="23" t="n">
        <v>43908</v>
      </c>
      <c r="Y831" s="3">
        <f>IF(I831="","No SIC",IFERROR(VLOOKUP(I831,Ref!$A$2:$B$65,2,FALSE()),"Unclassified"))</f>
        <v/>
      </c>
      <c r="Z831" s="3">
        <f>IF(T831="","",IF(T831&lt;12,"Daily","Weekly"))</f>
        <v/>
      </c>
      <c r="AA831" s="3">
        <f>IF(T831="",0,IF(T831&lt;12,T831*Controls!$B$13,T831*5))</f>
        <v/>
      </c>
      <c r="AB831" s="3">
        <f>IF(E831="",0,NETWORKDAYS(E831,Controls!$B$20,Ref!$K$2:$K$42))</f>
        <v/>
      </c>
      <c r="AC831" s="3">
        <f>IF(OR(AF831=1,AND(AA831&gt;0,AB831&gt;=Controls!$B$23*AA831)),1,0)</f>
        <v/>
      </c>
      <c r="AD831" s="3">
        <f>IF(AND(E831&lt;&gt;"",E831&gt;=Controls!$B$21,E831&lt;=Controls!$B$22),1,0)</f>
        <v/>
      </c>
      <c r="AE831" s="3">
        <f>IF(IFERROR(VLOOKUP(D831,Controls!$A$36:$E$46,2,FALSE()),"No")="Yes",1,0)</f>
        <v/>
      </c>
      <c r="AF831" s="3">
        <f>IF(IFERROR(VLOOKUP(D831,Controls!$A$36:$E$46,3,FALSE()),"No")="Yes",1,0)</f>
        <v/>
      </c>
      <c r="AG831" s="3">
        <f>IF(IFERROR(VLOOKUP(D831,Controls!$A$36:$E$46,4,FALSE()),"No")="Yes",1,0)</f>
        <v/>
      </c>
      <c r="AH831" s="3">
        <f>IF(IFERROR(VLOOKUP(D831,Controls!$A$36:$E$46,5,FALSE()),"No")="Yes",1,0)</f>
        <v/>
      </c>
      <c r="AI831" s="3">
        <f>IF(ISNUMBER(MATCH(D831,Controls!$A$36:$A$46,0)),1,0)</f>
        <v/>
      </c>
      <c r="AJ831" s="28">
        <f>Q831-N831</f>
        <v/>
      </c>
      <c r="AK831" s="3">
        <f>IF(AE831=1,MAX(0,N831-Q831),0)</f>
        <v/>
      </c>
      <c r="AL831" s="3">
        <f>IF(OR(V831="",V831=0),0,N831/V831)</f>
        <v/>
      </c>
      <c r="AM831" s="3">
        <f>IF(OR(V831="",V831=0),0,1)</f>
        <v/>
      </c>
      <c r="AN831" s="3">
        <f>IF(OR(E831="",F831=""),0,NETWORKDAYS(E831,F831,Ref!$K$2:$K$42))</f>
        <v/>
      </c>
      <c r="AO831" s="3">
        <f>IF(L831="Renewal",1,0)</f>
        <v/>
      </c>
      <c r="AP831" s="3">
        <f>AC831*AD831</f>
        <v/>
      </c>
      <c r="AQ831" s="3">
        <f>IF(AND(G831&lt;&gt;"",'Historical Score'!$C$6&lt;&gt;""),IF(G831='Historical Score'!$C$6,1,0),0)</f>
        <v/>
      </c>
      <c r="AR831" s="3">
        <f>IF(AND(L831&lt;&gt;"",'Historical Score'!$C$5&lt;&gt;""),IF(L831='Historical Score'!$C$5,1,0),0)</f>
        <v/>
      </c>
      <c r="AS831" s="3">
        <f>IF(AND(Y831&lt;&gt;"",'Historical Score'!$C$7&lt;&gt;""),IF(Y831='Historical Score'!$C$7,1,0),0)</f>
        <v/>
      </c>
      <c r="AT831" s="3">
        <f>IF(AND(K831&lt;&gt;"",'Historical Score'!$C$8&lt;&gt;""),IF(K831='Historical Score'!$C$8,1,0),0)</f>
        <v/>
      </c>
      <c r="AU831" s="3" t="n"/>
      <c r="AV831" s="3" t="n"/>
      <c r="AW831" s="3" t="n"/>
      <c r="AX831" s="3" t="n"/>
      <c r="AY831" s="3" t="n"/>
      <c r="AZ831" s="3" t="n"/>
      <c r="BA831" s="182">
        <f>IF(AD831=1,(AR831*'Historical Score'!$K$29+1-'Historical Score'!$K$29)*(AT831*'Historical Score'!$L$29+1-'Historical Score'!$L$29)*(AS831*'Historical Score'!$M$29+1-'Historical Score'!$M$29)*(AQ831*'Historical Score'!$N$29+1-'Historical Score'!$N$29),0)</f>
        <v/>
      </c>
      <c r="BB831" s="3" t="n"/>
      <c r="BC831" s="3" t="n"/>
    </row>
    <row r="832" ht="15.75" customHeight="1" s="174">
      <c r="A832" s="3" t="inlineStr">
        <is>
          <t>5674182765</t>
        </is>
      </c>
      <c r="B832" s="3" t="inlineStr">
        <is>
          <t>Map and Map</t>
        </is>
      </c>
      <c r="C832" s="3" t="inlineStr">
        <is>
          <t>Map and Map</t>
        </is>
      </c>
      <c r="D832" s="3" t="inlineStr">
        <is>
          <t>Closed</t>
        </is>
      </c>
      <c r="E832" s="23" t="n">
        <v>46142</v>
      </c>
      <c r="F832" s="23" t="n">
        <v>46231</v>
      </c>
      <c r="G832" s="3" t="n">
        <v>3</v>
      </c>
      <c r="H832" s="3" t="inlineStr">
        <is>
          <t>5999</t>
        </is>
      </c>
      <c r="I832" s="3" t="inlineStr">
        <is>
          <t>59</t>
        </is>
      </c>
      <c r="J832" s="3" t="inlineStr">
        <is>
          <t>TX</t>
        </is>
      </c>
      <c r="K832" s="3" t="inlineStr">
        <is>
          <t>PMF</t>
        </is>
      </c>
      <c r="L832" s="3" t="inlineStr">
        <is>
          <t>Renewal</t>
        </is>
      </c>
      <c r="M832" s="3" t="n">
        <v>1.49</v>
      </c>
      <c r="N832" s="28" t="n">
        <v>10000</v>
      </c>
      <c r="O832" s="28" t="n">
        <v>1400</v>
      </c>
      <c r="P832" s="28" t="n">
        <v>14900</v>
      </c>
      <c r="Q832" s="28" t="n">
        <v>14900</v>
      </c>
      <c r="R832" s="28" t="n">
        <v>0</v>
      </c>
      <c r="S832" s="42" t="n">
        <v>1</v>
      </c>
      <c r="T832" s="3" t="n">
        <v>3.279</v>
      </c>
      <c r="U832" s="3" t="n">
        <v>1</v>
      </c>
      <c r="V832" s="3" t="n">
        <v>19491.45</v>
      </c>
      <c r="W832" s="42" t="n">
        <v>0.1622</v>
      </c>
      <c r="X832" s="23" t="n">
        <v>44356</v>
      </c>
      <c r="Y832" s="3">
        <f>IF(I832="","No SIC",IFERROR(VLOOKUP(I832,Ref!$A$2:$B$65,2,FALSE()),"Unclassified"))</f>
        <v/>
      </c>
      <c r="Z832" s="3">
        <f>IF(T832="","",IF(T832&lt;12,"Daily","Weekly"))</f>
        <v/>
      </c>
      <c r="AA832" s="3">
        <f>IF(T832="",0,IF(T832&lt;12,T832*Controls!$B$13,T832*5))</f>
        <v/>
      </c>
      <c r="AB832" s="3">
        <f>IF(E832="",0,NETWORKDAYS(E832,Controls!$B$20,Ref!$K$2:$K$42))</f>
        <v/>
      </c>
      <c r="AC832" s="3">
        <f>IF(OR(AF832=1,AND(AA832&gt;0,AB832&gt;=Controls!$B$23*AA832)),1,0)</f>
        <v/>
      </c>
      <c r="AD832" s="3">
        <f>IF(AND(E832&lt;&gt;"",E832&gt;=Controls!$B$21,E832&lt;=Controls!$B$22),1,0)</f>
        <v/>
      </c>
      <c r="AE832" s="3">
        <f>IF(IFERROR(VLOOKUP(D832,Controls!$A$36:$E$46,2,FALSE()),"No")="Yes",1,0)</f>
        <v/>
      </c>
      <c r="AF832" s="3">
        <f>IF(IFERROR(VLOOKUP(D832,Controls!$A$36:$E$46,3,FALSE()),"No")="Yes",1,0)</f>
        <v/>
      </c>
      <c r="AG832" s="3">
        <f>IF(IFERROR(VLOOKUP(D832,Controls!$A$36:$E$46,4,FALSE()),"No")="Yes",1,0)</f>
        <v/>
      </c>
      <c r="AH832" s="3">
        <f>IF(IFERROR(VLOOKUP(D832,Controls!$A$36:$E$46,5,FALSE()),"No")="Yes",1,0)</f>
        <v/>
      </c>
      <c r="AI832" s="3">
        <f>IF(ISNUMBER(MATCH(D832,Controls!$A$36:$A$46,0)),1,0)</f>
        <v/>
      </c>
      <c r="AJ832" s="28">
        <f>Q832-N832</f>
        <v/>
      </c>
      <c r="AK832" s="3">
        <f>IF(AE832=1,MAX(0,N832-Q832),0)</f>
        <v/>
      </c>
      <c r="AL832" s="3">
        <f>IF(OR(V832="",V832=0),0,N832/V832)</f>
        <v/>
      </c>
      <c r="AM832" s="3">
        <f>IF(OR(V832="",V832=0),0,1)</f>
        <v/>
      </c>
      <c r="AN832" s="3">
        <f>IF(OR(E832="",F832=""),0,NETWORKDAYS(E832,F832,Ref!$K$2:$K$42))</f>
        <v/>
      </c>
      <c r="AO832" s="3">
        <f>IF(L832="Renewal",1,0)</f>
        <v/>
      </c>
      <c r="AP832" s="3">
        <f>AC832*AD832</f>
        <v/>
      </c>
      <c r="AQ832" s="3">
        <f>IF(AND(G832&lt;&gt;"",'Historical Score'!$C$6&lt;&gt;""),IF(G832='Historical Score'!$C$6,1,0),0)</f>
        <v/>
      </c>
      <c r="AR832" s="3">
        <f>IF(AND(L832&lt;&gt;"",'Historical Score'!$C$5&lt;&gt;""),IF(L832='Historical Score'!$C$5,1,0),0)</f>
        <v/>
      </c>
      <c r="AS832" s="3">
        <f>IF(AND(Y832&lt;&gt;"",'Historical Score'!$C$7&lt;&gt;""),IF(Y832='Historical Score'!$C$7,1,0),0)</f>
        <v/>
      </c>
      <c r="AT832" s="3">
        <f>IF(AND(K832&lt;&gt;"",'Historical Score'!$C$8&lt;&gt;""),IF(K832='Historical Score'!$C$8,1,0),0)</f>
        <v/>
      </c>
      <c r="AU832" s="3" t="n"/>
      <c r="AV832" s="3" t="n"/>
      <c r="AW832" s="3" t="n"/>
      <c r="AX832" s="3" t="n"/>
      <c r="AY832" s="3" t="n"/>
      <c r="AZ832" s="3" t="n"/>
      <c r="BA832" s="182">
        <f>IF(AD832=1,(AR832*'Historical Score'!$K$29+1-'Historical Score'!$K$29)*(AT832*'Historical Score'!$L$29+1-'Historical Score'!$L$29)*(AS832*'Historical Score'!$M$29+1-'Historical Score'!$M$29)*(AQ832*'Historical Score'!$N$29+1-'Historical Score'!$N$29),0)</f>
        <v/>
      </c>
      <c r="BB832" s="3" t="n"/>
      <c r="BC832" s="3" t="n"/>
    </row>
    <row r="833" ht="15.75" customHeight="1" s="174">
      <c r="A833" s="3" t="inlineStr">
        <is>
          <t>5674182775</t>
        </is>
      </c>
      <c r="B833" s="3" t="inlineStr">
        <is>
          <t>M&amp;K Boardroom LLC</t>
        </is>
      </c>
      <c r="C833" s="3" t="inlineStr">
        <is>
          <t>M&amp;K Boardroom LLC</t>
        </is>
      </c>
      <c r="D833" s="3" t="inlineStr">
        <is>
          <t>Open</t>
        </is>
      </c>
      <c r="E833" s="23" t="n">
        <v>46142</v>
      </c>
      <c r="F833" s="23" t="n">
        <v>46253</v>
      </c>
      <c r="G833" s="3" t="n">
        <v>3</v>
      </c>
      <c r="H833" s="3" t="inlineStr">
        <is>
          <t>5999</t>
        </is>
      </c>
      <c r="I833" s="3" t="inlineStr">
        <is>
          <t>59</t>
        </is>
      </c>
      <c r="J833" s="3" t="inlineStr">
        <is>
          <t>FL</t>
        </is>
      </c>
      <c r="K833" s="3" t="inlineStr">
        <is>
          <t>Credibly</t>
        </is>
      </c>
      <c r="L833" s="3" t="inlineStr">
        <is>
          <t>New Deal</t>
        </is>
      </c>
      <c r="M833" s="3" t="n">
        <v>1.41</v>
      </c>
      <c r="N833" s="28" t="n">
        <v>10000</v>
      </c>
      <c r="O833" s="28" t="n">
        <v>1000</v>
      </c>
      <c r="P833" s="28" t="n">
        <v>14100</v>
      </c>
      <c r="Q833" s="28" t="n">
        <v>8607.1</v>
      </c>
      <c r="R833" s="28" t="n">
        <v>5492.9</v>
      </c>
      <c r="S833" s="42" t="n">
        <v>0.610432624113475</v>
      </c>
      <c r="T833" s="3" t="n">
        <v>3.279</v>
      </c>
      <c r="U833" s="3" t="n">
        <v>17</v>
      </c>
      <c r="V833" s="3" t="n">
        <v>44893.89</v>
      </c>
      <c r="W833" s="42" t="n">
        <v>0.066</v>
      </c>
      <c r="X833" s="23" t="n">
        <v>45748</v>
      </c>
      <c r="Y833" s="3">
        <f>IF(I833="","No SIC",IFERROR(VLOOKUP(I833,Ref!$A$2:$B$65,2,FALSE()),"Unclassified"))</f>
        <v/>
      </c>
      <c r="Z833" s="3">
        <f>IF(T833="","",IF(T833&lt;12,"Daily","Weekly"))</f>
        <v/>
      </c>
      <c r="AA833" s="3">
        <f>IF(T833="",0,IF(T833&lt;12,T833*Controls!$B$13,T833*5))</f>
        <v/>
      </c>
      <c r="AB833" s="3">
        <f>IF(E833="",0,NETWORKDAYS(E833,Controls!$B$20,Ref!$K$2:$K$42))</f>
        <v/>
      </c>
      <c r="AC833" s="3">
        <f>IF(OR(AF833=1,AND(AA833&gt;0,AB833&gt;=Controls!$B$23*AA833)),1,0)</f>
        <v/>
      </c>
      <c r="AD833" s="3">
        <f>IF(AND(E833&lt;&gt;"",E833&gt;=Controls!$B$21,E833&lt;=Controls!$B$22),1,0)</f>
        <v/>
      </c>
      <c r="AE833" s="3">
        <f>IF(IFERROR(VLOOKUP(D833,Controls!$A$36:$E$46,2,FALSE()),"No")="Yes",1,0)</f>
        <v/>
      </c>
      <c r="AF833" s="3">
        <f>IF(IFERROR(VLOOKUP(D833,Controls!$A$36:$E$46,3,FALSE()),"No")="Yes",1,0)</f>
        <v/>
      </c>
      <c r="AG833" s="3">
        <f>IF(IFERROR(VLOOKUP(D833,Controls!$A$36:$E$46,4,FALSE()),"No")="Yes",1,0)</f>
        <v/>
      </c>
      <c r="AH833" s="3">
        <f>IF(IFERROR(VLOOKUP(D833,Controls!$A$36:$E$46,5,FALSE()),"No")="Yes",1,0)</f>
        <v/>
      </c>
      <c r="AI833" s="3">
        <f>IF(ISNUMBER(MATCH(D833,Controls!$A$36:$A$46,0)),1,0)</f>
        <v/>
      </c>
      <c r="AJ833" s="28">
        <f>Q833-N833</f>
        <v/>
      </c>
      <c r="AK833" s="3">
        <f>IF(AE833=1,MAX(0,N833-Q833),0)</f>
        <v/>
      </c>
      <c r="AL833" s="3">
        <f>IF(OR(V833="",V833=0),0,N833/V833)</f>
        <v/>
      </c>
      <c r="AM833" s="3">
        <f>IF(OR(V833="",V833=0),0,1)</f>
        <v/>
      </c>
      <c r="AN833" s="3">
        <f>IF(OR(E833="",F833=""),0,NETWORKDAYS(E833,F833,Ref!$K$2:$K$42))</f>
        <v/>
      </c>
      <c r="AO833" s="3">
        <f>IF(L833="Renewal",1,0)</f>
        <v/>
      </c>
      <c r="AP833" s="3">
        <f>AC833*AD833</f>
        <v/>
      </c>
      <c r="AQ833" s="3">
        <f>IF(AND(G833&lt;&gt;"",'Historical Score'!$C$6&lt;&gt;""),IF(G833='Historical Score'!$C$6,1,0),0)</f>
        <v/>
      </c>
      <c r="AR833" s="3">
        <f>IF(AND(L833&lt;&gt;"",'Historical Score'!$C$5&lt;&gt;""),IF(L833='Historical Score'!$C$5,1,0),0)</f>
        <v/>
      </c>
      <c r="AS833" s="3">
        <f>IF(AND(Y833&lt;&gt;"",'Historical Score'!$C$7&lt;&gt;""),IF(Y833='Historical Score'!$C$7,1,0),0)</f>
        <v/>
      </c>
      <c r="AT833" s="3">
        <f>IF(AND(K833&lt;&gt;"",'Historical Score'!$C$8&lt;&gt;""),IF(K833='Historical Score'!$C$8,1,0),0)</f>
        <v/>
      </c>
      <c r="AU833" s="3" t="n"/>
      <c r="AV833" s="3" t="n"/>
      <c r="AW833" s="3" t="n"/>
      <c r="AX833" s="3" t="n"/>
      <c r="AY833" s="3" t="n"/>
      <c r="AZ833" s="3" t="n"/>
      <c r="BA833" s="182">
        <f>IF(AD833=1,(AR833*'Historical Score'!$K$29+1-'Historical Score'!$K$29)*(AT833*'Historical Score'!$L$29+1-'Historical Score'!$L$29)*(AS833*'Historical Score'!$M$29+1-'Historical Score'!$M$29)*(AQ833*'Historical Score'!$N$29+1-'Historical Score'!$N$29),0)</f>
        <v/>
      </c>
      <c r="BB833" s="3" t="n"/>
      <c r="BC833" s="3" t="n"/>
    </row>
    <row r="834" ht="15.75" customHeight="1" s="174">
      <c r="A834" s="3" t="inlineStr">
        <is>
          <t>5674182778</t>
        </is>
      </c>
      <c r="B834" s="3" t="inlineStr">
        <is>
          <t>JRA Enterprises LLC</t>
        </is>
      </c>
      <c r="C834" s="3" t="inlineStr">
        <is>
          <t>JRA Enterprises LLC</t>
        </is>
      </c>
      <c r="D834" s="3" t="inlineStr">
        <is>
          <t>Closed</t>
        </is>
      </c>
      <c r="E834" s="23" t="n">
        <v>46142</v>
      </c>
      <c r="F834" s="23" t="n">
        <v>46244</v>
      </c>
      <c r="G834" s="3" t="n">
        <v>3</v>
      </c>
      <c r="H834" s="3" t="inlineStr">
        <is>
          <t>4213</t>
        </is>
      </c>
      <c r="I834" s="3" t="inlineStr">
        <is>
          <t>42</t>
        </is>
      </c>
      <c r="J834" s="3" t="inlineStr">
        <is>
          <t>MO</t>
        </is>
      </c>
      <c r="K834" s="3" t="inlineStr">
        <is>
          <t>Ballicci</t>
        </is>
      </c>
      <c r="L834" s="3" t="inlineStr">
        <is>
          <t>New Deal</t>
        </is>
      </c>
      <c r="M834" s="3" t="n">
        <v>1.49</v>
      </c>
      <c r="N834" s="28" t="n">
        <v>25000</v>
      </c>
      <c r="O834" s="28" t="n">
        <v>3500</v>
      </c>
      <c r="P834" s="28" t="n">
        <v>37250</v>
      </c>
      <c r="Q834" s="28" t="n">
        <v>37250</v>
      </c>
      <c r="R834" s="28" t="n">
        <v>0</v>
      </c>
      <c r="S834" s="42" t="n">
        <v>1</v>
      </c>
      <c r="T834" s="3" t="n">
        <v>22</v>
      </c>
      <c r="U834" s="3" t="n">
        <v>0</v>
      </c>
      <c r="V834" s="3" t="n">
        <v>109364.95</v>
      </c>
      <c r="W834" s="42" t="n">
        <v>0.0619</v>
      </c>
      <c r="X834" s="23" t="n">
        <v>42282</v>
      </c>
      <c r="Y834" s="3">
        <f>IF(I834="","No SIC",IFERROR(VLOOKUP(I834,Ref!$A$2:$B$65,2,FALSE()),"Unclassified"))</f>
        <v/>
      </c>
      <c r="Z834" s="3">
        <f>IF(T834="","",IF(T834&lt;12,"Daily","Weekly"))</f>
        <v/>
      </c>
      <c r="AA834" s="3">
        <f>IF(T834="",0,IF(T834&lt;12,T834*Controls!$B$13,T834*5))</f>
        <v/>
      </c>
      <c r="AB834" s="3">
        <f>IF(E834="",0,NETWORKDAYS(E834,Controls!$B$20,Ref!$K$2:$K$42))</f>
        <v/>
      </c>
      <c r="AC834" s="3">
        <f>IF(OR(AF834=1,AND(AA834&gt;0,AB834&gt;=Controls!$B$23*AA834)),1,0)</f>
        <v/>
      </c>
      <c r="AD834" s="3">
        <f>IF(AND(E834&lt;&gt;"",E834&gt;=Controls!$B$21,E834&lt;=Controls!$B$22),1,0)</f>
        <v/>
      </c>
      <c r="AE834" s="3">
        <f>IF(IFERROR(VLOOKUP(D834,Controls!$A$36:$E$46,2,FALSE()),"No")="Yes",1,0)</f>
        <v/>
      </c>
      <c r="AF834" s="3">
        <f>IF(IFERROR(VLOOKUP(D834,Controls!$A$36:$E$46,3,FALSE()),"No")="Yes",1,0)</f>
        <v/>
      </c>
      <c r="AG834" s="3">
        <f>IF(IFERROR(VLOOKUP(D834,Controls!$A$36:$E$46,4,FALSE()),"No")="Yes",1,0)</f>
        <v/>
      </c>
      <c r="AH834" s="3">
        <f>IF(IFERROR(VLOOKUP(D834,Controls!$A$36:$E$46,5,FALSE()),"No")="Yes",1,0)</f>
        <v/>
      </c>
      <c r="AI834" s="3">
        <f>IF(ISNUMBER(MATCH(D834,Controls!$A$36:$A$46,0)),1,0)</f>
        <v/>
      </c>
      <c r="AJ834" s="28">
        <f>Q834-N834</f>
        <v/>
      </c>
      <c r="AK834" s="3">
        <f>IF(AE834=1,MAX(0,N834-Q834),0)</f>
        <v/>
      </c>
      <c r="AL834" s="3">
        <f>IF(OR(V834="",V834=0),0,N834/V834)</f>
        <v/>
      </c>
      <c r="AM834" s="3">
        <f>IF(OR(V834="",V834=0),0,1)</f>
        <v/>
      </c>
      <c r="AN834" s="3">
        <f>IF(OR(E834="",F834=""),0,NETWORKDAYS(E834,F834,Ref!$K$2:$K$42))</f>
        <v/>
      </c>
      <c r="AO834" s="3">
        <f>IF(L834="Renewal",1,0)</f>
        <v/>
      </c>
      <c r="AP834" s="3">
        <f>AC834*AD834</f>
        <v/>
      </c>
      <c r="AQ834" s="3">
        <f>IF(AND(G834&lt;&gt;"",'Historical Score'!$C$6&lt;&gt;""),IF(G834='Historical Score'!$C$6,1,0),0)</f>
        <v/>
      </c>
      <c r="AR834" s="3">
        <f>IF(AND(L834&lt;&gt;"",'Historical Score'!$C$5&lt;&gt;""),IF(L834='Historical Score'!$C$5,1,0),0)</f>
        <v/>
      </c>
      <c r="AS834" s="3">
        <f>IF(AND(Y834&lt;&gt;"",'Historical Score'!$C$7&lt;&gt;""),IF(Y834='Historical Score'!$C$7,1,0),0)</f>
        <v/>
      </c>
      <c r="AT834" s="3">
        <f>IF(AND(K834&lt;&gt;"",'Historical Score'!$C$8&lt;&gt;""),IF(K834='Historical Score'!$C$8,1,0),0)</f>
        <v/>
      </c>
      <c r="AU834" s="3" t="n"/>
      <c r="AV834" s="3" t="n"/>
      <c r="AW834" s="3" t="n"/>
      <c r="AX834" s="3" t="n"/>
      <c r="AY834" s="3" t="n"/>
      <c r="AZ834" s="3" t="n"/>
      <c r="BA834" s="182">
        <f>IF(AD834=1,(AR834*'Historical Score'!$K$29+1-'Historical Score'!$K$29)*(AT834*'Historical Score'!$L$29+1-'Historical Score'!$L$29)*(AS834*'Historical Score'!$M$29+1-'Historical Score'!$M$29)*(AQ834*'Historical Score'!$N$29+1-'Historical Score'!$N$29),0)</f>
        <v/>
      </c>
      <c r="BB834" s="3" t="n"/>
      <c r="BC834" s="3" t="n"/>
    </row>
    <row r="835" ht="15.75" customHeight="1" s="174">
      <c r="A835" s="3" t="inlineStr">
        <is>
          <t>5674182805</t>
        </is>
      </c>
      <c r="B835" s="3" t="inlineStr">
        <is>
          <t>B &amp; c Hauling LLC</t>
        </is>
      </c>
      <c r="C835" s="3" t="inlineStr">
        <is>
          <t>B &amp; c Hauling LLC</t>
        </is>
      </c>
      <c r="D835" s="3" t="inlineStr">
        <is>
          <t>Open</t>
        </is>
      </c>
      <c r="E835" s="23" t="n">
        <v>46142</v>
      </c>
      <c r="F835" s="23" t="n">
        <v>46253</v>
      </c>
      <c r="G835" s="3" t="n">
        <v>3</v>
      </c>
      <c r="H835" s="3" t="inlineStr">
        <is>
          <t>4212</t>
        </is>
      </c>
      <c r="I835" s="3" t="inlineStr">
        <is>
          <t>42</t>
        </is>
      </c>
      <c r="J835" s="3" t="inlineStr">
        <is>
          <t>GA</t>
        </is>
      </c>
      <c r="K835" s="3" t="inlineStr">
        <is>
          <t>United Secured Capital 8</t>
        </is>
      </c>
      <c r="L835" s="3" t="inlineStr">
        <is>
          <t>New Deal</t>
        </is>
      </c>
      <c r="M835" s="3" t="n">
        <v>1.49</v>
      </c>
      <c r="N835" s="28" t="n">
        <v>5000</v>
      </c>
      <c r="O835" s="28" t="n">
        <v>700</v>
      </c>
      <c r="P835" s="28" t="n">
        <v>7450</v>
      </c>
      <c r="Q835" s="28" t="n">
        <v>6395.53</v>
      </c>
      <c r="R835" s="28" t="n">
        <v>1054.47</v>
      </c>
      <c r="S835" s="42" t="n">
        <v>0.858460402684564</v>
      </c>
      <c r="T835" s="3" t="n">
        <v>2.787</v>
      </c>
      <c r="U835" s="3" t="n">
        <v>5</v>
      </c>
      <c r="V835" s="3" t="n">
        <v>17340.83</v>
      </c>
      <c r="W835" s="42" t="n">
        <v>0.1061</v>
      </c>
      <c r="X835" s="23" t="n">
        <v>43832</v>
      </c>
      <c r="Y835" s="3">
        <f>IF(I835="","No SIC",IFERROR(VLOOKUP(I835,Ref!$A$2:$B$65,2,FALSE()),"Unclassified"))</f>
        <v/>
      </c>
      <c r="Z835" s="3">
        <f>IF(T835="","",IF(T835&lt;12,"Daily","Weekly"))</f>
        <v/>
      </c>
      <c r="AA835" s="3">
        <f>IF(T835="",0,IF(T835&lt;12,T835*Controls!$B$13,T835*5))</f>
        <v/>
      </c>
      <c r="AB835" s="3">
        <f>IF(E835="",0,NETWORKDAYS(E835,Controls!$B$20,Ref!$K$2:$K$42))</f>
        <v/>
      </c>
      <c r="AC835" s="3">
        <f>IF(OR(AF835=1,AND(AA835&gt;0,AB835&gt;=Controls!$B$23*AA835)),1,0)</f>
        <v/>
      </c>
      <c r="AD835" s="3">
        <f>IF(AND(E835&lt;&gt;"",E835&gt;=Controls!$B$21,E835&lt;=Controls!$B$22),1,0)</f>
        <v/>
      </c>
      <c r="AE835" s="3">
        <f>IF(IFERROR(VLOOKUP(D835,Controls!$A$36:$E$46,2,FALSE()),"No")="Yes",1,0)</f>
        <v/>
      </c>
      <c r="AF835" s="3">
        <f>IF(IFERROR(VLOOKUP(D835,Controls!$A$36:$E$46,3,FALSE()),"No")="Yes",1,0)</f>
        <v/>
      </c>
      <c r="AG835" s="3">
        <f>IF(IFERROR(VLOOKUP(D835,Controls!$A$36:$E$46,4,FALSE()),"No")="Yes",1,0)</f>
        <v/>
      </c>
      <c r="AH835" s="3">
        <f>IF(IFERROR(VLOOKUP(D835,Controls!$A$36:$E$46,5,FALSE()),"No")="Yes",1,0)</f>
        <v/>
      </c>
      <c r="AI835" s="3">
        <f>IF(ISNUMBER(MATCH(D835,Controls!$A$36:$A$46,0)),1,0)</f>
        <v/>
      </c>
      <c r="AJ835" s="28">
        <f>Q835-N835</f>
        <v/>
      </c>
      <c r="AK835" s="3">
        <f>IF(AE835=1,MAX(0,N835-Q835),0)</f>
        <v/>
      </c>
      <c r="AL835" s="3">
        <f>IF(OR(V835="",V835=0),0,N835/V835)</f>
        <v/>
      </c>
      <c r="AM835" s="3">
        <f>IF(OR(V835="",V835=0),0,1)</f>
        <v/>
      </c>
      <c r="AN835" s="3">
        <f>IF(OR(E835="",F835=""),0,NETWORKDAYS(E835,F835,Ref!$K$2:$K$42))</f>
        <v/>
      </c>
      <c r="AO835" s="3">
        <f>IF(L835="Renewal",1,0)</f>
        <v/>
      </c>
      <c r="AP835" s="3">
        <f>AC835*AD835</f>
        <v/>
      </c>
      <c r="AQ835" s="3">
        <f>IF(AND(G835&lt;&gt;"",'Historical Score'!$C$6&lt;&gt;""),IF(G835='Historical Score'!$C$6,1,0),0)</f>
        <v/>
      </c>
      <c r="AR835" s="3">
        <f>IF(AND(L835&lt;&gt;"",'Historical Score'!$C$5&lt;&gt;""),IF(L835='Historical Score'!$C$5,1,0),0)</f>
        <v/>
      </c>
      <c r="AS835" s="3">
        <f>IF(AND(Y835&lt;&gt;"",'Historical Score'!$C$7&lt;&gt;""),IF(Y835='Historical Score'!$C$7,1,0),0)</f>
        <v/>
      </c>
      <c r="AT835" s="3">
        <f>IF(AND(K835&lt;&gt;"",'Historical Score'!$C$8&lt;&gt;""),IF(K835='Historical Score'!$C$8,1,0),0)</f>
        <v/>
      </c>
      <c r="AU835" s="3" t="n"/>
      <c r="AV835" s="3" t="n"/>
      <c r="AW835" s="3" t="n"/>
      <c r="AX835" s="3" t="n"/>
      <c r="AY835" s="3" t="n"/>
      <c r="AZ835" s="3" t="n"/>
      <c r="BA835" s="182">
        <f>IF(AD835=1,(AR835*'Historical Score'!$K$29+1-'Historical Score'!$K$29)*(AT835*'Historical Score'!$L$29+1-'Historical Score'!$L$29)*(AS835*'Historical Score'!$M$29+1-'Historical Score'!$M$29)*(AQ835*'Historical Score'!$N$29+1-'Historical Score'!$N$29),0)</f>
        <v/>
      </c>
      <c r="BB835" s="3" t="n"/>
      <c r="BC835" s="3" t="n"/>
    </row>
    <row r="836" ht="15.75" customHeight="1" s="174">
      <c r="A836" s="3" t="inlineStr">
        <is>
          <t>5674182814</t>
        </is>
      </c>
      <c r="B836" s="3" t="inlineStr">
        <is>
          <t>WESTBROOK AUTOMOTIVE</t>
        </is>
      </c>
      <c r="C836" s="3" t="inlineStr">
        <is>
          <t>WESTBROOK AUTOMOTIVE, INC.</t>
        </is>
      </c>
      <c r="D836" s="3" t="inlineStr">
        <is>
          <t>Open</t>
        </is>
      </c>
      <c r="E836" s="23" t="n">
        <v>46142</v>
      </c>
      <c r="F836" s="23" t="n">
        <v>46248</v>
      </c>
      <c r="G836" s="3" t="n">
        <v>3</v>
      </c>
      <c r="H836" s="3" t="inlineStr">
        <is>
          <t>7538</t>
        </is>
      </c>
      <c r="I836" s="3" t="inlineStr">
        <is>
          <t>75</t>
        </is>
      </c>
      <c r="J836" s="3" t="inlineStr">
        <is>
          <t>TN</t>
        </is>
      </c>
      <c r="K836" s="3" t="inlineStr">
        <is>
          <t>United Secured Capital 8</t>
        </is>
      </c>
      <c r="L836" s="3" t="inlineStr">
        <is>
          <t>Renewal</t>
        </is>
      </c>
      <c r="M836" s="3" t="n">
        <v>1.49</v>
      </c>
      <c r="N836" s="28" t="n">
        <v>20000</v>
      </c>
      <c r="O836" s="28" t="n">
        <v>2800</v>
      </c>
      <c r="P836" s="28" t="n">
        <v>29800</v>
      </c>
      <c r="Q836" s="28" t="n">
        <v>13414.32</v>
      </c>
      <c r="R836" s="28" t="n">
        <v>16385.68</v>
      </c>
      <c r="S836" s="42" t="n">
        <v>0.450144966442953</v>
      </c>
      <c r="T836" s="3" t="n">
        <v>20</v>
      </c>
      <c r="U836" s="3" t="n">
        <v>4</v>
      </c>
      <c r="V836" s="3" t="n">
        <v>67518.91</v>
      </c>
      <c r="W836" s="42" t="n">
        <v>0.0883</v>
      </c>
      <c r="X836" s="23" t="n">
        <v>45247</v>
      </c>
      <c r="Y836" s="3">
        <f>IF(I836="","No SIC",IFERROR(VLOOKUP(I836,Ref!$A$2:$B$65,2,FALSE()),"Unclassified"))</f>
        <v/>
      </c>
      <c r="Z836" s="3">
        <f>IF(T836="","",IF(T836&lt;12,"Daily","Weekly"))</f>
        <v/>
      </c>
      <c r="AA836" s="3">
        <f>IF(T836="",0,IF(T836&lt;12,T836*Controls!$B$13,T836*5))</f>
        <v/>
      </c>
      <c r="AB836" s="3">
        <f>IF(E836="",0,NETWORKDAYS(E836,Controls!$B$20,Ref!$K$2:$K$42))</f>
        <v/>
      </c>
      <c r="AC836" s="3">
        <f>IF(OR(AF836=1,AND(AA836&gt;0,AB836&gt;=Controls!$B$23*AA836)),1,0)</f>
        <v/>
      </c>
      <c r="AD836" s="3">
        <f>IF(AND(E836&lt;&gt;"",E836&gt;=Controls!$B$21,E836&lt;=Controls!$B$22),1,0)</f>
        <v/>
      </c>
      <c r="AE836" s="3">
        <f>IF(IFERROR(VLOOKUP(D836,Controls!$A$36:$E$46,2,FALSE()),"No")="Yes",1,0)</f>
        <v/>
      </c>
      <c r="AF836" s="3">
        <f>IF(IFERROR(VLOOKUP(D836,Controls!$A$36:$E$46,3,FALSE()),"No")="Yes",1,0)</f>
        <v/>
      </c>
      <c r="AG836" s="3">
        <f>IF(IFERROR(VLOOKUP(D836,Controls!$A$36:$E$46,4,FALSE()),"No")="Yes",1,0)</f>
        <v/>
      </c>
      <c r="AH836" s="3">
        <f>IF(IFERROR(VLOOKUP(D836,Controls!$A$36:$E$46,5,FALSE()),"No")="Yes",1,0)</f>
        <v/>
      </c>
      <c r="AI836" s="3">
        <f>IF(ISNUMBER(MATCH(D836,Controls!$A$36:$A$46,0)),1,0)</f>
        <v/>
      </c>
      <c r="AJ836" s="28">
        <f>Q836-N836</f>
        <v/>
      </c>
      <c r="AK836" s="3">
        <f>IF(AE836=1,MAX(0,N836-Q836),0)</f>
        <v/>
      </c>
      <c r="AL836" s="3">
        <f>IF(OR(V836="",V836=0),0,N836/V836)</f>
        <v/>
      </c>
      <c r="AM836" s="3">
        <f>IF(OR(V836="",V836=0),0,1)</f>
        <v/>
      </c>
      <c r="AN836" s="3">
        <f>IF(OR(E836="",F836=""),0,NETWORKDAYS(E836,F836,Ref!$K$2:$K$42))</f>
        <v/>
      </c>
      <c r="AO836" s="3">
        <f>IF(L836="Renewal",1,0)</f>
        <v/>
      </c>
      <c r="AP836" s="3">
        <f>AC836*AD836</f>
        <v/>
      </c>
      <c r="AQ836" s="3">
        <f>IF(AND(G836&lt;&gt;"",'Historical Score'!$C$6&lt;&gt;""),IF(G836='Historical Score'!$C$6,1,0),0)</f>
        <v/>
      </c>
      <c r="AR836" s="3">
        <f>IF(AND(L836&lt;&gt;"",'Historical Score'!$C$5&lt;&gt;""),IF(L836='Historical Score'!$C$5,1,0),0)</f>
        <v/>
      </c>
      <c r="AS836" s="3">
        <f>IF(AND(Y836&lt;&gt;"",'Historical Score'!$C$7&lt;&gt;""),IF(Y836='Historical Score'!$C$7,1,0),0)</f>
        <v/>
      </c>
      <c r="AT836" s="3">
        <f>IF(AND(K836&lt;&gt;"",'Historical Score'!$C$8&lt;&gt;""),IF(K836='Historical Score'!$C$8,1,0),0)</f>
        <v/>
      </c>
      <c r="AU836" s="3" t="n"/>
      <c r="AV836" s="3" t="n"/>
      <c r="AW836" s="3" t="n"/>
      <c r="AX836" s="3" t="n"/>
      <c r="AY836" s="3" t="n"/>
      <c r="AZ836" s="3" t="n"/>
      <c r="BA836" s="182">
        <f>IF(AD836=1,(AR836*'Historical Score'!$K$29+1-'Historical Score'!$K$29)*(AT836*'Historical Score'!$L$29+1-'Historical Score'!$L$29)*(AS836*'Historical Score'!$M$29+1-'Historical Score'!$M$29)*(AQ836*'Historical Score'!$N$29+1-'Historical Score'!$N$29),0)</f>
        <v/>
      </c>
      <c r="BB836" s="3" t="n"/>
      <c r="BC836" s="3" t="n"/>
    </row>
    <row r="837" ht="15.75" customHeight="1" s="174">
      <c r="A837" s="3" t="inlineStr">
        <is>
          <t>5674182861</t>
        </is>
      </c>
      <c r="B837" s="3" t="inlineStr">
        <is>
          <t>LANDSCAPE ASSOCIATES OF GA</t>
        </is>
      </c>
      <c r="C837" s="3" t="inlineStr">
        <is>
          <t>LANDSCAPE ASSOCIATES OF GA LLC</t>
        </is>
      </c>
      <c r="D837" s="3" t="inlineStr">
        <is>
          <t>Open</t>
        </is>
      </c>
      <c r="E837" s="23" t="n">
        <v>46143</v>
      </c>
      <c r="F837" s="23" t="n">
        <v>46248</v>
      </c>
      <c r="G837" s="3" t="n">
        <v>3</v>
      </c>
      <c r="H837" s="3" t="inlineStr">
        <is>
          <t>0781</t>
        </is>
      </c>
      <c r="I837" s="3" t="inlineStr">
        <is>
          <t>07</t>
        </is>
      </c>
      <c r="J837" s="3" t="inlineStr">
        <is>
          <t>GA</t>
        </is>
      </c>
      <c r="K837" s="3" t="inlineStr">
        <is>
          <t>cavala funding</t>
        </is>
      </c>
      <c r="L837" s="3" t="inlineStr">
        <is>
          <t>Renewal</t>
        </is>
      </c>
      <c r="M837" s="3" t="n">
        <v>1.49</v>
      </c>
      <c r="N837" s="28" t="n">
        <v>30000</v>
      </c>
      <c r="O837" s="28" t="n">
        <v>4200</v>
      </c>
      <c r="P837" s="28" t="n">
        <v>44700</v>
      </c>
      <c r="Q837" s="28" t="n">
        <v>27916.65</v>
      </c>
      <c r="R837" s="28" t="n">
        <v>16783.35</v>
      </c>
      <c r="S837" s="42" t="n">
        <v>0.62453355704698</v>
      </c>
      <c r="T837" s="3" t="n">
        <v>24</v>
      </c>
      <c r="U837" s="3" t="n">
        <v>0</v>
      </c>
      <c r="V837" s="3" t="n">
        <v>159454.73</v>
      </c>
      <c r="W837" s="42" t="n">
        <v>0.0403</v>
      </c>
      <c r="X837" s="23" t="n">
        <v>36526</v>
      </c>
      <c r="Y837" s="3">
        <f>IF(I837="","No SIC",IFERROR(VLOOKUP(I837,Ref!$A$2:$B$65,2,FALSE()),"Unclassified"))</f>
        <v/>
      </c>
      <c r="Z837" s="3">
        <f>IF(T837="","",IF(T837&lt;12,"Daily","Weekly"))</f>
        <v/>
      </c>
      <c r="AA837" s="3">
        <f>IF(T837="",0,IF(T837&lt;12,T837*Controls!$B$13,T837*5))</f>
        <v/>
      </c>
      <c r="AB837" s="3">
        <f>IF(E837="",0,NETWORKDAYS(E837,Controls!$B$20,Ref!$K$2:$K$42))</f>
        <v/>
      </c>
      <c r="AC837" s="3">
        <f>IF(OR(AF837=1,AND(AA837&gt;0,AB837&gt;=Controls!$B$23*AA837)),1,0)</f>
        <v/>
      </c>
      <c r="AD837" s="3">
        <f>IF(AND(E837&lt;&gt;"",E837&gt;=Controls!$B$21,E837&lt;=Controls!$B$22),1,0)</f>
        <v/>
      </c>
      <c r="AE837" s="3">
        <f>IF(IFERROR(VLOOKUP(D837,Controls!$A$36:$E$46,2,FALSE()),"No")="Yes",1,0)</f>
        <v/>
      </c>
      <c r="AF837" s="3">
        <f>IF(IFERROR(VLOOKUP(D837,Controls!$A$36:$E$46,3,FALSE()),"No")="Yes",1,0)</f>
        <v/>
      </c>
      <c r="AG837" s="3">
        <f>IF(IFERROR(VLOOKUP(D837,Controls!$A$36:$E$46,4,FALSE()),"No")="Yes",1,0)</f>
        <v/>
      </c>
      <c r="AH837" s="3">
        <f>IF(IFERROR(VLOOKUP(D837,Controls!$A$36:$E$46,5,FALSE()),"No")="Yes",1,0)</f>
        <v/>
      </c>
      <c r="AI837" s="3">
        <f>IF(ISNUMBER(MATCH(D837,Controls!$A$36:$A$46,0)),1,0)</f>
        <v/>
      </c>
      <c r="AJ837" s="28">
        <f>Q837-N837</f>
        <v/>
      </c>
      <c r="AK837" s="3">
        <f>IF(AE837=1,MAX(0,N837-Q837),0)</f>
        <v/>
      </c>
      <c r="AL837" s="3">
        <f>IF(OR(V837="",V837=0),0,N837/V837)</f>
        <v/>
      </c>
      <c r="AM837" s="3">
        <f>IF(OR(V837="",V837=0),0,1)</f>
        <v/>
      </c>
      <c r="AN837" s="3">
        <f>IF(OR(E837="",F837=""),0,NETWORKDAYS(E837,F837,Ref!$K$2:$K$42))</f>
        <v/>
      </c>
      <c r="AO837" s="3">
        <f>IF(L837="Renewal",1,0)</f>
        <v/>
      </c>
      <c r="AP837" s="3">
        <f>AC837*AD837</f>
        <v/>
      </c>
      <c r="AQ837" s="3">
        <f>IF(AND(G837&lt;&gt;"",'Historical Score'!$C$6&lt;&gt;""),IF(G837='Historical Score'!$C$6,1,0),0)</f>
        <v/>
      </c>
      <c r="AR837" s="3">
        <f>IF(AND(L837&lt;&gt;"",'Historical Score'!$C$5&lt;&gt;""),IF(L837='Historical Score'!$C$5,1,0),0)</f>
        <v/>
      </c>
      <c r="AS837" s="3">
        <f>IF(AND(Y837&lt;&gt;"",'Historical Score'!$C$7&lt;&gt;""),IF(Y837='Historical Score'!$C$7,1,0),0)</f>
        <v/>
      </c>
      <c r="AT837" s="3">
        <f>IF(AND(K837&lt;&gt;"",'Historical Score'!$C$8&lt;&gt;""),IF(K837='Historical Score'!$C$8,1,0),0)</f>
        <v/>
      </c>
      <c r="AU837" s="3" t="n"/>
      <c r="AV837" s="3" t="n"/>
      <c r="AW837" s="3" t="n"/>
      <c r="AX837" s="3" t="n"/>
      <c r="AY837" s="3" t="n"/>
      <c r="AZ837" s="3" t="n"/>
      <c r="BA837" s="182">
        <f>IF(AD837=1,(AR837*'Historical Score'!$K$29+1-'Historical Score'!$K$29)*(AT837*'Historical Score'!$L$29+1-'Historical Score'!$L$29)*(AS837*'Historical Score'!$M$29+1-'Historical Score'!$M$29)*(AQ837*'Historical Score'!$N$29+1-'Historical Score'!$N$29),0)</f>
        <v/>
      </c>
      <c r="BB837" s="3" t="n"/>
      <c r="BC837" s="3" t="n"/>
    </row>
    <row r="838" ht="15.75" customHeight="1" s="174">
      <c r="A838" s="3" t="inlineStr">
        <is>
          <t>5674182862</t>
        </is>
      </c>
      <c r="B838" s="3" t="inlineStr">
        <is>
          <t>pops shop</t>
        </is>
      </c>
      <c r="C838" s="3" t="inlineStr">
        <is>
          <t>pops management LLC</t>
        </is>
      </c>
      <c r="D838" s="3" t="inlineStr">
        <is>
          <t>Open</t>
        </is>
      </c>
      <c r="E838" s="23" t="n">
        <v>46143</v>
      </c>
      <c r="F838" s="23" t="n">
        <v>46219</v>
      </c>
      <c r="G838" s="3" t="n">
        <v>2</v>
      </c>
      <c r="H838" s="3" t="inlineStr">
        <is>
          <t>5999</t>
        </is>
      </c>
      <c r="I838" s="3" t="inlineStr">
        <is>
          <t>59</t>
        </is>
      </c>
      <c r="J838" s="3" t="inlineStr">
        <is>
          <t>VA</t>
        </is>
      </c>
      <c r="K838" s="3" t="inlineStr">
        <is>
          <t>ICG Funding</t>
        </is>
      </c>
      <c r="L838" s="3" t="inlineStr">
        <is>
          <t>New Deal</t>
        </is>
      </c>
      <c r="M838" s="3" t="n">
        <v>1.49</v>
      </c>
      <c r="N838" s="28" t="n">
        <v>18000</v>
      </c>
      <c r="O838" s="28" t="n">
        <v>2520</v>
      </c>
      <c r="P838" s="28" t="n">
        <v>26820</v>
      </c>
      <c r="Q838" s="28" t="n">
        <v>8045.85</v>
      </c>
      <c r="R838" s="28" t="n">
        <v>18774.15</v>
      </c>
      <c r="S838" s="42" t="n">
        <v>0.299994407158837</v>
      </c>
      <c r="T838" s="3" t="n">
        <v>24</v>
      </c>
      <c r="U838" s="3" t="n">
        <v>6</v>
      </c>
      <c r="V838" s="3" t="n">
        <v>30850.27</v>
      </c>
      <c r="W838" s="42" t="n">
        <v>0.1449</v>
      </c>
      <c r="X838" s="23" t="n">
        <v>45610</v>
      </c>
      <c r="Y838" s="3">
        <f>IF(I838="","No SIC",IFERROR(VLOOKUP(I838,Ref!$A$2:$B$65,2,FALSE()),"Unclassified"))</f>
        <v/>
      </c>
      <c r="Z838" s="3">
        <f>IF(T838="","",IF(T838&lt;12,"Daily","Weekly"))</f>
        <v/>
      </c>
      <c r="AA838" s="3">
        <f>IF(T838="",0,IF(T838&lt;12,T838*Controls!$B$13,T838*5))</f>
        <v/>
      </c>
      <c r="AB838" s="3">
        <f>IF(E838="",0,NETWORKDAYS(E838,Controls!$B$20,Ref!$K$2:$K$42))</f>
        <v/>
      </c>
      <c r="AC838" s="3">
        <f>IF(OR(AF838=1,AND(AA838&gt;0,AB838&gt;=Controls!$B$23*AA838)),1,0)</f>
        <v/>
      </c>
      <c r="AD838" s="3">
        <f>IF(AND(E838&lt;&gt;"",E838&gt;=Controls!$B$21,E838&lt;=Controls!$B$22),1,0)</f>
        <v/>
      </c>
      <c r="AE838" s="3">
        <f>IF(IFERROR(VLOOKUP(D838,Controls!$A$36:$E$46,2,FALSE()),"No")="Yes",1,0)</f>
        <v/>
      </c>
      <c r="AF838" s="3">
        <f>IF(IFERROR(VLOOKUP(D838,Controls!$A$36:$E$46,3,FALSE()),"No")="Yes",1,0)</f>
        <v/>
      </c>
      <c r="AG838" s="3">
        <f>IF(IFERROR(VLOOKUP(D838,Controls!$A$36:$E$46,4,FALSE()),"No")="Yes",1,0)</f>
        <v/>
      </c>
      <c r="AH838" s="3">
        <f>IF(IFERROR(VLOOKUP(D838,Controls!$A$36:$E$46,5,FALSE()),"No")="Yes",1,0)</f>
        <v/>
      </c>
      <c r="AI838" s="3">
        <f>IF(ISNUMBER(MATCH(D838,Controls!$A$36:$A$46,0)),1,0)</f>
        <v/>
      </c>
      <c r="AJ838" s="28">
        <f>Q838-N838</f>
        <v/>
      </c>
      <c r="AK838" s="3">
        <f>IF(AE838=1,MAX(0,N838-Q838),0)</f>
        <v/>
      </c>
      <c r="AL838" s="3">
        <f>IF(OR(V838="",V838=0),0,N838/V838)</f>
        <v/>
      </c>
      <c r="AM838" s="3">
        <f>IF(OR(V838="",V838=0),0,1)</f>
        <v/>
      </c>
      <c r="AN838" s="3">
        <f>IF(OR(E838="",F838=""),0,NETWORKDAYS(E838,F838,Ref!$K$2:$K$42))</f>
        <v/>
      </c>
      <c r="AO838" s="3">
        <f>IF(L838="Renewal",1,0)</f>
        <v/>
      </c>
      <c r="AP838" s="3">
        <f>AC838*AD838</f>
        <v/>
      </c>
      <c r="AQ838" s="3">
        <f>IF(AND(G838&lt;&gt;"",'Historical Score'!$C$6&lt;&gt;""),IF(G838='Historical Score'!$C$6,1,0),0)</f>
        <v/>
      </c>
      <c r="AR838" s="3">
        <f>IF(AND(L838&lt;&gt;"",'Historical Score'!$C$5&lt;&gt;""),IF(L838='Historical Score'!$C$5,1,0),0)</f>
        <v/>
      </c>
      <c r="AS838" s="3">
        <f>IF(AND(Y838&lt;&gt;"",'Historical Score'!$C$7&lt;&gt;""),IF(Y838='Historical Score'!$C$7,1,0),0)</f>
        <v/>
      </c>
      <c r="AT838" s="3">
        <f>IF(AND(K838&lt;&gt;"",'Historical Score'!$C$8&lt;&gt;""),IF(K838='Historical Score'!$C$8,1,0),0)</f>
        <v/>
      </c>
      <c r="AU838" s="3" t="n"/>
      <c r="AV838" s="3" t="n"/>
      <c r="AW838" s="3" t="n"/>
      <c r="AX838" s="3" t="n"/>
      <c r="AY838" s="3" t="n"/>
      <c r="AZ838" s="3" t="n"/>
      <c r="BA838" s="182">
        <f>IF(AD838=1,(AR838*'Historical Score'!$K$29+1-'Historical Score'!$K$29)*(AT838*'Historical Score'!$L$29+1-'Historical Score'!$L$29)*(AS838*'Historical Score'!$M$29+1-'Historical Score'!$M$29)*(AQ838*'Historical Score'!$N$29+1-'Historical Score'!$N$29),0)</f>
        <v/>
      </c>
      <c r="BB838" s="3" t="n"/>
      <c r="BC838" s="3" t="n"/>
    </row>
    <row r="839" ht="15.75" customHeight="1" s="174">
      <c r="A839" s="3" t="inlineStr">
        <is>
          <t>5674182949</t>
        </is>
      </c>
      <c r="B839" s="3" t="inlineStr">
        <is>
          <t>irwin printing company inc</t>
        </is>
      </c>
      <c r="C839" s="3" t="inlineStr">
        <is>
          <t>irwin printing company inc</t>
        </is>
      </c>
      <c r="D839" s="3" t="inlineStr">
        <is>
          <t>Open</t>
        </is>
      </c>
      <c r="E839" s="23" t="n">
        <v>46146</v>
      </c>
      <c r="F839" s="23" t="n">
        <v>46253</v>
      </c>
      <c r="G839" s="3" t="n">
        <v>3</v>
      </c>
      <c r="H839" s="3" t="inlineStr">
        <is>
          <t>5999</t>
        </is>
      </c>
      <c r="I839" s="3" t="inlineStr">
        <is>
          <t>59</t>
        </is>
      </c>
      <c r="J839" s="3" t="inlineStr">
        <is>
          <t>MO</t>
        </is>
      </c>
      <c r="K839" s="3" t="inlineStr">
        <is>
          <t>secure way capital</t>
        </is>
      </c>
      <c r="L839" s="3" t="inlineStr">
        <is>
          <t>Renewal</t>
        </is>
      </c>
      <c r="M839" s="3" t="n">
        <v>1.49</v>
      </c>
      <c r="N839" s="28" t="n">
        <v>15000</v>
      </c>
      <c r="O839" s="28" t="n">
        <v>2100</v>
      </c>
      <c r="P839" s="28" t="n">
        <v>22350</v>
      </c>
      <c r="Q839" s="28" t="n">
        <v>11577.84</v>
      </c>
      <c r="R839" s="28" t="n">
        <v>10772.16</v>
      </c>
      <c r="S839" s="42" t="n">
        <v>0.518024161073826</v>
      </c>
      <c r="T839" s="3" t="n">
        <v>3.607</v>
      </c>
      <c r="U839" s="3" t="n">
        <v>12</v>
      </c>
      <c r="V839" s="3" t="n">
        <v>31719.45</v>
      </c>
      <c r="W839" s="42" t="n">
        <v>0.1333</v>
      </c>
      <c r="X839" s="23" t="n">
        <v>28525</v>
      </c>
      <c r="Y839" s="3">
        <f>IF(I839="","No SIC",IFERROR(VLOOKUP(I839,Ref!$A$2:$B$65,2,FALSE()),"Unclassified"))</f>
        <v/>
      </c>
      <c r="Z839" s="3">
        <f>IF(T839="","",IF(T839&lt;12,"Daily","Weekly"))</f>
        <v/>
      </c>
      <c r="AA839" s="3">
        <f>IF(T839="",0,IF(T839&lt;12,T839*Controls!$B$13,T839*5))</f>
        <v/>
      </c>
      <c r="AB839" s="3">
        <f>IF(E839="",0,NETWORKDAYS(E839,Controls!$B$20,Ref!$K$2:$K$42))</f>
        <v/>
      </c>
      <c r="AC839" s="3">
        <f>IF(OR(AF839=1,AND(AA839&gt;0,AB839&gt;=Controls!$B$23*AA839)),1,0)</f>
        <v/>
      </c>
      <c r="AD839" s="3">
        <f>IF(AND(E839&lt;&gt;"",E839&gt;=Controls!$B$21,E839&lt;=Controls!$B$22),1,0)</f>
        <v/>
      </c>
      <c r="AE839" s="3">
        <f>IF(IFERROR(VLOOKUP(D839,Controls!$A$36:$E$46,2,FALSE()),"No")="Yes",1,0)</f>
        <v/>
      </c>
      <c r="AF839" s="3">
        <f>IF(IFERROR(VLOOKUP(D839,Controls!$A$36:$E$46,3,FALSE()),"No")="Yes",1,0)</f>
        <v/>
      </c>
      <c r="AG839" s="3">
        <f>IF(IFERROR(VLOOKUP(D839,Controls!$A$36:$E$46,4,FALSE()),"No")="Yes",1,0)</f>
        <v/>
      </c>
      <c r="AH839" s="3">
        <f>IF(IFERROR(VLOOKUP(D839,Controls!$A$36:$E$46,5,FALSE()),"No")="Yes",1,0)</f>
        <v/>
      </c>
      <c r="AI839" s="3">
        <f>IF(ISNUMBER(MATCH(D839,Controls!$A$36:$A$46,0)),1,0)</f>
        <v/>
      </c>
      <c r="AJ839" s="28">
        <f>Q839-N839</f>
        <v/>
      </c>
      <c r="AK839" s="3">
        <f>IF(AE839=1,MAX(0,N839-Q839),0)</f>
        <v/>
      </c>
      <c r="AL839" s="3">
        <f>IF(OR(V839="",V839=0),0,N839/V839)</f>
        <v/>
      </c>
      <c r="AM839" s="3">
        <f>IF(OR(V839="",V839=0),0,1)</f>
        <v/>
      </c>
      <c r="AN839" s="3">
        <f>IF(OR(E839="",F839=""),0,NETWORKDAYS(E839,F839,Ref!$K$2:$K$42))</f>
        <v/>
      </c>
      <c r="AO839" s="3">
        <f>IF(L839="Renewal",1,0)</f>
        <v/>
      </c>
      <c r="AP839" s="3">
        <f>AC839*AD839</f>
        <v/>
      </c>
      <c r="AQ839" s="3">
        <f>IF(AND(G839&lt;&gt;"",'Historical Score'!$C$6&lt;&gt;""),IF(G839='Historical Score'!$C$6,1,0),0)</f>
        <v/>
      </c>
      <c r="AR839" s="3">
        <f>IF(AND(L839&lt;&gt;"",'Historical Score'!$C$5&lt;&gt;""),IF(L839='Historical Score'!$C$5,1,0),0)</f>
        <v/>
      </c>
      <c r="AS839" s="3">
        <f>IF(AND(Y839&lt;&gt;"",'Historical Score'!$C$7&lt;&gt;""),IF(Y839='Historical Score'!$C$7,1,0),0)</f>
        <v/>
      </c>
      <c r="AT839" s="3">
        <f>IF(AND(K839&lt;&gt;"",'Historical Score'!$C$8&lt;&gt;""),IF(K839='Historical Score'!$C$8,1,0),0)</f>
        <v/>
      </c>
      <c r="AU839" s="3" t="n"/>
      <c r="AV839" s="3" t="n"/>
      <c r="AW839" s="3" t="n"/>
      <c r="AX839" s="3" t="n"/>
      <c r="AY839" s="3" t="n"/>
      <c r="AZ839" s="3" t="n"/>
      <c r="BA839" s="182">
        <f>IF(AD839=1,(AR839*'Historical Score'!$K$29+1-'Historical Score'!$K$29)*(AT839*'Historical Score'!$L$29+1-'Historical Score'!$L$29)*(AS839*'Historical Score'!$M$29+1-'Historical Score'!$M$29)*(AQ839*'Historical Score'!$N$29+1-'Historical Score'!$N$29),0)</f>
        <v/>
      </c>
      <c r="BB839" s="3" t="n"/>
      <c r="BC839" s="3" t="n"/>
    </row>
    <row r="840" ht="15.75" customHeight="1" s="174">
      <c r="A840" s="3" t="inlineStr">
        <is>
          <t>5674182983</t>
        </is>
      </c>
      <c r="B840" s="3" t="inlineStr">
        <is>
          <t>MOU LOGISTICS LLC</t>
        </is>
      </c>
      <c r="C840" s="3" t="inlineStr">
        <is>
          <t>MOU LOGISTICS LLC</t>
        </is>
      </c>
      <c r="D840" s="3" t="inlineStr">
        <is>
          <t>Open</t>
        </is>
      </c>
      <c r="E840" s="23" t="n">
        <v>46147</v>
      </c>
      <c r="F840" s="23" t="n">
        <v>46248</v>
      </c>
      <c r="G840" s="3" t="n">
        <v>3</v>
      </c>
      <c r="H840" s="3" t="inlineStr">
        <is>
          <t>4212</t>
        </is>
      </c>
      <c r="I840" s="3" t="inlineStr">
        <is>
          <t>42</t>
        </is>
      </c>
      <c r="J840" s="3" t="inlineStr">
        <is>
          <t>GA</t>
        </is>
      </c>
      <c r="K840" s="3" t="inlineStr">
        <is>
          <t>United Secured Capital 8</t>
        </is>
      </c>
      <c r="L840" s="3" t="inlineStr">
        <is>
          <t>New Deal</t>
        </is>
      </c>
      <c r="M840" s="3" t="n">
        <v>1.49</v>
      </c>
      <c r="N840" s="28" t="n">
        <v>20000</v>
      </c>
      <c r="O840" s="28" t="n">
        <v>2800</v>
      </c>
      <c r="P840" s="28" t="n">
        <v>29800</v>
      </c>
      <c r="Q840" s="28" t="n">
        <v>5725</v>
      </c>
      <c r="R840" s="28" t="n">
        <v>24075</v>
      </c>
      <c r="S840" s="42" t="n">
        <v>0.192114093959732</v>
      </c>
      <c r="T840" s="3" t="n">
        <v>26</v>
      </c>
      <c r="U840" s="3" t="n">
        <v>8</v>
      </c>
      <c r="V840" s="3" t="n"/>
      <c r="W840" s="42" t="n">
        <v>0.0458</v>
      </c>
      <c r="X840" s="23" t="n">
        <v>43101</v>
      </c>
      <c r="Y840" s="3">
        <f>IF(I840="","No SIC",IFERROR(VLOOKUP(I840,Ref!$A$2:$B$65,2,FALSE()),"Unclassified"))</f>
        <v/>
      </c>
      <c r="Z840" s="3">
        <f>IF(T840="","",IF(T840&lt;12,"Daily","Weekly"))</f>
        <v/>
      </c>
      <c r="AA840" s="3">
        <f>IF(T840="",0,IF(T840&lt;12,T840*Controls!$B$13,T840*5))</f>
        <v/>
      </c>
      <c r="AB840" s="3">
        <f>IF(E840="",0,NETWORKDAYS(E840,Controls!$B$20,Ref!$K$2:$K$42))</f>
        <v/>
      </c>
      <c r="AC840" s="3">
        <f>IF(OR(AF840=1,AND(AA840&gt;0,AB840&gt;=Controls!$B$23*AA840)),1,0)</f>
        <v/>
      </c>
      <c r="AD840" s="3">
        <f>IF(AND(E840&lt;&gt;"",E840&gt;=Controls!$B$21,E840&lt;=Controls!$B$22),1,0)</f>
        <v/>
      </c>
      <c r="AE840" s="3">
        <f>IF(IFERROR(VLOOKUP(D840,Controls!$A$36:$E$46,2,FALSE()),"No")="Yes",1,0)</f>
        <v/>
      </c>
      <c r="AF840" s="3">
        <f>IF(IFERROR(VLOOKUP(D840,Controls!$A$36:$E$46,3,FALSE()),"No")="Yes",1,0)</f>
        <v/>
      </c>
      <c r="AG840" s="3">
        <f>IF(IFERROR(VLOOKUP(D840,Controls!$A$36:$E$46,4,FALSE()),"No")="Yes",1,0)</f>
        <v/>
      </c>
      <c r="AH840" s="3">
        <f>IF(IFERROR(VLOOKUP(D840,Controls!$A$36:$E$46,5,FALSE()),"No")="Yes",1,0)</f>
        <v/>
      </c>
      <c r="AI840" s="3">
        <f>IF(ISNUMBER(MATCH(D840,Controls!$A$36:$A$46,0)),1,0)</f>
        <v/>
      </c>
      <c r="AJ840" s="28">
        <f>Q840-N840</f>
        <v/>
      </c>
      <c r="AK840" s="3">
        <f>IF(AE840=1,MAX(0,N840-Q840),0)</f>
        <v/>
      </c>
      <c r="AL840" s="3">
        <f>IF(OR(V840="",V840=0),0,N840/V840)</f>
        <v/>
      </c>
      <c r="AM840" s="3">
        <f>IF(OR(V840="",V840=0),0,1)</f>
        <v/>
      </c>
      <c r="AN840" s="3">
        <f>IF(OR(E840="",F840=""),0,NETWORKDAYS(E840,F840,Ref!$K$2:$K$42))</f>
        <v/>
      </c>
      <c r="AO840" s="3">
        <f>IF(L840="Renewal",1,0)</f>
        <v/>
      </c>
      <c r="AP840" s="3">
        <f>AC840*AD840</f>
        <v/>
      </c>
      <c r="AQ840" s="3">
        <f>IF(AND(G840&lt;&gt;"",'Historical Score'!$C$6&lt;&gt;""),IF(G840='Historical Score'!$C$6,1,0),0)</f>
        <v/>
      </c>
      <c r="AR840" s="3">
        <f>IF(AND(L840&lt;&gt;"",'Historical Score'!$C$5&lt;&gt;""),IF(L840='Historical Score'!$C$5,1,0),0)</f>
        <v/>
      </c>
      <c r="AS840" s="3">
        <f>IF(AND(Y840&lt;&gt;"",'Historical Score'!$C$7&lt;&gt;""),IF(Y840='Historical Score'!$C$7,1,0),0)</f>
        <v/>
      </c>
      <c r="AT840" s="3">
        <f>IF(AND(K840&lt;&gt;"",'Historical Score'!$C$8&lt;&gt;""),IF(K840='Historical Score'!$C$8,1,0),0)</f>
        <v/>
      </c>
      <c r="AU840" s="3" t="n"/>
      <c r="AV840" s="3" t="n"/>
      <c r="AW840" s="3" t="n"/>
      <c r="AX840" s="3" t="n"/>
      <c r="AY840" s="3" t="n"/>
      <c r="AZ840" s="3" t="n"/>
      <c r="BA840" s="182">
        <f>IF(AD840=1,(AR840*'Historical Score'!$K$29+1-'Historical Score'!$K$29)*(AT840*'Historical Score'!$L$29+1-'Historical Score'!$L$29)*(AS840*'Historical Score'!$M$29+1-'Historical Score'!$M$29)*(AQ840*'Historical Score'!$N$29+1-'Historical Score'!$N$29),0)</f>
        <v/>
      </c>
      <c r="BB840" s="3" t="n"/>
      <c r="BC840" s="3" t="n"/>
    </row>
    <row r="841" ht="15.75" customHeight="1" s="174">
      <c r="A841" s="3" t="inlineStr">
        <is>
          <t>5674182986</t>
        </is>
      </c>
      <c r="B841" s="3" t="inlineStr">
        <is>
          <t>MOOR HERBS MARKETPLACE</t>
        </is>
      </c>
      <c r="C841" s="3" t="inlineStr">
        <is>
          <t>THE MOORISH SCIENCE - TEMPLE THE DIVINE AND NATIONAL MOVEMENT OF NORTH AMERICA INC</t>
        </is>
      </c>
      <c r="D841" s="3" t="inlineStr">
        <is>
          <t>Open</t>
        </is>
      </c>
      <c r="E841" s="23" t="n">
        <v>46147</v>
      </c>
      <c r="F841" s="23" t="n">
        <v>46253</v>
      </c>
      <c r="G841" s="3" t="n">
        <v>3</v>
      </c>
      <c r="H841" s="3" t="inlineStr">
        <is>
          <t>5999</t>
        </is>
      </c>
      <c r="I841" s="3" t="inlineStr">
        <is>
          <t>59</t>
        </is>
      </c>
      <c r="J841" s="3" t="inlineStr">
        <is>
          <t>MI</t>
        </is>
      </c>
      <c r="K841" s="3" t="inlineStr">
        <is>
          <t>United Secured Capital 8</t>
        </is>
      </c>
      <c r="L841" s="3" t="inlineStr">
        <is>
          <t>Renewal</t>
        </is>
      </c>
      <c r="M841" s="3" t="n">
        <v>1.49</v>
      </c>
      <c r="N841" s="28" t="n">
        <v>55000</v>
      </c>
      <c r="O841" s="28" t="n">
        <v>7700</v>
      </c>
      <c r="P841" s="28" t="n">
        <v>81950</v>
      </c>
      <c r="Q841" s="28" t="n">
        <v>43323.3</v>
      </c>
      <c r="R841" s="28" t="n">
        <v>38626.7</v>
      </c>
      <c r="S841" s="42" t="n">
        <v>0.528655277608298</v>
      </c>
      <c r="T841" s="3" t="n">
        <v>4.59</v>
      </c>
      <c r="U841" s="3" t="n">
        <v>0</v>
      </c>
      <c r="V841" s="3" t="n">
        <v>104379.99</v>
      </c>
      <c r="W841" s="42" t="n">
        <v>0.174</v>
      </c>
      <c r="X841" s="23" t="n">
        <v>43221</v>
      </c>
      <c r="Y841" s="3">
        <f>IF(I841="","No SIC",IFERROR(VLOOKUP(I841,Ref!$A$2:$B$65,2,FALSE()),"Unclassified"))</f>
        <v/>
      </c>
      <c r="Z841" s="3">
        <f>IF(T841="","",IF(T841&lt;12,"Daily","Weekly"))</f>
        <v/>
      </c>
      <c r="AA841" s="3">
        <f>IF(T841="",0,IF(T841&lt;12,T841*Controls!$B$13,T841*5))</f>
        <v/>
      </c>
      <c r="AB841" s="3">
        <f>IF(E841="",0,NETWORKDAYS(E841,Controls!$B$20,Ref!$K$2:$K$42))</f>
        <v/>
      </c>
      <c r="AC841" s="3">
        <f>IF(OR(AF841=1,AND(AA841&gt;0,AB841&gt;=Controls!$B$23*AA841)),1,0)</f>
        <v/>
      </c>
      <c r="AD841" s="3">
        <f>IF(AND(E841&lt;&gt;"",E841&gt;=Controls!$B$21,E841&lt;=Controls!$B$22),1,0)</f>
        <v/>
      </c>
      <c r="AE841" s="3">
        <f>IF(IFERROR(VLOOKUP(D841,Controls!$A$36:$E$46,2,FALSE()),"No")="Yes",1,0)</f>
        <v/>
      </c>
      <c r="AF841" s="3">
        <f>IF(IFERROR(VLOOKUP(D841,Controls!$A$36:$E$46,3,FALSE()),"No")="Yes",1,0)</f>
        <v/>
      </c>
      <c r="AG841" s="3">
        <f>IF(IFERROR(VLOOKUP(D841,Controls!$A$36:$E$46,4,FALSE()),"No")="Yes",1,0)</f>
        <v/>
      </c>
      <c r="AH841" s="3">
        <f>IF(IFERROR(VLOOKUP(D841,Controls!$A$36:$E$46,5,FALSE()),"No")="Yes",1,0)</f>
        <v/>
      </c>
      <c r="AI841" s="3">
        <f>IF(ISNUMBER(MATCH(D841,Controls!$A$36:$A$46,0)),1,0)</f>
        <v/>
      </c>
      <c r="AJ841" s="28">
        <f>Q841-N841</f>
        <v/>
      </c>
      <c r="AK841" s="3">
        <f>IF(AE841=1,MAX(0,N841-Q841),0)</f>
        <v/>
      </c>
      <c r="AL841" s="3">
        <f>IF(OR(V841="",V841=0),0,N841/V841)</f>
        <v/>
      </c>
      <c r="AM841" s="3">
        <f>IF(OR(V841="",V841=0),0,1)</f>
        <v/>
      </c>
      <c r="AN841" s="3">
        <f>IF(OR(E841="",F841=""),0,NETWORKDAYS(E841,F841,Ref!$K$2:$K$42))</f>
        <v/>
      </c>
      <c r="AO841" s="3">
        <f>IF(L841="Renewal",1,0)</f>
        <v/>
      </c>
      <c r="AP841" s="3">
        <f>AC841*AD841</f>
        <v/>
      </c>
      <c r="AQ841" s="3">
        <f>IF(AND(G841&lt;&gt;"",'Historical Score'!$C$6&lt;&gt;""),IF(G841='Historical Score'!$C$6,1,0),0)</f>
        <v/>
      </c>
      <c r="AR841" s="3">
        <f>IF(AND(L841&lt;&gt;"",'Historical Score'!$C$5&lt;&gt;""),IF(L841='Historical Score'!$C$5,1,0),0)</f>
        <v/>
      </c>
      <c r="AS841" s="3">
        <f>IF(AND(Y841&lt;&gt;"",'Historical Score'!$C$7&lt;&gt;""),IF(Y841='Historical Score'!$C$7,1,0),0)</f>
        <v/>
      </c>
      <c r="AT841" s="3">
        <f>IF(AND(K841&lt;&gt;"",'Historical Score'!$C$8&lt;&gt;""),IF(K841='Historical Score'!$C$8,1,0),0)</f>
        <v/>
      </c>
      <c r="AU841" s="3" t="n"/>
      <c r="AV841" s="3" t="n"/>
      <c r="AW841" s="3" t="n"/>
      <c r="AX841" s="3" t="n"/>
      <c r="AY841" s="3" t="n"/>
      <c r="AZ841" s="3" t="n"/>
      <c r="BA841" s="182">
        <f>IF(AD841=1,(AR841*'Historical Score'!$K$29+1-'Historical Score'!$K$29)*(AT841*'Historical Score'!$L$29+1-'Historical Score'!$L$29)*(AS841*'Historical Score'!$M$29+1-'Historical Score'!$M$29)*(AQ841*'Historical Score'!$N$29+1-'Historical Score'!$N$29),0)</f>
        <v/>
      </c>
      <c r="BB841" s="3" t="n"/>
      <c r="BC841" s="3" t="n"/>
    </row>
    <row r="842" ht="15.75" customHeight="1" s="174">
      <c r="A842" s="3" t="inlineStr">
        <is>
          <t>5674183018</t>
        </is>
      </c>
      <c r="B842" s="3" t="inlineStr">
        <is>
          <t>Trajum Machine Learning</t>
        </is>
      </c>
      <c r="C842" s="3" t="inlineStr">
        <is>
          <t>Trajum Machine Learning</t>
        </is>
      </c>
      <c r="D842" s="3" t="inlineStr">
        <is>
          <t>Open</t>
        </is>
      </c>
      <c r="E842" s="23" t="n">
        <v>46147</v>
      </c>
      <c r="F842" s="23" t="n">
        <v>46253</v>
      </c>
      <c r="G842" s="3" t="n">
        <v>3</v>
      </c>
      <c r="H842" s="3" t="inlineStr">
        <is>
          <t>7371</t>
        </is>
      </c>
      <c r="I842" s="3" t="inlineStr">
        <is>
          <t>73</t>
        </is>
      </c>
      <c r="J842" s="3" t="inlineStr">
        <is>
          <t>FL</t>
        </is>
      </c>
      <c r="K842" s="3" t="inlineStr">
        <is>
          <t>Shore Funding USA</t>
        </is>
      </c>
      <c r="L842" s="3" t="inlineStr">
        <is>
          <t>New Deal</t>
        </is>
      </c>
      <c r="M842" s="3" t="n">
        <v>1.49</v>
      </c>
      <c r="N842" s="28" t="n">
        <v>5000</v>
      </c>
      <c r="O842" s="28" t="n">
        <v>700</v>
      </c>
      <c r="P842" s="28" t="n">
        <v>7450</v>
      </c>
      <c r="Q842" s="28" t="n">
        <v>5213.04</v>
      </c>
      <c r="R842" s="28" t="n">
        <v>2236.96</v>
      </c>
      <c r="S842" s="42" t="n">
        <v>0.699736912751678</v>
      </c>
      <c r="T842" s="3" t="n">
        <v>1.967</v>
      </c>
      <c r="U842" s="3" t="n">
        <v>31</v>
      </c>
      <c r="V842" s="3" t="n">
        <v>20818.97</v>
      </c>
      <c r="W842" s="42" t="n">
        <v>0.1252</v>
      </c>
      <c r="X842" s="23" t="n">
        <v>44962</v>
      </c>
      <c r="Y842" s="3">
        <f>IF(I842="","No SIC",IFERROR(VLOOKUP(I842,Ref!$A$2:$B$65,2,FALSE()),"Unclassified"))</f>
        <v/>
      </c>
      <c r="Z842" s="3">
        <f>IF(T842="","",IF(T842&lt;12,"Daily","Weekly"))</f>
        <v/>
      </c>
      <c r="AA842" s="3">
        <f>IF(T842="",0,IF(T842&lt;12,T842*Controls!$B$13,T842*5))</f>
        <v/>
      </c>
      <c r="AB842" s="3">
        <f>IF(E842="",0,NETWORKDAYS(E842,Controls!$B$20,Ref!$K$2:$K$42))</f>
        <v/>
      </c>
      <c r="AC842" s="3">
        <f>IF(OR(AF842=1,AND(AA842&gt;0,AB842&gt;=Controls!$B$23*AA842)),1,0)</f>
        <v/>
      </c>
      <c r="AD842" s="3">
        <f>IF(AND(E842&lt;&gt;"",E842&gt;=Controls!$B$21,E842&lt;=Controls!$B$22),1,0)</f>
        <v/>
      </c>
      <c r="AE842" s="3">
        <f>IF(IFERROR(VLOOKUP(D842,Controls!$A$36:$E$46,2,FALSE()),"No")="Yes",1,0)</f>
        <v/>
      </c>
      <c r="AF842" s="3">
        <f>IF(IFERROR(VLOOKUP(D842,Controls!$A$36:$E$46,3,FALSE()),"No")="Yes",1,0)</f>
        <v/>
      </c>
      <c r="AG842" s="3">
        <f>IF(IFERROR(VLOOKUP(D842,Controls!$A$36:$E$46,4,FALSE()),"No")="Yes",1,0)</f>
        <v/>
      </c>
      <c r="AH842" s="3">
        <f>IF(IFERROR(VLOOKUP(D842,Controls!$A$36:$E$46,5,FALSE()),"No")="Yes",1,0)</f>
        <v/>
      </c>
      <c r="AI842" s="3">
        <f>IF(ISNUMBER(MATCH(D842,Controls!$A$36:$A$46,0)),1,0)</f>
        <v/>
      </c>
      <c r="AJ842" s="28">
        <f>Q842-N842</f>
        <v/>
      </c>
      <c r="AK842" s="3">
        <f>IF(AE842=1,MAX(0,N842-Q842),0)</f>
        <v/>
      </c>
      <c r="AL842" s="3">
        <f>IF(OR(V842="",V842=0),0,N842/V842)</f>
        <v/>
      </c>
      <c r="AM842" s="3">
        <f>IF(OR(V842="",V842=0),0,1)</f>
        <v/>
      </c>
      <c r="AN842" s="3">
        <f>IF(OR(E842="",F842=""),0,NETWORKDAYS(E842,F842,Ref!$K$2:$K$42))</f>
        <v/>
      </c>
      <c r="AO842" s="3">
        <f>IF(L842="Renewal",1,0)</f>
        <v/>
      </c>
      <c r="AP842" s="3">
        <f>AC842*AD842</f>
        <v/>
      </c>
      <c r="AQ842" s="3">
        <f>IF(AND(G842&lt;&gt;"",'Historical Score'!$C$6&lt;&gt;""),IF(G842='Historical Score'!$C$6,1,0),0)</f>
        <v/>
      </c>
      <c r="AR842" s="3">
        <f>IF(AND(L842&lt;&gt;"",'Historical Score'!$C$5&lt;&gt;""),IF(L842='Historical Score'!$C$5,1,0),0)</f>
        <v/>
      </c>
      <c r="AS842" s="3">
        <f>IF(AND(Y842&lt;&gt;"",'Historical Score'!$C$7&lt;&gt;""),IF(Y842='Historical Score'!$C$7,1,0),0)</f>
        <v/>
      </c>
      <c r="AT842" s="3">
        <f>IF(AND(K842&lt;&gt;"",'Historical Score'!$C$8&lt;&gt;""),IF(K842='Historical Score'!$C$8,1,0),0)</f>
        <v/>
      </c>
      <c r="AU842" s="3" t="n"/>
      <c r="AV842" s="3" t="n"/>
      <c r="AW842" s="3" t="n"/>
      <c r="AX842" s="3" t="n"/>
      <c r="AY842" s="3" t="n"/>
      <c r="AZ842" s="3" t="n"/>
      <c r="BA842" s="182">
        <f>IF(AD842=1,(AR842*'Historical Score'!$K$29+1-'Historical Score'!$K$29)*(AT842*'Historical Score'!$L$29+1-'Historical Score'!$L$29)*(AS842*'Historical Score'!$M$29+1-'Historical Score'!$M$29)*(AQ842*'Historical Score'!$N$29+1-'Historical Score'!$N$29),0)</f>
        <v/>
      </c>
      <c r="BB842" s="3" t="n"/>
      <c r="BC842" s="3" t="n"/>
    </row>
    <row r="843" ht="15.75" customHeight="1" s="174">
      <c r="A843" s="3" t="inlineStr">
        <is>
          <t>5674183058</t>
        </is>
      </c>
      <c r="B843" s="3" t="inlineStr">
        <is>
          <t>B&amp;D Truck and Trailer Repair</t>
        </is>
      </c>
      <c r="C843" s="3" t="inlineStr">
        <is>
          <t>B&amp;D Truck and Trailer Repair</t>
        </is>
      </c>
      <c r="D843" s="3" t="inlineStr">
        <is>
          <t>Legal</t>
        </is>
      </c>
      <c r="E843" s="23" t="n">
        <v>46148</v>
      </c>
      <c r="F843" s="23" t="n">
        <v>46175</v>
      </c>
      <c r="G843" s="3" t="n">
        <v>3</v>
      </c>
      <c r="H843" s="3" t="inlineStr">
        <is>
          <t>7539</t>
        </is>
      </c>
      <c r="I843" s="3" t="inlineStr">
        <is>
          <t>75</t>
        </is>
      </c>
      <c r="J843" s="3" t="inlineStr">
        <is>
          <t>TX</t>
        </is>
      </c>
      <c r="K843" s="3" t="inlineStr">
        <is>
          <t>Shore Funding USA</t>
        </is>
      </c>
      <c r="L843" s="3" t="inlineStr">
        <is>
          <t>New Deal</t>
        </is>
      </c>
      <c r="M843" s="3" t="n">
        <v>1.49</v>
      </c>
      <c r="N843" s="28" t="n">
        <v>5000</v>
      </c>
      <c r="O843" s="28" t="n">
        <v>0</v>
      </c>
      <c r="P843" s="28" t="n">
        <v>7450</v>
      </c>
      <c r="Q843" s="28" t="n">
        <v>198.58</v>
      </c>
      <c r="R843" s="28" t="n">
        <v>7251.42</v>
      </c>
      <c r="S843" s="42" t="n">
        <v>0.026655033557047</v>
      </c>
      <c r="T843" s="3" t="n">
        <v>2.459</v>
      </c>
      <c r="U843" s="3" t="n">
        <v>16</v>
      </c>
      <c r="V843" s="3" t="n">
        <v>15000</v>
      </c>
      <c r="W843" s="42" t="n">
        <v>0.06950000000000001</v>
      </c>
      <c r="X843" s="23" t="n">
        <v>44996</v>
      </c>
      <c r="Y843" s="3">
        <f>IF(I843="","No SIC",IFERROR(VLOOKUP(I843,Ref!$A$2:$B$65,2,FALSE()),"Unclassified"))</f>
        <v/>
      </c>
      <c r="Z843" s="3">
        <f>IF(T843="","",IF(T843&lt;12,"Daily","Weekly"))</f>
        <v/>
      </c>
      <c r="AA843" s="3">
        <f>IF(T843="",0,IF(T843&lt;12,T843*Controls!$B$13,T843*5))</f>
        <v/>
      </c>
      <c r="AB843" s="3">
        <f>IF(E843="",0,NETWORKDAYS(E843,Controls!$B$20,Ref!$K$2:$K$42))</f>
        <v/>
      </c>
      <c r="AC843" s="3">
        <f>IF(OR(AF843=1,AND(AA843&gt;0,AB843&gt;=Controls!$B$23*AA843)),1,0)</f>
        <v/>
      </c>
      <c r="AD843" s="3">
        <f>IF(AND(E843&lt;&gt;"",E843&gt;=Controls!$B$21,E843&lt;=Controls!$B$22),1,0)</f>
        <v/>
      </c>
      <c r="AE843" s="3">
        <f>IF(IFERROR(VLOOKUP(D843,Controls!$A$36:$E$46,2,FALSE()),"No")="Yes",1,0)</f>
        <v/>
      </c>
      <c r="AF843" s="3">
        <f>IF(IFERROR(VLOOKUP(D843,Controls!$A$36:$E$46,3,FALSE()),"No")="Yes",1,0)</f>
        <v/>
      </c>
      <c r="AG843" s="3">
        <f>IF(IFERROR(VLOOKUP(D843,Controls!$A$36:$E$46,4,FALSE()),"No")="Yes",1,0)</f>
        <v/>
      </c>
      <c r="AH843" s="3">
        <f>IF(IFERROR(VLOOKUP(D843,Controls!$A$36:$E$46,5,FALSE()),"No")="Yes",1,0)</f>
        <v/>
      </c>
      <c r="AI843" s="3">
        <f>IF(ISNUMBER(MATCH(D843,Controls!$A$36:$A$46,0)),1,0)</f>
        <v/>
      </c>
      <c r="AJ843" s="28">
        <f>Q843-N843</f>
        <v/>
      </c>
      <c r="AK843" s="3">
        <f>IF(AE843=1,MAX(0,N843-Q843),0)</f>
        <v/>
      </c>
      <c r="AL843" s="3">
        <f>IF(OR(V843="",V843=0),0,N843/V843)</f>
        <v/>
      </c>
      <c r="AM843" s="3">
        <f>IF(OR(V843="",V843=0),0,1)</f>
        <v/>
      </c>
      <c r="AN843" s="3">
        <f>IF(OR(E843="",F843=""),0,NETWORKDAYS(E843,F843,Ref!$K$2:$K$42))</f>
        <v/>
      </c>
      <c r="AO843" s="3">
        <f>IF(L843="Renewal",1,0)</f>
        <v/>
      </c>
      <c r="AP843" s="3">
        <f>AC843*AD843</f>
        <v/>
      </c>
      <c r="AQ843" s="3">
        <f>IF(AND(G843&lt;&gt;"",'Historical Score'!$C$6&lt;&gt;""),IF(G843='Historical Score'!$C$6,1,0),0)</f>
        <v/>
      </c>
      <c r="AR843" s="3">
        <f>IF(AND(L843&lt;&gt;"",'Historical Score'!$C$5&lt;&gt;""),IF(L843='Historical Score'!$C$5,1,0),0)</f>
        <v/>
      </c>
      <c r="AS843" s="3">
        <f>IF(AND(Y843&lt;&gt;"",'Historical Score'!$C$7&lt;&gt;""),IF(Y843='Historical Score'!$C$7,1,0),0)</f>
        <v/>
      </c>
      <c r="AT843" s="3">
        <f>IF(AND(K843&lt;&gt;"",'Historical Score'!$C$8&lt;&gt;""),IF(K843='Historical Score'!$C$8,1,0),0)</f>
        <v/>
      </c>
      <c r="AU843" s="3" t="n"/>
      <c r="AV843" s="3" t="n"/>
      <c r="AW843" s="3" t="n"/>
      <c r="AX843" s="3" t="n"/>
      <c r="AY843" s="3" t="n"/>
      <c r="AZ843" s="3" t="n"/>
      <c r="BA843" s="182">
        <f>IF(AD843=1,(AR843*'Historical Score'!$K$29+1-'Historical Score'!$K$29)*(AT843*'Historical Score'!$L$29+1-'Historical Score'!$L$29)*(AS843*'Historical Score'!$M$29+1-'Historical Score'!$M$29)*(AQ843*'Historical Score'!$N$29+1-'Historical Score'!$N$29),0)</f>
        <v/>
      </c>
      <c r="BB843" s="3" t="n"/>
      <c r="BC843" s="3" t="n"/>
    </row>
    <row r="844" ht="15.75" customHeight="1" s="174">
      <c r="A844" s="3" t="inlineStr">
        <is>
          <t>5674183068</t>
        </is>
      </c>
      <c r="B844" s="3" t="inlineStr">
        <is>
          <t>HOOF LAW FIRM</t>
        </is>
      </c>
      <c r="C844" s="3" t="inlineStr">
        <is>
          <t>THE HOOF LAW FIRM PLLC</t>
        </is>
      </c>
      <c r="D844" s="3" t="inlineStr">
        <is>
          <t>Open</t>
        </is>
      </c>
      <c r="E844" s="23" t="n">
        <v>46148</v>
      </c>
      <c r="F844" s="23" t="n">
        <v>46251</v>
      </c>
      <c r="G844" s="3" t="n">
        <v>1</v>
      </c>
      <c r="H844" s="3" t="inlineStr">
        <is>
          <t>8111</t>
        </is>
      </c>
      <c r="I844" s="3" t="inlineStr">
        <is>
          <t>81</t>
        </is>
      </c>
      <c r="J844" s="3" t="inlineStr">
        <is>
          <t>TX</t>
        </is>
      </c>
      <c r="K844" s="3" t="inlineStr">
        <is>
          <t>PMF</t>
        </is>
      </c>
      <c r="L844" s="3" t="inlineStr">
        <is>
          <t>New Deal</t>
        </is>
      </c>
      <c r="M844" s="3" t="n">
        <v>1.49</v>
      </c>
      <c r="N844" s="28" t="n">
        <v>75000</v>
      </c>
      <c r="O844" s="28" t="n">
        <v>10500</v>
      </c>
      <c r="P844" s="28" t="n">
        <v>111750</v>
      </c>
      <c r="Q844" s="28" t="n">
        <v>46575</v>
      </c>
      <c r="R844" s="28" t="n">
        <v>65175</v>
      </c>
      <c r="S844" s="42" t="n">
        <v>0.416778523489933</v>
      </c>
      <c r="T844" s="3" t="n">
        <v>36</v>
      </c>
      <c r="U844" s="3" t="n">
        <v>0</v>
      </c>
      <c r="V844" s="3" t="n">
        <v>150000</v>
      </c>
      <c r="W844" s="42" t="n">
        <v>0.0828</v>
      </c>
      <c r="X844" s="23" t="n">
        <v>42186</v>
      </c>
      <c r="Y844" s="3">
        <f>IF(I844="","No SIC",IFERROR(VLOOKUP(I844,Ref!$A$2:$B$65,2,FALSE()),"Unclassified"))</f>
        <v/>
      </c>
      <c r="Z844" s="3">
        <f>IF(T844="","",IF(T844&lt;12,"Daily","Weekly"))</f>
        <v/>
      </c>
      <c r="AA844" s="3">
        <f>IF(T844="",0,IF(T844&lt;12,T844*Controls!$B$13,T844*5))</f>
        <v/>
      </c>
      <c r="AB844" s="3">
        <f>IF(E844="",0,NETWORKDAYS(E844,Controls!$B$20,Ref!$K$2:$K$42))</f>
        <v/>
      </c>
      <c r="AC844" s="3">
        <f>IF(OR(AF844=1,AND(AA844&gt;0,AB844&gt;=Controls!$B$23*AA844)),1,0)</f>
        <v/>
      </c>
      <c r="AD844" s="3">
        <f>IF(AND(E844&lt;&gt;"",E844&gt;=Controls!$B$21,E844&lt;=Controls!$B$22),1,0)</f>
        <v/>
      </c>
      <c r="AE844" s="3">
        <f>IF(IFERROR(VLOOKUP(D844,Controls!$A$36:$E$46,2,FALSE()),"No")="Yes",1,0)</f>
        <v/>
      </c>
      <c r="AF844" s="3">
        <f>IF(IFERROR(VLOOKUP(D844,Controls!$A$36:$E$46,3,FALSE()),"No")="Yes",1,0)</f>
        <v/>
      </c>
      <c r="AG844" s="3">
        <f>IF(IFERROR(VLOOKUP(D844,Controls!$A$36:$E$46,4,FALSE()),"No")="Yes",1,0)</f>
        <v/>
      </c>
      <c r="AH844" s="3">
        <f>IF(IFERROR(VLOOKUP(D844,Controls!$A$36:$E$46,5,FALSE()),"No")="Yes",1,0)</f>
        <v/>
      </c>
      <c r="AI844" s="3">
        <f>IF(ISNUMBER(MATCH(D844,Controls!$A$36:$A$46,0)),1,0)</f>
        <v/>
      </c>
      <c r="AJ844" s="28">
        <f>Q844-N844</f>
        <v/>
      </c>
      <c r="AK844" s="3">
        <f>IF(AE844=1,MAX(0,N844-Q844),0)</f>
        <v/>
      </c>
      <c r="AL844" s="3">
        <f>IF(OR(V844="",V844=0),0,N844/V844)</f>
        <v/>
      </c>
      <c r="AM844" s="3">
        <f>IF(OR(V844="",V844=0),0,1)</f>
        <v/>
      </c>
      <c r="AN844" s="3">
        <f>IF(OR(E844="",F844=""),0,NETWORKDAYS(E844,F844,Ref!$K$2:$K$42))</f>
        <v/>
      </c>
      <c r="AO844" s="3">
        <f>IF(L844="Renewal",1,0)</f>
        <v/>
      </c>
      <c r="AP844" s="3">
        <f>AC844*AD844</f>
        <v/>
      </c>
      <c r="AQ844" s="3">
        <f>IF(AND(G844&lt;&gt;"",'Historical Score'!$C$6&lt;&gt;""),IF(G844='Historical Score'!$C$6,1,0),0)</f>
        <v/>
      </c>
      <c r="AR844" s="3">
        <f>IF(AND(L844&lt;&gt;"",'Historical Score'!$C$5&lt;&gt;""),IF(L844='Historical Score'!$C$5,1,0),0)</f>
        <v/>
      </c>
      <c r="AS844" s="3">
        <f>IF(AND(Y844&lt;&gt;"",'Historical Score'!$C$7&lt;&gt;""),IF(Y844='Historical Score'!$C$7,1,0),0)</f>
        <v/>
      </c>
      <c r="AT844" s="3">
        <f>IF(AND(K844&lt;&gt;"",'Historical Score'!$C$8&lt;&gt;""),IF(K844='Historical Score'!$C$8,1,0),0)</f>
        <v/>
      </c>
      <c r="AU844" s="3" t="n"/>
      <c r="AV844" s="3" t="n"/>
      <c r="AW844" s="3" t="n"/>
      <c r="AX844" s="3" t="n"/>
      <c r="AY844" s="3" t="n"/>
      <c r="AZ844" s="3" t="n"/>
      <c r="BA844" s="182">
        <f>IF(AD844=1,(AR844*'Historical Score'!$K$29+1-'Historical Score'!$K$29)*(AT844*'Historical Score'!$L$29+1-'Historical Score'!$L$29)*(AS844*'Historical Score'!$M$29+1-'Historical Score'!$M$29)*(AQ844*'Historical Score'!$N$29+1-'Historical Score'!$N$29),0)</f>
        <v/>
      </c>
      <c r="BB844" s="3" t="n"/>
      <c r="BC844" s="3" t="n"/>
    </row>
    <row r="845" ht="15.75" customHeight="1" s="174">
      <c r="A845" s="3" t="inlineStr">
        <is>
          <t>5674183070</t>
        </is>
      </c>
      <c r="B845" s="3" t="inlineStr">
        <is>
          <t>Wise Path Recovery Centers</t>
        </is>
      </c>
      <c r="C845" s="3" t="inlineStr">
        <is>
          <t>Westover Project Associates LLC</t>
        </is>
      </c>
      <c r="D845" s="3" t="inlineStr">
        <is>
          <t>Open</t>
        </is>
      </c>
      <c r="E845" s="23" t="n">
        <v>46148</v>
      </c>
      <c r="F845" s="23" t="n">
        <v>46247</v>
      </c>
      <c r="G845" s="3" t="n">
        <v>2</v>
      </c>
      <c r="H845" s="3" t="inlineStr">
        <is>
          <t>8011</t>
        </is>
      </c>
      <c r="I845" s="3" t="inlineStr">
        <is>
          <t>80</t>
        </is>
      </c>
      <c r="J845" s="3" t="inlineStr">
        <is>
          <t>WV</t>
        </is>
      </c>
      <c r="K845" s="3" t="inlineStr">
        <is>
          <t>National Business Capital</t>
        </is>
      </c>
      <c r="L845" s="3" t="inlineStr">
        <is>
          <t>New Deal</t>
        </is>
      </c>
      <c r="M845" s="3" t="n">
        <v>1.45</v>
      </c>
      <c r="N845" s="28" t="n">
        <v>200000</v>
      </c>
      <c r="O845" s="28" t="n">
        <v>24000</v>
      </c>
      <c r="P845" s="28" t="n">
        <v>290000</v>
      </c>
      <c r="Q845" s="28" t="n">
        <v>135357.6</v>
      </c>
      <c r="R845" s="28" t="n">
        <v>154642.4</v>
      </c>
      <c r="S845" s="42" t="n">
        <v>0.466750344827586</v>
      </c>
      <c r="T845" s="3" t="n">
        <v>30</v>
      </c>
      <c r="U845" s="3" t="n">
        <v>0</v>
      </c>
      <c r="V845" s="3" t="n">
        <v>233960.04</v>
      </c>
      <c r="W845" s="42" t="n">
        <v>0.1653</v>
      </c>
      <c r="X845" s="23" t="n">
        <v>44625</v>
      </c>
      <c r="Y845" s="3">
        <f>IF(I845="","No SIC",IFERROR(VLOOKUP(I845,Ref!$A$2:$B$65,2,FALSE()),"Unclassified"))</f>
        <v/>
      </c>
      <c r="Z845" s="3">
        <f>IF(T845="","",IF(T845&lt;12,"Daily","Weekly"))</f>
        <v/>
      </c>
      <c r="AA845" s="3">
        <f>IF(T845="",0,IF(T845&lt;12,T845*Controls!$B$13,T845*5))</f>
        <v/>
      </c>
      <c r="AB845" s="3">
        <f>IF(E845="",0,NETWORKDAYS(E845,Controls!$B$20,Ref!$K$2:$K$42))</f>
        <v/>
      </c>
      <c r="AC845" s="3">
        <f>IF(OR(AF845=1,AND(AA845&gt;0,AB845&gt;=Controls!$B$23*AA845)),1,0)</f>
        <v/>
      </c>
      <c r="AD845" s="3">
        <f>IF(AND(E845&lt;&gt;"",E845&gt;=Controls!$B$21,E845&lt;=Controls!$B$22),1,0)</f>
        <v/>
      </c>
      <c r="AE845" s="3">
        <f>IF(IFERROR(VLOOKUP(D845,Controls!$A$36:$E$46,2,FALSE()),"No")="Yes",1,0)</f>
        <v/>
      </c>
      <c r="AF845" s="3">
        <f>IF(IFERROR(VLOOKUP(D845,Controls!$A$36:$E$46,3,FALSE()),"No")="Yes",1,0)</f>
        <v/>
      </c>
      <c r="AG845" s="3">
        <f>IF(IFERROR(VLOOKUP(D845,Controls!$A$36:$E$46,4,FALSE()),"No")="Yes",1,0)</f>
        <v/>
      </c>
      <c r="AH845" s="3">
        <f>IF(IFERROR(VLOOKUP(D845,Controls!$A$36:$E$46,5,FALSE()),"No")="Yes",1,0)</f>
        <v/>
      </c>
      <c r="AI845" s="3">
        <f>IF(ISNUMBER(MATCH(D845,Controls!$A$36:$A$46,0)),1,0)</f>
        <v/>
      </c>
      <c r="AJ845" s="28">
        <f>Q845-N845</f>
        <v/>
      </c>
      <c r="AK845" s="3">
        <f>IF(AE845=1,MAX(0,N845-Q845),0)</f>
        <v/>
      </c>
      <c r="AL845" s="3">
        <f>IF(OR(V845="",V845=0),0,N845/V845)</f>
        <v/>
      </c>
      <c r="AM845" s="3">
        <f>IF(OR(V845="",V845=0),0,1)</f>
        <v/>
      </c>
      <c r="AN845" s="3">
        <f>IF(OR(E845="",F845=""),0,NETWORKDAYS(E845,F845,Ref!$K$2:$K$42))</f>
        <v/>
      </c>
      <c r="AO845" s="3">
        <f>IF(L845="Renewal",1,0)</f>
        <v/>
      </c>
      <c r="AP845" s="3">
        <f>AC845*AD845</f>
        <v/>
      </c>
      <c r="AQ845" s="3">
        <f>IF(AND(G845&lt;&gt;"",'Historical Score'!$C$6&lt;&gt;""),IF(G845='Historical Score'!$C$6,1,0),0)</f>
        <v/>
      </c>
      <c r="AR845" s="3">
        <f>IF(AND(L845&lt;&gt;"",'Historical Score'!$C$5&lt;&gt;""),IF(L845='Historical Score'!$C$5,1,0),0)</f>
        <v/>
      </c>
      <c r="AS845" s="3">
        <f>IF(AND(Y845&lt;&gt;"",'Historical Score'!$C$7&lt;&gt;""),IF(Y845='Historical Score'!$C$7,1,0),0)</f>
        <v/>
      </c>
      <c r="AT845" s="3">
        <f>IF(AND(K845&lt;&gt;"",'Historical Score'!$C$8&lt;&gt;""),IF(K845='Historical Score'!$C$8,1,0),0)</f>
        <v/>
      </c>
      <c r="AU845" s="3" t="n"/>
      <c r="AV845" s="3" t="n"/>
      <c r="AW845" s="3" t="n"/>
      <c r="AX845" s="3" t="n"/>
      <c r="AY845" s="3" t="n"/>
      <c r="AZ845" s="3" t="n"/>
      <c r="BA845" s="182">
        <f>IF(AD845=1,(AR845*'Historical Score'!$K$29+1-'Historical Score'!$K$29)*(AT845*'Historical Score'!$L$29+1-'Historical Score'!$L$29)*(AS845*'Historical Score'!$M$29+1-'Historical Score'!$M$29)*(AQ845*'Historical Score'!$N$29+1-'Historical Score'!$N$29),0)</f>
        <v/>
      </c>
      <c r="BB845" s="3" t="n"/>
      <c r="BC845" s="3" t="n"/>
    </row>
    <row r="846" ht="15.75" customHeight="1" s="174">
      <c r="A846" s="3" t="inlineStr">
        <is>
          <t>5674183112</t>
        </is>
      </c>
      <c r="B846" s="3" t="inlineStr">
        <is>
          <t>Williston Publishing</t>
        </is>
      </c>
      <c r="C846" s="3" t="inlineStr">
        <is>
          <t>Williston Publishing</t>
        </is>
      </c>
      <c r="D846" s="3" t="inlineStr">
        <is>
          <t>Closed</t>
        </is>
      </c>
      <c r="E846" s="23" t="n">
        <v>46148</v>
      </c>
      <c r="F846" s="23" t="n">
        <v>46241</v>
      </c>
      <c r="G846" s="3" t="n">
        <v>3</v>
      </c>
      <c r="H846" s="3" t="inlineStr">
        <is>
          <t>2711</t>
        </is>
      </c>
      <c r="I846" s="3" t="inlineStr">
        <is>
          <t>27</t>
        </is>
      </c>
      <c r="J846" s="3" t="inlineStr">
        <is>
          <t>VT</t>
        </is>
      </c>
      <c r="K846" s="3" t="inlineStr">
        <is>
          <t>Credibly</t>
        </is>
      </c>
      <c r="L846" s="3" t="inlineStr">
        <is>
          <t>New Deal</t>
        </is>
      </c>
      <c r="M846" s="3" t="n">
        <v>1.39</v>
      </c>
      <c r="N846" s="28" t="n">
        <v>15000</v>
      </c>
      <c r="O846" s="28" t="n">
        <v>1350</v>
      </c>
      <c r="P846" s="28" t="n">
        <v>20850</v>
      </c>
      <c r="Q846" s="28" t="n">
        <v>20850</v>
      </c>
      <c r="R846" s="28" t="n">
        <v>0</v>
      </c>
      <c r="S846" s="42" t="n">
        <v>1</v>
      </c>
      <c r="T846" s="3" t="n">
        <v>20</v>
      </c>
      <c r="U846" s="3" t="n">
        <v>0</v>
      </c>
      <c r="V846" s="3" t="n">
        <v>46967.68</v>
      </c>
      <c r="W846" s="42" t="n">
        <v>0.0888</v>
      </c>
      <c r="X846" s="23" t="n">
        <v>33970</v>
      </c>
      <c r="Y846" s="3">
        <f>IF(I846="","No SIC",IFERROR(VLOOKUP(I846,Ref!$A$2:$B$65,2,FALSE()),"Unclassified"))</f>
        <v/>
      </c>
      <c r="Z846" s="3">
        <f>IF(T846="","",IF(T846&lt;12,"Daily","Weekly"))</f>
        <v/>
      </c>
      <c r="AA846" s="3">
        <f>IF(T846="",0,IF(T846&lt;12,T846*Controls!$B$13,T846*5))</f>
        <v/>
      </c>
      <c r="AB846" s="3">
        <f>IF(E846="",0,NETWORKDAYS(E846,Controls!$B$20,Ref!$K$2:$K$42))</f>
        <v/>
      </c>
      <c r="AC846" s="3">
        <f>IF(OR(AF846=1,AND(AA846&gt;0,AB846&gt;=Controls!$B$23*AA846)),1,0)</f>
        <v/>
      </c>
      <c r="AD846" s="3">
        <f>IF(AND(E846&lt;&gt;"",E846&gt;=Controls!$B$21,E846&lt;=Controls!$B$22),1,0)</f>
        <v/>
      </c>
      <c r="AE846" s="3">
        <f>IF(IFERROR(VLOOKUP(D846,Controls!$A$36:$E$46,2,FALSE()),"No")="Yes",1,0)</f>
        <v/>
      </c>
      <c r="AF846" s="3">
        <f>IF(IFERROR(VLOOKUP(D846,Controls!$A$36:$E$46,3,FALSE()),"No")="Yes",1,0)</f>
        <v/>
      </c>
      <c r="AG846" s="3">
        <f>IF(IFERROR(VLOOKUP(D846,Controls!$A$36:$E$46,4,FALSE()),"No")="Yes",1,0)</f>
        <v/>
      </c>
      <c r="AH846" s="3">
        <f>IF(IFERROR(VLOOKUP(D846,Controls!$A$36:$E$46,5,FALSE()),"No")="Yes",1,0)</f>
        <v/>
      </c>
      <c r="AI846" s="3">
        <f>IF(ISNUMBER(MATCH(D846,Controls!$A$36:$A$46,0)),1,0)</f>
        <v/>
      </c>
      <c r="AJ846" s="28">
        <f>Q846-N846</f>
        <v/>
      </c>
      <c r="AK846" s="3">
        <f>IF(AE846=1,MAX(0,N846-Q846),0)</f>
        <v/>
      </c>
      <c r="AL846" s="3">
        <f>IF(OR(V846="",V846=0),0,N846/V846)</f>
        <v/>
      </c>
      <c r="AM846" s="3">
        <f>IF(OR(V846="",V846=0),0,1)</f>
        <v/>
      </c>
      <c r="AN846" s="3">
        <f>IF(OR(E846="",F846=""),0,NETWORKDAYS(E846,F846,Ref!$K$2:$K$42))</f>
        <v/>
      </c>
      <c r="AO846" s="3">
        <f>IF(L846="Renewal",1,0)</f>
        <v/>
      </c>
      <c r="AP846" s="3">
        <f>AC846*AD846</f>
        <v/>
      </c>
      <c r="AQ846" s="3">
        <f>IF(AND(G846&lt;&gt;"",'Historical Score'!$C$6&lt;&gt;""),IF(G846='Historical Score'!$C$6,1,0),0)</f>
        <v/>
      </c>
      <c r="AR846" s="3">
        <f>IF(AND(L846&lt;&gt;"",'Historical Score'!$C$5&lt;&gt;""),IF(L846='Historical Score'!$C$5,1,0),0)</f>
        <v/>
      </c>
      <c r="AS846" s="3">
        <f>IF(AND(Y846&lt;&gt;"",'Historical Score'!$C$7&lt;&gt;""),IF(Y846='Historical Score'!$C$7,1,0),0)</f>
        <v/>
      </c>
      <c r="AT846" s="3">
        <f>IF(AND(K846&lt;&gt;"",'Historical Score'!$C$8&lt;&gt;""),IF(K846='Historical Score'!$C$8,1,0),0)</f>
        <v/>
      </c>
      <c r="AU846" s="3" t="n"/>
      <c r="AV846" s="3" t="n"/>
      <c r="AW846" s="3" t="n"/>
      <c r="AX846" s="3" t="n"/>
      <c r="AY846" s="3" t="n"/>
      <c r="AZ846" s="3" t="n"/>
      <c r="BA846" s="182">
        <f>IF(AD846=1,(AR846*'Historical Score'!$K$29+1-'Historical Score'!$K$29)*(AT846*'Historical Score'!$L$29+1-'Historical Score'!$L$29)*(AS846*'Historical Score'!$M$29+1-'Historical Score'!$M$29)*(AQ846*'Historical Score'!$N$29+1-'Historical Score'!$N$29),0)</f>
        <v/>
      </c>
      <c r="BB846" s="3" t="n"/>
      <c r="BC846" s="3" t="n"/>
    </row>
    <row r="847" ht="15.75" customHeight="1" s="174">
      <c r="A847" s="3" t="inlineStr">
        <is>
          <t>5674183176</t>
        </is>
      </c>
      <c r="B847" s="3" t="inlineStr">
        <is>
          <t>OBrien Mechanical LLC</t>
        </is>
      </c>
      <c r="C847" s="3" t="inlineStr">
        <is>
          <t>OBrien Mechanical LLC</t>
        </is>
      </c>
      <c r="D847" s="3" t="inlineStr">
        <is>
          <t>Open</t>
        </is>
      </c>
      <c r="E847" s="23" t="n">
        <v>46149</v>
      </c>
      <c r="F847" s="23" t="n">
        <v>46248</v>
      </c>
      <c r="G847" s="3" t="n">
        <v>3</v>
      </c>
      <c r="H847" s="3" t="inlineStr">
        <is>
          <t>7538</t>
        </is>
      </c>
      <c r="I847" s="3" t="inlineStr">
        <is>
          <t>75</t>
        </is>
      </c>
      <c r="J847" s="3" t="inlineStr">
        <is>
          <t>IN</t>
        </is>
      </c>
      <c r="K847" s="3" t="inlineStr">
        <is>
          <t>penco holdings</t>
        </is>
      </c>
      <c r="L847" s="3" t="inlineStr">
        <is>
          <t>New Deal</t>
        </is>
      </c>
      <c r="M847" s="3" t="n">
        <v>1.45</v>
      </c>
      <c r="N847" s="28" t="n">
        <v>35000</v>
      </c>
      <c r="O847" s="28" t="n">
        <v>4200</v>
      </c>
      <c r="P847" s="28" t="n">
        <v>50750</v>
      </c>
      <c r="Q847" s="28" t="n">
        <v>22196.16</v>
      </c>
      <c r="R847" s="28" t="n">
        <v>28553.84</v>
      </c>
      <c r="S847" s="42" t="n">
        <v>0.43736275862069</v>
      </c>
      <c r="T847" s="3" t="n">
        <v>32</v>
      </c>
      <c r="U847" s="3" t="n">
        <v>0</v>
      </c>
      <c r="V847" s="3" t="n">
        <v>66135.60000000001</v>
      </c>
      <c r="W847" s="42" t="n">
        <v>0.0853</v>
      </c>
      <c r="X847" s="23" t="n">
        <v>40057</v>
      </c>
      <c r="Y847" s="3">
        <f>IF(I847="","No SIC",IFERROR(VLOOKUP(I847,Ref!$A$2:$B$65,2,FALSE()),"Unclassified"))</f>
        <v/>
      </c>
      <c r="Z847" s="3">
        <f>IF(T847="","",IF(T847&lt;12,"Daily","Weekly"))</f>
        <v/>
      </c>
      <c r="AA847" s="3">
        <f>IF(T847="",0,IF(T847&lt;12,T847*Controls!$B$13,T847*5))</f>
        <v/>
      </c>
      <c r="AB847" s="3">
        <f>IF(E847="",0,NETWORKDAYS(E847,Controls!$B$20,Ref!$K$2:$K$42))</f>
        <v/>
      </c>
      <c r="AC847" s="3">
        <f>IF(OR(AF847=1,AND(AA847&gt;0,AB847&gt;=Controls!$B$23*AA847)),1,0)</f>
        <v/>
      </c>
      <c r="AD847" s="3">
        <f>IF(AND(E847&lt;&gt;"",E847&gt;=Controls!$B$21,E847&lt;=Controls!$B$22),1,0)</f>
        <v/>
      </c>
      <c r="AE847" s="3">
        <f>IF(IFERROR(VLOOKUP(D847,Controls!$A$36:$E$46,2,FALSE()),"No")="Yes",1,0)</f>
        <v/>
      </c>
      <c r="AF847" s="3">
        <f>IF(IFERROR(VLOOKUP(D847,Controls!$A$36:$E$46,3,FALSE()),"No")="Yes",1,0)</f>
        <v/>
      </c>
      <c r="AG847" s="3">
        <f>IF(IFERROR(VLOOKUP(D847,Controls!$A$36:$E$46,4,FALSE()),"No")="Yes",1,0)</f>
        <v/>
      </c>
      <c r="AH847" s="3">
        <f>IF(IFERROR(VLOOKUP(D847,Controls!$A$36:$E$46,5,FALSE()),"No")="Yes",1,0)</f>
        <v/>
      </c>
      <c r="AI847" s="3">
        <f>IF(ISNUMBER(MATCH(D847,Controls!$A$36:$A$46,0)),1,0)</f>
        <v/>
      </c>
      <c r="AJ847" s="28">
        <f>Q847-N847</f>
        <v/>
      </c>
      <c r="AK847" s="3">
        <f>IF(AE847=1,MAX(0,N847-Q847),0)</f>
        <v/>
      </c>
      <c r="AL847" s="3">
        <f>IF(OR(V847="",V847=0),0,N847/V847)</f>
        <v/>
      </c>
      <c r="AM847" s="3">
        <f>IF(OR(V847="",V847=0),0,1)</f>
        <v/>
      </c>
      <c r="AN847" s="3">
        <f>IF(OR(E847="",F847=""),0,NETWORKDAYS(E847,F847,Ref!$K$2:$K$42))</f>
        <v/>
      </c>
      <c r="AO847" s="3">
        <f>IF(L847="Renewal",1,0)</f>
        <v/>
      </c>
      <c r="AP847" s="3">
        <f>AC847*AD847</f>
        <v/>
      </c>
      <c r="AQ847" s="3">
        <f>IF(AND(G847&lt;&gt;"",'Historical Score'!$C$6&lt;&gt;""),IF(G847='Historical Score'!$C$6,1,0),0)</f>
        <v/>
      </c>
      <c r="AR847" s="3">
        <f>IF(AND(L847&lt;&gt;"",'Historical Score'!$C$5&lt;&gt;""),IF(L847='Historical Score'!$C$5,1,0),0)</f>
        <v/>
      </c>
      <c r="AS847" s="3">
        <f>IF(AND(Y847&lt;&gt;"",'Historical Score'!$C$7&lt;&gt;""),IF(Y847='Historical Score'!$C$7,1,0),0)</f>
        <v/>
      </c>
      <c r="AT847" s="3">
        <f>IF(AND(K847&lt;&gt;"",'Historical Score'!$C$8&lt;&gt;""),IF(K847='Historical Score'!$C$8,1,0),0)</f>
        <v/>
      </c>
      <c r="AU847" s="3" t="n"/>
      <c r="AV847" s="3" t="n"/>
      <c r="AW847" s="3" t="n"/>
      <c r="AX847" s="3" t="n"/>
      <c r="AY847" s="3" t="n"/>
      <c r="AZ847" s="3" t="n"/>
      <c r="BA847" s="182">
        <f>IF(AD847=1,(AR847*'Historical Score'!$K$29+1-'Historical Score'!$K$29)*(AT847*'Historical Score'!$L$29+1-'Historical Score'!$L$29)*(AS847*'Historical Score'!$M$29+1-'Historical Score'!$M$29)*(AQ847*'Historical Score'!$N$29+1-'Historical Score'!$N$29),0)</f>
        <v/>
      </c>
      <c r="BB847" s="3" t="n"/>
      <c r="BC847" s="3" t="n"/>
    </row>
    <row r="848" ht="15.75" customHeight="1" s="174">
      <c r="A848" s="3" t="inlineStr">
        <is>
          <t>5674183201</t>
        </is>
      </c>
      <c r="B848" s="3" t="inlineStr">
        <is>
          <t>Jacbyte Systems and Software</t>
        </is>
      </c>
      <c r="C848" s="3" t="inlineStr">
        <is>
          <t>EPCG LLC</t>
        </is>
      </c>
      <c r="D848" s="3" t="inlineStr">
        <is>
          <t>Legal</t>
        </is>
      </c>
      <c r="E848" s="23" t="n">
        <v>46149</v>
      </c>
      <c r="F848" s="23" t="n">
        <v>46171</v>
      </c>
      <c r="G848" s="3" t="n">
        <v>3</v>
      </c>
      <c r="H848" s="3" t="inlineStr">
        <is>
          <t>7371</t>
        </is>
      </c>
      <c r="I848" s="3" t="inlineStr">
        <is>
          <t>73</t>
        </is>
      </c>
      <c r="J848" s="3" t="inlineStr">
        <is>
          <t>FL</t>
        </is>
      </c>
      <c r="K848" s="3" t="inlineStr">
        <is>
          <t>United Secured Capital 8</t>
        </is>
      </c>
      <c r="L848" s="3" t="inlineStr">
        <is>
          <t>New Deal</t>
        </is>
      </c>
      <c r="M848" s="3" t="n">
        <v>1.49</v>
      </c>
      <c r="N848" s="28" t="n">
        <v>20000</v>
      </c>
      <c r="O848" s="28" t="n">
        <v>0</v>
      </c>
      <c r="P848" s="28" t="n">
        <v>29800</v>
      </c>
      <c r="Q848" s="28" t="n">
        <v>0</v>
      </c>
      <c r="R848" s="28" t="n">
        <v>29800</v>
      </c>
      <c r="S848" s="42" t="n">
        <v>0</v>
      </c>
      <c r="T848" s="3" t="n">
        <v>24</v>
      </c>
      <c r="U848" s="3" t="n">
        <v>3</v>
      </c>
      <c r="V848" s="3" t="n">
        <v>155870.24</v>
      </c>
      <c r="W848" s="42" t="n">
        <v>0.0452</v>
      </c>
      <c r="X848" s="23" t="n">
        <v>45828</v>
      </c>
      <c r="Y848" s="3">
        <f>IF(I848="","No SIC",IFERROR(VLOOKUP(I848,Ref!$A$2:$B$65,2,FALSE()),"Unclassified"))</f>
        <v/>
      </c>
      <c r="Z848" s="3">
        <f>IF(T848="","",IF(T848&lt;12,"Daily","Weekly"))</f>
        <v/>
      </c>
      <c r="AA848" s="3">
        <f>IF(T848="",0,IF(T848&lt;12,T848*Controls!$B$13,T848*5))</f>
        <v/>
      </c>
      <c r="AB848" s="3">
        <f>IF(E848="",0,NETWORKDAYS(E848,Controls!$B$20,Ref!$K$2:$K$42))</f>
        <v/>
      </c>
      <c r="AC848" s="3">
        <f>IF(OR(AF848=1,AND(AA848&gt;0,AB848&gt;=Controls!$B$23*AA848)),1,0)</f>
        <v/>
      </c>
      <c r="AD848" s="3">
        <f>IF(AND(E848&lt;&gt;"",E848&gt;=Controls!$B$21,E848&lt;=Controls!$B$22),1,0)</f>
        <v/>
      </c>
      <c r="AE848" s="3">
        <f>IF(IFERROR(VLOOKUP(D848,Controls!$A$36:$E$46,2,FALSE()),"No")="Yes",1,0)</f>
        <v/>
      </c>
      <c r="AF848" s="3">
        <f>IF(IFERROR(VLOOKUP(D848,Controls!$A$36:$E$46,3,FALSE()),"No")="Yes",1,0)</f>
        <v/>
      </c>
      <c r="AG848" s="3">
        <f>IF(IFERROR(VLOOKUP(D848,Controls!$A$36:$E$46,4,FALSE()),"No")="Yes",1,0)</f>
        <v/>
      </c>
      <c r="AH848" s="3">
        <f>IF(IFERROR(VLOOKUP(D848,Controls!$A$36:$E$46,5,FALSE()),"No")="Yes",1,0)</f>
        <v/>
      </c>
      <c r="AI848" s="3">
        <f>IF(ISNUMBER(MATCH(D848,Controls!$A$36:$A$46,0)),1,0)</f>
        <v/>
      </c>
      <c r="AJ848" s="28">
        <f>Q848-N848</f>
        <v/>
      </c>
      <c r="AK848" s="3">
        <f>IF(AE848=1,MAX(0,N848-Q848),0)</f>
        <v/>
      </c>
      <c r="AL848" s="3">
        <f>IF(OR(V848="",V848=0),0,N848/V848)</f>
        <v/>
      </c>
      <c r="AM848" s="3">
        <f>IF(OR(V848="",V848=0),0,1)</f>
        <v/>
      </c>
      <c r="AN848" s="3">
        <f>IF(OR(E848="",F848=""),0,NETWORKDAYS(E848,F848,Ref!$K$2:$K$42))</f>
        <v/>
      </c>
      <c r="AO848" s="3">
        <f>IF(L848="Renewal",1,0)</f>
        <v/>
      </c>
      <c r="AP848" s="3">
        <f>AC848*AD848</f>
        <v/>
      </c>
      <c r="AQ848" s="3">
        <f>IF(AND(G848&lt;&gt;"",'Historical Score'!$C$6&lt;&gt;""),IF(G848='Historical Score'!$C$6,1,0),0)</f>
        <v/>
      </c>
      <c r="AR848" s="3">
        <f>IF(AND(L848&lt;&gt;"",'Historical Score'!$C$5&lt;&gt;""),IF(L848='Historical Score'!$C$5,1,0),0)</f>
        <v/>
      </c>
      <c r="AS848" s="3">
        <f>IF(AND(Y848&lt;&gt;"",'Historical Score'!$C$7&lt;&gt;""),IF(Y848='Historical Score'!$C$7,1,0),0)</f>
        <v/>
      </c>
      <c r="AT848" s="3">
        <f>IF(AND(K848&lt;&gt;"",'Historical Score'!$C$8&lt;&gt;""),IF(K848='Historical Score'!$C$8,1,0),0)</f>
        <v/>
      </c>
      <c r="AU848" s="3" t="n"/>
      <c r="AV848" s="3" t="n"/>
      <c r="AW848" s="3" t="n"/>
      <c r="AX848" s="3" t="n"/>
      <c r="AY848" s="3" t="n"/>
      <c r="AZ848" s="3" t="n"/>
      <c r="BA848" s="182">
        <f>IF(AD848=1,(AR848*'Historical Score'!$K$29+1-'Historical Score'!$K$29)*(AT848*'Historical Score'!$L$29+1-'Historical Score'!$L$29)*(AS848*'Historical Score'!$M$29+1-'Historical Score'!$M$29)*(AQ848*'Historical Score'!$N$29+1-'Historical Score'!$N$29),0)</f>
        <v/>
      </c>
      <c r="BB848" s="3" t="n"/>
      <c r="BC848" s="3" t="n"/>
    </row>
    <row r="849" ht="15.75" customHeight="1" s="174">
      <c r="A849" s="3" t="inlineStr">
        <is>
          <t>5674183239</t>
        </is>
      </c>
      <c r="B849" s="3" t="inlineStr">
        <is>
          <t>DOMINICANA BUSINESS</t>
        </is>
      </c>
      <c r="C849" s="3" t="inlineStr">
        <is>
          <t>Dominicana Business INC</t>
        </is>
      </c>
      <c r="D849" s="3" t="inlineStr">
        <is>
          <t>Closed</t>
        </is>
      </c>
      <c r="E849" s="23" t="n">
        <v>46149</v>
      </c>
      <c r="F849" s="23" t="n">
        <v>46245</v>
      </c>
      <c r="G849" s="3" t="n">
        <v>3</v>
      </c>
      <c r="H849" s="3" t="inlineStr">
        <is>
          <t>5499</t>
        </is>
      </c>
      <c r="I849" s="3" t="inlineStr">
        <is>
          <t>54</t>
        </is>
      </c>
      <c r="J849" s="3" t="inlineStr">
        <is>
          <t>VA</t>
        </is>
      </c>
      <c r="K849" s="3" t="inlineStr">
        <is>
          <t>Broadway Advance LLC</t>
        </is>
      </c>
      <c r="L849" s="3" t="inlineStr">
        <is>
          <t>New Deal</t>
        </is>
      </c>
      <c r="M849" s="3" t="n">
        <v>1.45</v>
      </c>
      <c r="N849" s="28" t="n">
        <v>45000</v>
      </c>
      <c r="O849" s="28" t="n">
        <v>5400</v>
      </c>
      <c r="P849" s="28" t="n">
        <v>65250</v>
      </c>
      <c r="Q849" s="28" t="n">
        <v>65250</v>
      </c>
      <c r="R849" s="28" t="n">
        <v>0</v>
      </c>
      <c r="S849" s="42" t="n">
        <v>1</v>
      </c>
      <c r="T849" s="3" t="n">
        <v>4.59</v>
      </c>
      <c r="U849" s="3" t="n">
        <v>0</v>
      </c>
      <c r="V849" s="3" t="n">
        <v>154391.41</v>
      </c>
      <c r="W849" s="42" t="n">
        <v>0.0733</v>
      </c>
      <c r="X849" s="23" t="n">
        <v>44912</v>
      </c>
      <c r="Y849" s="3">
        <f>IF(I849="","No SIC",IFERROR(VLOOKUP(I849,Ref!$A$2:$B$65,2,FALSE()),"Unclassified"))</f>
        <v/>
      </c>
      <c r="Z849" s="3">
        <f>IF(T849="","",IF(T849&lt;12,"Daily","Weekly"))</f>
        <v/>
      </c>
      <c r="AA849" s="3">
        <f>IF(T849="",0,IF(T849&lt;12,T849*Controls!$B$13,T849*5))</f>
        <v/>
      </c>
      <c r="AB849" s="3">
        <f>IF(E849="",0,NETWORKDAYS(E849,Controls!$B$20,Ref!$K$2:$K$42))</f>
        <v/>
      </c>
      <c r="AC849" s="3">
        <f>IF(OR(AF849=1,AND(AA849&gt;0,AB849&gt;=Controls!$B$23*AA849)),1,0)</f>
        <v/>
      </c>
      <c r="AD849" s="3">
        <f>IF(AND(E849&lt;&gt;"",E849&gt;=Controls!$B$21,E849&lt;=Controls!$B$22),1,0)</f>
        <v/>
      </c>
      <c r="AE849" s="3">
        <f>IF(IFERROR(VLOOKUP(D849,Controls!$A$36:$E$46,2,FALSE()),"No")="Yes",1,0)</f>
        <v/>
      </c>
      <c r="AF849" s="3">
        <f>IF(IFERROR(VLOOKUP(D849,Controls!$A$36:$E$46,3,FALSE()),"No")="Yes",1,0)</f>
        <v/>
      </c>
      <c r="AG849" s="3">
        <f>IF(IFERROR(VLOOKUP(D849,Controls!$A$36:$E$46,4,FALSE()),"No")="Yes",1,0)</f>
        <v/>
      </c>
      <c r="AH849" s="3">
        <f>IF(IFERROR(VLOOKUP(D849,Controls!$A$36:$E$46,5,FALSE()),"No")="Yes",1,0)</f>
        <v/>
      </c>
      <c r="AI849" s="3">
        <f>IF(ISNUMBER(MATCH(D849,Controls!$A$36:$A$46,0)),1,0)</f>
        <v/>
      </c>
      <c r="AJ849" s="28">
        <f>Q849-N849</f>
        <v/>
      </c>
      <c r="AK849" s="3">
        <f>IF(AE849=1,MAX(0,N849-Q849),0)</f>
        <v/>
      </c>
      <c r="AL849" s="3">
        <f>IF(OR(V849="",V849=0),0,N849/V849)</f>
        <v/>
      </c>
      <c r="AM849" s="3">
        <f>IF(OR(V849="",V849=0),0,1)</f>
        <v/>
      </c>
      <c r="AN849" s="3">
        <f>IF(OR(E849="",F849=""),0,NETWORKDAYS(E849,F849,Ref!$K$2:$K$42))</f>
        <v/>
      </c>
      <c r="AO849" s="3">
        <f>IF(L849="Renewal",1,0)</f>
        <v/>
      </c>
      <c r="AP849" s="3">
        <f>AC849*AD849</f>
        <v/>
      </c>
      <c r="AQ849" s="3">
        <f>IF(AND(G849&lt;&gt;"",'Historical Score'!$C$6&lt;&gt;""),IF(G849='Historical Score'!$C$6,1,0),0)</f>
        <v/>
      </c>
      <c r="AR849" s="3">
        <f>IF(AND(L849&lt;&gt;"",'Historical Score'!$C$5&lt;&gt;""),IF(L849='Historical Score'!$C$5,1,0),0)</f>
        <v/>
      </c>
      <c r="AS849" s="3">
        <f>IF(AND(Y849&lt;&gt;"",'Historical Score'!$C$7&lt;&gt;""),IF(Y849='Historical Score'!$C$7,1,0),0)</f>
        <v/>
      </c>
      <c r="AT849" s="3">
        <f>IF(AND(K849&lt;&gt;"",'Historical Score'!$C$8&lt;&gt;""),IF(K849='Historical Score'!$C$8,1,0),0)</f>
        <v/>
      </c>
      <c r="AU849" s="3" t="n"/>
      <c r="AV849" s="3" t="n"/>
      <c r="AW849" s="3" t="n"/>
      <c r="AX849" s="3" t="n"/>
      <c r="AY849" s="3" t="n"/>
      <c r="AZ849" s="3" t="n"/>
      <c r="BA849" s="182">
        <f>IF(AD849=1,(AR849*'Historical Score'!$K$29+1-'Historical Score'!$K$29)*(AT849*'Historical Score'!$L$29+1-'Historical Score'!$L$29)*(AS849*'Historical Score'!$M$29+1-'Historical Score'!$M$29)*(AQ849*'Historical Score'!$N$29+1-'Historical Score'!$N$29),0)</f>
        <v/>
      </c>
      <c r="BB849" s="3" t="n"/>
      <c r="BC849" s="3" t="n"/>
    </row>
    <row r="850" ht="15.75" customHeight="1" s="174">
      <c r="A850" s="3" t="inlineStr">
        <is>
          <t>5674183265</t>
        </is>
      </c>
      <c r="B850" s="3" t="inlineStr">
        <is>
          <t>SUPER CLEANER</t>
        </is>
      </c>
      <c r="C850" s="3" t="inlineStr">
        <is>
          <t>KIRAN INCORPORATED INC</t>
        </is>
      </c>
      <c r="D850" s="3" t="inlineStr">
        <is>
          <t>Open</t>
        </is>
      </c>
      <c r="E850" s="23" t="n">
        <v>46150</v>
      </c>
      <c r="F850" s="23" t="n">
        <v>46248</v>
      </c>
      <c r="G850" s="3" t="n">
        <v>3</v>
      </c>
      <c r="H850" s="3" t="inlineStr">
        <is>
          <t>5169</t>
        </is>
      </c>
      <c r="I850" s="3" t="inlineStr">
        <is>
          <t>51</t>
        </is>
      </c>
      <c r="J850" s="3" t="inlineStr">
        <is>
          <t>TX</t>
        </is>
      </c>
      <c r="K850" s="3" t="inlineStr">
        <is>
          <t>Triumph Cap Fund</t>
        </is>
      </c>
      <c r="L850" s="3" t="inlineStr">
        <is>
          <t>New Deal</t>
        </is>
      </c>
      <c r="M850" s="3" t="n">
        <v>1.32</v>
      </c>
      <c r="N850" s="28" t="n">
        <v>20000</v>
      </c>
      <c r="O850" s="28" t="n">
        <v>800</v>
      </c>
      <c r="P850" s="28" t="n">
        <v>26400</v>
      </c>
      <c r="Q850" s="28" t="n">
        <v>15402.1</v>
      </c>
      <c r="R850" s="28" t="n">
        <v>10997.9</v>
      </c>
      <c r="S850" s="42" t="n">
        <v>0.583412878787879</v>
      </c>
      <c r="T850" s="3" t="n">
        <v>24</v>
      </c>
      <c r="U850" s="3" t="n">
        <v>0</v>
      </c>
      <c r="V850" s="3" t="n">
        <v>45890</v>
      </c>
      <c r="W850" s="42" t="n">
        <v>0.141</v>
      </c>
      <c r="X850" s="23" t="n">
        <v>44565</v>
      </c>
      <c r="Y850" s="3">
        <f>IF(I850="","No SIC",IFERROR(VLOOKUP(I850,Ref!$A$2:$B$65,2,FALSE()),"Unclassified"))</f>
        <v/>
      </c>
      <c r="Z850" s="3">
        <f>IF(T850="","",IF(T850&lt;12,"Daily","Weekly"))</f>
        <v/>
      </c>
      <c r="AA850" s="3">
        <f>IF(T850="",0,IF(T850&lt;12,T850*Controls!$B$13,T850*5))</f>
        <v/>
      </c>
      <c r="AB850" s="3">
        <f>IF(E850="",0,NETWORKDAYS(E850,Controls!$B$20,Ref!$K$2:$K$42))</f>
        <v/>
      </c>
      <c r="AC850" s="3">
        <f>IF(OR(AF850=1,AND(AA850&gt;0,AB850&gt;=Controls!$B$23*AA850)),1,0)</f>
        <v/>
      </c>
      <c r="AD850" s="3">
        <f>IF(AND(E850&lt;&gt;"",E850&gt;=Controls!$B$21,E850&lt;=Controls!$B$22),1,0)</f>
        <v/>
      </c>
      <c r="AE850" s="3">
        <f>IF(IFERROR(VLOOKUP(D850,Controls!$A$36:$E$46,2,FALSE()),"No")="Yes",1,0)</f>
        <v/>
      </c>
      <c r="AF850" s="3">
        <f>IF(IFERROR(VLOOKUP(D850,Controls!$A$36:$E$46,3,FALSE()),"No")="Yes",1,0)</f>
        <v/>
      </c>
      <c r="AG850" s="3">
        <f>IF(IFERROR(VLOOKUP(D850,Controls!$A$36:$E$46,4,FALSE()),"No")="Yes",1,0)</f>
        <v/>
      </c>
      <c r="AH850" s="3">
        <f>IF(IFERROR(VLOOKUP(D850,Controls!$A$36:$E$46,5,FALSE()),"No")="Yes",1,0)</f>
        <v/>
      </c>
      <c r="AI850" s="3">
        <f>IF(ISNUMBER(MATCH(D850,Controls!$A$36:$A$46,0)),1,0)</f>
        <v/>
      </c>
      <c r="AJ850" s="28">
        <f>Q850-N850</f>
        <v/>
      </c>
      <c r="AK850" s="3">
        <f>IF(AE850=1,MAX(0,N850-Q850),0)</f>
        <v/>
      </c>
      <c r="AL850" s="3">
        <f>IF(OR(V850="",V850=0),0,N850/V850)</f>
        <v/>
      </c>
      <c r="AM850" s="3">
        <f>IF(OR(V850="",V850=0),0,1)</f>
        <v/>
      </c>
      <c r="AN850" s="3">
        <f>IF(OR(E850="",F850=""),0,NETWORKDAYS(E850,F850,Ref!$K$2:$K$42))</f>
        <v/>
      </c>
      <c r="AO850" s="3">
        <f>IF(L850="Renewal",1,0)</f>
        <v/>
      </c>
      <c r="AP850" s="3">
        <f>AC850*AD850</f>
        <v/>
      </c>
      <c r="AQ850" s="3">
        <f>IF(AND(G850&lt;&gt;"",'Historical Score'!$C$6&lt;&gt;""),IF(G850='Historical Score'!$C$6,1,0),0)</f>
        <v/>
      </c>
      <c r="AR850" s="3">
        <f>IF(AND(L850&lt;&gt;"",'Historical Score'!$C$5&lt;&gt;""),IF(L850='Historical Score'!$C$5,1,0),0)</f>
        <v/>
      </c>
      <c r="AS850" s="3">
        <f>IF(AND(Y850&lt;&gt;"",'Historical Score'!$C$7&lt;&gt;""),IF(Y850='Historical Score'!$C$7,1,0),0)</f>
        <v/>
      </c>
      <c r="AT850" s="3">
        <f>IF(AND(K850&lt;&gt;"",'Historical Score'!$C$8&lt;&gt;""),IF(K850='Historical Score'!$C$8,1,0),0)</f>
        <v/>
      </c>
      <c r="AU850" s="3" t="n"/>
      <c r="AV850" s="3" t="n"/>
      <c r="AW850" s="3" t="n"/>
      <c r="AX850" s="3" t="n"/>
      <c r="AY850" s="3" t="n"/>
      <c r="AZ850" s="3" t="n"/>
      <c r="BA850" s="182">
        <f>IF(AD850=1,(AR850*'Historical Score'!$K$29+1-'Historical Score'!$K$29)*(AT850*'Historical Score'!$L$29+1-'Historical Score'!$L$29)*(AS850*'Historical Score'!$M$29+1-'Historical Score'!$M$29)*(AQ850*'Historical Score'!$N$29+1-'Historical Score'!$N$29),0)</f>
        <v/>
      </c>
      <c r="BB850" s="3" t="n"/>
      <c r="BC850" s="3" t="n"/>
    </row>
    <row r="851" ht="15.75" customHeight="1" s="174">
      <c r="A851" s="3" t="inlineStr">
        <is>
          <t>5674183284</t>
        </is>
      </c>
      <c r="B851" s="3" t="inlineStr">
        <is>
          <t>DBA-HOLO TRAK</t>
        </is>
      </c>
      <c r="C851" s="3" t="inlineStr">
        <is>
          <t>ROCKY MOUNTAIN TRACKING, INC</t>
        </is>
      </c>
      <c r="D851" s="3" t="inlineStr">
        <is>
          <t>Open</t>
        </is>
      </c>
      <c r="E851" s="23" t="n">
        <v>46150</v>
      </c>
      <c r="F851" s="23" t="n">
        <v>46248</v>
      </c>
      <c r="G851" s="3" t="n">
        <v>3</v>
      </c>
      <c r="H851" s="3" t="inlineStr">
        <is>
          <t>5699</t>
        </is>
      </c>
      <c r="I851" s="3" t="inlineStr">
        <is>
          <t>56</t>
        </is>
      </c>
      <c r="J851" s="3" t="inlineStr">
        <is>
          <t>VA</t>
        </is>
      </c>
      <c r="K851" s="3" t="inlineStr">
        <is>
          <t>Westwood</t>
        </is>
      </c>
      <c r="L851" s="3" t="inlineStr">
        <is>
          <t>New Deal</t>
        </is>
      </c>
      <c r="M851" s="3" t="n">
        <v>1.49</v>
      </c>
      <c r="N851" s="28" t="n">
        <v>12000</v>
      </c>
      <c r="O851" s="28" t="n">
        <v>1680</v>
      </c>
      <c r="P851" s="28" t="n">
        <v>17880</v>
      </c>
      <c r="Q851" s="28" t="n">
        <v>10428.6</v>
      </c>
      <c r="R851" s="28" t="n">
        <v>7451.4</v>
      </c>
      <c r="S851" s="42" t="n">
        <v>0.583255033557047</v>
      </c>
      <c r="T851" s="3" t="n">
        <v>24</v>
      </c>
      <c r="U851" s="3" t="n">
        <v>0</v>
      </c>
      <c r="V851" s="3" t="n">
        <v>16416.58</v>
      </c>
      <c r="W851" s="42" t="n">
        <v>0.1815</v>
      </c>
      <c r="X851" s="23" t="n">
        <v>43101</v>
      </c>
      <c r="Y851" s="3">
        <f>IF(I851="","No SIC",IFERROR(VLOOKUP(I851,Ref!$A$2:$B$65,2,FALSE()),"Unclassified"))</f>
        <v/>
      </c>
      <c r="Z851" s="3">
        <f>IF(T851="","",IF(T851&lt;12,"Daily","Weekly"))</f>
        <v/>
      </c>
      <c r="AA851" s="3">
        <f>IF(T851="",0,IF(T851&lt;12,T851*Controls!$B$13,T851*5))</f>
        <v/>
      </c>
      <c r="AB851" s="3">
        <f>IF(E851="",0,NETWORKDAYS(E851,Controls!$B$20,Ref!$K$2:$K$42))</f>
        <v/>
      </c>
      <c r="AC851" s="3">
        <f>IF(OR(AF851=1,AND(AA851&gt;0,AB851&gt;=Controls!$B$23*AA851)),1,0)</f>
        <v/>
      </c>
      <c r="AD851" s="3">
        <f>IF(AND(E851&lt;&gt;"",E851&gt;=Controls!$B$21,E851&lt;=Controls!$B$22),1,0)</f>
        <v/>
      </c>
      <c r="AE851" s="3">
        <f>IF(IFERROR(VLOOKUP(D851,Controls!$A$36:$E$46,2,FALSE()),"No")="Yes",1,0)</f>
        <v/>
      </c>
      <c r="AF851" s="3">
        <f>IF(IFERROR(VLOOKUP(D851,Controls!$A$36:$E$46,3,FALSE()),"No")="Yes",1,0)</f>
        <v/>
      </c>
      <c r="AG851" s="3">
        <f>IF(IFERROR(VLOOKUP(D851,Controls!$A$36:$E$46,4,FALSE()),"No")="Yes",1,0)</f>
        <v/>
      </c>
      <c r="AH851" s="3">
        <f>IF(IFERROR(VLOOKUP(D851,Controls!$A$36:$E$46,5,FALSE()),"No")="Yes",1,0)</f>
        <v/>
      </c>
      <c r="AI851" s="3">
        <f>IF(ISNUMBER(MATCH(D851,Controls!$A$36:$A$46,0)),1,0)</f>
        <v/>
      </c>
      <c r="AJ851" s="28">
        <f>Q851-N851</f>
        <v/>
      </c>
      <c r="AK851" s="3">
        <f>IF(AE851=1,MAX(0,N851-Q851),0)</f>
        <v/>
      </c>
      <c r="AL851" s="3">
        <f>IF(OR(V851="",V851=0),0,N851/V851)</f>
        <v/>
      </c>
      <c r="AM851" s="3">
        <f>IF(OR(V851="",V851=0),0,1)</f>
        <v/>
      </c>
      <c r="AN851" s="3">
        <f>IF(OR(E851="",F851=""),0,NETWORKDAYS(E851,F851,Ref!$K$2:$K$42))</f>
        <v/>
      </c>
      <c r="AO851" s="3">
        <f>IF(L851="Renewal",1,0)</f>
        <v/>
      </c>
      <c r="AP851" s="3">
        <f>AC851*AD851</f>
        <v/>
      </c>
      <c r="AQ851" s="3">
        <f>IF(AND(G851&lt;&gt;"",'Historical Score'!$C$6&lt;&gt;""),IF(G851='Historical Score'!$C$6,1,0),0)</f>
        <v/>
      </c>
      <c r="AR851" s="3">
        <f>IF(AND(L851&lt;&gt;"",'Historical Score'!$C$5&lt;&gt;""),IF(L851='Historical Score'!$C$5,1,0),0)</f>
        <v/>
      </c>
      <c r="AS851" s="3">
        <f>IF(AND(Y851&lt;&gt;"",'Historical Score'!$C$7&lt;&gt;""),IF(Y851='Historical Score'!$C$7,1,0),0)</f>
        <v/>
      </c>
      <c r="AT851" s="3">
        <f>IF(AND(K851&lt;&gt;"",'Historical Score'!$C$8&lt;&gt;""),IF(K851='Historical Score'!$C$8,1,0),0)</f>
        <v/>
      </c>
      <c r="AU851" s="3" t="n"/>
      <c r="AV851" s="3" t="n"/>
      <c r="AW851" s="3" t="n"/>
      <c r="AX851" s="3" t="n"/>
      <c r="AY851" s="3" t="n"/>
      <c r="AZ851" s="3" t="n"/>
      <c r="BA851" s="182">
        <f>IF(AD851=1,(AR851*'Historical Score'!$K$29+1-'Historical Score'!$K$29)*(AT851*'Historical Score'!$L$29+1-'Historical Score'!$L$29)*(AS851*'Historical Score'!$M$29+1-'Historical Score'!$M$29)*(AQ851*'Historical Score'!$N$29+1-'Historical Score'!$N$29),0)</f>
        <v/>
      </c>
      <c r="BB851" s="3" t="n"/>
      <c r="BC851" s="3" t="n"/>
    </row>
    <row r="852" ht="15.75" customHeight="1" s="174">
      <c r="A852" s="3" t="inlineStr">
        <is>
          <t>5674183295</t>
        </is>
      </c>
      <c r="B852" s="3" t="inlineStr">
        <is>
          <t>URSUS VICTOR, LLC</t>
        </is>
      </c>
      <c r="C852" s="3" t="inlineStr">
        <is>
          <t>URSUS VICTOR, LLC</t>
        </is>
      </c>
      <c r="D852" s="3" t="inlineStr">
        <is>
          <t>In House Collection</t>
        </is>
      </c>
      <c r="E852" s="23" t="n">
        <v>46150</v>
      </c>
      <c r="F852" s="23" t="n">
        <v>46253</v>
      </c>
      <c r="G852" s="3" t="n">
        <v>3</v>
      </c>
      <c r="H852" s="3" t="inlineStr">
        <is>
          <t>3629</t>
        </is>
      </c>
      <c r="I852" s="3" t="inlineStr">
        <is>
          <t>36</t>
        </is>
      </c>
      <c r="J852" s="3" t="inlineStr">
        <is>
          <t>CA</t>
        </is>
      </c>
      <c r="K852" s="3" t="inlineStr">
        <is>
          <t>United Secured Capital 8</t>
        </is>
      </c>
      <c r="L852" s="3" t="inlineStr">
        <is>
          <t>New Deal</t>
        </is>
      </c>
      <c r="M852" s="3" t="n">
        <v>1.39</v>
      </c>
      <c r="N852" s="28" t="n">
        <v>25000</v>
      </c>
      <c r="O852" s="28" t="n">
        <v>2250</v>
      </c>
      <c r="P852" s="28" t="n">
        <v>34750</v>
      </c>
      <c r="Q852" s="28" t="n">
        <v>7465.99</v>
      </c>
      <c r="R852" s="28" t="n">
        <v>27284.01</v>
      </c>
      <c r="S852" s="42" t="n">
        <v>0.214848633093525</v>
      </c>
      <c r="T852" s="3" t="n">
        <v>18</v>
      </c>
      <c r="U852" s="3" t="n">
        <v>9</v>
      </c>
      <c r="V852" s="3" t="n">
        <v>150576.12</v>
      </c>
      <c r="W852" s="42" t="n">
        <v>0.0513</v>
      </c>
      <c r="X852" s="23" t="n">
        <v>44484</v>
      </c>
      <c r="Y852" s="3">
        <f>IF(I852="","No SIC",IFERROR(VLOOKUP(I852,Ref!$A$2:$B$65,2,FALSE()),"Unclassified"))</f>
        <v/>
      </c>
      <c r="Z852" s="3">
        <f>IF(T852="","",IF(T852&lt;12,"Daily","Weekly"))</f>
        <v/>
      </c>
      <c r="AA852" s="3">
        <f>IF(T852="",0,IF(T852&lt;12,T852*Controls!$B$13,T852*5))</f>
        <v/>
      </c>
      <c r="AB852" s="3">
        <f>IF(E852="",0,NETWORKDAYS(E852,Controls!$B$20,Ref!$K$2:$K$42))</f>
        <v/>
      </c>
      <c r="AC852" s="3">
        <f>IF(OR(AF852=1,AND(AA852&gt;0,AB852&gt;=Controls!$B$23*AA852)),1,0)</f>
        <v/>
      </c>
      <c r="AD852" s="3">
        <f>IF(AND(E852&lt;&gt;"",E852&gt;=Controls!$B$21,E852&lt;=Controls!$B$22),1,0)</f>
        <v/>
      </c>
      <c r="AE852" s="3">
        <f>IF(IFERROR(VLOOKUP(D852,Controls!$A$36:$E$46,2,FALSE()),"No")="Yes",1,0)</f>
        <v/>
      </c>
      <c r="AF852" s="3">
        <f>IF(IFERROR(VLOOKUP(D852,Controls!$A$36:$E$46,3,FALSE()),"No")="Yes",1,0)</f>
        <v/>
      </c>
      <c r="AG852" s="3">
        <f>IF(IFERROR(VLOOKUP(D852,Controls!$A$36:$E$46,4,FALSE()),"No")="Yes",1,0)</f>
        <v/>
      </c>
      <c r="AH852" s="3">
        <f>IF(IFERROR(VLOOKUP(D852,Controls!$A$36:$E$46,5,FALSE()),"No")="Yes",1,0)</f>
        <v/>
      </c>
      <c r="AI852" s="3">
        <f>IF(ISNUMBER(MATCH(D852,Controls!$A$36:$A$46,0)),1,0)</f>
        <v/>
      </c>
      <c r="AJ852" s="28">
        <f>Q852-N852</f>
        <v/>
      </c>
      <c r="AK852" s="3">
        <f>IF(AE852=1,MAX(0,N852-Q852),0)</f>
        <v/>
      </c>
      <c r="AL852" s="3">
        <f>IF(OR(V852="",V852=0),0,N852/V852)</f>
        <v/>
      </c>
      <c r="AM852" s="3">
        <f>IF(OR(V852="",V852=0),0,1)</f>
        <v/>
      </c>
      <c r="AN852" s="3">
        <f>IF(OR(E852="",F852=""),0,NETWORKDAYS(E852,F852,Ref!$K$2:$K$42))</f>
        <v/>
      </c>
      <c r="AO852" s="3">
        <f>IF(L852="Renewal",1,0)</f>
        <v/>
      </c>
      <c r="AP852" s="3">
        <f>AC852*AD852</f>
        <v/>
      </c>
      <c r="AQ852" s="3">
        <f>IF(AND(G852&lt;&gt;"",'Historical Score'!$C$6&lt;&gt;""),IF(G852='Historical Score'!$C$6,1,0),0)</f>
        <v/>
      </c>
      <c r="AR852" s="3">
        <f>IF(AND(L852&lt;&gt;"",'Historical Score'!$C$5&lt;&gt;""),IF(L852='Historical Score'!$C$5,1,0),0)</f>
        <v/>
      </c>
      <c r="AS852" s="3">
        <f>IF(AND(Y852&lt;&gt;"",'Historical Score'!$C$7&lt;&gt;""),IF(Y852='Historical Score'!$C$7,1,0),0)</f>
        <v/>
      </c>
      <c r="AT852" s="3">
        <f>IF(AND(K852&lt;&gt;"",'Historical Score'!$C$8&lt;&gt;""),IF(K852='Historical Score'!$C$8,1,0),0)</f>
        <v/>
      </c>
      <c r="AU852" s="3" t="n"/>
      <c r="AV852" s="3" t="n"/>
      <c r="AW852" s="3" t="n"/>
      <c r="AX852" s="3" t="n"/>
      <c r="AY852" s="3" t="n"/>
      <c r="AZ852" s="3" t="n"/>
      <c r="BA852" s="182">
        <f>IF(AD852=1,(AR852*'Historical Score'!$K$29+1-'Historical Score'!$K$29)*(AT852*'Historical Score'!$L$29+1-'Historical Score'!$L$29)*(AS852*'Historical Score'!$M$29+1-'Historical Score'!$M$29)*(AQ852*'Historical Score'!$N$29+1-'Historical Score'!$N$29),0)</f>
        <v/>
      </c>
      <c r="BB852" s="3" t="n"/>
      <c r="BC852" s="3" t="n"/>
    </row>
    <row r="853" ht="15.75" customHeight="1" s="174">
      <c r="A853" s="3" t="inlineStr">
        <is>
          <t>5674183308</t>
        </is>
      </c>
      <c r="B853" s="3" t="inlineStr">
        <is>
          <t>Craft Roots Vegan Bar and Grill</t>
        </is>
      </c>
      <c r="C853" s="3" t="inlineStr">
        <is>
          <t>Gaich Group LLC</t>
        </is>
      </c>
      <c r="D853" s="3" t="inlineStr">
        <is>
          <t>Open</t>
        </is>
      </c>
      <c r="E853" s="23" t="n">
        <v>46150</v>
      </c>
      <c r="F853" s="23" t="n">
        <v>46253</v>
      </c>
      <c r="G853" s="3" t="n">
        <v>3</v>
      </c>
      <c r="H853" s="3" t="inlineStr">
        <is>
          <t>5812</t>
        </is>
      </c>
      <c r="I853" s="3" t="inlineStr">
        <is>
          <t>58</t>
        </is>
      </c>
      <c r="J853" s="3" t="inlineStr">
        <is>
          <t>CA</t>
        </is>
      </c>
      <c r="K853" s="3" t="inlineStr">
        <is>
          <t>National Business Capital</t>
        </is>
      </c>
      <c r="L853" s="3" t="inlineStr">
        <is>
          <t>New Deal</t>
        </is>
      </c>
      <c r="M853" s="3" t="n">
        <v>1.39</v>
      </c>
      <c r="N853" s="28" t="n">
        <v>25000</v>
      </c>
      <c r="O853" s="28" t="n">
        <v>2250</v>
      </c>
      <c r="P853" s="28" t="n">
        <v>34750</v>
      </c>
      <c r="Q853" s="28" t="n">
        <v>20560.18</v>
      </c>
      <c r="R853" s="28" t="n">
        <v>14189.82</v>
      </c>
      <c r="S853" s="42" t="n">
        <v>0.591659856115108</v>
      </c>
      <c r="T853" s="3" t="n">
        <v>3.934</v>
      </c>
      <c r="U853" s="3" t="n">
        <v>0</v>
      </c>
      <c r="V853" s="3" t="n">
        <v>164443.24</v>
      </c>
      <c r="W853" s="42" t="n">
        <v>0.0461</v>
      </c>
      <c r="X853" s="23" t="n">
        <v>43210</v>
      </c>
      <c r="Y853" s="3">
        <f>IF(I853="","No SIC",IFERROR(VLOOKUP(I853,Ref!$A$2:$B$65,2,FALSE()),"Unclassified"))</f>
        <v/>
      </c>
      <c r="Z853" s="3">
        <f>IF(T853="","",IF(T853&lt;12,"Daily","Weekly"))</f>
        <v/>
      </c>
      <c r="AA853" s="3">
        <f>IF(T853="",0,IF(T853&lt;12,T853*Controls!$B$13,T853*5))</f>
        <v/>
      </c>
      <c r="AB853" s="3">
        <f>IF(E853="",0,NETWORKDAYS(E853,Controls!$B$20,Ref!$K$2:$K$42))</f>
        <v/>
      </c>
      <c r="AC853" s="3">
        <f>IF(OR(AF853=1,AND(AA853&gt;0,AB853&gt;=Controls!$B$23*AA853)),1,0)</f>
        <v/>
      </c>
      <c r="AD853" s="3">
        <f>IF(AND(E853&lt;&gt;"",E853&gt;=Controls!$B$21,E853&lt;=Controls!$B$22),1,0)</f>
        <v/>
      </c>
      <c r="AE853" s="3">
        <f>IF(IFERROR(VLOOKUP(D853,Controls!$A$36:$E$46,2,FALSE()),"No")="Yes",1,0)</f>
        <v/>
      </c>
      <c r="AF853" s="3">
        <f>IF(IFERROR(VLOOKUP(D853,Controls!$A$36:$E$46,3,FALSE()),"No")="Yes",1,0)</f>
        <v/>
      </c>
      <c r="AG853" s="3">
        <f>IF(IFERROR(VLOOKUP(D853,Controls!$A$36:$E$46,4,FALSE()),"No")="Yes",1,0)</f>
        <v/>
      </c>
      <c r="AH853" s="3">
        <f>IF(IFERROR(VLOOKUP(D853,Controls!$A$36:$E$46,5,FALSE()),"No")="Yes",1,0)</f>
        <v/>
      </c>
      <c r="AI853" s="3">
        <f>IF(ISNUMBER(MATCH(D853,Controls!$A$36:$A$46,0)),1,0)</f>
        <v/>
      </c>
      <c r="AJ853" s="28">
        <f>Q853-N853</f>
        <v/>
      </c>
      <c r="AK853" s="3">
        <f>IF(AE853=1,MAX(0,N853-Q853),0)</f>
        <v/>
      </c>
      <c r="AL853" s="3">
        <f>IF(OR(V853="",V853=0),0,N853/V853)</f>
        <v/>
      </c>
      <c r="AM853" s="3">
        <f>IF(OR(V853="",V853=0),0,1)</f>
        <v/>
      </c>
      <c r="AN853" s="3">
        <f>IF(OR(E853="",F853=""),0,NETWORKDAYS(E853,F853,Ref!$K$2:$K$42))</f>
        <v/>
      </c>
      <c r="AO853" s="3">
        <f>IF(L853="Renewal",1,0)</f>
        <v/>
      </c>
      <c r="AP853" s="3">
        <f>AC853*AD853</f>
        <v/>
      </c>
      <c r="AQ853" s="3">
        <f>IF(AND(G853&lt;&gt;"",'Historical Score'!$C$6&lt;&gt;""),IF(G853='Historical Score'!$C$6,1,0),0)</f>
        <v/>
      </c>
      <c r="AR853" s="3">
        <f>IF(AND(L853&lt;&gt;"",'Historical Score'!$C$5&lt;&gt;""),IF(L853='Historical Score'!$C$5,1,0),0)</f>
        <v/>
      </c>
      <c r="AS853" s="3">
        <f>IF(AND(Y853&lt;&gt;"",'Historical Score'!$C$7&lt;&gt;""),IF(Y853='Historical Score'!$C$7,1,0),0)</f>
        <v/>
      </c>
      <c r="AT853" s="3">
        <f>IF(AND(K853&lt;&gt;"",'Historical Score'!$C$8&lt;&gt;""),IF(K853='Historical Score'!$C$8,1,0),0)</f>
        <v/>
      </c>
      <c r="AU853" s="3" t="n"/>
      <c r="AV853" s="3" t="n"/>
      <c r="AW853" s="3" t="n"/>
      <c r="AX853" s="3" t="n"/>
      <c r="AY853" s="3" t="n"/>
      <c r="AZ853" s="3" t="n"/>
      <c r="BA853" s="182">
        <f>IF(AD853=1,(AR853*'Historical Score'!$K$29+1-'Historical Score'!$K$29)*(AT853*'Historical Score'!$L$29+1-'Historical Score'!$L$29)*(AS853*'Historical Score'!$M$29+1-'Historical Score'!$M$29)*(AQ853*'Historical Score'!$N$29+1-'Historical Score'!$N$29),0)</f>
        <v/>
      </c>
      <c r="BB853" s="3" t="n"/>
      <c r="BC853" s="3" t="n"/>
    </row>
    <row r="854" ht="15.75" customHeight="1" s="174">
      <c r="A854" s="3" t="inlineStr">
        <is>
          <t>5674183319</t>
        </is>
      </c>
      <c r="B854" s="3" t="inlineStr">
        <is>
          <t>Youth Oasis</t>
        </is>
      </c>
      <c r="C854" s="3" t="inlineStr">
        <is>
          <t>Youth Oasis</t>
        </is>
      </c>
      <c r="D854" s="3" t="inlineStr">
        <is>
          <t>Open</t>
        </is>
      </c>
      <c r="E854" s="23" t="n">
        <v>46150</v>
      </c>
      <c r="F854" s="23" t="n">
        <v>46248</v>
      </c>
      <c r="G854" s="3" t="n">
        <v>3</v>
      </c>
      <c r="H854" s="3" t="inlineStr">
        <is>
          <t>7231</t>
        </is>
      </c>
      <c r="I854" s="3" t="inlineStr">
        <is>
          <t>72</t>
        </is>
      </c>
      <c r="J854" s="3" t="inlineStr">
        <is>
          <t>LA</t>
        </is>
      </c>
      <c r="K854" s="3" t="inlineStr">
        <is>
          <t>Credibly</t>
        </is>
      </c>
      <c r="L854" s="3" t="inlineStr">
        <is>
          <t>New Deal</t>
        </is>
      </c>
      <c r="M854" s="3" t="n">
        <v>1.47</v>
      </c>
      <c r="N854" s="28" t="n">
        <v>45000</v>
      </c>
      <c r="O854" s="28" t="n">
        <v>5850</v>
      </c>
      <c r="P854" s="28" t="n">
        <v>66150</v>
      </c>
      <c r="Q854" s="28" t="n">
        <v>28940.8</v>
      </c>
      <c r="R854" s="28" t="n">
        <v>37209.2</v>
      </c>
      <c r="S854" s="42" t="n">
        <v>0.437502645502646</v>
      </c>
      <c r="T854" s="3" t="n">
        <v>32</v>
      </c>
      <c r="U854" s="3" t="n">
        <v>0</v>
      </c>
      <c r="V854" s="3" t="n">
        <v>102590.51</v>
      </c>
      <c r="W854" s="42" t="n">
        <v>0.0806</v>
      </c>
      <c r="X854" s="23" t="n">
        <v>36130</v>
      </c>
      <c r="Y854" s="3">
        <f>IF(I854="","No SIC",IFERROR(VLOOKUP(I854,Ref!$A$2:$B$65,2,FALSE()),"Unclassified"))</f>
        <v/>
      </c>
      <c r="Z854" s="3">
        <f>IF(T854="","",IF(T854&lt;12,"Daily","Weekly"))</f>
        <v/>
      </c>
      <c r="AA854" s="3">
        <f>IF(T854="",0,IF(T854&lt;12,T854*Controls!$B$13,T854*5))</f>
        <v/>
      </c>
      <c r="AB854" s="3">
        <f>IF(E854="",0,NETWORKDAYS(E854,Controls!$B$20,Ref!$K$2:$K$42))</f>
        <v/>
      </c>
      <c r="AC854" s="3">
        <f>IF(OR(AF854=1,AND(AA854&gt;0,AB854&gt;=Controls!$B$23*AA854)),1,0)</f>
        <v/>
      </c>
      <c r="AD854" s="3">
        <f>IF(AND(E854&lt;&gt;"",E854&gt;=Controls!$B$21,E854&lt;=Controls!$B$22),1,0)</f>
        <v/>
      </c>
      <c r="AE854" s="3">
        <f>IF(IFERROR(VLOOKUP(D854,Controls!$A$36:$E$46,2,FALSE()),"No")="Yes",1,0)</f>
        <v/>
      </c>
      <c r="AF854" s="3">
        <f>IF(IFERROR(VLOOKUP(D854,Controls!$A$36:$E$46,3,FALSE()),"No")="Yes",1,0)</f>
        <v/>
      </c>
      <c r="AG854" s="3">
        <f>IF(IFERROR(VLOOKUP(D854,Controls!$A$36:$E$46,4,FALSE()),"No")="Yes",1,0)</f>
        <v/>
      </c>
      <c r="AH854" s="3">
        <f>IF(IFERROR(VLOOKUP(D854,Controls!$A$36:$E$46,5,FALSE()),"No")="Yes",1,0)</f>
        <v/>
      </c>
      <c r="AI854" s="3">
        <f>IF(ISNUMBER(MATCH(D854,Controls!$A$36:$A$46,0)),1,0)</f>
        <v/>
      </c>
      <c r="AJ854" s="28">
        <f>Q854-N854</f>
        <v/>
      </c>
      <c r="AK854" s="3">
        <f>IF(AE854=1,MAX(0,N854-Q854),0)</f>
        <v/>
      </c>
      <c r="AL854" s="3">
        <f>IF(OR(V854="",V854=0),0,N854/V854)</f>
        <v/>
      </c>
      <c r="AM854" s="3">
        <f>IF(OR(V854="",V854=0),0,1)</f>
        <v/>
      </c>
      <c r="AN854" s="3">
        <f>IF(OR(E854="",F854=""),0,NETWORKDAYS(E854,F854,Ref!$K$2:$K$42))</f>
        <v/>
      </c>
      <c r="AO854" s="3">
        <f>IF(L854="Renewal",1,0)</f>
        <v/>
      </c>
      <c r="AP854" s="3">
        <f>AC854*AD854</f>
        <v/>
      </c>
      <c r="AQ854" s="3">
        <f>IF(AND(G854&lt;&gt;"",'Historical Score'!$C$6&lt;&gt;""),IF(G854='Historical Score'!$C$6,1,0),0)</f>
        <v/>
      </c>
      <c r="AR854" s="3">
        <f>IF(AND(L854&lt;&gt;"",'Historical Score'!$C$5&lt;&gt;""),IF(L854='Historical Score'!$C$5,1,0),0)</f>
        <v/>
      </c>
      <c r="AS854" s="3">
        <f>IF(AND(Y854&lt;&gt;"",'Historical Score'!$C$7&lt;&gt;""),IF(Y854='Historical Score'!$C$7,1,0),0)</f>
        <v/>
      </c>
      <c r="AT854" s="3">
        <f>IF(AND(K854&lt;&gt;"",'Historical Score'!$C$8&lt;&gt;""),IF(K854='Historical Score'!$C$8,1,0),0)</f>
        <v/>
      </c>
      <c r="AU854" s="3" t="n"/>
      <c r="AV854" s="3" t="n"/>
      <c r="AW854" s="3" t="n"/>
      <c r="AX854" s="3" t="n"/>
      <c r="AY854" s="3" t="n"/>
      <c r="AZ854" s="3" t="n"/>
      <c r="BA854" s="182">
        <f>IF(AD854=1,(AR854*'Historical Score'!$K$29+1-'Historical Score'!$K$29)*(AT854*'Historical Score'!$L$29+1-'Historical Score'!$L$29)*(AS854*'Historical Score'!$M$29+1-'Historical Score'!$M$29)*(AQ854*'Historical Score'!$N$29+1-'Historical Score'!$N$29),0)</f>
        <v/>
      </c>
      <c r="BB854" s="3" t="n"/>
      <c r="BC854" s="3" t="n"/>
    </row>
    <row r="855" ht="15.75" customHeight="1" s="174">
      <c r="A855" s="3" t="inlineStr">
        <is>
          <t>5674183324</t>
        </is>
      </c>
      <c r="B855" s="3" t="inlineStr">
        <is>
          <t>WEIPLLC</t>
        </is>
      </c>
      <c r="C855" s="3" t="inlineStr">
        <is>
          <t>WEIPLLC</t>
        </is>
      </c>
      <c r="D855" s="3" t="inlineStr">
        <is>
          <t>Legal</t>
        </is>
      </c>
      <c r="E855" s="23" t="n">
        <v>46150</v>
      </c>
      <c r="F855" s="23" t="n">
        <v>46171</v>
      </c>
      <c r="G855" s="3" t="n">
        <v>3</v>
      </c>
      <c r="H855" s="3" t="inlineStr">
        <is>
          <t>5999</t>
        </is>
      </c>
      <c r="I855" s="3" t="inlineStr">
        <is>
          <t>59</t>
        </is>
      </c>
      <c r="J855" s="3" t="inlineStr">
        <is>
          <t>TN</t>
        </is>
      </c>
      <c r="K855" s="3" t="inlineStr">
        <is>
          <t>United Secured Capital 8</t>
        </is>
      </c>
      <c r="L855" s="3" t="inlineStr">
        <is>
          <t>New Deal</t>
        </is>
      </c>
      <c r="M855" s="3" t="n">
        <v>1.49</v>
      </c>
      <c r="N855" s="28" t="n">
        <v>20000</v>
      </c>
      <c r="O855" s="28" t="n">
        <v>2800</v>
      </c>
      <c r="P855" s="28" t="n">
        <v>29800</v>
      </c>
      <c r="Q855" s="28" t="n">
        <v>2481.88</v>
      </c>
      <c r="R855" s="28" t="n">
        <v>27318.12</v>
      </c>
      <c r="S855" s="42" t="n">
        <v>0.0832845637583893</v>
      </c>
      <c r="T855" s="3" t="n">
        <v>24</v>
      </c>
      <c r="U855" s="3" t="n">
        <v>1</v>
      </c>
      <c r="V855" s="3" t="n">
        <v>100684.96</v>
      </c>
      <c r="W855" s="42" t="n">
        <v>0.0493</v>
      </c>
      <c r="X855" s="23" t="n">
        <v>44094</v>
      </c>
      <c r="Y855" s="3">
        <f>IF(I855="","No SIC",IFERROR(VLOOKUP(I855,Ref!$A$2:$B$65,2,FALSE()),"Unclassified"))</f>
        <v/>
      </c>
      <c r="Z855" s="3">
        <f>IF(T855="","",IF(T855&lt;12,"Daily","Weekly"))</f>
        <v/>
      </c>
      <c r="AA855" s="3">
        <f>IF(T855="",0,IF(T855&lt;12,T855*Controls!$B$13,T855*5))</f>
        <v/>
      </c>
      <c r="AB855" s="3">
        <f>IF(E855="",0,NETWORKDAYS(E855,Controls!$B$20,Ref!$K$2:$K$42))</f>
        <v/>
      </c>
      <c r="AC855" s="3">
        <f>IF(OR(AF855=1,AND(AA855&gt;0,AB855&gt;=Controls!$B$23*AA855)),1,0)</f>
        <v/>
      </c>
      <c r="AD855" s="3">
        <f>IF(AND(E855&lt;&gt;"",E855&gt;=Controls!$B$21,E855&lt;=Controls!$B$22),1,0)</f>
        <v/>
      </c>
      <c r="AE855" s="3">
        <f>IF(IFERROR(VLOOKUP(D855,Controls!$A$36:$E$46,2,FALSE()),"No")="Yes",1,0)</f>
        <v/>
      </c>
      <c r="AF855" s="3">
        <f>IF(IFERROR(VLOOKUP(D855,Controls!$A$36:$E$46,3,FALSE()),"No")="Yes",1,0)</f>
        <v/>
      </c>
      <c r="AG855" s="3">
        <f>IF(IFERROR(VLOOKUP(D855,Controls!$A$36:$E$46,4,FALSE()),"No")="Yes",1,0)</f>
        <v/>
      </c>
      <c r="AH855" s="3">
        <f>IF(IFERROR(VLOOKUP(D855,Controls!$A$36:$E$46,5,FALSE()),"No")="Yes",1,0)</f>
        <v/>
      </c>
      <c r="AI855" s="3">
        <f>IF(ISNUMBER(MATCH(D855,Controls!$A$36:$A$46,0)),1,0)</f>
        <v/>
      </c>
      <c r="AJ855" s="28">
        <f>Q855-N855</f>
        <v/>
      </c>
      <c r="AK855" s="3">
        <f>IF(AE855=1,MAX(0,N855-Q855),0)</f>
        <v/>
      </c>
      <c r="AL855" s="3">
        <f>IF(OR(V855="",V855=0),0,N855/V855)</f>
        <v/>
      </c>
      <c r="AM855" s="3">
        <f>IF(OR(V855="",V855=0),0,1)</f>
        <v/>
      </c>
      <c r="AN855" s="3">
        <f>IF(OR(E855="",F855=""),0,NETWORKDAYS(E855,F855,Ref!$K$2:$K$42))</f>
        <v/>
      </c>
      <c r="AO855" s="3">
        <f>IF(L855="Renewal",1,0)</f>
        <v/>
      </c>
      <c r="AP855" s="3">
        <f>AC855*AD855</f>
        <v/>
      </c>
      <c r="AQ855" s="3">
        <f>IF(AND(G855&lt;&gt;"",'Historical Score'!$C$6&lt;&gt;""),IF(G855='Historical Score'!$C$6,1,0),0)</f>
        <v/>
      </c>
      <c r="AR855" s="3">
        <f>IF(AND(L855&lt;&gt;"",'Historical Score'!$C$5&lt;&gt;""),IF(L855='Historical Score'!$C$5,1,0),0)</f>
        <v/>
      </c>
      <c r="AS855" s="3">
        <f>IF(AND(Y855&lt;&gt;"",'Historical Score'!$C$7&lt;&gt;""),IF(Y855='Historical Score'!$C$7,1,0),0)</f>
        <v/>
      </c>
      <c r="AT855" s="3">
        <f>IF(AND(K855&lt;&gt;"",'Historical Score'!$C$8&lt;&gt;""),IF(K855='Historical Score'!$C$8,1,0),0)</f>
        <v/>
      </c>
      <c r="AU855" s="3" t="n"/>
      <c r="AV855" s="3" t="n"/>
      <c r="AW855" s="3" t="n"/>
      <c r="AX855" s="3" t="n"/>
      <c r="AY855" s="3" t="n"/>
      <c r="AZ855" s="3" t="n"/>
      <c r="BA855" s="182">
        <f>IF(AD855=1,(AR855*'Historical Score'!$K$29+1-'Historical Score'!$K$29)*(AT855*'Historical Score'!$L$29+1-'Historical Score'!$L$29)*(AS855*'Historical Score'!$M$29+1-'Historical Score'!$M$29)*(AQ855*'Historical Score'!$N$29+1-'Historical Score'!$N$29),0)</f>
        <v/>
      </c>
      <c r="BB855" s="3" t="n"/>
      <c r="BC855" s="3" t="n"/>
    </row>
    <row r="856" ht="15.75" customHeight="1" s="174">
      <c r="A856" s="3" t="inlineStr">
        <is>
          <t>5674183362</t>
        </is>
      </c>
      <c r="B856" s="3" t="inlineStr">
        <is>
          <t>John Hebert MD</t>
        </is>
      </c>
      <c r="C856" s="3" t="inlineStr">
        <is>
          <t>John Hebert MD</t>
        </is>
      </c>
      <c r="D856" s="3" t="inlineStr">
        <is>
          <t>Closed</t>
        </is>
      </c>
      <c r="E856" s="23" t="n">
        <v>46153</v>
      </c>
      <c r="F856" s="23" t="n">
        <v>46223</v>
      </c>
      <c r="G856" s="3" t="n">
        <v>3</v>
      </c>
      <c r="H856" s="3" t="inlineStr">
        <is>
          <t>8011</t>
        </is>
      </c>
      <c r="I856" s="3" t="inlineStr">
        <is>
          <t>80</t>
        </is>
      </c>
      <c r="J856" s="3" t="inlineStr">
        <is>
          <t>LA</t>
        </is>
      </c>
      <c r="K856" s="3" t="inlineStr">
        <is>
          <t>United Secured Capital 8</t>
        </is>
      </c>
      <c r="L856" s="3" t="inlineStr">
        <is>
          <t>New Deal</t>
        </is>
      </c>
      <c r="M856" s="3" t="n">
        <v>1.49</v>
      </c>
      <c r="N856" s="28" t="n">
        <v>15000</v>
      </c>
      <c r="O856" s="28" t="n">
        <v>2100</v>
      </c>
      <c r="P856" s="28" t="n">
        <v>22350</v>
      </c>
      <c r="Q856" s="28" t="n">
        <v>22350</v>
      </c>
      <c r="R856" s="28" t="n">
        <v>0</v>
      </c>
      <c r="S856" s="42" t="n">
        <v>1</v>
      </c>
      <c r="T856" s="3" t="n">
        <v>3.279</v>
      </c>
      <c r="U856" s="3" t="n">
        <v>0</v>
      </c>
      <c r="V856" s="3" t="n">
        <v>28362.13</v>
      </c>
      <c r="W856" s="42" t="n">
        <v>0.1655</v>
      </c>
      <c r="X856" s="23" t="n"/>
      <c r="Y856" s="3">
        <f>IF(I856="","No SIC",IFERROR(VLOOKUP(I856,Ref!$A$2:$B$65,2,FALSE()),"Unclassified"))</f>
        <v/>
      </c>
      <c r="Z856" s="3">
        <f>IF(T856="","",IF(T856&lt;12,"Daily","Weekly"))</f>
        <v/>
      </c>
      <c r="AA856" s="3">
        <f>IF(T856="",0,IF(T856&lt;12,T856*Controls!$B$13,T856*5))</f>
        <v/>
      </c>
      <c r="AB856" s="3">
        <f>IF(E856="",0,NETWORKDAYS(E856,Controls!$B$20,Ref!$K$2:$K$42))</f>
        <v/>
      </c>
      <c r="AC856" s="3">
        <f>IF(OR(AF856=1,AND(AA856&gt;0,AB856&gt;=Controls!$B$23*AA856)),1,0)</f>
        <v/>
      </c>
      <c r="AD856" s="3">
        <f>IF(AND(E856&lt;&gt;"",E856&gt;=Controls!$B$21,E856&lt;=Controls!$B$22),1,0)</f>
        <v/>
      </c>
      <c r="AE856" s="3">
        <f>IF(IFERROR(VLOOKUP(D856,Controls!$A$36:$E$46,2,FALSE()),"No")="Yes",1,0)</f>
        <v/>
      </c>
      <c r="AF856" s="3">
        <f>IF(IFERROR(VLOOKUP(D856,Controls!$A$36:$E$46,3,FALSE()),"No")="Yes",1,0)</f>
        <v/>
      </c>
      <c r="AG856" s="3">
        <f>IF(IFERROR(VLOOKUP(D856,Controls!$A$36:$E$46,4,FALSE()),"No")="Yes",1,0)</f>
        <v/>
      </c>
      <c r="AH856" s="3">
        <f>IF(IFERROR(VLOOKUP(D856,Controls!$A$36:$E$46,5,FALSE()),"No")="Yes",1,0)</f>
        <v/>
      </c>
      <c r="AI856" s="3">
        <f>IF(ISNUMBER(MATCH(D856,Controls!$A$36:$A$46,0)),1,0)</f>
        <v/>
      </c>
      <c r="AJ856" s="28">
        <f>Q856-N856</f>
        <v/>
      </c>
      <c r="AK856" s="3">
        <f>IF(AE856=1,MAX(0,N856-Q856),0)</f>
        <v/>
      </c>
      <c r="AL856" s="3">
        <f>IF(OR(V856="",V856=0),0,N856/V856)</f>
        <v/>
      </c>
      <c r="AM856" s="3">
        <f>IF(OR(V856="",V856=0),0,1)</f>
        <v/>
      </c>
      <c r="AN856" s="3">
        <f>IF(OR(E856="",F856=""),0,NETWORKDAYS(E856,F856,Ref!$K$2:$K$42))</f>
        <v/>
      </c>
      <c r="AO856" s="3">
        <f>IF(L856="Renewal",1,0)</f>
        <v/>
      </c>
      <c r="AP856" s="3">
        <f>AC856*AD856</f>
        <v/>
      </c>
      <c r="AQ856" s="3">
        <f>IF(AND(G856&lt;&gt;"",'Historical Score'!$C$6&lt;&gt;""),IF(G856='Historical Score'!$C$6,1,0),0)</f>
        <v/>
      </c>
      <c r="AR856" s="3">
        <f>IF(AND(L856&lt;&gt;"",'Historical Score'!$C$5&lt;&gt;""),IF(L856='Historical Score'!$C$5,1,0),0)</f>
        <v/>
      </c>
      <c r="AS856" s="3">
        <f>IF(AND(Y856&lt;&gt;"",'Historical Score'!$C$7&lt;&gt;""),IF(Y856='Historical Score'!$C$7,1,0),0)</f>
        <v/>
      </c>
      <c r="AT856" s="3">
        <f>IF(AND(K856&lt;&gt;"",'Historical Score'!$C$8&lt;&gt;""),IF(K856='Historical Score'!$C$8,1,0),0)</f>
        <v/>
      </c>
      <c r="AU856" s="3" t="n"/>
      <c r="AV856" s="3" t="n"/>
      <c r="AW856" s="3" t="n"/>
      <c r="AX856" s="3" t="n"/>
      <c r="AY856" s="3" t="n"/>
      <c r="AZ856" s="3" t="n"/>
      <c r="BA856" s="182">
        <f>IF(AD856=1,(AR856*'Historical Score'!$K$29+1-'Historical Score'!$K$29)*(AT856*'Historical Score'!$L$29+1-'Historical Score'!$L$29)*(AS856*'Historical Score'!$M$29+1-'Historical Score'!$M$29)*(AQ856*'Historical Score'!$N$29+1-'Historical Score'!$N$29),0)</f>
        <v/>
      </c>
      <c r="BB856" s="3" t="n"/>
      <c r="BC856" s="3" t="n"/>
    </row>
    <row r="857" ht="15.75" customHeight="1" s="174">
      <c r="A857" s="3" t="inlineStr">
        <is>
          <t>5674183368</t>
        </is>
      </c>
      <c r="B857" s="3" t="inlineStr">
        <is>
          <t>OBJECT ORIENTED PARTNERS DBA ZENITH PREP ACADEMY DBA FRANK SONG SOLE MBR</t>
        </is>
      </c>
      <c r="C857" s="3" t="inlineStr">
        <is>
          <t>OBJECT ORIENTED PARTNERS LLC</t>
        </is>
      </c>
      <c r="D857" s="3" t="inlineStr">
        <is>
          <t>Open</t>
        </is>
      </c>
      <c r="E857" s="23" t="n">
        <v>46153</v>
      </c>
      <c r="F857" s="23" t="n">
        <v>46252</v>
      </c>
      <c r="G857" s="3" t="n">
        <v>3</v>
      </c>
      <c r="H857" s="3" t="inlineStr">
        <is>
          <t>8741</t>
        </is>
      </c>
      <c r="I857" s="3" t="inlineStr">
        <is>
          <t>87</t>
        </is>
      </c>
      <c r="J857" s="3" t="inlineStr">
        <is>
          <t>CA</t>
        </is>
      </c>
      <c r="K857" s="3" t="inlineStr">
        <is>
          <t>Llama Loan</t>
        </is>
      </c>
      <c r="L857" s="3" t="inlineStr">
        <is>
          <t>New Deal</t>
        </is>
      </c>
      <c r="M857" s="3" t="n">
        <v>1.49</v>
      </c>
      <c r="N857" s="28" t="n">
        <v>250000</v>
      </c>
      <c r="O857" s="28" t="n">
        <v>35000</v>
      </c>
      <c r="P857" s="28" t="n">
        <v>372500</v>
      </c>
      <c r="Q857" s="28" t="n">
        <v>174078.66</v>
      </c>
      <c r="R857" s="28" t="n">
        <v>198421.34</v>
      </c>
      <c r="S857" s="42" t="n">
        <v>0.467325261744967</v>
      </c>
      <c r="T857" s="3" t="n">
        <v>30</v>
      </c>
      <c r="U857" s="3" t="n">
        <v>0</v>
      </c>
      <c r="V857" s="3" t="n">
        <v>1697500.34</v>
      </c>
      <c r="W857" s="42" t="n">
        <v>0.0293</v>
      </c>
      <c r="X857" s="23" t="n">
        <v>39179</v>
      </c>
      <c r="Y857" s="3">
        <f>IF(I857="","No SIC",IFERROR(VLOOKUP(I857,Ref!$A$2:$B$65,2,FALSE()),"Unclassified"))</f>
        <v/>
      </c>
      <c r="Z857" s="3">
        <f>IF(T857="","",IF(T857&lt;12,"Daily","Weekly"))</f>
        <v/>
      </c>
      <c r="AA857" s="3">
        <f>IF(T857="",0,IF(T857&lt;12,T857*Controls!$B$13,T857*5))</f>
        <v/>
      </c>
      <c r="AB857" s="3">
        <f>IF(E857="",0,NETWORKDAYS(E857,Controls!$B$20,Ref!$K$2:$K$42))</f>
        <v/>
      </c>
      <c r="AC857" s="3">
        <f>IF(OR(AF857=1,AND(AA857&gt;0,AB857&gt;=Controls!$B$23*AA857)),1,0)</f>
        <v/>
      </c>
      <c r="AD857" s="3">
        <f>IF(AND(E857&lt;&gt;"",E857&gt;=Controls!$B$21,E857&lt;=Controls!$B$22),1,0)</f>
        <v/>
      </c>
      <c r="AE857" s="3">
        <f>IF(IFERROR(VLOOKUP(D857,Controls!$A$36:$E$46,2,FALSE()),"No")="Yes",1,0)</f>
        <v/>
      </c>
      <c r="AF857" s="3">
        <f>IF(IFERROR(VLOOKUP(D857,Controls!$A$36:$E$46,3,FALSE()),"No")="Yes",1,0)</f>
        <v/>
      </c>
      <c r="AG857" s="3">
        <f>IF(IFERROR(VLOOKUP(D857,Controls!$A$36:$E$46,4,FALSE()),"No")="Yes",1,0)</f>
        <v/>
      </c>
      <c r="AH857" s="3">
        <f>IF(IFERROR(VLOOKUP(D857,Controls!$A$36:$E$46,5,FALSE()),"No")="Yes",1,0)</f>
        <v/>
      </c>
      <c r="AI857" s="3">
        <f>IF(ISNUMBER(MATCH(D857,Controls!$A$36:$A$46,0)),1,0)</f>
        <v/>
      </c>
      <c r="AJ857" s="28">
        <f>Q857-N857</f>
        <v/>
      </c>
      <c r="AK857" s="3">
        <f>IF(AE857=1,MAX(0,N857-Q857),0)</f>
        <v/>
      </c>
      <c r="AL857" s="3">
        <f>IF(OR(V857="",V857=0),0,N857/V857)</f>
        <v/>
      </c>
      <c r="AM857" s="3">
        <f>IF(OR(V857="",V857=0),0,1)</f>
        <v/>
      </c>
      <c r="AN857" s="3">
        <f>IF(OR(E857="",F857=""),0,NETWORKDAYS(E857,F857,Ref!$K$2:$K$42))</f>
        <v/>
      </c>
      <c r="AO857" s="3">
        <f>IF(L857="Renewal",1,0)</f>
        <v/>
      </c>
      <c r="AP857" s="3">
        <f>AC857*AD857</f>
        <v/>
      </c>
      <c r="AQ857" s="3">
        <f>IF(AND(G857&lt;&gt;"",'Historical Score'!$C$6&lt;&gt;""),IF(G857='Historical Score'!$C$6,1,0),0)</f>
        <v/>
      </c>
      <c r="AR857" s="3">
        <f>IF(AND(L857&lt;&gt;"",'Historical Score'!$C$5&lt;&gt;""),IF(L857='Historical Score'!$C$5,1,0),0)</f>
        <v/>
      </c>
      <c r="AS857" s="3">
        <f>IF(AND(Y857&lt;&gt;"",'Historical Score'!$C$7&lt;&gt;""),IF(Y857='Historical Score'!$C$7,1,0),0)</f>
        <v/>
      </c>
      <c r="AT857" s="3">
        <f>IF(AND(K857&lt;&gt;"",'Historical Score'!$C$8&lt;&gt;""),IF(K857='Historical Score'!$C$8,1,0),0)</f>
        <v/>
      </c>
      <c r="AU857" s="3" t="n"/>
      <c r="AV857" s="3" t="n"/>
      <c r="AW857" s="3" t="n"/>
      <c r="AX857" s="3" t="n"/>
      <c r="AY857" s="3" t="n"/>
      <c r="AZ857" s="3" t="n"/>
      <c r="BA857" s="182">
        <f>IF(AD857=1,(AR857*'Historical Score'!$K$29+1-'Historical Score'!$K$29)*(AT857*'Historical Score'!$L$29+1-'Historical Score'!$L$29)*(AS857*'Historical Score'!$M$29+1-'Historical Score'!$M$29)*(AQ857*'Historical Score'!$N$29+1-'Historical Score'!$N$29),0)</f>
        <v/>
      </c>
      <c r="BB857" s="3" t="n"/>
      <c r="BC857" s="3" t="n"/>
    </row>
    <row r="858" ht="15.75" customHeight="1" s="174">
      <c r="A858" s="3" t="inlineStr">
        <is>
          <t>5674183390</t>
        </is>
      </c>
      <c r="B858" s="3" t="inlineStr">
        <is>
          <t>MAPULA LOGISTICS LLC</t>
        </is>
      </c>
      <c r="C858" s="3" t="inlineStr">
        <is>
          <t>MAPULA LOGISTICS LLC</t>
        </is>
      </c>
      <c r="D858" s="3" t="inlineStr">
        <is>
          <t>Open</t>
        </is>
      </c>
      <c r="E858" s="23" t="n">
        <v>46153</v>
      </c>
      <c r="F858" s="23" t="n">
        <v>46253</v>
      </c>
      <c r="G858" s="3" t="n">
        <v>3</v>
      </c>
      <c r="H858" s="3" t="inlineStr">
        <is>
          <t>4212</t>
        </is>
      </c>
      <c r="I858" s="3" t="inlineStr">
        <is>
          <t>42</t>
        </is>
      </c>
      <c r="J858" s="3" t="inlineStr">
        <is>
          <t>FL</t>
        </is>
      </c>
      <c r="K858" s="3" t="inlineStr">
        <is>
          <t>DIRECT CAPITAL SOURCE, INC.</t>
        </is>
      </c>
      <c r="L858" s="3" t="inlineStr">
        <is>
          <t>Renewal</t>
        </is>
      </c>
      <c r="M858" s="3" t="n">
        <v>1.49</v>
      </c>
      <c r="N858" s="28" t="n">
        <v>35000</v>
      </c>
      <c r="O858" s="28" t="n">
        <v>4900</v>
      </c>
      <c r="P858" s="28" t="n">
        <v>52150</v>
      </c>
      <c r="Q858" s="28" t="n">
        <v>29130.26</v>
      </c>
      <c r="R858" s="28" t="n">
        <v>23019.74</v>
      </c>
      <c r="S858" s="42" t="n">
        <v>0.558586001917546</v>
      </c>
      <c r="T858" s="3" t="n">
        <v>3.934</v>
      </c>
      <c r="U858" s="3" t="n">
        <v>3</v>
      </c>
      <c r="V858" s="3" t="n">
        <v>100887.92</v>
      </c>
      <c r="W858" s="42" t="n">
        <v>0.0905</v>
      </c>
      <c r="X858" s="23" t="n">
        <v>44019</v>
      </c>
      <c r="Y858" s="3">
        <f>IF(I858="","No SIC",IFERROR(VLOOKUP(I858,Ref!$A$2:$B$65,2,FALSE()),"Unclassified"))</f>
        <v/>
      </c>
      <c r="Z858" s="3">
        <f>IF(T858="","",IF(T858&lt;12,"Daily","Weekly"))</f>
        <v/>
      </c>
      <c r="AA858" s="3">
        <f>IF(T858="",0,IF(T858&lt;12,T858*Controls!$B$13,T858*5))</f>
        <v/>
      </c>
      <c r="AB858" s="3">
        <f>IF(E858="",0,NETWORKDAYS(E858,Controls!$B$20,Ref!$K$2:$K$42))</f>
        <v/>
      </c>
      <c r="AC858" s="3">
        <f>IF(OR(AF858=1,AND(AA858&gt;0,AB858&gt;=Controls!$B$23*AA858)),1,0)</f>
        <v/>
      </c>
      <c r="AD858" s="3">
        <f>IF(AND(E858&lt;&gt;"",E858&gt;=Controls!$B$21,E858&lt;=Controls!$B$22),1,0)</f>
        <v/>
      </c>
      <c r="AE858" s="3">
        <f>IF(IFERROR(VLOOKUP(D858,Controls!$A$36:$E$46,2,FALSE()),"No")="Yes",1,0)</f>
        <v/>
      </c>
      <c r="AF858" s="3">
        <f>IF(IFERROR(VLOOKUP(D858,Controls!$A$36:$E$46,3,FALSE()),"No")="Yes",1,0)</f>
        <v/>
      </c>
      <c r="AG858" s="3">
        <f>IF(IFERROR(VLOOKUP(D858,Controls!$A$36:$E$46,4,FALSE()),"No")="Yes",1,0)</f>
        <v/>
      </c>
      <c r="AH858" s="3">
        <f>IF(IFERROR(VLOOKUP(D858,Controls!$A$36:$E$46,5,FALSE()),"No")="Yes",1,0)</f>
        <v/>
      </c>
      <c r="AI858" s="3">
        <f>IF(ISNUMBER(MATCH(D858,Controls!$A$36:$A$46,0)),1,0)</f>
        <v/>
      </c>
      <c r="AJ858" s="28">
        <f>Q858-N858</f>
        <v/>
      </c>
      <c r="AK858" s="3">
        <f>IF(AE858=1,MAX(0,N858-Q858),0)</f>
        <v/>
      </c>
      <c r="AL858" s="3">
        <f>IF(OR(V858="",V858=0),0,N858/V858)</f>
        <v/>
      </c>
      <c r="AM858" s="3">
        <f>IF(OR(V858="",V858=0),0,1)</f>
        <v/>
      </c>
      <c r="AN858" s="3">
        <f>IF(OR(E858="",F858=""),0,NETWORKDAYS(E858,F858,Ref!$K$2:$K$42))</f>
        <v/>
      </c>
      <c r="AO858" s="3">
        <f>IF(L858="Renewal",1,0)</f>
        <v/>
      </c>
      <c r="AP858" s="3">
        <f>AC858*AD858</f>
        <v/>
      </c>
      <c r="AQ858" s="3">
        <f>IF(AND(G858&lt;&gt;"",'Historical Score'!$C$6&lt;&gt;""),IF(G858='Historical Score'!$C$6,1,0),0)</f>
        <v/>
      </c>
      <c r="AR858" s="3">
        <f>IF(AND(L858&lt;&gt;"",'Historical Score'!$C$5&lt;&gt;""),IF(L858='Historical Score'!$C$5,1,0),0)</f>
        <v/>
      </c>
      <c r="AS858" s="3">
        <f>IF(AND(Y858&lt;&gt;"",'Historical Score'!$C$7&lt;&gt;""),IF(Y858='Historical Score'!$C$7,1,0),0)</f>
        <v/>
      </c>
      <c r="AT858" s="3">
        <f>IF(AND(K858&lt;&gt;"",'Historical Score'!$C$8&lt;&gt;""),IF(K858='Historical Score'!$C$8,1,0),0)</f>
        <v/>
      </c>
      <c r="AU858" s="3" t="n"/>
      <c r="AV858" s="3" t="n"/>
      <c r="AW858" s="3" t="n"/>
      <c r="AX858" s="3" t="n"/>
      <c r="AY858" s="3" t="n"/>
      <c r="AZ858" s="3" t="n"/>
      <c r="BA858" s="182">
        <f>IF(AD858=1,(AR858*'Historical Score'!$K$29+1-'Historical Score'!$K$29)*(AT858*'Historical Score'!$L$29+1-'Historical Score'!$L$29)*(AS858*'Historical Score'!$M$29+1-'Historical Score'!$M$29)*(AQ858*'Historical Score'!$N$29+1-'Historical Score'!$N$29),0)</f>
        <v/>
      </c>
      <c r="BB858" s="3" t="n"/>
      <c r="BC858" s="3" t="n"/>
    </row>
    <row r="859" ht="15.75" customHeight="1" s="174">
      <c r="A859" s="3" t="inlineStr">
        <is>
          <t>5674183401</t>
        </is>
      </c>
      <c r="B859" s="3" t="inlineStr">
        <is>
          <t>Holiday Cafe</t>
        </is>
      </c>
      <c r="C859" s="3" t="inlineStr">
        <is>
          <t>Stephanie Sieg</t>
        </is>
      </c>
      <c r="D859" s="3" t="inlineStr">
        <is>
          <t>Open</t>
        </is>
      </c>
      <c r="E859" s="23" t="n">
        <v>46153</v>
      </c>
      <c r="F859" s="23" t="n">
        <v>46231</v>
      </c>
      <c r="G859" s="3" t="n">
        <v>3</v>
      </c>
      <c r="H859" s="3" t="inlineStr">
        <is>
          <t>5812</t>
        </is>
      </c>
      <c r="I859" s="3" t="inlineStr">
        <is>
          <t>58</t>
        </is>
      </c>
      <c r="J859" s="3" t="inlineStr">
        <is>
          <t>WI</t>
        </is>
      </c>
      <c r="K859" s="3" t="inlineStr">
        <is>
          <t>lightningfundingsolutions</t>
        </is>
      </c>
      <c r="L859" s="3" t="inlineStr">
        <is>
          <t>New Deal</t>
        </is>
      </c>
      <c r="M859" s="3" t="n">
        <v>1.49</v>
      </c>
      <c r="N859" s="28" t="n">
        <v>10000</v>
      </c>
      <c r="O859" s="28" t="n">
        <v>1400</v>
      </c>
      <c r="P859" s="28" t="n">
        <v>14900</v>
      </c>
      <c r="Q859" s="28" t="n">
        <v>7151.04</v>
      </c>
      <c r="R859" s="28" t="n">
        <v>7748.96</v>
      </c>
      <c r="S859" s="42" t="n">
        <v>0.479935570469799</v>
      </c>
      <c r="T859" s="3" t="n">
        <v>3.279</v>
      </c>
      <c r="U859" s="3" t="n">
        <v>5</v>
      </c>
      <c r="V859" s="3" t="n">
        <v>29824.44</v>
      </c>
      <c r="W859" s="42" t="n">
        <v>0.1049</v>
      </c>
      <c r="X859" s="23" t="n">
        <v>41255</v>
      </c>
      <c r="Y859" s="3">
        <f>IF(I859="","No SIC",IFERROR(VLOOKUP(I859,Ref!$A$2:$B$65,2,FALSE()),"Unclassified"))</f>
        <v/>
      </c>
      <c r="Z859" s="3">
        <f>IF(T859="","",IF(T859&lt;12,"Daily","Weekly"))</f>
        <v/>
      </c>
      <c r="AA859" s="3">
        <f>IF(T859="",0,IF(T859&lt;12,T859*Controls!$B$13,T859*5))</f>
        <v/>
      </c>
      <c r="AB859" s="3">
        <f>IF(E859="",0,NETWORKDAYS(E859,Controls!$B$20,Ref!$K$2:$K$42))</f>
        <v/>
      </c>
      <c r="AC859" s="3">
        <f>IF(OR(AF859=1,AND(AA859&gt;0,AB859&gt;=Controls!$B$23*AA859)),1,0)</f>
        <v/>
      </c>
      <c r="AD859" s="3">
        <f>IF(AND(E859&lt;&gt;"",E859&gt;=Controls!$B$21,E859&lt;=Controls!$B$22),1,0)</f>
        <v/>
      </c>
      <c r="AE859" s="3">
        <f>IF(IFERROR(VLOOKUP(D859,Controls!$A$36:$E$46,2,FALSE()),"No")="Yes",1,0)</f>
        <v/>
      </c>
      <c r="AF859" s="3">
        <f>IF(IFERROR(VLOOKUP(D859,Controls!$A$36:$E$46,3,FALSE()),"No")="Yes",1,0)</f>
        <v/>
      </c>
      <c r="AG859" s="3">
        <f>IF(IFERROR(VLOOKUP(D859,Controls!$A$36:$E$46,4,FALSE()),"No")="Yes",1,0)</f>
        <v/>
      </c>
      <c r="AH859" s="3">
        <f>IF(IFERROR(VLOOKUP(D859,Controls!$A$36:$E$46,5,FALSE()),"No")="Yes",1,0)</f>
        <v/>
      </c>
      <c r="AI859" s="3">
        <f>IF(ISNUMBER(MATCH(D859,Controls!$A$36:$A$46,0)),1,0)</f>
        <v/>
      </c>
      <c r="AJ859" s="28">
        <f>Q859-N859</f>
        <v/>
      </c>
      <c r="AK859" s="3">
        <f>IF(AE859=1,MAX(0,N859-Q859),0)</f>
        <v/>
      </c>
      <c r="AL859" s="3">
        <f>IF(OR(V859="",V859=0),0,N859/V859)</f>
        <v/>
      </c>
      <c r="AM859" s="3">
        <f>IF(OR(V859="",V859=0),0,1)</f>
        <v/>
      </c>
      <c r="AN859" s="3">
        <f>IF(OR(E859="",F859=""),0,NETWORKDAYS(E859,F859,Ref!$K$2:$K$42))</f>
        <v/>
      </c>
      <c r="AO859" s="3">
        <f>IF(L859="Renewal",1,0)</f>
        <v/>
      </c>
      <c r="AP859" s="3">
        <f>AC859*AD859</f>
        <v/>
      </c>
      <c r="AQ859" s="3">
        <f>IF(AND(G859&lt;&gt;"",'Historical Score'!$C$6&lt;&gt;""),IF(G859='Historical Score'!$C$6,1,0),0)</f>
        <v/>
      </c>
      <c r="AR859" s="3">
        <f>IF(AND(L859&lt;&gt;"",'Historical Score'!$C$5&lt;&gt;""),IF(L859='Historical Score'!$C$5,1,0),0)</f>
        <v/>
      </c>
      <c r="AS859" s="3">
        <f>IF(AND(Y859&lt;&gt;"",'Historical Score'!$C$7&lt;&gt;""),IF(Y859='Historical Score'!$C$7,1,0),0)</f>
        <v/>
      </c>
      <c r="AT859" s="3">
        <f>IF(AND(K859&lt;&gt;"",'Historical Score'!$C$8&lt;&gt;""),IF(K859='Historical Score'!$C$8,1,0),0)</f>
        <v/>
      </c>
      <c r="AU859" s="3" t="n"/>
      <c r="AV859" s="3" t="n"/>
      <c r="AW859" s="3" t="n"/>
      <c r="AX859" s="3" t="n"/>
      <c r="AY859" s="3" t="n"/>
      <c r="AZ859" s="3" t="n"/>
      <c r="BA859" s="182">
        <f>IF(AD859=1,(AR859*'Historical Score'!$K$29+1-'Historical Score'!$K$29)*(AT859*'Historical Score'!$L$29+1-'Historical Score'!$L$29)*(AS859*'Historical Score'!$M$29+1-'Historical Score'!$M$29)*(AQ859*'Historical Score'!$N$29+1-'Historical Score'!$N$29),0)</f>
        <v/>
      </c>
      <c r="BB859" s="3" t="n"/>
      <c r="BC859" s="3" t="n"/>
    </row>
    <row r="860" ht="15.75" customHeight="1" s="174">
      <c r="A860" s="3" t="inlineStr">
        <is>
          <t>5674183472</t>
        </is>
      </c>
      <c r="B860" s="3" t="inlineStr">
        <is>
          <t>SIZZLING BITES</t>
        </is>
      </c>
      <c r="C860" s="3" t="inlineStr">
        <is>
          <t>SIZZLING BITES LLC</t>
        </is>
      </c>
      <c r="D860" s="3" t="inlineStr">
        <is>
          <t>Open</t>
        </is>
      </c>
      <c r="E860" s="23" t="n">
        <v>46154</v>
      </c>
      <c r="F860" s="23" t="n">
        <v>46247</v>
      </c>
      <c r="G860" s="3" t="n">
        <v>2</v>
      </c>
      <c r="H860" s="3" t="inlineStr">
        <is>
          <t>5812</t>
        </is>
      </c>
      <c r="I860" s="3" t="inlineStr">
        <is>
          <t>58</t>
        </is>
      </c>
      <c r="J860" s="3" t="inlineStr">
        <is>
          <t>PA</t>
        </is>
      </c>
      <c r="K860" s="3" t="inlineStr">
        <is>
          <t>PMF</t>
        </is>
      </c>
      <c r="L860" s="3" t="inlineStr">
        <is>
          <t>New Deal</t>
        </is>
      </c>
      <c r="M860" s="3" t="n">
        <v>1.38</v>
      </c>
      <c r="N860" s="28" t="n">
        <v>200000</v>
      </c>
      <c r="O860" s="28" t="n">
        <v>14000</v>
      </c>
      <c r="P860" s="28" t="n">
        <v>276000</v>
      </c>
      <c r="Q860" s="28" t="n">
        <v>63721.8</v>
      </c>
      <c r="R860" s="28" t="n">
        <v>212278.2</v>
      </c>
      <c r="S860" s="42" t="n">
        <v>0.230876086956522</v>
      </c>
      <c r="T860" s="3" t="n">
        <v>52</v>
      </c>
      <c r="U860" s="3" t="n">
        <v>1</v>
      </c>
      <c r="V860" s="3" t="n">
        <v>202291.45</v>
      </c>
      <c r="W860" s="42" t="n">
        <v>0.105</v>
      </c>
      <c r="X860" s="23" t="n">
        <v>45292</v>
      </c>
      <c r="Y860" s="3">
        <f>IF(I860="","No SIC",IFERROR(VLOOKUP(I860,Ref!$A$2:$B$65,2,FALSE()),"Unclassified"))</f>
        <v/>
      </c>
      <c r="Z860" s="3">
        <f>IF(T860="","",IF(T860&lt;12,"Daily","Weekly"))</f>
        <v/>
      </c>
      <c r="AA860" s="3">
        <f>IF(T860="",0,IF(T860&lt;12,T860*Controls!$B$13,T860*5))</f>
        <v/>
      </c>
      <c r="AB860" s="3">
        <f>IF(E860="",0,NETWORKDAYS(E860,Controls!$B$20,Ref!$K$2:$K$42))</f>
        <v/>
      </c>
      <c r="AC860" s="3">
        <f>IF(OR(AF860=1,AND(AA860&gt;0,AB860&gt;=Controls!$B$23*AA860)),1,0)</f>
        <v/>
      </c>
      <c r="AD860" s="3">
        <f>IF(AND(E860&lt;&gt;"",E860&gt;=Controls!$B$21,E860&lt;=Controls!$B$22),1,0)</f>
        <v/>
      </c>
      <c r="AE860" s="3">
        <f>IF(IFERROR(VLOOKUP(D860,Controls!$A$36:$E$46,2,FALSE()),"No")="Yes",1,0)</f>
        <v/>
      </c>
      <c r="AF860" s="3">
        <f>IF(IFERROR(VLOOKUP(D860,Controls!$A$36:$E$46,3,FALSE()),"No")="Yes",1,0)</f>
        <v/>
      </c>
      <c r="AG860" s="3">
        <f>IF(IFERROR(VLOOKUP(D860,Controls!$A$36:$E$46,4,FALSE()),"No")="Yes",1,0)</f>
        <v/>
      </c>
      <c r="AH860" s="3">
        <f>IF(IFERROR(VLOOKUP(D860,Controls!$A$36:$E$46,5,FALSE()),"No")="Yes",1,0)</f>
        <v/>
      </c>
      <c r="AI860" s="3">
        <f>IF(ISNUMBER(MATCH(D860,Controls!$A$36:$A$46,0)),1,0)</f>
        <v/>
      </c>
      <c r="AJ860" s="28">
        <f>Q860-N860</f>
        <v/>
      </c>
      <c r="AK860" s="3">
        <f>IF(AE860=1,MAX(0,N860-Q860),0)</f>
        <v/>
      </c>
      <c r="AL860" s="3">
        <f>IF(OR(V860="",V860=0),0,N860/V860)</f>
        <v/>
      </c>
      <c r="AM860" s="3">
        <f>IF(OR(V860="",V860=0),0,1)</f>
        <v/>
      </c>
      <c r="AN860" s="3">
        <f>IF(OR(E860="",F860=""),0,NETWORKDAYS(E860,F860,Ref!$K$2:$K$42))</f>
        <v/>
      </c>
      <c r="AO860" s="3">
        <f>IF(L860="Renewal",1,0)</f>
        <v/>
      </c>
      <c r="AP860" s="3">
        <f>AC860*AD860</f>
        <v/>
      </c>
      <c r="AQ860" s="3">
        <f>IF(AND(G860&lt;&gt;"",'Historical Score'!$C$6&lt;&gt;""),IF(G860='Historical Score'!$C$6,1,0),0)</f>
        <v/>
      </c>
      <c r="AR860" s="3">
        <f>IF(AND(L860&lt;&gt;"",'Historical Score'!$C$5&lt;&gt;""),IF(L860='Historical Score'!$C$5,1,0),0)</f>
        <v/>
      </c>
      <c r="AS860" s="3">
        <f>IF(AND(Y860&lt;&gt;"",'Historical Score'!$C$7&lt;&gt;""),IF(Y860='Historical Score'!$C$7,1,0),0)</f>
        <v/>
      </c>
      <c r="AT860" s="3">
        <f>IF(AND(K860&lt;&gt;"",'Historical Score'!$C$8&lt;&gt;""),IF(K860='Historical Score'!$C$8,1,0),0)</f>
        <v/>
      </c>
      <c r="AU860" s="3" t="n"/>
      <c r="AV860" s="3" t="n"/>
      <c r="AW860" s="3" t="n"/>
      <c r="AX860" s="3" t="n"/>
      <c r="AY860" s="3" t="n"/>
      <c r="AZ860" s="3" t="n"/>
      <c r="BA860" s="182">
        <f>IF(AD860=1,(AR860*'Historical Score'!$K$29+1-'Historical Score'!$K$29)*(AT860*'Historical Score'!$L$29+1-'Historical Score'!$L$29)*(AS860*'Historical Score'!$M$29+1-'Historical Score'!$M$29)*(AQ860*'Historical Score'!$N$29+1-'Historical Score'!$N$29),0)</f>
        <v/>
      </c>
      <c r="BB860" s="3" t="n"/>
      <c r="BC860" s="3" t="n"/>
    </row>
    <row r="861" ht="15.75" customHeight="1" s="174">
      <c r="A861" s="3" t="inlineStr">
        <is>
          <t>5674183524</t>
        </is>
      </c>
      <c r="B861" s="3" t="inlineStr">
        <is>
          <t>EL TACO LOCO AL VAPOR II,</t>
        </is>
      </c>
      <c r="C861" s="3" t="inlineStr">
        <is>
          <t>EL TACO LOCO AL VAPOR II,</t>
        </is>
      </c>
      <c r="D861" s="3" t="inlineStr">
        <is>
          <t>Open</t>
        </is>
      </c>
      <c r="E861" s="23" t="n">
        <v>46155</v>
      </c>
      <c r="F861" s="23" t="n">
        <v>46248</v>
      </c>
      <c r="G861" s="3" t="n">
        <v>3</v>
      </c>
      <c r="H861" s="3" t="inlineStr">
        <is>
          <t>5812</t>
        </is>
      </c>
      <c r="I861" s="3" t="inlineStr">
        <is>
          <t>58</t>
        </is>
      </c>
      <c r="J861" s="3" t="inlineStr">
        <is>
          <t>TX</t>
        </is>
      </c>
      <c r="K861" s="3" t="inlineStr">
        <is>
          <t>Westwood</t>
        </is>
      </c>
      <c r="L861" s="3" t="inlineStr">
        <is>
          <t>Renewal</t>
        </is>
      </c>
      <c r="M861" s="3" t="n">
        <v>1.49</v>
      </c>
      <c r="N861" s="28" t="n">
        <v>35000</v>
      </c>
      <c r="O861" s="28" t="n">
        <v>4900</v>
      </c>
      <c r="P861" s="28" t="n">
        <v>52150</v>
      </c>
      <c r="Q861" s="28" t="n">
        <v>22602.19</v>
      </c>
      <c r="R861" s="28" t="n">
        <v>29547.81</v>
      </c>
      <c r="S861" s="42" t="n">
        <v>0.433407286673058</v>
      </c>
      <c r="T861" s="3" t="n">
        <v>30</v>
      </c>
      <c r="U861" s="3" t="n">
        <v>0</v>
      </c>
      <c r="V861" s="3" t="n">
        <v>48000</v>
      </c>
      <c r="W861" s="42" t="n">
        <v>0.1987</v>
      </c>
      <c r="X861" s="23" t="n">
        <v>44854</v>
      </c>
      <c r="Y861" s="3">
        <f>IF(I861="","No SIC",IFERROR(VLOOKUP(I861,Ref!$A$2:$B$65,2,FALSE()),"Unclassified"))</f>
        <v/>
      </c>
      <c r="Z861" s="3">
        <f>IF(T861="","",IF(T861&lt;12,"Daily","Weekly"))</f>
        <v/>
      </c>
      <c r="AA861" s="3">
        <f>IF(T861="",0,IF(T861&lt;12,T861*Controls!$B$13,T861*5))</f>
        <v/>
      </c>
      <c r="AB861" s="3">
        <f>IF(E861="",0,NETWORKDAYS(E861,Controls!$B$20,Ref!$K$2:$K$42))</f>
        <v/>
      </c>
      <c r="AC861" s="3">
        <f>IF(OR(AF861=1,AND(AA861&gt;0,AB861&gt;=Controls!$B$23*AA861)),1,0)</f>
        <v/>
      </c>
      <c r="AD861" s="3">
        <f>IF(AND(E861&lt;&gt;"",E861&gt;=Controls!$B$21,E861&lt;=Controls!$B$22),1,0)</f>
        <v/>
      </c>
      <c r="AE861" s="3">
        <f>IF(IFERROR(VLOOKUP(D861,Controls!$A$36:$E$46,2,FALSE()),"No")="Yes",1,0)</f>
        <v/>
      </c>
      <c r="AF861" s="3">
        <f>IF(IFERROR(VLOOKUP(D861,Controls!$A$36:$E$46,3,FALSE()),"No")="Yes",1,0)</f>
        <v/>
      </c>
      <c r="AG861" s="3">
        <f>IF(IFERROR(VLOOKUP(D861,Controls!$A$36:$E$46,4,FALSE()),"No")="Yes",1,0)</f>
        <v/>
      </c>
      <c r="AH861" s="3">
        <f>IF(IFERROR(VLOOKUP(D861,Controls!$A$36:$E$46,5,FALSE()),"No")="Yes",1,0)</f>
        <v/>
      </c>
      <c r="AI861" s="3">
        <f>IF(ISNUMBER(MATCH(D861,Controls!$A$36:$A$46,0)),1,0)</f>
        <v/>
      </c>
      <c r="AJ861" s="28">
        <f>Q861-N861</f>
        <v/>
      </c>
      <c r="AK861" s="3">
        <f>IF(AE861=1,MAX(0,N861-Q861),0)</f>
        <v/>
      </c>
      <c r="AL861" s="3">
        <f>IF(OR(V861="",V861=0),0,N861/V861)</f>
        <v/>
      </c>
      <c r="AM861" s="3">
        <f>IF(OR(V861="",V861=0),0,1)</f>
        <v/>
      </c>
      <c r="AN861" s="3">
        <f>IF(OR(E861="",F861=""),0,NETWORKDAYS(E861,F861,Ref!$K$2:$K$42))</f>
        <v/>
      </c>
      <c r="AO861" s="3">
        <f>IF(L861="Renewal",1,0)</f>
        <v/>
      </c>
      <c r="AP861" s="3">
        <f>AC861*AD861</f>
        <v/>
      </c>
      <c r="AQ861" s="3">
        <f>IF(AND(G861&lt;&gt;"",'Historical Score'!$C$6&lt;&gt;""),IF(G861='Historical Score'!$C$6,1,0),0)</f>
        <v/>
      </c>
      <c r="AR861" s="3">
        <f>IF(AND(L861&lt;&gt;"",'Historical Score'!$C$5&lt;&gt;""),IF(L861='Historical Score'!$C$5,1,0),0)</f>
        <v/>
      </c>
      <c r="AS861" s="3">
        <f>IF(AND(Y861&lt;&gt;"",'Historical Score'!$C$7&lt;&gt;""),IF(Y861='Historical Score'!$C$7,1,0),0)</f>
        <v/>
      </c>
      <c r="AT861" s="3">
        <f>IF(AND(K861&lt;&gt;"",'Historical Score'!$C$8&lt;&gt;""),IF(K861='Historical Score'!$C$8,1,0),0)</f>
        <v/>
      </c>
      <c r="AU861" s="3" t="n"/>
      <c r="AV861" s="3" t="n"/>
      <c r="AW861" s="3" t="n"/>
      <c r="AX861" s="3" t="n"/>
      <c r="AY861" s="3" t="n"/>
      <c r="AZ861" s="3" t="n"/>
      <c r="BA861" s="182">
        <f>IF(AD861=1,(AR861*'Historical Score'!$K$29+1-'Historical Score'!$K$29)*(AT861*'Historical Score'!$L$29+1-'Historical Score'!$L$29)*(AS861*'Historical Score'!$M$29+1-'Historical Score'!$M$29)*(AQ861*'Historical Score'!$N$29+1-'Historical Score'!$N$29),0)</f>
        <v/>
      </c>
      <c r="BB861" s="3" t="n"/>
      <c r="BC861" s="3" t="n"/>
    </row>
    <row r="862" ht="15.75" customHeight="1" s="174">
      <c r="A862" s="3" t="inlineStr">
        <is>
          <t>5674183525</t>
        </is>
      </c>
      <c r="B862" s="3" t="inlineStr">
        <is>
          <t>ANDREW R KLAUSNER, P.C. , KLAUSNER JOHNSON LLP</t>
        </is>
      </c>
      <c r="C862" s="3" t="inlineStr">
        <is>
          <t>ANDREW R KLAUSNER A PROFESSIONAL CORPORATION</t>
        </is>
      </c>
      <c r="D862" s="3" t="inlineStr">
        <is>
          <t>Bankruptcy</t>
        </is>
      </c>
      <c r="E862" s="23" t="n">
        <v>46155</v>
      </c>
      <c r="F862" s="23" t="n">
        <v>46244</v>
      </c>
      <c r="G862" s="3" t="n">
        <v>4</v>
      </c>
      <c r="H862" s="3" t="inlineStr">
        <is>
          <t>8111</t>
        </is>
      </c>
      <c r="I862" s="3" t="inlineStr">
        <is>
          <t>81</t>
        </is>
      </c>
      <c r="J862" s="3" t="inlineStr">
        <is>
          <t>No state</t>
        </is>
      </c>
      <c r="K862" s="3" t="inlineStr">
        <is>
          <t>Vanguard Equities</t>
        </is>
      </c>
      <c r="L862" s="3" t="inlineStr">
        <is>
          <t>New Deal</t>
        </is>
      </c>
      <c r="M862" s="3" t="n">
        <v>1.37</v>
      </c>
      <c r="N862" s="28" t="n">
        <v>25000</v>
      </c>
      <c r="O862" s="28" t="n">
        <v>2000</v>
      </c>
      <c r="P862" s="28" t="n">
        <v>34250</v>
      </c>
      <c r="Q862" s="28" t="n">
        <v>12844.26</v>
      </c>
      <c r="R862" s="28" t="n">
        <v>21405.74</v>
      </c>
      <c r="S862" s="42" t="n">
        <v>0.375014890510949</v>
      </c>
      <c r="T862" s="3" t="n">
        <v>24</v>
      </c>
      <c r="U862" s="3" t="n">
        <v>9</v>
      </c>
      <c r="V862" s="3" t="n">
        <v>91000</v>
      </c>
      <c r="W862" s="42" t="n">
        <v>0.333</v>
      </c>
      <c r="X862" s="23" t="n">
        <v>43586</v>
      </c>
      <c r="Y862" s="3">
        <f>IF(I862="","No SIC",IFERROR(VLOOKUP(I862,Ref!$A$2:$B$65,2,FALSE()),"Unclassified"))</f>
        <v/>
      </c>
      <c r="Z862" s="3">
        <f>IF(T862="","",IF(T862&lt;12,"Daily","Weekly"))</f>
        <v/>
      </c>
      <c r="AA862" s="3">
        <f>IF(T862="",0,IF(T862&lt;12,T862*Controls!$B$13,T862*5))</f>
        <v/>
      </c>
      <c r="AB862" s="3">
        <f>IF(E862="",0,NETWORKDAYS(E862,Controls!$B$20,Ref!$K$2:$K$42))</f>
        <v/>
      </c>
      <c r="AC862" s="3">
        <f>IF(OR(AF862=1,AND(AA862&gt;0,AB862&gt;=Controls!$B$23*AA862)),1,0)</f>
        <v/>
      </c>
      <c r="AD862" s="3">
        <f>IF(AND(E862&lt;&gt;"",E862&gt;=Controls!$B$21,E862&lt;=Controls!$B$22),1,0)</f>
        <v/>
      </c>
      <c r="AE862" s="3">
        <f>IF(IFERROR(VLOOKUP(D862,Controls!$A$36:$E$46,2,FALSE()),"No")="Yes",1,0)</f>
        <v/>
      </c>
      <c r="AF862" s="3">
        <f>IF(IFERROR(VLOOKUP(D862,Controls!$A$36:$E$46,3,FALSE()),"No")="Yes",1,0)</f>
        <v/>
      </c>
      <c r="AG862" s="3">
        <f>IF(IFERROR(VLOOKUP(D862,Controls!$A$36:$E$46,4,FALSE()),"No")="Yes",1,0)</f>
        <v/>
      </c>
      <c r="AH862" s="3">
        <f>IF(IFERROR(VLOOKUP(D862,Controls!$A$36:$E$46,5,FALSE()),"No")="Yes",1,0)</f>
        <v/>
      </c>
      <c r="AI862" s="3">
        <f>IF(ISNUMBER(MATCH(D862,Controls!$A$36:$A$46,0)),1,0)</f>
        <v/>
      </c>
      <c r="AJ862" s="28">
        <f>Q862-N862</f>
        <v/>
      </c>
      <c r="AK862" s="3">
        <f>IF(AE862=1,MAX(0,N862-Q862),0)</f>
        <v/>
      </c>
      <c r="AL862" s="3">
        <f>IF(OR(V862="",V862=0),0,N862/V862)</f>
        <v/>
      </c>
      <c r="AM862" s="3">
        <f>IF(OR(V862="",V862=0),0,1)</f>
        <v/>
      </c>
      <c r="AN862" s="3">
        <f>IF(OR(E862="",F862=""),0,NETWORKDAYS(E862,F862,Ref!$K$2:$K$42))</f>
        <v/>
      </c>
      <c r="AO862" s="3">
        <f>IF(L862="Renewal",1,0)</f>
        <v/>
      </c>
      <c r="AP862" s="3">
        <f>AC862*AD862</f>
        <v/>
      </c>
      <c r="AQ862" s="3">
        <f>IF(AND(G862&lt;&gt;"",'Historical Score'!$C$6&lt;&gt;""),IF(G862='Historical Score'!$C$6,1,0),0)</f>
        <v/>
      </c>
      <c r="AR862" s="3">
        <f>IF(AND(L862&lt;&gt;"",'Historical Score'!$C$5&lt;&gt;""),IF(L862='Historical Score'!$C$5,1,0),0)</f>
        <v/>
      </c>
      <c r="AS862" s="3">
        <f>IF(AND(Y862&lt;&gt;"",'Historical Score'!$C$7&lt;&gt;""),IF(Y862='Historical Score'!$C$7,1,0),0)</f>
        <v/>
      </c>
      <c r="AT862" s="3">
        <f>IF(AND(K862&lt;&gt;"",'Historical Score'!$C$8&lt;&gt;""),IF(K862='Historical Score'!$C$8,1,0),0)</f>
        <v/>
      </c>
      <c r="AU862" s="3" t="n"/>
      <c r="AV862" s="3" t="n"/>
      <c r="AW862" s="3" t="n"/>
      <c r="AX862" s="3" t="n"/>
      <c r="AY862" s="3" t="n"/>
      <c r="AZ862" s="3" t="n"/>
      <c r="BA862" s="182">
        <f>IF(AD862=1,(AR862*'Historical Score'!$K$29+1-'Historical Score'!$K$29)*(AT862*'Historical Score'!$L$29+1-'Historical Score'!$L$29)*(AS862*'Historical Score'!$M$29+1-'Historical Score'!$M$29)*(AQ862*'Historical Score'!$N$29+1-'Historical Score'!$N$29),0)</f>
        <v/>
      </c>
      <c r="BB862" s="3" t="n"/>
      <c r="BC862" s="3" t="n"/>
    </row>
    <row r="863" ht="15.75" customHeight="1" s="174">
      <c r="A863" s="3" t="inlineStr">
        <is>
          <t>5674183565</t>
        </is>
      </c>
      <c r="B863" s="3" t="inlineStr">
        <is>
          <t>PLATINUM PARTNERS EST LLC</t>
        </is>
      </c>
      <c r="C863" s="3" t="inlineStr">
        <is>
          <t>PLATINUM PARTNERS EST LLC</t>
        </is>
      </c>
      <c r="D863" s="3" t="inlineStr">
        <is>
          <t>Legal</t>
        </is>
      </c>
      <c r="E863" s="23" t="n">
        <v>46155</v>
      </c>
      <c r="F863" s="23" t="n">
        <v>46199</v>
      </c>
      <c r="G863" s="3" t="n">
        <v>3</v>
      </c>
      <c r="H863" s="3" t="inlineStr">
        <is>
          <t>6531</t>
        </is>
      </c>
      <c r="I863" s="3" t="inlineStr">
        <is>
          <t>65</t>
        </is>
      </c>
      <c r="J863" s="3" t="inlineStr">
        <is>
          <t>SC</t>
        </is>
      </c>
      <c r="K863" s="3" t="inlineStr">
        <is>
          <t>DBS FUNDING GROUP</t>
        </is>
      </c>
      <c r="L863" s="3" t="inlineStr">
        <is>
          <t>New Deal</t>
        </is>
      </c>
      <c r="M863" s="3" t="n">
        <v>1.49</v>
      </c>
      <c r="N863" s="28" t="n">
        <v>17000</v>
      </c>
      <c r="O863" s="28" t="n">
        <v>0</v>
      </c>
      <c r="P863" s="28" t="n">
        <v>25330</v>
      </c>
      <c r="Q863" s="28" t="n">
        <v>2533.95</v>
      </c>
      <c r="R863" s="28" t="n">
        <v>22796.05</v>
      </c>
      <c r="S863" s="42" t="n">
        <v>0.10003750493486</v>
      </c>
      <c r="T863" s="3" t="n">
        <v>1.639</v>
      </c>
      <c r="U863" s="3" t="n">
        <v>23</v>
      </c>
      <c r="V863" s="3" t="n">
        <v>84734.25</v>
      </c>
      <c r="W863" s="42" t="n">
        <v>0.1256</v>
      </c>
      <c r="X863" s="23" t="n">
        <v>43910</v>
      </c>
      <c r="Y863" s="3">
        <f>IF(I863="","No SIC",IFERROR(VLOOKUP(I863,Ref!$A$2:$B$65,2,FALSE()),"Unclassified"))</f>
        <v/>
      </c>
      <c r="Z863" s="3">
        <f>IF(T863="","",IF(T863&lt;12,"Daily","Weekly"))</f>
        <v/>
      </c>
      <c r="AA863" s="3">
        <f>IF(T863="",0,IF(T863&lt;12,T863*Controls!$B$13,T863*5))</f>
        <v/>
      </c>
      <c r="AB863" s="3">
        <f>IF(E863="",0,NETWORKDAYS(E863,Controls!$B$20,Ref!$K$2:$K$42))</f>
        <v/>
      </c>
      <c r="AC863" s="3">
        <f>IF(OR(AF863=1,AND(AA863&gt;0,AB863&gt;=Controls!$B$23*AA863)),1,0)</f>
        <v/>
      </c>
      <c r="AD863" s="3">
        <f>IF(AND(E863&lt;&gt;"",E863&gt;=Controls!$B$21,E863&lt;=Controls!$B$22),1,0)</f>
        <v/>
      </c>
      <c r="AE863" s="3">
        <f>IF(IFERROR(VLOOKUP(D863,Controls!$A$36:$E$46,2,FALSE()),"No")="Yes",1,0)</f>
        <v/>
      </c>
      <c r="AF863" s="3">
        <f>IF(IFERROR(VLOOKUP(D863,Controls!$A$36:$E$46,3,FALSE()),"No")="Yes",1,0)</f>
        <v/>
      </c>
      <c r="AG863" s="3">
        <f>IF(IFERROR(VLOOKUP(D863,Controls!$A$36:$E$46,4,FALSE()),"No")="Yes",1,0)</f>
        <v/>
      </c>
      <c r="AH863" s="3">
        <f>IF(IFERROR(VLOOKUP(D863,Controls!$A$36:$E$46,5,FALSE()),"No")="Yes",1,0)</f>
        <v/>
      </c>
      <c r="AI863" s="3">
        <f>IF(ISNUMBER(MATCH(D863,Controls!$A$36:$A$46,0)),1,0)</f>
        <v/>
      </c>
      <c r="AJ863" s="28">
        <f>Q863-N863</f>
        <v/>
      </c>
      <c r="AK863" s="3">
        <f>IF(AE863=1,MAX(0,N863-Q863),0)</f>
        <v/>
      </c>
      <c r="AL863" s="3">
        <f>IF(OR(V863="",V863=0),0,N863/V863)</f>
        <v/>
      </c>
      <c r="AM863" s="3">
        <f>IF(OR(V863="",V863=0),0,1)</f>
        <v/>
      </c>
      <c r="AN863" s="3">
        <f>IF(OR(E863="",F863=""),0,NETWORKDAYS(E863,F863,Ref!$K$2:$K$42))</f>
        <v/>
      </c>
      <c r="AO863" s="3">
        <f>IF(L863="Renewal",1,0)</f>
        <v/>
      </c>
      <c r="AP863" s="3">
        <f>AC863*AD863</f>
        <v/>
      </c>
      <c r="AQ863" s="3">
        <f>IF(AND(G863&lt;&gt;"",'Historical Score'!$C$6&lt;&gt;""),IF(G863='Historical Score'!$C$6,1,0),0)</f>
        <v/>
      </c>
      <c r="AR863" s="3">
        <f>IF(AND(L863&lt;&gt;"",'Historical Score'!$C$5&lt;&gt;""),IF(L863='Historical Score'!$C$5,1,0),0)</f>
        <v/>
      </c>
      <c r="AS863" s="3">
        <f>IF(AND(Y863&lt;&gt;"",'Historical Score'!$C$7&lt;&gt;""),IF(Y863='Historical Score'!$C$7,1,0),0)</f>
        <v/>
      </c>
      <c r="AT863" s="3">
        <f>IF(AND(K863&lt;&gt;"",'Historical Score'!$C$8&lt;&gt;""),IF(K863='Historical Score'!$C$8,1,0),0)</f>
        <v/>
      </c>
      <c r="AU863" s="3" t="n"/>
      <c r="AV863" s="3" t="n"/>
      <c r="AW863" s="3" t="n"/>
      <c r="AX863" s="3" t="n"/>
      <c r="AY863" s="3" t="n"/>
      <c r="AZ863" s="3" t="n"/>
      <c r="BA863" s="182">
        <f>IF(AD863=1,(AR863*'Historical Score'!$K$29+1-'Historical Score'!$K$29)*(AT863*'Historical Score'!$L$29+1-'Historical Score'!$L$29)*(AS863*'Historical Score'!$M$29+1-'Historical Score'!$M$29)*(AQ863*'Historical Score'!$N$29+1-'Historical Score'!$N$29),0)</f>
        <v/>
      </c>
      <c r="BB863" s="3" t="n"/>
      <c r="BC863" s="3" t="n"/>
    </row>
    <row r="864" ht="15.75" customHeight="1" s="174">
      <c r="A864" s="3" t="inlineStr">
        <is>
          <t>5674183566</t>
        </is>
      </c>
      <c r="B864" s="3" t="inlineStr">
        <is>
          <t>MOISES MARES AGUILAR</t>
        </is>
      </c>
      <c r="C864" s="3" t="inlineStr">
        <is>
          <t>MOISES MARES AGUILAR</t>
        </is>
      </c>
      <c r="D864" s="3" t="inlineStr">
        <is>
          <t>Open</t>
        </is>
      </c>
      <c r="E864" s="23" t="n">
        <v>46155</v>
      </c>
      <c r="F864" s="23" t="n">
        <v>46251</v>
      </c>
      <c r="G864" s="3" t="n">
        <v>3</v>
      </c>
      <c r="H864" s="3" t="inlineStr">
        <is>
          <t>7538</t>
        </is>
      </c>
      <c r="I864" s="3" t="inlineStr">
        <is>
          <t>75</t>
        </is>
      </c>
      <c r="J864" s="3" t="inlineStr">
        <is>
          <t>TX</t>
        </is>
      </c>
      <c r="K864" s="3" t="inlineStr">
        <is>
          <t>United Secured Capital 8</t>
        </is>
      </c>
      <c r="L864" s="3" t="inlineStr">
        <is>
          <t>Renewal</t>
        </is>
      </c>
      <c r="M864" s="3" t="n">
        <v>1.44</v>
      </c>
      <c r="N864" s="28" t="n">
        <v>58000</v>
      </c>
      <c r="O864" s="28" t="n">
        <v>6670</v>
      </c>
      <c r="P864" s="28" t="n">
        <v>83520</v>
      </c>
      <c r="Q864" s="28" t="n">
        <v>36525.02</v>
      </c>
      <c r="R864" s="28" t="n">
        <v>46994.98</v>
      </c>
      <c r="S864" s="42" t="n">
        <v>0.437320641762452</v>
      </c>
      <c r="T864" s="3" t="n">
        <v>32</v>
      </c>
      <c r="U864" s="3" t="n">
        <v>0</v>
      </c>
      <c r="V864" s="3" t="n">
        <v>135177.51</v>
      </c>
      <c r="W864" s="42" t="n">
        <v>0.0772</v>
      </c>
      <c r="X864" s="23" t="n"/>
      <c r="Y864" s="3">
        <f>IF(I864="","No SIC",IFERROR(VLOOKUP(I864,Ref!$A$2:$B$65,2,FALSE()),"Unclassified"))</f>
        <v/>
      </c>
      <c r="Z864" s="3">
        <f>IF(T864="","",IF(T864&lt;12,"Daily","Weekly"))</f>
        <v/>
      </c>
      <c r="AA864" s="3">
        <f>IF(T864="",0,IF(T864&lt;12,T864*Controls!$B$13,T864*5))</f>
        <v/>
      </c>
      <c r="AB864" s="3">
        <f>IF(E864="",0,NETWORKDAYS(E864,Controls!$B$20,Ref!$K$2:$K$42))</f>
        <v/>
      </c>
      <c r="AC864" s="3">
        <f>IF(OR(AF864=1,AND(AA864&gt;0,AB864&gt;=Controls!$B$23*AA864)),1,0)</f>
        <v/>
      </c>
      <c r="AD864" s="3">
        <f>IF(AND(E864&lt;&gt;"",E864&gt;=Controls!$B$21,E864&lt;=Controls!$B$22),1,0)</f>
        <v/>
      </c>
      <c r="AE864" s="3">
        <f>IF(IFERROR(VLOOKUP(D864,Controls!$A$36:$E$46,2,FALSE()),"No")="Yes",1,0)</f>
        <v/>
      </c>
      <c r="AF864" s="3">
        <f>IF(IFERROR(VLOOKUP(D864,Controls!$A$36:$E$46,3,FALSE()),"No")="Yes",1,0)</f>
        <v/>
      </c>
      <c r="AG864" s="3">
        <f>IF(IFERROR(VLOOKUP(D864,Controls!$A$36:$E$46,4,FALSE()),"No")="Yes",1,0)</f>
        <v/>
      </c>
      <c r="AH864" s="3">
        <f>IF(IFERROR(VLOOKUP(D864,Controls!$A$36:$E$46,5,FALSE()),"No")="Yes",1,0)</f>
        <v/>
      </c>
      <c r="AI864" s="3">
        <f>IF(ISNUMBER(MATCH(D864,Controls!$A$36:$A$46,0)),1,0)</f>
        <v/>
      </c>
      <c r="AJ864" s="28">
        <f>Q864-N864</f>
        <v/>
      </c>
      <c r="AK864" s="3">
        <f>IF(AE864=1,MAX(0,N864-Q864),0)</f>
        <v/>
      </c>
      <c r="AL864" s="3">
        <f>IF(OR(V864="",V864=0),0,N864/V864)</f>
        <v/>
      </c>
      <c r="AM864" s="3">
        <f>IF(OR(V864="",V864=0),0,1)</f>
        <v/>
      </c>
      <c r="AN864" s="3">
        <f>IF(OR(E864="",F864=""),0,NETWORKDAYS(E864,F864,Ref!$K$2:$K$42))</f>
        <v/>
      </c>
      <c r="AO864" s="3">
        <f>IF(L864="Renewal",1,0)</f>
        <v/>
      </c>
      <c r="AP864" s="3">
        <f>AC864*AD864</f>
        <v/>
      </c>
      <c r="AQ864" s="3">
        <f>IF(AND(G864&lt;&gt;"",'Historical Score'!$C$6&lt;&gt;""),IF(G864='Historical Score'!$C$6,1,0),0)</f>
        <v/>
      </c>
      <c r="AR864" s="3">
        <f>IF(AND(L864&lt;&gt;"",'Historical Score'!$C$5&lt;&gt;""),IF(L864='Historical Score'!$C$5,1,0),0)</f>
        <v/>
      </c>
      <c r="AS864" s="3">
        <f>IF(AND(Y864&lt;&gt;"",'Historical Score'!$C$7&lt;&gt;""),IF(Y864='Historical Score'!$C$7,1,0),0)</f>
        <v/>
      </c>
      <c r="AT864" s="3">
        <f>IF(AND(K864&lt;&gt;"",'Historical Score'!$C$8&lt;&gt;""),IF(K864='Historical Score'!$C$8,1,0),0)</f>
        <v/>
      </c>
      <c r="AU864" s="3" t="n"/>
      <c r="AV864" s="3" t="n"/>
      <c r="AW864" s="3" t="n"/>
      <c r="AX864" s="3" t="n"/>
      <c r="AY864" s="3" t="n"/>
      <c r="AZ864" s="3" t="n"/>
      <c r="BA864" s="182">
        <f>IF(AD864=1,(AR864*'Historical Score'!$K$29+1-'Historical Score'!$K$29)*(AT864*'Historical Score'!$L$29+1-'Historical Score'!$L$29)*(AS864*'Historical Score'!$M$29+1-'Historical Score'!$M$29)*(AQ864*'Historical Score'!$N$29+1-'Historical Score'!$N$29),0)</f>
        <v/>
      </c>
      <c r="BB864" s="3" t="n"/>
      <c r="BC864" s="3" t="n"/>
    </row>
    <row r="865" ht="15.75" customHeight="1" s="174">
      <c r="A865" s="3" t="inlineStr">
        <is>
          <t>5674183568</t>
        </is>
      </c>
      <c r="B865" s="3" t="inlineStr">
        <is>
          <t>The beauty Clinic Med Spa</t>
        </is>
      </c>
      <c r="C865" s="3" t="inlineStr">
        <is>
          <t>THE BEAUTY CLINIC MED SPA INC</t>
        </is>
      </c>
      <c r="D865" s="3" t="inlineStr">
        <is>
          <t>Open</t>
        </is>
      </c>
      <c r="E865" s="23" t="n">
        <v>46155</v>
      </c>
      <c r="F865" s="23" t="n">
        <v>46248</v>
      </c>
      <c r="G865" s="3" t="n">
        <v>3</v>
      </c>
      <c r="H865" s="3" t="inlineStr">
        <is>
          <t>7231</t>
        </is>
      </c>
      <c r="I865" s="3" t="inlineStr">
        <is>
          <t>72</t>
        </is>
      </c>
      <c r="J865" s="3" t="inlineStr">
        <is>
          <t>TX</t>
        </is>
      </c>
      <c r="K865" s="3" t="inlineStr">
        <is>
          <t>Ballicci</t>
        </is>
      </c>
      <c r="L865" s="3" t="inlineStr">
        <is>
          <t>New Deal</t>
        </is>
      </c>
      <c r="M865" s="3" t="n">
        <v>1.49</v>
      </c>
      <c r="N865" s="28" t="n">
        <v>15000</v>
      </c>
      <c r="O865" s="28" t="n">
        <v>2100</v>
      </c>
      <c r="P865" s="28" t="n">
        <v>22350</v>
      </c>
      <c r="Q865" s="28" t="n">
        <v>13035.54</v>
      </c>
      <c r="R865" s="28" t="n">
        <v>9314.459999999999</v>
      </c>
      <c r="S865" s="42" t="n">
        <v>0.583245637583893</v>
      </c>
      <c r="T865" s="3" t="n">
        <v>24</v>
      </c>
      <c r="U865" s="3" t="n">
        <v>0</v>
      </c>
      <c r="V865" s="3" t="n">
        <v>26698.44</v>
      </c>
      <c r="W865" s="42" t="n">
        <v>0.1395</v>
      </c>
      <c r="X865" s="23" t="n">
        <v>37622</v>
      </c>
      <c r="Y865" s="3">
        <f>IF(I865="","No SIC",IFERROR(VLOOKUP(I865,Ref!$A$2:$B$65,2,FALSE()),"Unclassified"))</f>
        <v/>
      </c>
      <c r="Z865" s="3">
        <f>IF(T865="","",IF(T865&lt;12,"Daily","Weekly"))</f>
        <v/>
      </c>
      <c r="AA865" s="3">
        <f>IF(T865="",0,IF(T865&lt;12,T865*Controls!$B$13,T865*5))</f>
        <v/>
      </c>
      <c r="AB865" s="3">
        <f>IF(E865="",0,NETWORKDAYS(E865,Controls!$B$20,Ref!$K$2:$K$42))</f>
        <v/>
      </c>
      <c r="AC865" s="3">
        <f>IF(OR(AF865=1,AND(AA865&gt;0,AB865&gt;=Controls!$B$23*AA865)),1,0)</f>
        <v/>
      </c>
      <c r="AD865" s="3">
        <f>IF(AND(E865&lt;&gt;"",E865&gt;=Controls!$B$21,E865&lt;=Controls!$B$22),1,0)</f>
        <v/>
      </c>
      <c r="AE865" s="3">
        <f>IF(IFERROR(VLOOKUP(D865,Controls!$A$36:$E$46,2,FALSE()),"No")="Yes",1,0)</f>
        <v/>
      </c>
      <c r="AF865" s="3">
        <f>IF(IFERROR(VLOOKUP(D865,Controls!$A$36:$E$46,3,FALSE()),"No")="Yes",1,0)</f>
        <v/>
      </c>
      <c r="AG865" s="3">
        <f>IF(IFERROR(VLOOKUP(D865,Controls!$A$36:$E$46,4,FALSE()),"No")="Yes",1,0)</f>
        <v/>
      </c>
      <c r="AH865" s="3">
        <f>IF(IFERROR(VLOOKUP(D865,Controls!$A$36:$E$46,5,FALSE()),"No")="Yes",1,0)</f>
        <v/>
      </c>
      <c r="AI865" s="3">
        <f>IF(ISNUMBER(MATCH(D865,Controls!$A$36:$A$46,0)),1,0)</f>
        <v/>
      </c>
      <c r="AJ865" s="28">
        <f>Q865-N865</f>
        <v/>
      </c>
      <c r="AK865" s="3">
        <f>IF(AE865=1,MAX(0,N865-Q865),0)</f>
        <v/>
      </c>
      <c r="AL865" s="3">
        <f>IF(OR(V865="",V865=0),0,N865/V865)</f>
        <v/>
      </c>
      <c r="AM865" s="3">
        <f>IF(OR(V865="",V865=0),0,1)</f>
        <v/>
      </c>
      <c r="AN865" s="3">
        <f>IF(OR(E865="",F865=""),0,NETWORKDAYS(E865,F865,Ref!$K$2:$K$42))</f>
        <v/>
      </c>
      <c r="AO865" s="3">
        <f>IF(L865="Renewal",1,0)</f>
        <v/>
      </c>
      <c r="AP865" s="3">
        <f>AC865*AD865</f>
        <v/>
      </c>
      <c r="AQ865" s="3">
        <f>IF(AND(G865&lt;&gt;"",'Historical Score'!$C$6&lt;&gt;""),IF(G865='Historical Score'!$C$6,1,0),0)</f>
        <v/>
      </c>
      <c r="AR865" s="3">
        <f>IF(AND(L865&lt;&gt;"",'Historical Score'!$C$5&lt;&gt;""),IF(L865='Historical Score'!$C$5,1,0),0)</f>
        <v/>
      </c>
      <c r="AS865" s="3">
        <f>IF(AND(Y865&lt;&gt;"",'Historical Score'!$C$7&lt;&gt;""),IF(Y865='Historical Score'!$C$7,1,0),0)</f>
        <v/>
      </c>
      <c r="AT865" s="3">
        <f>IF(AND(K865&lt;&gt;"",'Historical Score'!$C$8&lt;&gt;""),IF(K865='Historical Score'!$C$8,1,0),0)</f>
        <v/>
      </c>
      <c r="AU865" s="3" t="n"/>
      <c r="AV865" s="3" t="n"/>
      <c r="AW865" s="3" t="n"/>
      <c r="AX865" s="3" t="n"/>
      <c r="AY865" s="3" t="n"/>
      <c r="AZ865" s="3" t="n"/>
      <c r="BA865" s="182">
        <f>IF(AD865=1,(AR865*'Historical Score'!$K$29+1-'Historical Score'!$K$29)*(AT865*'Historical Score'!$L$29+1-'Historical Score'!$L$29)*(AS865*'Historical Score'!$M$29+1-'Historical Score'!$M$29)*(AQ865*'Historical Score'!$N$29+1-'Historical Score'!$N$29),0)</f>
        <v/>
      </c>
      <c r="BB865" s="3" t="n"/>
      <c r="BC865" s="3" t="n"/>
    </row>
    <row r="866" ht="15.75" customHeight="1" s="174">
      <c r="A866" s="3" t="inlineStr">
        <is>
          <t>5674183576</t>
        </is>
      </c>
      <c r="B866" s="3" t="inlineStr">
        <is>
          <t>Barberia calle loiza</t>
        </is>
      </c>
      <c r="C866" s="3" t="inlineStr">
        <is>
          <t>Barberia calle loiza</t>
        </is>
      </c>
      <c r="D866" s="3" t="inlineStr">
        <is>
          <t>Closed</t>
        </is>
      </c>
      <c r="E866" s="23" t="n">
        <v>46155</v>
      </c>
      <c r="F866" s="23" t="n">
        <v>46244</v>
      </c>
      <c r="G866" s="3" t="n">
        <v>3</v>
      </c>
      <c r="H866" s="3" t="inlineStr">
        <is>
          <t>7241</t>
        </is>
      </c>
      <c r="I866" s="3" t="inlineStr">
        <is>
          <t>72</t>
        </is>
      </c>
      <c r="J866" s="3" t="inlineStr">
        <is>
          <t>PR</t>
        </is>
      </c>
      <c r="K866" s="3" t="inlineStr">
        <is>
          <t>Siriux internacional corp</t>
        </is>
      </c>
      <c r="L866" s="3" t="inlineStr">
        <is>
          <t>Renewal</t>
        </is>
      </c>
      <c r="M866" s="3" t="n">
        <v>1.49</v>
      </c>
      <c r="N866" s="28" t="n">
        <v>10000</v>
      </c>
      <c r="O866" s="28" t="n">
        <v>1400</v>
      </c>
      <c r="P866" s="28" t="n">
        <v>14900</v>
      </c>
      <c r="Q866" s="28" t="n">
        <v>14900</v>
      </c>
      <c r="R866" s="28" t="n">
        <v>0</v>
      </c>
      <c r="S866" s="42" t="n">
        <v>1</v>
      </c>
      <c r="T866" s="3" t="n">
        <v>2.951</v>
      </c>
      <c r="U866" s="3" t="n">
        <v>0</v>
      </c>
      <c r="V866" s="3" t="n">
        <v>24522.78</v>
      </c>
      <c r="W866" s="42" t="n">
        <v>0.1418</v>
      </c>
      <c r="X866" s="23" t="n">
        <v>42309</v>
      </c>
      <c r="Y866" s="3">
        <f>IF(I866="","No SIC",IFERROR(VLOOKUP(I866,Ref!$A$2:$B$65,2,FALSE()),"Unclassified"))</f>
        <v/>
      </c>
      <c r="Z866" s="3">
        <f>IF(T866="","",IF(T866&lt;12,"Daily","Weekly"))</f>
        <v/>
      </c>
      <c r="AA866" s="3">
        <f>IF(T866="",0,IF(T866&lt;12,T866*Controls!$B$13,T866*5))</f>
        <v/>
      </c>
      <c r="AB866" s="3">
        <f>IF(E866="",0,NETWORKDAYS(E866,Controls!$B$20,Ref!$K$2:$K$42))</f>
        <v/>
      </c>
      <c r="AC866" s="3">
        <f>IF(OR(AF866=1,AND(AA866&gt;0,AB866&gt;=Controls!$B$23*AA866)),1,0)</f>
        <v/>
      </c>
      <c r="AD866" s="3">
        <f>IF(AND(E866&lt;&gt;"",E866&gt;=Controls!$B$21,E866&lt;=Controls!$B$22),1,0)</f>
        <v/>
      </c>
      <c r="AE866" s="3">
        <f>IF(IFERROR(VLOOKUP(D866,Controls!$A$36:$E$46,2,FALSE()),"No")="Yes",1,0)</f>
        <v/>
      </c>
      <c r="AF866" s="3">
        <f>IF(IFERROR(VLOOKUP(D866,Controls!$A$36:$E$46,3,FALSE()),"No")="Yes",1,0)</f>
        <v/>
      </c>
      <c r="AG866" s="3">
        <f>IF(IFERROR(VLOOKUP(D866,Controls!$A$36:$E$46,4,FALSE()),"No")="Yes",1,0)</f>
        <v/>
      </c>
      <c r="AH866" s="3">
        <f>IF(IFERROR(VLOOKUP(D866,Controls!$A$36:$E$46,5,FALSE()),"No")="Yes",1,0)</f>
        <v/>
      </c>
      <c r="AI866" s="3">
        <f>IF(ISNUMBER(MATCH(D866,Controls!$A$36:$A$46,0)),1,0)</f>
        <v/>
      </c>
      <c r="AJ866" s="28">
        <f>Q866-N866</f>
        <v/>
      </c>
      <c r="AK866" s="3">
        <f>IF(AE866=1,MAX(0,N866-Q866),0)</f>
        <v/>
      </c>
      <c r="AL866" s="3">
        <f>IF(OR(V866="",V866=0),0,N866/V866)</f>
        <v/>
      </c>
      <c r="AM866" s="3">
        <f>IF(OR(V866="",V866=0),0,1)</f>
        <v/>
      </c>
      <c r="AN866" s="3">
        <f>IF(OR(E866="",F866=""),0,NETWORKDAYS(E866,F866,Ref!$K$2:$K$42))</f>
        <v/>
      </c>
      <c r="AO866" s="3">
        <f>IF(L866="Renewal",1,0)</f>
        <v/>
      </c>
      <c r="AP866" s="3">
        <f>AC866*AD866</f>
        <v/>
      </c>
      <c r="AQ866" s="3">
        <f>IF(AND(G866&lt;&gt;"",'Historical Score'!$C$6&lt;&gt;""),IF(G866='Historical Score'!$C$6,1,0),0)</f>
        <v/>
      </c>
      <c r="AR866" s="3">
        <f>IF(AND(L866&lt;&gt;"",'Historical Score'!$C$5&lt;&gt;""),IF(L866='Historical Score'!$C$5,1,0),0)</f>
        <v/>
      </c>
      <c r="AS866" s="3">
        <f>IF(AND(Y866&lt;&gt;"",'Historical Score'!$C$7&lt;&gt;""),IF(Y866='Historical Score'!$C$7,1,0),0)</f>
        <v/>
      </c>
      <c r="AT866" s="3">
        <f>IF(AND(K866&lt;&gt;"",'Historical Score'!$C$8&lt;&gt;""),IF(K866='Historical Score'!$C$8,1,0),0)</f>
        <v/>
      </c>
      <c r="AU866" s="3" t="n"/>
      <c r="AV866" s="3" t="n"/>
      <c r="AW866" s="3" t="n"/>
      <c r="AX866" s="3" t="n"/>
      <c r="AY866" s="3" t="n"/>
      <c r="AZ866" s="3" t="n"/>
      <c r="BA866" s="182">
        <f>IF(AD866=1,(AR866*'Historical Score'!$K$29+1-'Historical Score'!$K$29)*(AT866*'Historical Score'!$L$29+1-'Historical Score'!$L$29)*(AS866*'Historical Score'!$M$29+1-'Historical Score'!$M$29)*(AQ866*'Historical Score'!$N$29+1-'Historical Score'!$N$29),0)</f>
        <v/>
      </c>
      <c r="BB866" s="3" t="n"/>
      <c r="BC866" s="3" t="n"/>
    </row>
    <row r="867" ht="15.75" customHeight="1" s="174">
      <c r="A867" s="3" t="inlineStr">
        <is>
          <t>5674183596</t>
        </is>
      </c>
      <c r="B867" s="3" t="inlineStr">
        <is>
          <t>Jordan services llc</t>
        </is>
      </c>
      <c r="C867" s="3" t="inlineStr">
        <is>
          <t>Jordan services llc</t>
        </is>
      </c>
      <c r="D867" s="3" t="inlineStr">
        <is>
          <t>Open</t>
        </is>
      </c>
      <c r="E867" s="23" t="n">
        <v>46155</v>
      </c>
      <c r="F867" s="23" t="n">
        <v>46253</v>
      </c>
      <c r="G867" s="3" t="n">
        <v>3</v>
      </c>
      <c r="H867" s="3" t="inlineStr">
        <is>
          <t>5999</t>
        </is>
      </c>
      <c r="I867" s="3" t="inlineStr">
        <is>
          <t>59</t>
        </is>
      </c>
      <c r="J867" s="3" t="inlineStr">
        <is>
          <t>No state</t>
        </is>
      </c>
      <c r="K867" s="3" t="inlineStr">
        <is>
          <t>Redline Capital</t>
        </is>
      </c>
      <c r="L867" s="3" t="inlineStr">
        <is>
          <t>New Deal</t>
        </is>
      </c>
      <c r="M867" s="3" t="n">
        <v>1.49</v>
      </c>
      <c r="N867" s="28" t="n">
        <v>10000</v>
      </c>
      <c r="O867" s="28" t="n">
        <v>1400</v>
      </c>
      <c r="P867" s="28" t="n">
        <v>14900</v>
      </c>
      <c r="Q867" s="28" t="n">
        <v>10126.56</v>
      </c>
      <c r="R867" s="28" t="n">
        <v>4773.44</v>
      </c>
      <c r="S867" s="42" t="n">
        <v>0.679634899328859</v>
      </c>
      <c r="T867" s="3" t="n">
        <v>3.279</v>
      </c>
      <c r="U867" s="3" t="n">
        <v>0</v>
      </c>
      <c r="V867" s="3" t="n">
        <v>40562.51</v>
      </c>
      <c r="W867" s="42" t="n">
        <v>0.0771</v>
      </c>
      <c r="X867" s="23" t="n">
        <v>42675</v>
      </c>
      <c r="Y867" s="3">
        <f>IF(I867="","No SIC",IFERROR(VLOOKUP(I867,Ref!$A$2:$B$65,2,FALSE()),"Unclassified"))</f>
        <v/>
      </c>
      <c r="Z867" s="3">
        <f>IF(T867="","",IF(T867&lt;12,"Daily","Weekly"))</f>
        <v/>
      </c>
      <c r="AA867" s="3">
        <f>IF(T867="",0,IF(T867&lt;12,T867*Controls!$B$13,T867*5))</f>
        <v/>
      </c>
      <c r="AB867" s="3">
        <f>IF(E867="",0,NETWORKDAYS(E867,Controls!$B$20,Ref!$K$2:$K$42))</f>
        <v/>
      </c>
      <c r="AC867" s="3">
        <f>IF(OR(AF867=1,AND(AA867&gt;0,AB867&gt;=Controls!$B$23*AA867)),1,0)</f>
        <v/>
      </c>
      <c r="AD867" s="3">
        <f>IF(AND(E867&lt;&gt;"",E867&gt;=Controls!$B$21,E867&lt;=Controls!$B$22),1,0)</f>
        <v/>
      </c>
      <c r="AE867" s="3">
        <f>IF(IFERROR(VLOOKUP(D867,Controls!$A$36:$E$46,2,FALSE()),"No")="Yes",1,0)</f>
        <v/>
      </c>
      <c r="AF867" s="3">
        <f>IF(IFERROR(VLOOKUP(D867,Controls!$A$36:$E$46,3,FALSE()),"No")="Yes",1,0)</f>
        <v/>
      </c>
      <c r="AG867" s="3">
        <f>IF(IFERROR(VLOOKUP(D867,Controls!$A$36:$E$46,4,FALSE()),"No")="Yes",1,0)</f>
        <v/>
      </c>
      <c r="AH867" s="3">
        <f>IF(IFERROR(VLOOKUP(D867,Controls!$A$36:$E$46,5,FALSE()),"No")="Yes",1,0)</f>
        <v/>
      </c>
      <c r="AI867" s="3">
        <f>IF(ISNUMBER(MATCH(D867,Controls!$A$36:$A$46,0)),1,0)</f>
        <v/>
      </c>
      <c r="AJ867" s="28">
        <f>Q867-N867</f>
        <v/>
      </c>
      <c r="AK867" s="3">
        <f>IF(AE867=1,MAX(0,N867-Q867),0)</f>
        <v/>
      </c>
      <c r="AL867" s="3">
        <f>IF(OR(V867="",V867=0),0,N867/V867)</f>
        <v/>
      </c>
      <c r="AM867" s="3">
        <f>IF(OR(V867="",V867=0),0,1)</f>
        <v/>
      </c>
      <c r="AN867" s="3">
        <f>IF(OR(E867="",F867=""),0,NETWORKDAYS(E867,F867,Ref!$K$2:$K$42))</f>
        <v/>
      </c>
      <c r="AO867" s="3">
        <f>IF(L867="Renewal",1,0)</f>
        <v/>
      </c>
      <c r="AP867" s="3">
        <f>AC867*AD867</f>
        <v/>
      </c>
      <c r="AQ867" s="3">
        <f>IF(AND(G867&lt;&gt;"",'Historical Score'!$C$6&lt;&gt;""),IF(G867='Historical Score'!$C$6,1,0),0)</f>
        <v/>
      </c>
      <c r="AR867" s="3">
        <f>IF(AND(L867&lt;&gt;"",'Historical Score'!$C$5&lt;&gt;""),IF(L867='Historical Score'!$C$5,1,0),0)</f>
        <v/>
      </c>
      <c r="AS867" s="3">
        <f>IF(AND(Y867&lt;&gt;"",'Historical Score'!$C$7&lt;&gt;""),IF(Y867='Historical Score'!$C$7,1,0),0)</f>
        <v/>
      </c>
      <c r="AT867" s="3">
        <f>IF(AND(K867&lt;&gt;"",'Historical Score'!$C$8&lt;&gt;""),IF(K867='Historical Score'!$C$8,1,0),0)</f>
        <v/>
      </c>
      <c r="AU867" s="3" t="n"/>
      <c r="AV867" s="3" t="n"/>
      <c r="AW867" s="3" t="n"/>
      <c r="AX867" s="3" t="n"/>
      <c r="AY867" s="3" t="n"/>
      <c r="AZ867" s="3" t="n"/>
      <c r="BA867" s="182">
        <f>IF(AD867=1,(AR867*'Historical Score'!$K$29+1-'Historical Score'!$K$29)*(AT867*'Historical Score'!$L$29+1-'Historical Score'!$L$29)*(AS867*'Historical Score'!$M$29+1-'Historical Score'!$M$29)*(AQ867*'Historical Score'!$N$29+1-'Historical Score'!$N$29),0)</f>
        <v/>
      </c>
      <c r="BB867" s="3" t="n"/>
      <c r="BC867" s="3" t="n"/>
    </row>
    <row r="868" ht="15.75" customHeight="1" s="174">
      <c r="A868" s="3" t="inlineStr">
        <is>
          <t>5674183634</t>
        </is>
      </c>
      <c r="B868" s="3" t="inlineStr">
        <is>
          <t>Fiduol sxm llc</t>
        </is>
      </c>
      <c r="C868" s="3" t="inlineStr">
        <is>
          <t>Fiduol sxm llc</t>
        </is>
      </c>
      <c r="D868" s="3" t="inlineStr">
        <is>
          <t>Open</t>
        </is>
      </c>
      <c r="E868" s="23" t="n">
        <v>46156</v>
      </c>
      <c r="F868" s="23" t="n">
        <v>46252</v>
      </c>
      <c r="G868" s="3" t="n">
        <v>1</v>
      </c>
      <c r="H868" s="3" t="inlineStr">
        <is>
          <t>5812</t>
        </is>
      </c>
      <c r="I868" s="3" t="inlineStr">
        <is>
          <t>58</t>
        </is>
      </c>
      <c r="J868" s="3" t="inlineStr">
        <is>
          <t>FL</t>
        </is>
      </c>
      <c r="K868" s="3" t="inlineStr">
        <is>
          <t>Credibly</t>
        </is>
      </c>
      <c r="L868" s="3" t="inlineStr">
        <is>
          <t>New Deal</t>
        </is>
      </c>
      <c r="M868" s="3" t="n">
        <v>1.35</v>
      </c>
      <c r="N868" s="28" t="n">
        <v>70000</v>
      </c>
      <c r="O868" s="28" t="n">
        <v>4900</v>
      </c>
      <c r="P868" s="28" t="n">
        <v>94500</v>
      </c>
      <c r="Q868" s="28" t="n">
        <v>55085.1</v>
      </c>
      <c r="R868" s="28" t="n">
        <v>39414.9</v>
      </c>
      <c r="S868" s="42" t="n">
        <v>0.582911111111111</v>
      </c>
      <c r="T868" s="3" t="n">
        <v>24</v>
      </c>
      <c r="U868" s="3" t="n">
        <v>0</v>
      </c>
      <c r="V868" s="3" t="n">
        <v>382005.05</v>
      </c>
      <c r="W868" s="42" t="n">
        <v>0.0412</v>
      </c>
      <c r="X868" s="23" t="n">
        <v>45398</v>
      </c>
      <c r="Y868" s="3">
        <f>IF(I868="","No SIC",IFERROR(VLOOKUP(I868,Ref!$A$2:$B$65,2,FALSE()),"Unclassified"))</f>
        <v/>
      </c>
      <c r="Z868" s="3">
        <f>IF(T868="","",IF(T868&lt;12,"Daily","Weekly"))</f>
        <v/>
      </c>
      <c r="AA868" s="3">
        <f>IF(T868="",0,IF(T868&lt;12,T868*Controls!$B$13,T868*5))</f>
        <v/>
      </c>
      <c r="AB868" s="3">
        <f>IF(E868="",0,NETWORKDAYS(E868,Controls!$B$20,Ref!$K$2:$K$42))</f>
        <v/>
      </c>
      <c r="AC868" s="3">
        <f>IF(OR(AF868=1,AND(AA868&gt;0,AB868&gt;=Controls!$B$23*AA868)),1,0)</f>
        <v/>
      </c>
      <c r="AD868" s="3">
        <f>IF(AND(E868&lt;&gt;"",E868&gt;=Controls!$B$21,E868&lt;=Controls!$B$22),1,0)</f>
        <v/>
      </c>
      <c r="AE868" s="3">
        <f>IF(IFERROR(VLOOKUP(D868,Controls!$A$36:$E$46,2,FALSE()),"No")="Yes",1,0)</f>
        <v/>
      </c>
      <c r="AF868" s="3">
        <f>IF(IFERROR(VLOOKUP(D868,Controls!$A$36:$E$46,3,FALSE()),"No")="Yes",1,0)</f>
        <v/>
      </c>
      <c r="AG868" s="3">
        <f>IF(IFERROR(VLOOKUP(D868,Controls!$A$36:$E$46,4,FALSE()),"No")="Yes",1,0)</f>
        <v/>
      </c>
      <c r="AH868" s="3">
        <f>IF(IFERROR(VLOOKUP(D868,Controls!$A$36:$E$46,5,FALSE()),"No")="Yes",1,0)</f>
        <v/>
      </c>
      <c r="AI868" s="3">
        <f>IF(ISNUMBER(MATCH(D868,Controls!$A$36:$A$46,0)),1,0)</f>
        <v/>
      </c>
      <c r="AJ868" s="28">
        <f>Q868-N868</f>
        <v/>
      </c>
      <c r="AK868" s="3">
        <f>IF(AE868=1,MAX(0,N868-Q868),0)</f>
        <v/>
      </c>
      <c r="AL868" s="3">
        <f>IF(OR(V868="",V868=0),0,N868/V868)</f>
        <v/>
      </c>
      <c r="AM868" s="3">
        <f>IF(OR(V868="",V868=0),0,1)</f>
        <v/>
      </c>
      <c r="AN868" s="3">
        <f>IF(OR(E868="",F868=""),0,NETWORKDAYS(E868,F868,Ref!$K$2:$K$42))</f>
        <v/>
      </c>
      <c r="AO868" s="3">
        <f>IF(L868="Renewal",1,0)</f>
        <v/>
      </c>
      <c r="AP868" s="3">
        <f>AC868*AD868</f>
        <v/>
      </c>
      <c r="AQ868" s="3">
        <f>IF(AND(G868&lt;&gt;"",'Historical Score'!$C$6&lt;&gt;""),IF(G868='Historical Score'!$C$6,1,0),0)</f>
        <v/>
      </c>
      <c r="AR868" s="3">
        <f>IF(AND(L868&lt;&gt;"",'Historical Score'!$C$5&lt;&gt;""),IF(L868='Historical Score'!$C$5,1,0),0)</f>
        <v/>
      </c>
      <c r="AS868" s="3">
        <f>IF(AND(Y868&lt;&gt;"",'Historical Score'!$C$7&lt;&gt;""),IF(Y868='Historical Score'!$C$7,1,0),0)</f>
        <v/>
      </c>
      <c r="AT868" s="3">
        <f>IF(AND(K868&lt;&gt;"",'Historical Score'!$C$8&lt;&gt;""),IF(K868='Historical Score'!$C$8,1,0),0)</f>
        <v/>
      </c>
      <c r="AU868" s="3" t="n"/>
      <c r="AV868" s="3" t="n"/>
      <c r="AW868" s="3" t="n"/>
      <c r="AX868" s="3" t="n"/>
      <c r="AY868" s="3" t="n"/>
      <c r="AZ868" s="3" t="n"/>
      <c r="BA868" s="182">
        <f>IF(AD868=1,(AR868*'Historical Score'!$K$29+1-'Historical Score'!$K$29)*(AT868*'Historical Score'!$L$29+1-'Historical Score'!$L$29)*(AS868*'Historical Score'!$M$29+1-'Historical Score'!$M$29)*(AQ868*'Historical Score'!$N$29+1-'Historical Score'!$N$29),0)</f>
        <v/>
      </c>
      <c r="BB868" s="3" t="n"/>
      <c r="BC868" s="3" t="n"/>
    </row>
    <row r="869" ht="15.75" customHeight="1" s="174">
      <c r="A869" s="3" t="inlineStr">
        <is>
          <t>5674183658</t>
        </is>
      </c>
      <c r="B869" s="3" t="inlineStr">
        <is>
          <t>SC GROUP LLC</t>
        </is>
      </c>
      <c r="C869" s="3" t="inlineStr">
        <is>
          <t>SC GROUP LLC</t>
        </is>
      </c>
      <c r="D869" s="3" t="inlineStr">
        <is>
          <t>Open</t>
        </is>
      </c>
      <c r="E869" s="23" t="n">
        <v>46156</v>
      </c>
      <c r="F869" s="23" t="n">
        <v>46244</v>
      </c>
      <c r="G869" s="3" t="n">
        <v>3</v>
      </c>
      <c r="H869" s="3" t="inlineStr">
        <is>
          <t>1521</t>
        </is>
      </c>
      <c r="I869" s="3" t="inlineStr">
        <is>
          <t>15</t>
        </is>
      </c>
      <c r="J869" s="3" t="inlineStr">
        <is>
          <t>No state</t>
        </is>
      </c>
      <c r="K869" s="3" t="inlineStr">
        <is>
          <t>level 3 funding</t>
        </is>
      </c>
      <c r="L869" s="3" t="inlineStr">
        <is>
          <t>Renewal</t>
        </is>
      </c>
      <c r="M869" s="3" t="n">
        <v>1.49</v>
      </c>
      <c r="N869" s="28" t="n">
        <v>15000</v>
      </c>
      <c r="O869" s="28" t="n">
        <v>2100</v>
      </c>
      <c r="P869" s="28" t="n">
        <v>22350</v>
      </c>
      <c r="Q869" s="28" t="n">
        <v>21961.46</v>
      </c>
      <c r="R869" s="28" t="n">
        <v>388.540000000001</v>
      </c>
      <c r="S869" s="42" t="n">
        <v>0.982615659955257</v>
      </c>
      <c r="T869" s="3" t="n">
        <v>3.77</v>
      </c>
      <c r="U869" s="3" t="n">
        <v>2</v>
      </c>
      <c r="V869" s="3" t="n">
        <v>38306.63</v>
      </c>
      <c r="W869" s="42" t="n">
        <v>0.1065</v>
      </c>
      <c r="X869" s="23" t="n">
        <v>43374</v>
      </c>
      <c r="Y869" s="3">
        <f>IF(I869="","No SIC",IFERROR(VLOOKUP(I869,Ref!$A$2:$B$65,2,FALSE()),"Unclassified"))</f>
        <v/>
      </c>
      <c r="Z869" s="3">
        <f>IF(T869="","",IF(T869&lt;12,"Daily","Weekly"))</f>
        <v/>
      </c>
      <c r="AA869" s="3">
        <f>IF(T869="",0,IF(T869&lt;12,T869*Controls!$B$13,T869*5))</f>
        <v/>
      </c>
      <c r="AB869" s="3">
        <f>IF(E869="",0,NETWORKDAYS(E869,Controls!$B$20,Ref!$K$2:$K$42))</f>
        <v/>
      </c>
      <c r="AC869" s="3">
        <f>IF(OR(AF869=1,AND(AA869&gt;0,AB869&gt;=Controls!$B$23*AA869)),1,0)</f>
        <v/>
      </c>
      <c r="AD869" s="3">
        <f>IF(AND(E869&lt;&gt;"",E869&gt;=Controls!$B$21,E869&lt;=Controls!$B$22),1,0)</f>
        <v/>
      </c>
      <c r="AE869" s="3">
        <f>IF(IFERROR(VLOOKUP(D869,Controls!$A$36:$E$46,2,FALSE()),"No")="Yes",1,0)</f>
        <v/>
      </c>
      <c r="AF869" s="3">
        <f>IF(IFERROR(VLOOKUP(D869,Controls!$A$36:$E$46,3,FALSE()),"No")="Yes",1,0)</f>
        <v/>
      </c>
      <c r="AG869" s="3">
        <f>IF(IFERROR(VLOOKUP(D869,Controls!$A$36:$E$46,4,FALSE()),"No")="Yes",1,0)</f>
        <v/>
      </c>
      <c r="AH869" s="3">
        <f>IF(IFERROR(VLOOKUP(D869,Controls!$A$36:$E$46,5,FALSE()),"No")="Yes",1,0)</f>
        <v/>
      </c>
      <c r="AI869" s="3">
        <f>IF(ISNUMBER(MATCH(D869,Controls!$A$36:$A$46,0)),1,0)</f>
        <v/>
      </c>
      <c r="AJ869" s="28">
        <f>Q869-N869</f>
        <v/>
      </c>
      <c r="AK869" s="3">
        <f>IF(AE869=1,MAX(0,N869-Q869),0)</f>
        <v/>
      </c>
      <c r="AL869" s="3">
        <f>IF(OR(V869="",V869=0),0,N869/V869)</f>
        <v/>
      </c>
      <c r="AM869" s="3">
        <f>IF(OR(V869="",V869=0),0,1)</f>
        <v/>
      </c>
      <c r="AN869" s="3">
        <f>IF(OR(E869="",F869=""),0,NETWORKDAYS(E869,F869,Ref!$K$2:$K$42))</f>
        <v/>
      </c>
      <c r="AO869" s="3">
        <f>IF(L869="Renewal",1,0)</f>
        <v/>
      </c>
      <c r="AP869" s="3">
        <f>AC869*AD869</f>
        <v/>
      </c>
      <c r="AQ869" s="3">
        <f>IF(AND(G869&lt;&gt;"",'Historical Score'!$C$6&lt;&gt;""),IF(G869='Historical Score'!$C$6,1,0),0)</f>
        <v/>
      </c>
      <c r="AR869" s="3">
        <f>IF(AND(L869&lt;&gt;"",'Historical Score'!$C$5&lt;&gt;""),IF(L869='Historical Score'!$C$5,1,0),0)</f>
        <v/>
      </c>
      <c r="AS869" s="3">
        <f>IF(AND(Y869&lt;&gt;"",'Historical Score'!$C$7&lt;&gt;""),IF(Y869='Historical Score'!$C$7,1,0),0)</f>
        <v/>
      </c>
      <c r="AT869" s="3">
        <f>IF(AND(K869&lt;&gt;"",'Historical Score'!$C$8&lt;&gt;""),IF(K869='Historical Score'!$C$8,1,0),0)</f>
        <v/>
      </c>
      <c r="AU869" s="3" t="n"/>
      <c r="AV869" s="3" t="n"/>
      <c r="AW869" s="3" t="n"/>
      <c r="AX869" s="3" t="n"/>
      <c r="AY869" s="3" t="n"/>
      <c r="AZ869" s="3" t="n"/>
      <c r="BA869" s="182">
        <f>IF(AD869=1,(AR869*'Historical Score'!$K$29+1-'Historical Score'!$K$29)*(AT869*'Historical Score'!$L$29+1-'Historical Score'!$L$29)*(AS869*'Historical Score'!$M$29+1-'Historical Score'!$M$29)*(AQ869*'Historical Score'!$N$29+1-'Historical Score'!$N$29),0)</f>
        <v/>
      </c>
      <c r="BB869" s="3" t="n"/>
      <c r="BC869" s="3" t="n"/>
    </row>
    <row r="870" ht="15.75" customHeight="1" s="174">
      <c r="A870" s="3" t="inlineStr">
        <is>
          <t>5674183673</t>
        </is>
      </c>
      <c r="B870" s="3" t="inlineStr">
        <is>
          <t>SKEENS RESTORATION &amp; CONSTRUCTION LLC</t>
        </is>
      </c>
      <c r="C870" s="3" t="inlineStr">
        <is>
          <t>SKEENS RESTORATION &amp; CONSTRUCTION LLC</t>
        </is>
      </c>
      <c r="D870" s="3" t="inlineStr">
        <is>
          <t>Open</t>
        </is>
      </c>
      <c r="E870" s="23" t="n">
        <v>46156</v>
      </c>
      <c r="F870" s="23" t="n">
        <v>46248</v>
      </c>
      <c r="G870" s="3" t="n">
        <v>3</v>
      </c>
      <c r="H870" s="3" t="inlineStr">
        <is>
          <t>1521</t>
        </is>
      </c>
      <c r="I870" s="3" t="inlineStr">
        <is>
          <t>15</t>
        </is>
      </c>
      <c r="J870" s="3" t="inlineStr">
        <is>
          <t>TN</t>
        </is>
      </c>
      <c r="K870" s="3" t="inlineStr">
        <is>
          <t>United Secured Capital 8</t>
        </is>
      </c>
      <c r="L870" s="3" t="inlineStr">
        <is>
          <t>Renewal</t>
        </is>
      </c>
      <c r="M870" s="3" t="n">
        <v>1.45</v>
      </c>
      <c r="N870" s="28" t="n">
        <v>15000</v>
      </c>
      <c r="O870" s="28" t="n">
        <v>1800</v>
      </c>
      <c r="P870" s="28" t="n">
        <v>21750</v>
      </c>
      <c r="Q870" s="28" t="n">
        <v>6223.04</v>
      </c>
      <c r="R870" s="28" t="n">
        <v>15526.96</v>
      </c>
      <c r="S870" s="42" t="n">
        <v>0.286116781609195</v>
      </c>
      <c r="T870" s="3" t="n">
        <v>28</v>
      </c>
      <c r="U870" s="3" t="n">
        <v>5</v>
      </c>
      <c r="V870" s="3" t="n">
        <v>117415.63</v>
      </c>
      <c r="W870" s="42" t="n">
        <v>0.0265</v>
      </c>
      <c r="X870" s="23" t="n">
        <v>36020</v>
      </c>
      <c r="Y870" s="3">
        <f>IF(I870="","No SIC",IFERROR(VLOOKUP(I870,Ref!$A$2:$B$65,2,FALSE()),"Unclassified"))</f>
        <v/>
      </c>
      <c r="Z870" s="3">
        <f>IF(T870="","",IF(T870&lt;12,"Daily","Weekly"))</f>
        <v/>
      </c>
      <c r="AA870" s="3">
        <f>IF(T870="",0,IF(T870&lt;12,T870*Controls!$B$13,T870*5))</f>
        <v/>
      </c>
      <c r="AB870" s="3">
        <f>IF(E870="",0,NETWORKDAYS(E870,Controls!$B$20,Ref!$K$2:$K$42))</f>
        <v/>
      </c>
      <c r="AC870" s="3">
        <f>IF(OR(AF870=1,AND(AA870&gt;0,AB870&gt;=Controls!$B$23*AA870)),1,0)</f>
        <v/>
      </c>
      <c r="AD870" s="3">
        <f>IF(AND(E870&lt;&gt;"",E870&gt;=Controls!$B$21,E870&lt;=Controls!$B$22),1,0)</f>
        <v/>
      </c>
      <c r="AE870" s="3">
        <f>IF(IFERROR(VLOOKUP(D870,Controls!$A$36:$E$46,2,FALSE()),"No")="Yes",1,0)</f>
        <v/>
      </c>
      <c r="AF870" s="3">
        <f>IF(IFERROR(VLOOKUP(D870,Controls!$A$36:$E$46,3,FALSE()),"No")="Yes",1,0)</f>
        <v/>
      </c>
      <c r="AG870" s="3">
        <f>IF(IFERROR(VLOOKUP(D870,Controls!$A$36:$E$46,4,FALSE()),"No")="Yes",1,0)</f>
        <v/>
      </c>
      <c r="AH870" s="3">
        <f>IF(IFERROR(VLOOKUP(D870,Controls!$A$36:$E$46,5,FALSE()),"No")="Yes",1,0)</f>
        <v/>
      </c>
      <c r="AI870" s="3">
        <f>IF(ISNUMBER(MATCH(D870,Controls!$A$36:$A$46,0)),1,0)</f>
        <v/>
      </c>
      <c r="AJ870" s="28">
        <f>Q870-N870</f>
        <v/>
      </c>
      <c r="AK870" s="3">
        <f>IF(AE870=1,MAX(0,N870-Q870),0)</f>
        <v/>
      </c>
      <c r="AL870" s="3">
        <f>IF(OR(V870="",V870=0),0,N870/V870)</f>
        <v/>
      </c>
      <c r="AM870" s="3">
        <f>IF(OR(V870="",V870=0),0,1)</f>
        <v/>
      </c>
      <c r="AN870" s="3">
        <f>IF(OR(E870="",F870=""),0,NETWORKDAYS(E870,F870,Ref!$K$2:$K$42))</f>
        <v/>
      </c>
      <c r="AO870" s="3">
        <f>IF(L870="Renewal",1,0)</f>
        <v/>
      </c>
      <c r="AP870" s="3">
        <f>AC870*AD870</f>
        <v/>
      </c>
      <c r="AQ870" s="3">
        <f>IF(AND(G870&lt;&gt;"",'Historical Score'!$C$6&lt;&gt;""),IF(G870='Historical Score'!$C$6,1,0),0)</f>
        <v/>
      </c>
      <c r="AR870" s="3">
        <f>IF(AND(L870&lt;&gt;"",'Historical Score'!$C$5&lt;&gt;""),IF(L870='Historical Score'!$C$5,1,0),0)</f>
        <v/>
      </c>
      <c r="AS870" s="3">
        <f>IF(AND(Y870&lt;&gt;"",'Historical Score'!$C$7&lt;&gt;""),IF(Y870='Historical Score'!$C$7,1,0),0)</f>
        <v/>
      </c>
      <c r="AT870" s="3">
        <f>IF(AND(K870&lt;&gt;"",'Historical Score'!$C$8&lt;&gt;""),IF(K870='Historical Score'!$C$8,1,0),0)</f>
        <v/>
      </c>
      <c r="AU870" s="3" t="n"/>
      <c r="AV870" s="3" t="n"/>
      <c r="AW870" s="3" t="n"/>
      <c r="AX870" s="3" t="n"/>
      <c r="AY870" s="3" t="n"/>
      <c r="AZ870" s="3" t="n"/>
      <c r="BA870" s="182">
        <f>IF(AD870=1,(AR870*'Historical Score'!$K$29+1-'Historical Score'!$K$29)*(AT870*'Historical Score'!$L$29+1-'Historical Score'!$L$29)*(AS870*'Historical Score'!$M$29+1-'Historical Score'!$M$29)*(AQ870*'Historical Score'!$N$29+1-'Historical Score'!$N$29),0)</f>
        <v/>
      </c>
      <c r="BB870" s="3" t="n"/>
      <c r="BC870" s="3" t="n"/>
    </row>
    <row r="871" ht="15.75" customHeight="1" s="174">
      <c r="A871" s="3" t="inlineStr">
        <is>
          <t>5674183703</t>
        </is>
      </c>
      <c r="B871" s="3" t="inlineStr">
        <is>
          <t>DENVER IMMERSIVE REPERTORY THEATER</t>
        </is>
      </c>
      <c r="C871" s="3" t="inlineStr">
        <is>
          <t>DENVER IMMERSIVE REPERTORY THEATER</t>
        </is>
      </c>
      <c r="D871" s="3" t="inlineStr">
        <is>
          <t>In House Collection</t>
        </is>
      </c>
      <c r="E871" s="23" t="n">
        <v>46156</v>
      </c>
      <c r="F871" s="23" t="n">
        <v>46244</v>
      </c>
      <c r="G871" s="3" t="n">
        <v>3</v>
      </c>
      <c r="H871" s="3" t="inlineStr">
        <is>
          <t>7922</t>
        </is>
      </c>
      <c r="I871" s="3" t="inlineStr">
        <is>
          <t>79</t>
        </is>
      </c>
      <c r="J871" s="3" t="inlineStr">
        <is>
          <t>FL</t>
        </is>
      </c>
      <c r="K871" s="3" t="inlineStr">
        <is>
          <t>Ballicci</t>
        </is>
      </c>
      <c r="L871" s="3" t="inlineStr">
        <is>
          <t>New Deal</t>
        </is>
      </c>
      <c r="M871" s="3" t="n">
        <v>1.49</v>
      </c>
      <c r="N871" s="28" t="n">
        <v>25000</v>
      </c>
      <c r="O871" s="28" t="n">
        <v>3500</v>
      </c>
      <c r="P871" s="28" t="n">
        <v>37250</v>
      </c>
      <c r="Q871" s="28" t="n">
        <v>3362.86</v>
      </c>
      <c r="R871" s="28" t="n">
        <v>33887.14</v>
      </c>
      <c r="S871" s="42" t="n">
        <v>0.09027812080536909</v>
      </c>
      <c r="T871" s="3" t="n">
        <v>24</v>
      </c>
      <c r="U871" s="3" t="n">
        <v>9</v>
      </c>
      <c r="V871" s="3" t="n">
        <v>187788.78</v>
      </c>
      <c r="W871" s="42" t="n">
        <v>0.0331</v>
      </c>
      <c r="X871" s="23" t="n">
        <v>45378</v>
      </c>
      <c r="Y871" s="3">
        <f>IF(I871="","No SIC",IFERROR(VLOOKUP(I871,Ref!$A$2:$B$65,2,FALSE()),"Unclassified"))</f>
        <v/>
      </c>
      <c r="Z871" s="3">
        <f>IF(T871="","",IF(T871&lt;12,"Daily","Weekly"))</f>
        <v/>
      </c>
      <c r="AA871" s="3">
        <f>IF(T871="",0,IF(T871&lt;12,T871*Controls!$B$13,T871*5))</f>
        <v/>
      </c>
      <c r="AB871" s="3">
        <f>IF(E871="",0,NETWORKDAYS(E871,Controls!$B$20,Ref!$K$2:$K$42))</f>
        <v/>
      </c>
      <c r="AC871" s="3">
        <f>IF(OR(AF871=1,AND(AA871&gt;0,AB871&gt;=Controls!$B$23*AA871)),1,0)</f>
        <v/>
      </c>
      <c r="AD871" s="3">
        <f>IF(AND(E871&lt;&gt;"",E871&gt;=Controls!$B$21,E871&lt;=Controls!$B$22),1,0)</f>
        <v/>
      </c>
      <c r="AE871" s="3">
        <f>IF(IFERROR(VLOOKUP(D871,Controls!$A$36:$E$46,2,FALSE()),"No")="Yes",1,0)</f>
        <v/>
      </c>
      <c r="AF871" s="3">
        <f>IF(IFERROR(VLOOKUP(D871,Controls!$A$36:$E$46,3,FALSE()),"No")="Yes",1,0)</f>
        <v/>
      </c>
      <c r="AG871" s="3">
        <f>IF(IFERROR(VLOOKUP(D871,Controls!$A$36:$E$46,4,FALSE()),"No")="Yes",1,0)</f>
        <v/>
      </c>
      <c r="AH871" s="3">
        <f>IF(IFERROR(VLOOKUP(D871,Controls!$A$36:$E$46,5,FALSE()),"No")="Yes",1,0)</f>
        <v/>
      </c>
      <c r="AI871" s="3">
        <f>IF(ISNUMBER(MATCH(D871,Controls!$A$36:$A$46,0)),1,0)</f>
        <v/>
      </c>
      <c r="AJ871" s="28">
        <f>Q871-N871</f>
        <v/>
      </c>
      <c r="AK871" s="3">
        <f>IF(AE871=1,MAX(0,N871-Q871),0)</f>
        <v/>
      </c>
      <c r="AL871" s="3">
        <f>IF(OR(V871="",V871=0),0,N871/V871)</f>
        <v/>
      </c>
      <c r="AM871" s="3">
        <f>IF(OR(V871="",V871=0),0,1)</f>
        <v/>
      </c>
      <c r="AN871" s="3">
        <f>IF(OR(E871="",F871=""),0,NETWORKDAYS(E871,F871,Ref!$K$2:$K$42))</f>
        <v/>
      </c>
      <c r="AO871" s="3">
        <f>IF(L871="Renewal",1,0)</f>
        <v/>
      </c>
      <c r="AP871" s="3">
        <f>AC871*AD871</f>
        <v/>
      </c>
      <c r="AQ871" s="3">
        <f>IF(AND(G871&lt;&gt;"",'Historical Score'!$C$6&lt;&gt;""),IF(G871='Historical Score'!$C$6,1,0),0)</f>
        <v/>
      </c>
      <c r="AR871" s="3">
        <f>IF(AND(L871&lt;&gt;"",'Historical Score'!$C$5&lt;&gt;""),IF(L871='Historical Score'!$C$5,1,0),0)</f>
        <v/>
      </c>
      <c r="AS871" s="3">
        <f>IF(AND(Y871&lt;&gt;"",'Historical Score'!$C$7&lt;&gt;""),IF(Y871='Historical Score'!$C$7,1,0),0)</f>
        <v/>
      </c>
      <c r="AT871" s="3">
        <f>IF(AND(K871&lt;&gt;"",'Historical Score'!$C$8&lt;&gt;""),IF(K871='Historical Score'!$C$8,1,0),0)</f>
        <v/>
      </c>
      <c r="AU871" s="3" t="n"/>
      <c r="AV871" s="3" t="n"/>
      <c r="AW871" s="3" t="n"/>
      <c r="AX871" s="3" t="n"/>
      <c r="AY871" s="3" t="n"/>
      <c r="AZ871" s="3" t="n"/>
      <c r="BA871" s="182">
        <f>IF(AD871=1,(AR871*'Historical Score'!$K$29+1-'Historical Score'!$K$29)*(AT871*'Historical Score'!$L$29+1-'Historical Score'!$L$29)*(AS871*'Historical Score'!$M$29+1-'Historical Score'!$M$29)*(AQ871*'Historical Score'!$N$29+1-'Historical Score'!$N$29),0)</f>
        <v/>
      </c>
      <c r="BB871" s="3" t="n"/>
      <c r="BC871" s="3" t="n"/>
    </row>
    <row r="872" ht="15.75" customHeight="1" s="174">
      <c r="A872" s="3" t="inlineStr">
        <is>
          <t>5674183704</t>
        </is>
      </c>
      <c r="B872" s="3" t="inlineStr">
        <is>
          <t>El bombazo Cuban food</t>
        </is>
      </c>
      <c r="C872" s="3" t="inlineStr">
        <is>
          <t>El bombazo Cuban food LLC</t>
        </is>
      </c>
      <c r="D872" s="3" t="inlineStr">
        <is>
          <t>Open</t>
        </is>
      </c>
      <c r="E872" s="23" t="n">
        <v>46156</v>
      </c>
      <c r="F872" s="23" t="n">
        <v>46251</v>
      </c>
      <c r="G872" s="3" t="n">
        <v>3</v>
      </c>
      <c r="H872" s="3" t="inlineStr">
        <is>
          <t>5812</t>
        </is>
      </c>
      <c r="I872" s="3" t="inlineStr">
        <is>
          <t>58</t>
        </is>
      </c>
      <c r="J872" s="3" t="inlineStr">
        <is>
          <t>No state</t>
        </is>
      </c>
      <c r="K872" s="3" t="inlineStr">
        <is>
          <t>The Funding Channel</t>
        </is>
      </c>
      <c r="L872" s="3" t="inlineStr">
        <is>
          <t>New Deal</t>
        </is>
      </c>
      <c r="M872" s="3" t="n">
        <v>1.49</v>
      </c>
      <c r="N872" s="28" t="n">
        <v>12000</v>
      </c>
      <c r="O872" s="28" t="n">
        <v>1680</v>
      </c>
      <c r="P872" s="28" t="n">
        <v>17880</v>
      </c>
      <c r="Q872" s="28" t="n">
        <v>11621.61</v>
      </c>
      <c r="R872" s="28" t="n">
        <v>6258.39</v>
      </c>
      <c r="S872" s="42" t="n">
        <v>0.649978187919463</v>
      </c>
      <c r="T872" s="3" t="n">
        <v>20</v>
      </c>
      <c r="U872" s="3" t="n">
        <v>0</v>
      </c>
      <c r="V872" s="3" t="n">
        <v>24953.93</v>
      </c>
      <c r="W872" s="42" t="n">
        <v>0.1433</v>
      </c>
      <c r="X872" s="23" t="n">
        <v>45641</v>
      </c>
      <c r="Y872" s="3">
        <f>IF(I872="","No SIC",IFERROR(VLOOKUP(I872,Ref!$A$2:$B$65,2,FALSE()),"Unclassified"))</f>
        <v/>
      </c>
      <c r="Z872" s="3">
        <f>IF(T872="","",IF(T872&lt;12,"Daily","Weekly"))</f>
        <v/>
      </c>
      <c r="AA872" s="3">
        <f>IF(T872="",0,IF(T872&lt;12,T872*Controls!$B$13,T872*5))</f>
        <v/>
      </c>
      <c r="AB872" s="3">
        <f>IF(E872="",0,NETWORKDAYS(E872,Controls!$B$20,Ref!$K$2:$K$42))</f>
        <v/>
      </c>
      <c r="AC872" s="3">
        <f>IF(OR(AF872=1,AND(AA872&gt;0,AB872&gt;=Controls!$B$23*AA872)),1,0)</f>
        <v/>
      </c>
      <c r="AD872" s="3">
        <f>IF(AND(E872&lt;&gt;"",E872&gt;=Controls!$B$21,E872&lt;=Controls!$B$22),1,0)</f>
        <v/>
      </c>
      <c r="AE872" s="3">
        <f>IF(IFERROR(VLOOKUP(D872,Controls!$A$36:$E$46,2,FALSE()),"No")="Yes",1,0)</f>
        <v/>
      </c>
      <c r="AF872" s="3">
        <f>IF(IFERROR(VLOOKUP(D872,Controls!$A$36:$E$46,3,FALSE()),"No")="Yes",1,0)</f>
        <v/>
      </c>
      <c r="AG872" s="3">
        <f>IF(IFERROR(VLOOKUP(D872,Controls!$A$36:$E$46,4,FALSE()),"No")="Yes",1,0)</f>
        <v/>
      </c>
      <c r="AH872" s="3">
        <f>IF(IFERROR(VLOOKUP(D872,Controls!$A$36:$E$46,5,FALSE()),"No")="Yes",1,0)</f>
        <v/>
      </c>
      <c r="AI872" s="3">
        <f>IF(ISNUMBER(MATCH(D872,Controls!$A$36:$A$46,0)),1,0)</f>
        <v/>
      </c>
      <c r="AJ872" s="28">
        <f>Q872-N872</f>
        <v/>
      </c>
      <c r="AK872" s="3">
        <f>IF(AE872=1,MAX(0,N872-Q872),0)</f>
        <v/>
      </c>
      <c r="AL872" s="3">
        <f>IF(OR(V872="",V872=0),0,N872/V872)</f>
        <v/>
      </c>
      <c r="AM872" s="3">
        <f>IF(OR(V872="",V872=0),0,1)</f>
        <v/>
      </c>
      <c r="AN872" s="3">
        <f>IF(OR(E872="",F872=""),0,NETWORKDAYS(E872,F872,Ref!$K$2:$K$42))</f>
        <v/>
      </c>
      <c r="AO872" s="3">
        <f>IF(L872="Renewal",1,0)</f>
        <v/>
      </c>
      <c r="AP872" s="3">
        <f>AC872*AD872</f>
        <v/>
      </c>
      <c r="AQ872" s="3">
        <f>IF(AND(G872&lt;&gt;"",'Historical Score'!$C$6&lt;&gt;""),IF(G872='Historical Score'!$C$6,1,0),0)</f>
        <v/>
      </c>
      <c r="AR872" s="3">
        <f>IF(AND(L872&lt;&gt;"",'Historical Score'!$C$5&lt;&gt;""),IF(L872='Historical Score'!$C$5,1,0),0)</f>
        <v/>
      </c>
      <c r="AS872" s="3">
        <f>IF(AND(Y872&lt;&gt;"",'Historical Score'!$C$7&lt;&gt;""),IF(Y872='Historical Score'!$C$7,1,0),0)</f>
        <v/>
      </c>
      <c r="AT872" s="3">
        <f>IF(AND(K872&lt;&gt;"",'Historical Score'!$C$8&lt;&gt;""),IF(K872='Historical Score'!$C$8,1,0),0)</f>
        <v/>
      </c>
      <c r="AU872" s="3" t="n"/>
      <c r="AV872" s="3" t="n"/>
      <c r="AW872" s="3" t="n"/>
      <c r="AX872" s="3" t="n"/>
      <c r="AY872" s="3" t="n"/>
      <c r="AZ872" s="3" t="n"/>
      <c r="BA872" s="182">
        <f>IF(AD872=1,(AR872*'Historical Score'!$K$29+1-'Historical Score'!$K$29)*(AT872*'Historical Score'!$L$29+1-'Historical Score'!$L$29)*(AS872*'Historical Score'!$M$29+1-'Historical Score'!$M$29)*(AQ872*'Historical Score'!$N$29+1-'Historical Score'!$N$29),0)</f>
        <v/>
      </c>
      <c r="BB872" s="3" t="n"/>
      <c r="BC872" s="3" t="n"/>
    </row>
    <row r="873" ht="15.75" customHeight="1" s="174">
      <c r="A873" s="3" t="inlineStr">
        <is>
          <t>5674183705</t>
        </is>
      </c>
      <c r="B873" s="3" t="inlineStr">
        <is>
          <t>Foreman Logistics Inc.</t>
        </is>
      </c>
      <c r="C873" s="3" t="inlineStr">
        <is>
          <t>Foreman Logistics Inc.</t>
        </is>
      </c>
      <c r="D873" s="3" t="inlineStr">
        <is>
          <t>Open</t>
        </is>
      </c>
      <c r="E873" s="23" t="n">
        <v>46156</v>
      </c>
      <c r="F873" s="23" t="n">
        <v>46251</v>
      </c>
      <c r="G873" s="3" t="n">
        <v>2</v>
      </c>
      <c r="H873" s="3" t="inlineStr">
        <is>
          <t>4731</t>
        </is>
      </c>
      <c r="I873" s="3" t="inlineStr">
        <is>
          <t>47</t>
        </is>
      </c>
      <c r="J873" s="3" t="inlineStr">
        <is>
          <t>CA</t>
        </is>
      </c>
      <c r="K873" s="3" t="inlineStr">
        <is>
          <t>PMF</t>
        </is>
      </c>
      <c r="L873" s="3" t="inlineStr">
        <is>
          <t>New Deal</t>
        </is>
      </c>
      <c r="M873" s="3" t="n">
        <v>1.36</v>
      </c>
      <c r="N873" s="28" t="n">
        <v>400000</v>
      </c>
      <c r="O873" s="28" t="n">
        <v>38000</v>
      </c>
      <c r="P873" s="28" t="n">
        <v>544000</v>
      </c>
      <c r="Q873" s="28" t="n">
        <v>160675.71</v>
      </c>
      <c r="R873" s="28" t="n">
        <v>383324.29</v>
      </c>
      <c r="S873" s="42" t="n">
        <v>0.295359761029412</v>
      </c>
      <c r="T873" s="3" t="n">
        <v>44</v>
      </c>
      <c r="U873" s="3" t="n">
        <v>0</v>
      </c>
      <c r="V873" s="3" t="n">
        <v>973202.2</v>
      </c>
      <c r="W873" s="42" t="n">
        <v>0.0508</v>
      </c>
      <c r="X873" s="23" t="n">
        <v>42917</v>
      </c>
      <c r="Y873" s="3">
        <f>IF(I873="","No SIC",IFERROR(VLOOKUP(I873,Ref!$A$2:$B$65,2,FALSE()),"Unclassified"))</f>
        <v/>
      </c>
      <c r="Z873" s="3">
        <f>IF(T873="","",IF(T873&lt;12,"Daily","Weekly"))</f>
        <v/>
      </c>
      <c r="AA873" s="3">
        <f>IF(T873="",0,IF(T873&lt;12,T873*Controls!$B$13,T873*5))</f>
        <v/>
      </c>
      <c r="AB873" s="3">
        <f>IF(E873="",0,NETWORKDAYS(E873,Controls!$B$20,Ref!$K$2:$K$42))</f>
        <v/>
      </c>
      <c r="AC873" s="3">
        <f>IF(OR(AF873=1,AND(AA873&gt;0,AB873&gt;=Controls!$B$23*AA873)),1,0)</f>
        <v/>
      </c>
      <c r="AD873" s="3">
        <f>IF(AND(E873&lt;&gt;"",E873&gt;=Controls!$B$21,E873&lt;=Controls!$B$22),1,0)</f>
        <v/>
      </c>
      <c r="AE873" s="3">
        <f>IF(IFERROR(VLOOKUP(D873,Controls!$A$36:$E$46,2,FALSE()),"No")="Yes",1,0)</f>
        <v/>
      </c>
      <c r="AF873" s="3">
        <f>IF(IFERROR(VLOOKUP(D873,Controls!$A$36:$E$46,3,FALSE()),"No")="Yes",1,0)</f>
        <v/>
      </c>
      <c r="AG873" s="3">
        <f>IF(IFERROR(VLOOKUP(D873,Controls!$A$36:$E$46,4,FALSE()),"No")="Yes",1,0)</f>
        <v/>
      </c>
      <c r="AH873" s="3">
        <f>IF(IFERROR(VLOOKUP(D873,Controls!$A$36:$E$46,5,FALSE()),"No")="Yes",1,0)</f>
        <v/>
      </c>
      <c r="AI873" s="3">
        <f>IF(ISNUMBER(MATCH(D873,Controls!$A$36:$A$46,0)),1,0)</f>
        <v/>
      </c>
      <c r="AJ873" s="28">
        <f>Q873-N873</f>
        <v/>
      </c>
      <c r="AK873" s="3">
        <f>IF(AE873=1,MAX(0,N873-Q873),0)</f>
        <v/>
      </c>
      <c r="AL873" s="3">
        <f>IF(OR(V873="",V873=0),0,N873/V873)</f>
        <v/>
      </c>
      <c r="AM873" s="3">
        <f>IF(OR(V873="",V873=0),0,1)</f>
        <v/>
      </c>
      <c r="AN873" s="3">
        <f>IF(OR(E873="",F873=""),0,NETWORKDAYS(E873,F873,Ref!$K$2:$K$42))</f>
        <v/>
      </c>
      <c r="AO873" s="3">
        <f>IF(L873="Renewal",1,0)</f>
        <v/>
      </c>
      <c r="AP873" s="3">
        <f>AC873*AD873</f>
        <v/>
      </c>
      <c r="AQ873" s="3">
        <f>IF(AND(G873&lt;&gt;"",'Historical Score'!$C$6&lt;&gt;""),IF(G873='Historical Score'!$C$6,1,0),0)</f>
        <v/>
      </c>
      <c r="AR873" s="3">
        <f>IF(AND(L873&lt;&gt;"",'Historical Score'!$C$5&lt;&gt;""),IF(L873='Historical Score'!$C$5,1,0),0)</f>
        <v/>
      </c>
      <c r="AS873" s="3">
        <f>IF(AND(Y873&lt;&gt;"",'Historical Score'!$C$7&lt;&gt;""),IF(Y873='Historical Score'!$C$7,1,0),0)</f>
        <v/>
      </c>
      <c r="AT873" s="3">
        <f>IF(AND(K873&lt;&gt;"",'Historical Score'!$C$8&lt;&gt;""),IF(K873='Historical Score'!$C$8,1,0),0)</f>
        <v/>
      </c>
      <c r="AU873" s="3" t="n"/>
      <c r="AV873" s="3" t="n"/>
      <c r="AW873" s="3" t="n"/>
      <c r="AX873" s="3" t="n"/>
      <c r="AY873" s="3" t="n"/>
      <c r="AZ873" s="3" t="n"/>
      <c r="BA873" s="182">
        <f>IF(AD873=1,(AR873*'Historical Score'!$K$29+1-'Historical Score'!$K$29)*(AT873*'Historical Score'!$L$29+1-'Historical Score'!$L$29)*(AS873*'Historical Score'!$M$29+1-'Historical Score'!$M$29)*(AQ873*'Historical Score'!$N$29+1-'Historical Score'!$N$29),0)</f>
        <v/>
      </c>
      <c r="BB873" s="3" t="n"/>
      <c r="BC873" s="3" t="n"/>
    </row>
    <row r="874" ht="15.75" customHeight="1" s="174">
      <c r="A874" s="3" t="inlineStr">
        <is>
          <t>5674183724</t>
        </is>
      </c>
      <c r="B874" s="3" t="inlineStr">
        <is>
          <t>Luminous Dental Studio</t>
        </is>
      </c>
      <c r="C874" s="3" t="inlineStr">
        <is>
          <t>Luminous Dental Associates PLLC</t>
        </is>
      </c>
      <c r="D874" s="3" t="inlineStr">
        <is>
          <t>Open</t>
        </is>
      </c>
      <c r="E874" s="23" t="n">
        <v>46157</v>
      </c>
      <c r="F874" s="23" t="n">
        <v>46247</v>
      </c>
      <c r="G874" s="3" t="n">
        <v>2</v>
      </c>
      <c r="H874" s="3" t="inlineStr">
        <is>
          <t>8021</t>
        </is>
      </c>
      <c r="I874" s="3" t="inlineStr">
        <is>
          <t>80</t>
        </is>
      </c>
      <c r="J874" s="3" t="inlineStr">
        <is>
          <t>TX</t>
        </is>
      </c>
      <c r="K874" s="3" t="inlineStr">
        <is>
          <t>Fundwell</t>
        </is>
      </c>
      <c r="L874" s="3" t="inlineStr">
        <is>
          <t>Renewal</t>
        </is>
      </c>
      <c r="M874" s="3" t="n">
        <v>1.38</v>
      </c>
      <c r="N874" s="28" t="n">
        <v>15000</v>
      </c>
      <c r="O874" s="28" t="n">
        <v>1650</v>
      </c>
      <c r="P874" s="28" t="n">
        <v>20700</v>
      </c>
      <c r="Q874" s="28" t="n">
        <v>8122</v>
      </c>
      <c r="R874" s="28" t="n">
        <v>12578</v>
      </c>
      <c r="S874" s="42" t="n">
        <v>0.392367149758454</v>
      </c>
      <c r="T874" s="3" t="n">
        <v>36</v>
      </c>
      <c r="U874" s="3" t="n">
        <v>0</v>
      </c>
      <c r="V874" s="3" t="n">
        <v>46940.92</v>
      </c>
      <c r="W874" s="42" t="n">
        <v>0.049</v>
      </c>
      <c r="X874" s="23" t="n">
        <v>42227</v>
      </c>
      <c r="Y874" s="3">
        <f>IF(I874="","No SIC",IFERROR(VLOOKUP(I874,Ref!$A$2:$B$65,2,FALSE()),"Unclassified"))</f>
        <v/>
      </c>
      <c r="Z874" s="3">
        <f>IF(T874="","",IF(T874&lt;12,"Daily","Weekly"))</f>
        <v/>
      </c>
      <c r="AA874" s="3">
        <f>IF(T874="",0,IF(T874&lt;12,T874*Controls!$B$13,T874*5))</f>
        <v/>
      </c>
      <c r="AB874" s="3">
        <f>IF(E874="",0,NETWORKDAYS(E874,Controls!$B$20,Ref!$K$2:$K$42))</f>
        <v/>
      </c>
      <c r="AC874" s="3">
        <f>IF(OR(AF874=1,AND(AA874&gt;0,AB874&gt;=Controls!$B$23*AA874)),1,0)</f>
        <v/>
      </c>
      <c r="AD874" s="3">
        <f>IF(AND(E874&lt;&gt;"",E874&gt;=Controls!$B$21,E874&lt;=Controls!$B$22),1,0)</f>
        <v/>
      </c>
      <c r="AE874" s="3">
        <f>IF(IFERROR(VLOOKUP(D874,Controls!$A$36:$E$46,2,FALSE()),"No")="Yes",1,0)</f>
        <v/>
      </c>
      <c r="AF874" s="3">
        <f>IF(IFERROR(VLOOKUP(D874,Controls!$A$36:$E$46,3,FALSE()),"No")="Yes",1,0)</f>
        <v/>
      </c>
      <c r="AG874" s="3">
        <f>IF(IFERROR(VLOOKUP(D874,Controls!$A$36:$E$46,4,FALSE()),"No")="Yes",1,0)</f>
        <v/>
      </c>
      <c r="AH874" s="3">
        <f>IF(IFERROR(VLOOKUP(D874,Controls!$A$36:$E$46,5,FALSE()),"No")="Yes",1,0)</f>
        <v/>
      </c>
      <c r="AI874" s="3">
        <f>IF(ISNUMBER(MATCH(D874,Controls!$A$36:$A$46,0)),1,0)</f>
        <v/>
      </c>
      <c r="AJ874" s="28">
        <f>Q874-N874</f>
        <v/>
      </c>
      <c r="AK874" s="3">
        <f>IF(AE874=1,MAX(0,N874-Q874),0)</f>
        <v/>
      </c>
      <c r="AL874" s="3">
        <f>IF(OR(V874="",V874=0),0,N874/V874)</f>
        <v/>
      </c>
      <c r="AM874" s="3">
        <f>IF(OR(V874="",V874=0),0,1)</f>
        <v/>
      </c>
      <c r="AN874" s="3">
        <f>IF(OR(E874="",F874=""),0,NETWORKDAYS(E874,F874,Ref!$K$2:$K$42))</f>
        <v/>
      </c>
      <c r="AO874" s="3">
        <f>IF(L874="Renewal",1,0)</f>
        <v/>
      </c>
      <c r="AP874" s="3">
        <f>AC874*AD874</f>
        <v/>
      </c>
      <c r="AQ874" s="3">
        <f>IF(AND(G874&lt;&gt;"",'Historical Score'!$C$6&lt;&gt;""),IF(G874='Historical Score'!$C$6,1,0),0)</f>
        <v/>
      </c>
      <c r="AR874" s="3">
        <f>IF(AND(L874&lt;&gt;"",'Historical Score'!$C$5&lt;&gt;""),IF(L874='Historical Score'!$C$5,1,0),0)</f>
        <v/>
      </c>
      <c r="AS874" s="3">
        <f>IF(AND(Y874&lt;&gt;"",'Historical Score'!$C$7&lt;&gt;""),IF(Y874='Historical Score'!$C$7,1,0),0)</f>
        <v/>
      </c>
      <c r="AT874" s="3">
        <f>IF(AND(K874&lt;&gt;"",'Historical Score'!$C$8&lt;&gt;""),IF(K874='Historical Score'!$C$8,1,0),0)</f>
        <v/>
      </c>
      <c r="AU874" s="3" t="n"/>
      <c r="AV874" s="3" t="n"/>
      <c r="AW874" s="3" t="n"/>
      <c r="AX874" s="3" t="n"/>
      <c r="AY874" s="3" t="n"/>
      <c r="AZ874" s="3" t="n"/>
      <c r="BA874" s="182">
        <f>IF(AD874=1,(AR874*'Historical Score'!$K$29+1-'Historical Score'!$K$29)*(AT874*'Historical Score'!$L$29+1-'Historical Score'!$L$29)*(AS874*'Historical Score'!$M$29+1-'Historical Score'!$M$29)*(AQ874*'Historical Score'!$N$29+1-'Historical Score'!$N$29),0)</f>
        <v/>
      </c>
      <c r="BB874" s="3" t="n"/>
      <c r="BC874" s="3" t="n"/>
    </row>
    <row r="875" ht="15.75" customHeight="1" s="174">
      <c r="A875" s="3" t="inlineStr">
        <is>
          <t>5674183726</t>
        </is>
      </c>
      <c r="B875" s="3" t="inlineStr">
        <is>
          <t>Construction of the Texans ILLC</t>
        </is>
      </c>
      <c r="C875" s="3" t="inlineStr">
        <is>
          <t>Construction of the Texans LLC</t>
        </is>
      </c>
      <c r="D875" s="3" t="inlineStr">
        <is>
          <t>Open</t>
        </is>
      </c>
      <c r="E875" s="23" t="n">
        <v>46157</v>
      </c>
      <c r="F875" s="23" t="n">
        <v>46239</v>
      </c>
      <c r="G875" s="3" t="n">
        <v>3</v>
      </c>
      <c r="H875" s="3" t="inlineStr">
        <is>
          <t>1521</t>
        </is>
      </c>
      <c r="I875" s="3" t="inlineStr">
        <is>
          <t>15</t>
        </is>
      </c>
      <c r="J875" s="3" t="inlineStr">
        <is>
          <t>TX</t>
        </is>
      </c>
      <c r="K875" s="3" t="inlineStr">
        <is>
          <t>United Secured Capital 8</t>
        </is>
      </c>
      <c r="L875" s="3" t="inlineStr">
        <is>
          <t>New Deal</t>
        </is>
      </c>
      <c r="M875" s="3" t="n">
        <v>1.49</v>
      </c>
      <c r="N875" s="28" t="n">
        <v>17000</v>
      </c>
      <c r="O875" s="28" t="n">
        <v>2380</v>
      </c>
      <c r="P875" s="28" t="n">
        <v>25330</v>
      </c>
      <c r="Q875" s="28" t="n">
        <v>23604</v>
      </c>
      <c r="R875" s="28" t="n">
        <v>1726</v>
      </c>
      <c r="S875" s="42" t="n">
        <v>0.931859455191473</v>
      </c>
      <c r="T875" s="3" t="n">
        <v>1.475</v>
      </c>
      <c r="U875" s="3" t="n">
        <v>10</v>
      </c>
      <c r="V875" s="3" t="n">
        <v>135688.85</v>
      </c>
      <c r="W875" s="42" t="n">
        <v>0.0871</v>
      </c>
      <c r="X875" s="23" t="n">
        <v>44560</v>
      </c>
      <c r="Y875" s="3">
        <f>IF(I875="","No SIC",IFERROR(VLOOKUP(I875,Ref!$A$2:$B$65,2,FALSE()),"Unclassified"))</f>
        <v/>
      </c>
      <c r="Z875" s="3">
        <f>IF(T875="","",IF(T875&lt;12,"Daily","Weekly"))</f>
        <v/>
      </c>
      <c r="AA875" s="3">
        <f>IF(T875="",0,IF(T875&lt;12,T875*Controls!$B$13,T875*5))</f>
        <v/>
      </c>
      <c r="AB875" s="3">
        <f>IF(E875="",0,NETWORKDAYS(E875,Controls!$B$20,Ref!$K$2:$K$42))</f>
        <v/>
      </c>
      <c r="AC875" s="3">
        <f>IF(OR(AF875=1,AND(AA875&gt;0,AB875&gt;=Controls!$B$23*AA875)),1,0)</f>
        <v/>
      </c>
      <c r="AD875" s="3">
        <f>IF(AND(E875&lt;&gt;"",E875&gt;=Controls!$B$21,E875&lt;=Controls!$B$22),1,0)</f>
        <v/>
      </c>
      <c r="AE875" s="3">
        <f>IF(IFERROR(VLOOKUP(D875,Controls!$A$36:$E$46,2,FALSE()),"No")="Yes",1,0)</f>
        <v/>
      </c>
      <c r="AF875" s="3">
        <f>IF(IFERROR(VLOOKUP(D875,Controls!$A$36:$E$46,3,FALSE()),"No")="Yes",1,0)</f>
        <v/>
      </c>
      <c r="AG875" s="3">
        <f>IF(IFERROR(VLOOKUP(D875,Controls!$A$36:$E$46,4,FALSE()),"No")="Yes",1,0)</f>
        <v/>
      </c>
      <c r="AH875" s="3">
        <f>IF(IFERROR(VLOOKUP(D875,Controls!$A$36:$E$46,5,FALSE()),"No")="Yes",1,0)</f>
        <v/>
      </c>
      <c r="AI875" s="3">
        <f>IF(ISNUMBER(MATCH(D875,Controls!$A$36:$A$46,0)),1,0)</f>
        <v/>
      </c>
      <c r="AJ875" s="28">
        <f>Q875-N875</f>
        <v/>
      </c>
      <c r="AK875" s="3">
        <f>IF(AE875=1,MAX(0,N875-Q875),0)</f>
        <v/>
      </c>
      <c r="AL875" s="3">
        <f>IF(OR(V875="",V875=0),0,N875/V875)</f>
        <v/>
      </c>
      <c r="AM875" s="3">
        <f>IF(OR(V875="",V875=0),0,1)</f>
        <v/>
      </c>
      <c r="AN875" s="3">
        <f>IF(OR(E875="",F875=""),0,NETWORKDAYS(E875,F875,Ref!$K$2:$K$42))</f>
        <v/>
      </c>
      <c r="AO875" s="3">
        <f>IF(L875="Renewal",1,0)</f>
        <v/>
      </c>
      <c r="AP875" s="3">
        <f>AC875*AD875</f>
        <v/>
      </c>
      <c r="AQ875" s="3">
        <f>IF(AND(G875&lt;&gt;"",'Historical Score'!$C$6&lt;&gt;""),IF(G875='Historical Score'!$C$6,1,0),0)</f>
        <v/>
      </c>
      <c r="AR875" s="3">
        <f>IF(AND(L875&lt;&gt;"",'Historical Score'!$C$5&lt;&gt;""),IF(L875='Historical Score'!$C$5,1,0),0)</f>
        <v/>
      </c>
      <c r="AS875" s="3">
        <f>IF(AND(Y875&lt;&gt;"",'Historical Score'!$C$7&lt;&gt;""),IF(Y875='Historical Score'!$C$7,1,0),0)</f>
        <v/>
      </c>
      <c r="AT875" s="3">
        <f>IF(AND(K875&lt;&gt;"",'Historical Score'!$C$8&lt;&gt;""),IF(K875='Historical Score'!$C$8,1,0),0)</f>
        <v/>
      </c>
      <c r="AU875" s="3" t="n"/>
      <c r="AV875" s="3" t="n"/>
      <c r="AW875" s="3" t="n"/>
      <c r="AX875" s="3" t="n"/>
      <c r="AY875" s="3" t="n"/>
      <c r="AZ875" s="3" t="n"/>
      <c r="BA875" s="182">
        <f>IF(AD875=1,(AR875*'Historical Score'!$K$29+1-'Historical Score'!$K$29)*(AT875*'Historical Score'!$L$29+1-'Historical Score'!$L$29)*(AS875*'Historical Score'!$M$29+1-'Historical Score'!$M$29)*(AQ875*'Historical Score'!$N$29+1-'Historical Score'!$N$29),0)</f>
        <v/>
      </c>
      <c r="BB875" s="3" t="n"/>
      <c r="BC875" s="3" t="n"/>
    </row>
    <row r="876" ht="15.75" customHeight="1" s="174">
      <c r="A876" s="3" t="inlineStr">
        <is>
          <t>5674183750</t>
        </is>
      </c>
      <c r="B876" s="3" t="inlineStr">
        <is>
          <t>CM&amp;M Construction Enterprise LLC</t>
        </is>
      </c>
      <c r="C876" s="3" t="inlineStr">
        <is>
          <t>CM&amp;M Construction Enterprise LLC</t>
        </is>
      </c>
      <c r="D876" s="3" t="inlineStr">
        <is>
          <t>Open</t>
        </is>
      </c>
      <c r="E876" s="23" t="n">
        <v>46157</v>
      </c>
      <c r="F876" s="23" t="n">
        <v>46253</v>
      </c>
      <c r="G876" s="3" t="n">
        <v>3</v>
      </c>
      <c r="H876" s="3" t="inlineStr">
        <is>
          <t>1521</t>
        </is>
      </c>
      <c r="I876" s="3" t="inlineStr">
        <is>
          <t>15</t>
        </is>
      </c>
      <c r="J876" s="3" t="inlineStr">
        <is>
          <t>AR</t>
        </is>
      </c>
      <c r="K876" s="3" t="inlineStr">
        <is>
          <t>PMF</t>
        </is>
      </c>
      <c r="L876" s="3" t="inlineStr">
        <is>
          <t>New Deal</t>
        </is>
      </c>
      <c r="M876" s="3" t="n">
        <v>1.45</v>
      </c>
      <c r="N876" s="28" t="n">
        <v>35000</v>
      </c>
      <c r="O876" s="28" t="n">
        <v>4200</v>
      </c>
      <c r="P876" s="28" t="n">
        <v>50750</v>
      </c>
      <c r="Q876" s="28" t="n">
        <v>16415.3</v>
      </c>
      <c r="R876" s="28" t="n">
        <v>34334.7</v>
      </c>
      <c r="S876" s="42" t="n">
        <v>0.323454187192118</v>
      </c>
      <c r="T876" s="3" t="n">
        <v>34</v>
      </c>
      <c r="U876" s="3" t="n">
        <v>2</v>
      </c>
      <c r="V876" s="3" t="n">
        <v>496528.38</v>
      </c>
      <c r="W876" s="42" t="n">
        <v>0.0934</v>
      </c>
      <c r="X876" s="23" t="n">
        <v>43417</v>
      </c>
      <c r="Y876" s="3">
        <f>IF(I876="","No SIC",IFERROR(VLOOKUP(I876,Ref!$A$2:$B$65,2,FALSE()),"Unclassified"))</f>
        <v/>
      </c>
      <c r="Z876" s="3">
        <f>IF(T876="","",IF(T876&lt;12,"Daily","Weekly"))</f>
        <v/>
      </c>
      <c r="AA876" s="3">
        <f>IF(T876="",0,IF(T876&lt;12,T876*Controls!$B$13,T876*5))</f>
        <v/>
      </c>
      <c r="AB876" s="3">
        <f>IF(E876="",0,NETWORKDAYS(E876,Controls!$B$20,Ref!$K$2:$K$42))</f>
        <v/>
      </c>
      <c r="AC876" s="3">
        <f>IF(OR(AF876=1,AND(AA876&gt;0,AB876&gt;=Controls!$B$23*AA876)),1,0)</f>
        <v/>
      </c>
      <c r="AD876" s="3">
        <f>IF(AND(E876&lt;&gt;"",E876&gt;=Controls!$B$21,E876&lt;=Controls!$B$22),1,0)</f>
        <v/>
      </c>
      <c r="AE876" s="3">
        <f>IF(IFERROR(VLOOKUP(D876,Controls!$A$36:$E$46,2,FALSE()),"No")="Yes",1,0)</f>
        <v/>
      </c>
      <c r="AF876" s="3">
        <f>IF(IFERROR(VLOOKUP(D876,Controls!$A$36:$E$46,3,FALSE()),"No")="Yes",1,0)</f>
        <v/>
      </c>
      <c r="AG876" s="3">
        <f>IF(IFERROR(VLOOKUP(D876,Controls!$A$36:$E$46,4,FALSE()),"No")="Yes",1,0)</f>
        <v/>
      </c>
      <c r="AH876" s="3">
        <f>IF(IFERROR(VLOOKUP(D876,Controls!$A$36:$E$46,5,FALSE()),"No")="Yes",1,0)</f>
        <v/>
      </c>
      <c r="AI876" s="3">
        <f>IF(ISNUMBER(MATCH(D876,Controls!$A$36:$A$46,0)),1,0)</f>
        <v/>
      </c>
      <c r="AJ876" s="28">
        <f>Q876-N876</f>
        <v/>
      </c>
      <c r="AK876" s="3">
        <f>IF(AE876=1,MAX(0,N876-Q876),0)</f>
        <v/>
      </c>
      <c r="AL876" s="3">
        <f>IF(OR(V876="",V876=0),0,N876/V876)</f>
        <v/>
      </c>
      <c r="AM876" s="3">
        <f>IF(OR(V876="",V876=0),0,1)</f>
        <v/>
      </c>
      <c r="AN876" s="3">
        <f>IF(OR(E876="",F876=""),0,NETWORKDAYS(E876,F876,Ref!$K$2:$K$42))</f>
        <v/>
      </c>
      <c r="AO876" s="3">
        <f>IF(L876="Renewal",1,0)</f>
        <v/>
      </c>
      <c r="AP876" s="3">
        <f>AC876*AD876</f>
        <v/>
      </c>
      <c r="AQ876" s="3">
        <f>IF(AND(G876&lt;&gt;"",'Historical Score'!$C$6&lt;&gt;""),IF(G876='Historical Score'!$C$6,1,0),0)</f>
        <v/>
      </c>
      <c r="AR876" s="3">
        <f>IF(AND(L876&lt;&gt;"",'Historical Score'!$C$5&lt;&gt;""),IF(L876='Historical Score'!$C$5,1,0),0)</f>
        <v/>
      </c>
      <c r="AS876" s="3">
        <f>IF(AND(Y876&lt;&gt;"",'Historical Score'!$C$7&lt;&gt;""),IF(Y876='Historical Score'!$C$7,1,0),0)</f>
        <v/>
      </c>
      <c r="AT876" s="3">
        <f>IF(AND(K876&lt;&gt;"",'Historical Score'!$C$8&lt;&gt;""),IF(K876='Historical Score'!$C$8,1,0),0)</f>
        <v/>
      </c>
      <c r="AU876" s="3" t="n"/>
      <c r="AV876" s="3" t="n"/>
      <c r="AW876" s="3" t="n"/>
      <c r="AX876" s="3" t="n"/>
      <c r="AY876" s="3" t="n"/>
      <c r="AZ876" s="3" t="n"/>
      <c r="BA876" s="182">
        <f>IF(AD876=1,(AR876*'Historical Score'!$K$29+1-'Historical Score'!$K$29)*(AT876*'Historical Score'!$L$29+1-'Historical Score'!$L$29)*(AS876*'Historical Score'!$M$29+1-'Historical Score'!$M$29)*(AQ876*'Historical Score'!$N$29+1-'Historical Score'!$N$29),0)</f>
        <v/>
      </c>
      <c r="BB876" s="3" t="n"/>
      <c r="BC876" s="3" t="n"/>
    </row>
    <row r="877" ht="15.75" customHeight="1" s="174">
      <c r="A877" s="3" t="inlineStr">
        <is>
          <t>5674183764</t>
        </is>
      </c>
      <c r="B877" s="3" t="inlineStr">
        <is>
          <t>Recharge Exteriors</t>
        </is>
      </c>
      <c r="C877" s="3" t="inlineStr">
        <is>
          <t>Recharge Exteriors</t>
        </is>
      </c>
      <c r="D877" s="3" t="inlineStr">
        <is>
          <t>Legal</t>
        </is>
      </c>
      <c r="E877" s="23" t="n">
        <v>46157</v>
      </c>
      <c r="F877" s="23" t="n">
        <v>46178</v>
      </c>
      <c r="G877" s="3" t="n">
        <v>3</v>
      </c>
      <c r="H877" s="3" t="inlineStr">
        <is>
          <t>1521</t>
        </is>
      </c>
      <c r="I877" s="3" t="inlineStr">
        <is>
          <t>15</t>
        </is>
      </c>
      <c r="J877" s="3" t="inlineStr">
        <is>
          <t>FL</t>
        </is>
      </c>
      <c r="K877" s="3" t="inlineStr">
        <is>
          <t>United Secured Capital 8</t>
        </is>
      </c>
      <c r="L877" s="3" t="inlineStr">
        <is>
          <t>Renewal</t>
        </is>
      </c>
      <c r="M877" s="3" t="n">
        <v>1.44</v>
      </c>
      <c r="N877" s="28" t="n">
        <v>40000</v>
      </c>
      <c r="O877" s="28" t="n">
        <v>4600</v>
      </c>
      <c r="P877" s="28" t="n">
        <v>57600</v>
      </c>
      <c r="Q877" s="28" t="n">
        <v>4115</v>
      </c>
      <c r="R877" s="28" t="n">
        <v>53485</v>
      </c>
      <c r="S877" s="42" t="n">
        <v>0.0714409722222222</v>
      </c>
      <c r="T877" s="3" t="n">
        <v>28</v>
      </c>
      <c r="U877" s="3" t="n">
        <v>1</v>
      </c>
      <c r="V877" s="3" t="n">
        <v>40722.38</v>
      </c>
      <c r="W877" s="42" t="n">
        <v>0.2021</v>
      </c>
      <c r="X877" s="23" t="n">
        <v>44835</v>
      </c>
      <c r="Y877" s="3">
        <f>IF(I877="","No SIC",IFERROR(VLOOKUP(I877,Ref!$A$2:$B$65,2,FALSE()),"Unclassified"))</f>
        <v/>
      </c>
      <c r="Z877" s="3">
        <f>IF(T877="","",IF(T877&lt;12,"Daily","Weekly"))</f>
        <v/>
      </c>
      <c r="AA877" s="3">
        <f>IF(T877="",0,IF(T877&lt;12,T877*Controls!$B$13,T877*5))</f>
        <v/>
      </c>
      <c r="AB877" s="3">
        <f>IF(E877="",0,NETWORKDAYS(E877,Controls!$B$20,Ref!$K$2:$K$42))</f>
        <v/>
      </c>
      <c r="AC877" s="3">
        <f>IF(OR(AF877=1,AND(AA877&gt;0,AB877&gt;=Controls!$B$23*AA877)),1,0)</f>
        <v/>
      </c>
      <c r="AD877" s="3">
        <f>IF(AND(E877&lt;&gt;"",E877&gt;=Controls!$B$21,E877&lt;=Controls!$B$22),1,0)</f>
        <v/>
      </c>
      <c r="AE877" s="3">
        <f>IF(IFERROR(VLOOKUP(D877,Controls!$A$36:$E$46,2,FALSE()),"No")="Yes",1,0)</f>
        <v/>
      </c>
      <c r="AF877" s="3">
        <f>IF(IFERROR(VLOOKUP(D877,Controls!$A$36:$E$46,3,FALSE()),"No")="Yes",1,0)</f>
        <v/>
      </c>
      <c r="AG877" s="3">
        <f>IF(IFERROR(VLOOKUP(D877,Controls!$A$36:$E$46,4,FALSE()),"No")="Yes",1,0)</f>
        <v/>
      </c>
      <c r="AH877" s="3">
        <f>IF(IFERROR(VLOOKUP(D877,Controls!$A$36:$E$46,5,FALSE()),"No")="Yes",1,0)</f>
        <v/>
      </c>
      <c r="AI877" s="3">
        <f>IF(ISNUMBER(MATCH(D877,Controls!$A$36:$A$46,0)),1,0)</f>
        <v/>
      </c>
      <c r="AJ877" s="28">
        <f>Q877-N877</f>
        <v/>
      </c>
      <c r="AK877" s="3">
        <f>IF(AE877=1,MAX(0,N877-Q877),0)</f>
        <v/>
      </c>
      <c r="AL877" s="3">
        <f>IF(OR(V877="",V877=0),0,N877/V877)</f>
        <v/>
      </c>
      <c r="AM877" s="3">
        <f>IF(OR(V877="",V877=0),0,1)</f>
        <v/>
      </c>
      <c r="AN877" s="3">
        <f>IF(OR(E877="",F877=""),0,NETWORKDAYS(E877,F877,Ref!$K$2:$K$42))</f>
        <v/>
      </c>
      <c r="AO877" s="3">
        <f>IF(L877="Renewal",1,0)</f>
        <v/>
      </c>
      <c r="AP877" s="3">
        <f>AC877*AD877</f>
        <v/>
      </c>
      <c r="AQ877" s="3">
        <f>IF(AND(G877&lt;&gt;"",'Historical Score'!$C$6&lt;&gt;""),IF(G877='Historical Score'!$C$6,1,0),0)</f>
        <v/>
      </c>
      <c r="AR877" s="3">
        <f>IF(AND(L877&lt;&gt;"",'Historical Score'!$C$5&lt;&gt;""),IF(L877='Historical Score'!$C$5,1,0),0)</f>
        <v/>
      </c>
      <c r="AS877" s="3">
        <f>IF(AND(Y877&lt;&gt;"",'Historical Score'!$C$7&lt;&gt;""),IF(Y877='Historical Score'!$C$7,1,0),0)</f>
        <v/>
      </c>
      <c r="AT877" s="3">
        <f>IF(AND(K877&lt;&gt;"",'Historical Score'!$C$8&lt;&gt;""),IF(K877='Historical Score'!$C$8,1,0),0)</f>
        <v/>
      </c>
      <c r="AU877" s="3" t="n"/>
      <c r="AV877" s="3" t="n"/>
      <c r="AW877" s="3" t="n"/>
      <c r="AX877" s="3" t="n"/>
      <c r="AY877" s="3" t="n"/>
      <c r="AZ877" s="3" t="n"/>
      <c r="BA877" s="182">
        <f>IF(AD877=1,(AR877*'Historical Score'!$K$29+1-'Historical Score'!$K$29)*(AT877*'Historical Score'!$L$29+1-'Historical Score'!$L$29)*(AS877*'Historical Score'!$M$29+1-'Historical Score'!$M$29)*(AQ877*'Historical Score'!$N$29+1-'Historical Score'!$N$29),0)</f>
        <v/>
      </c>
      <c r="BB877" s="3" t="n"/>
      <c r="BC877" s="3" t="n"/>
    </row>
    <row r="878" ht="15.75" customHeight="1" s="174">
      <c r="A878" s="3" t="inlineStr">
        <is>
          <t>5674183838</t>
        </is>
      </c>
      <c r="B878" s="3" t="inlineStr">
        <is>
          <t>BARWAAQA CAFE</t>
        </is>
      </c>
      <c r="C878" s="3" t="inlineStr">
        <is>
          <t>BARWAAQA CAFE LLC</t>
        </is>
      </c>
      <c r="D878" s="3" t="inlineStr">
        <is>
          <t>Open</t>
        </is>
      </c>
      <c r="E878" s="23" t="n">
        <v>46160</v>
      </c>
      <c r="F878" s="23" t="n">
        <v>46253</v>
      </c>
      <c r="G878" s="3" t="n">
        <v>2</v>
      </c>
      <c r="H878" s="3" t="inlineStr">
        <is>
          <t>5812</t>
        </is>
      </c>
      <c r="I878" s="3" t="inlineStr">
        <is>
          <t>58</t>
        </is>
      </c>
      <c r="J878" s="3" t="inlineStr">
        <is>
          <t>OH</t>
        </is>
      </c>
      <c r="K878" s="3" t="inlineStr">
        <is>
          <t>Lemonaid</t>
        </is>
      </c>
      <c r="L878" s="3" t="inlineStr">
        <is>
          <t>New Deal</t>
        </is>
      </c>
      <c r="M878" s="3" t="n">
        <v>1.49</v>
      </c>
      <c r="N878" s="28" t="n">
        <v>5000</v>
      </c>
      <c r="O878" s="28" t="n">
        <v>700</v>
      </c>
      <c r="P878" s="28" t="n">
        <v>7450</v>
      </c>
      <c r="Q878" s="28" t="n">
        <v>3723</v>
      </c>
      <c r="R878" s="28" t="n">
        <v>3727</v>
      </c>
      <c r="S878" s="42" t="n">
        <v>0.499731543624161</v>
      </c>
      <c r="T878" s="3" t="n">
        <v>3.279</v>
      </c>
      <c r="U878" s="3" t="n">
        <v>15</v>
      </c>
      <c r="V878" s="3" t="n">
        <v>22371.11</v>
      </c>
      <c r="W878" s="42" t="n">
        <v>0.0699</v>
      </c>
      <c r="X878" s="23" t="n">
        <v>44634</v>
      </c>
      <c r="Y878" s="3">
        <f>IF(I878="","No SIC",IFERROR(VLOOKUP(I878,Ref!$A$2:$B$65,2,FALSE()),"Unclassified"))</f>
        <v/>
      </c>
      <c r="Z878" s="3">
        <f>IF(T878="","",IF(T878&lt;12,"Daily","Weekly"))</f>
        <v/>
      </c>
      <c r="AA878" s="3">
        <f>IF(T878="",0,IF(T878&lt;12,T878*Controls!$B$13,T878*5))</f>
        <v/>
      </c>
      <c r="AB878" s="3">
        <f>IF(E878="",0,NETWORKDAYS(E878,Controls!$B$20,Ref!$K$2:$K$42))</f>
        <v/>
      </c>
      <c r="AC878" s="3">
        <f>IF(OR(AF878=1,AND(AA878&gt;0,AB878&gt;=Controls!$B$23*AA878)),1,0)</f>
        <v/>
      </c>
      <c r="AD878" s="3">
        <f>IF(AND(E878&lt;&gt;"",E878&gt;=Controls!$B$21,E878&lt;=Controls!$B$22),1,0)</f>
        <v/>
      </c>
      <c r="AE878" s="3">
        <f>IF(IFERROR(VLOOKUP(D878,Controls!$A$36:$E$46,2,FALSE()),"No")="Yes",1,0)</f>
        <v/>
      </c>
      <c r="AF878" s="3">
        <f>IF(IFERROR(VLOOKUP(D878,Controls!$A$36:$E$46,3,FALSE()),"No")="Yes",1,0)</f>
        <v/>
      </c>
      <c r="AG878" s="3">
        <f>IF(IFERROR(VLOOKUP(D878,Controls!$A$36:$E$46,4,FALSE()),"No")="Yes",1,0)</f>
        <v/>
      </c>
      <c r="AH878" s="3">
        <f>IF(IFERROR(VLOOKUP(D878,Controls!$A$36:$E$46,5,FALSE()),"No")="Yes",1,0)</f>
        <v/>
      </c>
      <c r="AI878" s="3">
        <f>IF(ISNUMBER(MATCH(D878,Controls!$A$36:$A$46,0)),1,0)</f>
        <v/>
      </c>
      <c r="AJ878" s="28">
        <f>Q878-N878</f>
        <v/>
      </c>
      <c r="AK878" s="3">
        <f>IF(AE878=1,MAX(0,N878-Q878),0)</f>
        <v/>
      </c>
      <c r="AL878" s="3">
        <f>IF(OR(V878="",V878=0),0,N878/V878)</f>
        <v/>
      </c>
      <c r="AM878" s="3">
        <f>IF(OR(V878="",V878=0),0,1)</f>
        <v/>
      </c>
      <c r="AN878" s="3">
        <f>IF(OR(E878="",F878=""),0,NETWORKDAYS(E878,F878,Ref!$K$2:$K$42))</f>
        <v/>
      </c>
      <c r="AO878" s="3">
        <f>IF(L878="Renewal",1,0)</f>
        <v/>
      </c>
      <c r="AP878" s="3">
        <f>AC878*AD878</f>
        <v/>
      </c>
      <c r="AQ878" s="3">
        <f>IF(AND(G878&lt;&gt;"",'Historical Score'!$C$6&lt;&gt;""),IF(G878='Historical Score'!$C$6,1,0),0)</f>
        <v/>
      </c>
      <c r="AR878" s="3">
        <f>IF(AND(L878&lt;&gt;"",'Historical Score'!$C$5&lt;&gt;""),IF(L878='Historical Score'!$C$5,1,0),0)</f>
        <v/>
      </c>
      <c r="AS878" s="3">
        <f>IF(AND(Y878&lt;&gt;"",'Historical Score'!$C$7&lt;&gt;""),IF(Y878='Historical Score'!$C$7,1,0),0)</f>
        <v/>
      </c>
      <c r="AT878" s="3">
        <f>IF(AND(K878&lt;&gt;"",'Historical Score'!$C$8&lt;&gt;""),IF(K878='Historical Score'!$C$8,1,0),0)</f>
        <v/>
      </c>
      <c r="AU878" s="3" t="n"/>
      <c r="AV878" s="3" t="n"/>
      <c r="AW878" s="3" t="n"/>
      <c r="AX878" s="3" t="n"/>
      <c r="AY878" s="3" t="n"/>
      <c r="AZ878" s="3" t="n"/>
      <c r="BA878" s="182">
        <f>IF(AD878=1,(AR878*'Historical Score'!$K$29+1-'Historical Score'!$K$29)*(AT878*'Historical Score'!$L$29+1-'Historical Score'!$L$29)*(AS878*'Historical Score'!$M$29+1-'Historical Score'!$M$29)*(AQ878*'Historical Score'!$N$29+1-'Historical Score'!$N$29),0)</f>
        <v/>
      </c>
      <c r="BB878" s="3" t="n"/>
      <c r="BC878" s="3" t="n"/>
    </row>
    <row r="879" ht="15.75" customHeight="1" s="174">
      <c r="A879" s="3" t="inlineStr">
        <is>
          <t>5674183839</t>
        </is>
      </c>
      <c r="B879" s="3" t="inlineStr">
        <is>
          <t>ABOVE AND BEYOND EARLY LEARNERS ACADEMY LLC</t>
        </is>
      </c>
      <c r="C879" s="3" t="inlineStr">
        <is>
          <t>ABOVE AND BEYOND EARLY LEARNERS ACADEMY LLC</t>
        </is>
      </c>
      <c r="D879" s="3" t="inlineStr">
        <is>
          <t>In House Collection</t>
        </is>
      </c>
      <c r="E879" s="23" t="n">
        <v>46160</v>
      </c>
      <c r="F879" s="23" t="n">
        <v>46195</v>
      </c>
      <c r="G879" s="3" t="n">
        <v>3</v>
      </c>
      <c r="H879" s="3" t="inlineStr">
        <is>
          <t>8351</t>
        </is>
      </c>
      <c r="I879" s="3" t="inlineStr">
        <is>
          <t>83</t>
        </is>
      </c>
      <c r="J879" s="3" t="inlineStr">
        <is>
          <t>PA</t>
        </is>
      </c>
      <c r="K879" s="3" t="inlineStr">
        <is>
          <t>Ballicci</t>
        </is>
      </c>
      <c r="L879" s="3" t="inlineStr">
        <is>
          <t>New Deal</t>
        </is>
      </c>
      <c r="M879" s="3" t="n">
        <v>1.49</v>
      </c>
      <c r="N879" s="28" t="n">
        <v>15000</v>
      </c>
      <c r="O879" s="28" t="n">
        <v>0</v>
      </c>
      <c r="P879" s="28" t="n">
        <v>22350</v>
      </c>
      <c r="Q879" s="28" t="n">
        <v>2904.72</v>
      </c>
      <c r="R879" s="28" t="n">
        <v>19445.28</v>
      </c>
      <c r="S879" s="42" t="n">
        <v>0.129965100671141</v>
      </c>
      <c r="T879" s="3" t="n">
        <v>3.279</v>
      </c>
      <c r="U879" s="3" t="n">
        <v>10</v>
      </c>
      <c r="V879" s="3" t="n">
        <v>38148.46</v>
      </c>
      <c r="W879" s="42" t="n">
        <v>0.123</v>
      </c>
      <c r="X879" s="23" t="n">
        <v>45261</v>
      </c>
      <c r="Y879" s="3">
        <f>IF(I879="","No SIC",IFERROR(VLOOKUP(I879,Ref!$A$2:$B$65,2,FALSE()),"Unclassified"))</f>
        <v/>
      </c>
      <c r="Z879" s="3">
        <f>IF(T879="","",IF(T879&lt;12,"Daily","Weekly"))</f>
        <v/>
      </c>
      <c r="AA879" s="3">
        <f>IF(T879="",0,IF(T879&lt;12,T879*Controls!$B$13,T879*5))</f>
        <v/>
      </c>
      <c r="AB879" s="3">
        <f>IF(E879="",0,NETWORKDAYS(E879,Controls!$B$20,Ref!$K$2:$K$42))</f>
        <v/>
      </c>
      <c r="AC879" s="3">
        <f>IF(OR(AF879=1,AND(AA879&gt;0,AB879&gt;=Controls!$B$23*AA879)),1,0)</f>
        <v/>
      </c>
      <c r="AD879" s="3">
        <f>IF(AND(E879&lt;&gt;"",E879&gt;=Controls!$B$21,E879&lt;=Controls!$B$22),1,0)</f>
        <v/>
      </c>
      <c r="AE879" s="3">
        <f>IF(IFERROR(VLOOKUP(D879,Controls!$A$36:$E$46,2,FALSE()),"No")="Yes",1,0)</f>
        <v/>
      </c>
      <c r="AF879" s="3">
        <f>IF(IFERROR(VLOOKUP(D879,Controls!$A$36:$E$46,3,FALSE()),"No")="Yes",1,0)</f>
        <v/>
      </c>
      <c r="AG879" s="3">
        <f>IF(IFERROR(VLOOKUP(D879,Controls!$A$36:$E$46,4,FALSE()),"No")="Yes",1,0)</f>
        <v/>
      </c>
      <c r="AH879" s="3">
        <f>IF(IFERROR(VLOOKUP(D879,Controls!$A$36:$E$46,5,FALSE()),"No")="Yes",1,0)</f>
        <v/>
      </c>
      <c r="AI879" s="3">
        <f>IF(ISNUMBER(MATCH(D879,Controls!$A$36:$A$46,0)),1,0)</f>
        <v/>
      </c>
      <c r="AJ879" s="28">
        <f>Q879-N879</f>
        <v/>
      </c>
      <c r="AK879" s="3">
        <f>IF(AE879=1,MAX(0,N879-Q879),0)</f>
        <v/>
      </c>
      <c r="AL879" s="3">
        <f>IF(OR(V879="",V879=0),0,N879/V879)</f>
        <v/>
      </c>
      <c r="AM879" s="3">
        <f>IF(OR(V879="",V879=0),0,1)</f>
        <v/>
      </c>
      <c r="AN879" s="3">
        <f>IF(OR(E879="",F879=""),0,NETWORKDAYS(E879,F879,Ref!$K$2:$K$42))</f>
        <v/>
      </c>
      <c r="AO879" s="3">
        <f>IF(L879="Renewal",1,0)</f>
        <v/>
      </c>
      <c r="AP879" s="3">
        <f>AC879*AD879</f>
        <v/>
      </c>
      <c r="AQ879" s="3">
        <f>IF(AND(G879&lt;&gt;"",'Historical Score'!$C$6&lt;&gt;""),IF(G879='Historical Score'!$C$6,1,0),0)</f>
        <v/>
      </c>
      <c r="AR879" s="3">
        <f>IF(AND(L879&lt;&gt;"",'Historical Score'!$C$5&lt;&gt;""),IF(L879='Historical Score'!$C$5,1,0),0)</f>
        <v/>
      </c>
      <c r="AS879" s="3">
        <f>IF(AND(Y879&lt;&gt;"",'Historical Score'!$C$7&lt;&gt;""),IF(Y879='Historical Score'!$C$7,1,0),0)</f>
        <v/>
      </c>
      <c r="AT879" s="3">
        <f>IF(AND(K879&lt;&gt;"",'Historical Score'!$C$8&lt;&gt;""),IF(K879='Historical Score'!$C$8,1,0),0)</f>
        <v/>
      </c>
      <c r="AU879" s="3" t="n"/>
      <c r="AV879" s="3" t="n"/>
      <c r="AW879" s="3" t="n"/>
      <c r="AX879" s="3" t="n"/>
      <c r="AY879" s="3" t="n"/>
      <c r="AZ879" s="3" t="n"/>
      <c r="BA879" s="182">
        <f>IF(AD879=1,(AR879*'Historical Score'!$K$29+1-'Historical Score'!$K$29)*(AT879*'Historical Score'!$L$29+1-'Historical Score'!$L$29)*(AS879*'Historical Score'!$M$29+1-'Historical Score'!$M$29)*(AQ879*'Historical Score'!$N$29+1-'Historical Score'!$N$29),0)</f>
        <v/>
      </c>
      <c r="BB879" s="3" t="n"/>
      <c r="BC879" s="3" t="n"/>
    </row>
    <row r="880" ht="15.75" customHeight="1" s="174">
      <c r="A880" s="3" t="inlineStr">
        <is>
          <t>5674183849</t>
        </is>
      </c>
      <c r="B880" s="3" t="inlineStr">
        <is>
          <t>Chasing More Vacations</t>
        </is>
      </c>
      <c r="C880" s="3" t="inlineStr">
        <is>
          <t>LORETTA DARNELL</t>
        </is>
      </c>
      <c r="D880" s="3" t="inlineStr">
        <is>
          <t>Open</t>
        </is>
      </c>
      <c r="E880" s="23" t="n">
        <v>46160</v>
      </c>
      <c r="F880" s="23" t="n">
        <v>46253</v>
      </c>
      <c r="G880" s="3" t="n">
        <v>2</v>
      </c>
      <c r="H880" s="3" t="inlineStr">
        <is>
          <t>4724</t>
        </is>
      </c>
      <c r="I880" s="3" t="inlineStr">
        <is>
          <t>47</t>
        </is>
      </c>
      <c r="J880" s="3" t="inlineStr">
        <is>
          <t>TX</t>
        </is>
      </c>
      <c r="K880" s="3" t="inlineStr">
        <is>
          <t>Fundwell</t>
        </is>
      </c>
      <c r="L880" s="3" t="inlineStr">
        <is>
          <t>Renewal</t>
        </is>
      </c>
      <c r="M880" s="3" t="n">
        <v>1.42</v>
      </c>
      <c r="N880" s="28" t="n">
        <v>11000</v>
      </c>
      <c r="O880" s="28" t="n">
        <v>1540</v>
      </c>
      <c r="P880" s="28" t="n">
        <v>15620</v>
      </c>
      <c r="Q880" s="28" t="n">
        <v>7252.7</v>
      </c>
      <c r="R880" s="28" t="n">
        <v>8367.299999999999</v>
      </c>
      <c r="S880" s="42" t="n">
        <v>0.46432138284251</v>
      </c>
      <c r="T880" s="3" t="n">
        <v>4.59</v>
      </c>
      <c r="U880" s="3" t="n">
        <v>0</v>
      </c>
      <c r="V880" s="3" t="n">
        <v>14115.65</v>
      </c>
      <c r="W880" s="42" t="n">
        <v>0.2311</v>
      </c>
      <c r="X880" s="23" t="n">
        <v>43299</v>
      </c>
      <c r="Y880" s="3">
        <f>IF(I880="","No SIC",IFERROR(VLOOKUP(I880,Ref!$A$2:$B$65,2,FALSE()),"Unclassified"))</f>
        <v/>
      </c>
      <c r="Z880" s="3">
        <f>IF(T880="","",IF(T880&lt;12,"Daily","Weekly"))</f>
        <v/>
      </c>
      <c r="AA880" s="3">
        <f>IF(T880="",0,IF(T880&lt;12,T880*Controls!$B$13,T880*5))</f>
        <v/>
      </c>
      <c r="AB880" s="3">
        <f>IF(E880="",0,NETWORKDAYS(E880,Controls!$B$20,Ref!$K$2:$K$42))</f>
        <v/>
      </c>
      <c r="AC880" s="3">
        <f>IF(OR(AF880=1,AND(AA880&gt;0,AB880&gt;=Controls!$B$23*AA880)),1,0)</f>
        <v/>
      </c>
      <c r="AD880" s="3">
        <f>IF(AND(E880&lt;&gt;"",E880&gt;=Controls!$B$21,E880&lt;=Controls!$B$22),1,0)</f>
        <v/>
      </c>
      <c r="AE880" s="3">
        <f>IF(IFERROR(VLOOKUP(D880,Controls!$A$36:$E$46,2,FALSE()),"No")="Yes",1,0)</f>
        <v/>
      </c>
      <c r="AF880" s="3">
        <f>IF(IFERROR(VLOOKUP(D880,Controls!$A$36:$E$46,3,FALSE()),"No")="Yes",1,0)</f>
        <v/>
      </c>
      <c r="AG880" s="3">
        <f>IF(IFERROR(VLOOKUP(D880,Controls!$A$36:$E$46,4,FALSE()),"No")="Yes",1,0)</f>
        <v/>
      </c>
      <c r="AH880" s="3">
        <f>IF(IFERROR(VLOOKUP(D880,Controls!$A$36:$E$46,5,FALSE()),"No")="Yes",1,0)</f>
        <v/>
      </c>
      <c r="AI880" s="3">
        <f>IF(ISNUMBER(MATCH(D880,Controls!$A$36:$A$46,0)),1,0)</f>
        <v/>
      </c>
      <c r="AJ880" s="28">
        <f>Q880-N880</f>
        <v/>
      </c>
      <c r="AK880" s="3">
        <f>IF(AE880=1,MAX(0,N880-Q880),0)</f>
        <v/>
      </c>
      <c r="AL880" s="3">
        <f>IF(OR(V880="",V880=0),0,N880/V880)</f>
        <v/>
      </c>
      <c r="AM880" s="3">
        <f>IF(OR(V880="",V880=0),0,1)</f>
        <v/>
      </c>
      <c r="AN880" s="3">
        <f>IF(OR(E880="",F880=""),0,NETWORKDAYS(E880,F880,Ref!$K$2:$K$42))</f>
        <v/>
      </c>
      <c r="AO880" s="3">
        <f>IF(L880="Renewal",1,0)</f>
        <v/>
      </c>
      <c r="AP880" s="3">
        <f>AC880*AD880</f>
        <v/>
      </c>
      <c r="AQ880" s="3">
        <f>IF(AND(G880&lt;&gt;"",'Historical Score'!$C$6&lt;&gt;""),IF(G880='Historical Score'!$C$6,1,0),0)</f>
        <v/>
      </c>
      <c r="AR880" s="3">
        <f>IF(AND(L880&lt;&gt;"",'Historical Score'!$C$5&lt;&gt;""),IF(L880='Historical Score'!$C$5,1,0),0)</f>
        <v/>
      </c>
      <c r="AS880" s="3">
        <f>IF(AND(Y880&lt;&gt;"",'Historical Score'!$C$7&lt;&gt;""),IF(Y880='Historical Score'!$C$7,1,0),0)</f>
        <v/>
      </c>
      <c r="AT880" s="3">
        <f>IF(AND(K880&lt;&gt;"",'Historical Score'!$C$8&lt;&gt;""),IF(K880='Historical Score'!$C$8,1,0),0)</f>
        <v/>
      </c>
      <c r="AU880" s="3" t="n"/>
      <c r="AV880" s="3" t="n"/>
      <c r="AW880" s="3" t="n"/>
      <c r="AX880" s="3" t="n"/>
      <c r="AY880" s="3" t="n"/>
      <c r="AZ880" s="3" t="n"/>
      <c r="BA880" s="182">
        <f>IF(AD880=1,(AR880*'Historical Score'!$K$29+1-'Historical Score'!$K$29)*(AT880*'Historical Score'!$L$29+1-'Historical Score'!$L$29)*(AS880*'Historical Score'!$M$29+1-'Historical Score'!$M$29)*(AQ880*'Historical Score'!$N$29+1-'Historical Score'!$N$29),0)</f>
        <v/>
      </c>
      <c r="BB880" s="3" t="n"/>
      <c r="BC880" s="3" t="n"/>
    </row>
    <row r="881" ht="15.75" customHeight="1" s="174">
      <c r="A881" s="3" t="inlineStr">
        <is>
          <t>5674183898</t>
        </is>
      </c>
      <c r="B881" s="3" t="inlineStr">
        <is>
          <t>Exquisite Bride, LLC</t>
        </is>
      </c>
      <c r="C881" s="3" t="inlineStr">
        <is>
          <t>Exquisite Bride, LLC</t>
        </is>
      </c>
      <c r="D881" s="3" t="inlineStr">
        <is>
          <t>In House Collection</t>
        </is>
      </c>
      <c r="E881" s="23" t="n">
        <v>46161</v>
      </c>
      <c r="F881" s="23" t="n">
        <v>46251</v>
      </c>
      <c r="G881" s="3" t="n">
        <v>2</v>
      </c>
      <c r="H881" s="3" t="inlineStr">
        <is>
          <t>2331</t>
        </is>
      </c>
      <c r="I881" s="3" t="inlineStr">
        <is>
          <t>23</t>
        </is>
      </c>
      <c r="J881" s="3" t="inlineStr">
        <is>
          <t>TX</t>
        </is>
      </c>
      <c r="K881" s="3" t="inlineStr">
        <is>
          <t>Viking Funding LLC</t>
        </is>
      </c>
      <c r="L881" s="3" t="inlineStr">
        <is>
          <t>Renewal</t>
        </is>
      </c>
      <c r="M881" s="3" t="n">
        <v>1.49</v>
      </c>
      <c r="N881" s="28" t="n">
        <v>15000</v>
      </c>
      <c r="O881" s="28" t="n">
        <v>2100</v>
      </c>
      <c r="P881" s="28" t="n">
        <v>22350</v>
      </c>
      <c r="Q881" s="28" t="n">
        <v>1989.88</v>
      </c>
      <c r="R881" s="28" t="n">
        <v>20360.12</v>
      </c>
      <c r="S881" s="42" t="n">
        <v>0.0890326621923937</v>
      </c>
      <c r="T881" s="3" t="n">
        <v>4.918</v>
      </c>
      <c r="U881" s="3" t="n">
        <v>20</v>
      </c>
      <c r="V881" s="3" t="n">
        <v>38438.18</v>
      </c>
      <c r="W881" s="42" t="n">
        <v>0.0814</v>
      </c>
      <c r="X881" s="23" t="n">
        <v>44562</v>
      </c>
      <c r="Y881" s="3">
        <f>IF(I881="","No SIC",IFERROR(VLOOKUP(I881,Ref!$A$2:$B$65,2,FALSE()),"Unclassified"))</f>
        <v/>
      </c>
      <c r="Z881" s="3">
        <f>IF(T881="","",IF(T881&lt;12,"Daily","Weekly"))</f>
        <v/>
      </c>
      <c r="AA881" s="3">
        <f>IF(T881="",0,IF(T881&lt;12,T881*Controls!$B$13,T881*5))</f>
        <v/>
      </c>
      <c r="AB881" s="3">
        <f>IF(E881="",0,NETWORKDAYS(E881,Controls!$B$20,Ref!$K$2:$K$42))</f>
        <v/>
      </c>
      <c r="AC881" s="3">
        <f>IF(OR(AF881=1,AND(AA881&gt;0,AB881&gt;=Controls!$B$23*AA881)),1,0)</f>
        <v/>
      </c>
      <c r="AD881" s="3">
        <f>IF(AND(E881&lt;&gt;"",E881&gt;=Controls!$B$21,E881&lt;=Controls!$B$22),1,0)</f>
        <v/>
      </c>
      <c r="AE881" s="3">
        <f>IF(IFERROR(VLOOKUP(D881,Controls!$A$36:$E$46,2,FALSE()),"No")="Yes",1,0)</f>
        <v/>
      </c>
      <c r="AF881" s="3">
        <f>IF(IFERROR(VLOOKUP(D881,Controls!$A$36:$E$46,3,FALSE()),"No")="Yes",1,0)</f>
        <v/>
      </c>
      <c r="AG881" s="3">
        <f>IF(IFERROR(VLOOKUP(D881,Controls!$A$36:$E$46,4,FALSE()),"No")="Yes",1,0)</f>
        <v/>
      </c>
      <c r="AH881" s="3">
        <f>IF(IFERROR(VLOOKUP(D881,Controls!$A$36:$E$46,5,FALSE()),"No")="Yes",1,0)</f>
        <v/>
      </c>
      <c r="AI881" s="3">
        <f>IF(ISNUMBER(MATCH(D881,Controls!$A$36:$A$46,0)),1,0)</f>
        <v/>
      </c>
      <c r="AJ881" s="28">
        <f>Q881-N881</f>
        <v/>
      </c>
      <c r="AK881" s="3">
        <f>IF(AE881=1,MAX(0,N881-Q881),0)</f>
        <v/>
      </c>
      <c r="AL881" s="3">
        <f>IF(OR(V881="",V881=0),0,N881/V881)</f>
        <v/>
      </c>
      <c r="AM881" s="3">
        <f>IF(OR(V881="",V881=0),0,1)</f>
        <v/>
      </c>
      <c r="AN881" s="3">
        <f>IF(OR(E881="",F881=""),0,NETWORKDAYS(E881,F881,Ref!$K$2:$K$42))</f>
        <v/>
      </c>
      <c r="AO881" s="3">
        <f>IF(L881="Renewal",1,0)</f>
        <v/>
      </c>
      <c r="AP881" s="3">
        <f>AC881*AD881</f>
        <v/>
      </c>
      <c r="AQ881" s="3">
        <f>IF(AND(G881&lt;&gt;"",'Historical Score'!$C$6&lt;&gt;""),IF(G881='Historical Score'!$C$6,1,0),0)</f>
        <v/>
      </c>
      <c r="AR881" s="3">
        <f>IF(AND(L881&lt;&gt;"",'Historical Score'!$C$5&lt;&gt;""),IF(L881='Historical Score'!$C$5,1,0),0)</f>
        <v/>
      </c>
      <c r="AS881" s="3">
        <f>IF(AND(Y881&lt;&gt;"",'Historical Score'!$C$7&lt;&gt;""),IF(Y881='Historical Score'!$C$7,1,0),0)</f>
        <v/>
      </c>
      <c r="AT881" s="3">
        <f>IF(AND(K881&lt;&gt;"",'Historical Score'!$C$8&lt;&gt;""),IF(K881='Historical Score'!$C$8,1,0),0)</f>
        <v/>
      </c>
      <c r="AU881" s="3" t="n"/>
      <c r="AV881" s="3" t="n"/>
      <c r="AW881" s="3" t="n"/>
      <c r="AX881" s="3" t="n"/>
      <c r="AY881" s="3" t="n"/>
      <c r="AZ881" s="3" t="n"/>
      <c r="BA881" s="182">
        <f>IF(AD881=1,(AR881*'Historical Score'!$K$29+1-'Historical Score'!$K$29)*(AT881*'Historical Score'!$L$29+1-'Historical Score'!$L$29)*(AS881*'Historical Score'!$M$29+1-'Historical Score'!$M$29)*(AQ881*'Historical Score'!$N$29+1-'Historical Score'!$N$29),0)</f>
        <v/>
      </c>
      <c r="BB881" s="3" t="n"/>
      <c r="BC881" s="3" t="n"/>
    </row>
    <row r="882" ht="15.75" customHeight="1" s="174">
      <c r="A882" s="3" t="inlineStr">
        <is>
          <t>5674183906</t>
        </is>
      </c>
      <c r="B882" s="3" t="inlineStr">
        <is>
          <t>The Eklund Companies, INC</t>
        </is>
      </c>
      <c r="C882" s="3" t="inlineStr">
        <is>
          <t>The Eklund Companies, INC</t>
        </is>
      </c>
      <c r="D882" s="3" t="inlineStr">
        <is>
          <t>Open</t>
        </is>
      </c>
      <c r="E882" s="23" t="n">
        <v>46161</v>
      </c>
      <c r="F882" s="23" t="n">
        <v>46227</v>
      </c>
      <c r="G882" s="3" t="n">
        <v>3</v>
      </c>
      <c r="H882" s="3" t="inlineStr">
        <is>
          <t>1521</t>
        </is>
      </c>
      <c r="I882" s="3" t="inlineStr">
        <is>
          <t>15</t>
        </is>
      </c>
      <c r="J882" s="3" t="inlineStr">
        <is>
          <t>No state</t>
        </is>
      </c>
      <c r="K882" s="3" t="inlineStr">
        <is>
          <t>TRUSTFI</t>
        </is>
      </c>
      <c r="L882" s="3" t="inlineStr">
        <is>
          <t>Renewal</t>
        </is>
      </c>
      <c r="M882" s="3" t="n">
        <v>1.49</v>
      </c>
      <c r="N882" s="28" t="n">
        <v>35000</v>
      </c>
      <c r="O882" s="28" t="n">
        <v>4900</v>
      </c>
      <c r="P882" s="28" t="n">
        <v>52150</v>
      </c>
      <c r="Q882" s="28" t="n">
        <v>15639.57</v>
      </c>
      <c r="R882" s="28" t="n">
        <v>36510.43</v>
      </c>
      <c r="S882" s="42" t="n">
        <v>0.299895877277085</v>
      </c>
      <c r="T882" s="3" t="n">
        <v>30</v>
      </c>
      <c r="U882" s="3" t="n">
        <v>1</v>
      </c>
      <c r="V882" s="3" t="n"/>
      <c r="W882" s="42" t="n"/>
      <c r="X882" s="23" t="n">
        <v>41591</v>
      </c>
      <c r="Y882" s="3">
        <f>IF(I882="","No SIC",IFERROR(VLOOKUP(I882,Ref!$A$2:$B$65,2,FALSE()),"Unclassified"))</f>
        <v/>
      </c>
      <c r="Z882" s="3">
        <f>IF(T882="","",IF(T882&lt;12,"Daily","Weekly"))</f>
        <v/>
      </c>
      <c r="AA882" s="3">
        <f>IF(T882="",0,IF(T882&lt;12,T882*Controls!$B$13,T882*5))</f>
        <v/>
      </c>
      <c r="AB882" s="3">
        <f>IF(E882="",0,NETWORKDAYS(E882,Controls!$B$20,Ref!$K$2:$K$42))</f>
        <v/>
      </c>
      <c r="AC882" s="3">
        <f>IF(OR(AF882=1,AND(AA882&gt;0,AB882&gt;=Controls!$B$23*AA882)),1,0)</f>
        <v/>
      </c>
      <c r="AD882" s="3">
        <f>IF(AND(E882&lt;&gt;"",E882&gt;=Controls!$B$21,E882&lt;=Controls!$B$22),1,0)</f>
        <v/>
      </c>
      <c r="AE882" s="3">
        <f>IF(IFERROR(VLOOKUP(D882,Controls!$A$36:$E$46,2,FALSE()),"No")="Yes",1,0)</f>
        <v/>
      </c>
      <c r="AF882" s="3">
        <f>IF(IFERROR(VLOOKUP(D882,Controls!$A$36:$E$46,3,FALSE()),"No")="Yes",1,0)</f>
        <v/>
      </c>
      <c r="AG882" s="3">
        <f>IF(IFERROR(VLOOKUP(D882,Controls!$A$36:$E$46,4,FALSE()),"No")="Yes",1,0)</f>
        <v/>
      </c>
      <c r="AH882" s="3">
        <f>IF(IFERROR(VLOOKUP(D882,Controls!$A$36:$E$46,5,FALSE()),"No")="Yes",1,0)</f>
        <v/>
      </c>
      <c r="AI882" s="3">
        <f>IF(ISNUMBER(MATCH(D882,Controls!$A$36:$A$46,0)),1,0)</f>
        <v/>
      </c>
      <c r="AJ882" s="28">
        <f>Q882-N882</f>
        <v/>
      </c>
      <c r="AK882" s="3">
        <f>IF(AE882=1,MAX(0,N882-Q882),0)</f>
        <v/>
      </c>
      <c r="AL882" s="3">
        <f>IF(OR(V882="",V882=0),0,N882/V882)</f>
        <v/>
      </c>
      <c r="AM882" s="3">
        <f>IF(OR(V882="",V882=0),0,1)</f>
        <v/>
      </c>
      <c r="AN882" s="3">
        <f>IF(OR(E882="",F882=""),0,NETWORKDAYS(E882,F882,Ref!$K$2:$K$42))</f>
        <v/>
      </c>
      <c r="AO882" s="3">
        <f>IF(L882="Renewal",1,0)</f>
        <v/>
      </c>
      <c r="AP882" s="3">
        <f>AC882*AD882</f>
        <v/>
      </c>
      <c r="AQ882" s="3">
        <f>IF(AND(G882&lt;&gt;"",'Historical Score'!$C$6&lt;&gt;""),IF(G882='Historical Score'!$C$6,1,0),0)</f>
        <v/>
      </c>
      <c r="AR882" s="3">
        <f>IF(AND(L882&lt;&gt;"",'Historical Score'!$C$5&lt;&gt;""),IF(L882='Historical Score'!$C$5,1,0),0)</f>
        <v/>
      </c>
      <c r="AS882" s="3">
        <f>IF(AND(Y882&lt;&gt;"",'Historical Score'!$C$7&lt;&gt;""),IF(Y882='Historical Score'!$C$7,1,0),0)</f>
        <v/>
      </c>
      <c r="AT882" s="3">
        <f>IF(AND(K882&lt;&gt;"",'Historical Score'!$C$8&lt;&gt;""),IF(K882='Historical Score'!$C$8,1,0),0)</f>
        <v/>
      </c>
      <c r="AU882" s="3" t="n"/>
      <c r="AV882" s="3" t="n"/>
      <c r="AW882" s="3" t="n"/>
      <c r="AX882" s="3" t="n"/>
      <c r="AY882" s="3" t="n"/>
      <c r="AZ882" s="3" t="n"/>
      <c r="BA882" s="182">
        <f>IF(AD882=1,(AR882*'Historical Score'!$K$29+1-'Historical Score'!$K$29)*(AT882*'Historical Score'!$L$29+1-'Historical Score'!$L$29)*(AS882*'Historical Score'!$M$29+1-'Historical Score'!$M$29)*(AQ882*'Historical Score'!$N$29+1-'Historical Score'!$N$29),0)</f>
        <v/>
      </c>
      <c r="BB882" s="3" t="n"/>
      <c r="BC882" s="3" t="n"/>
    </row>
    <row r="883" ht="15.75" customHeight="1" s="174">
      <c r="A883" s="3" t="inlineStr">
        <is>
          <t>5674183929</t>
        </is>
      </c>
      <c r="B883" s="3" t="inlineStr">
        <is>
          <t>ALPHA 3 MASONRY &amp; REMODEL</t>
        </is>
      </c>
      <c r="C883" s="3" t="inlineStr">
        <is>
          <t>ALPHA 3 MASONRY &amp; REMODEL LLC</t>
        </is>
      </c>
      <c r="D883" s="3" t="inlineStr">
        <is>
          <t>Open</t>
        </is>
      </c>
      <c r="E883" s="23" t="n">
        <v>46161</v>
      </c>
      <c r="F883" s="23" t="n">
        <v>46253</v>
      </c>
      <c r="G883" s="3" t="n">
        <v>3</v>
      </c>
      <c r="H883" s="3" t="inlineStr">
        <is>
          <t>1521</t>
        </is>
      </c>
      <c r="I883" s="3" t="inlineStr">
        <is>
          <t>15</t>
        </is>
      </c>
      <c r="J883" s="3" t="inlineStr">
        <is>
          <t>AZ</t>
        </is>
      </c>
      <c r="K883" s="3" t="inlineStr">
        <is>
          <t>FIMACAP INC</t>
        </is>
      </c>
      <c r="L883" s="3" t="inlineStr">
        <is>
          <t>New Deal</t>
        </is>
      </c>
      <c r="M883" s="3" t="n">
        <v>1.49</v>
      </c>
      <c r="N883" s="28" t="n">
        <v>27000</v>
      </c>
      <c r="O883" s="28" t="n">
        <v>3780</v>
      </c>
      <c r="P883" s="28" t="n">
        <v>40230</v>
      </c>
      <c r="Q883" s="28" t="n">
        <v>12418.04</v>
      </c>
      <c r="R883" s="28" t="n">
        <v>27811.96</v>
      </c>
      <c r="S883" s="42" t="n">
        <v>0.308676112353965</v>
      </c>
      <c r="T883" s="3" t="n">
        <v>28</v>
      </c>
      <c r="U883" s="3" t="n">
        <v>0</v>
      </c>
      <c r="V883" s="3" t="n">
        <v>123628.7</v>
      </c>
      <c r="W883" s="42" t="n">
        <v>0.0465</v>
      </c>
      <c r="X883" s="23" t="n">
        <v>44562</v>
      </c>
      <c r="Y883" s="3">
        <f>IF(I883="","No SIC",IFERROR(VLOOKUP(I883,Ref!$A$2:$B$65,2,FALSE()),"Unclassified"))</f>
        <v/>
      </c>
      <c r="Z883" s="3">
        <f>IF(T883="","",IF(T883&lt;12,"Daily","Weekly"))</f>
        <v/>
      </c>
      <c r="AA883" s="3">
        <f>IF(T883="",0,IF(T883&lt;12,T883*Controls!$B$13,T883*5))</f>
        <v/>
      </c>
      <c r="AB883" s="3">
        <f>IF(E883="",0,NETWORKDAYS(E883,Controls!$B$20,Ref!$K$2:$K$42))</f>
        <v/>
      </c>
      <c r="AC883" s="3">
        <f>IF(OR(AF883=1,AND(AA883&gt;0,AB883&gt;=Controls!$B$23*AA883)),1,0)</f>
        <v/>
      </c>
      <c r="AD883" s="3">
        <f>IF(AND(E883&lt;&gt;"",E883&gt;=Controls!$B$21,E883&lt;=Controls!$B$22),1,0)</f>
        <v/>
      </c>
      <c r="AE883" s="3">
        <f>IF(IFERROR(VLOOKUP(D883,Controls!$A$36:$E$46,2,FALSE()),"No")="Yes",1,0)</f>
        <v/>
      </c>
      <c r="AF883" s="3">
        <f>IF(IFERROR(VLOOKUP(D883,Controls!$A$36:$E$46,3,FALSE()),"No")="Yes",1,0)</f>
        <v/>
      </c>
      <c r="AG883" s="3">
        <f>IF(IFERROR(VLOOKUP(D883,Controls!$A$36:$E$46,4,FALSE()),"No")="Yes",1,0)</f>
        <v/>
      </c>
      <c r="AH883" s="3">
        <f>IF(IFERROR(VLOOKUP(D883,Controls!$A$36:$E$46,5,FALSE()),"No")="Yes",1,0)</f>
        <v/>
      </c>
      <c r="AI883" s="3">
        <f>IF(ISNUMBER(MATCH(D883,Controls!$A$36:$A$46,0)),1,0)</f>
        <v/>
      </c>
      <c r="AJ883" s="28">
        <f>Q883-N883</f>
        <v/>
      </c>
      <c r="AK883" s="3">
        <f>IF(AE883=1,MAX(0,N883-Q883),0)</f>
        <v/>
      </c>
      <c r="AL883" s="3">
        <f>IF(OR(V883="",V883=0),0,N883/V883)</f>
        <v/>
      </c>
      <c r="AM883" s="3">
        <f>IF(OR(V883="",V883=0),0,1)</f>
        <v/>
      </c>
      <c r="AN883" s="3">
        <f>IF(OR(E883="",F883=""),0,NETWORKDAYS(E883,F883,Ref!$K$2:$K$42))</f>
        <v/>
      </c>
      <c r="AO883" s="3">
        <f>IF(L883="Renewal",1,0)</f>
        <v/>
      </c>
      <c r="AP883" s="3">
        <f>AC883*AD883</f>
        <v/>
      </c>
      <c r="AQ883" s="3">
        <f>IF(AND(G883&lt;&gt;"",'Historical Score'!$C$6&lt;&gt;""),IF(G883='Historical Score'!$C$6,1,0),0)</f>
        <v/>
      </c>
      <c r="AR883" s="3">
        <f>IF(AND(L883&lt;&gt;"",'Historical Score'!$C$5&lt;&gt;""),IF(L883='Historical Score'!$C$5,1,0),0)</f>
        <v/>
      </c>
      <c r="AS883" s="3">
        <f>IF(AND(Y883&lt;&gt;"",'Historical Score'!$C$7&lt;&gt;""),IF(Y883='Historical Score'!$C$7,1,0),0)</f>
        <v/>
      </c>
      <c r="AT883" s="3">
        <f>IF(AND(K883&lt;&gt;"",'Historical Score'!$C$8&lt;&gt;""),IF(K883='Historical Score'!$C$8,1,0),0)</f>
        <v/>
      </c>
      <c r="AU883" s="3" t="n"/>
      <c r="AV883" s="3" t="n"/>
      <c r="AW883" s="3" t="n"/>
      <c r="AX883" s="3" t="n"/>
      <c r="AY883" s="3" t="n"/>
      <c r="AZ883" s="3" t="n"/>
      <c r="BA883" s="182">
        <f>IF(AD883=1,(AR883*'Historical Score'!$K$29+1-'Historical Score'!$K$29)*(AT883*'Historical Score'!$L$29+1-'Historical Score'!$L$29)*(AS883*'Historical Score'!$M$29+1-'Historical Score'!$M$29)*(AQ883*'Historical Score'!$N$29+1-'Historical Score'!$N$29),0)</f>
        <v/>
      </c>
      <c r="BB883" s="3" t="n"/>
      <c r="BC883" s="3" t="n"/>
    </row>
    <row r="884" ht="15.75" customHeight="1" s="174">
      <c r="A884" s="3" t="inlineStr">
        <is>
          <t>5674183945</t>
        </is>
      </c>
      <c r="B884" s="3" t="inlineStr">
        <is>
          <t>LEAD MASTERS, INC.</t>
        </is>
      </c>
      <c r="C884" s="3" t="inlineStr">
        <is>
          <t>LEAD MASTERS, INC.</t>
        </is>
      </c>
      <c r="D884" s="3" t="inlineStr">
        <is>
          <t>Closed</t>
        </is>
      </c>
      <c r="E884" s="23" t="n">
        <v>46161</v>
      </c>
      <c r="F884" s="23" t="n">
        <v>46238</v>
      </c>
      <c r="G884" s="3" t="n">
        <v>3</v>
      </c>
      <c r="H884" s="3" t="inlineStr">
        <is>
          <t>5999</t>
        </is>
      </c>
      <c r="I884" s="3" t="inlineStr">
        <is>
          <t>59</t>
        </is>
      </c>
      <c r="J884" s="3" t="inlineStr">
        <is>
          <t>No state</t>
        </is>
      </c>
      <c r="K884" s="3" t="inlineStr">
        <is>
          <t>United Secured Capital 8</t>
        </is>
      </c>
      <c r="L884" s="3" t="inlineStr">
        <is>
          <t>New Deal</t>
        </is>
      </c>
      <c r="M884" s="3" t="n">
        <v>1.44</v>
      </c>
      <c r="N884" s="28" t="n">
        <v>15000</v>
      </c>
      <c r="O884" s="28" t="n">
        <v>1725</v>
      </c>
      <c r="P884" s="28" t="n">
        <v>21600</v>
      </c>
      <c r="Q884" s="28" t="n">
        <v>21600</v>
      </c>
      <c r="R884" s="28" t="n">
        <v>0</v>
      </c>
      <c r="S884" s="42" t="n">
        <v>1</v>
      </c>
      <c r="T884" s="3" t="n">
        <v>2.951</v>
      </c>
      <c r="U884" s="3" t="n">
        <v>3</v>
      </c>
      <c r="V884" s="3" t="n"/>
      <c r="W884" s="42" t="n"/>
      <c r="X884" s="23" t="n">
        <v>29695</v>
      </c>
      <c r="Y884" s="3">
        <f>IF(I884="","No SIC",IFERROR(VLOOKUP(I884,Ref!$A$2:$B$65,2,FALSE()),"Unclassified"))</f>
        <v/>
      </c>
      <c r="Z884" s="3">
        <f>IF(T884="","",IF(T884&lt;12,"Daily","Weekly"))</f>
        <v/>
      </c>
      <c r="AA884" s="3">
        <f>IF(T884="",0,IF(T884&lt;12,T884*Controls!$B$13,T884*5))</f>
        <v/>
      </c>
      <c r="AB884" s="3">
        <f>IF(E884="",0,NETWORKDAYS(E884,Controls!$B$20,Ref!$K$2:$K$42))</f>
        <v/>
      </c>
      <c r="AC884" s="3">
        <f>IF(OR(AF884=1,AND(AA884&gt;0,AB884&gt;=Controls!$B$23*AA884)),1,0)</f>
        <v/>
      </c>
      <c r="AD884" s="3">
        <f>IF(AND(E884&lt;&gt;"",E884&gt;=Controls!$B$21,E884&lt;=Controls!$B$22),1,0)</f>
        <v/>
      </c>
      <c r="AE884" s="3">
        <f>IF(IFERROR(VLOOKUP(D884,Controls!$A$36:$E$46,2,FALSE()),"No")="Yes",1,0)</f>
        <v/>
      </c>
      <c r="AF884" s="3">
        <f>IF(IFERROR(VLOOKUP(D884,Controls!$A$36:$E$46,3,FALSE()),"No")="Yes",1,0)</f>
        <v/>
      </c>
      <c r="AG884" s="3">
        <f>IF(IFERROR(VLOOKUP(D884,Controls!$A$36:$E$46,4,FALSE()),"No")="Yes",1,0)</f>
        <v/>
      </c>
      <c r="AH884" s="3">
        <f>IF(IFERROR(VLOOKUP(D884,Controls!$A$36:$E$46,5,FALSE()),"No")="Yes",1,0)</f>
        <v/>
      </c>
      <c r="AI884" s="3">
        <f>IF(ISNUMBER(MATCH(D884,Controls!$A$36:$A$46,0)),1,0)</f>
        <v/>
      </c>
      <c r="AJ884" s="28">
        <f>Q884-N884</f>
        <v/>
      </c>
      <c r="AK884" s="3">
        <f>IF(AE884=1,MAX(0,N884-Q884),0)</f>
        <v/>
      </c>
      <c r="AL884" s="3">
        <f>IF(OR(V884="",V884=0),0,N884/V884)</f>
        <v/>
      </c>
      <c r="AM884" s="3">
        <f>IF(OR(V884="",V884=0),0,1)</f>
        <v/>
      </c>
      <c r="AN884" s="3">
        <f>IF(OR(E884="",F884=""),0,NETWORKDAYS(E884,F884,Ref!$K$2:$K$42))</f>
        <v/>
      </c>
      <c r="AO884" s="3">
        <f>IF(L884="Renewal",1,0)</f>
        <v/>
      </c>
      <c r="AP884" s="3">
        <f>AC884*AD884</f>
        <v/>
      </c>
      <c r="AQ884" s="3">
        <f>IF(AND(G884&lt;&gt;"",'Historical Score'!$C$6&lt;&gt;""),IF(G884='Historical Score'!$C$6,1,0),0)</f>
        <v/>
      </c>
      <c r="AR884" s="3">
        <f>IF(AND(L884&lt;&gt;"",'Historical Score'!$C$5&lt;&gt;""),IF(L884='Historical Score'!$C$5,1,0),0)</f>
        <v/>
      </c>
      <c r="AS884" s="3">
        <f>IF(AND(Y884&lt;&gt;"",'Historical Score'!$C$7&lt;&gt;""),IF(Y884='Historical Score'!$C$7,1,0),0)</f>
        <v/>
      </c>
      <c r="AT884" s="3">
        <f>IF(AND(K884&lt;&gt;"",'Historical Score'!$C$8&lt;&gt;""),IF(K884='Historical Score'!$C$8,1,0),0)</f>
        <v/>
      </c>
      <c r="AU884" s="3" t="n"/>
      <c r="AV884" s="3" t="n"/>
      <c r="AW884" s="3" t="n"/>
      <c r="AX884" s="3" t="n"/>
      <c r="AY884" s="3" t="n"/>
      <c r="AZ884" s="3" t="n"/>
      <c r="BA884" s="182">
        <f>IF(AD884=1,(AR884*'Historical Score'!$K$29+1-'Historical Score'!$K$29)*(AT884*'Historical Score'!$L$29+1-'Historical Score'!$L$29)*(AS884*'Historical Score'!$M$29+1-'Historical Score'!$M$29)*(AQ884*'Historical Score'!$N$29+1-'Historical Score'!$N$29),0)</f>
        <v/>
      </c>
      <c r="BB884" s="3" t="n"/>
      <c r="BC884" s="3" t="n"/>
    </row>
    <row r="885" ht="15.75" customHeight="1" s="174">
      <c r="A885" s="3" t="inlineStr">
        <is>
          <t>5674183949</t>
        </is>
      </c>
      <c r="B885" s="3" t="inlineStr">
        <is>
          <t>SILVER STAR INVESTIGATION</t>
        </is>
      </c>
      <c r="C885" s="3" t="inlineStr">
        <is>
          <t>SILVER STAR INVESTIGATION CORP</t>
        </is>
      </c>
      <c r="D885" s="3" t="inlineStr">
        <is>
          <t>Open</t>
        </is>
      </c>
      <c r="E885" s="23" t="n">
        <v>46161</v>
      </c>
      <c r="F885" s="23" t="n">
        <v>46253</v>
      </c>
      <c r="G885" s="3" t="n">
        <v>3</v>
      </c>
      <c r="H885" s="3" t="inlineStr">
        <is>
          <t>7381</t>
        </is>
      </c>
      <c r="I885" s="3" t="inlineStr">
        <is>
          <t>73</t>
        </is>
      </c>
      <c r="J885" s="3" t="inlineStr">
        <is>
          <t>No state</t>
        </is>
      </c>
      <c r="K885" s="3" t="inlineStr">
        <is>
          <t>Westwood</t>
        </is>
      </c>
      <c r="L885" s="3" t="inlineStr">
        <is>
          <t>Renewal</t>
        </is>
      </c>
      <c r="M885" s="3" t="n">
        <v>1.49</v>
      </c>
      <c r="N885" s="28" t="n">
        <v>16000</v>
      </c>
      <c r="O885" s="28" t="n">
        <v>2240</v>
      </c>
      <c r="P885" s="28" t="n">
        <v>23840</v>
      </c>
      <c r="Q885" s="28" t="n">
        <v>9236.25</v>
      </c>
      <c r="R885" s="28" t="n">
        <v>14603.75</v>
      </c>
      <c r="S885" s="42" t="n">
        <v>0.387426593959732</v>
      </c>
      <c r="T885" s="3" t="n">
        <v>3.934</v>
      </c>
      <c r="U885" s="3" t="n">
        <v>17</v>
      </c>
      <c r="V885" s="3" t="n"/>
      <c r="W885" s="42" t="n"/>
      <c r="X885" s="23" t="n">
        <v>40850</v>
      </c>
      <c r="Y885" s="3">
        <f>IF(I885="","No SIC",IFERROR(VLOOKUP(I885,Ref!$A$2:$B$65,2,FALSE()),"Unclassified"))</f>
        <v/>
      </c>
      <c r="Z885" s="3">
        <f>IF(T885="","",IF(T885&lt;12,"Daily","Weekly"))</f>
        <v/>
      </c>
      <c r="AA885" s="3">
        <f>IF(T885="",0,IF(T885&lt;12,T885*Controls!$B$13,T885*5))</f>
        <v/>
      </c>
      <c r="AB885" s="3">
        <f>IF(E885="",0,NETWORKDAYS(E885,Controls!$B$20,Ref!$K$2:$K$42))</f>
        <v/>
      </c>
      <c r="AC885" s="3">
        <f>IF(OR(AF885=1,AND(AA885&gt;0,AB885&gt;=Controls!$B$23*AA885)),1,0)</f>
        <v/>
      </c>
      <c r="AD885" s="3">
        <f>IF(AND(E885&lt;&gt;"",E885&gt;=Controls!$B$21,E885&lt;=Controls!$B$22),1,0)</f>
        <v/>
      </c>
      <c r="AE885" s="3">
        <f>IF(IFERROR(VLOOKUP(D885,Controls!$A$36:$E$46,2,FALSE()),"No")="Yes",1,0)</f>
        <v/>
      </c>
      <c r="AF885" s="3">
        <f>IF(IFERROR(VLOOKUP(D885,Controls!$A$36:$E$46,3,FALSE()),"No")="Yes",1,0)</f>
        <v/>
      </c>
      <c r="AG885" s="3">
        <f>IF(IFERROR(VLOOKUP(D885,Controls!$A$36:$E$46,4,FALSE()),"No")="Yes",1,0)</f>
        <v/>
      </c>
      <c r="AH885" s="3">
        <f>IF(IFERROR(VLOOKUP(D885,Controls!$A$36:$E$46,5,FALSE()),"No")="Yes",1,0)</f>
        <v/>
      </c>
      <c r="AI885" s="3">
        <f>IF(ISNUMBER(MATCH(D885,Controls!$A$36:$A$46,0)),1,0)</f>
        <v/>
      </c>
      <c r="AJ885" s="28">
        <f>Q885-N885</f>
        <v/>
      </c>
      <c r="AK885" s="3">
        <f>IF(AE885=1,MAX(0,N885-Q885),0)</f>
        <v/>
      </c>
      <c r="AL885" s="3">
        <f>IF(OR(V885="",V885=0),0,N885/V885)</f>
        <v/>
      </c>
      <c r="AM885" s="3">
        <f>IF(OR(V885="",V885=0),0,1)</f>
        <v/>
      </c>
      <c r="AN885" s="3">
        <f>IF(OR(E885="",F885=""),0,NETWORKDAYS(E885,F885,Ref!$K$2:$K$42))</f>
        <v/>
      </c>
      <c r="AO885" s="3">
        <f>IF(L885="Renewal",1,0)</f>
        <v/>
      </c>
      <c r="AP885" s="3">
        <f>AC885*AD885</f>
        <v/>
      </c>
      <c r="AQ885" s="3">
        <f>IF(AND(G885&lt;&gt;"",'Historical Score'!$C$6&lt;&gt;""),IF(G885='Historical Score'!$C$6,1,0),0)</f>
        <v/>
      </c>
      <c r="AR885" s="3">
        <f>IF(AND(L885&lt;&gt;"",'Historical Score'!$C$5&lt;&gt;""),IF(L885='Historical Score'!$C$5,1,0),0)</f>
        <v/>
      </c>
      <c r="AS885" s="3">
        <f>IF(AND(Y885&lt;&gt;"",'Historical Score'!$C$7&lt;&gt;""),IF(Y885='Historical Score'!$C$7,1,0),0)</f>
        <v/>
      </c>
      <c r="AT885" s="3">
        <f>IF(AND(K885&lt;&gt;"",'Historical Score'!$C$8&lt;&gt;""),IF(K885='Historical Score'!$C$8,1,0),0)</f>
        <v/>
      </c>
      <c r="AU885" s="3" t="n"/>
      <c r="AV885" s="3" t="n"/>
      <c r="AW885" s="3" t="n"/>
      <c r="AX885" s="3" t="n"/>
      <c r="AY885" s="3" t="n"/>
      <c r="AZ885" s="3" t="n"/>
      <c r="BA885" s="182">
        <f>IF(AD885=1,(AR885*'Historical Score'!$K$29+1-'Historical Score'!$K$29)*(AT885*'Historical Score'!$L$29+1-'Historical Score'!$L$29)*(AS885*'Historical Score'!$M$29+1-'Historical Score'!$M$29)*(AQ885*'Historical Score'!$N$29+1-'Historical Score'!$N$29),0)</f>
        <v/>
      </c>
      <c r="BB885" s="3" t="n"/>
      <c r="BC885" s="3" t="n"/>
    </row>
    <row r="886" ht="15.75" customHeight="1" s="174">
      <c r="A886" s="3" t="inlineStr">
        <is>
          <t>5674183971</t>
        </is>
      </c>
      <c r="B886" s="3" t="inlineStr">
        <is>
          <t>IVY BROOK ACADEMY</t>
        </is>
      </c>
      <c r="C886" s="3" t="inlineStr">
        <is>
          <t>DANI ACADEMY INC</t>
        </is>
      </c>
      <c r="D886" s="3" t="inlineStr">
        <is>
          <t>Open</t>
        </is>
      </c>
      <c r="E886" s="23" t="n">
        <v>46162</v>
      </c>
      <c r="F886" s="23" t="n">
        <v>46251</v>
      </c>
      <c r="G886" s="3" t="n">
        <v>1</v>
      </c>
      <c r="H886" s="3" t="inlineStr">
        <is>
          <t>8211</t>
        </is>
      </c>
      <c r="I886" s="3" t="inlineStr">
        <is>
          <t>82</t>
        </is>
      </c>
      <c r="J886" s="3" t="inlineStr">
        <is>
          <t>TX</t>
        </is>
      </c>
      <c r="K886" s="3" t="inlineStr">
        <is>
          <t>Linked In Funding</t>
        </is>
      </c>
      <c r="L886" s="3" t="inlineStr">
        <is>
          <t>New Deal</t>
        </is>
      </c>
      <c r="M886" s="3" t="n">
        <v>1.49</v>
      </c>
      <c r="N886" s="28" t="n">
        <v>25000</v>
      </c>
      <c r="O886" s="28" t="n">
        <v>3500</v>
      </c>
      <c r="P886" s="28" t="n">
        <v>37250</v>
      </c>
      <c r="Q886" s="28" t="n">
        <v>17879.52</v>
      </c>
      <c r="R886" s="28" t="n">
        <v>19370.48</v>
      </c>
      <c r="S886" s="42" t="n">
        <v>0.47998711409396</v>
      </c>
      <c r="T886" s="3" t="n">
        <v>25</v>
      </c>
      <c r="U886" s="3" t="n">
        <v>0</v>
      </c>
      <c r="V886" s="3" t="n">
        <v>38550.16</v>
      </c>
      <c r="W886" s="42" t="n">
        <v>0.1546</v>
      </c>
      <c r="X886" s="23" t="n">
        <v>45066</v>
      </c>
      <c r="Y886" s="3">
        <f>IF(I886="","No SIC",IFERROR(VLOOKUP(I886,Ref!$A$2:$B$65,2,FALSE()),"Unclassified"))</f>
        <v/>
      </c>
      <c r="Z886" s="3">
        <f>IF(T886="","",IF(T886&lt;12,"Daily","Weekly"))</f>
        <v/>
      </c>
      <c r="AA886" s="3">
        <f>IF(T886="",0,IF(T886&lt;12,T886*Controls!$B$13,T886*5))</f>
        <v/>
      </c>
      <c r="AB886" s="3">
        <f>IF(E886="",0,NETWORKDAYS(E886,Controls!$B$20,Ref!$K$2:$K$42))</f>
        <v/>
      </c>
      <c r="AC886" s="3">
        <f>IF(OR(AF886=1,AND(AA886&gt;0,AB886&gt;=Controls!$B$23*AA886)),1,0)</f>
        <v/>
      </c>
      <c r="AD886" s="3">
        <f>IF(AND(E886&lt;&gt;"",E886&gt;=Controls!$B$21,E886&lt;=Controls!$B$22),1,0)</f>
        <v/>
      </c>
      <c r="AE886" s="3">
        <f>IF(IFERROR(VLOOKUP(D886,Controls!$A$36:$E$46,2,FALSE()),"No")="Yes",1,0)</f>
        <v/>
      </c>
      <c r="AF886" s="3">
        <f>IF(IFERROR(VLOOKUP(D886,Controls!$A$36:$E$46,3,FALSE()),"No")="Yes",1,0)</f>
        <v/>
      </c>
      <c r="AG886" s="3">
        <f>IF(IFERROR(VLOOKUP(D886,Controls!$A$36:$E$46,4,FALSE()),"No")="Yes",1,0)</f>
        <v/>
      </c>
      <c r="AH886" s="3">
        <f>IF(IFERROR(VLOOKUP(D886,Controls!$A$36:$E$46,5,FALSE()),"No")="Yes",1,0)</f>
        <v/>
      </c>
      <c r="AI886" s="3">
        <f>IF(ISNUMBER(MATCH(D886,Controls!$A$36:$A$46,0)),1,0)</f>
        <v/>
      </c>
      <c r="AJ886" s="28">
        <f>Q886-N886</f>
        <v/>
      </c>
      <c r="AK886" s="3">
        <f>IF(AE886=1,MAX(0,N886-Q886),0)</f>
        <v/>
      </c>
      <c r="AL886" s="3">
        <f>IF(OR(V886="",V886=0),0,N886/V886)</f>
        <v/>
      </c>
      <c r="AM886" s="3">
        <f>IF(OR(V886="",V886=0),0,1)</f>
        <v/>
      </c>
      <c r="AN886" s="3">
        <f>IF(OR(E886="",F886=""),0,NETWORKDAYS(E886,F886,Ref!$K$2:$K$42))</f>
        <v/>
      </c>
      <c r="AO886" s="3">
        <f>IF(L886="Renewal",1,0)</f>
        <v/>
      </c>
      <c r="AP886" s="3">
        <f>AC886*AD886</f>
        <v/>
      </c>
      <c r="AQ886" s="3">
        <f>IF(AND(G886&lt;&gt;"",'Historical Score'!$C$6&lt;&gt;""),IF(G886='Historical Score'!$C$6,1,0),0)</f>
        <v/>
      </c>
      <c r="AR886" s="3">
        <f>IF(AND(L886&lt;&gt;"",'Historical Score'!$C$5&lt;&gt;""),IF(L886='Historical Score'!$C$5,1,0),0)</f>
        <v/>
      </c>
      <c r="AS886" s="3">
        <f>IF(AND(Y886&lt;&gt;"",'Historical Score'!$C$7&lt;&gt;""),IF(Y886='Historical Score'!$C$7,1,0),0)</f>
        <v/>
      </c>
      <c r="AT886" s="3">
        <f>IF(AND(K886&lt;&gt;"",'Historical Score'!$C$8&lt;&gt;""),IF(K886='Historical Score'!$C$8,1,0),0)</f>
        <v/>
      </c>
      <c r="AU886" s="3" t="n"/>
      <c r="AV886" s="3" t="n"/>
      <c r="AW886" s="3" t="n"/>
      <c r="AX886" s="3" t="n"/>
      <c r="AY886" s="3" t="n"/>
      <c r="AZ886" s="3" t="n"/>
      <c r="BA886" s="182">
        <f>IF(AD886=1,(AR886*'Historical Score'!$K$29+1-'Historical Score'!$K$29)*(AT886*'Historical Score'!$L$29+1-'Historical Score'!$L$29)*(AS886*'Historical Score'!$M$29+1-'Historical Score'!$M$29)*(AQ886*'Historical Score'!$N$29+1-'Historical Score'!$N$29),0)</f>
        <v/>
      </c>
      <c r="BB886" s="3" t="n"/>
      <c r="BC886" s="3" t="n"/>
    </row>
    <row r="887" ht="15.75" customHeight="1" s="174">
      <c r="A887" s="3" t="inlineStr">
        <is>
          <t>5674183985</t>
        </is>
      </c>
      <c r="B887" s="3" t="inlineStr">
        <is>
          <t>Road Logistics Freight LLC</t>
        </is>
      </c>
      <c r="C887" s="3" t="inlineStr">
        <is>
          <t>Road Logistics Freight LLC</t>
        </is>
      </c>
      <c r="D887" s="3" t="inlineStr">
        <is>
          <t>Open</t>
        </is>
      </c>
      <c r="E887" s="23" t="n">
        <v>46162</v>
      </c>
      <c r="F887" s="23" t="n">
        <v>46253</v>
      </c>
      <c r="G887" s="3" t="n">
        <v>3</v>
      </c>
      <c r="H887" s="3" t="inlineStr">
        <is>
          <t>4212</t>
        </is>
      </c>
      <c r="I887" s="3" t="inlineStr">
        <is>
          <t>42</t>
        </is>
      </c>
      <c r="J887" s="3" t="inlineStr">
        <is>
          <t>PR</t>
        </is>
      </c>
      <c r="K887" s="3" t="inlineStr">
        <is>
          <t>Financial Express LLC</t>
        </is>
      </c>
      <c r="L887" s="3" t="inlineStr">
        <is>
          <t>New Deal</t>
        </is>
      </c>
      <c r="M887" s="3" t="n">
        <v>1.49</v>
      </c>
      <c r="N887" s="28" t="n">
        <v>5000</v>
      </c>
      <c r="O887" s="28" t="n">
        <v>700</v>
      </c>
      <c r="P887" s="28" t="n">
        <v>7450</v>
      </c>
      <c r="Q887" s="28" t="n">
        <v>4376.64</v>
      </c>
      <c r="R887" s="28" t="n">
        <v>3073.36</v>
      </c>
      <c r="S887" s="42" t="n">
        <v>0.587468456375839</v>
      </c>
      <c r="T887" s="3" t="n">
        <v>2.623</v>
      </c>
      <c r="U887" s="3" t="n">
        <v>12</v>
      </c>
      <c r="V887" s="3" t="n">
        <v>26677.17</v>
      </c>
      <c r="W887" s="42" t="n">
        <v>0.0733</v>
      </c>
      <c r="X887" s="23" t="n">
        <v>42692</v>
      </c>
      <c r="Y887" s="3">
        <f>IF(I887="","No SIC",IFERROR(VLOOKUP(I887,Ref!$A$2:$B$65,2,FALSE()),"Unclassified"))</f>
        <v/>
      </c>
      <c r="Z887" s="3">
        <f>IF(T887="","",IF(T887&lt;12,"Daily","Weekly"))</f>
        <v/>
      </c>
      <c r="AA887" s="3">
        <f>IF(T887="",0,IF(T887&lt;12,T887*Controls!$B$13,T887*5))</f>
        <v/>
      </c>
      <c r="AB887" s="3">
        <f>IF(E887="",0,NETWORKDAYS(E887,Controls!$B$20,Ref!$K$2:$K$42))</f>
        <v/>
      </c>
      <c r="AC887" s="3">
        <f>IF(OR(AF887=1,AND(AA887&gt;0,AB887&gt;=Controls!$B$23*AA887)),1,0)</f>
        <v/>
      </c>
      <c r="AD887" s="3">
        <f>IF(AND(E887&lt;&gt;"",E887&gt;=Controls!$B$21,E887&lt;=Controls!$B$22),1,0)</f>
        <v/>
      </c>
      <c r="AE887" s="3">
        <f>IF(IFERROR(VLOOKUP(D887,Controls!$A$36:$E$46,2,FALSE()),"No")="Yes",1,0)</f>
        <v/>
      </c>
      <c r="AF887" s="3">
        <f>IF(IFERROR(VLOOKUP(D887,Controls!$A$36:$E$46,3,FALSE()),"No")="Yes",1,0)</f>
        <v/>
      </c>
      <c r="AG887" s="3">
        <f>IF(IFERROR(VLOOKUP(D887,Controls!$A$36:$E$46,4,FALSE()),"No")="Yes",1,0)</f>
        <v/>
      </c>
      <c r="AH887" s="3">
        <f>IF(IFERROR(VLOOKUP(D887,Controls!$A$36:$E$46,5,FALSE()),"No")="Yes",1,0)</f>
        <v/>
      </c>
      <c r="AI887" s="3">
        <f>IF(ISNUMBER(MATCH(D887,Controls!$A$36:$A$46,0)),1,0)</f>
        <v/>
      </c>
      <c r="AJ887" s="28">
        <f>Q887-N887</f>
        <v/>
      </c>
      <c r="AK887" s="3">
        <f>IF(AE887=1,MAX(0,N887-Q887),0)</f>
        <v/>
      </c>
      <c r="AL887" s="3">
        <f>IF(OR(V887="",V887=0),0,N887/V887)</f>
        <v/>
      </c>
      <c r="AM887" s="3">
        <f>IF(OR(V887="",V887=0),0,1)</f>
        <v/>
      </c>
      <c r="AN887" s="3">
        <f>IF(OR(E887="",F887=""),0,NETWORKDAYS(E887,F887,Ref!$K$2:$K$42))</f>
        <v/>
      </c>
      <c r="AO887" s="3">
        <f>IF(L887="Renewal",1,0)</f>
        <v/>
      </c>
      <c r="AP887" s="3">
        <f>AC887*AD887</f>
        <v/>
      </c>
      <c r="AQ887" s="3">
        <f>IF(AND(G887&lt;&gt;"",'Historical Score'!$C$6&lt;&gt;""),IF(G887='Historical Score'!$C$6,1,0),0)</f>
        <v/>
      </c>
      <c r="AR887" s="3">
        <f>IF(AND(L887&lt;&gt;"",'Historical Score'!$C$5&lt;&gt;""),IF(L887='Historical Score'!$C$5,1,0),0)</f>
        <v/>
      </c>
      <c r="AS887" s="3">
        <f>IF(AND(Y887&lt;&gt;"",'Historical Score'!$C$7&lt;&gt;""),IF(Y887='Historical Score'!$C$7,1,0),0)</f>
        <v/>
      </c>
      <c r="AT887" s="3">
        <f>IF(AND(K887&lt;&gt;"",'Historical Score'!$C$8&lt;&gt;""),IF(K887='Historical Score'!$C$8,1,0),0)</f>
        <v/>
      </c>
      <c r="AU887" s="3" t="n"/>
      <c r="AV887" s="3" t="n"/>
      <c r="AW887" s="3" t="n"/>
      <c r="AX887" s="3" t="n"/>
      <c r="AY887" s="3" t="n"/>
      <c r="AZ887" s="3" t="n"/>
      <c r="BA887" s="182">
        <f>IF(AD887=1,(AR887*'Historical Score'!$K$29+1-'Historical Score'!$K$29)*(AT887*'Historical Score'!$L$29+1-'Historical Score'!$L$29)*(AS887*'Historical Score'!$M$29+1-'Historical Score'!$M$29)*(AQ887*'Historical Score'!$N$29+1-'Historical Score'!$N$29),0)</f>
        <v/>
      </c>
      <c r="BB887" s="3" t="n"/>
      <c r="BC887" s="3" t="n"/>
    </row>
    <row r="888" ht="15.75" customHeight="1" s="174">
      <c r="A888" s="3" t="inlineStr">
        <is>
          <t>5674184007</t>
        </is>
      </c>
      <c r="B888" s="3" t="inlineStr">
        <is>
          <t>TAPCLASSIFIEDS AUTO DBA TAPOVERDRIVE</t>
        </is>
      </c>
      <c r="C888" s="3" t="inlineStr">
        <is>
          <t>TAPCLASSIFIEDS AUTO, INC</t>
        </is>
      </c>
      <c r="D888" s="3" t="inlineStr">
        <is>
          <t>Open</t>
        </is>
      </c>
      <c r="E888" s="23" t="n">
        <v>46162</v>
      </c>
      <c r="F888" s="23" t="n">
        <v>46252</v>
      </c>
      <c r="G888" s="3" t="n">
        <v>3</v>
      </c>
      <c r="H888" s="3" t="inlineStr">
        <is>
          <t>5599</t>
        </is>
      </c>
      <c r="I888" s="3" t="inlineStr">
        <is>
          <t>55</t>
        </is>
      </c>
      <c r="J888" s="3" t="inlineStr">
        <is>
          <t>CA</t>
        </is>
      </c>
      <c r="K888" s="3" t="inlineStr">
        <is>
          <t>PMF</t>
        </is>
      </c>
      <c r="L888" s="3" t="inlineStr">
        <is>
          <t>New Deal</t>
        </is>
      </c>
      <c r="M888" s="3" t="n">
        <v>1.35</v>
      </c>
      <c r="N888" s="28" t="n">
        <v>155000</v>
      </c>
      <c r="O888" s="28" t="n">
        <v>10850</v>
      </c>
      <c r="P888" s="28" t="n">
        <v>209250</v>
      </c>
      <c r="Q888" s="28" t="n">
        <v>71566.42999999999</v>
      </c>
      <c r="R888" s="28" t="n">
        <v>137683.57</v>
      </c>
      <c r="S888" s="42" t="n">
        <v>0.342014002389486</v>
      </c>
      <c r="T888" s="3" t="n">
        <v>38</v>
      </c>
      <c r="U888" s="3" t="n">
        <v>0</v>
      </c>
      <c r="V888" s="3" t="n">
        <v>387002.54</v>
      </c>
      <c r="W888" s="42" t="n">
        <v>0.0569</v>
      </c>
      <c r="X888" s="23" t="n">
        <v>41575</v>
      </c>
      <c r="Y888" s="3">
        <f>IF(I888="","No SIC",IFERROR(VLOOKUP(I888,Ref!$A$2:$B$65,2,FALSE()),"Unclassified"))</f>
        <v/>
      </c>
      <c r="Z888" s="3">
        <f>IF(T888="","",IF(T888&lt;12,"Daily","Weekly"))</f>
        <v/>
      </c>
      <c r="AA888" s="3">
        <f>IF(T888="",0,IF(T888&lt;12,T888*Controls!$B$13,T888*5))</f>
        <v/>
      </c>
      <c r="AB888" s="3">
        <f>IF(E888="",0,NETWORKDAYS(E888,Controls!$B$20,Ref!$K$2:$K$42))</f>
        <v/>
      </c>
      <c r="AC888" s="3">
        <f>IF(OR(AF888=1,AND(AA888&gt;0,AB888&gt;=Controls!$B$23*AA888)),1,0)</f>
        <v/>
      </c>
      <c r="AD888" s="3">
        <f>IF(AND(E888&lt;&gt;"",E888&gt;=Controls!$B$21,E888&lt;=Controls!$B$22),1,0)</f>
        <v/>
      </c>
      <c r="AE888" s="3">
        <f>IF(IFERROR(VLOOKUP(D888,Controls!$A$36:$E$46,2,FALSE()),"No")="Yes",1,0)</f>
        <v/>
      </c>
      <c r="AF888" s="3">
        <f>IF(IFERROR(VLOOKUP(D888,Controls!$A$36:$E$46,3,FALSE()),"No")="Yes",1,0)</f>
        <v/>
      </c>
      <c r="AG888" s="3">
        <f>IF(IFERROR(VLOOKUP(D888,Controls!$A$36:$E$46,4,FALSE()),"No")="Yes",1,0)</f>
        <v/>
      </c>
      <c r="AH888" s="3">
        <f>IF(IFERROR(VLOOKUP(D888,Controls!$A$36:$E$46,5,FALSE()),"No")="Yes",1,0)</f>
        <v/>
      </c>
      <c r="AI888" s="3">
        <f>IF(ISNUMBER(MATCH(D888,Controls!$A$36:$A$46,0)),1,0)</f>
        <v/>
      </c>
      <c r="AJ888" s="28">
        <f>Q888-N888</f>
        <v/>
      </c>
      <c r="AK888" s="3">
        <f>IF(AE888=1,MAX(0,N888-Q888),0)</f>
        <v/>
      </c>
      <c r="AL888" s="3">
        <f>IF(OR(V888="",V888=0),0,N888/V888)</f>
        <v/>
      </c>
      <c r="AM888" s="3">
        <f>IF(OR(V888="",V888=0),0,1)</f>
        <v/>
      </c>
      <c r="AN888" s="3">
        <f>IF(OR(E888="",F888=""),0,NETWORKDAYS(E888,F888,Ref!$K$2:$K$42))</f>
        <v/>
      </c>
      <c r="AO888" s="3">
        <f>IF(L888="Renewal",1,0)</f>
        <v/>
      </c>
      <c r="AP888" s="3">
        <f>AC888*AD888</f>
        <v/>
      </c>
      <c r="AQ888" s="3">
        <f>IF(AND(G888&lt;&gt;"",'Historical Score'!$C$6&lt;&gt;""),IF(G888='Historical Score'!$C$6,1,0),0)</f>
        <v/>
      </c>
      <c r="AR888" s="3">
        <f>IF(AND(L888&lt;&gt;"",'Historical Score'!$C$5&lt;&gt;""),IF(L888='Historical Score'!$C$5,1,0),0)</f>
        <v/>
      </c>
      <c r="AS888" s="3">
        <f>IF(AND(Y888&lt;&gt;"",'Historical Score'!$C$7&lt;&gt;""),IF(Y888='Historical Score'!$C$7,1,0),0)</f>
        <v/>
      </c>
      <c r="AT888" s="3">
        <f>IF(AND(K888&lt;&gt;"",'Historical Score'!$C$8&lt;&gt;""),IF(K888='Historical Score'!$C$8,1,0),0)</f>
        <v/>
      </c>
      <c r="AU888" s="3" t="n"/>
      <c r="AV888" s="3" t="n"/>
      <c r="AW888" s="3" t="n"/>
      <c r="AX888" s="3" t="n"/>
      <c r="AY888" s="3" t="n"/>
      <c r="AZ888" s="3" t="n"/>
      <c r="BA888" s="182">
        <f>IF(AD888=1,(AR888*'Historical Score'!$K$29+1-'Historical Score'!$K$29)*(AT888*'Historical Score'!$L$29+1-'Historical Score'!$L$29)*(AS888*'Historical Score'!$M$29+1-'Historical Score'!$M$29)*(AQ888*'Historical Score'!$N$29+1-'Historical Score'!$N$29),0)</f>
        <v/>
      </c>
      <c r="BB888" s="3" t="n"/>
      <c r="BC888" s="3" t="n"/>
    </row>
    <row r="889" ht="15.75" customHeight="1" s="174">
      <c r="A889" s="3" t="inlineStr">
        <is>
          <t>5674184019</t>
        </is>
      </c>
      <c r="B889" s="3" t="inlineStr">
        <is>
          <t>Wcs All Immigration Document Service</t>
        </is>
      </c>
      <c r="C889" s="3" t="inlineStr">
        <is>
          <t>WORLD COMPUTER SYSTEMS INC</t>
        </is>
      </c>
      <c r="D889" s="3" t="inlineStr">
        <is>
          <t>Open</t>
        </is>
      </c>
      <c r="E889" s="23" t="n">
        <v>46162</v>
      </c>
      <c r="F889" s="23" t="n">
        <v>46253</v>
      </c>
      <c r="G889" s="3" t="n">
        <v>3</v>
      </c>
      <c r="H889" s="3" t="inlineStr">
        <is>
          <t>8111</t>
        </is>
      </c>
      <c r="I889" s="3" t="inlineStr">
        <is>
          <t>81</t>
        </is>
      </c>
      <c r="J889" s="3" t="inlineStr">
        <is>
          <t>FL</t>
        </is>
      </c>
      <c r="K889" s="3" t="inlineStr">
        <is>
          <t>LENDCAP SOLUTIONS</t>
        </is>
      </c>
      <c r="L889" s="3" t="inlineStr">
        <is>
          <t>New Deal</t>
        </is>
      </c>
      <c r="M889" s="3" t="n">
        <v>1.49</v>
      </c>
      <c r="N889" s="28" t="n">
        <v>25000</v>
      </c>
      <c r="O889" s="28" t="n">
        <v>3500</v>
      </c>
      <c r="P889" s="28" t="n">
        <v>37250</v>
      </c>
      <c r="Q889" s="28" t="n">
        <v>18617.88</v>
      </c>
      <c r="R889" s="28" t="n">
        <v>18632.12</v>
      </c>
      <c r="S889" s="42" t="n">
        <v>0.499808859060403</v>
      </c>
      <c r="T889" s="3" t="n">
        <v>20</v>
      </c>
      <c r="U889" s="3" t="n">
        <v>9</v>
      </c>
      <c r="V889" s="3" t="n">
        <v>120314.31</v>
      </c>
      <c r="W889" s="42" t="n">
        <v>0.0619</v>
      </c>
      <c r="X889" s="23" t="n">
        <v>42566</v>
      </c>
      <c r="Y889" s="3">
        <f>IF(I889="","No SIC",IFERROR(VLOOKUP(I889,Ref!$A$2:$B$65,2,FALSE()),"Unclassified"))</f>
        <v/>
      </c>
      <c r="Z889" s="3">
        <f>IF(T889="","",IF(T889&lt;12,"Daily","Weekly"))</f>
        <v/>
      </c>
      <c r="AA889" s="3">
        <f>IF(T889="",0,IF(T889&lt;12,T889*Controls!$B$13,T889*5))</f>
        <v/>
      </c>
      <c r="AB889" s="3">
        <f>IF(E889="",0,NETWORKDAYS(E889,Controls!$B$20,Ref!$K$2:$K$42))</f>
        <v/>
      </c>
      <c r="AC889" s="3">
        <f>IF(OR(AF889=1,AND(AA889&gt;0,AB889&gt;=Controls!$B$23*AA889)),1,0)</f>
        <v/>
      </c>
      <c r="AD889" s="3">
        <f>IF(AND(E889&lt;&gt;"",E889&gt;=Controls!$B$21,E889&lt;=Controls!$B$22),1,0)</f>
        <v/>
      </c>
      <c r="AE889" s="3">
        <f>IF(IFERROR(VLOOKUP(D889,Controls!$A$36:$E$46,2,FALSE()),"No")="Yes",1,0)</f>
        <v/>
      </c>
      <c r="AF889" s="3">
        <f>IF(IFERROR(VLOOKUP(D889,Controls!$A$36:$E$46,3,FALSE()),"No")="Yes",1,0)</f>
        <v/>
      </c>
      <c r="AG889" s="3">
        <f>IF(IFERROR(VLOOKUP(D889,Controls!$A$36:$E$46,4,FALSE()),"No")="Yes",1,0)</f>
        <v/>
      </c>
      <c r="AH889" s="3">
        <f>IF(IFERROR(VLOOKUP(D889,Controls!$A$36:$E$46,5,FALSE()),"No")="Yes",1,0)</f>
        <v/>
      </c>
      <c r="AI889" s="3">
        <f>IF(ISNUMBER(MATCH(D889,Controls!$A$36:$A$46,0)),1,0)</f>
        <v/>
      </c>
      <c r="AJ889" s="28">
        <f>Q889-N889</f>
        <v/>
      </c>
      <c r="AK889" s="3">
        <f>IF(AE889=1,MAX(0,N889-Q889),0)</f>
        <v/>
      </c>
      <c r="AL889" s="3">
        <f>IF(OR(V889="",V889=0),0,N889/V889)</f>
        <v/>
      </c>
      <c r="AM889" s="3">
        <f>IF(OR(V889="",V889=0),0,1)</f>
        <v/>
      </c>
      <c r="AN889" s="3">
        <f>IF(OR(E889="",F889=""),0,NETWORKDAYS(E889,F889,Ref!$K$2:$K$42))</f>
        <v/>
      </c>
      <c r="AO889" s="3">
        <f>IF(L889="Renewal",1,0)</f>
        <v/>
      </c>
      <c r="AP889" s="3">
        <f>AC889*AD889</f>
        <v/>
      </c>
      <c r="AQ889" s="3">
        <f>IF(AND(G889&lt;&gt;"",'Historical Score'!$C$6&lt;&gt;""),IF(G889='Historical Score'!$C$6,1,0),0)</f>
        <v/>
      </c>
      <c r="AR889" s="3">
        <f>IF(AND(L889&lt;&gt;"",'Historical Score'!$C$5&lt;&gt;""),IF(L889='Historical Score'!$C$5,1,0),0)</f>
        <v/>
      </c>
      <c r="AS889" s="3">
        <f>IF(AND(Y889&lt;&gt;"",'Historical Score'!$C$7&lt;&gt;""),IF(Y889='Historical Score'!$C$7,1,0),0)</f>
        <v/>
      </c>
      <c r="AT889" s="3">
        <f>IF(AND(K889&lt;&gt;"",'Historical Score'!$C$8&lt;&gt;""),IF(K889='Historical Score'!$C$8,1,0),0)</f>
        <v/>
      </c>
      <c r="AU889" s="3" t="n"/>
      <c r="AV889" s="3" t="n"/>
      <c r="AW889" s="3" t="n"/>
      <c r="AX889" s="3" t="n"/>
      <c r="AY889" s="3" t="n"/>
      <c r="AZ889" s="3" t="n"/>
      <c r="BA889" s="182">
        <f>IF(AD889=1,(AR889*'Historical Score'!$K$29+1-'Historical Score'!$K$29)*(AT889*'Historical Score'!$L$29+1-'Historical Score'!$L$29)*(AS889*'Historical Score'!$M$29+1-'Historical Score'!$M$29)*(AQ889*'Historical Score'!$N$29+1-'Historical Score'!$N$29),0)</f>
        <v/>
      </c>
      <c r="BB889" s="3" t="n"/>
      <c r="BC889" s="3" t="n"/>
    </row>
    <row r="890" ht="15.75" customHeight="1" s="174">
      <c r="A890" s="3" t="inlineStr">
        <is>
          <t>5674184028</t>
        </is>
      </c>
      <c r="B890" s="3" t="inlineStr">
        <is>
          <t>JACKS PEST MGMT LLC</t>
        </is>
      </c>
      <c r="C890" s="3" t="inlineStr">
        <is>
          <t>JACKS PEST MGMT LLC</t>
        </is>
      </c>
      <c r="D890" s="3" t="inlineStr">
        <is>
          <t>Open</t>
        </is>
      </c>
      <c r="E890" s="23" t="n">
        <v>46162</v>
      </c>
      <c r="F890" s="23" t="n">
        <v>46248</v>
      </c>
      <c r="G890" s="3" t="n">
        <v>3</v>
      </c>
      <c r="H890" s="3" t="inlineStr">
        <is>
          <t>7342</t>
        </is>
      </c>
      <c r="I890" s="3" t="inlineStr">
        <is>
          <t>73</t>
        </is>
      </c>
      <c r="J890" s="3" t="inlineStr">
        <is>
          <t>MO</t>
        </is>
      </c>
      <c r="K890" s="3" t="inlineStr">
        <is>
          <t>Samson Funding</t>
        </is>
      </c>
      <c r="L890" s="3" t="inlineStr">
        <is>
          <t>Renewal</t>
        </is>
      </c>
      <c r="M890" s="3" t="n">
        <v>1.35</v>
      </c>
      <c r="N890" s="28" t="n">
        <v>15000</v>
      </c>
      <c r="O890" s="28" t="n">
        <v>1050</v>
      </c>
      <c r="P890" s="28" t="n">
        <v>20250</v>
      </c>
      <c r="Q890" s="28" t="n">
        <v>7593.12</v>
      </c>
      <c r="R890" s="28" t="n">
        <v>12656.88</v>
      </c>
      <c r="S890" s="42" t="n">
        <v>0.374968888888889</v>
      </c>
      <c r="T890" s="3" t="n">
        <v>32</v>
      </c>
      <c r="U890" s="3" t="n">
        <v>0</v>
      </c>
      <c r="V890" s="3" t="n">
        <v>12993</v>
      </c>
      <c r="W890" s="42" t="n">
        <v>0.1948</v>
      </c>
      <c r="X890" s="23" t="n">
        <v>45280</v>
      </c>
      <c r="Y890" s="3">
        <f>IF(I890="","No SIC",IFERROR(VLOOKUP(I890,Ref!$A$2:$B$65,2,FALSE()),"Unclassified"))</f>
        <v/>
      </c>
      <c r="Z890" s="3">
        <f>IF(T890="","",IF(T890&lt;12,"Daily","Weekly"))</f>
        <v/>
      </c>
      <c r="AA890" s="3">
        <f>IF(T890="",0,IF(T890&lt;12,T890*Controls!$B$13,T890*5))</f>
        <v/>
      </c>
      <c r="AB890" s="3">
        <f>IF(E890="",0,NETWORKDAYS(E890,Controls!$B$20,Ref!$K$2:$K$42))</f>
        <v/>
      </c>
      <c r="AC890" s="3">
        <f>IF(OR(AF890=1,AND(AA890&gt;0,AB890&gt;=Controls!$B$23*AA890)),1,0)</f>
        <v/>
      </c>
      <c r="AD890" s="3">
        <f>IF(AND(E890&lt;&gt;"",E890&gt;=Controls!$B$21,E890&lt;=Controls!$B$22),1,0)</f>
        <v/>
      </c>
      <c r="AE890" s="3">
        <f>IF(IFERROR(VLOOKUP(D890,Controls!$A$36:$E$46,2,FALSE()),"No")="Yes",1,0)</f>
        <v/>
      </c>
      <c r="AF890" s="3">
        <f>IF(IFERROR(VLOOKUP(D890,Controls!$A$36:$E$46,3,FALSE()),"No")="Yes",1,0)</f>
        <v/>
      </c>
      <c r="AG890" s="3">
        <f>IF(IFERROR(VLOOKUP(D890,Controls!$A$36:$E$46,4,FALSE()),"No")="Yes",1,0)</f>
        <v/>
      </c>
      <c r="AH890" s="3">
        <f>IF(IFERROR(VLOOKUP(D890,Controls!$A$36:$E$46,5,FALSE()),"No")="Yes",1,0)</f>
        <v/>
      </c>
      <c r="AI890" s="3">
        <f>IF(ISNUMBER(MATCH(D890,Controls!$A$36:$A$46,0)),1,0)</f>
        <v/>
      </c>
      <c r="AJ890" s="28">
        <f>Q890-N890</f>
        <v/>
      </c>
      <c r="AK890" s="3">
        <f>IF(AE890=1,MAX(0,N890-Q890),0)</f>
        <v/>
      </c>
      <c r="AL890" s="3">
        <f>IF(OR(V890="",V890=0),0,N890/V890)</f>
        <v/>
      </c>
      <c r="AM890" s="3">
        <f>IF(OR(V890="",V890=0),0,1)</f>
        <v/>
      </c>
      <c r="AN890" s="3">
        <f>IF(OR(E890="",F890=""),0,NETWORKDAYS(E890,F890,Ref!$K$2:$K$42))</f>
        <v/>
      </c>
      <c r="AO890" s="3">
        <f>IF(L890="Renewal",1,0)</f>
        <v/>
      </c>
      <c r="AP890" s="3">
        <f>AC890*AD890</f>
        <v/>
      </c>
      <c r="AQ890" s="3">
        <f>IF(AND(G890&lt;&gt;"",'Historical Score'!$C$6&lt;&gt;""),IF(G890='Historical Score'!$C$6,1,0),0)</f>
        <v/>
      </c>
      <c r="AR890" s="3">
        <f>IF(AND(L890&lt;&gt;"",'Historical Score'!$C$5&lt;&gt;""),IF(L890='Historical Score'!$C$5,1,0),0)</f>
        <v/>
      </c>
      <c r="AS890" s="3">
        <f>IF(AND(Y890&lt;&gt;"",'Historical Score'!$C$7&lt;&gt;""),IF(Y890='Historical Score'!$C$7,1,0),0)</f>
        <v/>
      </c>
      <c r="AT890" s="3">
        <f>IF(AND(K890&lt;&gt;"",'Historical Score'!$C$8&lt;&gt;""),IF(K890='Historical Score'!$C$8,1,0),0)</f>
        <v/>
      </c>
      <c r="AU890" s="3" t="n"/>
      <c r="AV890" s="3" t="n"/>
      <c r="AW890" s="3" t="n"/>
      <c r="AX890" s="3" t="n"/>
      <c r="AY890" s="3" t="n"/>
      <c r="AZ890" s="3" t="n"/>
      <c r="BA890" s="182">
        <f>IF(AD890=1,(AR890*'Historical Score'!$K$29+1-'Historical Score'!$K$29)*(AT890*'Historical Score'!$L$29+1-'Historical Score'!$L$29)*(AS890*'Historical Score'!$M$29+1-'Historical Score'!$M$29)*(AQ890*'Historical Score'!$N$29+1-'Historical Score'!$N$29),0)</f>
        <v/>
      </c>
      <c r="BB890" s="3" t="n"/>
      <c r="BC890" s="3" t="n"/>
    </row>
    <row r="891" ht="15.75" customHeight="1" s="174">
      <c r="A891" s="3" t="inlineStr">
        <is>
          <t>5674184040</t>
        </is>
      </c>
      <c r="B891" s="3" t="inlineStr">
        <is>
          <t>TASHAV'S CARIBBEAN &amp; SOUL FOOD CUISINE</t>
        </is>
      </c>
      <c r="C891" s="3" t="inlineStr">
        <is>
          <t>TASHA'S CARIBBEAN &amp; SOUL FOOD</t>
        </is>
      </c>
      <c r="D891" s="3" t="inlineStr">
        <is>
          <t>Open</t>
        </is>
      </c>
      <c r="E891" s="23" t="n">
        <v>46162</v>
      </c>
      <c r="F891" s="23" t="n">
        <v>46241</v>
      </c>
      <c r="G891" s="3" t="n">
        <v>3</v>
      </c>
      <c r="H891" s="3" t="inlineStr">
        <is>
          <t>5812</t>
        </is>
      </c>
      <c r="I891" s="3" t="inlineStr">
        <is>
          <t>58</t>
        </is>
      </c>
      <c r="J891" s="3" t="inlineStr">
        <is>
          <t>NJ</t>
        </is>
      </c>
      <c r="K891" s="3" t="inlineStr">
        <is>
          <t>Ballicci</t>
        </is>
      </c>
      <c r="L891" s="3" t="inlineStr">
        <is>
          <t>Renewal</t>
        </is>
      </c>
      <c r="M891" s="3" t="n">
        <v>1.42</v>
      </c>
      <c r="N891" s="28" t="n">
        <v>19000</v>
      </c>
      <c r="O891" s="28" t="n">
        <v>1995</v>
      </c>
      <c r="P891" s="28" t="n">
        <v>26980</v>
      </c>
      <c r="Q891" s="28" t="n">
        <v>8996.16</v>
      </c>
      <c r="R891" s="28" t="n">
        <v>17983.84</v>
      </c>
      <c r="S891" s="42" t="n">
        <v>0.333438102297999</v>
      </c>
      <c r="T891" s="3" t="n">
        <v>24</v>
      </c>
      <c r="U891" s="3" t="n">
        <v>1</v>
      </c>
      <c r="V891" s="3" t="n">
        <v>39147.9</v>
      </c>
      <c r="W891" s="42" t="n">
        <v>0.1149</v>
      </c>
      <c r="X891" s="23" t="n">
        <v>43466</v>
      </c>
      <c r="Y891" s="3">
        <f>IF(I891="","No SIC",IFERROR(VLOOKUP(I891,Ref!$A$2:$B$65,2,FALSE()),"Unclassified"))</f>
        <v/>
      </c>
      <c r="Z891" s="3">
        <f>IF(T891="","",IF(T891&lt;12,"Daily","Weekly"))</f>
        <v/>
      </c>
      <c r="AA891" s="3">
        <f>IF(T891="",0,IF(T891&lt;12,T891*Controls!$B$13,T891*5))</f>
        <v/>
      </c>
      <c r="AB891" s="3">
        <f>IF(E891="",0,NETWORKDAYS(E891,Controls!$B$20,Ref!$K$2:$K$42))</f>
        <v/>
      </c>
      <c r="AC891" s="3">
        <f>IF(OR(AF891=1,AND(AA891&gt;0,AB891&gt;=Controls!$B$23*AA891)),1,0)</f>
        <v/>
      </c>
      <c r="AD891" s="3">
        <f>IF(AND(E891&lt;&gt;"",E891&gt;=Controls!$B$21,E891&lt;=Controls!$B$22),1,0)</f>
        <v/>
      </c>
      <c r="AE891" s="3">
        <f>IF(IFERROR(VLOOKUP(D891,Controls!$A$36:$E$46,2,FALSE()),"No")="Yes",1,0)</f>
        <v/>
      </c>
      <c r="AF891" s="3">
        <f>IF(IFERROR(VLOOKUP(D891,Controls!$A$36:$E$46,3,FALSE()),"No")="Yes",1,0)</f>
        <v/>
      </c>
      <c r="AG891" s="3">
        <f>IF(IFERROR(VLOOKUP(D891,Controls!$A$36:$E$46,4,FALSE()),"No")="Yes",1,0)</f>
        <v/>
      </c>
      <c r="AH891" s="3">
        <f>IF(IFERROR(VLOOKUP(D891,Controls!$A$36:$E$46,5,FALSE()),"No")="Yes",1,0)</f>
        <v/>
      </c>
      <c r="AI891" s="3">
        <f>IF(ISNUMBER(MATCH(D891,Controls!$A$36:$A$46,0)),1,0)</f>
        <v/>
      </c>
      <c r="AJ891" s="28">
        <f>Q891-N891</f>
        <v/>
      </c>
      <c r="AK891" s="3">
        <f>IF(AE891=1,MAX(0,N891-Q891),0)</f>
        <v/>
      </c>
      <c r="AL891" s="3">
        <f>IF(OR(V891="",V891=0),0,N891/V891)</f>
        <v/>
      </c>
      <c r="AM891" s="3">
        <f>IF(OR(V891="",V891=0),0,1)</f>
        <v/>
      </c>
      <c r="AN891" s="3">
        <f>IF(OR(E891="",F891=""),0,NETWORKDAYS(E891,F891,Ref!$K$2:$K$42))</f>
        <v/>
      </c>
      <c r="AO891" s="3">
        <f>IF(L891="Renewal",1,0)</f>
        <v/>
      </c>
      <c r="AP891" s="3">
        <f>AC891*AD891</f>
        <v/>
      </c>
      <c r="AQ891" s="3">
        <f>IF(AND(G891&lt;&gt;"",'Historical Score'!$C$6&lt;&gt;""),IF(G891='Historical Score'!$C$6,1,0),0)</f>
        <v/>
      </c>
      <c r="AR891" s="3">
        <f>IF(AND(L891&lt;&gt;"",'Historical Score'!$C$5&lt;&gt;""),IF(L891='Historical Score'!$C$5,1,0),0)</f>
        <v/>
      </c>
      <c r="AS891" s="3">
        <f>IF(AND(Y891&lt;&gt;"",'Historical Score'!$C$7&lt;&gt;""),IF(Y891='Historical Score'!$C$7,1,0),0)</f>
        <v/>
      </c>
      <c r="AT891" s="3">
        <f>IF(AND(K891&lt;&gt;"",'Historical Score'!$C$8&lt;&gt;""),IF(K891='Historical Score'!$C$8,1,0),0)</f>
        <v/>
      </c>
      <c r="AU891" s="3" t="n"/>
      <c r="AV891" s="3" t="n"/>
      <c r="AW891" s="3" t="n"/>
      <c r="AX891" s="3" t="n"/>
      <c r="AY891" s="3" t="n"/>
      <c r="AZ891" s="3" t="n"/>
      <c r="BA891" s="182">
        <f>IF(AD891=1,(AR891*'Historical Score'!$K$29+1-'Historical Score'!$K$29)*(AT891*'Historical Score'!$L$29+1-'Historical Score'!$L$29)*(AS891*'Historical Score'!$M$29+1-'Historical Score'!$M$29)*(AQ891*'Historical Score'!$N$29+1-'Historical Score'!$N$29),0)</f>
        <v/>
      </c>
      <c r="BB891" s="3" t="n"/>
      <c r="BC891" s="3" t="n"/>
    </row>
    <row r="892" ht="15.75" customHeight="1" s="174">
      <c r="A892" s="3" t="inlineStr">
        <is>
          <t>5674184066</t>
        </is>
      </c>
      <c r="B892" s="3" t="inlineStr">
        <is>
          <t>YOUR FAMILY HEALTHCARE</t>
        </is>
      </c>
      <c r="C892" s="3" t="inlineStr">
        <is>
          <t>YOUR FAMILY HEALTHCARE LLC</t>
        </is>
      </c>
      <c r="D892" s="3" t="inlineStr">
        <is>
          <t>Open</t>
        </is>
      </c>
      <c r="E892" s="23" t="n">
        <v>46163</v>
      </c>
      <c r="F892" s="23" t="n">
        <v>46247</v>
      </c>
      <c r="G892" s="3" t="n">
        <v>3</v>
      </c>
      <c r="H892" s="3" t="inlineStr">
        <is>
          <t>8011</t>
        </is>
      </c>
      <c r="I892" s="3" t="inlineStr">
        <is>
          <t>80</t>
        </is>
      </c>
      <c r="J892" s="3" t="inlineStr">
        <is>
          <t>TX</t>
        </is>
      </c>
      <c r="K892" s="3" t="inlineStr">
        <is>
          <t>SNB CAPITAL 18 LLC</t>
        </is>
      </c>
      <c r="L892" s="3" t="inlineStr">
        <is>
          <t>New Deal</t>
        </is>
      </c>
      <c r="M892" s="3" t="n">
        <v>1.45</v>
      </c>
      <c r="N892" s="28" t="n">
        <v>200000</v>
      </c>
      <c r="O892" s="28" t="n">
        <v>24000</v>
      </c>
      <c r="P892" s="28" t="n">
        <v>290000</v>
      </c>
      <c r="Q892" s="28" t="n">
        <v>90479.17999999999</v>
      </c>
      <c r="R892" s="28" t="n">
        <v>199520.82</v>
      </c>
      <c r="S892" s="42" t="n">
        <v>0.311997172413793</v>
      </c>
      <c r="T892" s="3" t="n">
        <v>36</v>
      </c>
      <c r="U892" s="3" t="n">
        <v>1</v>
      </c>
      <c r="V892" s="3" t="n">
        <v>465351.99</v>
      </c>
      <c r="W892" s="42" t="n">
        <v>0.0692</v>
      </c>
      <c r="X892" s="23" t="n">
        <v>42826</v>
      </c>
      <c r="Y892" s="3">
        <f>IF(I892="","No SIC",IFERROR(VLOOKUP(I892,Ref!$A$2:$B$65,2,FALSE()),"Unclassified"))</f>
        <v/>
      </c>
      <c r="Z892" s="3">
        <f>IF(T892="","",IF(T892&lt;12,"Daily","Weekly"))</f>
        <v/>
      </c>
      <c r="AA892" s="3">
        <f>IF(T892="",0,IF(T892&lt;12,T892*Controls!$B$13,T892*5))</f>
        <v/>
      </c>
      <c r="AB892" s="3">
        <f>IF(E892="",0,NETWORKDAYS(E892,Controls!$B$20,Ref!$K$2:$K$42))</f>
        <v/>
      </c>
      <c r="AC892" s="3">
        <f>IF(OR(AF892=1,AND(AA892&gt;0,AB892&gt;=Controls!$B$23*AA892)),1,0)</f>
        <v/>
      </c>
      <c r="AD892" s="3">
        <f>IF(AND(E892&lt;&gt;"",E892&gt;=Controls!$B$21,E892&lt;=Controls!$B$22),1,0)</f>
        <v/>
      </c>
      <c r="AE892" s="3">
        <f>IF(IFERROR(VLOOKUP(D892,Controls!$A$36:$E$46,2,FALSE()),"No")="Yes",1,0)</f>
        <v/>
      </c>
      <c r="AF892" s="3">
        <f>IF(IFERROR(VLOOKUP(D892,Controls!$A$36:$E$46,3,FALSE()),"No")="Yes",1,0)</f>
        <v/>
      </c>
      <c r="AG892" s="3">
        <f>IF(IFERROR(VLOOKUP(D892,Controls!$A$36:$E$46,4,FALSE()),"No")="Yes",1,0)</f>
        <v/>
      </c>
      <c r="AH892" s="3">
        <f>IF(IFERROR(VLOOKUP(D892,Controls!$A$36:$E$46,5,FALSE()),"No")="Yes",1,0)</f>
        <v/>
      </c>
      <c r="AI892" s="3">
        <f>IF(ISNUMBER(MATCH(D892,Controls!$A$36:$A$46,0)),1,0)</f>
        <v/>
      </c>
      <c r="AJ892" s="28">
        <f>Q892-N892</f>
        <v/>
      </c>
      <c r="AK892" s="3">
        <f>IF(AE892=1,MAX(0,N892-Q892),0)</f>
        <v/>
      </c>
      <c r="AL892" s="3">
        <f>IF(OR(V892="",V892=0),0,N892/V892)</f>
        <v/>
      </c>
      <c r="AM892" s="3">
        <f>IF(OR(V892="",V892=0),0,1)</f>
        <v/>
      </c>
      <c r="AN892" s="3">
        <f>IF(OR(E892="",F892=""),0,NETWORKDAYS(E892,F892,Ref!$K$2:$K$42))</f>
        <v/>
      </c>
      <c r="AO892" s="3">
        <f>IF(L892="Renewal",1,0)</f>
        <v/>
      </c>
      <c r="AP892" s="3">
        <f>AC892*AD892</f>
        <v/>
      </c>
      <c r="AQ892" s="3">
        <f>IF(AND(G892&lt;&gt;"",'Historical Score'!$C$6&lt;&gt;""),IF(G892='Historical Score'!$C$6,1,0),0)</f>
        <v/>
      </c>
      <c r="AR892" s="3">
        <f>IF(AND(L892&lt;&gt;"",'Historical Score'!$C$5&lt;&gt;""),IF(L892='Historical Score'!$C$5,1,0),0)</f>
        <v/>
      </c>
      <c r="AS892" s="3">
        <f>IF(AND(Y892&lt;&gt;"",'Historical Score'!$C$7&lt;&gt;""),IF(Y892='Historical Score'!$C$7,1,0),0)</f>
        <v/>
      </c>
      <c r="AT892" s="3">
        <f>IF(AND(K892&lt;&gt;"",'Historical Score'!$C$8&lt;&gt;""),IF(K892='Historical Score'!$C$8,1,0),0)</f>
        <v/>
      </c>
      <c r="AU892" s="3" t="n"/>
      <c r="AV892" s="3" t="n"/>
      <c r="AW892" s="3" t="n"/>
      <c r="AX892" s="3" t="n"/>
      <c r="AY892" s="3" t="n"/>
      <c r="AZ892" s="3" t="n"/>
      <c r="BA892" s="182">
        <f>IF(AD892=1,(AR892*'Historical Score'!$K$29+1-'Historical Score'!$K$29)*(AT892*'Historical Score'!$L$29+1-'Historical Score'!$L$29)*(AS892*'Historical Score'!$M$29+1-'Historical Score'!$M$29)*(AQ892*'Historical Score'!$N$29+1-'Historical Score'!$N$29),0)</f>
        <v/>
      </c>
      <c r="BB892" s="3" t="n"/>
      <c r="BC892" s="3" t="n"/>
    </row>
    <row r="893" ht="15.75" customHeight="1" s="174">
      <c r="A893" s="3" t="inlineStr">
        <is>
          <t>5674184091</t>
        </is>
      </c>
      <c r="B893" s="3" t="inlineStr">
        <is>
          <t>Millersroom</t>
        </is>
      </c>
      <c r="C893" s="3" t="inlineStr">
        <is>
          <t>MILLERSROOM LLC, MARQUISE MILLER</t>
        </is>
      </c>
      <c r="D893" s="3" t="inlineStr">
        <is>
          <t>Open</t>
        </is>
      </c>
      <c r="E893" s="23" t="n">
        <v>46163</v>
      </c>
      <c r="F893" s="23" t="n">
        <v>46253</v>
      </c>
      <c r="G893" s="3" t="n">
        <v>1</v>
      </c>
      <c r="H893" s="3" t="inlineStr">
        <is>
          <t>5651</t>
        </is>
      </c>
      <c r="I893" s="3" t="inlineStr">
        <is>
          <t>56</t>
        </is>
      </c>
      <c r="J893" s="3" t="inlineStr">
        <is>
          <t>CA</t>
        </is>
      </c>
      <c r="K893" s="3" t="inlineStr">
        <is>
          <t>United Secured Capital 8</t>
        </is>
      </c>
      <c r="L893" s="3" t="inlineStr">
        <is>
          <t>New Deal</t>
        </is>
      </c>
      <c r="M893" s="3" t="n">
        <v>1.45</v>
      </c>
      <c r="N893" s="28" t="n">
        <v>13000</v>
      </c>
      <c r="O893" s="28" t="n">
        <v>1560</v>
      </c>
      <c r="P893" s="28" t="n">
        <v>18850</v>
      </c>
      <c r="Q893" s="28" t="n">
        <v>7534.32</v>
      </c>
      <c r="R893" s="28" t="n">
        <v>11315.68</v>
      </c>
      <c r="S893" s="42" t="n">
        <v>0.399698673740053</v>
      </c>
      <c r="T893" s="3" t="n">
        <v>18</v>
      </c>
      <c r="U893" s="3" t="n">
        <v>5</v>
      </c>
      <c r="V893" s="3" t="n">
        <v>66458.27</v>
      </c>
      <c r="W893" s="42" t="n">
        <v>0.063</v>
      </c>
      <c r="X893" s="23" t="n">
        <v>42740</v>
      </c>
      <c r="Y893" s="3">
        <f>IF(I893="","No SIC",IFERROR(VLOOKUP(I893,Ref!$A$2:$B$65,2,FALSE()),"Unclassified"))</f>
        <v/>
      </c>
      <c r="Z893" s="3">
        <f>IF(T893="","",IF(T893&lt;12,"Daily","Weekly"))</f>
        <v/>
      </c>
      <c r="AA893" s="3">
        <f>IF(T893="",0,IF(T893&lt;12,T893*Controls!$B$13,T893*5))</f>
        <v/>
      </c>
      <c r="AB893" s="3">
        <f>IF(E893="",0,NETWORKDAYS(E893,Controls!$B$20,Ref!$K$2:$K$42))</f>
        <v/>
      </c>
      <c r="AC893" s="3">
        <f>IF(OR(AF893=1,AND(AA893&gt;0,AB893&gt;=Controls!$B$23*AA893)),1,0)</f>
        <v/>
      </c>
      <c r="AD893" s="3">
        <f>IF(AND(E893&lt;&gt;"",E893&gt;=Controls!$B$21,E893&lt;=Controls!$B$22),1,0)</f>
        <v/>
      </c>
      <c r="AE893" s="3">
        <f>IF(IFERROR(VLOOKUP(D893,Controls!$A$36:$E$46,2,FALSE()),"No")="Yes",1,0)</f>
        <v/>
      </c>
      <c r="AF893" s="3">
        <f>IF(IFERROR(VLOOKUP(D893,Controls!$A$36:$E$46,3,FALSE()),"No")="Yes",1,0)</f>
        <v/>
      </c>
      <c r="AG893" s="3">
        <f>IF(IFERROR(VLOOKUP(D893,Controls!$A$36:$E$46,4,FALSE()),"No")="Yes",1,0)</f>
        <v/>
      </c>
      <c r="AH893" s="3">
        <f>IF(IFERROR(VLOOKUP(D893,Controls!$A$36:$E$46,5,FALSE()),"No")="Yes",1,0)</f>
        <v/>
      </c>
      <c r="AI893" s="3">
        <f>IF(ISNUMBER(MATCH(D893,Controls!$A$36:$A$46,0)),1,0)</f>
        <v/>
      </c>
      <c r="AJ893" s="28">
        <f>Q893-N893</f>
        <v/>
      </c>
      <c r="AK893" s="3">
        <f>IF(AE893=1,MAX(0,N893-Q893),0)</f>
        <v/>
      </c>
      <c r="AL893" s="3">
        <f>IF(OR(V893="",V893=0),0,N893/V893)</f>
        <v/>
      </c>
      <c r="AM893" s="3">
        <f>IF(OR(V893="",V893=0),0,1)</f>
        <v/>
      </c>
      <c r="AN893" s="3">
        <f>IF(OR(E893="",F893=""),0,NETWORKDAYS(E893,F893,Ref!$K$2:$K$42))</f>
        <v/>
      </c>
      <c r="AO893" s="3">
        <f>IF(L893="Renewal",1,0)</f>
        <v/>
      </c>
      <c r="AP893" s="3">
        <f>AC893*AD893</f>
        <v/>
      </c>
      <c r="AQ893" s="3">
        <f>IF(AND(G893&lt;&gt;"",'Historical Score'!$C$6&lt;&gt;""),IF(G893='Historical Score'!$C$6,1,0),0)</f>
        <v/>
      </c>
      <c r="AR893" s="3">
        <f>IF(AND(L893&lt;&gt;"",'Historical Score'!$C$5&lt;&gt;""),IF(L893='Historical Score'!$C$5,1,0),0)</f>
        <v/>
      </c>
      <c r="AS893" s="3">
        <f>IF(AND(Y893&lt;&gt;"",'Historical Score'!$C$7&lt;&gt;""),IF(Y893='Historical Score'!$C$7,1,0),0)</f>
        <v/>
      </c>
      <c r="AT893" s="3">
        <f>IF(AND(K893&lt;&gt;"",'Historical Score'!$C$8&lt;&gt;""),IF(K893='Historical Score'!$C$8,1,0),0)</f>
        <v/>
      </c>
      <c r="AU893" s="3" t="n"/>
      <c r="AV893" s="3" t="n"/>
      <c r="AW893" s="3" t="n"/>
      <c r="AX893" s="3" t="n"/>
      <c r="AY893" s="3" t="n"/>
      <c r="AZ893" s="3" t="n"/>
      <c r="BA893" s="182">
        <f>IF(AD893=1,(AR893*'Historical Score'!$K$29+1-'Historical Score'!$K$29)*(AT893*'Historical Score'!$L$29+1-'Historical Score'!$L$29)*(AS893*'Historical Score'!$M$29+1-'Historical Score'!$M$29)*(AQ893*'Historical Score'!$N$29+1-'Historical Score'!$N$29),0)</f>
        <v/>
      </c>
      <c r="BB893" s="3" t="n"/>
      <c r="BC893" s="3" t="n"/>
    </row>
    <row r="894" ht="15.75" customHeight="1" s="174">
      <c r="A894" s="3" t="inlineStr">
        <is>
          <t>5674184099</t>
        </is>
      </c>
      <c r="B894" s="3" t="inlineStr">
        <is>
          <t>S&amp;R JANITORIAL SERVICE LLC</t>
        </is>
      </c>
      <c r="C894" s="3" t="inlineStr">
        <is>
          <t>S&amp;R JANITORIAL SERVICE LLC</t>
        </is>
      </c>
      <c r="D894" s="3" t="inlineStr">
        <is>
          <t>Closed</t>
        </is>
      </c>
      <c r="E894" s="23" t="n">
        <v>46163</v>
      </c>
      <c r="F894" s="23" t="n">
        <v>46244</v>
      </c>
      <c r="G894" s="3" t="n">
        <v>3</v>
      </c>
      <c r="H894" s="3" t="inlineStr">
        <is>
          <t>7349</t>
        </is>
      </c>
      <c r="I894" s="3" t="inlineStr">
        <is>
          <t>73</t>
        </is>
      </c>
      <c r="J894" s="3" t="inlineStr">
        <is>
          <t>CA</t>
        </is>
      </c>
      <c r="K894" s="3" t="inlineStr">
        <is>
          <t>Linked In Funding</t>
        </is>
      </c>
      <c r="L894" s="3" t="inlineStr">
        <is>
          <t>Renewal</t>
        </is>
      </c>
      <c r="M894" s="3" t="n">
        <v>1.49</v>
      </c>
      <c r="N894" s="28" t="n">
        <v>15000</v>
      </c>
      <c r="O894" s="28" t="n">
        <v>2100</v>
      </c>
      <c r="P894" s="28" t="n">
        <v>22350</v>
      </c>
      <c r="Q894" s="28" t="n">
        <v>22350</v>
      </c>
      <c r="R894" s="28" t="n">
        <v>0</v>
      </c>
      <c r="S894" s="42" t="n">
        <v>1</v>
      </c>
      <c r="T894" s="3" t="n">
        <v>3.279</v>
      </c>
      <c r="U894" s="3" t="n">
        <v>2</v>
      </c>
      <c r="V894" s="3" t="n">
        <v>94527.25999999999</v>
      </c>
      <c r="W894" s="42" t="n">
        <v>0.0497</v>
      </c>
      <c r="X894" s="23" t="n">
        <v>42906</v>
      </c>
      <c r="Y894" s="3">
        <f>IF(I894="","No SIC",IFERROR(VLOOKUP(I894,Ref!$A$2:$B$65,2,FALSE()),"Unclassified"))</f>
        <v/>
      </c>
      <c r="Z894" s="3">
        <f>IF(T894="","",IF(T894&lt;12,"Daily","Weekly"))</f>
        <v/>
      </c>
      <c r="AA894" s="3">
        <f>IF(T894="",0,IF(T894&lt;12,T894*Controls!$B$13,T894*5))</f>
        <v/>
      </c>
      <c r="AB894" s="3">
        <f>IF(E894="",0,NETWORKDAYS(E894,Controls!$B$20,Ref!$K$2:$K$42))</f>
        <v/>
      </c>
      <c r="AC894" s="3">
        <f>IF(OR(AF894=1,AND(AA894&gt;0,AB894&gt;=Controls!$B$23*AA894)),1,0)</f>
        <v/>
      </c>
      <c r="AD894" s="3">
        <f>IF(AND(E894&lt;&gt;"",E894&gt;=Controls!$B$21,E894&lt;=Controls!$B$22),1,0)</f>
        <v/>
      </c>
      <c r="AE894" s="3">
        <f>IF(IFERROR(VLOOKUP(D894,Controls!$A$36:$E$46,2,FALSE()),"No")="Yes",1,0)</f>
        <v/>
      </c>
      <c r="AF894" s="3">
        <f>IF(IFERROR(VLOOKUP(D894,Controls!$A$36:$E$46,3,FALSE()),"No")="Yes",1,0)</f>
        <v/>
      </c>
      <c r="AG894" s="3">
        <f>IF(IFERROR(VLOOKUP(D894,Controls!$A$36:$E$46,4,FALSE()),"No")="Yes",1,0)</f>
        <v/>
      </c>
      <c r="AH894" s="3">
        <f>IF(IFERROR(VLOOKUP(D894,Controls!$A$36:$E$46,5,FALSE()),"No")="Yes",1,0)</f>
        <v/>
      </c>
      <c r="AI894" s="3">
        <f>IF(ISNUMBER(MATCH(D894,Controls!$A$36:$A$46,0)),1,0)</f>
        <v/>
      </c>
      <c r="AJ894" s="28">
        <f>Q894-N894</f>
        <v/>
      </c>
      <c r="AK894" s="3">
        <f>IF(AE894=1,MAX(0,N894-Q894),0)</f>
        <v/>
      </c>
      <c r="AL894" s="3">
        <f>IF(OR(V894="",V894=0),0,N894/V894)</f>
        <v/>
      </c>
      <c r="AM894" s="3">
        <f>IF(OR(V894="",V894=0),0,1)</f>
        <v/>
      </c>
      <c r="AN894" s="3">
        <f>IF(OR(E894="",F894=""),0,NETWORKDAYS(E894,F894,Ref!$K$2:$K$42))</f>
        <v/>
      </c>
      <c r="AO894" s="3">
        <f>IF(L894="Renewal",1,0)</f>
        <v/>
      </c>
      <c r="AP894" s="3">
        <f>AC894*AD894</f>
        <v/>
      </c>
      <c r="AQ894" s="3">
        <f>IF(AND(G894&lt;&gt;"",'Historical Score'!$C$6&lt;&gt;""),IF(G894='Historical Score'!$C$6,1,0),0)</f>
        <v/>
      </c>
      <c r="AR894" s="3">
        <f>IF(AND(L894&lt;&gt;"",'Historical Score'!$C$5&lt;&gt;""),IF(L894='Historical Score'!$C$5,1,0),0)</f>
        <v/>
      </c>
      <c r="AS894" s="3">
        <f>IF(AND(Y894&lt;&gt;"",'Historical Score'!$C$7&lt;&gt;""),IF(Y894='Historical Score'!$C$7,1,0),0)</f>
        <v/>
      </c>
      <c r="AT894" s="3">
        <f>IF(AND(K894&lt;&gt;"",'Historical Score'!$C$8&lt;&gt;""),IF(K894='Historical Score'!$C$8,1,0),0)</f>
        <v/>
      </c>
      <c r="AU894" s="3" t="n"/>
      <c r="AV894" s="3" t="n"/>
      <c r="AW894" s="3" t="n"/>
      <c r="AX894" s="3" t="n"/>
      <c r="AY894" s="3" t="n"/>
      <c r="AZ894" s="3" t="n"/>
      <c r="BA894" s="182">
        <f>IF(AD894=1,(AR894*'Historical Score'!$K$29+1-'Historical Score'!$K$29)*(AT894*'Historical Score'!$L$29+1-'Historical Score'!$L$29)*(AS894*'Historical Score'!$M$29+1-'Historical Score'!$M$29)*(AQ894*'Historical Score'!$N$29+1-'Historical Score'!$N$29),0)</f>
        <v/>
      </c>
      <c r="BB894" s="3" t="n"/>
      <c r="BC894" s="3" t="n"/>
    </row>
    <row r="895" ht="15.75" customHeight="1" s="174">
      <c r="A895" s="3" t="inlineStr">
        <is>
          <t>5674184124</t>
        </is>
      </c>
      <c r="B895" s="3" t="inlineStr">
        <is>
          <t>FLOW KING ROOTER DBA  FLOW KING ROOTER PLUMBING DBA FLOW KING SERVICES LLC</t>
        </is>
      </c>
      <c r="C895" s="3" t="inlineStr">
        <is>
          <t>FLOW KING ROOTER LLC</t>
        </is>
      </c>
      <c r="D895" s="3" t="inlineStr">
        <is>
          <t>Open</t>
        </is>
      </c>
      <c r="E895" s="23" t="n">
        <v>46163</v>
      </c>
      <c r="F895" s="23" t="n">
        <v>46253</v>
      </c>
      <c r="G895" s="3" t="n">
        <v>2</v>
      </c>
      <c r="H895" s="3" t="inlineStr">
        <is>
          <t>1711</t>
        </is>
      </c>
      <c r="I895" s="3" t="inlineStr">
        <is>
          <t>17</t>
        </is>
      </c>
      <c r="J895" s="3" t="inlineStr">
        <is>
          <t>MO</t>
        </is>
      </c>
      <c r="K895" s="3" t="inlineStr">
        <is>
          <t>PMF</t>
        </is>
      </c>
      <c r="L895" s="3" t="inlineStr">
        <is>
          <t>New Deal</t>
        </is>
      </c>
      <c r="M895" s="3" t="n">
        <v>1.45</v>
      </c>
      <c r="N895" s="28" t="n">
        <v>75000</v>
      </c>
      <c r="O895" s="28" t="n">
        <v>9000</v>
      </c>
      <c r="P895" s="28" t="n">
        <v>108750</v>
      </c>
      <c r="Q895" s="28" t="n">
        <v>38518.74</v>
      </c>
      <c r="R895" s="28" t="n">
        <v>70231.25999999999</v>
      </c>
      <c r="S895" s="42" t="n">
        <v>0.354195310344828</v>
      </c>
      <c r="T895" s="3" t="n">
        <v>5.738</v>
      </c>
      <c r="U895" s="3" t="n">
        <v>0</v>
      </c>
      <c r="V895" s="3" t="n">
        <v>217444.77</v>
      </c>
      <c r="W895" s="42" t="n">
        <v>0.06</v>
      </c>
      <c r="X895" s="23" t="n">
        <v>42856</v>
      </c>
      <c r="Y895" s="3">
        <f>IF(I895="","No SIC",IFERROR(VLOOKUP(I895,Ref!$A$2:$B$65,2,FALSE()),"Unclassified"))</f>
        <v/>
      </c>
      <c r="Z895" s="3">
        <f>IF(T895="","",IF(T895&lt;12,"Daily","Weekly"))</f>
        <v/>
      </c>
      <c r="AA895" s="3">
        <f>IF(T895="",0,IF(T895&lt;12,T895*Controls!$B$13,T895*5))</f>
        <v/>
      </c>
      <c r="AB895" s="3">
        <f>IF(E895="",0,NETWORKDAYS(E895,Controls!$B$20,Ref!$K$2:$K$42))</f>
        <v/>
      </c>
      <c r="AC895" s="3">
        <f>IF(OR(AF895=1,AND(AA895&gt;0,AB895&gt;=Controls!$B$23*AA895)),1,0)</f>
        <v/>
      </c>
      <c r="AD895" s="3">
        <f>IF(AND(E895&lt;&gt;"",E895&gt;=Controls!$B$21,E895&lt;=Controls!$B$22),1,0)</f>
        <v/>
      </c>
      <c r="AE895" s="3">
        <f>IF(IFERROR(VLOOKUP(D895,Controls!$A$36:$E$46,2,FALSE()),"No")="Yes",1,0)</f>
        <v/>
      </c>
      <c r="AF895" s="3">
        <f>IF(IFERROR(VLOOKUP(D895,Controls!$A$36:$E$46,3,FALSE()),"No")="Yes",1,0)</f>
        <v/>
      </c>
      <c r="AG895" s="3">
        <f>IF(IFERROR(VLOOKUP(D895,Controls!$A$36:$E$46,4,FALSE()),"No")="Yes",1,0)</f>
        <v/>
      </c>
      <c r="AH895" s="3">
        <f>IF(IFERROR(VLOOKUP(D895,Controls!$A$36:$E$46,5,FALSE()),"No")="Yes",1,0)</f>
        <v/>
      </c>
      <c r="AI895" s="3">
        <f>IF(ISNUMBER(MATCH(D895,Controls!$A$36:$A$46,0)),1,0)</f>
        <v/>
      </c>
      <c r="AJ895" s="28">
        <f>Q895-N895</f>
        <v/>
      </c>
      <c r="AK895" s="3">
        <f>IF(AE895=1,MAX(0,N895-Q895),0)</f>
        <v/>
      </c>
      <c r="AL895" s="3">
        <f>IF(OR(V895="",V895=0),0,N895/V895)</f>
        <v/>
      </c>
      <c r="AM895" s="3">
        <f>IF(OR(V895="",V895=0),0,1)</f>
        <v/>
      </c>
      <c r="AN895" s="3">
        <f>IF(OR(E895="",F895=""),0,NETWORKDAYS(E895,F895,Ref!$K$2:$K$42))</f>
        <v/>
      </c>
      <c r="AO895" s="3">
        <f>IF(L895="Renewal",1,0)</f>
        <v/>
      </c>
      <c r="AP895" s="3">
        <f>AC895*AD895</f>
        <v/>
      </c>
      <c r="AQ895" s="3">
        <f>IF(AND(G895&lt;&gt;"",'Historical Score'!$C$6&lt;&gt;""),IF(G895='Historical Score'!$C$6,1,0),0)</f>
        <v/>
      </c>
      <c r="AR895" s="3">
        <f>IF(AND(L895&lt;&gt;"",'Historical Score'!$C$5&lt;&gt;""),IF(L895='Historical Score'!$C$5,1,0),0)</f>
        <v/>
      </c>
      <c r="AS895" s="3">
        <f>IF(AND(Y895&lt;&gt;"",'Historical Score'!$C$7&lt;&gt;""),IF(Y895='Historical Score'!$C$7,1,0),0)</f>
        <v/>
      </c>
      <c r="AT895" s="3">
        <f>IF(AND(K895&lt;&gt;"",'Historical Score'!$C$8&lt;&gt;""),IF(K895='Historical Score'!$C$8,1,0),0)</f>
        <v/>
      </c>
      <c r="AU895" s="3" t="n"/>
      <c r="AV895" s="3" t="n"/>
      <c r="AW895" s="3" t="n"/>
      <c r="AX895" s="3" t="n"/>
      <c r="AY895" s="3" t="n"/>
      <c r="AZ895" s="3" t="n"/>
      <c r="BA895" s="182">
        <f>IF(AD895=1,(AR895*'Historical Score'!$K$29+1-'Historical Score'!$K$29)*(AT895*'Historical Score'!$L$29+1-'Historical Score'!$L$29)*(AS895*'Historical Score'!$M$29+1-'Historical Score'!$M$29)*(AQ895*'Historical Score'!$N$29+1-'Historical Score'!$N$29),0)</f>
        <v/>
      </c>
      <c r="BB895" s="3" t="n"/>
      <c r="BC895" s="3" t="n"/>
    </row>
    <row r="896" ht="15.75" customHeight="1" s="174">
      <c r="A896" s="3" t="inlineStr">
        <is>
          <t>5674184146</t>
        </is>
      </c>
      <c r="B896" s="3" t="inlineStr">
        <is>
          <t>E-Z ELECTRIC LLC</t>
        </is>
      </c>
      <c r="C896" s="3" t="inlineStr">
        <is>
          <t>E-Z ELECTRIC LLC</t>
        </is>
      </c>
      <c r="D896" s="3" t="inlineStr">
        <is>
          <t>Open</t>
        </is>
      </c>
      <c r="E896" s="23" t="n">
        <v>46164</v>
      </c>
      <c r="F896" s="23" t="n">
        <v>46247</v>
      </c>
      <c r="G896" s="3" t="n">
        <v>3</v>
      </c>
      <c r="H896" s="3" t="inlineStr">
        <is>
          <t>1731</t>
        </is>
      </c>
      <c r="I896" s="3" t="inlineStr">
        <is>
          <t>17</t>
        </is>
      </c>
      <c r="J896" s="3" t="inlineStr">
        <is>
          <t>OK</t>
        </is>
      </c>
      <c r="K896" s="3" t="inlineStr">
        <is>
          <t>United Secured Capital 8</t>
        </is>
      </c>
      <c r="L896" s="3" t="inlineStr">
        <is>
          <t>Renewal</t>
        </is>
      </c>
      <c r="M896" s="3" t="n">
        <v>1.49</v>
      </c>
      <c r="N896" s="28" t="n">
        <v>42500</v>
      </c>
      <c r="O896" s="28" t="n">
        <v>5950</v>
      </c>
      <c r="P896" s="28" t="n">
        <v>63325</v>
      </c>
      <c r="Q896" s="28" t="n">
        <v>21762.85</v>
      </c>
      <c r="R896" s="28" t="n">
        <v>41562.15</v>
      </c>
      <c r="S896" s="42" t="n">
        <v>0.343669166995657</v>
      </c>
      <c r="T896" s="3" t="n">
        <v>32</v>
      </c>
      <c r="U896" s="3" t="n">
        <v>4</v>
      </c>
      <c r="V896" s="3" t="n">
        <v>57015.76</v>
      </c>
      <c r="W896" s="42" t="n">
        <v>0.1388</v>
      </c>
      <c r="X896" s="23" t="n">
        <v>44034</v>
      </c>
      <c r="Y896" s="3">
        <f>IF(I896="","No SIC",IFERROR(VLOOKUP(I896,Ref!$A$2:$B$65,2,FALSE()),"Unclassified"))</f>
        <v/>
      </c>
      <c r="Z896" s="3">
        <f>IF(T896="","",IF(T896&lt;12,"Daily","Weekly"))</f>
        <v/>
      </c>
      <c r="AA896" s="3">
        <f>IF(T896="",0,IF(T896&lt;12,T896*Controls!$B$13,T896*5))</f>
        <v/>
      </c>
      <c r="AB896" s="3">
        <f>IF(E896="",0,NETWORKDAYS(E896,Controls!$B$20,Ref!$K$2:$K$42))</f>
        <v/>
      </c>
      <c r="AC896" s="3">
        <f>IF(OR(AF896=1,AND(AA896&gt;0,AB896&gt;=Controls!$B$23*AA896)),1,0)</f>
        <v/>
      </c>
      <c r="AD896" s="3">
        <f>IF(AND(E896&lt;&gt;"",E896&gt;=Controls!$B$21,E896&lt;=Controls!$B$22),1,0)</f>
        <v/>
      </c>
      <c r="AE896" s="3">
        <f>IF(IFERROR(VLOOKUP(D896,Controls!$A$36:$E$46,2,FALSE()),"No")="Yes",1,0)</f>
        <v/>
      </c>
      <c r="AF896" s="3">
        <f>IF(IFERROR(VLOOKUP(D896,Controls!$A$36:$E$46,3,FALSE()),"No")="Yes",1,0)</f>
        <v/>
      </c>
      <c r="AG896" s="3">
        <f>IF(IFERROR(VLOOKUP(D896,Controls!$A$36:$E$46,4,FALSE()),"No")="Yes",1,0)</f>
        <v/>
      </c>
      <c r="AH896" s="3">
        <f>IF(IFERROR(VLOOKUP(D896,Controls!$A$36:$E$46,5,FALSE()),"No")="Yes",1,0)</f>
        <v/>
      </c>
      <c r="AI896" s="3">
        <f>IF(ISNUMBER(MATCH(D896,Controls!$A$36:$A$46,0)),1,0)</f>
        <v/>
      </c>
      <c r="AJ896" s="28">
        <f>Q896-N896</f>
        <v/>
      </c>
      <c r="AK896" s="3">
        <f>IF(AE896=1,MAX(0,N896-Q896),0)</f>
        <v/>
      </c>
      <c r="AL896" s="3">
        <f>IF(OR(V896="",V896=0),0,N896/V896)</f>
        <v/>
      </c>
      <c r="AM896" s="3">
        <f>IF(OR(V896="",V896=0),0,1)</f>
        <v/>
      </c>
      <c r="AN896" s="3">
        <f>IF(OR(E896="",F896=""),0,NETWORKDAYS(E896,F896,Ref!$K$2:$K$42))</f>
        <v/>
      </c>
      <c r="AO896" s="3">
        <f>IF(L896="Renewal",1,0)</f>
        <v/>
      </c>
      <c r="AP896" s="3">
        <f>AC896*AD896</f>
        <v/>
      </c>
      <c r="AQ896" s="3">
        <f>IF(AND(G896&lt;&gt;"",'Historical Score'!$C$6&lt;&gt;""),IF(G896='Historical Score'!$C$6,1,0),0)</f>
        <v/>
      </c>
      <c r="AR896" s="3">
        <f>IF(AND(L896&lt;&gt;"",'Historical Score'!$C$5&lt;&gt;""),IF(L896='Historical Score'!$C$5,1,0),0)</f>
        <v/>
      </c>
      <c r="AS896" s="3">
        <f>IF(AND(Y896&lt;&gt;"",'Historical Score'!$C$7&lt;&gt;""),IF(Y896='Historical Score'!$C$7,1,0),0)</f>
        <v/>
      </c>
      <c r="AT896" s="3">
        <f>IF(AND(K896&lt;&gt;"",'Historical Score'!$C$8&lt;&gt;""),IF(K896='Historical Score'!$C$8,1,0),0)</f>
        <v/>
      </c>
      <c r="AU896" s="3" t="n"/>
      <c r="AV896" s="3" t="n"/>
      <c r="AW896" s="3" t="n"/>
      <c r="AX896" s="3" t="n"/>
      <c r="AY896" s="3" t="n"/>
      <c r="AZ896" s="3" t="n"/>
      <c r="BA896" s="182">
        <f>IF(AD896=1,(AR896*'Historical Score'!$K$29+1-'Historical Score'!$K$29)*(AT896*'Historical Score'!$L$29+1-'Historical Score'!$L$29)*(AS896*'Historical Score'!$M$29+1-'Historical Score'!$M$29)*(AQ896*'Historical Score'!$N$29+1-'Historical Score'!$N$29),0)</f>
        <v/>
      </c>
      <c r="BB896" s="3" t="n"/>
      <c r="BC896" s="3" t="n"/>
    </row>
    <row r="897" ht="15.75" customHeight="1" s="174">
      <c r="A897" s="3" t="inlineStr">
        <is>
          <t>5674184158</t>
        </is>
      </c>
      <c r="B897" s="3" t="inlineStr">
        <is>
          <t>The Market by Jennifer's LLC</t>
        </is>
      </c>
      <c r="C897" s="3" t="inlineStr">
        <is>
          <t>The Market by Jennifer's LLC</t>
        </is>
      </c>
      <c r="D897" s="3" t="inlineStr">
        <is>
          <t>Open</t>
        </is>
      </c>
      <c r="E897" s="23" t="n">
        <v>46164</v>
      </c>
      <c r="F897" s="23" t="n">
        <v>46248</v>
      </c>
      <c r="G897" s="3" t="n">
        <v>3</v>
      </c>
      <c r="H897" s="3" t="inlineStr">
        <is>
          <t>5812</t>
        </is>
      </c>
      <c r="I897" s="3" t="inlineStr">
        <is>
          <t>58</t>
        </is>
      </c>
      <c r="J897" s="3" t="inlineStr">
        <is>
          <t>AZ</t>
        </is>
      </c>
      <c r="K897" s="3" t="inlineStr">
        <is>
          <t>The Funding Family</t>
        </is>
      </c>
      <c r="L897" s="3" t="inlineStr">
        <is>
          <t>New Deal</t>
        </is>
      </c>
      <c r="M897" s="3" t="n">
        <v>1.47</v>
      </c>
      <c r="N897" s="28" t="n">
        <v>30000</v>
      </c>
      <c r="O897" s="28" t="n">
        <v>3900</v>
      </c>
      <c r="P897" s="28" t="n">
        <v>44100</v>
      </c>
      <c r="Q897" s="28" t="n">
        <v>16400.58</v>
      </c>
      <c r="R897" s="28" t="n">
        <v>27699.42</v>
      </c>
      <c r="S897" s="42" t="n">
        <v>0.371895238095238</v>
      </c>
      <c r="T897" s="3" t="n">
        <v>20</v>
      </c>
      <c r="U897" s="3" t="n">
        <v>2</v>
      </c>
      <c r="V897" s="3" t="n">
        <v>85000</v>
      </c>
      <c r="W897" s="42" t="n">
        <v>0.0818</v>
      </c>
      <c r="X897" s="23" t="n">
        <v>35753</v>
      </c>
      <c r="Y897" s="3">
        <f>IF(I897="","No SIC",IFERROR(VLOOKUP(I897,Ref!$A$2:$B$65,2,FALSE()),"Unclassified"))</f>
        <v/>
      </c>
      <c r="Z897" s="3">
        <f>IF(T897="","",IF(T897&lt;12,"Daily","Weekly"))</f>
        <v/>
      </c>
      <c r="AA897" s="3">
        <f>IF(T897="",0,IF(T897&lt;12,T897*Controls!$B$13,T897*5))</f>
        <v/>
      </c>
      <c r="AB897" s="3">
        <f>IF(E897="",0,NETWORKDAYS(E897,Controls!$B$20,Ref!$K$2:$K$42))</f>
        <v/>
      </c>
      <c r="AC897" s="3">
        <f>IF(OR(AF897=1,AND(AA897&gt;0,AB897&gt;=Controls!$B$23*AA897)),1,0)</f>
        <v/>
      </c>
      <c r="AD897" s="3">
        <f>IF(AND(E897&lt;&gt;"",E897&gt;=Controls!$B$21,E897&lt;=Controls!$B$22),1,0)</f>
        <v/>
      </c>
      <c r="AE897" s="3">
        <f>IF(IFERROR(VLOOKUP(D897,Controls!$A$36:$E$46,2,FALSE()),"No")="Yes",1,0)</f>
        <v/>
      </c>
      <c r="AF897" s="3">
        <f>IF(IFERROR(VLOOKUP(D897,Controls!$A$36:$E$46,3,FALSE()),"No")="Yes",1,0)</f>
        <v/>
      </c>
      <c r="AG897" s="3">
        <f>IF(IFERROR(VLOOKUP(D897,Controls!$A$36:$E$46,4,FALSE()),"No")="Yes",1,0)</f>
        <v/>
      </c>
      <c r="AH897" s="3">
        <f>IF(IFERROR(VLOOKUP(D897,Controls!$A$36:$E$46,5,FALSE()),"No")="Yes",1,0)</f>
        <v/>
      </c>
      <c r="AI897" s="3">
        <f>IF(ISNUMBER(MATCH(D897,Controls!$A$36:$A$46,0)),1,0)</f>
        <v/>
      </c>
      <c r="AJ897" s="28">
        <f>Q897-N897</f>
        <v/>
      </c>
      <c r="AK897" s="3">
        <f>IF(AE897=1,MAX(0,N897-Q897),0)</f>
        <v/>
      </c>
      <c r="AL897" s="3">
        <f>IF(OR(V897="",V897=0),0,N897/V897)</f>
        <v/>
      </c>
      <c r="AM897" s="3">
        <f>IF(OR(V897="",V897=0),0,1)</f>
        <v/>
      </c>
      <c r="AN897" s="3">
        <f>IF(OR(E897="",F897=""),0,NETWORKDAYS(E897,F897,Ref!$K$2:$K$42))</f>
        <v/>
      </c>
      <c r="AO897" s="3">
        <f>IF(L897="Renewal",1,0)</f>
        <v/>
      </c>
      <c r="AP897" s="3">
        <f>AC897*AD897</f>
        <v/>
      </c>
      <c r="AQ897" s="3">
        <f>IF(AND(G897&lt;&gt;"",'Historical Score'!$C$6&lt;&gt;""),IF(G897='Historical Score'!$C$6,1,0),0)</f>
        <v/>
      </c>
      <c r="AR897" s="3">
        <f>IF(AND(L897&lt;&gt;"",'Historical Score'!$C$5&lt;&gt;""),IF(L897='Historical Score'!$C$5,1,0),0)</f>
        <v/>
      </c>
      <c r="AS897" s="3">
        <f>IF(AND(Y897&lt;&gt;"",'Historical Score'!$C$7&lt;&gt;""),IF(Y897='Historical Score'!$C$7,1,0),0)</f>
        <v/>
      </c>
      <c r="AT897" s="3">
        <f>IF(AND(K897&lt;&gt;"",'Historical Score'!$C$8&lt;&gt;""),IF(K897='Historical Score'!$C$8,1,0),0)</f>
        <v/>
      </c>
      <c r="AU897" s="3" t="n"/>
      <c r="AV897" s="3" t="n"/>
      <c r="AW897" s="3" t="n"/>
      <c r="AX897" s="3" t="n"/>
      <c r="AY897" s="3" t="n"/>
      <c r="AZ897" s="3" t="n"/>
      <c r="BA897" s="182">
        <f>IF(AD897=1,(AR897*'Historical Score'!$K$29+1-'Historical Score'!$K$29)*(AT897*'Historical Score'!$L$29+1-'Historical Score'!$L$29)*(AS897*'Historical Score'!$M$29+1-'Historical Score'!$M$29)*(AQ897*'Historical Score'!$N$29+1-'Historical Score'!$N$29),0)</f>
        <v/>
      </c>
      <c r="BB897" s="3" t="n"/>
      <c r="BC897" s="3" t="n"/>
    </row>
    <row r="898" ht="15.75" customHeight="1" s="174">
      <c r="A898" s="3" t="inlineStr">
        <is>
          <t>5674184186</t>
        </is>
      </c>
      <c r="B898" s="3" t="inlineStr">
        <is>
          <t>h-h transport</t>
        </is>
      </c>
      <c r="C898" s="3" t="inlineStr">
        <is>
          <t>H-H transport</t>
        </is>
      </c>
      <c r="D898" s="3" t="inlineStr">
        <is>
          <t>Closed</t>
        </is>
      </c>
      <c r="E898" s="23" t="n">
        <v>46168</v>
      </c>
      <c r="F898" s="23" t="n">
        <v>46246</v>
      </c>
      <c r="G898" s="3" t="n">
        <v>3</v>
      </c>
      <c r="H898" s="3" t="inlineStr">
        <is>
          <t>4212</t>
        </is>
      </c>
      <c r="I898" s="3" t="inlineStr">
        <is>
          <t>42</t>
        </is>
      </c>
      <c r="J898" s="3" t="inlineStr">
        <is>
          <t>AZ</t>
        </is>
      </c>
      <c r="K898" s="3" t="inlineStr">
        <is>
          <t>Westwood</t>
        </is>
      </c>
      <c r="L898" s="3" t="inlineStr">
        <is>
          <t>Renewal</t>
        </is>
      </c>
      <c r="M898" s="3" t="n">
        <v>1.49</v>
      </c>
      <c r="N898" s="28" t="n">
        <v>35000</v>
      </c>
      <c r="O898" s="28" t="n">
        <v>4900</v>
      </c>
      <c r="P898" s="28" t="n">
        <v>52150</v>
      </c>
      <c r="Q898" s="28" t="n">
        <v>52150</v>
      </c>
      <c r="R898" s="28" t="n">
        <v>0</v>
      </c>
      <c r="S898" s="42" t="n">
        <v>1</v>
      </c>
      <c r="T898" s="3" t="n">
        <v>2.459</v>
      </c>
      <c r="U898" s="3" t="n">
        <v>0</v>
      </c>
      <c r="V898" s="3" t="n">
        <v>205385.89</v>
      </c>
      <c r="W898" s="42" t="n">
        <v>0.1659</v>
      </c>
      <c r="X898" s="23" t="n">
        <v>44621</v>
      </c>
      <c r="Y898" s="3">
        <f>IF(I898="","No SIC",IFERROR(VLOOKUP(I898,Ref!$A$2:$B$65,2,FALSE()),"Unclassified"))</f>
        <v/>
      </c>
      <c r="Z898" s="3">
        <f>IF(T898="","",IF(T898&lt;12,"Daily","Weekly"))</f>
        <v/>
      </c>
      <c r="AA898" s="3">
        <f>IF(T898="",0,IF(T898&lt;12,T898*Controls!$B$13,T898*5))</f>
        <v/>
      </c>
      <c r="AB898" s="3">
        <f>IF(E898="",0,NETWORKDAYS(E898,Controls!$B$20,Ref!$K$2:$K$42))</f>
        <v/>
      </c>
      <c r="AC898" s="3">
        <f>IF(OR(AF898=1,AND(AA898&gt;0,AB898&gt;=Controls!$B$23*AA898)),1,0)</f>
        <v/>
      </c>
      <c r="AD898" s="3">
        <f>IF(AND(E898&lt;&gt;"",E898&gt;=Controls!$B$21,E898&lt;=Controls!$B$22),1,0)</f>
        <v/>
      </c>
      <c r="AE898" s="3">
        <f>IF(IFERROR(VLOOKUP(D898,Controls!$A$36:$E$46,2,FALSE()),"No")="Yes",1,0)</f>
        <v/>
      </c>
      <c r="AF898" s="3">
        <f>IF(IFERROR(VLOOKUP(D898,Controls!$A$36:$E$46,3,FALSE()),"No")="Yes",1,0)</f>
        <v/>
      </c>
      <c r="AG898" s="3">
        <f>IF(IFERROR(VLOOKUP(D898,Controls!$A$36:$E$46,4,FALSE()),"No")="Yes",1,0)</f>
        <v/>
      </c>
      <c r="AH898" s="3">
        <f>IF(IFERROR(VLOOKUP(D898,Controls!$A$36:$E$46,5,FALSE()),"No")="Yes",1,0)</f>
        <v/>
      </c>
      <c r="AI898" s="3">
        <f>IF(ISNUMBER(MATCH(D898,Controls!$A$36:$A$46,0)),1,0)</f>
        <v/>
      </c>
      <c r="AJ898" s="28">
        <f>Q898-N898</f>
        <v/>
      </c>
      <c r="AK898" s="3">
        <f>IF(AE898=1,MAX(0,N898-Q898),0)</f>
        <v/>
      </c>
      <c r="AL898" s="3">
        <f>IF(OR(V898="",V898=0),0,N898/V898)</f>
        <v/>
      </c>
      <c r="AM898" s="3">
        <f>IF(OR(V898="",V898=0),0,1)</f>
        <v/>
      </c>
      <c r="AN898" s="3">
        <f>IF(OR(E898="",F898=""),0,NETWORKDAYS(E898,F898,Ref!$K$2:$K$42))</f>
        <v/>
      </c>
      <c r="AO898" s="3">
        <f>IF(L898="Renewal",1,0)</f>
        <v/>
      </c>
      <c r="AP898" s="3">
        <f>AC898*AD898</f>
        <v/>
      </c>
      <c r="AQ898" s="3">
        <f>IF(AND(G898&lt;&gt;"",'Historical Score'!$C$6&lt;&gt;""),IF(G898='Historical Score'!$C$6,1,0),0)</f>
        <v/>
      </c>
      <c r="AR898" s="3">
        <f>IF(AND(L898&lt;&gt;"",'Historical Score'!$C$5&lt;&gt;""),IF(L898='Historical Score'!$C$5,1,0),0)</f>
        <v/>
      </c>
      <c r="AS898" s="3">
        <f>IF(AND(Y898&lt;&gt;"",'Historical Score'!$C$7&lt;&gt;""),IF(Y898='Historical Score'!$C$7,1,0),0)</f>
        <v/>
      </c>
      <c r="AT898" s="3">
        <f>IF(AND(K898&lt;&gt;"",'Historical Score'!$C$8&lt;&gt;""),IF(K898='Historical Score'!$C$8,1,0),0)</f>
        <v/>
      </c>
      <c r="AU898" s="3" t="n"/>
      <c r="AV898" s="3" t="n"/>
      <c r="AW898" s="3" t="n"/>
      <c r="AX898" s="3" t="n"/>
      <c r="AY898" s="3" t="n"/>
      <c r="AZ898" s="3" t="n"/>
      <c r="BA898" s="182">
        <f>IF(AD898=1,(AR898*'Historical Score'!$K$29+1-'Historical Score'!$K$29)*(AT898*'Historical Score'!$L$29+1-'Historical Score'!$L$29)*(AS898*'Historical Score'!$M$29+1-'Historical Score'!$M$29)*(AQ898*'Historical Score'!$N$29+1-'Historical Score'!$N$29),0)</f>
        <v/>
      </c>
      <c r="BB898" s="3" t="n"/>
      <c r="BC898" s="3" t="n"/>
    </row>
    <row r="899" ht="15.75" customHeight="1" s="174">
      <c r="A899" s="3" t="inlineStr">
        <is>
          <t>5674184207</t>
        </is>
      </c>
      <c r="B899" s="3" t="inlineStr">
        <is>
          <t>METAL AND MATH LLC</t>
        </is>
      </c>
      <c r="C899" s="3" t="inlineStr">
        <is>
          <t>METAL AND MATH LLC</t>
        </is>
      </c>
      <c r="D899" s="3" t="inlineStr">
        <is>
          <t>Legal</t>
        </is>
      </c>
      <c r="E899" s="23" t="n">
        <v>46168</v>
      </c>
      <c r="F899" s="23" t="n">
        <v>46220</v>
      </c>
      <c r="G899" s="3" t="n">
        <v>5</v>
      </c>
      <c r="H899" s="3" t="inlineStr">
        <is>
          <t>1761</t>
        </is>
      </c>
      <c r="I899" s="3" t="inlineStr">
        <is>
          <t>17</t>
        </is>
      </c>
      <c r="J899" s="3" t="inlineStr">
        <is>
          <t>KY</t>
        </is>
      </c>
      <c r="K899" s="3" t="inlineStr">
        <is>
          <t>United Secured Capital 8</t>
        </is>
      </c>
      <c r="L899" s="3" t="inlineStr">
        <is>
          <t>Renewal</t>
        </is>
      </c>
      <c r="M899" s="3" t="n">
        <v>1.49</v>
      </c>
      <c r="N899" s="28" t="n">
        <v>25000</v>
      </c>
      <c r="O899" s="28" t="n">
        <v>3500</v>
      </c>
      <c r="P899" s="28" t="n">
        <v>37250</v>
      </c>
      <c r="Q899" s="28" t="n">
        <v>1330.88</v>
      </c>
      <c r="R899" s="28" t="n">
        <v>35919.12</v>
      </c>
      <c r="S899" s="42" t="n">
        <v>0.035728322147651</v>
      </c>
      <c r="T899" s="3" t="n">
        <v>28</v>
      </c>
      <c r="U899" s="3" t="n">
        <v>7</v>
      </c>
      <c r="V899" s="3" t="n">
        <v>65000</v>
      </c>
      <c r="W899" s="42" t="n">
        <v>0.1183</v>
      </c>
      <c r="X899" s="23" t="n"/>
      <c r="Y899" s="3">
        <f>IF(I899="","No SIC",IFERROR(VLOOKUP(I899,Ref!$A$2:$B$65,2,FALSE()),"Unclassified"))</f>
        <v/>
      </c>
      <c r="Z899" s="3">
        <f>IF(T899="","",IF(T899&lt;12,"Daily","Weekly"))</f>
        <v/>
      </c>
      <c r="AA899" s="3">
        <f>IF(T899="",0,IF(T899&lt;12,T899*Controls!$B$13,T899*5))</f>
        <v/>
      </c>
      <c r="AB899" s="3">
        <f>IF(E899="",0,NETWORKDAYS(E899,Controls!$B$20,Ref!$K$2:$K$42))</f>
        <v/>
      </c>
      <c r="AC899" s="3">
        <f>IF(OR(AF899=1,AND(AA899&gt;0,AB899&gt;=Controls!$B$23*AA899)),1,0)</f>
        <v/>
      </c>
      <c r="AD899" s="3">
        <f>IF(AND(E899&lt;&gt;"",E899&gt;=Controls!$B$21,E899&lt;=Controls!$B$22),1,0)</f>
        <v/>
      </c>
      <c r="AE899" s="3">
        <f>IF(IFERROR(VLOOKUP(D899,Controls!$A$36:$E$46,2,FALSE()),"No")="Yes",1,0)</f>
        <v/>
      </c>
      <c r="AF899" s="3">
        <f>IF(IFERROR(VLOOKUP(D899,Controls!$A$36:$E$46,3,FALSE()),"No")="Yes",1,0)</f>
        <v/>
      </c>
      <c r="AG899" s="3">
        <f>IF(IFERROR(VLOOKUP(D899,Controls!$A$36:$E$46,4,FALSE()),"No")="Yes",1,0)</f>
        <v/>
      </c>
      <c r="AH899" s="3">
        <f>IF(IFERROR(VLOOKUP(D899,Controls!$A$36:$E$46,5,FALSE()),"No")="Yes",1,0)</f>
        <v/>
      </c>
      <c r="AI899" s="3">
        <f>IF(ISNUMBER(MATCH(D899,Controls!$A$36:$A$46,0)),1,0)</f>
        <v/>
      </c>
      <c r="AJ899" s="28">
        <f>Q899-N899</f>
        <v/>
      </c>
      <c r="AK899" s="3">
        <f>IF(AE899=1,MAX(0,N899-Q899),0)</f>
        <v/>
      </c>
      <c r="AL899" s="3">
        <f>IF(OR(V899="",V899=0),0,N899/V899)</f>
        <v/>
      </c>
      <c r="AM899" s="3">
        <f>IF(OR(V899="",V899=0),0,1)</f>
        <v/>
      </c>
      <c r="AN899" s="3">
        <f>IF(OR(E899="",F899=""),0,NETWORKDAYS(E899,F899,Ref!$K$2:$K$42))</f>
        <v/>
      </c>
      <c r="AO899" s="3">
        <f>IF(L899="Renewal",1,0)</f>
        <v/>
      </c>
      <c r="AP899" s="3">
        <f>AC899*AD899</f>
        <v/>
      </c>
      <c r="AQ899" s="3">
        <f>IF(AND(G899&lt;&gt;"",'Historical Score'!$C$6&lt;&gt;""),IF(G899='Historical Score'!$C$6,1,0),0)</f>
        <v/>
      </c>
      <c r="AR899" s="3">
        <f>IF(AND(L899&lt;&gt;"",'Historical Score'!$C$5&lt;&gt;""),IF(L899='Historical Score'!$C$5,1,0),0)</f>
        <v/>
      </c>
      <c r="AS899" s="3">
        <f>IF(AND(Y899&lt;&gt;"",'Historical Score'!$C$7&lt;&gt;""),IF(Y899='Historical Score'!$C$7,1,0),0)</f>
        <v/>
      </c>
      <c r="AT899" s="3">
        <f>IF(AND(K899&lt;&gt;"",'Historical Score'!$C$8&lt;&gt;""),IF(K899='Historical Score'!$C$8,1,0),0)</f>
        <v/>
      </c>
      <c r="AU899" s="3" t="n"/>
      <c r="AV899" s="3" t="n"/>
      <c r="AW899" s="3" t="n"/>
      <c r="AX899" s="3" t="n"/>
      <c r="AY899" s="3" t="n"/>
      <c r="AZ899" s="3" t="n"/>
      <c r="BA899" s="182">
        <f>IF(AD899=1,(AR899*'Historical Score'!$K$29+1-'Historical Score'!$K$29)*(AT899*'Historical Score'!$L$29+1-'Historical Score'!$L$29)*(AS899*'Historical Score'!$M$29+1-'Historical Score'!$M$29)*(AQ899*'Historical Score'!$N$29+1-'Historical Score'!$N$29),0)</f>
        <v/>
      </c>
      <c r="BB899" s="3" t="n"/>
      <c r="BC899" s="3" t="n"/>
    </row>
    <row r="900" ht="15.75" customHeight="1" s="174">
      <c r="A900" s="3" t="inlineStr">
        <is>
          <t>5674184225</t>
        </is>
      </c>
      <c r="B900" s="3" t="inlineStr">
        <is>
          <t>JJ MUTTS W&amp;S</t>
        </is>
      </c>
      <c r="C900" s="3" t="inlineStr">
        <is>
          <t>JJ MUTTS W&amp;S</t>
        </is>
      </c>
      <c r="D900" s="3" t="inlineStr">
        <is>
          <t>Open</t>
        </is>
      </c>
      <c r="E900" s="23" t="n">
        <v>46168</v>
      </c>
      <c r="F900" s="23" t="n">
        <v>46253</v>
      </c>
      <c r="G900" s="3" t="n">
        <v>3</v>
      </c>
      <c r="H900" s="3" t="inlineStr">
        <is>
          <t>5999</t>
        </is>
      </c>
      <c r="I900" s="3" t="inlineStr">
        <is>
          <t>59</t>
        </is>
      </c>
      <c r="J900" s="3" t="inlineStr">
        <is>
          <t>DC</t>
        </is>
      </c>
      <c r="K900" s="3" t="inlineStr">
        <is>
          <t>Mills  funding group</t>
        </is>
      </c>
      <c r="L900" s="3" t="inlineStr">
        <is>
          <t>Renewal</t>
        </is>
      </c>
      <c r="M900" s="3" t="n">
        <v>1.37</v>
      </c>
      <c r="N900" s="28" t="n">
        <v>25500</v>
      </c>
      <c r="O900" s="28" t="n">
        <v>2040</v>
      </c>
      <c r="P900" s="28" t="n">
        <v>34935</v>
      </c>
      <c r="Q900" s="28" t="n">
        <v>16605.81</v>
      </c>
      <c r="R900" s="28" t="n">
        <v>18329.19</v>
      </c>
      <c r="S900" s="42" t="n">
        <v>0.475334478316874</v>
      </c>
      <c r="T900" s="3" t="n">
        <v>3.934</v>
      </c>
      <c r="U900" s="3" t="n">
        <v>1</v>
      </c>
      <c r="V900" s="3" t="n">
        <v>152565.23</v>
      </c>
      <c r="W900" s="42" t="n">
        <v>0.0401</v>
      </c>
      <c r="X900" s="23" t="n">
        <v>45108</v>
      </c>
      <c r="Y900" s="3">
        <f>IF(I900="","No SIC",IFERROR(VLOOKUP(I900,Ref!$A$2:$B$65,2,FALSE()),"Unclassified"))</f>
        <v/>
      </c>
      <c r="Z900" s="3">
        <f>IF(T900="","",IF(T900&lt;12,"Daily","Weekly"))</f>
        <v/>
      </c>
      <c r="AA900" s="3">
        <f>IF(T900="",0,IF(T900&lt;12,T900*Controls!$B$13,T900*5))</f>
        <v/>
      </c>
      <c r="AB900" s="3">
        <f>IF(E900="",0,NETWORKDAYS(E900,Controls!$B$20,Ref!$K$2:$K$42))</f>
        <v/>
      </c>
      <c r="AC900" s="3">
        <f>IF(OR(AF900=1,AND(AA900&gt;0,AB900&gt;=Controls!$B$23*AA900)),1,0)</f>
        <v/>
      </c>
      <c r="AD900" s="3">
        <f>IF(AND(E900&lt;&gt;"",E900&gt;=Controls!$B$21,E900&lt;=Controls!$B$22),1,0)</f>
        <v/>
      </c>
      <c r="AE900" s="3">
        <f>IF(IFERROR(VLOOKUP(D900,Controls!$A$36:$E$46,2,FALSE()),"No")="Yes",1,0)</f>
        <v/>
      </c>
      <c r="AF900" s="3">
        <f>IF(IFERROR(VLOOKUP(D900,Controls!$A$36:$E$46,3,FALSE()),"No")="Yes",1,0)</f>
        <v/>
      </c>
      <c r="AG900" s="3">
        <f>IF(IFERROR(VLOOKUP(D900,Controls!$A$36:$E$46,4,FALSE()),"No")="Yes",1,0)</f>
        <v/>
      </c>
      <c r="AH900" s="3">
        <f>IF(IFERROR(VLOOKUP(D900,Controls!$A$36:$E$46,5,FALSE()),"No")="Yes",1,0)</f>
        <v/>
      </c>
      <c r="AI900" s="3">
        <f>IF(ISNUMBER(MATCH(D900,Controls!$A$36:$A$46,0)),1,0)</f>
        <v/>
      </c>
      <c r="AJ900" s="28">
        <f>Q900-N900</f>
        <v/>
      </c>
      <c r="AK900" s="3">
        <f>IF(AE900=1,MAX(0,N900-Q900),0)</f>
        <v/>
      </c>
      <c r="AL900" s="3">
        <f>IF(OR(V900="",V900=0),0,N900/V900)</f>
        <v/>
      </c>
      <c r="AM900" s="3">
        <f>IF(OR(V900="",V900=0),0,1)</f>
        <v/>
      </c>
      <c r="AN900" s="3">
        <f>IF(OR(E900="",F900=""),0,NETWORKDAYS(E900,F900,Ref!$K$2:$K$42))</f>
        <v/>
      </c>
      <c r="AO900" s="3">
        <f>IF(L900="Renewal",1,0)</f>
        <v/>
      </c>
      <c r="AP900" s="3">
        <f>AC900*AD900</f>
        <v/>
      </c>
      <c r="AQ900" s="3">
        <f>IF(AND(G900&lt;&gt;"",'Historical Score'!$C$6&lt;&gt;""),IF(G900='Historical Score'!$C$6,1,0),0)</f>
        <v/>
      </c>
      <c r="AR900" s="3">
        <f>IF(AND(L900&lt;&gt;"",'Historical Score'!$C$5&lt;&gt;""),IF(L900='Historical Score'!$C$5,1,0),0)</f>
        <v/>
      </c>
      <c r="AS900" s="3">
        <f>IF(AND(Y900&lt;&gt;"",'Historical Score'!$C$7&lt;&gt;""),IF(Y900='Historical Score'!$C$7,1,0),0)</f>
        <v/>
      </c>
      <c r="AT900" s="3">
        <f>IF(AND(K900&lt;&gt;"",'Historical Score'!$C$8&lt;&gt;""),IF(K900='Historical Score'!$C$8,1,0),0)</f>
        <v/>
      </c>
      <c r="AU900" s="3" t="n"/>
      <c r="AV900" s="3" t="n"/>
      <c r="AW900" s="3" t="n"/>
      <c r="AX900" s="3" t="n"/>
      <c r="AY900" s="3" t="n"/>
      <c r="AZ900" s="3" t="n"/>
      <c r="BA900" s="182">
        <f>IF(AD900=1,(AR900*'Historical Score'!$K$29+1-'Historical Score'!$K$29)*(AT900*'Historical Score'!$L$29+1-'Historical Score'!$L$29)*(AS900*'Historical Score'!$M$29+1-'Historical Score'!$M$29)*(AQ900*'Historical Score'!$N$29+1-'Historical Score'!$N$29),0)</f>
        <v/>
      </c>
      <c r="BB900" s="3" t="n"/>
      <c r="BC900" s="3" t="n"/>
    </row>
    <row r="901" ht="15.75" customHeight="1" s="174">
      <c r="A901" s="3" t="inlineStr">
        <is>
          <t>5674184228</t>
        </is>
      </c>
      <c r="B901" s="3" t="inlineStr">
        <is>
          <t>Medina And Associates PC</t>
        </is>
      </c>
      <c r="C901" s="3" t="inlineStr">
        <is>
          <t>Medina And Associates PC</t>
        </is>
      </c>
      <c r="D901" s="3" t="inlineStr">
        <is>
          <t>Open</t>
        </is>
      </c>
      <c r="E901" s="23" t="n">
        <v>46168</v>
      </c>
      <c r="F901" s="23" t="n">
        <v>46252</v>
      </c>
      <c r="G901" s="3" t="n">
        <v>3</v>
      </c>
      <c r="H901" s="3" t="inlineStr">
        <is>
          <t>8111</t>
        </is>
      </c>
      <c r="I901" s="3" t="inlineStr">
        <is>
          <t>81</t>
        </is>
      </c>
      <c r="J901" s="3" t="inlineStr">
        <is>
          <t>MD</t>
        </is>
      </c>
      <c r="K901" s="3" t="inlineStr">
        <is>
          <t>Premium Capital (AMRK)</t>
        </is>
      </c>
      <c r="L901" s="3" t="inlineStr">
        <is>
          <t>Renewal</t>
        </is>
      </c>
      <c r="M901" s="3" t="n">
        <v>1.49</v>
      </c>
      <c r="N901" s="28" t="n">
        <v>65000</v>
      </c>
      <c r="O901" s="28" t="n">
        <v>9100</v>
      </c>
      <c r="P901" s="28" t="n">
        <v>96850</v>
      </c>
      <c r="Q901" s="28" t="n">
        <v>30258</v>
      </c>
      <c r="R901" s="28" t="n">
        <v>66592</v>
      </c>
      <c r="S901" s="42" t="n">
        <v>0.312421270005163</v>
      </c>
      <c r="T901" s="3" t="n">
        <v>32</v>
      </c>
      <c r="U901" s="3" t="n">
        <v>2</v>
      </c>
      <c r="V901" s="3" t="n">
        <v>122458.04</v>
      </c>
      <c r="W901" s="42" t="n">
        <v>0.1041</v>
      </c>
      <c r="X901" s="23" t="n">
        <v>43144</v>
      </c>
      <c r="Y901" s="3">
        <f>IF(I901="","No SIC",IFERROR(VLOOKUP(I901,Ref!$A$2:$B$65,2,FALSE()),"Unclassified"))</f>
        <v/>
      </c>
      <c r="Z901" s="3">
        <f>IF(T901="","",IF(T901&lt;12,"Daily","Weekly"))</f>
        <v/>
      </c>
      <c r="AA901" s="3">
        <f>IF(T901="",0,IF(T901&lt;12,T901*Controls!$B$13,T901*5))</f>
        <v/>
      </c>
      <c r="AB901" s="3">
        <f>IF(E901="",0,NETWORKDAYS(E901,Controls!$B$20,Ref!$K$2:$K$42))</f>
        <v/>
      </c>
      <c r="AC901" s="3">
        <f>IF(OR(AF901=1,AND(AA901&gt;0,AB901&gt;=Controls!$B$23*AA901)),1,0)</f>
        <v/>
      </c>
      <c r="AD901" s="3">
        <f>IF(AND(E901&lt;&gt;"",E901&gt;=Controls!$B$21,E901&lt;=Controls!$B$22),1,0)</f>
        <v/>
      </c>
      <c r="AE901" s="3">
        <f>IF(IFERROR(VLOOKUP(D901,Controls!$A$36:$E$46,2,FALSE()),"No")="Yes",1,0)</f>
        <v/>
      </c>
      <c r="AF901" s="3">
        <f>IF(IFERROR(VLOOKUP(D901,Controls!$A$36:$E$46,3,FALSE()),"No")="Yes",1,0)</f>
        <v/>
      </c>
      <c r="AG901" s="3">
        <f>IF(IFERROR(VLOOKUP(D901,Controls!$A$36:$E$46,4,FALSE()),"No")="Yes",1,0)</f>
        <v/>
      </c>
      <c r="AH901" s="3">
        <f>IF(IFERROR(VLOOKUP(D901,Controls!$A$36:$E$46,5,FALSE()),"No")="Yes",1,0)</f>
        <v/>
      </c>
      <c r="AI901" s="3">
        <f>IF(ISNUMBER(MATCH(D901,Controls!$A$36:$A$46,0)),1,0)</f>
        <v/>
      </c>
      <c r="AJ901" s="28">
        <f>Q901-N901</f>
        <v/>
      </c>
      <c r="AK901" s="3">
        <f>IF(AE901=1,MAX(0,N901-Q901),0)</f>
        <v/>
      </c>
      <c r="AL901" s="3">
        <f>IF(OR(V901="",V901=0),0,N901/V901)</f>
        <v/>
      </c>
      <c r="AM901" s="3">
        <f>IF(OR(V901="",V901=0),0,1)</f>
        <v/>
      </c>
      <c r="AN901" s="3">
        <f>IF(OR(E901="",F901=""),0,NETWORKDAYS(E901,F901,Ref!$K$2:$K$42))</f>
        <v/>
      </c>
      <c r="AO901" s="3">
        <f>IF(L901="Renewal",1,0)</f>
        <v/>
      </c>
      <c r="AP901" s="3">
        <f>AC901*AD901</f>
        <v/>
      </c>
      <c r="AQ901" s="3">
        <f>IF(AND(G901&lt;&gt;"",'Historical Score'!$C$6&lt;&gt;""),IF(G901='Historical Score'!$C$6,1,0),0)</f>
        <v/>
      </c>
      <c r="AR901" s="3">
        <f>IF(AND(L901&lt;&gt;"",'Historical Score'!$C$5&lt;&gt;""),IF(L901='Historical Score'!$C$5,1,0),0)</f>
        <v/>
      </c>
      <c r="AS901" s="3">
        <f>IF(AND(Y901&lt;&gt;"",'Historical Score'!$C$7&lt;&gt;""),IF(Y901='Historical Score'!$C$7,1,0),0)</f>
        <v/>
      </c>
      <c r="AT901" s="3">
        <f>IF(AND(K901&lt;&gt;"",'Historical Score'!$C$8&lt;&gt;""),IF(K901='Historical Score'!$C$8,1,0),0)</f>
        <v/>
      </c>
      <c r="AU901" s="3" t="n"/>
      <c r="AV901" s="3" t="n"/>
      <c r="AW901" s="3" t="n"/>
      <c r="AX901" s="3" t="n"/>
      <c r="AY901" s="3" t="n"/>
      <c r="AZ901" s="3" t="n"/>
      <c r="BA901" s="182">
        <f>IF(AD901=1,(AR901*'Historical Score'!$K$29+1-'Historical Score'!$K$29)*(AT901*'Historical Score'!$L$29+1-'Historical Score'!$L$29)*(AS901*'Historical Score'!$M$29+1-'Historical Score'!$M$29)*(AQ901*'Historical Score'!$N$29+1-'Historical Score'!$N$29),0)</f>
        <v/>
      </c>
      <c r="BB901" s="3" t="n"/>
      <c r="BC901" s="3" t="n"/>
    </row>
    <row r="902" ht="15.75" customHeight="1" s="174">
      <c r="A902" s="3" t="inlineStr">
        <is>
          <t>5674184235</t>
        </is>
      </c>
      <c r="B902" s="3" t="inlineStr">
        <is>
          <t>Mully's Pub &amp; Patio</t>
        </is>
      </c>
      <c r="C902" s="3" t="inlineStr">
        <is>
          <t>Mulherin Hospitality LLC</t>
        </is>
      </c>
      <c r="D902" s="3" t="inlineStr">
        <is>
          <t>Open</t>
        </is>
      </c>
      <c r="E902" s="23" t="n">
        <v>46168</v>
      </c>
      <c r="F902" s="23" t="n">
        <v>46253</v>
      </c>
      <c r="G902" s="3" t="n">
        <v>4</v>
      </c>
      <c r="H902" s="3" t="inlineStr">
        <is>
          <t>5812</t>
        </is>
      </c>
      <c r="I902" s="3" t="inlineStr">
        <is>
          <t>58</t>
        </is>
      </c>
      <c r="J902" s="3" t="inlineStr">
        <is>
          <t>MO</t>
        </is>
      </c>
      <c r="K902" s="3" t="inlineStr">
        <is>
          <t>United Secured Capital 8</t>
        </is>
      </c>
      <c r="L902" s="3" t="inlineStr">
        <is>
          <t>Renewal</t>
        </is>
      </c>
      <c r="M902" s="3" t="n">
        <v>1.49</v>
      </c>
      <c r="N902" s="28" t="n">
        <v>25000</v>
      </c>
      <c r="O902" s="28" t="n">
        <v>3500</v>
      </c>
      <c r="P902" s="28" t="n">
        <v>37250</v>
      </c>
      <c r="Q902" s="28" t="n">
        <v>9466.559999999999</v>
      </c>
      <c r="R902" s="28" t="n">
        <v>27783.44</v>
      </c>
      <c r="S902" s="42" t="n">
        <v>0.254135838926175</v>
      </c>
      <c r="T902" s="3" t="n">
        <v>3.934</v>
      </c>
      <c r="U902" s="3" t="n">
        <v>19</v>
      </c>
      <c r="V902" s="3" t="n">
        <v>51525</v>
      </c>
      <c r="W902" s="42" t="n">
        <v>0.1265</v>
      </c>
      <c r="X902" s="23" t="n">
        <v>45597</v>
      </c>
      <c r="Y902" s="3">
        <f>IF(I902="","No SIC",IFERROR(VLOOKUP(I902,Ref!$A$2:$B$65,2,FALSE()),"Unclassified"))</f>
        <v/>
      </c>
      <c r="Z902" s="3">
        <f>IF(T902="","",IF(T902&lt;12,"Daily","Weekly"))</f>
        <v/>
      </c>
      <c r="AA902" s="3">
        <f>IF(T902="",0,IF(T902&lt;12,T902*Controls!$B$13,T902*5))</f>
        <v/>
      </c>
      <c r="AB902" s="3">
        <f>IF(E902="",0,NETWORKDAYS(E902,Controls!$B$20,Ref!$K$2:$K$42))</f>
        <v/>
      </c>
      <c r="AC902" s="3">
        <f>IF(OR(AF902=1,AND(AA902&gt;0,AB902&gt;=Controls!$B$23*AA902)),1,0)</f>
        <v/>
      </c>
      <c r="AD902" s="3">
        <f>IF(AND(E902&lt;&gt;"",E902&gt;=Controls!$B$21,E902&lt;=Controls!$B$22),1,0)</f>
        <v/>
      </c>
      <c r="AE902" s="3">
        <f>IF(IFERROR(VLOOKUP(D902,Controls!$A$36:$E$46,2,FALSE()),"No")="Yes",1,0)</f>
        <v/>
      </c>
      <c r="AF902" s="3">
        <f>IF(IFERROR(VLOOKUP(D902,Controls!$A$36:$E$46,3,FALSE()),"No")="Yes",1,0)</f>
        <v/>
      </c>
      <c r="AG902" s="3">
        <f>IF(IFERROR(VLOOKUP(D902,Controls!$A$36:$E$46,4,FALSE()),"No")="Yes",1,0)</f>
        <v/>
      </c>
      <c r="AH902" s="3">
        <f>IF(IFERROR(VLOOKUP(D902,Controls!$A$36:$E$46,5,FALSE()),"No")="Yes",1,0)</f>
        <v/>
      </c>
      <c r="AI902" s="3">
        <f>IF(ISNUMBER(MATCH(D902,Controls!$A$36:$A$46,0)),1,0)</f>
        <v/>
      </c>
      <c r="AJ902" s="28">
        <f>Q902-N902</f>
        <v/>
      </c>
      <c r="AK902" s="3">
        <f>IF(AE902=1,MAX(0,N902-Q902),0)</f>
        <v/>
      </c>
      <c r="AL902" s="3">
        <f>IF(OR(V902="",V902=0),0,N902/V902)</f>
        <v/>
      </c>
      <c r="AM902" s="3">
        <f>IF(OR(V902="",V902=0),0,1)</f>
        <v/>
      </c>
      <c r="AN902" s="3">
        <f>IF(OR(E902="",F902=""),0,NETWORKDAYS(E902,F902,Ref!$K$2:$K$42))</f>
        <v/>
      </c>
      <c r="AO902" s="3">
        <f>IF(L902="Renewal",1,0)</f>
        <v/>
      </c>
      <c r="AP902" s="3">
        <f>AC902*AD902</f>
        <v/>
      </c>
      <c r="AQ902" s="3">
        <f>IF(AND(G902&lt;&gt;"",'Historical Score'!$C$6&lt;&gt;""),IF(G902='Historical Score'!$C$6,1,0),0)</f>
        <v/>
      </c>
      <c r="AR902" s="3">
        <f>IF(AND(L902&lt;&gt;"",'Historical Score'!$C$5&lt;&gt;""),IF(L902='Historical Score'!$C$5,1,0),0)</f>
        <v/>
      </c>
      <c r="AS902" s="3">
        <f>IF(AND(Y902&lt;&gt;"",'Historical Score'!$C$7&lt;&gt;""),IF(Y902='Historical Score'!$C$7,1,0),0)</f>
        <v/>
      </c>
      <c r="AT902" s="3">
        <f>IF(AND(K902&lt;&gt;"",'Historical Score'!$C$8&lt;&gt;""),IF(K902='Historical Score'!$C$8,1,0),0)</f>
        <v/>
      </c>
      <c r="AU902" s="3" t="n"/>
      <c r="AV902" s="3" t="n"/>
      <c r="AW902" s="3" t="n"/>
      <c r="AX902" s="3" t="n"/>
      <c r="AY902" s="3" t="n"/>
      <c r="AZ902" s="3" t="n"/>
      <c r="BA902" s="182">
        <f>IF(AD902=1,(AR902*'Historical Score'!$K$29+1-'Historical Score'!$K$29)*(AT902*'Historical Score'!$L$29+1-'Historical Score'!$L$29)*(AS902*'Historical Score'!$M$29+1-'Historical Score'!$M$29)*(AQ902*'Historical Score'!$N$29+1-'Historical Score'!$N$29),0)</f>
        <v/>
      </c>
      <c r="BB902" s="3" t="n"/>
      <c r="BC902" s="3" t="n"/>
    </row>
    <row r="903" ht="15.75" customHeight="1" s="174">
      <c r="A903" s="3" t="inlineStr">
        <is>
          <t>5674184236</t>
        </is>
      </c>
      <c r="B903" s="3" t="inlineStr">
        <is>
          <t>Hatmaker Holdings LLC</t>
        </is>
      </c>
      <c r="C903" s="3" t="inlineStr">
        <is>
          <t>Hatmaker Holdings LLC</t>
        </is>
      </c>
      <c r="D903" s="3" t="inlineStr">
        <is>
          <t>Open</t>
        </is>
      </c>
      <c r="E903" s="23" t="n">
        <v>46168</v>
      </c>
      <c r="F903" s="23" t="n">
        <v>46253</v>
      </c>
      <c r="G903" s="3" t="n">
        <v>3</v>
      </c>
      <c r="H903" s="3" t="inlineStr">
        <is>
          <t>7261</t>
        </is>
      </c>
      <c r="I903" s="3" t="inlineStr">
        <is>
          <t>72</t>
        </is>
      </c>
      <c r="J903" s="3" t="inlineStr">
        <is>
          <t>TN</t>
        </is>
      </c>
      <c r="K903" s="3" t="inlineStr">
        <is>
          <t>Ballicci</t>
        </is>
      </c>
      <c r="L903" s="3" t="inlineStr">
        <is>
          <t>Renewal</t>
        </is>
      </c>
      <c r="M903" s="3" t="n">
        <v>1.49</v>
      </c>
      <c r="N903" s="28" t="n">
        <v>45000</v>
      </c>
      <c r="O903" s="28" t="n">
        <v>6300</v>
      </c>
      <c r="P903" s="28" t="n">
        <v>67050</v>
      </c>
      <c r="Q903" s="28" t="n">
        <v>19641.44</v>
      </c>
      <c r="R903" s="28" t="n">
        <v>47408.56</v>
      </c>
      <c r="S903" s="42" t="n">
        <v>0.29293721103654</v>
      </c>
      <c r="T903" s="3" t="n">
        <v>3.967</v>
      </c>
      <c r="U903" s="3" t="n">
        <v>21</v>
      </c>
      <c r="V903" s="3" t="n">
        <v>68415.85000000001</v>
      </c>
      <c r="W903" s="42" t="n">
        <v>0.1455</v>
      </c>
      <c r="X903" s="23" t="n">
        <v>37215</v>
      </c>
      <c r="Y903" s="3">
        <f>IF(I903="","No SIC",IFERROR(VLOOKUP(I903,Ref!$A$2:$B$65,2,FALSE()),"Unclassified"))</f>
        <v/>
      </c>
      <c r="Z903" s="3">
        <f>IF(T903="","",IF(T903&lt;12,"Daily","Weekly"))</f>
        <v/>
      </c>
      <c r="AA903" s="3">
        <f>IF(T903="",0,IF(T903&lt;12,T903*Controls!$B$13,T903*5))</f>
        <v/>
      </c>
      <c r="AB903" s="3">
        <f>IF(E903="",0,NETWORKDAYS(E903,Controls!$B$20,Ref!$K$2:$K$42))</f>
        <v/>
      </c>
      <c r="AC903" s="3">
        <f>IF(OR(AF903=1,AND(AA903&gt;0,AB903&gt;=Controls!$B$23*AA903)),1,0)</f>
        <v/>
      </c>
      <c r="AD903" s="3">
        <f>IF(AND(E903&lt;&gt;"",E903&gt;=Controls!$B$21,E903&lt;=Controls!$B$22),1,0)</f>
        <v/>
      </c>
      <c r="AE903" s="3">
        <f>IF(IFERROR(VLOOKUP(D903,Controls!$A$36:$E$46,2,FALSE()),"No")="Yes",1,0)</f>
        <v/>
      </c>
      <c r="AF903" s="3">
        <f>IF(IFERROR(VLOOKUP(D903,Controls!$A$36:$E$46,3,FALSE()),"No")="Yes",1,0)</f>
        <v/>
      </c>
      <c r="AG903" s="3">
        <f>IF(IFERROR(VLOOKUP(D903,Controls!$A$36:$E$46,4,FALSE()),"No")="Yes",1,0)</f>
        <v/>
      </c>
      <c r="AH903" s="3">
        <f>IF(IFERROR(VLOOKUP(D903,Controls!$A$36:$E$46,5,FALSE()),"No")="Yes",1,0)</f>
        <v/>
      </c>
      <c r="AI903" s="3">
        <f>IF(ISNUMBER(MATCH(D903,Controls!$A$36:$A$46,0)),1,0)</f>
        <v/>
      </c>
      <c r="AJ903" s="28">
        <f>Q903-N903</f>
        <v/>
      </c>
      <c r="AK903" s="3">
        <f>IF(AE903=1,MAX(0,N903-Q903),0)</f>
        <v/>
      </c>
      <c r="AL903" s="3">
        <f>IF(OR(V903="",V903=0),0,N903/V903)</f>
        <v/>
      </c>
      <c r="AM903" s="3">
        <f>IF(OR(V903="",V903=0),0,1)</f>
        <v/>
      </c>
      <c r="AN903" s="3">
        <f>IF(OR(E903="",F903=""),0,NETWORKDAYS(E903,F903,Ref!$K$2:$K$42))</f>
        <v/>
      </c>
      <c r="AO903" s="3">
        <f>IF(L903="Renewal",1,0)</f>
        <v/>
      </c>
      <c r="AP903" s="3">
        <f>AC903*AD903</f>
        <v/>
      </c>
      <c r="AQ903" s="3">
        <f>IF(AND(G903&lt;&gt;"",'Historical Score'!$C$6&lt;&gt;""),IF(G903='Historical Score'!$C$6,1,0),0)</f>
        <v/>
      </c>
      <c r="AR903" s="3">
        <f>IF(AND(L903&lt;&gt;"",'Historical Score'!$C$5&lt;&gt;""),IF(L903='Historical Score'!$C$5,1,0),0)</f>
        <v/>
      </c>
      <c r="AS903" s="3">
        <f>IF(AND(Y903&lt;&gt;"",'Historical Score'!$C$7&lt;&gt;""),IF(Y903='Historical Score'!$C$7,1,0),0)</f>
        <v/>
      </c>
      <c r="AT903" s="3">
        <f>IF(AND(K903&lt;&gt;"",'Historical Score'!$C$8&lt;&gt;""),IF(K903='Historical Score'!$C$8,1,0),0)</f>
        <v/>
      </c>
      <c r="AU903" s="3" t="n"/>
      <c r="AV903" s="3" t="n"/>
      <c r="AW903" s="3" t="n"/>
      <c r="AX903" s="3" t="n"/>
      <c r="AY903" s="3" t="n"/>
      <c r="AZ903" s="3" t="n"/>
      <c r="BA903" s="182">
        <f>IF(AD903=1,(AR903*'Historical Score'!$K$29+1-'Historical Score'!$K$29)*(AT903*'Historical Score'!$L$29+1-'Historical Score'!$L$29)*(AS903*'Historical Score'!$M$29+1-'Historical Score'!$M$29)*(AQ903*'Historical Score'!$N$29+1-'Historical Score'!$N$29),0)</f>
        <v/>
      </c>
      <c r="BB903" s="3" t="n"/>
      <c r="BC903" s="3" t="n"/>
    </row>
    <row r="904" ht="15.75" customHeight="1" s="174">
      <c r="A904" s="3" t="inlineStr">
        <is>
          <t>5674184273</t>
        </is>
      </c>
      <c r="B904" s="3" t="inlineStr">
        <is>
          <t>American services inc</t>
        </is>
      </c>
      <c r="C904" s="3" t="inlineStr">
        <is>
          <t>American services inc</t>
        </is>
      </c>
      <c r="D904" s="3" t="inlineStr">
        <is>
          <t>Legal</t>
        </is>
      </c>
      <c r="E904" s="23" t="n">
        <v>46169</v>
      </c>
      <c r="F904" s="23" t="n">
        <v>46192</v>
      </c>
      <c r="G904" s="3" t="n">
        <v>3</v>
      </c>
      <c r="H904" s="3" t="inlineStr">
        <is>
          <t>7699</t>
        </is>
      </c>
      <c r="I904" s="3" t="inlineStr">
        <is>
          <t>76</t>
        </is>
      </c>
      <c r="J904" s="3" t="inlineStr">
        <is>
          <t>FL</t>
        </is>
      </c>
      <c r="K904" s="3" t="inlineStr">
        <is>
          <t>Fundible</t>
        </is>
      </c>
      <c r="L904" s="3" t="inlineStr">
        <is>
          <t>New Deal</t>
        </is>
      </c>
      <c r="M904" s="3" t="n">
        <v>1.49</v>
      </c>
      <c r="N904" s="28" t="n">
        <v>7000</v>
      </c>
      <c r="O904" s="28" t="n">
        <v>0</v>
      </c>
      <c r="P904" s="28" t="n">
        <v>10430</v>
      </c>
      <c r="Q904" s="28" t="n">
        <v>1158.94</v>
      </c>
      <c r="R904" s="28" t="n">
        <v>9271.059999999999</v>
      </c>
      <c r="S904" s="42" t="n">
        <v>0.111116011505273</v>
      </c>
      <c r="T904" s="3" t="n">
        <v>18</v>
      </c>
      <c r="U904" s="3" t="n">
        <v>1</v>
      </c>
      <c r="V904" s="3" t="n">
        <v>56671.85</v>
      </c>
      <c r="W904" s="42" t="n">
        <v>0.0409</v>
      </c>
      <c r="X904" s="23" t="n">
        <v>45734</v>
      </c>
      <c r="Y904" s="3">
        <f>IF(I904="","No SIC",IFERROR(VLOOKUP(I904,Ref!$A$2:$B$65,2,FALSE()),"Unclassified"))</f>
        <v/>
      </c>
      <c r="Z904" s="3">
        <f>IF(T904="","",IF(T904&lt;12,"Daily","Weekly"))</f>
        <v/>
      </c>
      <c r="AA904" s="3">
        <f>IF(T904="",0,IF(T904&lt;12,T904*Controls!$B$13,T904*5))</f>
        <v/>
      </c>
      <c r="AB904" s="3">
        <f>IF(E904="",0,NETWORKDAYS(E904,Controls!$B$20,Ref!$K$2:$K$42))</f>
        <v/>
      </c>
      <c r="AC904" s="3">
        <f>IF(OR(AF904=1,AND(AA904&gt;0,AB904&gt;=Controls!$B$23*AA904)),1,0)</f>
        <v/>
      </c>
      <c r="AD904" s="3">
        <f>IF(AND(E904&lt;&gt;"",E904&gt;=Controls!$B$21,E904&lt;=Controls!$B$22),1,0)</f>
        <v/>
      </c>
      <c r="AE904" s="3">
        <f>IF(IFERROR(VLOOKUP(D904,Controls!$A$36:$E$46,2,FALSE()),"No")="Yes",1,0)</f>
        <v/>
      </c>
      <c r="AF904" s="3">
        <f>IF(IFERROR(VLOOKUP(D904,Controls!$A$36:$E$46,3,FALSE()),"No")="Yes",1,0)</f>
        <v/>
      </c>
      <c r="AG904" s="3">
        <f>IF(IFERROR(VLOOKUP(D904,Controls!$A$36:$E$46,4,FALSE()),"No")="Yes",1,0)</f>
        <v/>
      </c>
      <c r="AH904" s="3">
        <f>IF(IFERROR(VLOOKUP(D904,Controls!$A$36:$E$46,5,FALSE()),"No")="Yes",1,0)</f>
        <v/>
      </c>
      <c r="AI904" s="3">
        <f>IF(ISNUMBER(MATCH(D904,Controls!$A$36:$A$46,0)),1,0)</f>
        <v/>
      </c>
      <c r="AJ904" s="28">
        <f>Q904-N904</f>
        <v/>
      </c>
      <c r="AK904" s="3">
        <f>IF(AE904=1,MAX(0,N904-Q904),0)</f>
        <v/>
      </c>
      <c r="AL904" s="3">
        <f>IF(OR(V904="",V904=0),0,N904/V904)</f>
        <v/>
      </c>
      <c r="AM904" s="3">
        <f>IF(OR(V904="",V904=0),0,1)</f>
        <v/>
      </c>
      <c r="AN904" s="3">
        <f>IF(OR(E904="",F904=""),0,NETWORKDAYS(E904,F904,Ref!$K$2:$K$42))</f>
        <v/>
      </c>
      <c r="AO904" s="3">
        <f>IF(L904="Renewal",1,0)</f>
        <v/>
      </c>
      <c r="AP904" s="3">
        <f>AC904*AD904</f>
        <v/>
      </c>
      <c r="AQ904" s="3">
        <f>IF(AND(G904&lt;&gt;"",'Historical Score'!$C$6&lt;&gt;""),IF(G904='Historical Score'!$C$6,1,0),0)</f>
        <v/>
      </c>
      <c r="AR904" s="3">
        <f>IF(AND(L904&lt;&gt;"",'Historical Score'!$C$5&lt;&gt;""),IF(L904='Historical Score'!$C$5,1,0),0)</f>
        <v/>
      </c>
      <c r="AS904" s="3">
        <f>IF(AND(Y904&lt;&gt;"",'Historical Score'!$C$7&lt;&gt;""),IF(Y904='Historical Score'!$C$7,1,0),0)</f>
        <v/>
      </c>
      <c r="AT904" s="3">
        <f>IF(AND(K904&lt;&gt;"",'Historical Score'!$C$8&lt;&gt;""),IF(K904='Historical Score'!$C$8,1,0),0)</f>
        <v/>
      </c>
      <c r="AU904" s="3" t="n"/>
      <c r="AV904" s="3" t="n"/>
      <c r="AW904" s="3" t="n"/>
      <c r="AX904" s="3" t="n"/>
      <c r="AY904" s="3" t="n"/>
      <c r="AZ904" s="3" t="n"/>
      <c r="BA904" s="182">
        <f>IF(AD904=1,(AR904*'Historical Score'!$K$29+1-'Historical Score'!$K$29)*(AT904*'Historical Score'!$L$29+1-'Historical Score'!$L$29)*(AS904*'Historical Score'!$M$29+1-'Historical Score'!$M$29)*(AQ904*'Historical Score'!$N$29+1-'Historical Score'!$N$29),0)</f>
        <v/>
      </c>
      <c r="BB904" s="3" t="n"/>
      <c r="BC904" s="3" t="n"/>
    </row>
    <row r="905" ht="15.75" customHeight="1" s="174">
      <c r="A905" s="3" t="inlineStr">
        <is>
          <t>5674184284</t>
        </is>
      </c>
      <c r="B905" s="3" t="inlineStr">
        <is>
          <t>H30 TRUCKING LLC</t>
        </is>
      </c>
      <c r="C905" s="3" t="inlineStr">
        <is>
          <t>H30 TRUCKING LLC</t>
        </is>
      </c>
      <c r="D905" s="3" t="inlineStr">
        <is>
          <t>Open</t>
        </is>
      </c>
      <c r="E905" s="23" t="n">
        <v>46169</v>
      </c>
      <c r="F905" s="23" t="n">
        <v>46253</v>
      </c>
      <c r="G905" s="3" t="n">
        <v>3</v>
      </c>
      <c r="H905" s="3" t="inlineStr">
        <is>
          <t>4212</t>
        </is>
      </c>
      <c r="I905" s="3" t="inlineStr">
        <is>
          <t>42</t>
        </is>
      </c>
      <c r="J905" s="3" t="inlineStr">
        <is>
          <t>VA</t>
        </is>
      </c>
      <c r="K905" s="3" t="inlineStr">
        <is>
          <t>Ballicci</t>
        </is>
      </c>
      <c r="L905" s="3" t="inlineStr">
        <is>
          <t>Renewal</t>
        </is>
      </c>
      <c r="M905" s="3" t="n">
        <v>1.49</v>
      </c>
      <c r="N905" s="28" t="n">
        <v>45000</v>
      </c>
      <c r="O905" s="28" t="n">
        <v>6300</v>
      </c>
      <c r="P905" s="28" t="n">
        <v>67050</v>
      </c>
      <c r="Q905" s="28" t="n">
        <v>18866.34</v>
      </c>
      <c r="R905" s="28" t="n">
        <v>48183.66</v>
      </c>
      <c r="S905" s="42" t="n">
        <v>0.281377181208054</v>
      </c>
      <c r="T905" s="3" t="n">
        <v>32</v>
      </c>
      <c r="U905" s="3" t="n">
        <v>3</v>
      </c>
      <c r="V905" s="3" t="n">
        <v>114549.95</v>
      </c>
      <c r="W905" s="42" t="n">
        <v>0.0732</v>
      </c>
      <c r="X905" s="23" t="n">
        <v>43837</v>
      </c>
      <c r="Y905" s="3">
        <f>IF(I905="","No SIC",IFERROR(VLOOKUP(I905,Ref!$A$2:$B$65,2,FALSE()),"Unclassified"))</f>
        <v/>
      </c>
      <c r="Z905" s="3">
        <f>IF(T905="","",IF(T905&lt;12,"Daily","Weekly"))</f>
        <v/>
      </c>
      <c r="AA905" s="3">
        <f>IF(T905="",0,IF(T905&lt;12,T905*Controls!$B$13,T905*5))</f>
        <v/>
      </c>
      <c r="AB905" s="3">
        <f>IF(E905="",0,NETWORKDAYS(E905,Controls!$B$20,Ref!$K$2:$K$42))</f>
        <v/>
      </c>
      <c r="AC905" s="3">
        <f>IF(OR(AF905=1,AND(AA905&gt;0,AB905&gt;=Controls!$B$23*AA905)),1,0)</f>
        <v/>
      </c>
      <c r="AD905" s="3">
        <f>IF(AND(E905&lt;&gt;"",E905&gt;=Controls!$B$21,E905&lt;=Controls!$B$22),1,0)</f>
        <v/>
      </c>
      <c r="AE905" s="3">
        <f>IF(IFERROR(VLOOKUP(D905,Controls!$A$36:$E$46,2,FALSE()),"No")="Yes",1,0)</f>
        <v/>
      </c>
      <c r="AF905" s="3">
        <f>IF(IFERROR(VLOOKUP(D905,Controls!$A$36:$E$46,3,FALSE()),"No")="Yes",1,0)</f>
        <v/>
      </c>
      <c r="AG905" s="3">
        <f>IF(IFERROR(VLOOKUP(D905,Controls!$A$36:$E$46,4,FALSE()),"No")="Yes",1,0)</f>
        <v/>
      </c>
      <c r="AH905" s="3">
        <f>IF(IFERROR(VLOOKUP(D905,Controls!$A$36:$E$46,5,FALSE()),"No")="Yes",1,0)</f>
        <v/>
      </c>
      <c r="AI905" s="3">
        <f>IF(ISNUMBER(MATCH(D905,Controls!$A$36:$A$46,0)),1,0)</f>
        <v/>
      </c>
      <c r="AJ905" s="28">
        <f>Q905-N905</f>
        <v/>
      </c>
      <c r="AK905" s="3">
        <f>IF(AE905=1,MAX(0,N905-Q905),0)</f>
        <v/>
      </c>
      <c r="AL905" s="3">
        <f>IF(OR(V905="",V905=0),0,N905/V905)</f>
        <v/>
      </c>
      <c r="AM905" s="3">
        <f>IF(OR(V905="",V905=0),0,1)</f>
        <v/>
      </c>
      <c r="AN905" s="3">
        <f>IF(OR(E905="",F905=""),0,NETWORKDAYS(E905,F905,Ref!$K$2:$K$42))</f>
        <v/>
      </c>
      <c r="AO905" s="3">
        <f>IF(L905="Renewal",1,0)</f>
        <v/>
      </c>
      <c r="AP905" s="3">
        <f>AC905*AD905</f>
        <v/>
      </c>
      <c r="AQ905" s="3">
        <f>IF(AND(G905&lt;&gt;"",'Historical Score'!$C$6&lt;&gt;""),IF(G905='Historical Score'!$C$6,1,0),0)</f>
        <v/>
      </c>
      <c r="AR905" s="3">
        <f>IF(AND(L905&lt;&gt;"",'Historical Score'!$C$5&lt;&gt;""),IF(L905='Historical Score'!$C$5,1,0),0)</f>
        <v/>
      </c>
      <c r="AS905" s="3">
        <f>IF(AND(Y905&lt;&gt;"",'Historical Score'!$C$7&lt;&gt;""),IF(Y905='Historical Score'!$C$7,1,0),0)</f>
        <v/>
      </c>
      <c r="AT905" s="3">
        <f>IF(AND(K905&lt;&gt;"",'Historical Score'!$C$8&lt;&gt;""),IF(K905='Historical Score'!$C$8,1,0),0)</f>
        <v/>
      </c>
      <c r="AU905" s="3" t="n"/>
      <c r="AV905" s="3" t="n"/>
      <c r="AW905" s="3" t="n"/>
      <c r="AX905" s="3" t="n"/>
      <c r="AY905" s="3" t="n"/>
      <c r="AZ905" s="3" t="n"/>
      <c r="BA905" s="182">
        <f>IF(AD905=1,(AR905*'Historical Score'!$K$29+1-'Historical Score'!$K$29)*(AT905*'Historical Score'!$L$29+1-'Historical Score'!$L$29)*(AS905*'Historical Score'!$M$29+1-'Historical Score'!$M$29)*(AQ905*'Historical Score'!$N$29+1-'Historical Score'!$N$29),0)</f>
        <v/>
      </c>
      <c r="BB905" s="3" t="n"/>
      <c r="BC905" s="3" t="n"/>
    </row>
    <row r="906" ht="15.75" customHeight="1" s="174">
      <c r="A906" s="3" t="inlineStr">
        <is>
          <t>5674184309</t>
        </is>
      </c>
      <c r="B906" s="3" t="inlineStr">
        <is>
          <t>Our House MHSA Inc</t>
        </is>
      </c>
      <c r="C906" s="3" t="inlineStr">
        <is>
          <t>Our House MHSA Inc</t>
        </is>
      </c>
      <c r="D906" s="3" t="inlineStr">
        <is>
          <t>Settlement Agreement</t>
        </is>
      </c>
      <c r="E906" s="23" t="n">
        <v>46169</v>
      </c>
      <c r="F906" s="23" t="n">
        <v>46252</v>
      </c>
      <c r="G906" s="3" t="n">
        <v>2</v>
      </c>
      <c r="H906" s="3" t="inlineStr">
        <is>
          <t>8093</t>
        </is>
      </c>
      <c r="I906" s="3" t="inlineStr">
        <is>
          <t>80</t>
        </is>
      </c>
      <c r="J906" s="3" t="inlineStr">
        <is>
          <t>OK</t>
        </is>
      </c>
      <c r="K906" s="3" t="inlineStr">
        <is>
          <t>Splash</t>
        </is>
      </c>
      <c r="L906" s="3" t="inlineStr">
        <is>
          <t>New Deal</t>
        </is>
      </c>
      <c r="M906" s="3" t="n">
        <v>1.49</v>
      </c>
      <c r="N906" s="28" t="n">
        <v>60000</v>
      </c>
      <c r="O906" s="28" t="n">
        <v>0</v>
      </c>
      <c r="P906" s="28" t="n">
        <v>89400</v>
      </c>
      <c r="Q906" s="28" t="n">
        <v>11980.1</v>
      </c>
      <c r="R906" s="28" t="n">
        <v>77419.89999999999</v>
      </c>
      <c r="S906" s="42" t="n">
        <v>0.134005592841163</v>
      </c>
      <c r="T906" s="3" t="n">
        <v>30</v>
      </c>
      <c r="U906" s="3" t="n">
        <v>1</v>
      </c>
      <c r="V906" s="3" t="n">
        <v>75112.78</v>
      </c>
      <c r="W906" s="42" t="n">
        <v>0.1587</v>
      </c>
      <c r="X906" s="23" t="n">
        <v>42437</v>
      </c>
      <c r="Y906" s="3">
        <f>IF(I906="","No SIC",IFERROR(VLOOKUP(I906,Ref!$A$2:$B$65,2,FALSE()),"Unclassified"))</f>
        <v/>
      </c>
      <c r="Z906" s="3">
        <f>IF(T906="","",IF(T906&lt;12,"Daily","Weekly"))</f>
        <v/>
      </c>
      <c r="AA906" s="3">
        <f>IF(T906="",0,IF(T906&lt;12,T906*Controls!$B$13,T906*5))</f>
        <v/>
      </c>
      <c r="AB906" s="3">
        <f>IF(E906="",0,NETWORKDAYS(E906,Controls!$B$20,Ref!$K$2:$K$42))</f>
        <v/>
      </c>
      <c r="AC906" s="3">
        <f>IF(OR(AF906=1,AND(AA906&gt;0,AB906&gt;=Controls!$B$23*AA906)),1,0)</f>
        <v/>
      </c>
      <c r="AD906" s="3">
        <f>IF(AND(E906&lt;&gt;"",E906&gt;=Controls!$B$21,E906&lt;=Controls!$B$22),1,0)</f>
        <v/>
      </c>
      <c r="AE906" s="3">
        <f>IF(IFERROR(VLOOKUP(D906,Controls!$A$36:$E$46,2,FALSE()),"No")="Yes",1,0)</f>
        <v/>
      </c>
      <c r="AF906" s="3">
        <f>IF(IFERROR(VLOOKUP(D906,Controls!$A$36:$E$46,3,FALSE()),"No")="Yes",1,0)</f>
        <v/>
      </c>
      <c r="AG906" s="3">
        <f>IF(IFERROR(VLOOKUP(D906,Controls!$A$36:$E$46,4,FALSE()),"No")="Yes",1,0)</f>
        <v/>
      </c>
      <c r="AH906" s="3">
        <f>IF(IFERROR(VLOOKUP(D906,Controls!$A$36:$E$46,5,FALSE()),"No")="Yes",1,0)</f>
        <v/>
      </c>
      <c r="AI906" s="3">
        <f>IF(ISNUMBER(MATCH(D906,Controls!$A$36:$A$46,0)),1,0)</f>
        <v/>
      </c>
      <c r="AJ906" s="28">
        <f>Q906-N906</f>
        <v/>
      </c>
      <c r="AK906" s="3">
        <f>IF(AE906=1,MAX(0,N906-Q906),0)</f>
        <v/>
      </c>
      <c r="AL906" s="3">
        <f>IF(OR(V906="",V906=0),0,N906/V906)</f>
        <v/>
      </c>
      <c r="AM906" s="3">
        <f>IF(OR(V906="",V906=0),0,1)</f>
        <v/>
      </c>
      <c r="AN906" s="3">
        <f>IF(OR(E906="",F906=""),0,NETWORKDAYS(E906,F906,Ref!$K$2:$K$42))</f>
        <v/>
      </c>
      <c r="AO906" s="3">
        <f>IF(L906="Renewal",1,0)</f>
        <v/>
      </c>
      <c r="AP906" s="3">
        <f>AC906*AD906</f>
        <v/>
      </c>
      <c r="AQ906" s="3">
        <f>IF(AND(G906&lt;&gt;"",'Historical Score'!$C$6&lt;&gt;""),IF(G906='Historical Score'!$C$6,1,0),0)</f>
        <v/>
      </c>
      <c r="AR906" s="3">
        <f>IF(AND(L906&lt;&gt;"",'Historical Score'!$C$5&lt;&gt;""),IF(L906='Historical Score'!$C$5,1,0),0)</f>
        <v/>
      </c>
      <c r="AS906" s="3">
        <f>IF(AND(Y906&lt;&gt;"",'Historical Score'!$C$7&lt;&gt;""),IF(Y906='Historical Score'!$C$7,1,0),0)</f>
        <v/>
      </c>
      <c r="AT906" s="3">
        <f>IF(AND(K906&lt;&gt;"",'Historical Score'!$C$8&lt;&gt;""),IF(K906='Historical Score'!$C$8,1,0),0)</f>
        <v/>
      </c>
      <c r="AU906" s="3" t="n"/>
      <c r="AV906" s="3" t="n"/>
      <c r="AW906" s="3" t="n"/>
      <c r="AX906" s="3" t="n"/>
      <c r="AY906" s="3" t="n"/>
      <c r="AZ906" s="3" t="n"/>
      <c r="BA906" s="182">
        <f>IF(AD906=1,(AR906*'Historical Score'!$K$29+1-'Historical Score'!$K$29)*(AT906*'Historical Score'!$L$29+1-'Historical Score'!$L$29)*(AS906*'Historical Score'!$M$29+1-'Historical Score'!$M$29)*(AQ906*'Historical Score'!$N$29+1-'Historical Score'!$N$29),0)</f>
        <v/>
      </c>
      <c r="BB906" s="3" t="n"/>
      <c r="BC906" s="3" t="n"/>
    </row>
    <row r="907" ht="15.75" customHeight="1" s="174">
      <c r="A907" s="3" t="inlineStr">
        <is>
          <t>5674184350</t>
        </is>
      </c>
      <c r="B907" s="3" t="inlineStr">
        <is>
          <t>THE BREAK SPORTS GRILL SARATOGA SPRINGS DBA THE DKBK</t>
        </is>
      </c>
      <c r="C907" s="3" t="inlineStr">
        <is>
          <t>The DKBK LLC</t>
        </is>
      </c>
      <c r="D907" s="3" t="inlineStr">
        <is>
          <t>Open</t>
        </is>
      </c>
      <c r="E907" s="23" t="n">
        <v>46170</v>
      </c>
      <c r="F907" s="23" t="n">
        <v>46253</v>
      </c>
      <c r="G907" s="3" t="n">
        <v>4</v>
      </c>
      <c r="H907" s="3" t="inlineStr">
        <is>
          <t>5812</t>
        </is>
      </c>
      <c r="I907" s="3" t="inlineStr">
        <is>
          <t>58</t>
        </is>
      </c>
      <c r="J907" s="3" t="inlineStr">
        <is>
          <t>UT</t>
        </is>
      </c>
      <c r="K907" s="3" t="inlineStr">
        <is>
          <t>PMF</t>
        </is>
      </c>
      <c r="L907" s="3" t="inlineStr">
        <is>
          <t>New Deal</t>
        </is>
      </c>
      <c r="M907" s="3" t="n">
        <v>1.45</v>
      </c>
      <c r="N907" s="28" t="n">
        <v>75000</v>
      </c>
      <c r="O907" s="28" t="n">
        <v>9000</v>
      </c>
      <c r="P907" s="28" t="n">
        <v>108750</v>
      </c>
      <c r="Q907" s="28" t="n">
        <v>59307.12</v>
      </c>
      <c r="R907" s="28" t="n">
        <v>49442.88</v>
      </c>
      <c r="S907" s="42" t="n">
        <v>0.545352827586207</v>
      </c>
      <c r="T907" s="3" t="n">
        <v>22</v>
      </c>
      <c r="U907" s="3" t="n">
        <v>2</v>
      </c>
      <c r="V907" s="3" t="n">
        <v>387628.11</v>
      </c>
      <c r="W907" s="42" t="n">
        <v>0.051</v>
      </c>
      <c r="X907" s="23" t="n">
        <v>44460</v>
      </c>
      <c r="Y907" s="3">
        <f>IF(I907="","No SIC",IFERROR(VLOOKUP(I907,Ref!$A$2:$B$65,2,FALSE()),"Unclassified"))</f>
        <v/>
      </c>
      <c r="Z907" s="3">
        <f>IF(T907="","",IF(T907&lt;12,"Daily","Weekly"))</f>
        <v/>
      </c>
      <c r="AA907" s="3">
        <f>IF(T907="",0,IF(T907&lt;12,T907*Controls!$B$13,T907*5))</f>
        <v/>
      </c>
      <c r="AB907" s="3">
        <f>IF(E907="",0,NETWORKDAYS(E907,Controls!$B$20,Ref!$K$2:$K$42))</f>
        <v/>
      </c>
      <c r="AC907" s="3">
        <f>IF(OR(AF907=1,AND(AA907&gt;0,AB907&gt;=Controls!$B$23*AA907)),1,0)</f>
        <v/>
      </c>
      <c r="AD907" s="3">
        <f>IF(AND(E907&lt;&gt;"",E907&gt;=Controls!$B$21,E907&lt;=Controls!$B$22),1,0)</f>
        <v/>
      </c>
      <c r="AE907" s="3">
        <f>IF(IFERROR(VLOOKUP(D907,Controls!$A$36:$E$46,2,FALSE()),"No")="Yes",1,0)</f>
        <v/>
      </c>
      <c r="AF907" s="3">
        <f>IF(IFERROR(VLOOKUP(D907,Controls!$A$36:$E$46,3,FALSE()),"No")="Yes",1,0)</f>
        <v/>
      </c>
      <c r="AG907" s="3">
        <f>IF(IFERROR(VLOOKUP(D907,Controls!$A$36:$E$46,4,FALSE()),"No")="Yes",1,0)</f>
        <v/>
      </c>
      <c r="AH907" s="3">
        <f>IF(IFERROR(VLOOKUP(D907,Controls!$A$36:$E$46,5,FALSE()),"No")="Yes",1,0)</f>
        <v/>
      </c>
      <c r="AI907" s="3">
        <f>IF(ISNUMBER(MATCH(D907,Controls!$A$36:$A$46,0)),1,0)</f>
        <v/>
      </c>
      <c r="AJ907" s="28">
        <f>Q907-N907</f>
        <v/>
      </c>
      <c r="AK907" s="3">
        <f>IF(AE907=1,MAX(0,N907-Q907),0)</f>
        <v/>
      </c>
      <c r="AL907" s="3">
        <f>IF(OR(V907="",V907=0),0,N907/V907)</f>
        <v/>
      </c>
      <c r="AM907" s="3">
        <f>IF(OR(V907="",V907=0),0,1)</f>
        <v/>
      </c>
      <c r="AN907" s="3">
        <f>IF(OR(E907="",F907=""),0,NETWORKDAYS(E907,F907,Ref!$K$2:$K$42))</f>
        <v/>
      </c>
      <c r="AO907" s="3">
        <f>IF(L907="Renewal",1,0)</f>
        <v/>
      </c>
      <c r="AP907" s="3">
        <f>AC907*AD907</f>
        <v/>
      </c>
      <c r="AQ907" s="3">
        <f>IF(AND(G907&lt;&gt;"",'Historical Score'!$C$6&lt;&gt;""),IF(G907='Historical Score'!$C$6,1,0),0)</f>
        <v/>
      </c>
      <c r="AR907" s="3">
        <f>IF(AND(L907&lt;&gt;"",'Historical Score'!$C$5&lt;&gt;""),IF(L907='Historical Score'!$C$5,1,0),0)</f>
        <v/>
      </c>
      <c r="AS907" s="3">
        <f>IF(AND(Y907&lt;&gt;"",'Historical Score'!$C$7&lt;&gt;""),IF(Y907='Historical Score'!$C$7,1,0),0)</f>
        <v/>
      </c>
      <c r="AT907" s="3">
        <f>IF(AND(K907&lt;&gt;"",'Historical Score'!$C$8&lt;&gt;""),IF(K907='Historical Score'!$C$8,1,0),0)</f>
        <v/>
      </c>
      <c r="AU907" s="3" t="n"/>
      <c r="AV907" s="3" t="n"/>
      <c r="AW907" s="3" t="n"/>
      <c r="AX907" s="3" t="n"/>
      <c r="AY907" s="3" t="n"/>
      <c r="AZ907" s="3" t="n"/>
      <c r="BA907" s="182">
        <f>IF(AD907=1,(AR907*'Historical Score'!$K$29+1-'Historical Score'!$K$29)*(AT907*'Historical Score'!$L$29+1-'Historical Score'!$L$29)*(AS907*'Historical Score'!$M$29+1-'Historical Score'!$M$29)*(AQ907*'Historical Score'!$N$29+1-'Historical Score'!$N$29),0)</f>
        <v/>
      </c>
      <c r="BB907" s="3" t="n"/>
      <c r="BC907" s="3" t="n"/>
    </row>
    <row r="908" ht="15.75" customHeight="1" s="174">
      <c r="A908" s="3" t="inlineStr">
        <is>
          <t>5674184362</t>
        </is>
      </c>
      <c r="B908" s="3" t="inlineStr">
        <is>
          <t>READY TO ASSEMBLE</t>
        </is>
      </c>
      <c r="C908" s="3" t="inlineStr">
        <is>
          <t>Ready to Assemble inc</t>
        </is>
      </c>
      <c r="D908" s="3" t="inlineStr">
        <is>
          <t>Closed</t>
        </is>
      </c>
      <c r="E908" s="23" t="n">
        <v>46170</v>
      </c>
      <c r="F908" s="23" t="n">
        <v>46240</v>
      </c>
      <c r="G908" s="3" t="n">
        <v>3</v>
      </c>
      <c r="H908" s="3" t="inlineStr">
        <is>
          <t>1521</t>
        </is>
      </c>
      <c r="I908" s="3" t="inlineStr">
        <is>
          <t>15</t>
        </is>
      </c>
      <c r="J908" s="3" t="inlineStr">
        <is>
          <t>IN</t>
        </is>
      </c>
      <c r="K908" s="3" t="inlineStr">
        <is>
          <t>PMF</t>
        </is>
      </c>
      <c r="L908" s="3" t="inlineStr">
        <is>
          <t>New Deal</t>
        </is>
      </c>
      <c r="M908" s="3" t="n">
        <v>1.45</v>
      </c>
      <c r="N908" s="28" t="n">
        <v>25000</v>
      </c>
      <c r="O908" s="28" t="n">
        <v>3000</v>
      </c>
      <c r="P908" s="28" t="n">
        <v>36250</v>
      </c>
      <c r="Q908" s="28" t="n">
        <v>36250</v>
      </c>
      <c r="R908" s="28" t="n">
        <v>0</v>
      </c>
      <c r="S908" s="42" t="n">
        <v>1</v>
      </c>
      <c r="T908" s="3" t="n">
        <v>19</v>
      </c>
      <c r="U908" s="3" t="n">
        <v>0</v>
      </c>
      <c r="V908" s="3" t="n">
        <v>92853.05</v>
      </c>
      <c r="W908" s="42" t="n">
        <v>0.0822</v>
      </c>
      <c r="X908" s="23" t="n">
        <v>34335</v>
      </c>
      <c r="Y908" s="3">
        <f>IF(I908="","No SIC",IFERROR(VLOOKUP(I908,Ref!$A$2:$B$65,2,FALSE()),"Unclassified"))</f>
        <v/>
      </c>
      <c r="Z908" s="3">
        <f>IF(T908="","",IF(T908&lt;12,"Daily","Weekly"))</f>
        <v/>
      </c>
      <c r="AA908" s="3">
        <f>IF(T908="",0,IF(T908&lt;12,T908*Controls!$B$13,T908*5))</f>
        <v/>
      </c>
      <c r="AB908" s="3">
        <f>IF(E908="",0,NETWORKDAYS(E908,Controls!$B$20,Ref!$K$2:$K$42))</f>
        <v/>
      </c>
      <c r="AC908" s="3">
        <f>IF(OR(AF908=1,AND(AA908&gt;0,AB908&gt;=Controls!$B$23*AA908)),1,0)</f>
        <v/>
      </c>
      <c r="AD908" s="3">
        <f>IF(AND(E908&lt;&gt;"",E908&gt;=Controls!$B$21,E908&lt;=Controls!$B$22),1,0)</f>
        <v/>
      </c>
      <c r="AE908" s="3">
        <f>IF(IFERROR(VLOOKUP(D908,Controls!$A$36:$E$46,2,FALSE()),"No")="Yes",1,0)</f>
        <v/>
      </c>
      <c r="AF908" s="3">
        <f>IF(IFERROR(VLOOKUP(D908,Controls!$A$36:$E$46,3,FALSE()),"No")="Yes",1,0)</f>
        <v/>
      </c>
      <c r="AG908" s="3">
        <f>IF(IFERROR(VLOOKUP(D908,Controls!$A$36:$E$46,4,FALSE()),"No")="Yes",1,0)</f>
        <v/>
      </c>
      <c r="AH908" s="3">
        <f>IF(IFERROR(VLOOKUP(D908,Controls!$A$36:$E$46,5,FALSE()),"No")="Yes",1,0)</f>
        <v/>
      </c>
      <c r="AI908" s="3">
        <f>IF(ISNUMBER(MATCH(D908,Controls!$A$36:$A$46,0)),1,0)</f>
        <v/>
      </c>
      <c r="AJ908" s="28">
        <f>Q908-N908</f>
        <v/>
      </c>
      <c r="AK908" s="3">
        <f>IF(AE908=1,MAX(0,N908-Q908),0)</f>
        <v/>
      </c>
      <c r="AL908" s="3">
        <f>IF(OR(V908="",V908=0),0,N908/V908)</f>
        <v/>
      </c>
      <c r="AM908" s="3">
        <f>IF(OR(V908="",V908=0),0,1)</f>
        <v/>
      </c>
      <c r="AN908" s="3">
        <f>IF(OR(E908="",F908=""),0,NETWORKDAYS(E908,F908,Ref!$K$2:$K$42))</f>
        <v/>
      </c>
      <c r="AO908" s="3">
        <f>IF(L908="Renewal",1,0)</f>
        <v/>
      </c>
      <c r="AP908" s="3">
        <f>AC908*AD908</f>
        <v/>
      </c>
      <c r="AQ908" s="3">
        <f>IF(AND(G908&lt;&gt;"",'Historical Score'!$C$6&lt;&gt;""),IF(G908='Historical Score'!$C$6,1,0),0)</f>
        <v/>
      </c>
      <c r="AR908" s="3">
        <f>IF(AND(L908&lt;&gt;"",'Historical Score'!$C$5&lt;&gt;""),IF(L908='Historical Score'!$C$5,1,0),0)</f>
        <v/>
      </c>
      <c r="AS908" s="3">
        <f>IF(AND(Y908&lt;&gt;"",'Historical Score'!$C$7&lt;&gt;""),IF(Y908='Historical Score'!$C$7,1,0),0)</f>
        <v/>
      </c>
      <c r="AT908" s="3">
        <f>IF(AND(K908&lt;&gt;"",'Historical Score'!$C$8&lt;&gt;""),IF(K908='Historical Score'!$C$8,1,0),0)</f>
        <v/>
      </c>
      <c r="AU908" s="3" t="n"/>
      <c r="AV908" s="3" t="n"/>
      <c r="AW908" s="3" t="n"/>
      <c r="AX908" s="3" t="n"/>
      <c r="AY908" s="3" t="n"/>
      <c r="AZ908" s="3" t="n"/>
      <c r="BA908" s="182">
        <f>IF(AD908=1,(AR908*'Historical Score'!$K$29+1-'Historical Score'!$K$29)*(AT908*'Historical Score'!$L$29+1-'Historical Score'!$L$29)*(AS908*'Historical Score'!$M$29+1-'Historical Score'!$M$29)*(AQ908*'Historical Score'!$N$29+1-'Historical Score'!$N$29),0)</f>
        <v/>
      </c>
      <c r="BB908" s="3" t="n"/>
      <c r="BC908" s="3" t="n"/>
    </row>
    <row r="909" ht="15.75" customHeight="1" s="174">
      <c r="A909" s="3" t="inlineStr">
        <is>
          <t>5674184374</t>
        </is>
      </c>
      <c r="B909" s="3" t="inlineStr">
        <is>
          <t>The Edge</t>
        </is>
      </c>
      <c r="C909" s="3" t="inlineStr">
        <is>
          <t>Open Edge, LLC</t>
        </is>
      </c>
      <c r="D909" s="3" t="inlineStr">
        <is>
          <t>Open</t>
        </is>
      </c>
      <c r="E909" s="23" t="n">
        <v>46170</v>
      </c>
      <c r="F909" s="23" t="n">
        <v>46248</v>
      </c>
      <c r="G909" s="3" t="n">
        <v>3</v>
      </c>
      <c r="H909" s="3" t="inlineStr">
        <is>
          <t>5812</t>
        </is>
      </c>
      <c r="I909" s="3" t="inlineStr">
        <is>
          <t>58</t>
        </is>
      </c>
      <c r="J909" s="3" t="inlineStr">
        <is>
          <t>TX</t>
        </is>
      </c>
      <c r="K909" s="3" t="inlineStr">
        <is>
          <t>Choicecapital Solutions LLC</t>
        </is>
      </c>
      <c r="L909" s="3" t="inlineStr">
        <is>
          <t>New Deal</t>
        </is>
      </c>
      <c r="M909" s="3" t="n">
        <v>1.49</v>
      </c>
      <c r="N909" s="28" t="n">
        <v>40000</v>
      </c>
      <c r="O909" s="28" t="n">
        <v>5600</v>
      </c>
      <c r="P909" s="28" t="n">
        <v>59600</v>
      </c>
      <c r="Q909" s="28" t="n">
        <v>22927.3</v>
      </c>
      <c r="R909" s="28" t="n">
        <v>36672.7</v>
      </c>
      <c r="S909" s="42" t="n">
        <v>0.384686241610738</v>
      </c>
      <c r="T909" s="3" t="n">
        <v>26</v>
      </c>
      <c r="U909" s="3" t="n">
        <v>1</v>
      </c>
      <c r="V909" s="3" t="n">
        <v>142405.52</v>
      </c>
      <c r="W909" s="42" t="n">
        <v>0.0644</v>
      </c>
      <c r="X909" s="23" t="n">
        <v>44378</v>
      </c>
      <c r="Y909" s="3">
        <f>IF(I909="","No SIC",IFERROR(VLOOKUP(I909,Ref!$A$2:$B$65,2,FALSE()),"Unclassified"))</f>
        <v/>
      </c>
      <c r="Z909" s="3">
        <f>IF(T909="","",IF(T909&lt;12,"Daily","Weekly"))</f>
        <v/>
      </c>
      <c r="AA909" s="3">
        <f>IF(T909="",0,IF(T909&lt;12,T909*Controls!$B$13,T909*5))</f>
        <v/>
      </c>
      <c r="AB909" s="3">
        <f>IF(E909="",0,NETWORKDAYS(E909,Controls!$B$20,Ref!$K$2:$K$42))</f>
        <v/>
      </c>
      <c r="AC909" s="3">
        <f>IF(OR(AF909=1,AND(AA909&gt;0,AB909&gt;=Controls!$B$23*AA909)),1,0)</f>
        <v/>
      </c>
      <c r="AD909" s="3">
        <f>IF(AND(E909&lt;&gt;"",E909&gt;=Controls!$B$21,E909&lt;=Controls!$B$22),1,0)</f>
        <v/>
      </c>
      <c r="AE909" s="3">
        <f>IF(IFERROR(VLOOKUP(D909,Controls!$A$36:$E$46,2,FALSE()),"No")="Yes",1,0)</f>
        <v/>
      </c>
      <c r="AF909" s="3">
        <f>IF(IFERROR(VLOOKUP(D909,Controls!$A$36:$E$46,3,FALSE()),"No")="Yes",1,0)</f>
        <v/>
      </c>
      <c r="AG909" s="3">
        <f>IF(IFERROR(VLOOKUP(D909,Controls!$A$36:$E$46,4,FALSE()),"No")="Yes",1,0)</f>
        <v/>
      </c>
      <c r="AH909" s="3">
        <f>IF(IFERROR(VLOOKUP(D909,Controls!$A$36:$E$46,5,FALSE()),"No")="Yes",1,0)</f>
        <v/>
      </c>
      <c r="AI909" s="3">
        <f>IF(ISNUMBER(MATCH(D909,Controls!$A$36:$A$46,0)),1,0)</f>
        <v/>
      </c>
      <c r="AJ909" s="28">
        <f>Q909-N909</f>
        <v/>
      </c>
      <c r="AK909" s="3">
        <f>IF(AE909=1,MAX(0,N909-Q909),0)</f>
        <v/>
      </c>
      <c r="AL909" s="3">
        <f>IF(OR(V909="",V909=0),0,N909/V909)</f>
        <v/>
      </c>
      <c r="AM909" s="3">
        <f>IF(OR(V909="",V909=0),0,1)</f>
        <v/>
      </c>
      <c r="AN909" s="3">
        <f>IF(OR(E909="",F909=""),0,NETWORKDAYS(E909,F909,Ref!$K$2:$K$42))</f>
        <v/>
      </c>
      <c r="AO909" s="3">
        <f>IF(L909="Renewal",1,0)</f>
        <v/>
      </c>
      <c r="AP909" s="3">
        <f>AC909*AD909</f>
        <v/>
      </c>
      <c r="AQ909" s="3">
        <f>IF(AND(G909&lt;&gt;"",'Historical Score'!$C$6&lt;&gt;""),IF(G909='Historical Score'!$C$6,1,0),0)</f>
        <v/>
      </c>
      <c r="AR909" s="3">
        <f>IF(AND(L909&lt;&gt;"",'Historical Score'!$C$5&lt;&gt;""),IF(L909='Historical Score'!$C$5,1,0),0)</f>
        <v/>
      </c>
      <c r="AS909" s="3">
        <f>IF(AND(Y909&lt;&gt;"",'Historical Score'!$C$7&lt;&gt;""),IF(Y909='Historical Score'!$C$7,1,0),0)</f>
        <v/>
      </c>
      <c r="AT909" s="3">
        <f>IF(AND(K909&lt;&gt;"",'Historical Score'!$C$8&lt;&gt;""),IF(K909='Historical Score'!$C$8,1,0),0)</f>
        <v/>
      </c>
      <c r="AU909" s="3" t="n"/>
      <c r="AV909" s="3" t="n"/>
      <c r="AW909" s="3" t="n"/>
      <c r="AX909" s="3" t="n"/>
      <c r="AY909" s="3" t="n"/>
      <c r="AZ909" s="3" t="n"/>
      <c r="BA909" s="182">
        <f>IF(AD909=1,(AR909*'Historical Score'!$K$29+1-'Historical Score'!$K$29)*(AT909*'Historical Score'!$L$29+1-'Historical Score'!$L$29)*(AS909*'Historical Score'!$M$29+1-'Historical Score'!$M$29)*(AQ909*'Historical Score'!$N$29+1-'Historical Score'!$N$29),0)</f>
        <v/>
      </c>
      <c r="BB909" s="3" t="n"/>
      <c r="BC909" s="3" t="n"/>
    </row>
    <row r="910" ht="15.75" customHeight="1" s="174">
      <c r="A910" s="3" t="inlineStr">
        <is>
          <t>5674184447</t>
        </is>
      </c>
      <c r="B910" s="3" t="inlineStr">
        <is>
          <t>K &amp; R DEVELOPMENT</t>
        </is>
      </c>
      <c r="C910" s="3" t="inlineStr">
        <is>
          <t>K &amp; R DEVELOPMENT LLC</t>
        </is>
      </c>
      <c r="D910" s="3" t="inlineStr">
        <is>
          <t>Legal</t>
        </is>
      </c>
      <c r="E910" s="23" t="n">
        <v>46171</v>
      </c>
      <c r="F910" s="23" t="n">
        <v>46245</v>
      </c>
      <c r="G910" s="3" t="n">
        <v>3</v>
      </c>
      <c r="H910" s="3" t="inlineStr">
        <is>
          <t>6531</t>
        </is>
      </c>
      <c r="I910" s="3" t="inlineStr">
        <is>
          <t>65</t>
        </is>
      </c>
      <c r="J910" s="3" t="inlineStr">
        <is>
          <t>SC</t>
        </is>
      </c>
      <c r="K910" s="3" t="inlineStr">
        <is>
          <t>bridge consolidation</t>
        </is>
      </c>
      <c r="L910" s="3" t="inlineStr">
        <is>
          <t>Renewal</t>
        </is>
      </c>
      <c r="M910" s="3" t="n">
        <v>1.50612903</v>
      </c>
      <c r="N910" s="28" t="n">
        <v>155000</v>
      </c>
      <c r="O910" s="28" t="n">
        <v>0</v>
      </c>
      <c r="P910" s="28" t="n">
        <v>233449.99965</v>
      </c>
      <c r="Q910" s="28" t="n">
        <v>35051.8</v>
      </c>
      <c r="R910" s="28" t="n">
        <v>198398.19965</v>
      </c>
      <c r="S910" s="42" t="n">
        <v>0.15014692676184</v>
      </c>
      <c r="T910" s="3" t="n">
        <v>29</v>
      </c>
      <c r="U910" s="3" t="n">
        <v>9</v>
      </c>
      <c r="V910" s="3" t="n">
        <v>1026941.41</v>
      </c>
      <c r="W910" s="42" t="n">
        <v>0.0844</v>
      </c>
      <c r="X910" s="23" t="n">
        <v>43520</v>
      </c>
      <c r="Y910" s="3">
        <f>IF(I910="","No SIC",IFERROR(VLOOKUP(I910,Ref!$A$2:$B$65,2,FALSE()),"Unclassified"))</f>
        <v/>
      </c>
      <c r="Z910" s="3">
        <f>IF(T910="","",IF(T910&lt;12,"Daily","Weekly"))</f>
        <v/>
      </c>
      <c r="AA910" s="3">
        <f>IF(T910="",0,IF(T910&lt;12,T910*Controls!$B$13,T910*5))</f>
        <v/>
      </c>
      <c r="AB910" s="3">
        <f>IF(E910="",0,NETWORKDAYS(E910,Controls!$B$20,Ref!$K$2:$K$42))</f>
        <v/>
      </c>
      <c r="AC910" s="3">
        <f>IF(OR(AF910=1,AND(AA910&gt;0,AB910&gt;=Controls!$B$23*AA910)),1,0)</f>
        <v/>
      </c>
      <c r="AD910" s="3">
        <f>IF(AND(E910&lt;&gt;"",E910&gt;=Controls!$B$21,E910&lt;=Controls!$B$22),1,0)</f>
        <v/>
      </c>
      <c r="AE910" s="3">
        <f>IF(IFERROR(VLOOKUP(D910,Controls!$A$36:$E$46,2,FALSE()),"No")="Yes",1,0)</f>
        <v/>
      </c>
      <c r="AF910" s="3">
        <f>IF(IFERROR(VLOOKUP(D910,Controls!$A$36:$E$46,3,FALSE()),"No")="Yes",1,0)</f>
        <v/>
      </c>
      <c r="AG910" s="3">
        <f>IF(IFERROR(VLOOKUP(D910,Controls!$A$36:$E$46,4,FALSE()),"No")="Yes",1,0)</f>
        <v/>
      </c>
      <c r="AH910" s="3">
        <f>IF(IFERROR(VLOOKUP(D910,Controls!$A$36:$E$46,5,FALSE()),"No")="Yes",1,0)</f>
        <v/>
      </c>
      <c r="AI910" s="3">
        <f>IF(ISNUMBER(MATCH(D910,Controls!$A$36:$A$46,0)),1,0)</f>
        <v/>
      </c>
      <c r="AJ910" s="28">
        <f>Q910-N910</f>
        <v/>
      </c>
      <c r="AK910" s="3">
        <f>IF(AE910=1,MAX(0,N910-Q910),0)</f>
        <v/>
      </c>
      <c r="AL910" s="3">
        <f>IF(OR(V910="",V910=0),0,N910/V910)</f>
        <v/>
      </c>
      <c r="AM910" s="3">
        <f>IF(OR(V910="",V910=0),0,1)</f>
        <v/>
      </c>
      <c r="AN910" s="3">
        <f>IF(OR(E910="",F910=""),0,NETWORKDAYS(E910,F910,Ref!$K$2:$K$42))</f>
        <v/>
      </c>
      <c r="AO910" s="3">
        <f>IF(L910="Renewal",1,0)</f>
        <v/>
      </c>
      <c r="AP910" s="3">
        <f>AC910*AD910</f>
        <v/>
      </c>
      <c r="AQ910" s="3">
        <f>IF(AND(G910&lt;&gt;"",'Historical Score'!$C$6&lt;&gt;""),IF(G910='Historical Score'!$C$6,1,0),0)</f>
        <v/>
      </c>
      <c r="AR910" s="3">
        <f>IF(AND(L910&lt;&gt;"",'Historical Score'!$C$5&lt;&gt;""),IF(L910='Historical Score'!$C$5,1,0),0)</f>
        <v/>
      </c>
      <c r="AS910" s="3">
        <f>IF(AND(Y910&lt;&gt;"",'Historical Score'!$C$7&lt;&gt;""),IF(Y910='Historical Score'!$C$7,1,0),0)</f>
        <v/>
      </c>
      <c r="AT910" s="3">
        <f>IF(AND(K910&lt;&gt;"",'Historical Score'!$C$8&lt;&gt;""),IF(K910='Historical Score'!$C$8,1,0),0)</f>
        <v/>
      </c>
      <c r="AU910" s="3" t="n"/>
      <c r="AV910" s="3" t="n"/>
      <c r="AW910" s="3" t="n"/>
      <c r="AX910" s="3" t="n"/>
      <c r="AY910" s="3" t="n"/>
      <c r="AZ910" s="3" t="n"/>
      <c r="BA910" s="182">
        <f>IF(AD910=1,(AR910*'Historical Score'!$K$29+1-'Historical Score'!$K$29)*(AT910*'Historical Score'!$L$29+1-'Historical Score'!$L$29)*(AS910*'Historical Score'!$M$29+1-'Historical Score'!$M$29)*(AQ910*'Historical Score'!$N$29+1-'Historical Score'!$N$29),0)</f>
        <v/>
      </c>
      <c r="BB910" s="3" t="n"/>
      <c r="BC910" s="3" t="n"/>
    </row>
    <row r="911" ht="15.75" customHeight="1" s="174">
      <c r="A911" s="3" t="inlineStr">
        <is>
          <t>5674184485</t>
        </is>
      </c>
      <c r="B911" s="3" t="inlineStr">
        <is>
          <t>ELSE NUTRITION</t>
        </is>
      </c>
      <c r="C911" s="3" t="inlineStr">
        <is>
          <t>ELSE NUTRITION USA INC</t>
        </is>
      </c>
      <c r="D911" s="3" t="inlineStr">
        <is>
          <t>Open</t>
        </is>
      </c>
      <c r="E911" s="23" t="n">
        <v>46171</v>
      </c>
      <c r="F911" s="23" t="n">
        <v>46247</v>
      </c>
      <c r="G911" s="3" t="n">
        <v>3</v>
      </c>
      <c r="H911" s="3" t="inlineStr">
        <is>
          <t>5131</t>
        </is>
      </c>
      <c r="I911" s="3" t="inlineStr">
        <is>
          <t>51</t>
        </is>
      </c>
      <c r="J911" s="3" t="inlineStr">
        <is>
          <t>OH</t>
        </is>
      </c>
      <c r="K911" s="3" t="inlineStr">
        <is>
          <t>PMF</t>
        </is>
      </c>
      <c r="L911" s="3" t="inlineStr">
        <is>
          <t>New Deal</t>
        </is>
      </c>
      <c r="M911" s="3" t="n">
        <v>1.35</v>
      </c>
      <c r="N911" s="28" t="n">
        <v>110000</v>
      </c>
      <c r="O911" s="28" t="n">
        <v>7700</v>
      </c>
      <c r="P911" s="28" t="n">
        <v>148500</v>
      </c>
      <c r="Q911" s="28" t="n">
        <v>49531.46</v>
      </c>
      <c r="R911" s="28" t="n">
        <v>98968.53999999999</v>
      </c>
      <c r="S911" s="42" t="n">
        <v>0.333545185185185</v>
      </c>
      <c r="T911" s="3" t="n">
        <v>33</v>
      </c>
      <c r="U911" s="3" t="n">
        <v>0</v>
      </c>
      <c r="V911" s="3" t="n">
        <v>182609.78</v>
      </c>
      <c r="W911" s="42" t="n">
        <v>0.0633</v>
      </c>
      <c r="X911" s="23" t="n">
        <v>43831</v>
      </c>
      <c r="Y911" s="3">
        <f>IF(I911="","No SIC",IFERROR(VLOOKUP(I911,Ref!$A$2:$B$65,2,FALSE()),"Unclassified"))</f>
        <v/>
      </c>
      <c r="Z911" s="3">
        <f>IF(T911="","",IF(T911&lt;12,"Daily","Weekly"))</f>
        <v/>
      </c>
      <c r="AA911" s="3">
        <f>IF(T911="",0,IF(T911&lt;12,T911*Controls!$B$13,T911*5))</f>
        <v/>
      </c>
      <c r="AB911" s="3">
        <f>IF(E911="",0,NETWORKDAYS(E911,Controls!$B$20,Ref!$K$2:$K$42))</f>
        <v/>
      </c>
      <c r="AC911" s="3">
        <f>IF(OR(AF911=1,AND(AA911&gt;0,AB911&gt;=Controls!$B$23*AA911)),1,0)</f>
        <v/>
      </c>
      <c r="AD911" s="3">
        <f>IF(AND(E911&lt;&gt;"",E911&gt;=Controls!$B$21,E911&lt;=Controls!$B$22),1,0)</f>
        <v/>
      </c>
      <c r="AE911" s="3">
        <f>IF(IFERROR(VLOOKUP(D911,Controls!$A$36:$E$46,2,FALSE()),"No")="Yes",1,0)</f>
        <v/>
      </c>
      <c r="AF911" s="3">
        <f>IF(IFERROR(VLOOKUP(D911,Controls!$A$36:$E$46,3,FALSE()),"No")="Yes",1,0)</f>
        <v/>
      </c>
      <c r="AG911" s="3">
        <f>IF(IFERROR(VLOOKUP(D911,Controls!$A$36:$E$46,4,FALSE()),"No")="Yes",1,0)</f>
        <v/>
      </c>
      <c r="AH911" s="3">
        <f>IF(IFERROR(VLOOKUP(D911,Controls!$A$36:$E$46,5,FALSE()),"No")="Yes",1,0)</f>
        <v/>
      </c>
      <c r="AI911" s="3">
        <f>IF(ISNUMBER(MATCH(D911,Controls!$A$36:$A$46,0)),1,0)</f>
        <v/>
      </c>
      <c r="AJ911" s="28">
        <f>Q911-N911</f>
        <v/>
      </c>
      <c r="AK911" s="3">
        <f>IF(AE911=1,MAX(0,N911-Q911),0)</f>
        <v/>
      </c>
      <c r="AL911" s="3">
        <f>IF(OR(V911="",V911=0),0,N911/V911)</f>
        <v/>
      </c>
      <c r="AM911" s="3">
        <f>IF(OR(V911="",V911=0),0,1)</f>
        <v/>
      </c>
      <c r="AN911" s="3">
        <f>IF(OR(E911="",F911=""),0,NETWORKDAYS(E911,F911,Ref!$K$2:$K$42))</f>
        <v/>
      </c>
      <c r="AO911" s="3">
        <f>IF(L911="Renewal",1,0)</f>
        <v/>
      </c>
      <c r="AP911" s="3">
        <f>AC911*AD911</f>
        <v/>
      </c>
      <c r="AQ911" s="3">
        <f>IF(AND(G911&lt;&gt;"",'Historical Score'!$C$6&lt;&gt;""),IF(G911='Historical Score'!$C$6,1,0),0)</f>
        <v/>
      </c>
      <c r="AR911" s="3">
        <f>IF(AND(L911&lt;&gt;"",'Historical Score'!$C$5&lt;&gt;""),IF(L911='Historical Score'!$C$5,1,0),0)</f>
        <v/>
      </c>
      <c r="AS911" s="3">
        <f>IF(AND(Y911&lt;&gt;"",'Historical Score'!$C$7&lt;&gt;""),IF(Y911='Historical Score'!$C$7,1,0),0)</f>
        <v/>
      </c>
      <c r="AT911" s="3">
        <f>IF(AND(K911&lt;&gt;"",'Historical Score'!$C$8&lt;&gt;""),IF(K911='Historical Score'!$C$8,1,0),0)</f>
        <v/>
      </c>
      <c r="AU911" s="3" t="n"/>
      <c r="AV911" s="3" t="n"/>
      <c r="AW911" s="3" t="n"/>
      <c r="AX911" s="3" t="n"/>
      <c r="AY911" s="3" t="n"/>
      <c r="AZ911" s="3" t="n"/>
      <c r="BA911" s="182">
        <f>IF(AD911=1,(AR911*'Historical Score'!$K$29+1-'Historical Score'!$K$29)*(AT911*'Historical Score'!$L$29+1-'Historical Score'!$L$29)*(AS911*'Historical Score'!$M$29+1-'Historical Score'!$M$29)*(AQ911*'Historical Score'!$N$29+1-'Historical Score'!$N$29),0)</f>
        <v/>
      </c>
      <c r="BB911" s="3" t="n"/>
      <c r="BC911" s="3" t="n"/>
    </row>
    <row r="912" ht="15.75" customHeight="1" s="174">
      <c r="A912" s="3" t="inlineStr">
        <is>
          <t>5674184501</t>
        </is>
      </c>
      <c r="B912" s="3" t="inlineStr">
        <is>
          <t>TITAN MECHANICAL LLC</t>
        </is>
      </c>
      <c r="C912" s="3" t="inlineStr">
        <is>
          <t>TITAN MECHANICAL LLC</t>
        </is>
      </c>
      <c r="D912" s="3" t="inlineStr">
        <is>
          <t>Open</t>
        </is>
      </c>
      <c r="E912" s="23" t="n">
        <v>46171</v>
      </c>
      <c r="F912" s="23" t="n">
        <v>46248</v>
      </c>
      <c r="G912" s="3" t="n">
        <v>3</v>
      </c>
      <c r="H912" s="3" t="inlineStr">
        <is>
          <t>1799</t>
        </is>
      </c>
      <c r="I912" s="3" t="inlineStr">
        <is>
          <t>17</t>
        </is>
      </c>
      <c r="J912" s="3" t="inlineStr">
        <is>
          <t>TX</t>
        </is>
      </c>
      <c r="K912" s="3" t="inlineStr">
        <is>
          <t>PMF</t>
        </is>
      </c>
      <c r="L912" s="3" t="inlineStr">
        <is>
          <t>New Deal</t>
        </is>
      </c>
      <c r="M912" s="3" t="n">
        <v>1.41</v>
      </c>
      <c r="N912" s="28" t="n">
        <v>60000</v>
      </c>
      <c r="O912" s="28" t="n">
        <v>6000</v>
      </c>
      <c r="P912" s="28" t="n">
        <v>84600</v>
      </c>
      <c r="Q912" s="28" t="n">
        <v>25832.62</v>
      </c>
      <c r="R912" s="28" t="n">
        <v>58767.38</v>
      </c>
      <c r="S912" s="42" t="n">
        <v>0.30535011820331</v>
      </c>
      <c r="T912" s="3" t="n">
        <v>36</v>
      </c>
      <c r="U912" s="3" t="n">
        <v>0</v>
      </c>
      <c r="V912" s="3" t="n">
        <v>138345.67</v>
      </c>
      <c r="W912" s="42" t="n">
        <v>0.0679</v>
      </c>
      <c r="X912" s="23" t="n">
        <v>39083</v>
      </c>
      <c r="Y912" s="3">
        <f>IF(I912="","No SIC",IFERROR(VLOOKUP(I912,Ref!$A$2:$B$65,2,FALSE()),"Unclassified"))</f>
        <v/>
      </c>
      <c r="Z912" s="3">
        <f>IF(T912="","",IF(T912&lt;12,"Daily","Weekly"))</f>
        <v/>
      </c>
      <c r="AA912" s="3">
        <f>IF(T912="",0,IF(T912&lt;12,T912*Controls!$B$13,T912*5))</f>
        <v/>
      </c>
      <c r="AB912" s="3">
        <f>IF(E912="",0,NETWORKDAYS(E912,Controls!$B$20,Ref!$K$2:$K$42))</f>
        <v/>
      </c>
      <c r="AC912" s="3">
        <f>IF(OR(AF912=1,AND(AA912&gt;0,AB912&gt;=Controls!$B$23*AA912)),1,0)</f>
        <v/>
      </c>
      <c r="AD912" s="3">
        <f>IF(AND(E912&lt;&gt;"",E912&gt;=Controls!$B$21,E912&lt;=Controls!$B$22),1,0)</f>
        <v/>
      </c>
      <c r="AE912" s="3">
        <f>IF(IFERROR(VLOOKUP(D912,Controls!$A$36:$E$46,2,FALSE()),"No")="Yes",1,0)</f>
        <v/>
      </c>
      <c r="AF912" s="3">
        <f>IF(IFERROR(VLOOKUP(D912,Controls!$A$36:$E$46,3,FALSE()),"No")="Yes",1,0)</f>
        <v/>
      </c>
      <c r="AG912" s="3">
        <f>IF(IFERROR(VLOOKUP(D912,Controls!$A$36:$E$46,4,FALSE()),"No")="Yes",1,0)</f>
        <v/>
      </c>
      <c r="AH912" s="3">
        <f>IF(IFERROR(VLOOKUP(D912,Controls!$A$36:$E$46,5,FALSE()),"No")="Yes",1,0)</f>
        <v/>
      </c>
      <c r="AI912" s="3">
        <f>IF(ISNUMBER(MATCH(D912,Controls!$A$36:$A$46,0)),1,0)</f>
        <v/>
      </c>
      <c r="AJ912" s="28">
        <f>Q912-N912</f>
        <v/>
      </c>
      <c r="AK912" s="3">
        <f>IF(AE912=1,MAX(0,N912-Q912),0)</f>
        <v/>
      </c>
      <c r="AL912" s="3">
        <f>IF(OR(V912="",V912=0),0,N912/V912)</f>
        <v/>
      </c>
      <c r="AM912" s="3">
        <f>IF(OR(V912="",V912=0),0,1)</f>
        <v/>
      </c>
      <c r="AN912" s="3">
        <f>IF(OR(E912="",F912=""),0,NETWORKDAYS(E912,F912,Ref!$K$2:$K$42))</f>
        <v/>
      </c>
      <c r="AO912" s="3">
        <f>IF(L912="Renewal",1,0)</f>
        <v/>
      </c>
      <c r="AP912" s="3">
        <f>AC912*AD912</f>
        <v/>
      </c>
      <c r="AQ912" s="3">
        <f>IF(AND(G912&lt;&gt;"",'Historical Score'!$C$6&lt;&gt;""),IF(G912='Historical Score'!$C$6,1,0),0)</f>
        <v/>
      </c>
      <c r="AR912" s="3">
        <f>IF(AND(L912&lt;&gt;"",'Historical Score'!$C$5&lt;&gt;""),IF(L912='Historical Score'!$C$5,1,0),0)</f>
        <v/>
      </c>
      <c r="AS912" s="3">
        <f>IF(AND(Y912&lt;&gt;"",'Historical Score'!$C$7&lt;&gt;""),IF(Y912='Historical Score'!$C$7,1,0),0)</f>
        <v/>
      </c>
      <c r="AT912" s="3">
        <f>IF(AND(K912&lt;&gt;"",'Historical Score'!$C$8&lt;&gt;""),IF(K912='Historical Score'!$C$8,1,0),0)</f>
        <v/>
      </c>
      <c r="AU912" s="3" t="n"/>
      <c r="AV912" s="3" t="n"/>
      <c r="AW912" s="3" t="n"/>
      <c r="AX912" s="3" t="n"/>
      <c r="AY912" s="3" t="n"/>
      <c r="AZ912" s="3" t="n"/>
      <c r="BA912" s="182">
        <f>IF(AD912=1,(AR912*'Historical Score'!$K$29+1-'Historical Score'!$K$29)*(AT912*'Historical Score'!$L$29+1-'Historical Score'!$L$29)*(AS912*'Historical Score'!$M$29+1-'Historical Score'!$M$29)*(AQ912*'Historical Score'!$N$29+1-'Historical Score'!$N$29),0)</f>
        <v/>
      </c>
      <c r="BB912" s="3" t="n"/>
      <c r="BC912" s="3" t="n"/>
    </row>
    <row r="913" ht="15.75" customHeight="1" s="174">
      <c r="A913" s="3" t="inlineStr">
        <is>
          <t>5674184525</t>
        </is>
      </c>
      <c r="B913" s="3" t="inlineStr">
        <is>
          <t>TG SPORTSMANS CLUB</t>
        </is>
      </c>
      <c r="C913" s="3" t="inlineStr">
        <is>
          <t>TG SPORTSMANS CLUB</t>
        </is>
      </c>
      <c r="D913" s="3" t="inlineStr">
        <is>
          <t>Open</t>
        </is>
      </c>
      <c r="E913" s="23" t="n">
        <v>46171</v>
      </c>
      <c r="F913" s="23" t="n">
        <v>46253</v>
      </c>
      <c r="G913" s="3" t="n">
        <v>2</v>
      </c>
      <c r="H913" s="3" t="inlineStr">
        <is>
          <t>5999</t>
        </is>
      </c>
      <c r="I913" s="3" t="inlineStr">
        <is>
          <t>59</t>
        </is>
      </c>
      <c r="J913" s="3" t="inlineStr">
        <is>
          <t>MO</t>
        </is>
      </c>
      <c r="K913" s="3" t="inlineStr">
        <is>
          <t>National Business Capital</t>
        </is>
      </c>
      <c r="L913" s="3" t="inlineStr">
        <is>
          <t>New Deal</t>
        </is>
      </c>
      <c r="M913" s="3" t="n">
        <v>1.49</v>
      </c>
      <c r="N913" s="28" t="n">
        <v>20000</v>
      </c>
      <c r="O913" s="28" t="n">
        <v>2800</v>
      </c>
      <c r="P913" s="28" t="n">
        <v>29800</v>
      </c>
      <c r="Q913" s="28" t="n">
        <v>9622.879999999999</v>
      </c>
      <c r="R913" s="28" t="n">
        <v>20177.12</v>
      </c>
      <c r="S913" s="42" t="n">
        <v>0.322915436241611</v>
      </c>
      <c r="T913" s="3" t="n">
        <v>26</v>
      </c>
      <c r="U913" s="3" t="n">
        <v>8</v>
      </c>
      <c r="V913" s="3" t="n">
        <v>26094.92</v>
      </c>
      <c r="W913" s="42" t="n">
        <v>0.1757</v>
      </c>
      <c r="X913" s="23" t="n">
        <v>41430</v>
      </c>
      <c r="Y913" s="3">
        <f>IF(I913="","No SIC",IFERROR(VLOOKUP(I913,Ref!$A$2:$B$65,2,FALSE()),"Unclassified"))</f>
        <v/>
      </c>
      <c r="Z913" s="3">
        <f>IF(T913="","",IF(T913&lt;12,"Daily","Weekly"))</f>
        <v/>
      </c>
      <c r="AA913" s="3">
        <f>IF(T913="",0,IF(T913&lt;12,T913*Controls!$B$13,T913*5))</f>
        <v/>
      </c>
      <c r="AB913" s="3">
        <f>IF(E913="",0,NETWORKDAYS(E913,Controls!$B$20,Ref!$K$2:$K$42))</f>
        <v/>
      </c>
      <c r="AC913" s="3">
        <f>IF(OR(AF913=1,AND(AA913&gt;0,AB913&gt;=Controls!$B$23*AA913)),1,0)</f>
        <v/>
      </c>
      <c r="AD913" s="3">
        <f>IF(AND(E913&lt;&gt;"",E913&gt;=Controls!$B$21,E913&lt;=Controls!$B$22),1,0)</f>
        <v/>
      </c>
      <c r="AE913" s="3">
        <f>IF(IFERROR(VLOOKUP(D913,Controls!$A$36:$E$46,2,FALSE()),"No")="Yes",1,0)</f>
        <v/>
      </c>
      <c r="AF913" s="3">
        <f>IF(IFERROR(VLOOKUP(D913,Controls!$A$36:$E$46,3,FALSE()),"No")="Yes",1,0)</f>
        <v/>
      </c>
      <c r="AG913" s="3">
        <f>IF(IFERROR(VLOOKUP(D913,Controls!$A$36:$E$46,4,FALSE()),"No")="Yes",1,0)</f>
        <v/>
      </c>
      <c r="AH913" s="3">
        <f>IF(IFERROR(VLOOKUP(D913,Controls!$A$36:$E$46,5,FALSE()),"No")="Yes",1,0)</f>
        <v/>
      </c>
      <c r="AI913" s="3">
        <f>IF(ISNUMBER(MATCH(D913,Controls!$A$36:$A$46,0)),1,0)</f>
        <v/>
      </c>
      <c r="AJ913" s="28">
        <f>Q913-N913</f>
        <v/>
      </c>
      <c r="AK913" s="3">
        <f>IF(AE913=1,MAX(0,N913-Q913),0)</f>
        <v/>
      </c>
      <c r="AL913" s="3">
        <f>IF(OR(V913="",V913=0),0,N913/V913)</f>
        <v/>
      </c>
      <c r="AM913" s="3">
        <f>IF(OR(V913="",V913=0),0,1)</f>
        <v/>
      </c>
      <c r="AN913" s="3">
        <f>IF(OR(E913="",F913=""),0,NETWORKDAYS(E913,F913,Ref!$K$2:$K$42))</f>
        <v/>
      </c>
      <c r="AO913" s="3">
        <f>IF(L913="Renewal",1,0)</f>
        <v/>
      </c>
      <c r="AP913" s="3">
        <f>AC913*AD913</f>
        <v/>
      </c>
      <c r="AQ913" s="3">
        <f>IF(AND(G913&lt;&gt;"",'Historical Score'!$C$6&lt;&gt;""),IF(G913='Historical Score'!$C$6,1,0),0)</f>
        <v/>
      </c>
      <c r="AR913" s="3">
        <f>IF(AND(L913&lt;&gt;"",'Historical Score'!$C$5&lt;&gt;""),IF(L913='Historical Score'!$C$5,1,0),0)</f>
        <v/>
      </c>
      <c r="AS913" s="3">
        <f>IF(AND(Y913&lt;&gt;"",'Historical Score'!$C$7&lt;&gt;""),IF(Y913='Historical Score'!$C$7,1,0),0)</f>
        <v/>
      </c>
      <c r="AT913" s="3">
        <f>IF(AND(K913&lt;&gt;"",'Historical Score'!$C$8&lt;&gt;""),IF(K913='Historical Score'!$C$8,1,0),0)</f>
        <v/>
      </c>
      <c r="AU913" s="3" t="n"/>
      <c r="AV913" s="3" t="n"/>
      <c r="AW913" s="3" t="n"/>
      <c r="AX913" s="3" t="n"/>
      <c r="AY913" s="3" t="n"/>
      <c r="AZ913" s="3" t="n"/>
      <c r="BA913" s="182">
        <f>IF(AD913=1,(AR913*'Historical Score'!$K$29+1-'Historical Score'!$K$29)*(AT913*'Historical Score'!$L$29+1-'Historical Score'!$L$29)*(AS913*'Historical Score'!$M$29+1-'Historical Score'!$M$29)*(AQ913*'Historical Score'!$N$29+1-'Historical Score'!$N$29),0)</f>
        <v/>
      </c>
      <c r="BB913" s="3" t="n"/>
      <c r="BC913" s="3" t="n"/>
    </row>
    <row r="914" ht="15.75" customHeight="1" s="174">
      <c r="A914" s="3" t="inlineStr">
        <is>
          <t>5674184534</t>
        </is>
      </c>
      <c r="B914" s="3" t="inlineStr">
        <is>
          <t>A&amp;W Restaurant</t>
        </is>
      </c>
      <c r="C914" s="3" t="inlineStr">
        <is>
          <t>All American fast food inc</t>
        </is>
      </c>
      <c r="D914" s="3" t="inlineStr">
        <is>
          <t>In House Collection</t>
        </is>
      </c>
      <c r="E914" s="23" t="n">
        <v>46171</v>
      </c>
      <c r="F914" s="23" t="n">
        <v>46227</v>
      </c>
      <c r="G914" s="3" t="n">
        <v>3</v>
      </c>
      <c r="H914" s="3" t="inlineStr">
        <is>
          <t>5812</t>
        </is>
      </c>
      <c r="I914" s="3" t="inlineStr">
        <is>
          <t>58</t>
        </is>
      </c>
      <c r="J914" s="3" t="inlineStr">
        <is>
          <t>MI</t>
        </is>
      </c>
      <c r="K914" s="3" t="inlineStr">
        <is>
          <t>Fidelity Funding</t>
        </is>
      </c>
      <c r="L914" s="3" t="inlineStr">
        <is>
          <t>New Deal</t>
        </is>
      </c>
      <c r="M914" s="3" t="n">
        <v>1.49</v>
      </c>
      <c r="N914" s="28" t="n">
        <v>20000</v>
      </c>
      <c r="O914" s="28" t="n">
        <v>2800</v>
      </c>
      <c r="P914" s="28" t="n">
        <v>29800</v>
      </c>
      <c r="Q914" s="28" t="n">
        <v>4770</v>
      </c>
      <c r="R914" s="28" t="n">
        <v>25030</v>
      </c>
      <c r="S914" s="42" t="n">
        <v>0.16006711409396</v>
      </c>
      <c r="T914" s="3" t="n">
        <v>25</v>
      </c>
      <c r="U914" s="3" t="n">
        <v>4</v>
      </c>
      <c r="V914" s="3" t="n">
        <v>68000</v>
      </c>
      <c r="W914" s="42" t="n">
        <v>0.053</v>
      </c>
      <c r="X914" s="23" t="n">
        <v>44275</v>
      </c>
      <c r="Y914" s="3">
        <f>IF(I914="","No SIC",IFERROR(VLOOKUP(I914,Ref!$A$2:$B$65,2,FALSE()),"Unclassified"))</f>
        <v/>
      </c>
      <c r="Z914" s="3">
        <f>IF(T914="","",IF(T914&lt;12,"Daily","Weekly"))</f>
        <v/>
      </c>
      <c r="AA914" s="3">
        <f>IF(T914="",0,IF(T914&lt;12,T914*Controls!$B$13,T914*5))</f>
        <v/>
      </c>
      <c r="AB914" s="3">
        <f>IF(E914="",0,NETWORKDAYS(E914,Controls!$B$20,Ref!$K$2:$K$42))</f>
        <v/>
      </c>
      <c r="AC914" s="3">
        <f>IF(OR(AF914=1,AND(AA914&gt;0,AB914&gt;=Controls!$B$23*AA914)),1,0)</f>
        <v/>
      </c>
      <c r="AD914" s="3">
        <f>IF(AND(E914&lt;&gt;"",E914&gt;=Controls!$B$21,E914&lt;=Controls!$B$22),1,0)</f>
        <v/>
      </c>
      <c r="AE914" s="3">
        <f>IF(IFERROR(VLOOKUP(D914,Controls!$A$36:$E$46,2,FALSE()),"No")="Yes",1,0)</f>
        <v/>
      </c>
      <c r="AF914" s="3">
        <f>IF(IFERROR(VLOOKUP(D914,Controls!$A$36:$E$46,3,FALSE()),"No")="Yes",1,0)</f>
        <v/>
      </c>
      <c r="AG914" s="3">
        <f>IF(IFERROR(VLOOKUP(D914,Controls!$A$36:$E$46,4,FALSE()),"No")="Yes",1,0)</f>
        <v/>
      </c>
      <c r="AH914" s="3">
        <f>IF(IFERROR(VLOOKUP(D914,Controls!$A$36:$E$46,5,FALSE()),"No")="Yes",1,0)</f>
        <v/>
      </c>
      <c r="AI914" s="3">
        <f>IF(ISNUMBER(MATCH(D914,Controls!$A$36:$A$46,0)),1,0)</f>
        <v/>
      </c>
      <c r="AJ914" s="28">
        <f>Q914-N914</f>
        <v/>
      </c>
      <c r="AK914" s="3">
        <f>IF(AE914=1,MAX(0,N914-Q914),0)</f>
        <v/>
      </c>
      <c r="AL914" s="3">
        <f>IF(OR(V914="",V914=0),0,N914/V914)</f>
        <v/>
      </c>
      <c r="AM914" s="3">
        <f>IF(OR(V914="",V914=0),0,1)</f>
        <v/>
      </c>
      <c r="AN914" s="3">
        <f>IF(OR(E914="",F914=""),0,NETWORKDAYS(E914,F914,Ref!$K$2:$K$42))</f>
        <v/>
      </c>
      <c r="AO914" s="3">
        <f>IF(L914="Renewal",1,0)</f>
        <v/>
      </c>
      <c r="AP914" s="3">
        <f>AC914*AD914</f>
        <v/>
      </c>
      <c r="AQ914" s="3">
        <f>IF(AND(G914&lt;&gt;"",'Historical Score'!$C$6&lt;&gt;""),IF(G914='Historical Score'!$C$6,1,0),0)</f>
        <v/>
      </c>
      <c r="AR914" s="3">
        <f>IF(AND(L914&lt;&gt;"",'Historical Score'!$C$5&lt;&gt;""),IF(L914='Historical Score'!$C$5,1,0),0)</f>
        <v/>
      </c>
      <c r="AS914" s="3">
        <f>IF(AND(Y914&lt;&gt;"",'Historical Score'!$C$7&lt;&gt;""),IF(Y914='Historical Score'!$C$7,1,0),0)</f>
        <v/>
      </c>
      <c r="AT914" s="3">
        <f>IF(AND(K914&lt;&gt;"",'Historical Score'!$C$8&lt;&gt;""),IF(K914='Historical Score'!$C$8,1,0),0)</f>
        <v/>
      </c>
      <c r="AU914" s="3" t="n"/>
      <c r="AV914" s="3" t="n"/>
      <c r="AW914" s="3" t="n"/>
      <c r="AX914" s="3" t="n"/>
      <c r="AY914" s="3" t="n"/>
      <c r="AZ914" s="3" t="n"/>
      <c r="BA914" s="182">
        <f>IF(AD914=1,(AR914*'Historical Score'!$K$29+1-'Historical Score'!$K$29)*(AT914*'Historical Score'!$L$29+1-'Historical Score'!$L$29)*(AS914*'Historical Score'!$M$29+1-'Historical Score'!$M$29)*(AQ914*'Historical Score'!$N$29+1-'Historical Score'!$N$29),0)</f>
        <v/>
      </c>
      <c r="BB914" s="3" t="n"/>
      <c r="BC914" s="3" t="n"/>
    </row>
    <row r="915" ht="15.75" customHeight="1" s="174">
      <c r="A915" s="3" t="inlineStr">
        <is>
          <t>5674184536</t>
        </is>
      </c>
      <c r="B915" s="3" t="inlineStr">
        <is>
          <t>Army Shop</t>
        </is>
      </c>
      <c r="C915" s="3" t="inlineStr">
        <is>
          <t>Army Shop</t>
        </is>
      </c>
      <c r="D915" s="3" t="inlineStr">
        <is>
          <t>Open</t>
        </is>
      </c>
      <c r="E915" s="23" t="n">
        <v>46171</v>
      </c>
      <c r="F915" s="23" t="n">
        <v>46251</v>
      </c>
      <c r="G915" s="3" t="n">
        <v>2</v>
      </c>
      <c r="H915" s="3" t="inlineStr">
        <is>
          <t>5999</t>
        </is>
      </c>
      <c r="I915" s="3" t="inlineStr">
        <is>
          <t>59</t>
        </is>
      </c>
      <c r="J915" s="3" t="inlineStr">
        <is>
          <t>NV</t>
        </is>
      </c>
      <c r="K915" s="3" t="inlineStr">
        <is>
          <t>PMF</t>
        </is>
      </c>
      <c r="L915" s="3" t="inlineStr">
        <is>
          <t>New Deal</t>
        </is>
      </c>
      <c r="M915" s="3" t="n">
        <v>1.49</v>
      </c>
      <c r="N915" s="28" t="n">
        <v>20000</v>
      </c>
      <c r="O915" s="28" t="n">
        <v>2800</v>
      </c>
      <c r="P915" s="28" t="n">
        <v>29800</v>
      </c>
      <c r="Q915" s="28" t="n">
        <v>14891.28</v>
      </c>
      <c r="R915" s="28" t="n">
        <v>14908.72</v>
      </c>
      <c r="S915" s="42" t="n">
        <v>0.499707382550336</v>
      </c>
      <c r="T915" s="3" t="n">
        <v>24</v>
      </c>
      <c r="U915" s="3" t="n">
        <v>0</v>
      </c>
      <c r="V915" s="3" t="n">
        <v>72042.77</v>
      </c>
      <c r="W915" s="42" t="n">
        <v>0.0689</v>
      </c>
      <c r="X915" s="23" t="n">
        <v>45320</v>
      </c>
      <c r="Y915" s="3">
        <f>IF(I915="","No SIC",IFERROR(VLOOKUP(I915,Ref!$A$2:$B$65,2,FALSE()),"Unclassified"))</f>
        <v/>
      </c>
      <c r="Z915" s="3">
        <f>IF(T915="","",IF(T915&lt;12,"Daily","Weekly"))</f>
        <v/>
      </c>
      <c r="AA915" s="3">
        <f>IF(T915="",0,IF(T915&lt;12,T915*Controls!$B$13,T915*5))</f>
        <v/>
      </c>
      <c r="AB915" s="3">
        <f>IF(E915="",0,NETWORKDAYS(E915,Controls!$B$20,Ref!$K$2:$K$42))</f>
        <v/>
      </c>
      <c r="AC915" s="3">
        <f>IF(OR(AF915=1,AND(AA915&gt;0,AB915&gt;=Controls!$B$23*AA915)),1,0)</f>
        <v/>
      </c>
      <c r="AD915" s="3">
        <f>IF(AND(E915&lt;&gt;"",E915&gt;=Controls!$B$21,E915&lt;=Controls!$B$22),1,0)</f>
        <v/>
      </c>
      <c r="AE915" s="3">
        <f>IF(IFERROR(VLOOKUP(D915,Controls!$A$36:$E$46,2,FALSE()),"No")="Yes",1,0)</f>
        <v/>
      </c>
      <c r="AF915" s="3">
        <f>IF(IFERROR(VLOOKUP(D915,Controls!$A$36:$E$46,3,FALSE()),"No")="Yes",1,0)</f>
        <v/>
      </c>
      <c r="AG915" s="3">
        <f>IF(IFERROR(VLOOKUP(D915,Controls!$A$36:$E$46,4,FALSE()),"No")="Yes",1,0)</f>
        <v/>
      </c>
      <c r="AH915" s="3">
        <f>IF(IFERROR(VLOOKUP(D915,Controls!$A$36:$E$46,5,FALSE()),"No")="Yes",1,0)</f>
        <v/>
      </c>
      <c r="AI915" s="3">
        <f>IF(ISNUMBER(MATCH(D915,Controls!$A$36:$A$46,0)),1,0)</f>
        <v/>
      </c>
      <c r="AJ915" s="28">
        <f>Q915-N915</f>
        <v/>
      </c>
      <c r="AK915" s="3">
        <f>IF(AE915=1,MAX(0,N915-Q915),0)</f>
        <v/>
      </c>
      <c r="AL915" s="3">
        <f>IF(OR(V915="",V915=0),0,N915/V915)</f>
        <v/>
      </c>
      <c r="AM915" s="3">
        <f>IF(OR(V915="",V915=0),0,1)</f>
        <v/>
      </c>
      <c r="AN915" s="3">
        <f>IF(OR(E915="",F915=""),0,NETWORKDAYS(E915,F915,Ref!$K$2:$K$42))</f>
        <v/>
      </c>
      <c r="AO915" s="3">
        <f>IF(L915="Renewal",1,0)</f>
        <v/>
      </c>
      <c r="AP915" s="3">
        <f>AC915*AD915</f>
        <v/>
      </c>
      <c r="AQ915" s="3">
        <f>IF(AND(G915&lt;&gt;"",'Historical Score'!$C$6&lt;&gt;""),IF(G915='Historical Score'!$C$6,1,0),0)</f>
        <v/>
      </c>
      <c r="AR915" s="3">
        <f>IF(AND(L915&lt;&gt;"",'Historical Score'!$C$5&lt;&gt;""),IF(L915='Historical Score'!$C$5,1,0),0)</f>
        <v/>
      </c>
      <c r="AS915" s="3">
        <f>IF(AND(Y915&lt;&gt;"",'Historical Score'!$C$7&lt;&gt;""),IF(Y915='Historical Score'!$C$7,1,0),0)</f>
        <v/>
      </c>
      <c r="AT915" s="3">
        <f>IF(AND(K915&lt;&gt;"",'Historical Score'!$C$8&lt;&gt;""),IF(K915='Historical Score'!$C$8,1,0),0)</f>
        <v/>
      </c>
      <c r="AU915" s="3" t="n"/>
      <c r="AV915" s="3" t="n"/>
      <c r="AW915" s="3" t="n"/>
      <c r="AX915" s="3" t="n"/>
      <c r="AY915" s="3" t="n"/>
      <c r="AZ915" s="3" t="n"/>
      <c r="BA915" s="182">
        <f>IF(AD915=1,(AR915*'Historical Score'!$K$29+1-'Historical Score'!$K$29)*(AT915*'Historical Score'!$L$29+1-'Historical Score'!$L$29)*(AS915*'Historical Score'!$M$29+1-'Historical Score'!$M$29)*(AQ915*'Historical Score'!$N$29+1-'Historical Score'!$N$29),0)</f>
        <v/>
      </c>
      <c r="BB915" s="3" t="n"/>
      <c r="BC915" s="3" t="n"/>
    </row>
    <row r="916" ht="15.75" customHeight="1" s="174">
      <c r="A916" s="3" t="inlineStr">
        <is>
          <t>5674184579</t>
        </is>
      </c>
      <c r="B916" s="3" t="inlineStr">
        <is>
          <t>GARY EYE ASSOCIATES, BETTINA LOUISE GARY,</t>
        </is>
      </c>
      <c r="C916" s="3" t="inlineStr">
        <is>
          <t>JAX&amp;RAE OPTOMETRIC LLC</t>
        </is>
      </c>
      <c r="D916" s="3" t="inlineStr">
        <is>
          <t>Legal</t>
        </is>
      </c>
      <c r="E916" s="23" t="n">
        <v>46174</v>
      </c>
      <c r="F916" s="23" t="n">
        <v>46205</v>
      </c>
      <c r="G916" s="3" t="n">
        <v>3</v>
      </c>
      <c r="H916" s="3" t="inlineStr">
        <is>
          <t>8042</t>
        </is>
      </c>
      <c r="I916" s="3" t="inlineStr">
        <is>
          <t>80</t>
        </is>
      </c>
      <c r="J916" s="3" t="inlineStr">
        <is>
          <t>SC</t>
        </is>
      </c>
      <c r="K916" s="3" t="inlineStr">
        <is>
          <t>Credibly</t>
        </is>
      </c>
      <c r="L916" s="3" t="inlineStr">
        <is>
          <t>New Deal</t>
        </is>
      </c>
      <c r="M916" s="3" t="n">
        <v>1.45</v>
      </c>
      <c r="N916" s="28" t="n">
        <v>35000</v>
      </c>
      <c r="O916" s="28" t="n">
        <v>0</v>
      </c>
      <c r="P916" s="28" t="n">
        <v>50750</v>
      </c>
      <c r="Q916" s="28" t="n">
        <v>6344.13</v>
      </c>
      <c r="R916" s="28" t="n">
        <v>44405.87</v>
      </c>
      <c r="S916" s="42" t="n">
        <v>0.125007487684729</v>
      </c>
      <c r="T916" s="3" t="n">
        <v>24</v>
      </c>
      <c r="U916" s="3" t="n">
        <v>1</v>
      </c>
      <c r="V916" s="3" t="n">
        <v>64033.54</v>
      </c>
      <c r="W916" s="42" t="n">
        <v>0.1321</v>
      </c>
      <c r="X916" s="23" t="n">
        <v>43023</v>
      </c>
      <c r="Y916" s="3">
        <f>IF(I916="","No SIC",IFERROR(VLOOKUP(I916,Ref!$A$2:$B$65,2,FALSE()),"Unclassified"))</f>
        <v/>
      </c>
      <c r="Z916" s="3">
        <f>IF(T916="","",IF(T916&lt;12,"Daily","Weekly"))</f>
        <v/>
      </c>
      <c r="AA916" s="3">
        <f>IF(T916="",0,IF(T916&lt;12,T916*Controls!$B$13,T916*5))</f>
        <v/>
      </c>
      <c r="AB916" s="3">
        <f>IF(E916="",0,NETWORKDAYS(E916,Controls!$B$20,Ref!$K$2:$K$42))</f>
        <v/>
      </c>
      <c r="AC916" s="3">
        <f>IF(OR(AF916=1,AND(AA916&gt;0,AB916&gt;=Controls!$B$23*AA916)),1,0)</f>
        <v/>
      </c>
      <c r="AD916" s="3">
        <f>IF(AND(E916&lt;&gt;"",E916&gt;=Controls!$B$21,E916&lt;=Controls!$B$22),1,0)</f>
        <v/>
      </c>
      <c r="AE916" s="3">
        <f>IF(IFERROR(VLOOKUP(D916,Controls!$A$36:$E$46,2,FALSE()),"No")="Yes",1,0)</f>
        <v/>
      </c>
      <c r="AF916" s="3">
        <f>IF(IFERROR(VLOOKUP(D916,Controls!$A$36:$E$46,3,FALSE()),"No")="Yes",1,0)</f>
        <v/>
      </c>
      <c r="AG916" s="3">
        <f>IF(IFERROR(VLOOKUP(D916,Controls!$A$36:$E$46,4,FALSE()),"No")="Yes",1,0)</f>
        <v/>
      </c>
      <c r="AH916" s="3">
        <f>IF(IFERROR(VLOOKUP(D916,Controls!$A$36:$E$46,5,FALSE()),"No")="Yes",1,0)</f>
        <v/>
      </c>
      <c r="AI916" s="3">
        <f>IF(ISNUMBER(MATCH(D916,Controls!$A$36:$A$46,0)),1,0)</f>
        <v/>
      </c>
      <c r="AJ916" s="28">
        <f>Q916-N916</f>
        <v/>
      </c>
      <c r="AK916" s="3">
        <f>IF(AE916=1,MAX(0,N916-Q916),0)</f>
        <v/>
      </c>
      <c r="AL916" s="3">
        <f>IF(OR(V916="",V916=0),0,N916/V916)</f>
        <v/>
      </c>
      <c r="AM916" s="3">
        <f>IF(OR(V916="",V916=0),0,1)</f>
        <v/>
      </c>
      <c r="AN916" s="3">
        <f>IF(OR(E916="",F916=""),0,NETWORKDAYS(E916,F916,Ref!$K$2:$K$42))</f>
        <v/>
      </c>
      <c r="AO916" s="3">
        <f>IF(L916="Renewal",1,0)</f>
        <v/>
      </c>
      <c r="AP916" s="3">
        <f>AC916*AD916</f>
        <v/>
      </c>
      <c r="AQ916" s="3">
        <f>IF(AND(G916&lt;&gt;"",'Historical Score'!$C$6&lt;&gt;""),IF(G916='Historical Score'!$C$6,1,0),0)</f>
        <v/>
      </c>
      <c r="AR916" s="3">
        <f>IF(AND(L916&lt;&gt;"",'Historical Score'!$C$5&lt;&gt;""),IF(L916='Historical Score'!$C$5,1,0),0)</f>
        <v/>
      </c>
      <c r="AS916" s="3">
        <f>IF(AND(Y916&lt;&gt;"",'Historical Score'!$C$7&lt;&gt;""),IF(Y916='Historical Score'!$C$7,1,0),0)</f>
        <v/>
      </c>
      <c r="AT916" s="3">
        <f>IF(AND(K916&lt;&gt;"",'Historical Score'!$C$8&lt;&gt;""),IF(K916='Historical Score'!$C$8,1,0),0)</f>
        <v/>
      </c>
      <c r="AU916" s="3" t="n"/>
      <c r="AV916" s="3" t="n"/>
      <c r="AW916" s="3" t="n"/>
      <c r="AX916" s="3" t="n"/>
      <c r="AY916" s="3" t="n"/>
      <c r="AZ916" s="3" t="n"/>
      <c r="BA916" s="182">
        <f>IF(AD916=1,(AR916*'Historical Score'!$K$29+1-'Historical Score'!$K$29)*(AT916*'Historical Score'!$L$29+1-'Historical Score'!$L$29)*(AS916*'Historical Score'!$M$29+1-'Historical Score'!$M$29)*(AQ916*'Historical Score'!$N$29+1-'Historical Score'!$N$29),0)</f>
        <v/>
      </c>
      <c r="BB916" s="3" t="n"/>
      <c r="BC916" s="3" t="n"/>
    </row>
    <row r="917" ht="15.75" customHeight="1" s="174">
      <c r="A917" s="3" t="inlineStr">
        <is>
          <t>5674184583</t>
        </is>
      </c>
      <c r="B917" s="3" t="inlineStr">
        <is>
          <t>Good vibes only entertainment LLC</t>
        </is>
      </c>
      <c r="C917" s="3" t="inlineStr">
        <is>
          <t>Good vibes only entertainment LLC</t>
        </is>
      </c>
      <c r="D917" s="3" t="inlineStr">
        <is>
          <t>Open</t>
        </is>
      </c>
      <c r="E917" s="23" t="n">
        <v>46174</v>
      </c>
      <c r="F917" s="23" t="n">
        <v>46248</v>
      </c>
      <c r="G917" s="3" t="n">
        <v>3</v>
      </c>
      <c r="H917" s="3" t="inlineStr">
        <is>
          <t>5999</t>
        </is>
      </c>
      <c r="I917" s="3" t="inlineStr">
        <is>
          <t>59</t>
        </is>
      </c>
      <c r="J917" s="3" t="inlineStr">
        <is>
          <t>TX</t>
        </is>
      </c>
      <c r="K917" s="3" t="inlineStr">
        <is>
          <t>Triumph Cap Fund</t>
        </is>
      </c>
      <c r="L917" s="3" t="inlineStr">
        <is>
          <t>New Deal</t>
        </is>
      </c>
      <c r="M917" s="3" t="n">
        <v>1.49</v>
      </c>
      <c r="N917" s="28" t="n">
        <v>15000</v>
      </c>
      <c r="O917" s="28" t="n">
        <v>2100</v>
      </c>
      <c r="P917" s="28" t="n">
        <v>22350</v>
      </c>
      <c r="Q917" s="28" t="n">
        <v>8606.5</v>
      </c>
      <c r="R917" s="28" t="n">
        <v>13743.5</v>
      </c>
      <c r="S917" s="42" t="n">
        <v>0.385078299776286</v>
      </c>
      <c r="T917" s="3" t="n">
        <v>26</v>
      </c>
      <c r="U917" s="3" t="n">
        <v>0</v>
      </c>
      <c r="V917" s="3" t="n">
        <v>231047.83</v>
      </c>
      <c r="W917" s="42" t="n">
        <v>0.0149</v>
      </c>
      <c r="X917" s="23" t="n">
        <v>43758</v>
      </c>
      <c r="Y917" s="3">
        <f>IF(I917="","No SIC",IFERROR(VLOOKUP(I917,Ref!$A$2:$B$65,2,FALSE()),"Unclassified"))</f>
        <v/>
      </c>
      <c r="Z917" s="3">
        <f>IF(T917="","",IF(T917&lt;12,"Daily","Weekly"))</f>
        <v/>
      </c>
      <c r="AA917" s="3">
        <f>IF(T917="",0,IF(T917&lt;12,T917*Controls!$B$13,T917*5))</f>
        <v/>
      </c>
      <c r="AB917" s="3">
        <f>IF(E917="",0,NETWORKDAYS(E917,Controls!$B$20,Ref!$K$2:$K$42))</f>
        <v/>
      </c>
      <c r="AC917" s="3">
        <f>IF(OR(AF917=1,AND(AA917&gt;0,AB917&gt;=Controls!$B$23*AA917)),1,0)</f>
        <v/>
      </c>
      <c r="AD917" s="3">
        <f>IF(AND(E917&lt;&gt;"",E917&gt;=Controls!$B$21,E917&lt;=Controls!$B$22),1,0)</f>
        <v/>
      </c>
      <c r="AE917" s="3">
        <f>IF(IFERROR(VLOOKUP(D917,Controls!$A$36:$E$46,2,FALSE()),"No")="Yes",1,0)</f>
        <v/>
      </c>
      <c r="AF917" s="3">
        <f>IF(IFERROR(VLOOKUP(D917,Controls!$A$36:$E$46,3,FALSE()),"No")="Yes",1,0)</f>
        <v/>
      </c>
      <c r="AG917" s="3">
        <f>IF(IFERROR(VLOOKUP(D917,Controls!$A$36:$E$46,4,FALSE()),"No")="Yes",1,0)</f>
        <v/>
      </c>
      <c r="AH917" s="3">
        <f>IF(IFERROR(VLOOKUP(D917,Controls!$A$36:$E$46,5,FALSE()),"No")="Yes",1,0)</f>
        <v/>
      </c>
      <c r="AI917" s="3">
        <f>IF(ISNUMBER(MATCH(D917,Controls!$A$36:$A$46,0)),1,0)</f>
        <v/>
      </c>
      <c r="AJ917" s="28">
        <f>Q917-N917</f>
        <v/>
      </c>
      <c r="AK917" s="3">
        <f>IF(AE917=1,MAX(0,N917-Q917),0)</f>
        <v/>
      </c>
      <c r="AL917" s="3">
        <f>IF(OR(V917="",V917=0),0,N917/V917)</f>
        <v/>
      </c>
      <c r="AM917" s="3">
        <f>IF(OR(V917="",V917=0),0,1)</f>
        <v/>
      </c>
      <c r="AN917" s="3">
        <f>IF(OR(E917="",F917=""),0,NETWORKDAYS(E917,F917,Ref!$K$2:$K$42))</f>
        <v/>
      </c>
      <c r="AO917" s="3">
        <f>IF(L917="Renewal",1,0)</f>
        <v/>
      </c>
      <c r="AP917" s="3">
        <f>AC917*AD917</f>
        <v/>
      </c>
      <c r="AQ917" s="3">
        <f>IF(AND(G917&lt;&gt;"",'Historical Score'!$C$6&lt;&gt;""),IF(G917='Historical Score'!$C$6,1,0),0)</f>
        <v/>
      </c>
      <c r="AR917" s="3">
        <f>IF(AND(L917&lt;&gt;"",'Historical Score'!$C$5&lt;&gt;""),IF(L917='Historical Score'!$C$5,1,0),0)</f>
        <v/>
      </c>
      <c r="AS917" s="3">
        <f>IF(AND(Y917&lt;&gt;"",'Historical Score'!$C$7&lt;&gt;""),IF(Y917='Historical Score'!$C$7,1,0),0)</f>
        <v/>
      </c>
      <c r="AT917" s="3">
        <f>IF(AND(K917&lt;&gt;"",'Historical Score'!$C$8&lt;&gt;""),IF(K917='Historical Score'!$C$8,1,0),0)</f>
        <v/>
      </c>
      <c r="AU917" s="3" t="n"/>
      <c r="AV917" s="3" t="n"/>
      <c r="AW917" s="3" t="n"/>
      <c r="AX917" s="3" t="n"/>
      <c r="AY917" s="3" t="n"/>
      <c r="AZ917" s="3" t="n"/>
      <c r="BA917" s="182">
        <f>IF(AD917=1,(AR917*'Historical Score'!$K$29+1-'Historical Score'!$K$29)*(AT917*'Historical Score'!$L$29+1-'Historical Score'!$L$29)*(AS917*'Historical Score'!$M$29+1-'Historical Score'!$M$29)*(AQ917*'Historical Score'!$N$29+1-'Historical Score'!$N$29),0)</f>
        <v/>
      </c>
      <c r="BB917" s="3" t="n"/>
      <c r="BC917" s="3" t="n"/>
    </row>
    <row r="918" ht="15.75" customHeight="1" s="174">
      <c r="A918" s="3" t="inlineStr">
        <is>
          <t>5674184598</t>
        </is>
      </c>
      <c r="B918" s="3" t="inlineStr">
        <is>
          <t>BLUE LABEL CONSTRUCTION CO</t>
        </is>
      </c>
      <c r="C918" s="3" t="inlineStr">
        <is>
          <t>BLUE LABEL CONSTRUCTION CO</t>
        </is>
      </c>
      <c r="D918" s="3" t="inlineStr">
        <is>
          <t>Open</t>
        </is>
      </c>
      <c r="E918" s="23" t="n">
        <v>46174</v>
      </c>
      <c r="F918" s="23" t="n">
        <v>46253</v>
      </c>
      <c r="G918" s="3" t="n">
        <v>3</v>
      </c>
      <c r="H918" s="3" t="inlineStr">
        <is>
          <t>1521</t>
        </is>
      </c>
      <c r="I918" s="3" t="inlineStr">
        <is>
          <t>15</t>
        </is>
      </c>
      <c r="J918" s="3" t="inlineStr">
        <is>
          <t>CO</t>
        </is>
      </c>
      <c r="K918" s="3" t="inlineStr">
        <is>
          <t>Siriux internacional corp</t>
        </is>
      </c>
      <c r="L918" s="3" t="inlineStr">
        <is>
          <t>New Deal</t>
        </is>
      </c>
      <c r="M918" s="3" t="n">
        <v>1.49</v>
      </c>
      <c r="N918" s="28" t="n">
        <v>25000</v>
      </c>
      <c r="O918" s="28" t="n">
        <v>3500</v>
      </c>
      <c r="P918" s="28" t="n">
        <v>37250</v>
      </c>
      <c r="Q918" s="28" t="n">
        <v>12893.17</v>
      </c>
      <c r="R918" s="28" t="n">
        <v>24356.83</v>
      </c>
      <c r="S918" s="42" t="n">
        <v>0.346125369127517</v>
      </c>
      <c r="T918" s="3" t="n">
        <v>26</v>
      </c>
      <c r="U918" s="3" t="n">
        <v>3</v>
      </c>
      <c r="V918" s="3" t="n">
        <v>140784.34</v>
      </c>
      <c r="W918" s="42" t="n">
        <v>0.0407</v>
      </c>
      <c r="X918" s="23" t="n">
        <v>45342</v>
      </c>
      <c r="Y918" s="3">
        <f>IF(I918="","No SIC",IFERROR(VLOOKUP(I918,Ref!$A$2:$B$65,2,FALSE()),"Unclassified"))</f>
        <v/>
      </c>
      <c r="Z918" s="3">
        <f>IF(T918="","",IF(T918&lt;12,"Daily","Weekly"))</f>
        <v/>
      </c>
      <c r="AA918" s="3">
        <f>IF(T918="",0,IF(T918&lt;12,T918*Controls!$B$13,T918*5))</f>
        <v/>
      </c>
      <c r="AB918" s="3">
        <f>IF(E918="",0,NETWORKDAYS(E918,Controls!$B$20,Ref!$K$2:$K$42))</f>
        <v/>
      </c>
      <c r="AC918" s="3">
        <f>IF(OR(AF918=1,AND(AA918&gt;0,AB918&gt;=Controls!$B$23*AA918)),1,0)</f>
        <v/>
      </c>
      <c r="AD918" s="3">
        <f>IF(AND(E918&lt;&gt;"",E918&gt;=Controls!$B$21,E918&lt;=Controls!$B$22),1,0)</f>
        <v/>
      </c>
      <c r="AE918" s="3">
        <f>IF(IFERROR(VLOOKUP(D918,Controls!$A$36:$E$46,2,FALSE()),"No")="Yes",1,0)</f>
        <v/>
      </c>
      <c r="AF918" s="3">
        <f>IF(IFERROR(VLOOKUP(D918,Controls!$A$36:$E$46,3,FALSE()),"No")="Yes",1,0)</f>
        <v/>
      </c>
      <c r="AG918" s="3">
        <f>IF(IFERROR(VLOOKUP(D918,Controls!$A$36:$E$46,4,FALSE()),"No")="Yes",1,0)</f>
        <v/>
      </c>
      <c r="AH918" s="3">
        <f>IF(IFERROR(VLOOKUP(D918,Controls!$A$36:$E$46,5,FALSE()),"No")="Yes",1,0)</f>
        <v/>
      </c>
      <c r="AI918" s="3">
        <f>IF(ISNUMBER(MATCH(D918,Controls!$A$36:$A$46,0)),1,0)</f>
        <v/>
      </c>
      <c r="AJ918" s="28">
        <f>Q918-N918</f>
        <v/>
      </c>
      <c r="AK918" s="3">
        <f>IF(AE918=1,MAX(0,N918-Q918),0)</f>
        <v/>
      </c>
      <c r="AL918" s="3">
        <f>IF(OR(V918="",V918=0),0,N918/V918)</f>
        <v/>
      </c>
      <c r="AM918" s="3">
        <f>IF(OR(V918="",V918=0),0,1)</f>
        <v/>
      </c>
      <c r="AN918" s="3">
        <f>IF(OR(E918="",F918=""),0,NETWORKDAYS(E918,F918,Ref!$K$2:$K$42))</f>
        <v/>
      </c>
      <c r="AO918" s="3">
        <f>IF(L918="Renewal",1,0)</f>
        <v/>
      </c>
      <c r="AP918" s="3">
        <f>AC918*AD918</f>
        <v/>
      </c>
      <c r="AQ918" s="3">
        <f>IF(AND(G918&lt;&gt;"",'Historical Score'!$C$6&lt;&gt;""),IF(G918='Historical Score'!$C$6,1,0),0)</f>
        <v/>
      </c>
      <c r="AR918" s="3">
        <f>IF(AND(L918&lt;&gt;"",'Historical Score'!$C$5&lt;&gt;""),IF(L918='Historical Score'!$C$5,1,0),0)</f>
        <v/>
      </c>
      <c r="AS918" s="3">
        <f>IF(AND(Y918&lt;&gt;"",'Historical Score'!$C$7&lt;&gt;""),IF(Y918='Historical Score'!$C$7,1,0),0)</f>
        <v/>
      </c>
      <c r="AT918" s="3">
        <f>IF(AND(K918&lt;&gt;"",'Historical Score'!$C$8&lt;&gt;""),IF(K918='Historical Score'!$C$8,1,0),0)</f>
        <v/>
      </c>
      <c r="AU918" s="3" t="n"/>
      <c r="AV918" s="3" t="n"/>
      <c r="AW918" s="3" t="n"/>
      <c r="AX918" s="3" t="n"/>
      <c r="AY918" s="3" t="n"/>
      <c r="AZ918" s="3" t="n"/>
      <c r="BA918" s="182">
        <f>IF(AD918=1,(AR918*'Historical Score'!$K$29+1-'Historical Score'!$K$29)*(AT918*'Historical Score'!$L$29+1-'Historical Score'!$L$29)*(AS918*'Historical Score'!$M$29+1-'Historical Score'!$M$29)*(AQ918*'Historical Score'!$N$29+1-'Historical Score'!$N$29),0)</f>
        <v/>
      </c>
      <c r="BB918" s="3" t="n"/>
      <c r="BC918" s="3" t="n"/>
    </row>
    <row r="919" ht="15.75" customHeight="1" s="174">
      <c r="A919" s="3" t="inlineStr">
        <is>
          <t>5674184619</t>
        </is>
      </c>
      <c r="B919" s="3" t="inlineStr">
        <is>
          <t>ASCG Consulting LLC</t>
        </is>
      </c>
      <c r="C919" s="3" t="inlineStr">
        <is>
          <t>ASCG Consulting LLC</t>
        </is>
      </c>
      <c r="D919" s="3" t="inlineStr">
        <is>
          <t>Open</t>
        </is>
      </c>
      <c r="E919" s="23" t="n">
        <v>46174</v>
      </c>
      <c r="F919" s="23" t="n">
        <v>46248</v>
      </c>
      <c r="G919" s="3" t="n">
        <v>3</v>
      </c>
      <c r="H919" s="3" t="inlineStr">
        <is>
          <t>8742</t>
        </is>
      </c>
      <c r="I919" s="3" t="inlineStr">
        <is>
          <t>87</t>
        </is>
      </c>
      <c r="J919" s="3" t="inlineStr">
        <is>
          <t>FL</t>
        </is>
      </c>
      <c r="K919" s="3" t="inlineStr">
        <is>
          <t>Deal Struck</t>
        </is>
      </c>
      <c r="L919" s="3" t="inlineStr">
        <is>
          <t>New Deal</t>
        </is>
      </c>
      <c r="M919" s="3" t="n">
        <v>1.45</v>
      </c>
      <c r="N919" s="28" t="n">
        <v>10000</v>
      </c>
      <c r="O919" s="28" t="n">
        <v>1200</v>
      </c>
      <c r="P919" s="28" t="n">
        <v>14500</v>
      </c>
      <c r="Q919" s="28" t="n">
        <v>3021.45</v>
      </c>
      <c r="R919" s="28" t="n">
        <v>11478.55</v>
      </c>
      <c r="S919" s="42" t="n">
        <v>0.208375862068966</v>
      </c>
      <c r="T919" s="3" t="n">
        <v>24</v>
      </c>
      <c r="U919" s="3" t="n">
        <v>5</v>
      </c>
      <c r="V919" s="3" t="n">
        <v>15705.95</v>
      </c>
      <c r="W919" s="42" t="n">
        <v>0.1539</v>
      </c>
      <c r="X919" s="23" t="n">
        <v>44470</v>
      </c>
      <c r="Y919" s="3">
        <f>IF(I919="","No SIC",IFERROR(VLOOKUP(I919,Ref!$A$2:$B$65,2,FALSE()),"Unclassified"))</f>
        <v/>
      </c>
      <c r="Z919" s="3">
        <f>IF(T919="","",IF(T919&lt;12,"Daily","Weekly"))</f>
        <v/>
      </c>
      <c r="AA919" s="3">
        <f>IF(T919="",0,IF(T919&lt;12,T919*Controls!$B$13,T919*5))</f>
        <v/>
      </c>
      <c r="AB919" s="3">
        <f>IF(E919="",0,NETWORKDAYS(E919,Controls!$B$20,Ref!$K$2:$K$42))</f>
        <v/>
      </c>
      <c r="AC919" s="3">
        <f>IF(OR(AF919=1,AND(AA919&gt;0,AB919&gt;=Controls!$B$23*AA919)),1,0)</f>
        <v/>
      </c>
      <c r="AD919" s="3">
        <f>IF(AND(E919&lt;&gt;"",E919&gt;=Controls!$B$21,E919&lt;=Controls!$B$22),1,0)</f>
        <v/>
      </c>
      <c r="AE919" s="3">
        <f>IF(IFERROR(VLOOKUP(D919,Controls!$A$36:$E$46,2,FALSE()),"No")="Yes",1,0)</f>
        <v/>
      </c>
      <c r="AF919" s="3">
        <f>IF(IFERROR(VLOOKUP(D919,Controls!$A$36:$E$46,3,FALSE()),"No")="Yes",1,0)</f>
        <v/>
      </c>
      <c r="AG919" s="3">
        <f>IF(IFERROR(VLOOKUP(D919,Controls!$A$36:$E$46,4,FALSE()),"No")="Yes",1,0)</f>
        <v/>
      </c>
      <c r="AH919" s="3">
        <f>IF(IFERROR(VLOOKUP(D919,Controls!$A$36:$E$46,5,FALSE()),"No")="Yes",1,0)</f>
        <v/>
      </c>
      <c r="AI919" s="3">
        <f>IF(ISNUMBER(MATCH(D919,Controls!$A$36:$A$46,0)),1,0)</f>
        <v/>
      </c>
      <c r="AJ919" s="28">
        <f>Q919-N919</f>
        <v/>
      </c>
      <c r="AK919" s="3">
        <f>IF(AE919=1,MAX(0,N919-Q919),0)</f>
        <v/>
      </c>
      <c r="AL919" s="3">
        <f>IF(OR(V919="",V919=0),0,N919/V919)</f>
        <v/>
      </c>
      <c r="AM919" s="3">
        <f>IF(OR(V919="",V919=0),0,1)</f>
        <v/>
      </c>
      <c r="AN919" s="3">
        <f>IF(OR(E919="",F919=""),0,NETWORKDAYS(E919,F919,Ref!$K$2:$K$42))</f>
        <v/>
      </c>
      <c r="AO919" s="3">
        <f>IF(L919="Renewal",1,0)</f>
        <v/>
      </c>
      <c r="AP919" s="3">
        <f>AC919*AD919</f>
        <v/>
      </c>
      <c r="AQ919" s="3">
        <f>IF(AND(G919&lt;&gt;"",'Historical Score'!$C$6&lt;&gt;""),IF(G919='Historical Score'!$C$6,1,0),0)</f>
        <v/>
      </c>
      <c r="AR919" s="3">
        <f>IF(AND(L919&lt;&gt;"",'Historical Score'!$C$5&lt;&gt;""),IF(L919='Historical Score'!$C$5,1,0),0)</f>
        <v/>
      </c>
      <c r="AS919" s="3">
        <f>IF(AND(Y919&lt;&gt;"",'Historical Score'!$C$7&lt;&gt;""),IF(Y919='Historical Score'!$C$7,1,0),0)</f>
        <v/>
      </c>
      <c r="AT919" s="3">
        <f>IF(AND(K919&lt;&gt;"",'Historical Score'!$C$8&lt;&gt;""),IF(K919='Historical Score'!$C$8,1,0),0)</f>
        <v/>
      </c>
      <c r="AU919" s="3" t="n"/>
      <c r="AV919" s="3" t="n"/>
      <c r="AW919" s="3" t="n"/>
      <c r="AX919" s="3" t="n"/>
      <c r="AY919" s="3" t="n"/>
      <c r="AZ919" s="3" t="n"/>
      <c r="BA919" s="182">
        <f>IF(AD919=1,(AR919*'Historical Score'!$K$29+1-'Historical Score'!$K$29)*(AT919*'Historical Score'!$L$29+1-'Historical Score'!$L$29)*(AS919*'Historical Score'!$M$29+1-'Historical Score'!$M$29)*(AQ919*'Historical Score'!$N$29+1-'Historical Score'!$N$29),0)</f>
        <v/>
      </c>
      <c r="BB919" s="3" t="n"/>
      <c r="BC919" s="3" t="n"/>
    </row>
    <row r="920" ht="15.75" customHeight="1" s="174">
      <c r="A920" s="3" t="inlineStr">
        <is>
          <t>5674184661</t>
        </is>
      </c>
      <c r="B920" s="3" t="inlineStr">
        <is>
          <t>Victory Freight Transport, Inc.</t>
        </is>
      </c>
      <c r="C920" s="3" t="inlineStr">
        <is>
          <t>Victory Freight Transport, Inc.</t>
        </is>
      </c>
      <c r="D920" s="3" t="inlineStr">
        <is>
          <t>In House Collection</t>
        </is>
      </c>
      <c r="E920" s="23" t="n">
        <v>46175</v>
      </c>
      <c r="F920" s="23" t="n">
        <v>46192</v>
      </c>
      <c r="G920" s="3" t="n">
        <v>3</v>
      </c>
      <c r="H920" s="3" t="inlineStr">
        <is>
          <t>4212</t>
        </is>
      </c>
      <c r="I920" s="3" t="inlineStr">
        <is>
          <t>42</t>
        </is>
      </c>
      <c r="J920" s="3" t="inlineStr">
        <is>
          <t>VA</t>
        </is>
      </c>
      <c r="K920" s="3" t="inlineStr">
        <is>
          <t>Capfront Funding</t>
        </is>
      </c>
      <c r="L920" s="3" t="inlineStr">
        <is>
          <t>New Deal</t>
        </is>
      </c>
      <c r="M920" s="3" t="n">
        <v>1.49</v>
      </c>
      <c r="N920" s="28" t="n">
        <v>30000</v>
      </c>
      <c r="O920" s="28" t="n">
        <v>4200</v>
      </c>
      <c r="P920" s="28" t="n">
        <v>44700</v>
      </c>
      <c r="Q920" s="28" t="n">
        <v>2793.78</v>
      </c>
      <c r="R920" s="28" t="n">
        <v>41906.22</v>
      </c>
      <c r="S920" s="42" t="n">
        <v>0.0625006711409396</v>
      </c>
      <c r="T920" s="3" t="n">
        <v>32</v>
      </c>
      <c r="U920" s="3" t="n">
        <v>1</v>
      </c>
      <c r="V920" s="3" t="n">
        <v>53726.42</v>
      </c>
      <c r="W920" s="42" t="n">
        <v>0.104</v>
      </c>
      <c r="X920" s="23" t="n">
        <v>45717</v>
      </c>
      <c r="Y920" s="3">
        <f>IF(I920="","No SIC",IFERROR(VLOOKUP(I920,Ref!$A$2:$B$65,2,FALSE()),"Unclassified"))</f>
        <v/>
      </c>
      <c r="Z920" s="3">
        <f>IF(T920="","",IF(T920&lt;12,"Daily","Weekly"))</f>
        <v/>
      </c>
      <c r="AA920" s="3">
        <f>IF(T920="",0,IF(T920&lt;12,T920*Controls!$B$13,T920*5))</f>
        <v/>
      </c>
      <c r="AB920" s="3">
        <f>IF(E920="",0,NETWORKDAYS(E920,Controls!$B$20,Ref!$K$2:$K$42))</f>
        <v/>
      </c>
      <c r="AC920" s="3">
        <f>IF(OR(AF920=1,AND(AA920&gt;0,AB920&gt;=Controls!$B$23*AA920)),1,0)</f>
        <v/>
      </c>
      <c r="AD920" s="3">
        <f>IF(AND(E920&lt;&gt;"",E920&gt;=Controls!$B$21,E920&lt;=Controls!$B$22),1,0)</f>
        <v/>
      </c>
      <c r="AE920" s="3">
        <f>IF(IFERROR(VLOOKUP(D920,Controls!$A$36:$E$46,2,FALSE()),"No")="Yes",1,0)</f>
        <v/>
      </c>
      <c r="AF920" s="3">
        <f>IF(IFERROR(VLOOKUP(D920,Controls!$A$36:$E$46,3,FALSE()),"No")="Yes",1,0)</f>
        <v/>
      </c>
      <c r="AG920" s="3">
        <f>IF(IFERROR(VLOOKUP(D920,Controls!$A$36:$E$46,4,FALSE()),"No")="Yes",1,0)</f>
        <v/>
      </c>
      <c r="AH920" s="3">
        <f>IF(IFERROR(VLOOKUP(D920,Controls!$A$36:$E$46,5,FALSE()),"No")="Yes",1,0)</f>
        <v/>
      </c>
      <c r="AI920" s="3">
        <f>IF(ISNUMBER(MATCH(D920,Controls!$A$36:$A$46,0)),1,0)</f>
        <v/>
      </c>
      <c r="AJ920" s="28">
        <f>Q920-N920</f>
        <v/>
      </c>
      <c r="AK920" s="3">
        <f>IF(AE920=1,MAX(0,N920-Q920),0)</f>
        <v/>
      </c>
      <c r="AL920" s="3">
        <f>IF(OR(V920="",V920=0),0,N920/V920)</f>
        <v/>
      </c>
      <c r="AM920" s="3">
        <f>IF(OR(V920="",V920=0),0,1)</f>
        <v/>
      </c>
      <c r="AN920" s="3">
        <f>IF(OR(E920="",F920=""),0,NETWORKDAYS(E920,F920,Ref!$K$2:$K$42))</f>
        <v/>
      </c>
      <c r="AO920" s="3">
        <f>IF(L920="Renewal",1,0)</f>
        <v/>
      </c>
      <c r="AP920" s="3">
        <f>AC920*AD920</f>
        <v/>
      </c>
      <c r="AQ920" s="3">
        <f>IF(AND(G920&lt;&gt;"",'Historical Score'!$C$6&lt;&gt;""),IF(G920='Historical Score'!$C$6,1,0),0)</f>
        <v/>
      </c>
      <c r="AR920" s="3">
        <f>IF(AND(L920&lt;&gt;"",'Historical Score'!$C$5&lt;&gt;""),IF(L920='Historical Score'!$C$5,1,0),0)</f>
        <v/>
      </c>
      <c r="AS920" s="3">
        <f>IF(AND(Y920&lt;&gt;"",'Historical Score'!$C$7&lt;&gt;""),IF(Y920='Historical Score'!$C$7,1,0),0)</f>
        <v/>
      </c>
      <c r="AT920" s="3">
        <f>IF(AND(K920&lt;&gt;"",'Historical Score'!$C$8&lt;&gt;""),IF(K920='Historical Score'!$C$8,1,0),0)</f>
        <v/>
      </c>
      <c r="AU920" s="3" t="n"/>
      <c r="AV920" s="3" t="n"/>
      <c r="AW920" s="3" t="n"/>
      <c r="AX920" s="3" t="n"/>
      <c r="AY920" s="3" t="n"/>
      <c r="AZ920" s="3" t="n"/>
      <c r="BA920" s="182">
        <f>IF(AD920=1,(AR920*'Historical Score'!$K$29+1-'Historical Score'!$K$29)*(AT920*'Historical Score'!$L$29+1-'Historical Score'!$L$29)*(AS920*'Historical Score'!$M$29+1-'Historical Score'!$M$29)*(AQ920*'Historical Score'!$N$29+1-'Historical Score'!$N$29),0)</f>
        <v/>
      </c>
      <c r="BB920" s="3" t="n"/>
      <c r="BC920" s="3" t="n"/>
    </row>
    <row r="921" ht="15.75" customHeight="1" s="174">
      <c r="A921" s="3" t="inlineStr">
        <is>
          <t>5674184671</t>
        </is>
      </c>
      <c r="B921" s="3" t="inlineStr">
        <is>
          <t>ARROW TRANSPORT LLC</t>
        </is>
      </c>
      <c r="C921" s="3" t="inlineStr">
        <is>
          <t>ARROW TRANSPORT LLC</t>
        </is>
      </c>
      <c r="D921" s="3" t="inlineStr">
        <is>
          <t>Open</t>
        </is>
      </c>
      <c r="E921" s="23" t="n">
        <v>46175</v>
      </c>
      <c r="F921" s="23" t="n">
        <v>46248</v>
      </c>
      <c r="G921" s="3" t="n">
        <v>3</v>
      </c>
      <c r="H921" s="3" t="inlineStr">
        <is>
          <t>4212</t>
        </is>
      </c>
      <c r="I921" s="3" t="inlineStr">
        <is>
          <t>42</t>
        </is>
      </c>
      <c r="J921" s="3" t="inlineStr">
        <is>
          <t>KY</t>
        </is>
      </c>
      <c r="K921" s="3" t="inlineStr">
        <is>
          <t>PMF</t>
        </is>
      </c>
      <c r="L921" s="3" t="inlineStr">
        <is>
          <t>New Deal</t>
        </is>
      </c>
      <c r="M921" s="3" t="n">
        <v>1.49</v>
      </c>
      <c r="N921" s="28" t="n">
        <v>30000</v>
      </c>
      <c r="O921" s="28" t="n">
        <v>4200</v>
      </c>
      <c r="P921" s="28" t="n">
        <v>44700</v>
      </c>
      <c r="Q921" s="28" t="n">
        <v>13967.9</v>
      </c>
      <c r="R921" s="28" t="n">
        <v>30732.1</v>
      </c>
      <c r="S921" s="42" t="n">
        <v>0.312480984340045</v>
      </c>
      <c r="T921" s="3" t="n">
        <v>32</v>
      </c>
      <c r="U921" s="3" t="n">
        <v>0</v>
      </c>
      <c r="V921" s="3" t="n">
        <v>302710.88</v>
      </c>
      <c r="W921" s="42" t="n">
        <v>0.0969</v>
      </c>
      <c r="X921" s="23" t="n">
        <v>44320</v>
      </c>
      <c r="Y921" s="3">
        <f>IF(I921="","No SIC",IFERROR(VLOOKUP(I921,Ref!$A$2:$B$65,2,FALSE()),"Unclassified"))</f>
        <v/>
      </c>
      <c r="Z921" s="3">
        <f>IF(T921="","",IF(T921&lt;12,"Daily","Weekly"))</f>
        <v/>
      </c>
      <c r="AA921" s="3">
        <f>IF(T921="",0,IF(T921&lt;12,T921*Controls!$B$13,T921*5))</f>
        <v/>
      </c>
      <c r="AB921" s="3">
        <f>IF(E921="",0,NETWORKDAYS(E921,Controls!$B$20,Ref!$K$2:$K$42))</f>
        <v/>
      </c>
      <c r="AC921" s="3">
        <f>IF(OR(AF921=1,AND(AA921&gt;0,AB921&gt;=Controls!$B$23*AA921)),1,0)</f>
        <v/>
      </c>
      <c r="AD921" s="3">
        <f>IF(AND(E921&lt;&gt;"",E921&gt;=Controls!$B$21,E921&lt;=Controls!$B$22),1,0)</f>
        <v/>
      </c>
      <c r="AE921" s="3">
        <f>IF(IFERROR(VLOOKUP(D921,Controls!$A$36:$E$46,2,FALSE()),"No")="Yes",1,0)</f>
        <v/>
      </c>
      <c r="AF921" s="3">
        <f>IF(IFERROR(VLOOKUP(D921,Controls!$A$36:$E$46,3,FALSE()),"No")="Yes",1,0)</f>
        <v/>
      </c>
      <c r="AG921" s="3">
        <f>IF(IFERROR(VLOOKUP(D921,Controls!$A$36:$E$46,4,FALSE()),"No")="Yes",1,0)</f>
        <v/>
      </c>
      <c r="AH921" s="3">
        <f>IF(IFERROR(VLOOKUP(D921,Controls!$A$36:$E$46,5,FALSE()),"No")="Yes",1,0)</f>
        <v/>
      </c>
      <c r="AI921" s="3">
        <f>IF(ISNUMBER(MATCH(D921,Controls!$A$36:$A$46,0)),1,0)</f>
        <v/>
      </c>
      <c r="AJ921" s="28">
        <f>Q921-N921</f>
        <v/>
      </c>
      <c r="AK921" s="3">
        <f>IF(AE921=1,MAX(0,N921-Q921),0)</f>
        <v/>
      </c>
      <c r="AL921" s="3">
        <f>IF(OR(V921="",V921=0),0,N921/V921)</f>
        <v/>
      </c>
      <c r="AM921" s="3">
        <f>IF(OR(V921="",V921=0),0,1)</f>
        <v/>
      </c>
      <c r="AN921" s="3">
        <f>IF(OR(E921="",F921=""),0,NETWORKDAYS(E921,F921,Ref!$K$2:$K$42))</f>
        <v/>
      </c>
      <c r="AO921" s="3">
        <f>IF(L921="Renewal",1,0)</f>
        <v/>
      </c>
      <c r="AP921" s="3">
        <f>AC921*AD921</f>
        <v/>
      </c>
      <c r="AQ921" s="3">
        <f>IF(AND(G921&lt;&gt;"",'Historical Score'!$C$6&lt;&gt;""),IF(G921='Historical Score'!$C$6,1,0),0)</f>
        <v/>
      </c>
      <c r="AR921" s="3">
        <f>IF(AND(L921&lt;&gt;"",'Historical Score'!$C$5&lt;&gt;""),IF(L921='Historical Score'!$C$5,1,0),0)</f>
        <v/>
      </c>
      <c r="AS921" s="3">
        <f>IF(AND(Y921&lt;&gt;"",'Historical Score'!$C$7&lt;&gt;""),IF(Y921='Historical Score'!$C$7,1,0),0)</f>
        <v/>
      </c>
      <c r="AT921" s="3">
        <f>IF(AND(K921&lt;&gt;"",'Historical Score'!$C$8&lt;&gt;""),IF(K921='Historical Score'!$C$8,1,0),0)</f>
        <v/>
      </c>
      <c r="AU921" s="3" t="n"/>
      <c r="AV921" s="3" t="n"/>
      <c r="AW921" s="3" t="n"/>
      <c r="AX921" s="3" t="n"/>
      <c r="AY921" s="3" t="n"/>
      <c r="AZ921" s="3" t="n"/>
      <c r="BA921" s="182">
        <f>IF(AD921=1,(AR921*'Historical Score'!$K$29+1-'Historical Score'!$K$29)*(AT921*'Historical Score'!$L$29+1-'Historical Score'!$L$29)*(AS921*'Historical Score'!$M$29+1-'Historical Score'!$M$29)*(AQ921*'Historical Score'!$N$29+1-'Historical Score'!$N$29),0)</f>
        <v/>
      </c>
      <c r="BB921" s="3" t="n"/>
      <c r="BC921" s="3" t="n"/>
    </row>
    <row r="922" ht="15.75" customHeight="1" s="174">
      <c r="A922" s="3" t="inlineStr">
        <is>
          <t>5674184685</t>
        </is>
      </c>
      <c r="B922" s="3" t="inlineStr">
        <is>
          <t>Wood's Landscape Services Inc</t>
        </is>
      </c>
      <c r="C922" s="3" t="inlineStr">
        <is>
          <t>Barlwood Enterprises, LLC</t>
        </is>
      </c>
      <c r="D922" s="3" t="inlineStr">
        <is>
          <t>In House Collection</t>
        </is>
      </c>
      <c r="E922" s="23" t="n">
        <v>46175</v>
      </c>
      <c r="F922" s="23" t="n">
        <v>46253</v>
      </c>
      <c r="G922" s="3" t="n">
        <v>3</v>
      </c>
      <c r="H922" s="3" t="inlineStr">
        <is>
          <t>0781</t>
        </is>
      </c>
      <c r="I922" s="3" t="inlineStr">
        <is>
          <t>07</t>
        </is>
      </c>
      <c r="J922" s="3" t="inlineStr">
        <is>
          <t>TX</t>
        </is>
      </c>
      <c r="K922" s="3" t="inlineStr">
        <is>
          <t>True Eagle Capital</t>
        </is>
      </c>
      <c r="L922" s="3" t="inlineStr">
        <is>
          <t>Renewal</t>
        </is>
      </c>
      <c r="M922" s="3" t="n">
        <v>1.49</v>
      </c>
      <c r="N922" s="28" t="n">
        <v>40000</v>
      </c>
      <c r="O922" s="28" t="n">
        <v>5600</v>
      </c>
      <c r="P922" s="28" t="n">
        <v>59600</v>
      </c>
      <c r="Q922" s="28" t="n">
        <v>13099.02</v>
      </c>
      <c r="R922" s="28" t="n">
        <v>46500.98</v>
      </c>
      <c r="S922" s="42" t="n">
        <v>0.219782214765101</v>
      </c>
      <c r="T922" s="3" t="n">
        <v>3.934</v>
      </c>
      <c r="U922" s="3" t="n">
        <v>15</v>
      </c>
      <c r="V922" s="3" t="n">
        <v>57633.25</v>
      </c>
      <c r="W922" s="42" t="n">
        <v>0.181</v>
      </c>
      <c r="X922" s="23" t="n">
        <v>30376</v>
      </c>
      <c r="Y922" s="3">
        <f>IF(I922="","No SIC",IFERROR(VLOOKUP(I922,Ref!$A$2:$B$65,2,FALSE()),"Unclassified"))</f>
        <v/>
      </c>
      <c r="Z922" s="3">
        <f>IF(T922="","",IF(T922&lt;12,"Daily","Weekly"))</f>
        <v/>
      </c>
      <c r="AA922" s="3">
        <f>IF(T922="",0,IF(T922&lt;12,T922*Controls!$B$13,T922*5))</f>
        <v/>
      </c>
      <c r="AB922" s="3">
        <f>IF(E922="",0,NETWORKDAYS(E922,Controls!$B$20,Ref!$K$2:$K$42))</f>
        <v/>
      </c>
      <c r="AC922" s="3">
        <f>IF(OR(AF922=1,AND(AA922&gt;0,AB922&gt;=Controls!$B$23*AA922)),1,0)</f>
        <v/>
      </c>
      <c r="AD922" s="3">
        <f>IF(AND(E922&lt;&gt;"",E922&gt;=Controls!$B$21,E922&lt;=Controls!$B$22),1,0)</f>
        <v/>
      </c>
      <c r="AE922" s="3">
        <f>IF(IFERROR(VLOOKUP(D922,Controls!$A$36:$E$46,2,FALSE()),"No")="Yes",1,0)</f>
        <v/>
      </c>
      <c r="AF922" s="3">
        <f>IF(IFERROR(VLOOKUP(D922,Controls!$A$36:$E$46,3,FALSE()),"No")="Yes",1,0)</f>
        <v/>
      </c>
      <c r="AG922" s="3">
        <f>IF(IFERROR(VLOOKUP(D922,Controls!$A$36:$E$46,4,FALSE()),"No")="Yes",1,0)</f>
        <v/>
      </c>
      <c r="AH922" s="3">
        <f>IF(IFERROR(VLOOKUP(D922,Controls!$A$36:$E$46,5,FALSE()),"No")="Yes",1,0)</f>
        <v/>
      </c>
      <c r="AI922" s="3">
        <f>IF(ISNUMBER(MATCH(D922,Controls!$A$36:$A$46,0)),1,0)</f>
        <v/>
      </c>
      <c r="AJ922" s="28">
        <f>Q922-N922</f>
        <v/>
      </c>
      <c r="AK922" s="3">
        <f>IF(AE922=1,MAX(0,N922-Q922),0)</f>
        <v/>
      </c>
      <c r="AL922" s="3">
        <f>IF(OR(V922="",V922=0),0,N922/V922)</f>
        <v/>
      </c>
      <c r="AM922" s="3">
        <f>IF(OR(V922="",V922=0),0,1)</f>
        <v/>
      </c>
      <c r="AN922" s="3">
        <f>IF(OR(E922="",F922=""),0,NETWORKDAYS(E922,F922,Ref!$K$2:$K$42))</f>
        <v/>
      </c>
      <c r="AO922" s="3">
        <f>IF(L922="Renewal",1,0)</f>
        <v/>
      </c>
      <c r="AP922" s="3">
        <f>AC922*AD922</f>
        <v/>
      </c>
      <c r="AQ922" s="3">
        <f>IF(AND(G922&lt;&gt;"",'Historical Score'!$C$6&lt;&gt;""),IF(G922='Historical Score'!$C$6,1,0),0)</f>
        <v/>
      </c>
      <c r="AR922" s="3">
        <f>IF(AND(L922&lt;&gt;"",'Historical Score'!$C$5&lt;&gt;""),IF(L922='Historical Score'!$C$5,1,0),0)</f>
        <v/>
      </c>
      <c r="AS922" s="3">
        <f>IF(AND(Y922&lt;&gt;"",'Historical Score'!$C$7&lt;&gt;""),IF(Y922='Historical Score'!$C$7,1,0),0)</f>
        <v/>
      </c>
      <c r="AT922" s="3">
        <f>IF(AND(K922&lt;&gt;"",'Historical Score'!$C$8&lt;&gt;""),IF(K922='Historical Score'!$C$8,1,0),0)</f>
        <v/>
      </c>
      <c r="AU922" s="3" t="n"/>
      <c r="AV922" s="3" t="n"/>
      <c r="AW922" s="3" t="n"/>
      <c r="AX922" s="3" t="n"/>
      <c r="AY922" s="3" t="n"/>
      <c r="AZ922" s="3" t="n"/>
      <c r="BA922" s="182">
        <f>IF(AD922=1,(AR922*'Historical Score'!$K$29+1-'Historical Score'!$K$29)*(AT922*'Historical Score'!$L$29+1-'Historical Score'!$L$29)*(AS922*'Historical Score'!$M$29+1-'Historical Score'!$M$29)*(AQ922*'Historical Score'!$N$29+1-'Historical Score'!$N$29),0)</f>
        <v/>
      </c>
      <c r="BB922" s="3" t="n"/>
      <c r="BC922" s="3" t="n"/>
    </row>
    <row r="923" ht="15.75" customHeight="1" s="174">
      <c r="A923" s="3" t="inlineStr">
        <is>
          <t>5674184723</t>
        </is>
      </c>
      <c r="B923" s="3" t="inlineStr">
        <is>
          <t>CIMEX SERVICES LLC</t>
        </is>
      </c>
      <c r="C923" s="3" t="inlineStr">
        <is>
          <t>CIMEX SERVICES LLC</t>
        </is>
      </c>
      <c r="D923" s="3" t="inlineStr">
        <is>
          <t>Open</t>
        </is>
      </c>
      <c r="E923" s="23" t="n">
        <v>46176</v>
      </c>
      <c r="F923" s="23" t="n">
        <v>46253</v>
      </c>
      <c r="G923" s="3" t="n">
        <v>3</v>
      </c>
      <c r="H923" s="3" t="inlineStr">
        <is>
          <t>7342</t>
        </is>
      </c>
      <c r="I923" s="3" t="inlineStr">
        <is>
          <t>73</t>
        </is>
      </c>
      <c r="J923" s="3" t="inlineStr">
        <is>
          <t>FL</t>
        </is>
      </c>
      <c r="K923" s="3" t="inlineStr">
        <is>
          <t>Fundwell</t>
        </is>
      </c>
      <c r="L923" s="3" t="inlineStr">
        <is>
          <t>New Deal</t>
        </is>
      </c>
      <c r="M923" s="3" t="n">
        <v>1.37</v>
      </c>
      <c r="N923" s="28" t="n">
        <v>5000</v>
      </c>
      <c r="O923" s="28" t="n">
        <v>400</v>
      </c>
      <c r="P923" s="28" t="n">
        <v>6850</v>
      </c>
      <c r="Q923" s="28" t="n">
        <v>2464.2</v>
      </c>
      <c r="R923" s="28" t="n">
        <v>4385.8</v>
      </c>
      <c r="S923" s="42" t="n">
        <v>0.359737226277372</v>
      </c>
      <c r="T923" s="3" t="n">
        <v>3.279</v>
      </c>
      <c r="U923" s="3" t="n">
        <v>18</v>
      </c>
      <c r="V923" s="3" t="n">
        <v>25854.77</v>
      </c>
      <c r="W923" s="42" t="n"/>
      <c r="X923" s="23" t="n">
        <v>42979</v>
      </c>
      <c r="Y923" s="3">
        <f>IF(I923="","No SIC",IFERROR(VLOOKUP(I923,Ref!$A$2:$B$65,2,FALSE()),"Unclassified"))</f>
        <v/>
      </c>
      <c r="Z923" s="3">
        <f>IF(T923="","",IF(T923&lt;12,"Daily","Weekly"))</f>
        <v/>
      </c>
      <c r="AA923" s="3">
        <f>IF(T923="",0,IF(T923&lt;12,T923*Controls!$B$13,T923*5))</f>
        <v/>
      </c>
      <c r="AB923" s="3">
        <f>IF(E923="",0,NETWORKDAYS(E923,Controls!$B$20,Ref!$K$2:$K$42))</f>
        <v/>
      </c>
      <c r="AC923" s="3">
        <f>IF(OR(AF923=1,AND(AA923&gt;0,AB923&gt;=Controls!$B$23*AA923)),1,0)</f>
        <v/>
      </c>
      <c r="AD923" s="3">
        <f>IF(AND(E923&lt;&gt;"",E923&gt;=Controls!$B$21,E923&lt;=Controls!$B$22),1,0)</f>
        <v/>
      </c>
      <c r="AE923" s="3">
        <f>IF(IFERROR(VLOOKUP(D923,Controls!$A$36:$E$46,2,FALSE()),"No")="Yes",1,0)</f>
        <v/>
      </c>
      <c r="AF923" s="3">
        <f>IF(IFERROR(VLOOKUP(D923,Controls!$A$36:$E$46,3,FALSE()),"No")="Yes",1,0)</f>
        <v/>
      </c>
      <c r="AG923" s="3">
        <f>IF(IFERROR(VLOOKUP(D923,Controls!$A$36:$E$46,4,FALSE()),"No")="Yes",1,0)</f>
        <v/>
      </c>
      <c r="AH923" s="3">
        <f>IF(IFERROR(VLOOKUP(D923,Controls!$A$36:$E$46,5,FALSE()),"No")="Yes",1,0)</f>
        <v/>
      </c>
      <c r="AI923" s="3">
        <f>IF(ISNUMBER(MATCH(D923,Controls!$A$36:$A$46,0)),1,0)</f>
        <v/>
      </c>
      <c r="AJ923" s="28">
        <f>Q923-N923</f>
        <v/>
      </c>
      <c r="AK923" s="3">
        <f>IF(AE923=1,MAX(0,N923-Q923),0)</f>
        <v/>
      </c>
      <c r="AL923" s="3">
        <f>IF(OR(V923="",V923=0),0,N923/V923)</f>
        <v/>
      </c>
      <c r="AM923" s="3">
        <f>IF(OR(V923="",V923=0),0,1)</f>
        <v/>
      </c>
      <c r="AN923" s="3">
        <f>IF(OR(E923="",F923=""),0,NETWORKDAYS(E923,F923,Ref!$K$2:$K$42))</f>
        <v/>
      </c>
      <c r="AO923" s="3">
        <f>IF(L923="Renewal",1,0)</f>
        <v/>
      </c>
      <c r="AP923" s="3">
        <f>AC923*AD923</f>
        <v/>
      </c>
      <c r="AQ923" s="3">
        <f>IF(AND(G923&lt;&gt;"",'Historical Score'!$C$6&lt;&gt;""),IF(G923='Historical Score'!$C$6,1,0),0)</f>
        <v/>
      </c>
      <c r="AR923" s="3">
        <f>IF(AND(L923&lt;&gt;"",'Historical Score'!$C$5&lt;&gt;""),IF(L923='Historical Score'!$C$5,1,0),0)</f>
        <v/>
      </c>
      <c r="AS923" s="3">
        <f>IF(AND(Y923&lt;&gt;"",'Historical Score'!$C$7&lt;&gt;""),IF(Y923='Historical Score'!$C$7,1,0),0)</f>
        <v/>
      </c>
      <c r="AT923" s="3">
        <f>IF(AND(K923&lt;&gt;"",'Historical Score'!$C$8&lt;&gt;""),IF(K923='Historical Score'!$C$8,1,0),0)</f>
        <v/>
      </c>
      <c r="AU923" s="3" t="n"/>
      <c r="AV923" s="3" t="n"/>
      <c r="AW923" s="3" t="n"/>
      <c r="AX923" s="3" t="n"/>
      <c r="AY923" s="3" t="n"/>
      <c r="AZ923" s="3" t="n"/>
      <c r="BA923" s="182">
        <f>IF(AD923=1,(AR923*'Historical Score'!$K$29+1-'Historical Score'!$K$29)*(AT923*'Historical Score'!$L$29+1-'Historical Score'!$L$29)*(AS923*'Historical Score'!$M$29+1-'Historical Score'!$M$29)*(AQ923*'Historical Score'!$N$29+1-'Historical Score'!$N$29),0)</f>
        <v/>
      </c>
      <c r="BB923" s="3" t="n"/>
      <c r="BC923" s="3" t="n"/>
    </row>
    <row r="924" ht="15.75" customHeight="1" s="174">
      <c r="A924" s="3" t="inlineStr">
        <is>
          <t>5674184724</t>
        </is>
      </c>
      <c r="B924" s="3" t="inlineStr">
        <is>
          <t>OLIVARES GARAGE</t>
        </is>
      </c>
      <c r="C924" s="3" t="inlineStr">
        <is>
          <t>OLIVARES GARAGE LLC</t>
        </is>
      </c>
      <c r="D924" s="3" t="inlineStr">
        <is>
          <t>Open</t>
        </is>
      </c>
      <c r="E924" s="23" t="n">
        <v>46176</v>
      </c>
      <c r="F924" s="23" t="n">
        <v>46248</v>
      </c>
      <c r="G924" s="3" t="n">
        <v>3</v>
      </c>
      <c r="H924" s="3" t="inlineStr">
        <is>
          <t>7538</t>
        </is>
      </c>
      <c r="I924" s="3" t="inlineStr">
        <is>
          <t>75</t>
        </is>
      </c>
      <c r="J924" s="3" t="inlineStr">
        <is>
          <t>TX</t>
        </is>
      </c>
      <c r="K924" s="3" t="inlineStr">
        <is>
          <t>Fundwell</t>
        </is>
      </c>
      <c r="L924" s="3" t="inlineStr">
        <is>
          <t>Renewal</t>
        </is>
      </c>
      <c r="M924" s="3" t="n">
        <v>1.35</v>
      </c>
      <c r="N924" s="28" t="n">
        <v>10000</v>
      </c>
      <c r="O924" s="28" t="n">
        <v>700</v>
      </c>
      <c r="P924" s="28" t="n">
        <v>13500</v>
      </c>
      <c r="Q924" s="28" t="n">
        <v>4094.8</v>
      </c>
      <c r="R924" s="28" t="n">
        <v>9405.200000000001</v>
      </c>
      <c r="S924" s="42" t="n">
        <v>0.303318518518519</v>
      </c>
      <c r="T924" s="3" t="n">
        <v>33</v>
      </c>
      <c r="U924" s="3" t="n">
        <v>0</v>
      </c>
      <c r="V924" s="3" t="n">
        <v>47981.44</v>
      </c>
      <c r="W924" s="42" t="n">
        <v>0.037</v>
      </c>
      <c r="X924" s="23" t="n">
        <v>43245</v>
      </c>
      <c r="Y924" s="3">
        <f>IF(I924="","No SIC",IFERROR(VLOOKUP(I924,Ref!$A$2:$B$65,2,FALSE()),"Unclassified"))</f>
        <v/>
      </c>
      <c r="Z924" s="3">
        <f>IF(T924="","",IF(T924&lt;12,"Daily","Weekly"))</f>
        <v/>
      </c>
      <c r="AA924" s="3">
        <f>IF(T924="",0,IF(T924&lt;12,T924*Controls!$B$13,T924*5))</f>
        <v/>
      </c>
      <c r="AB924" s="3">
        <f>IF(E924="",0,NETWORKDAYS(E924,Controls!$B$20,Ref!$K$2:$K$42))</f>
        <v/>
      </c>
      <c r="AC924" s="3">
        <f>IF(OR(AF924=1,AND(AA924&gt;0,AB924&gt;=Controls!$B$23*AA924)),1,0)</f>
        <v/>
      </c>
      <c r="AD924" s="3">
        <f>IF(AND(E924&lt;&gt;"",E924&gt;=Controls!$B$21,E924&lt;=Controls!$B$22),1,0)</f>
        <v/>
      </c>
      <c r="AE924" s="3">
        <f>IF(IFERROR(VLOOKUP(D924,Controls!$A$36:$E$46,2,FALSE()),"No")="Yes",1,0)</f>
        <v/>
      </c>
      <c r="AF924" s="3">
        <f>IF(IFERROR(VLOOKUP(D924,Controls!$A$36:$E$46,3,FALSE()),"No")="Yes",1,0)</f>
        <v/>
      </c>
      <c r="AG924" s="3">
        <f>IF(IFERROR(VLOOKUP(D924,Controls!$A$36:$E$46,4,FALSE()),"No")="Yes",1,0)</f>
        <v/>
      </c>
      <c r="AH924" s="3">
        <f>IF(IFERROR(VLOOKUP(D924,Controls!$A$36:$E$46,5,FALSE()),"No")="Yes",1,0)</f>
        <v/>
      </c>
      <c r="AI924" s="3">
        <f>IF(ISNUMBER(MATCH(D924,Controls!$A$36:$A$46,0)),1,0)</f>
        <v/>
      </c>
      <c r="AJ924" s="28">
        <f>Q924-N924</f>
        <v/>
      </c>
      <c r="AK924" s="3">
        <f>IF(AE924=1,MAX(0,N924-Q924),0)</f>
        <v/>
      </c>
      <c r="AL924" s="3">
        <f>IF(OR(V924="",V924=0),0,N924/V924)</f>
        <v/>
      </c>
      <c r="AM924" s="3">
        <f>IF(OR(V924="",V924=0),0,1)</f>
        <v/>
      </c>
      <c r="AN924" s="3">
        <f>IF(OR(E924="",F924=""),0,NETWORKDAYS(E924,F924,Ref!$K$2:$K$42))</f>
        <v/>
      </c>
      <c r="AO924" s="3">
        <f>IF(L924="Renewal",1,0)</f>
        <v/>
      </c>
      <c r="AP924" s="3">
        <f>AC924*AD924</f>
        <v/>
      </c>
      <c r="AQ924" s="3">
        <f>IF(AND(G924&lt;&gt;"",'Historical Score'!$C$6&lt;&gt;""),IF(G924='Historical Score'!$C$6,1,0),0)</f>
        <v/>
      </c>
      <c r="AR924" s="3">
        <f>IF(AND(L924&lt;&gt;"",'Historical Score'!$C$5&lt;&gt;""),IF(L924='Historical Score'!$C$5,1,0),0)</f>
        <v/>
      </c>
      <c r="AS924" s="3">
        <f>IF(AND(Y924&lt;&gt;"",'Historical Score'!$C$7&lt;&gt;""),IF(Y924='Historical Score'!$C$7,1,0),0)</f>
        <v/>
      </c>
      <c r="AT924" s="3">
        <f>IF(AND(K924&lt;&gt;"",'Historical Score'!$C$8&lt;&gt;""),IF(K924='Historical Score'!$C$8,1,0),0)</f>
        <v/>
      </c>
      <c r="AU924" s="3" t="n"/>
      <c r="AV924" s="3" t="n"/>
      <c r="AW924" s="3" t="n"/>
      <c r="AX924" s="3" t="n"/>
      <c r="AY924" s="3" t="n"/>
      <c r="AZ924" s="3" t="n"/>
      <c r="BA924" s="182">
        <f>IF(AD924=1,(AR924*'Historical Score'!$K$29+1-'Historical Score'!$K$29)*(AT924*'Historical Score'!$L$29+1-'Historical Score'!$L$29)*(AS924*'Historical Score'!$M$29+1-'Historical Score'!$M$29)*(AQ924*'Historical Score'!$N$29+1-'Historical Score'!$N$29),0)</f>
        <v/>
      </c>
      <c r="BB924" s="3" t="n"/>
      <c r="BC924" s="3" t="n"/>
    </row>
    <row r="925" ht="15.75" customHeight="1" s="174">
      <c r="A925" s="3" t="inlineStr">
        <is>
          <t>5674184755</t>
        </is>
      </c>
      <c r="B925" s="3" t="inlineStr">
        <is>
          <t>WILLIE'S REPAIR SERVICE</t>
        </is>
      </c>
      <c r="C925" s="3" t="inlineStr">
        <is>
          <t>Willie's Repair Service LLC</t>
        </is>
      </c>
      <c r="D925" s="3" t="inlineStr">
        <is>
          <t>In House Collection</t>
        </is>
      </c>
      <c r="E925" s="23" t="n">
        <v>46176</v>
      </c>
      <c r="F925" s="23" t="n">
        <v>46185</v>
      </c>
      <c r="G925" s="3" t="n">
        <v>3</v>
      </c>
      <c r="H925" s="3" t="inlineStr">
        <is>
          <t>7538</t>
        </is>
      </c>
      <c r="I925" s="3" t="inlineStr">
        <is>
          <t>75</t>
        </is>
      </c>
      <c r="J925" s="3" t="inlineStr">
        <is>
          <t>VA</t>
        </is>
      </c>
      <c r="K925" s="3" t="inlineStr">
        <is>
          <t>ROYAL FUNDING GROUP</t>
        </is>
      </c>
      <c r="L925" s="3" t="inlineStr">
        <is>
          <t>Renewal</t>
        </is>
      </c>
      <c r="M925" s="3" t="n">
        <v>1.49</v>
      </c>
      <c r="N925" s="28" t="n">
        <v>25000</v>
      </c>
      <c r="O925" s="28" t="n">
        <v>3500</v>
      </c>
      <c r="P925" s="28" t="n">
        <v>37250</v>
      </c>
      <c r="Q925" s="28" t="n">
        <v>931.23</v>
      </c>
      <c r="R925" s="28" t="n">
        <v>36318.77</v>
      </c>
      <c r="S925" s="42" t="n">
        <v>0.0249994630872483</v>
      </c>
      <c r="T925" s="3" t="n">
        <v>3.934</v>
      </c>
      <c r="U925" s="3" t="n">
        <v>3</v>
      </c>
      <c r="V925" s="3" t="n">
        <v>47264.79</v>
      </c>
      <c r="W925" s="42" t="n">
        <v>0.1784</v>
      </c>
      <c r="X925" s="23" t="n">
        <v>30767</v>
      </c>
      <c r="Y925" s="3">
        <f>IF(I925="","No SIC",IFERROR(VLOOKUP(I925,Ref!$A$2:$B$65,2,FALSE()),"Unclassified"))</f>
        <v/>
      </c>
      <c r="Z925" s="3">
        <f>IF(T925="","",IF(T925&lt;12,"Daily","Weekly"))</f>
        <v/>
      </c>
      <c r="AA925" s="3">
        <f>IF(T925="",0,IF(T925&lt;12,T925*Controls!$B$13,T925*5))</f>
        <v/>
      </c>
      <c r="AB925" s="3">
        <f>IF(E925="",0,NETWORKDAYS(E925,Controls!$B$20,Ref!$K$2:$K$42))</f>
        <v/>
      </c>
      <c r="AC925" s="3">
        <f>IF(OR(AF925=1,AND(AA925&gt;0,AB925&gt;=Controls!$B$23*AA925)),1,0)</f>
        <v/>
      </c>
      <c r="AD925" s="3">
        <f>IF(AND(E925&lt;&gt;"",E925&gt;=Controls!$B$21,E925&lt;=Controls!$B$22),1,0)</f>
        <v/>
      </c>
      <c r="AE925" s="3">
        <f>IF(IFERROR(VLOOKUP(D925,Controls!$A$36:$E$46,2,FALSE()),"No")="Yes",1,0)</f>
        <v/>
      </c>
      <c r="AF925" s="3">
        <f>IF(IFERROR(VLOOKUP(D925,Controls!$A$36:$E$46,3,FALSE()),"No")="Yes",1,0)</f>
        <v/>
      </c>
      <c r="AG925" s="3">
        <f>IF(IFERROR(VLOOKUP(D925,Controls!$A$36:$E$46,4,FALSE()),"No")="Yes",1,0)</f>
        <v/>
      </c>
      <c r="AH925" s="3">
        <f>IF(IFERROR(VLOOKUP(D925,Controls!$A$36:$E$46,5,FALSE()),"No")="Yes",1,0)</f>
        <v/>
      </c>
      <c r="AI925" s="3">
        <f>IF(ISNUMBER(MATCH(D925,Controls!$A$36:$A$46,0)),1,0)</f>
        <v/>
      </c>
      <c r="AJ925" s="28">
        <f>Q925-N925</f>
        <v/>
      </c>
      <c r="AK925" s="3">
        <f>IF(AE925=1,MAX(0,N925-Q925),0)</f>
        <v/>
      </c>
      <c r="AL925" s="3">
        <f>IF(OR(V925="",V925=0),0,N925/V925)</f>
        <v/>
      </c>
      <c r="AM925" s="3">
        <f>IF(OR(V925="",V925=0),0,1)</f>
        <v/>
      </c>
      <c r="AN925" s="3">
        <f>IF(OR(E925="",F925=""),0,NETWORKDAYS(E925,F925,Ref!$K$2:$K$42))</f>
        <v/>
      </c>
      <c r="AO925" s="3">
        <f>IF(L925="Renewal",1,0)</f>
        <v/>
      </c>
      <c r="AP925" s="3">
        <f>AC925*AD925</f>
        <v/>
      </c>
      <c r="AQ925" s="3">
        <f>IF(AND(G925&lt;&gt;"",'Historical Score'!$C$6&lt;&gt;""),IF(G925='Historical Score'!$C$6,1,0),0)</f>
        <v/>
      </c>
      <c r="AR925" s="3">
        <f>IF(AND(L925&lt;&gt;"",'Historical Score'!$C$5&lt;&gt;""),IF(L925='Historical Score'!$C$5,1,0),0)</f>
        <v/>
      </c>
      <c r="AS925" s="3">
        <f>IF(AND(Y925&lt;&gt;"",'Historical Score'!$C$7&lt;&gt;""),IF(Y925='Historical Score'!$C$7,1,0),0)</f>
        <v/>
      </c>
      <c r="AT925" s="3">
        <f>IF(AND(K925&lt;&gt;"",'Historical Score'!$C$8&lt;&gt;""),IF(K925='Historical Score'!$C$8,1,0),0)</f>
        <v/>
      </c>
      <c r="AU925" s="3" t="n"/>
      <c r="AV925" s="3" t="n"/>
      <c r="AW925" s="3" t="n"/>
      <c r="AX925" s="3" t="n"/>
      <c r="AY925" s="3" t="n"/>
      <c r="AZ925" s="3" t="n"/>
      <c r="BA925" s="182">
        <f>IF(AD925=1,(AR925*'Historical Score'!$K$29+1-'Historical Score'!$K$29)*(AT925*'Historical Score'!$L$29+1-'Historical Score'!$L$29)*(AS925*'Historical Score'!$M$29+1-'Historical Score'!$M$29)*(AQ925*'Historical Score'!$N$29+1-'Historical Score'!$N$29),0)</f>
        <v/>
      </c>
      <c r="BB925" s="3" t="n"/>
      <c r="BC925" s="3" t="n"/>
    </row>
    <row r="926" ht="15.75" customHeight="1" s="174">
      <c r="A926" s="3" t="inlineStr">
        <is>
          <t>5674184770</t>
        </is>
      </c>
      <c r="B926" s="3" t="inlineStr">
        <is>
          <t>CHALO FAST FOOD</t>
        </is>
      </c>
      <c r="C926" s="3" t="inlineStr">
        <is>
          <t>JUDCRIS LLC</t>
        </is>
      </c>
      <c r="D926" s="3" t="inlineStr">
        <is>
          <t>Open</t>
        </is>
      </c>
      <c r="E926" s="23" t="n">
        <v>46176</v>
      </c>
      <c r="F926" s="23" t="n">
        <v>46253</v>
      </c>
      <c r="G926" s="3" t="n">
        <v>3</v>
      </c>
      <c r="H926" s="3" t="inlineStr">
        <is>
          <t>5812</t>
        </is>
      </c>
      <c r="I926" s="3" t="inlineStr">
        <is>
          <t>58</t>
        </is>
      </c>
      <c r="J926" s="3" t="inlineStr">
        <is>
          <t>GA</t>
        </is>
      </c>
      <c r="K926" s="3" t="inlineStr">
        <is>
          <t>Ballicci</t>
        </is>
      </c>
      <c r="L926" s="3" t="inlineStr">
        <is>
          <t>New Deal</t>
        </is>
      </c>
      <c r="M926" s="3" t="n">
        <v>1.49</v>
      </c>
      <c r="N926" s="28" t="n">
        <v>15000</v>
      </c>
      <c r="O926" s="28" t="n">
        <v>2100</v>
      </c>
      <c r="P926" s="28" t="n">
        <v>22350</v>
      </c>
      <c r="Q926" s="28" t="n">
        <v>9869.129999999999</v>
      </c>
      <c r="R926" s="28" t="n">
        <v>12480.87</v>
      </c>
      <c r="S926" s="42" t="n">
        <v>0.441571812080537</v>
      </c>
      <c r="T926" s="3" t="n">
        <v>3.934</v>
      </c>
      <c r="U926" s="3" t="n">
        <v>1</v>
      </c>
      <c r="V926" s="3" t="n">
        <v>9327.219999999999</v>
      </c>
      <c r="W926" s="42" t="n">
        <v>0.0711</v>
      </c>
      <c r="X926" s="23" t="n">
        <v>43727</v>
      </c>
      <c r="Y926" s="3">
        <f>IF(I926="","No SIC",IFERROR(VLOOKUP(I926,Ref!$A$2:$B$65,2,FALSE()),"Unclassified"))</f>
        <v/>
      </c>
      <c r="Z926" s="3">
        <f>IF(T926="","",IF(T926&lt;12,"Daily","Weekly"))</f>
        <v/>
      </c>
      <c r="AA926" s="3">
        <f>IF(T926="",0,IF(T926&lt;12,T926*Controls!$B$13,T926*5))</f>
        <v/>
      </c>
      <c r="AB926" s="3">
        <f>IF(E926="",0,NETWORKDAYS(E926,Controls!$B$20,Ref!$K$2:$K$42))</f>
        <v/>
      </c>
      <c r="AC926" s="3">
        <f>IF(OR(AF926=1,AND(AA926&gt;0,AB926&gt;=Controls!$B$23*AA926)),1,0)</f>
        <v/>
      </c>
      <c r="AD926" s="3">
        <f>IF(AND(E926&lt;&gt;"",E926&gt;=Controls!$B$21,E926&lt;=Controls!$B$22),1,0)</f>
        <v/>
      </c>
      <c r="AE926" s="3">
        <f>IF(IFERROR(VLOOKUP(D926,Controls!$A$36:$E$46,2,FALSE()),"No")="Yes",1,0)</f>
        <v/>
      </c>
      <c r="AF926" s="3">
        <f>IF(IFERROR(VLOOKUP(D926,Controls!$A$36:$E$46,3,FALSE()),"No")="Yes",1,0)</f>
        <v/>
      </c>
      <c r="AG926" s="3">
        <f>IF(IFERROR(VLOOKUP(D926,Controls!$A$36:$E$46,4,FALSE()),"No")="Yes",1,0)</f>
        <v/>
      </c>
      <c r="AH926" s="3">
        <f>IF(IFERROR(VLOOKUP(D926,Controls!$A$36:$E$46,5,FALSE()),"No")="Yes",1,0)</f>
        <v/>
      </c>
      <c r="AI926" s="3">
        <f>IF(ISNUMBER(MATCH(D926,Controls!$A$36:$A$46,0)),1,0)</f>
        <v/>
      </c>
      <c r="AJ926" s="28">
        <f>Q926-N926</f>
        <v/>
      </c>
      <c r="AK926" s="3">
        <f>IF(AE926=1,MAX(0,N926-Q926),0)</f>
        <v/>
      </c>
      <c r="AL926" s="3">
        <f>IF(OR(V926="",V926=0),0,N926/V926)</f>
        <v/>
      </c>
      <c r="AM926" s="3">
        <f>IF(OR(V926="",V926=0),0,1)</f>
        <v/>
      </c>
      <c r="AN926" s="3">
        <f>IF(OR(E926="",F926=""),0,NETWORKDAYS(E926,F926,Ref!$K$2:$K$42))</f>
        <v/>
      </c>
      <c r="AO926" s="3">
        <f>IF(L926="Renewal",1,0)</f>
        <v/>
      </c>
      <c r="AP926" s="3">
        <f>AC926*AD926</f>
        <v/>
      </c>
      <c r="AQ926" s="3">
        <f>IF(AND(G926&lt;&gt;"",'Historical Score'!$C$6&lt;&gt;""),IF(G926='Historical Score'!$C$6,1,0),0)</f>
        <v/>
      </c>
      <c r="AR926" s="3">
        <f>IF(AND(L926&lt;&gt;"",'Historical Score'!$C$5&lt;&gt;""),IF(L926='Historical Score'!$C$5,1,0),0)</f>
        <v/>
      </c>
      <c r="AS926" s="3">
        <f>IF(AND(Y926&lt;&gt;"",'Historical Score'!$C$7&lt;&gt;""),IF(Y926='Historical Score'!$C$7,1,0),0)</f>
        <v/>
      </c>
      <c r="AT926" s="3">
        <f>IF(AND(K926&lt;&gt;"",'Historical Score'!$C$8&lt;&gt;""),IF(K926='Historical Score'!$C$8,1,0),0)</f>
        <v/>
      </c>
      <c r="AU926" s="3" t="n"/>
      <c r="AV926" s="3" t="n"/>
      <c r="AW926" s="3" t="n"/>
      <c r="AX926" s="3" t="n"/>
      <c r="AY926" s="3" t="n"/>
      <c r="AZ926" s="3" t="n"/>
      <c r="BA926" s="182">
        <f>IF(AD926=1,(AR926*'Historical Score'!$K$29+1-'Historical Score'!$K$29)*(AT926*'Historical Score'!$L$29+1-'Historical Score'!$L$29)*(AS926*'Historical Score'!$M$29+1-'Historical Score'!$M$29)*(AQ926*'Historical Score'!$N$29+1-'Historical Score'!$N$29),0)</f>
        <v/>
      </c>
      <c r="BB926" s="3" t="n"/>
      <c r="BC926" s="3" t="n"/>
    </row>
    <row r="927" ht="15.75" customHeight="1" s="174">
      <c r="A927" s="3" t="inlineStr">
        <is>
          <t>5674184772</t>
        </is>
      </c>
      <c r="B927" s="3" t="inlineStr">
        <is>
          <t>1-800-Radiators</t>
        </is>
      </c>
      <c r="C927" s="3" t="inlineStr">
        <is>
          <t>C &amp; K Sorgenfrie Corp</t>
        </is>
      </c>
      <c r="D927" s="3" t="inlineStr">
        <is>
          <t>Open</t>
        </is>
      </c>
      <c r="E927" s="23" t="n">
        <v>46176</v>
      </c>
      <c r="F927" s="23" t="n">
        <v>46253</v>
      </c>
      <c r="G927" s="3" t="n">
        <v>3</v>
      </c>
      <c r="H927" s="3" t="inlineStr">
        <is>
          <t>1711</t>
        </is>
      </c>
      <c r="I927" s="3" t="inlineStr">
        <is>
          <t>17</t>
        </is>
      </c>
      <c r="J927" s="3" t="inlineStr">
        <is>
          <t>OR</t>
        </is>
      </c>
      <c r="K927" s="3" t="inlineStr">
        <is>
          <t>Westwood</t>
        </is>
      </c>
      <c r="L927" s="3" t="inlineStr">
        <is>
          <t>New Deal</t>
        </is>
      </c>
      <c r="M927" s="3" t="n">
        <v>1.43</v>
      </c>
      <c r="N927" s="28" t="n">
        <v>22000</v>
      </c>
      <c r="O927" s="28" t="n">
        <v>2420</v>
      </c>
      <c r="P927" s="28" t="n">
        <v>31460</v>
      </c>
      <c r="Q927" s="28" t="n">
        <v>18874.08</v>
      </c>
      <c r="R927" s="28" t="n">
        <v>12585.92</v>
      </c>
      <c r="S927" s="42" t="n">
        <v>0.599938970120788</v>
      </c>
      <c r="T927" s="3" t="n">
        <v>2.951</v>
      </c>
      <c r="U927" s="3" t="n">
        <v>0</v>
      </c>
      <c r="V927" s="3" t="n">
        <v>48000</v>
      </c>
      <c r="W927" s="42" t="n">
        <v>0.0367</v>
      </c>
      <c r="X927" s="23" t="n">
        <v>42352</v>
      </c>
      <c r="Y927" s="3">
        <f>IF(I927="","No SIC",IFERROR(VLOOKUP(I927,Ref!$A$2:$B$65,2,FALSE()),"Unclassified"))</f>
        <v/>
      </c>
      <c r="Z927" s="3">
        <f>IF(T927="","",IF(T927&lt;12,"Daily","Weekly"))</f>
        <v/>
      </c>
      <c r="AA927" s="3">
        <f>IF(T927="",0,IF(T927&lt;12,T927*Controls!$B$13,T927*5))</f>
        <v/>
      </c>
      <c r="AB927" s="3">
        <f>IF(E927="",0,NETWORKDAYS(E927,Controls!$B$20,Ref!$K$2:$K$42))</f>
        <v/>
      </c>
      <c r="AC927" s="3">
        <f>IF(OR(AF927=1,AND(AA927&gt;0,AB927&gt;=Controls!$B$23*AA927)),1,0)</f>
        <v/>
      </c>
      <c r="AD927" s="3">
        <f>IF(AND(E927&lt;&gt;"",E927&gt;=Controls!$B$21,E927&lt;=Controls!$B$22),1,0)</f>
        <v/>
      </c>
      <c r="AE927" s="3">
        <f>IF(IFERROR(VLOOKUP(D927,Controls!$A$36:$E$46,2,FALSE()),"No")="Yes",1,0)</f>
        <v/>
      </c>
      <c r="AF927" s="3">
        <f>IF(IFERROR(VLOOKUP(D927,Controls!$A$36:$E$46,3,FALSE()),"No")="Yes",1,0)</f>
        <v/>
      </c>
      <c r="AG927" s="3">
        <f>IF(IFERROR(VLOOKUP(D927,Controls!$A$36:$E$46,4,FALSE()),"No")="Yes",1,0)</f>
        <v/>
      </c>
      <c r="AH927" s="3">
        <f>IF(IFERROR(VLOOKUP(D927,Controls!$A$36:$E$46,5,FALSE()),"No")="Yes",1,0)</f>
        <v/>
      </c>
      <c r="AI927" s="3">
        <f>IF(ISNUMBER(MATCH(D927,Controls!$A$36:$A$46,0)),1,0)</f>
        <v/>
      </c>
      <c r="AJ927" s="28">
        <f>Q927-N927</f>
        <v/>
      </c>
      <c r="AK927" s="3">
        <f>IF(AE927=1,MAX(0,N927-Q927),0)</f>
        <v/>
      </c>
      <c r="AL927" s="3">
        <f>IF(OR(V927="",V927=0),0,N927/V927)</f>
        <v/>
      </c>
      <c r="AM927" s="3">
        <f>IF(OR(V927="",V927=0),0,1)</f>
        <v/>
      </c>
      <c r="AN927" s="3">
        <f>IF(OR(E927="",F927=""),0,NETWORKDAYS(E927,F927,Ref!$K$2:$K$42))</f>
        <v/>
      </c>
      <c r="AO927" s="3">
        <f>IF(L927="Renewal",1,0)</f>
        <v/>
      </c>
      <c r="AP927" s="3">
        <f>AC927*AD927</f>
        <v/>
      </c>
      <c r="AQ927" s="3">
        <f>IF(AND(G927&lt;&gt;"",'Historical Score'!$C$6&lt;&gt;""),IF(G927='Historical Score'!$C$6,1,0),0)</f>
        <v/>
      </c>
      <c r="AR927" s="3">
        <f>IF(AND(L927&lt;&gt;"",'Historical Score'!$C$5&lt;&gt;""),IF(L927='Historical Score'!$C$5,1,0),0)</f>
        <v/>
      </c>
      <c r="AS927" s="3">
        <f>IF(AND(Y927&lt;&gt;"",'Historical Score'!$C$7&lt;&gt;""),IF(Y927='Historical Score'!$C$7,1,0),0)</f>
        <v/>
      </c>
      <c r="AT927" s="3">
        <f>IF(AND(K927&lt;&gt;"",'Historical Score'!$C$8&lt;&gt;""),IF(K927='Historical Score'!$C$8,1,0),0)</f>
        <v/>
      </c>
      <c r="AU927" s="3" t="n"/>
      <c r="AV927" s="3" t="n"/>
      <c r="AW927" s="3" t="n"/>
      <c r="AX927" s="3" t="n"/>
      <c r="AY927" s="3" t="n"/>
      <c r="AZ927" s="3" t="n"/>
      <c r="BA927" s="182">
        <f>IF(AD927=1,(AR927*'Historical Score'!$K$29+1-'Historical Score'!$K$29)*(AT927*'Historical Score'!$L$29+1-'Historical Score'!$L$29)*(AS927*'Historical Score'!$M$29+1-'Historical Score'!$M$29)*(AQ927*'Historical Score'!$N$29+1-'Historical Score'!$N$29),0)</f>
        <v/>
      </c>
      <c r="BB927" s="3" t="n"/>
      <c r="BC927" s="3" t="n"/>
    </row>
    <row r="928" ht="15.75" customHeight="1" s="174">
      <c r="A928" s="3" t="inlineStr">
        <is>
          <t>5674184816</t>
        </is>
      </c>
      <c r="B928" s="3" t="inlineStr">
        <is>
          <t>LINDEY'S PRIME STEAKHOUSE</t>
        </is>
      </c>
      <c r="C928" s="3" t="inlineStr">
        <is>
          <t>Lindey's Inc.</t>
        </is>
      </c>
      <c r="D928" s="3" t="inlineStr">
        <is>
          <t>Open</t>
        </is>
      </c>
      <c r="E928" s="23" t="n">
        <v>46177</v>
      </c>
      <c r="F928" s="23" t="n">
        <v>46248</v>
      </c>
      <c r="G928" s="3" t="n">
        <v>3</v>
      </c>
      <c r="H928" s="3" t="inlineStr">
        <is>
          <t>5812</t>
        </is>
      </c>
      <c r="I928" s="3" t="inlineStr">
        <is>
          <t>58</t>
        </is>
      </c>
      <c r="J928" s="3" t="inlineStr">
        <is>
          <t>MN</t>
        </is>
      </c>
      <c r="K928" s="3" t="inlineStr">
        <is>
          <t>PMF</t>
        </is>
      </c>
      <c r="L928" s="3" t="inlineStr">
        <is>
          <t>New Deal</t>
        </is>
      </c>
      <c r="M928" s="3" t="n">
        <v>1.45</v>
      </c>
      <c r="N928" s="28" t="n">
        <v>60000</v>
      </c>
      <c r="O928" s="28" t="n">
        <v>7200</v>
      </c>
      <c r="P928" s="28" t="n">
        <v>87000</v>
      </c>
      <c r="Q928" s="28" t="n">
        <v>28965</v>
      </c>
      <c r="R928" s="28" t="n">
        <v>58035</v>
      </c>
      <c r="S928" s="42" t="n">
        <v>0.332931034482759</v>
      </c>
      <c r="T928" s="3" t="n">
        <v>30</v>
      </c>
      <c r="U928" s="3" t="n">
        <v>0</v>
      </c>
      <c r="V928" s="3" t="n">
        <v>297076.82</v>
      </c>
      <c r="W928" s="42" t="n">
        <v>0.039</v>
      </c>
      <c r="X928" s="23" t="n"/>
      <c r="Y928" s="3">
        <f>IF(I928="","No SIC",IFERROR(VLOOKUP(I928,Ref!$A$2:$B$65,2,FALSE()),"Unclassified"))</f>
        <v/>
      </c>
      <c r="Z928" s="3">
        <f>IF(T928="","",IF(T928&lt;12,"Daily","Weekly"))</f>
        <v/>
      </c>
      <c r="AA928" s="3">
        <f>IF(T928="",0,IF(T928&lt;12,T928*Controls!$B$13,T928*5))</f>
        <v/>
      </c>
      <c r="AB928" s="3">
        <f>IF(E928="",0,NETWORKDAYS(E928,Controls!$B$20,Ref!$K$2:$K$42))</f>
        <v/>
      </c>
      <c r="AC928" s="3">
        <f>IF(OR(AF928=1,AND(AA928&gt;0,AB928&gt;=Controls!$B$23*AA928)),1,0)</f>
        <v/>
      </c>
      <c r="AD928" s="3">
        <f>IF(AND(E928&lt;&gt;"",E928&gt;=Controls!$B$21,E928&lt;=Controls!$B$22),1,0)</f>
        <v/>
      </c>
      <c r="AE928" s="3">
        <f>IF(IFERROR(VLOOKUP(D928,Controls!$A$36:$E$46,2,FALSE()),"No")="Yes",1,0)</f>
        <v/>
      </c>
      <c r="AF928" s="3">
        <f>IF(IFERROR(VLOOKUP(D928,Controls!$A$36:$E$46,3,FALSE()),"No")="Yes",1,0)</f>
        <v/>
      </c>
      <c r="AG928" s="3">
        <f>IF(IFERROR(VLOOKUP(D928,Controls!$A$36:$E$46,4,FALSE()),"No")="Yes",1,0)</f>
        <v/>
      </c>
      <c r="AH928" s="3">
        <f>IF(IFERROR(VLOOKUP(D928,Controls!$A$36:$E$46,5,FALSE()),"No")="Yes",1,0)</f>
        <v/>
      </c>
      <c r="AI928" s="3">
        <f>IF(ISNUMBER(MATCH(D928,Controls!$A$36:$A$46,0)),1,0)</f>
        <v/>
      </c>
      <c r="AJ928" s="28">
        <f>Q928-N928</f>
        <v/>
      </c>
      <c r="AK928" s="3">
        <f>IF(AE928=1,MAX(0,N928-Q928),0)</f>
        <v/>
      </c>
      <c r="AL928" s="3">
        <f>IF(OR(V928="",V928=0),0,N928/V928)</f>
        <v/>
      </c>
      <c r="AM928" s="3">
        <f>IF(OR(V928="",V928=0),0,1)</f>
        <v/>
      </c>
      <c r="AN928" s="3">
        <f>IF(OR(E928="",F928=""),0,NETWORKDAYS(E928,F928,Ref!$K$2:$K$42))</f>
        <v/>
      </c>
      <c r="AO928" s="3">
        <f>IF(L928="Renewal",1,0)</f>
        <v/>
      </c>
      <c r="AP928" s="3">
        <f>AC928*AD928</f>
        <v/>
      </c>
      <c r="AQ928" s="3">
        <f>IF(AND(G928&lt;&gt;"",'Historical Score'!$C$6&lt;&gt;""),IF(G928='Historical Score'!$C$6,1,0),0)</f>
        <v/>
      </c>
      <c r="AR928" s="3">
        <f>IF(AND(L928&lt;&gt;"",'Historical Score'!$C$5&lt;&gt;""),IF(L928='Historical Score'!$C$5,1,0),0)</f>
        <v/>
      </c>
      <c r="AS928" s="3">
        <f>IF(AND(Y928&lt;&gt;"",'Historical Score'!$C$7&lt;&gt;""),IF(Y928='Historical Score'!$C$7,1,0),0)</f>
        <v/>
      </c>
      <c r="AT928" s="3">
        <f>IF(AND(K928&lt;&gt;"",'Historical Score'!$C$8&lt;&gt;""),IF(K928='Historical Score'!$C$8,1,0),0)</f>
        <v/>
      </c>
      <c r="AU928" s="3" t="n"/>
      <c r="AV928" s="3" t="n"/>
      <c r="AW928" s="3" t="n"/>
      <c r="AX928" s="3" t="n"/>
      <c r="AY928" s="3" t="n"/>
      <c r="AZ928" s="3" t="n"/>
      <c r="BA928" s="182">
        <f>IF(AD928=1,(AR928*'Historical Score'!$K$29+1-'Historical Score'!$K$29)*(AT928*'Historical Score'!$L$29+1-'Historical Score'!$L$29)*(AS928*'Historical Score'!$M$29+1-'Historical Score'!$M$29)*(AQ928*'Historical Score'!$N$29+1-'Historical Score'!$N$29),0)</f>
        <v/>
      </c>
      <c r="BB928" s="3" t="n"/>
      <c r="BC928" s="3" t="n"/>
    </row>
    <row r="929" ht="15.75" customHeight="1" s="174">
      <c r="A929" s="3" t="inlineStr">
        <is>
          <t>5674184818</t>
        </is>
      </c>
      <c r="B929" s="3" t="inlineStr">
        <is>
          <t>Exhibit Boss LLC</t>
        </is>
      </c>
      <c r="C929" s="3" t="inlineStr">
        <is>
          <t>Exhibit Boss LLC</t>
        </is>
      </c>
      <c r="D929" s="3" t="inlineStr">
        <is>
          <t>Closed</t>
        </is>
      </c>
      <c r="E929" s="23" t="n">
        <v>46177</v>
      </c>
      <c r="F929" s="23" t="n">
        <v>46251</v>
      </c>
      <c r="G929" s="3" t="n">
        <v>3</v>
      </c>
      <c r="H929" s="3" t="inlineStr">
        <is>
          <t>3993</t>
        </is>
      </c>
      <c r="I929" s="3" t="inlineStr">
        <is>
          <t>39</t>
        </is>
      </c>
      <c r="J929" s="3" t="inlineStr">
        <is>
          <t>TX</t>
        </is>
      </c>
      <c r="K929" s="3" t="inlineStr">
        <is>
          <t>PMF</t>
        </is>
      </c>
      <c r="L929" s="3" t="inlineStr">
        <is>
          <t>New Deal</t>
        </is>
      </c>
      <c r="M929" s="3" t="n">
        <v>1.49</v>
      </c>
      <c r="N929" s="28" t="n">
        <v>45000</v>
      </c>
      <c r="O929" s="28" t="n">
        <v>6300</v>
      </c>
      <c r="P929" s="28" t="n">
        <v>67050</v>
      </c>
      <c r="Q929" s="28" t="n">
        <v>67050</v>
      </c>
      <c r="R929" s="28" t="n">
        <v>0</v>
      </c>
      <c r="S929" s="42" t="n">
        <v>1</v>
      </c>
      <c r="T929" s="3" t="n">
        <v>22</v>
      </c>
      <c r="U929" s="3" t="n">
        <v>0</v>
      </c>
      <c r="V929" s="3" t="n">
        <v>335897.48</v>
      </c>
      <c r="W929" s="42" t="n">
        <v>0.0363</v>
      </c>
      <c r="X929" s="23" t="n">
        <v>42736</v>
      </c>
      <c r="Y929" s="3">
        <f>IF(I929="","No SIC",IFERROR(VLOOKUP(I929,Ref!$A$2:$B$65,2,FALSE()),"Unclassified"))</f>
        <v/>
      </c>
      <c r="Z929" s="3">
        <f>IF(T929="","",IF(T929&lt;12,"Daily","Weekly"))</f>
        <v/>
      </c>
      <c r="AA929" s="3">
        <f>IF(T929="",0,IF(T929&lt;12,T929*Controls!$B$13,T929*5))</f>
        <v/>
      </c>
      <c r="AB929" s="3">
        <f>IF(E929="",0,NETWORKDAYS(E929,Controls!$B$20,Ref!$K$2:$K$42))</f>
        <v/>
      </c>
      <c r="AC929" s="3">
        <f>IF(OR(AF929=1,AND(AA929&gt;0,AB929&gt;=Controls!$B$23*AA929)),1,0)</f>
        <v/>
      </c>
      <c r="AD929" s="3">
        <f>IF(AND(E929&lt;&gt;"",E929&gt;=Controls!$B$21,E929&lt;=Controls!$B$22),1,0)</f>
        <v/>
      </c>
      <c r="AE929" s="3">
        <f>IF(IFERROR(VLOOKUP(D929,Controls!$A$36:$E$46,2,FALSE()),"No")="Yes",1,0)</f>
        <v/>
      </c>
      <c r="AF929" s="3">
        <f>IF(IFERROR(VLOOKUP(D929,Controls!$A$36:$E$46,3,FALSE()),"No")="Yes",1,0)</f>
        <v/>
      </c>
      <c r="AG929" s="3">
        <f>IF(IFERROR(VLOOKUP(D929,Controls!$A$36:$E$46,4,FALSE()),"No")="Yes",1,0)</f>
        <v/>
      </c>
      <c r="AH929" s="3">
        <f>IF(IFERROR(VLOOKUP(D929,Controls!$A$36:$E$46,5,FALSE()),"No")="Yes",1,0)</f>
        <v/>
      </c>
      <c r="AI929" s="3">
        <f>IF(ISNUMBER(MATCH(D929,Controls!$A$36:$A$46,0)),1,0)</f>
        <v/>
      </c>
      <c r="AJ929" s="28">
        <f>Q929-N929</f>
        <v/>
      </c>
      <c r="AK929" s="3">
        <f>IF(AE929=1,MAX(0,N929-Q929),0)</f>
        <v/>
      </c>
      <c r="AL929" s="3">
        <f>IF(OR(V929="",V929=0),0,N929/V929)</f>
        <v/>
      </c>
      <c r="AM929" s="3">
        <f>IF(OR(V929="",V929=0),0,1)</f>
        <v/>
      </c>
      <c r="AN929" s="3">
        <f>IF(OR(E929="",F929=""),0,NETWORKDAYS(E929,F929,Ref!$K$2:$K$42))</f>
        <v/>
      </c>
      <c r="AO929" s="3">
        <f>IF(L929="Renewal",1,0)</f>
        <v/>
      </c>
      <c r="AP929" s="3">
        <f>AC929*AD929</f>
        <v/>
      </c>
      <c r="AQ929" s="3">
        <f>IF(AND(G929&lt;&gt;"",'Historical Score'!$C$6&lt;&gt;""),IF(G929='Historical Score'!$C$6,1,0),0)</f>
        <v/>
      </c>
      <c r="AR929" s="3">
        <f>IF(AND(L929&lt;&gt;"",'Historical Score'!$C$5&lt;&gt;""),IF(L929='Historical Score'!$C$5,1,0),0)</f>
        <v/>
      </c>
      <c r="AS929" s="3">
        <f>IF(AND(Y929&lt;&gt;"",'Historical Score'!$C$7&lt;&gt;""),IF(Y929='Historical Score'!$C$7,1,0),0)</f>
        <v/>
      </c>
      <c r="AT929" s="3">
        <f>IF(AND(K929&lt;&gt;"",'Historical Score'!$C$8&lt;&gt;""),IF(K929='Historical Score'!$C$8,1,0),0)</f>
        <v/>
      </c>
      <c r="AU929" s="3" t="n"/>
      <c r="AV929" s="3" t="n"/>
      <c r="AW929" s="3" t="n"/>
      <c r="AX929" s="3" t="n"/>
      <c r="AY929" s="3" t="n"/>
      <c r="AZ929" s="3" t="n"/>
      <c r="BA929" s="182">
        <f>IF(AD929=1,(AR929*'Historical Score'!$K$29+1-'Historical Score'!$K$29)*(AT929*'Historical Score'!$L$29+1-'Historical Score'!$L$29)*(AS929*'Historical Score'!$M$29+1-'Historical Score'!$M$29)*(AQ929*'Historical Score'!$N$29+1-'Historical Score'!$N$29),0)</f>
        <v/>
      </c>
      <c r="BB929" s="3" t="n"/>
      <c r="BC929" s="3" t="n"/>
    </row>
    <row r="930" ht="15.75" customHeight="1" s="174">
      <c r="A930" s="3" t="inlineStr">
        <is>
          <t>5674184839</t>
        </is>
      </c>
      <c r="B930" s="3" t="inlineStr">
        <is>
          <t>First Development</t>
        </is>
      </c>
      <c r="C930" s="3" t="inlineStr">
        <is>
          <t>First Development</t>
        </is>
      </c>
      <c r="D930" s="3" t="inlineStr">
        <is>
          <t>Open</t>
        </is>
      </c>
      <c r="E930" s="23" t="n">
        <v>46177</v>
      </c>
      <c r="F930" s="23" t="n">
        <v>46227</v>
      </c>
      <c r="G930" s="3" t="n">
        <v>3</v>
      </c>
      <c r="H930" s="3" t="inlineStr">
        <is>
          <t>1521</t>
        </is>
      </c>
      <c r="I930" s="3" t="inlineStr">
        <is>
          <t>15</t>
        </is>
      </c>
      <c r="J930" s="3" t="inlineStr">
        <is>
          <t>CA</t>
        </is>
      </c>
      <c r="K930" s="3" t="inlineStr">
        <is>
          <t>Redline Capital</t>
        </is>
      </c>
      <c r="L930" s="3" t="inlineStr">
        <is>
          <t>New Deal</t>
        </is>
      </c>
      <c r="M930" s="3" t="n">
        <v>1.49</v>
      </c>
      <c r="N930" s="28" t="n">
        <v>9000</v>
      </c>
      <c r="O930" s="28" t="n">
        <v>1260</v>
      </c>
      <c r="P930" s="28" t="n">
        <v>13410</v>
      </c>
      <c r="Q930" s="28" t="n">
        <v>4467.9</v>
      </c>
      <c r="R930" s="28" t="n">
        <v>8942.1</v>
      </c>
      <c r="S930" s="42" t="n">
        <v>0.333176733780761</v>
      </c>
      <c r="T930" s="3" t="n">
        <v>2.951</v>
      </c>
      <c r="U930" s="3" t="n">
        <v>3</v>
      </c>
      <c r="V930" s="3" t="n">
        <v>50039.4</v>
      </c>
      <c r="W930" s="42" t="n">
        <v>0.0625</v>
      </c>
      <c r="X930" s="23" t="n">
        <v>42370</v>
      </c>
      <c r="Y930" s="3">
        <f>IF(I930="","No SIC",IFERROR(VLOOKUP(I930,Ref!$A$2:$B$65,2,FALSE()),"Unclassified"))</f>
        <v/>
      </c>
      <c r="Z930" s="3">
        <f>IF(T930="","",IF(T930&lt;12,"Daily","Weekly"))</f>
        <v/>
      </c>
      <c r="AA930" s="3">
        <f>IF(T930="",0,IF(T930&lt;12,T930*Controls!$B$13,T930*5))</f>
        <v/>
      </c>
      <c r="AB930" s="3">
        <f>IF(E930="",0,NETWORKDAYS(E930,Controls!$B$20,Ref!$K$2:$K$42))</f>
        <v/>
      </c>
      <c r="AC930" s="3">
        <f>IF(OR(AF930=1,AND(AA930&gt;0,AB930&gt;=Controls!$B$23*AA930)),1,0)</f>
        <v/>
      </c>
      <c r="AD930" s="3">
        <f>IF(AND(E930&lt;&gt;"",E930&gt;=Controls!$B$21,E930&lt;=Controls!$B$22),1,0)</f>
        <v/>
      </c>
      <c r="AE930" s="3">
        <f>IF(IFERROR(VLOOKUP(D930,Controls!$A$36:$E$46,2,FALSE()),"No")="Yes",1,0)</f>
        <v/>
      </c>
      <c r="AF930" s="3">
        <f>IF(IFERROR(VLOOKUP(D930,Controls!$A$36:$E$46,3,FALSE()),"No")="Yes",1,0)</f>
        <v/>
      </c>
      <c r="AG930" s="3">
        <f>IF(IFERROR(VLOOKUP(D930,Controls!$A$36:$E$46,4,FALSE()),"No")="Yes",1,0)</f>
        <v/>
      </c>
      <c r="AH930" s="3">
        <f>IF(IFERROR(VLOOKUP(D930,Controls!$A$36:$E$46,5,FALSE()),"No")="Yes",1,0)</f>
        <v/>
      </c>
      <c r="AI930" s="3">
        <f>IF(ISNUMBER(MATCH(D930,Controls!$A$36:$A$46,0)),1,0)</f>
        <v/>
      </c>
      <c r="AJ930" s="28">
        <f>Q930-N930</f>
        <v/>
      </c>
      <c r="AK930" s="3">
        <f>IF(AE930=1,MAX(0,N930-Q930),0)</f>
        <v/>
      </c>
      <c r="AL930" s="3">
        <f>IF(OR(V930="",V930=0),0,N930/V930)</f>
        <v/>
      </c>
      <c r="AM930" s="3">
        <f>IF(OR(V930="",V930=0),0,1)</f>
        <v/>
      </c>
      <c r="AN930" s="3">
        <f>IF(OR(E930="",F930=""),0,NETWORKDAYS(E930,F930,Ref!$K$2:$K$42))</f>
        <v/>
      </c>
      <c r="AO930" s="3">
        <f>IF(L930="Renewal",1,0)</f>
        <v/>
      </c>
      <c r="AP930" s="3">
        <f>AC930*AD930</f>
        <v/>
      </c>
      <c r="AQ930" s="3">
        <f>IF(AND(G930&lt;&gt;"",'Historical Score'!$C$6&lt;&gt;""),IF(G930='Historical Score'!$C$6,1,0),0)</f>
        <v/>
      </c>
      <c r="AR930" s="3">
        <f>IF(AND(L930&lt;&gt;"",'Historical Score'!$C$5&lt;&gt;""),IF(L930='Historical Score'!$C$5,1,0),0)</f>
        <v/>
      </c>
      <c r="AS930" s="3">
        <f>IF(AND(Y930&lt;&gt;"",'Historical Score'!$C$7&lt;&gt;""),IF(Y930='Historical Score'!$C$7,1,0),0)</f>
        <v/>
      </c>
      <c r="AT930" s="3">
        <f>IF(AND(K930&lt;&gt;"",'Historical Score'!$C$8&lt;&gt;""),IF(K930='Historical Score'!$C$8,1,0),0)</f>
        <v/>
      </c>
      <c r="AU930" s="3" t="n"/>
      <c r="AV930" s="3" t="n"/>
      <c r="AW930" s="3" t="n"/>
      <c r="AX930" s="3" t="n"/>
      <c r="AY930" s="3" t="n"/>
      <c r="AZ930" s="3" t="n"/>
      <c r="BA930" s="182">
        <f>IF(AD930=1,(AR930*'Historical Score'!$K$29+1-'Historical Score'!$K$29)*(AT930*'Historical Score'!$L$29+1-'Historical Score'!$L$29)*(AS930*'Historical Score'!$M$29+1-'Historical Score'!$M$29)*(AQ930*'Historical Score'!$N$29+1-'Historical Score'!$N$29),0)</f>
        <v/>
      </c>
      <c r="BB930" s="3" t="n"/>
      <c r="BC930" s="3" t="n"/>
    </row>
    <row r="931" ht="15.75" customHeight="1" s="174">
      <c r="A931" s="3" t="inlineStr">
        <is>
          <t>5674184843</t>
        </is>
      </c>
      <c r="B931" s="3" t="inlineStr">
        <is>
          <t>REVUP ENTERPRISES LLC</t>
        </is>
      </c>
      <c r="C931" s="3" t="inlineStr">
        <is>
          <t>REVUP ENTERPRISES LLC</t>
        </is>
      </c>
      <c r="D931" s="3" t="inlineStr">
        <is>
          <t>Closed</t>
        </is>
      </c>
      <c r="E931" s="23" t="n">
        <v>46177</v>
      </c>
      <c r="F931" s="23" t="n">
        <v>46225</v>
      </c>
      <c r="G931" s="3" t="n">
        <v>3</v>
      </c>
      <c r="H931" s="3" t="inlineStr">
        <is>
          <t>7538</t>
        </is>
      </c>
      <c r="I931" s="3" t="inlineStr">
        <is>
          <t>75</t>
        </is>
      </c>
      <c r="J931" s="3" t="inlineStr">
        <is>
          <t>TX</t>
        </is>
      </c>
      <c r="K931" s="3" t="inlineStr">
        <is>
          <t>PMF</t>
        </is>
      </c>
      <c r="L931" s="3" t="inlineStr">
        <is>
          <t>Renewal</t>
        </is>
      </c>
      <c r="M931" s="3" t="n">
        <v>1.49</v>
      </c>
      <c r="N931" s="28" t="n">
        <v>15000</v>
      </c>
      <c r="O931" s="28" t="n">
        <v>2100</v>
      </c>
      <c r="P931" s="28" t="n">
        <v>22350</v>
      </c>
      <c r="Q931" s="28" t="n">
        <v>22350</v>
      </c>
      <c r="R931" s="28" t="n">
        <v>0</v>
      </c>
      <c r="S931" s="42" t="n">
        <v>1</v>
      </c>
      <c r="T931" s="3" t="n">
        <v>2.131</v>
      </c>
      <c r="U931" s="3" t="n">
        <v>0</v>
      </c>
      <c r="V931" s="3" t="n">
        <v>94553.25</v>
      </c>
      <c r="W931" s="42" t="n">
        <v>0.0764</v>
      </c>
      <c r="X931" s="23" t="n">
        <v>45465</v>
      </c>
      <c r="Y931" s="3">
        <f>IF(I931="","No SIC",IFERROR(VLOOKUP(I931,Ref!$A$2:$B$65,2,FALSE()),"Unclassified"))</f>
        <v/>
      </c>
      <c r="Z931" s="3">
        <f>IF(T931="","",IF(T931&lt;12,"Daily","Weekly"))</f>
        <v/>
      </c>
      <c r="AA931" s="3">
        <f>IF(T931="",0,IF(T931&lt;12,T931*Controls!$B$13,T931*5))</f>
        <v/>
      </c>
      <c r="AB931" s="3">
        <f>IF(E931="",0,NETWORKDAYS(E931,Controls!$B$20,Ref!$K$2:$K$42))</f>
        <v/>
      </c>
      <c r="AC931" s="3">
        <f>IF(OR(AF931=1,AND(AA931&gt;0,AB931&gt;=Controls!$B$23*AA931)),1,0)</f>
        <v/>
      </c>
      <c r="AD931" s="3">
        <f>IF(AND(E931&lt;&gt;"",E931&gt;=Controls!$B$21,E931&lt;=Controls!$B$22),1,0)</f>
        <v/>
      </c>
      <c r="AE931" s="3">
        <f>IF(IFERROR(VLOOKUP(D931,Controls!$A$36:$E$46,2,FALSE()),"No")="Yes",1,0)</f>
        <v/>
      </c>
      <c r="AF931" s="3">
        <f>IF(IFERROR(VLOOKUP(D931,Controls!$A$36:$E$46,3,FALSE()),"No")="Yes",1,0)</f>
        <v/>
      </c>
      <c r="AG931" s="3">
        <f>IF(IFERROR(VLOOKUP(D931,Controls!$A$36:$E$46,4,FALSE()),"No")="Yes",1,0)</f>
        <v/>
      </c>
      <c r="AH931" s="3">
        <f>IF(IFERROR(VLOOKUP(D931,Controls!$A$36:$E$46,5,FALSE()),"No")="Yes",1,0)</f>
        <v/>
      </c>
      <c r="AI931" s="3">
        <f>IF(ISNUMBER(MATCH(D931,Controls!$A$36:$A$46,0)),1,0)</f>
        <v/>
      </c>
      <c r="AJ931" s="28">
        <f>Q931-N931</f>
        <v/>
      </c>
      <c r="AK931" s="3">
        <f>IF(AE931=1,MAX(0,N931-Q931),0)</f>
        <v/>
      </c>
      <c r="AL931" s="3">
        <f>IF(OR(V931="",V931=0),0,N931/V931)</f>
        <v/>
      </c>
      <c r="AM931" s="3">
        <f>IF(OR(V931="",V931=0),0,1)</f>
        <v/>
      </c>
      <c r="AN931" s="3">
        <f>IF(OR(E931="",F931=""),0,NETWORKDAYS(E931,F931,Ref!$K$2:$K$42))</f>
        <v/>
      </c>
      <c r="AO931" s="3">
        <f>IF(L931="Renewal",1,0)</f>
        <v/>
      </c>
      <c r="AP931" s="3">
        <f>AC931*AD931</f>
        <v/>
      </c>
      <c r="AQ931" s="3">
        <f>IF(AND(G931&lt;&gt;"",'Historical Score'!$C$6&lt;&gt;""),IF(G931='Historical Score'!$C$6,1,0),0)</f>
        <v/>
      </c>
      <c r="AR931" s="3">
        <f>IF(AND(L931&lt;&gt;"",'Historical Score'!$C$5&lt;&gt;""),IF(L931='Historical Score'!$C$5,1,0),0)</f>
        <v/>
      </c>
      <c r="AS931" s="3">
        <f>IF(AND(Y931&lt;&gt;"",'Historical Score'!$C$7&lt;&gt;""),IF(Y931='Historical Score'!$C$7,1,0),0)</f>
        <v/>
      </c>
      <c r="AT931" s="3">
        <f>IF(AND(K931&lt;&gt;"",'Historical Score'!$C$8&lt;&gt;""),IF(K931='Historical Score'!$C$8,1,0),0)</f>
        <v/>
      </c>
      <c r="AU931" s="3" t="n"/>
      <c r="AV931" s="3" t="n"/>
      <c r="AW931" s="3" t="n"/>
      <c r="AX931" s="3" t="n"/>
      <c r="AY931" s="3" t="n"/>
      <c r="AZ931" s="3" t="n"/>
      <c r="BA931" s="182">
        <f>IF(AD931=1,(AR931*'Historical Score'!$K$29+1-'Historical Score'!$K$29)*(AT931*'Historical Score'!$L$29+1-'Historical Score'!$L$29)*(AS931*'Historical Score'!$M$29+1-'Historical Score'!$M$29)*(AQ931*'Historical Score'!$N$29+1-'Historical Score'!$N$29),0)</f>
        <v/>
      </c>
      <c r="BB931" s="3" t="n"/>
      <c r="BC931" s="3" t="n"/>
    </row>
    <row r="932" ht="15.75" customHeight="1" s="174">
      <c r="A932" s="3" t="inlineStr">
        <is>
          <t>5674184856</t>
        </is>
      </c>
      <c r="B932" s="3" t="inlineStr">
        <is>
          <t>Resurge Insurance Marketing, Inc.</t>
        </is>
      </c>
      <c r="C932" s="3" t="inlineStr">
        <is>
          <t>Resurge Insurance Marketing, Inc.</t>
        </is>
      </c>
      <c r="D932" s="3" t="inlineStr">
        <is>
          <t>Open</t>
        </is>
      </c>
      <c r="E932" s="23" t="n">
        <v>46177</v>
      </c>
      <c r="F932" s="23" t="n">
        <v>46248</v>
      </c>
      <c r="G932" s="3" t="n">
        <v>3</v>
      </c>
      <c r="H932" s="3" t="inlineStr">
        <is>
          <t>7311</t>
        </is>
      </c>
      <c r="I932" s="3" t="inlineStr">
        <is>
          <t>73</t>
        </is>
      </c>
      <c r="J932" s="3" t="inlineStr">
        <is>
          <t>CT</t>
        </is>
      </c>
      <c r="K932" s="3" t="inlineStr">
        <is>
          <t>Vanguard Equities</t>
        </is>
      </c>
      <c r="L932" s="3" t="inlineStr">
        <is>
          <t>Renewal</t>
        </is>
      </c>
      <c r="M932" s="3" t="n">
        <v>1.42</v>
      </c>
      <c r="N932" s="28" t="n">
        <v>50000</v>
      </c>
      <c r="O932" s="28" t="n">
        <v>5250</v>
      </c>
      <c r="P932" s="28" t="n">
        <v>71000</v>
      </c>
      <c r="Q932" s="28" t="n">
        <v>17751.84</v>
      </c>
      <c r="R932" s="28" t="n">
        <v>53248.16</v>
      </c>
      <c r="S932" s="42" t="n">
        <v>0.250025915492958</v>
      </c>
      <c r="T932" s="3" t="n">
        <v>32</v>
      </c>
      <c r="U932" s="3" t="n">
        <v>2</v>
      </c>
      <c r="V932" s="3" t="n">
        <v>48422.85</v>
      </c>
      <c r="W932" s="42" t="n">
        <v>0.1833</v>
      </c>
      <c r="X932" s="23" t="n">
        <v>45405</v>
      </c>
      <c r="Y932" s="3">
        <f>IF(I932="","No SIC",IFERROR(VLOOKUP(I932,Ref!$A$2:$B$65,2,FALSE()),"Unclassified"))</f>
        <v/>
      </c>
      <c r="Z932" s="3">
        <f>IF(T932="","",IF(T932&lt;12,"Daily","Weekly"))</f>
        <v/>
      </c>
      <c r="AA932" s="3">
        <f>IF(T932="",0,IF(T932&lt;12,T932*Controls!$B$13,T932*5))</f>
        <v/>
      </c>
      <c r="AB932" s="3">
        <f>IF(E932="",0,NETWORKDAYS(E932,Controls!$B$20,Ref!$K$2:$K$42))</f>
        <v/>
      </c>
      <c r="AC932" s="3">
        <f>IF(OR(AF932=1,AND(AA932&gt;0,AB932&gt;=Controls!$B$23*AA932)),1,0)</f>
        <v/>
      </c>
      <c r="AD932" s="3">
        <f>IF(AND(E932&lt;&gt;"",E932&gt;=Controls!$B$21,E932&lt;=Controls!$B$22),1,0)</f>
        <v/>
      </c>
      <c r="AE932" s="3">
        <f>IF(IFERROR(VLOOKUP(D932,Controls!$A$36:$E$46,2,FALSE()),"No")="Yes",1,0)</f>
        <v/>
      </c>
      <c r="AF932" s="3">
        <f>IF(IFERROR(VLOOKUP(D932,Controls!$A$36:$E$46,3,FALSE()),"No")="Yes",1,0)</f>
        <v/>
      </c>
      <c r="AG932" s="3">
        <f>IF(IFERROR(VLOOKUP(D932,Controls!$A$36:$E$46,4,FALSE()),"No")="Yes",1,0)</f>
        <v/>
      </c>
      <c r="AH932" s="3">
        <f>IF(IFERROR(VLOOKUP(D932,Controls!$A$36:$E$46,5,FALSE()),"No")="Yes",1,0)</f>
        <v/>
      </c>
      <c r="AI932" s="3">
        <f>IF(ISNUMBER(MATCH(D932,Controls!$A$36:$A$46,0)),1,0)</f>
        <v/>
      </c>
      <c r="AJ932" s="28">
        <f>Q932-N932</f>
        <v/>
      </c>
      <c r="AK932" s="3">
        <f>IF(AE932=1,MAX(0,N932-Q932),0)</f>
        <v/>
      </c>
      <c r="AL932" s="3">
        <f>IF(OR(V932="",V932=0),0,N932/V932)</f>
        <v/>
      </c>
      <c r="AM932" s="3">
        <f>IF(OR(V932="",V932=0),0,1)</f>
        <v/>
      </c>
      <c r="AN932" s="3">
        <f>IF(OR(E932="",F932=""),0,NETWORKDAYS(E932,F932,Ref!$K$2:$K$42))</f>
        <v/>
      </c>
      <c r="AO932" s="3">
        <f>IF(L932="Renewal",1,0)</f>
        <v/>
      </c>
      <c r="AP932" s="3">
        <f>AC932*AD932</f>
        <v/>
      </c>
      <c r="AQ932" s="3">
        <f>IF(AND(G932&lt;&gt;"",'Historical Score'!$C$6&lt;&gt;""),IF(G932='Historical Score'!$C$6,1,0),0)</f>
        <v/>
      </c>
      <c r="AR932" s="3">
        <f>IF(AND(L932&lt;&gt;"",'Historical Score'!$C$5&lt;&gt;""),IF(L932='Historical Score'!$C$5,1,0),0)</f>
        <v/>
      </c>
      <c r="AS932" s="3">
        <f>IF(AND(Y932&lt;&gt;"",'Historical Score'!$C$7&lt;&gt;""),IF(Y932='Historical Score'!$C$7,1,0),0)</f>
        <v/>
      </c>
      <c r="AT932" s="3">
        <f>IF(AND(K932&lt;&gt;"",'Historical Score'!$C$8&lt;&gt;""),IF(K932='Historical Score'!$C$8,1,0),0)</f>
        <v/>
      </c>
      <c r="AU932" s="3" t="n"/>
      <c r="AV932" s="3" t="n"/>
      <c r="AW932" s="3" t="n"/>
      <c r="AX932" s="3" t="n"/>
      <c r="AY932" s="3" t="n"/>
      <c r="AZ932" s="3" t="n"/>
      <c r="BA932" s="182">
        <f>IF(AD932=1,(AR932*'Historical Score'!$K$29+1-'Historical Score'!$K$29)*(AT932*'Historical Score'!$L$29+1-'Historical Score'!$L$29)*(AS932*'Historical Score'!$M$29+1-'Historical Score'!$M$29)*(AQ932*'Historical Score'!$N$29+1-'Historical Score'!$N$29),0)</f>
        <v/>
      </c>
      <c r="BB932" s="3" t="n"/>
      <c r="BC932" s="3" t="n"/>
    </row>
    <row r="933" ht="15.75" customHeight="1" s="174">
      <c r="A933" s="3" t="inlineStr">
        <is>
          <t>5674184857</t>
        </is>
      </c>
      <c r="B933" s="3" t="inlineStr">
        <is>
          <t>Line-x Of Santa Maria</t>
        </is>
      </c>
      <c r="C933" s="3" t="inlineStr">
        <is>
          <t>LINE-X OF SANTA MARIA</t>
        </is>
      </c>
      <c r="D933" s="3" t="inlineStr">
        <is>
          <t>Open</t>
        </is>
      </c>
      <c r="E933" s="23" t="n">
        <v>46177</v>
      </c>
      <c r="F933" s="23" t="n">
        <v>46253</v>
      </c>
      <c r="G933" s="3" t="n">
        <v>3</v>
      </c>
      <c r="H933" s="3" t="inlineStr">
        <is>
          <t>5399</t>
        </is>
      </c>
      <c r="I933" s="3" t="inlineStr">
        <is>
          <t>53</t>
        </is>
      </c>
      <c r="J933" s="3" t="inlineStr">
        <is>
          <t>CA</t>
        </is>
      </c>
      <c r="K933" s="3" t="inlineStr">
        <is>
          <t>Ballicci</t>
        </is>
      </c>
      <c r="L933" s="3" t="inlineStr">
        <is>
          <t>Renewal</t>
        </is>
      </c>
      <c r="M933" s="3" t="n">
        <v>1.49</v>
      </c>
      <c r="N933" s="28" t="n">
        <v>18000</v>
      </c>
      <c r="O933" s="28" t="n">
        <v>2520</v>
      </c>
      <c r="P933" s="28" t="n">
        <v>26820</v>
      </c>
      <c r="Q933" s="28" t="n">
        <v>10447.45</v>
      </c>
      <c r="R933" s="28" t="n">
        <v>16372.55</v>
      </c>
      <c r="S933" s="42" t="n">
        <v>0.389539522744221</v>
      </c>
      <c r="T933" s="3" t="n">
        <v>3.279</v>
      </c>
      <c r="U933" s="3" t="n">
        <v>13</v>
      </c>
      <c r="V933" s="3" t="n">
        <v>33197.73</v>
      </c>
      <c r="W933" s="42" t="n">
        <v>0.1697</v>
      </c>
      <c r="X933" s="23" t="n">
        <v>36911</v>
      </c>
      <c r="Y933" s="3">
        <f>IF(I933="","No SIC",IFERROR(VLOOKUP(I933,Ref!$A$2:$B$65,2,FALSE()),"Unclassified"))</f>
        <v/>
      </c>
      <c r="Z933" s="3">
        <f>IF(T933="","",IF(T933&lt;12,"Daily","Weekly"))</f>
        <v/>
      </c>
      <c r="AA933" s="3">
        <f>IF(T933="",0,IF(T933&lt;12,T933*Controls!$B$13,T933*5))</f>
        <v/>
      </c>
      <c r="AB933" s="3">
        <f>IF(E933="",0,NETWORKDAYS(E933,Controls!$B$20,Ref!$K$2:$K$42))</f>
        <v/>
      </c>
      <c r="AC933" s="3">
        <f>IF(OR(AF933=1,AND(AA933&gt;0,AB933&gt;=Controls!$B$23*AA933)),1,0)</f>
        <v/>
      </c>
      <c r="AD933" s="3">
        <f>IF(AND(E933&lt;&gt;"",E933&gt;=Controls!$B$21,E933&lt;=Controls!$B$22),1,0)</f>
        <v/>
      </c>
      <c r="AE933" s="3">
        <f>IF(IFERROR(VLOOKUP(D933,Controls!$A$36:$E$46,2,FALSE()),"No")="Yes",1,0)</f>
        <v/>
      </c>
      <c r="AF933" s="3">
        <f>IF(IFERROR(VLOOKUP(D933,Controls!$A$36:$E$46,3,FALSE()),"No")="Yes",1,0)</f>
        <v/>
      </c>
      <c r="AG933" s="3">
        <f>IF(IFERROR(VLOOKUP(D933,Controls!$A$36:$E$46,4,FALSE()),"No")="Yes",1,0)</f>
        <v/>
      </c>
      <c r="AH933" s="3">
        <f>IF(IFERROR(VLOOKUP(D933,Controls!$A$36:$E$46,5,FALSE()),"No")="Yes",1,0)</f>
        <v/>
      </c>
      <c r="AI933" s="3">
        <f>IF(ISNUMBER(MATCH(D933,Controls!$A$36:$A$46,0)),1,0)</f>
        <v/>
      </c>
      <c r="AJ933" s="28">
        <f>Q933-N933</f>
        <v/>
      </c>
      <c r="AK933" s="3">
        <f>IF(AE933=1,MAX(0,N933-Q933),0)</f>
        <v/>
      </c>
      <c r="AL933" s="3">
        <f>IF(OR(V933="",V933=0),0,N933/V933)</f>
        <v/>
      </c>
      <c r="AM933" s="3">
        <f>IF(OR(V933="",V933=0),0,1)</f>
        <v/>
      </c>
      <c r="AN933" s="3">
        <f>IF(OR(E933="",F933=""),0,NETWORKDAYS(E933,F933,Ref!$K$2:$K$42))</f>
        <v/>
      </c>
      <c r="AO933" s="3">
        <f>IF(L933="Renewal",1,0)</f>
        <v/>
      </c>
      <c r="AP933" s="3">
        <f>AC933*AD933</f>
        <v/>
      </c>
      <c r="AQ933" s="3">
        <f>IF(AND(G933&lt;&gt;"",'Historical Score'!$C$6&lt;&gt;""),IF(G933='Historical Score'!$C$6,1,0),0)</f>
        <v/>
      </c>
      <c r="AR933" s="3">
        <f>IF(AND(L933&lt;&gt;"",'Historical Score'!$C$5&lt;&gt;""),IF(L933='Historical Score'!$C$5,1,0),0)</f>
        <v/>
      </c>
      <c r="AS933" s="3">
        <f>IF(AND(Y933&lt;&gt;"",'Historical Score'!$C$7&lt;&gt;""),IF(Y933='Historical Score'!$C$7,1,0),0)</f>
        <v/>
      </c>
      <c r="AT933" s="3">
        <f>IF(AND(K933&lt;&gt;"",'Historical Score'!$C$8&lt;&gt;""),IF(K933='Historical Score'!$C$8,1,0),0)</f>
        <v/>
      </c>
      <c r="AU933" s="3" t="n"/>
      <c r="AV933" s="3" t="n"/>
      <c r="AW933" s="3" t="n"/>
      <c r="AX933" s="3" t="n"/>
      <c r="AY933" s="3" t="n"/>
      <c r="AZ933" s="3" t="n"/>
      <c r="BA933" s="182">
        <f>IF(AD933=1,(AR933*'Historical Score'!$K$29+1-'Historical Score'!$K$29)*(AT933*'Historical Score'!$L$29+1-'Historical Score'!$L$29)*(AS933*'Historical Score'!$M$29+1-'Historical Score'!$M$29)*(AQ933*'Historical Score'!$N$29+1-'Historical Score'!$N$29),0)</f>
        <v/>
      </c>
      <c r="BB933" s="3" t="n"/>
      <c r="BC933" s="3" t="n"/>
    </row>
    <row r="934" ht="15.75" customHeight="1" s="174">
      <c r="A934" s="3" t="inlineStr">
        <is>
          <t>5674184859</t>
        </is>
      </c>
      <c r="B934" s="3" t="inlineStr">
        <is>
          <t>CAFE KHALIFA INC</t>
        </is>
      </c>
      <c r="C934" s="3" t="inlineStr">
        <is>
          <t>CAFE KHALIFA INC</t>
        </is>
      </c>
      <c r="D934" s="3" t="inlineStr">
        <is>
          <t>Open</t>
        </is>
      </c>
      <c r="E934" s="23" t="n">
        <v>46177</v>
      </c>
      <c r="F934" s="23" t="n">
        <v>46251</v>
      </c>
      <c r="G934" s="3" t="n">
        <v>3</v>
      </c>
      <c r="H934" s="3" t="inlineStr">
        <is>
          <t>5812</t>
        </is>
      </c>
      <c r="I934" s="3" t="inlineStr">
        <is>
          <t>58</t>
        </is>
      </c>
      <c r="J934" s="3" t="inlineStr">
        <is>
          <t>TX</t>
        </is>
      </c>
      <c r="K934" s="3" t="inlineStr">
        <is>
          <t>Linked In Funding</t>
        </is>
      </c>
      <c r="L934" s="3" t="inlineStr">
        <is>
          <t>New Deal</t>
        </is>
      </c>
      <c r="M934" s="3" t="n">
        <v>1.45</v>
      </c>
      <c r="N934" s="28" t="n">
        <v>20000</v>
      </c>
      <c r="O934" s="28" t="n">
        <v>2400</v>
      </c>
      <c r="P934" s="28" t="n">
        <v>29000</v>
      </c>
      <c r="Q934" s="28" t="n">
        <v>7278.9</v>
      </c>
      <c r="R934" s="28" t="n">
        <v>21721.1</v>
      </c>
      <c r="S934" s="42" t="n">
        <v>0.250996551724138</v>
      </c>
      <c r="T934" s="3" t="n">
        <v>28</v>
      </c>
      <c r="U934" s="3" t="n">
        <v>0</v>
      </c>
      <c r="V934" s="3" t="n">
        <v>41594.35</v>
      </c>
      <c r="W934" s="42" t="n">
        <v>0.09959999999999999</v>
      </c>
      <c r="X934" s="23" t="n">
        <v>44447</v>
      </c>
      <c r="Y934" s="3">
        <f>IF(I934="","No SIC",IFERROR(VLOOKUP(I934,Ref!$A$2:$B$65,2,FALSE()),"Unclassified"))</f>
        <v/>
      </c>
      <c r="Z934" s="3">
        <f>IF(T934="","",IF(T934&lt;12,"Daily","Weekly"))</f>
        <v/>
      </c>
      <c r="AA934" s="3">
        <f>IF(T934="",0,IF(T934&lt;12,T934*Controls!$B$13,T934*5))</f>
        <v/>
      </c>
      <c r="AB934" s="3">
        <f>IF(E934="",0,NETWORKDAYS(E934,Controls!$B$20,Ref!$K$2:$K$42))</f>
        <v/>
      </c>
      <c r="AC934" s="3">
        <f>IF(OR(AF934=1,AND(AA934&gt;0,AB934&gt;=Controls!$B$23*AA934)),1,0)</f>
        <v/>
      </c>
      <c r="AD934" s="3">
        <f>IF(AND(E934&lt;&gt;"",E934&gt;=Controls!$B$21,E934&lt;=Controls!$B$22),1,0)</f>
        <v/>
      </c>
      <c r="AE934" s="3">
        <f>IF(IFERROR(VLOOKUP(D934,Controls!$A$36:$E$46,2,FALSE()),"No")="Yes",1,0)</f>
        <v/>
      </c>
      <c r="AF934" s="3">
        <f>IF(IFERROR(VLOOKUP(D934,Controls!$A$36:$E$46,3,FALSE()),"No")="Yes",1,0)</f>
        <v/>
      </c>
      <c r="AG934" s="3">
        <f>IF(IFERROR(VLOOKUP(D934,Controls!$A$36:$E$46,4,FALSE()),"No")="Yes",1,0)</f>
        <v/>
      </c>
      <c r="AH934" s="3">
        <f>IF(IFERROR(VLOOKUP(D934,Controls!$A$36:$E$46,5,FALSE()),"No")="Yes",1,0)</f>
        <v/>
      </c>
      <c r="AI934" s="3">
        <f>IF(ISNUMBER(MATCH(D934,Controls!$A$36:$A$46,0)),1,0)</f>
        <v/>
      </c>
      <c r="AJ934" s="28">
        <f>Q934-N934</f>
        <v/>
      </c>
      <c r="AK934" s="3">
        <f>IF(AE934=1,MAX(0,N934-Q934),0)</f>
        <v/>
      </c>
      <c r="AL934" s="3">
        <f>IF(OR(V934="",V934=0),0,N934/V934)</f>
        <v/>
      </c>
      <c r="AM934" s="3">
        <f>IF(OR(V934="",V934=0),0,1)</f>
        <v/>
      </c>
      <c r="AN934" s="3">
        <f>IF(OR(E934="",F934=""),0,NETWORKDAYS(E934,F934,Ref!$K$2:$K$42))</f>
        <v/>
      </c>
      <c r="AO934" s="3">
        <f>IF(L934="Renewal",1,0)</f>
        <v/>
      </c>
      <c r="AP934" s="3">
        <f>AC934*AD934</f>
        <v/>
      </c>
      <c r="AQ934" s="3">
        <f>IF(AND(G934&lt;&gt;"",'Historical Score'!$C$6&lt;&gt;""),IF(G934='Historical Score'!$C$6,1,0),0)</f>
        <v/>
      </c>
      <c r="AR934" s="3">
        <f>IF(AND(L934&lt;&gt;"",'Historical Score'!$C$5&lt;&gt;""),IF(L934='Historical Score'!$C$5,1,0),0)</f>
        <v/>
      </c>
      <c r="AS934" s="3">
        <f>IF(AND(Y934&lt;&gt;"",'Historical Score'!$C$7&lt;&gt;""),IF(Y934='Historical Score'!$C$7,1,0),0)</f>
        <v/>
      </c>
      <c r="AT934" s="3">
        <f>IF(AND(K934&lt;&gt;"",'Historical Score'!$C$8&lt;&gt;""),IF(K934='Historical Score'!$C$8,1,0),0)</f>
        <v/>
      </c>
      <c r="AU934" s="3" t="n"/>
      <c r="AV934" s="3" t="n"/>
      <c r="AW934" s="3" t="n"/>
      <c r="AX934" s="3" t="n"/>
      <c r="AY934" s="3" t="n"/>
      <c r="AZ934" s="3" t="n"/>
      <c r="BA934" s="182">
        <f>IF(AD934=1,(AR934*'Historical Score'!$K$29+1-'Historical Score'!$K$29)*(AT934*'Historical Score'!$L$29+1-'Historical Score'!$L$29)*(AS934*'Historical Score'!$M$29+1-'Historical Score'!$M$29)*(AQ934*'Historical Score'!$N$29+1-'Historical Score'!$N$29),0)</f>
        <v/>
      </c>
      <c r="BB934" s="3" t="n"/>
      <c r="BC934" s="3" t="n"/>
    </row>
    <row r="935" ht="15.75" customHeight="1" s="174">
      <c r="A935" s="3" t="inlineStr">
        <is>
          <t>5674184860</t>
        </is>
      </c>
      <c r="B935" s="3" t="inlineStr">
        <is>
          <t>SOUTH CITY SHOP LLC</t>
        </is>
      </c>
      <c r="C935" s="3" t="inlineStr">
        <is>
          <t>SOUTH CITY SHOP LLC</t>
        </is>
      </c>
      <c r="D935" s="3" t="inlineStr">
        <is>
          <t>Open</t>
        </is>
      </c>
      <c r="E935" s="23" t="n">
        <v>46177</v>
      </c>
      <c r="F935" s="23" t="n">
        <v>46253</v>
      </c>
      <c r="G935" s="3" t="n">
        <v>3</v>
      </c>
      <c r="H935" s="3" t="inlineStr">
        <is>
          <t>5999</t>
        </is>
      </c>
      <c r="I935" s="3" t="inlineStr">
        <is>
          <t>59</t>
        </is>
      </c>
      <c r="J935" s="3" t="inlineStr">
        <is>
          <t>GA</t>
        </is>
      </c>
      <c r="K935" s="3" t="inlineStr">
        <is>
          <t>Llama Loan</t>
        </is>
      </c>
      <c r="L935" s="3" t="inlineStr">
        <is>
          <t>New Deal</t>
        </is>
      </c>
      <c r="M935" s="3" t="n">
        <v>1.35</v>
      </c>
      <c r="N935" s="28" t="n">
        <v>12000</v>
      </c>
      <c r="O935" s="28" t="n">
        <v>840</v>
      </c>
      <c r="P935" s="28" t="n">
        <v>16200</v>
      </c>
      <c r="Q935" s="28" t="n">
        <v>7157.65</v>
      </c>
      <c r="R935" s="28" t="n">
        <v>9042.35</v>
      </c>
      <c r="S935" s="42" t="n">
        <v>0.44183024691358</v>
      </c>
      <c r="T935" s="3" t="n">
        <v>3.934</v>
      </c>
      <c r="U935" s="3" t="n">
        <v>0</v>
      </c>
      <c r="V935" s="3" t="n">
        <v>23892.05</v>
      </c>
      <c r="W935" s="42" t="n">
        <v>0.1187</v>
      </c>
      <c r="X935" s="23" t="n">
        <v>44520</v>
      </c>
      <c r="Y935" s="3">
        <f>IF(I935="","No SIC",IFERROR(VLOOKUP(I935,Ref!$A$2:$B$65,2,FALSE()),"Unclassified"))</f>
        <v/>
      </c>
      <c r="Z935" s="3">
        <f>IF(T935="","",IF(T935&lt;12,"Daily","Weekly"))</f>
        <v/>
      </c>
      <c r="AA935" s="3">
        <f>IF(T935="",0,IF(T935&lt;12,T935*Controls!$B$13,T935*5))</f>
        <v/>
      </c>
      <c r="AB935" s="3">
        <f>IF(E935="",0,NETWORKDAYS(E935,Controls!$B$20,Ref!$K$2:$K$42))</f>
        <v/>
      </c>
      <c r="AC935" s="3">
        <f>IF(OR(AF935=1,AND(AA935&gt;0,AB935&gt;=Controls!$B$23*AA935)),1,0)</f>
        <v/>
      </c>
      <c r="AD935" s="3">
        <f>IF(AND(E935&lt;&gt;"",E935&gt;=Controls!$B$21,E935&lt;=Controls!$B$22),1,0)</f>
        <v/>
      </c>
      <c r="AE935" s="3">
        <f>IF(IFERROR(VLOOKUP(D935,Controls!$A$36:$E$46,2,FALSE()),"No")="Yes",1,0)</f>
        <v/>
      </c>
      <c r="AF935" s="3">
        <f>IF(IFERROR(VLOOKUP(D935,Controls!$A$36:$E$46,3,FALSE()),"No")="Yes",1,0)</f>
        <v/>
      </c>
      <c r="AG935" s="3">
        <f>IF(IFERROR(VLOOKUP(D935,Controls!$A$36:$E$46,4,FALSE()),"No")="Yes",1,0)</f>
        <v/>
      </c>
      <c r="AH935" s="3">
        <f>IF(IFERROR(VLOOKUP(D935,Controls!$A$36:$E$46,5,FALSE()),"No")="Yes",1,0)</f>
        <v/>
      </c>
      <c r="AI935" s="3">
        <f>IF(ISNUMBER(MATCH(D935,Controls!$A$36:$A$46,0)),1,0)</f>
        <v/>
      </c>
      <c r="AJ935" s="28">
        <f>Q935-N935</f>
        <v/>
      </c>
      <c r="AK935" s="3">
        <f>IF(AE935=1,MAX(0,N935-Q935),0)</f>
        <v/>
      </c>
      <c r="AL935" s="3">
        <f>IF(OR(V935="",V935=0),0,N935/V935)</f>
        <v/>
      </c>
      <c r="AM935" s="3">
        <f>IF(OR(V935="",V935=0),0,1)</f>
        <v/>
      </c>
      <c r="AN935" s="3">
        <f>IF(OR(E935="",F935=""),0,NETWORKDAYS(E935,F935,Ref!$K$2:$K$42))</f>
        <v/>
      </c>
      <c r="AO935" s="3">
        <f>IF(L935="Renewal",1,0)</f>
        <v/>
      </c>
      <c r="AP935" s="3">
        <f>AC935*AD935</f>
        <v/>
      </c>
      <c r="AQ935" s="3">
        <f>IF(AND(G935&lt;&gt;"",'Historical Score'!$C$6&lt;&gt;""),IF(G935='Historical Score'!$C$6,1,0),0)</f>
        <v/>
      </c>
      <c r="AR935" s="3">
        <f>IF(AND(L935&lt;&gt;"",'Historical Score'!$C$5&lt;&gt;""),IF(L935='Historical Score'!$C$5,1,0),0)</f>
        <v/>
      </c>
      <c r="AS935" s="3">
        <f>IF(AND(Y935&lt;&gt;"",'Historical Score'!$C$7&lt;&gt;""),IF(Y935='Historical Score'!$C$7,1,0),0)</f>
        <v/>
      </c>
      <c r="AT935" s="3">
        <f>IF(AND(K935&lt;&gt;"",'Historical Score'!$C$8&lt;&gt;""),IF(K935='Historical Score'!$C$8,1,0),0)</f>
        <v/>
      </c>
      <c r="AU935" s="3" t="n"/>
      <c r="AV935" s="3" t="n"/>
      <c r="AW935" s="3" t="n"/>
      <c r="AX935" s="3" t="n"/>
      <c r="AY935" s="3" t="n"/>
      <c r="AZ935" s="3" t="n"/>
      <c r="BA935" s="182">
        <f>IF(AD935=1,(AR935*'Historical Score'!$K$29+1-'Historical Score'!$K$29)*(AT935*'Historical Score'!$L$29+1-'Historical Score'!$L$29)*(AS935*'Historical Score'!$M$29+1-'Historical Score'!$M$29)*(AQ935*'Historical Score'!$N$29+1-'Historical Score'!$N$29),0)</f>
        <v/>
      </c>
      <c r="BB935" s="3" t="n"/>
      <c r="BC935" s="3" t="n"/>
    </row>
    <row r="936" ht="15.75" customHeight="1" s="174">
      <c r="A936" s="3" t="inlineStr">
        <is>
          <t>5674184866</t>
        </is>
      </c>
      <c r="B936" s="3" t="inlineStr">
        <is>
          <t>Cokd Regent LLC</t>
        </is>
      </c>
      <c r="C936" s="3" t="inlineStr">
        <is>
          <t>Cokd Regent LLC</t>
        </is>
      </c>
      <c r="D936" s="3" t="inlineStr">
        <is>
          <t>Open</t>
        </is>
      </c>
      <c r="E936" s="23" t="n">
        <v>46177</v>
      </c>
      <c r="F936" s="23" t="n">
        <v>46248</v>
      </c>
      <c r="G936" s="3" t="n">
        <v>3</v>
      </c>
      <c r="H936" s="3" t="inlineStr">
        <is>
          <t>5812</t>
        </is>
      </c>
      <c r="I936" s="3" t="inlineStr">
        <is>
          <t>58</t>
        </is>
      </c>
      <c r="J936" s="3" t="inlineStr">
        <is>
          <t>TX</t>
        </is>
      </c>
      <c r="K936" s="3" t="inlineStr">
        <is>
          <t>Credibly</t>
        </is>
      </c>
      <c r="L936" s="3" t="inlineStr">
        <is>
          <t>New Deal</t>
        </is>
      </c>
      <c r="M936" s="3" t="n">
        <v>1.35</v>
      </c>
      <c r="N936" s="28" t="n">
        <v>25000</v>
      </c>
      <c r="O936" s="28" t="n">
        <v>1750</v>
      </c>
      <c r="P936" s="28" t="n">
        <v>33750</v>
      </c>
      <c r="Q936" s="28" t="n">
        <v>12982.9</v>
      </c>
      <c r="R936" s="28" t="n">
        <v>20767.1</v>
      </c>
      <c r="S936" s="42" t="n">
        <v>0.384678518518519</v>
      </c>
      <c r="T936" s="3" t="n">
        <v>26</v>
      </c>
      <c r="U936" s="3" t="n">
        <v>0</v>
      </c>
      <c r="V936" s="3" t="n">
        <v>124536.26</v>
      </c>
      <c r="W936" s="42" t="n">
        <v>0.0417</v>
      </c>
      <c r="X936" s="23" t="n">
        <v>45643</v>
      </c>
      <c r="Y936" s="3">
        <f>IF(I936="","No SIC",IFERROR(VLOOKUP(I936,Ref!$A$2:$B$65,2,FALSE()),"Unclassified"))</f>
        <v/>
      </c>
      <c r="Z936" s="3">
        <f>IF(T936="","",IF(T936&lt;12,"Daily","Weekly"))</f>
        <v/>
      </c>
      <c r="AA936" s="3">
        <f>IF(T936="",0,IF(T936&lt;12,T936*Controls!$B$13,T936*5))</f>
        <v/>
      </c>
      <c r="AB936" s="3">
        <f>IF(E936="",0,NETWORKDAYS(E936,Controls!$B$20,Ref!$K$2:$K$42))</f>
        <v/>
      </c>
      <c r="AC936" s="3">
        <f>IF(OR(AF936=1,AND(AA936&gt;0,AB936&gt;=Controls!$B$23*AA936)),1,0)</f>
        <v/>
      </c>
      <c r="AD936" s="3">
        <f>IF(AND(E936&lt;&gt;"",E936&gt;=Controls!$B$21,E936&lt;=Controls!$B$22),1,0)</f>
        <v/>
      </c>
      <c r="AE936" s="3">
        <f>IF(IFERROR(VLOOKUP(D936,Controls!$A$36:$E$46,2,FALSE()),"No")="Yes",1,0)</f>
        <v/>
      </c>
      <c r="AF936" s="3">
        <f>IF(IFERROR(VLOOKUP(D936,Controls!$A$36:$E$46,3,FALSE()),"No")="Yes",1,0)</f>
        <v/>
      </c>
      <c r="AG936" s="3">
        <f>IF(IFERROR(VLOOKUP(D936,Controls!$A$36:$E$46,4,FALSE()),"No")="Yes",1,0)</f>
        <v/>
      </c>
      <c r="AH936" s="3">
        <f>IF(IFERROR(VLOOKUP(D936,Controls!$A$36:$E$46,5,FALSE()),"No")="Yes",1,0)</f>
        <v/>
      </c>
      <c r="AI936" s="3">
        <f>IF(ISNUMBER(MATCH(D936,Controls!$A$36:$A$46,0)),1,0)</f>
        <v/>
      </c>
      <c r="AJ936" s="28">
        <f>Q936-N936</f>
        <v/>
      </c>
      <c r="AK936" s="3">
        <f>IF(AE936=1,MAX(0,N936-Q936),0)</f>
        <v/>
      </c>
      <c r="AL936" s="3">
        <f>IF(OR(V936="",V936=0),0,N936/V936)</f>
        <v/>
      </c>
      <c r="AM936" s="3">
        <f>IF(OR(V936="",V936=0),0,1)</f>
        <v/>
      </c>
      <c r="AN936" s="3">
        <f>IF(OR(E936="",F936=""),0,NETWORKDAYS(E936,F936,Ref!$K$2:$K$42))</f>
        <v/>
      </c>
      <c r="AO936" s="3">
        <f>IF(L936="Renewal",1,0)</f>
        <v/>
      </c>
      <c r="AP936" s="3">
        <f>AC936*AD936</f>
        <v/>
      </c>
      <c r="AQ936" s="3">
        <f>IF(AND(G936&lt;&gt;"",'Historical Score'!$C$6&lt;&gt;""),IF(G936='Historical Score'!$C$6,1,0),0)</f>
        <v/>
      </c>
      <c r="AR936" s="3">
        <f>IF(AND(L936&lt;&gt;"",'Historical Score'!$C$5&lt;&gt;""),IF(L936='Historical Score'!$C$5,1,0),0)</f>
        <v/>
      </c>
      <c r="AS936" s="3">
        <f>IF(AND(Y936&lt;&gt;"",'Historical Score'!$C$7&lt;&gt;""),IF(Y936='Historical Score'!$C$7,1,0),0)</f>
        <v/>
      </c>
      <c r="AT936" s="3">
        <f>IF(AND(K936&lt;&gt;"",'Historical Score'!$C$8&lt;&gt;""),IF(K936='Historical Score'!$C$8,1,0),0)</f>
        <v/>
      </c>
      <c r="AU936" s="3" t="n"/>
      <c r="AV936" s="3" t="n"/>
      <c r="AW936" s="3" t="n"/>
      <c r="AX936" s="3" t="n"/>
      <c r="AY936" s="3" t="n"/>
      <c r="AZ936" s="3" t="n"/>
      <c r="BA936" s="182">
        <f>IF(AD936=1,(AR936*'Historical Score'!$K$29+1-'Historical Score'!$K$29)*(AT936*'Historical Score'!$L$29+1-'Historical Score'!$L$29)*(AS936*'Historical Score'!$M$29+1-'Historical Score'!$M$29)*(AQ936*'Historical Score'!$N$29+1-'Historical Score'!$N$29),0)</f>
        <v/>
      </c>
      <c r="BB936" s="3" t="n"/>
      <c r="BC936" s="3" t="n"/>
    </row>
    <row r="937" ht="15.75" customHeight="1" s="174">
      <c r="A937" s="3" t="inlineStr">
        <is>
          <t>5674184898</t>
        </is>
      </c>
      <c r="B937" s="3" t="inlineStr">
        <is>
          <t>4Rocks Arena</t>
        </is>
      </c>
      <c r="C937" s="3" t="inlineStr">
        <is>
          <t>4Rocks Arena</t>
        </is>
      </c>
      <c r="D937" s="3" t="inlineStr">
        <is>
          <t>Open</t>
        </is>
      </c>
      <c r="E937" s="23" t="n">
        <v>46177</v>
      </c>
      <c r="F937" s="23" t="n">
        <v>46241</v>
      </c>
      <c r="G937" s="3" t="n">
        <v>3</v>
      </c>
      <c r="H937" s="3" t="inlineStr">
        <is>
          <t>5999</t>
        </is>
      </c>
      <c r="I937" s="3" t="inlineStr">
        <is>
          <t>59</t>
        </is>
      </c>
      <c r="J937" s="3" t="inlineStr">
        <is>
          <t>IL</t>
        </is>
      </c>
      <c r="K937" s="3" t="inlineStr">
        <is>
          <t>Fundwell</t>
        </is>
      </c>
      <c r="L937" s="3" t="inlineStr">
        <is>
          <t>New Deal</t>
        </is>
      </c>
      <c r="M937" s="3" t="n">
        <v>1.35</v>
      </c>
      <c r="N937" s="28" t="n">
        <v>3000</v>
      </c>
      <c r="O937" s="28" t="n">
        <v>210</v>
      </c>
      <c r="P937" s="28" t="n">
        <v>4050</v>
      </c>
      <c r="Q937" s="28" t="n">
        <v>1999.62</v>
      </c>
      <c r="R937" s="28" t="n">
        <v>2050.38</v>
      </c>
      <c r="S937" s="42" t="n">
        <v>0.493733333333333</v>
      </c>
      <c r="T937" s="3" t="n">
        <v>2.787</v>
      </c>
      <c r="U937" s="3" t="n">
        <v>2</v>
      </c>
      <c r="V937" s="3" t="n">
        <v>26520.15</v>
      </c>
      <c r="W937" s="42" t="n">
        <v>0.0377</v>
      </c>
      <c r="X937" s="23" t="n">
        <v>42917</v>
      </c>
      <c r="Y937" s="3">
        <f>IF(I937="","No SIC",IFERROR(VLOOKUP(I937,Ref!$A$2:$B$65,2,FALSE()),"Unclassified"))</f>
        <v/>
      </c>
      <c r="Z937" s="3">
        <f>IF(T937="","",IF(T937&lt;12,"Daily","Weekly"))</f>
        <v/>
      </c>
      <c r="AA937" s="3">
        <f>IF(T937="",0,IF(T937&lt;12,T937*Controls!$B$13,T937*5))</f>
        <v/>
      </c>
      <c r="AB937" s="3">
        <f>IF(E937="",0,NETWORKDAYS(E937,Controls!$B$20,Ref!$K$2:$K$42))</f>
        <v/>
      </c>
      <c r="AC937" s="3">
        <f>IF(OR(AF937=1,AND(AA937&gt;0,AB937&gt;=Controls!$B$23*AA937)),1,0)</f>
        <v/>
      </c>
      <c r="AD937" s="3">
        <f>IF(AND(E937&lt;&gt;"",E937&gt;=Controls!$B$21,E937&lt;=Controls!$B$22),1,0)</f>
        <v/>
      </c>
      <c r="AE937" s="3">
        <f>IF(IFERROR(VLOOKUP(D937,Controls!$A$36:$E$46,2,FALSE()),"No")="Yes",1,0)</f>
        <v/>
      </c>
      <c r="AF937" s="3">
        <f>IF(IFERROR(VLOOKUP(D937,Controls!$A$36:$E$46,3,FALSE()),"No")="Yes",1,0)</f>
        <v/>
      </c>
      <c r="AG937" s="3">
        <f>IF(IFERROR(VLOOKUP(D937,Controls!$A$36:$E$46,4,FALSE()),"No")="Yes",1,0)</f>
        <v/>
      </c>
      <c r="AH937" s="3">
        <f>IF(IFERROR(VLOOKUP(D937,Controls!$A$36:$E$46,5,FALSE()),"No")="Yes",1,0)</f>
        <v/>
      </c>
      <c r="AI937" s="3">
        <f>IF(ISNUMBER(MATCH(D937,Controls!$A$36:$A$46,0)),1,0)</f>
        <v/>
      </c>
      <c r="AJ937" s="28">
        <f>Q937-N937</f>
        <v/>
      </c>
      <c r="AK937" s="3">
        <f>IF(AE937=1,MAX(0,N937-Q937),0)</f>
        <v/>
      </c>
      <c r="AL937" s="3">
        <f>IF(OR(V937="",V937=0),0,N937/V937)</f>
        <v/>
      </c>
      <c r="AM937" s="3">
        <f>IF(OR(V937="",V937=0),0,1)</f>
        <v/>
      </c>
      <c r="AN937" s="3">
        <f>IF(OR(E937="",F937=""),0,NETWORKDAYS(E937,F937,Ref!$K$2:$K$42))</f>
        <v/>
      </c>
      <c r="AO937" s="3">
        <f>IF(L937="Renewal",1,0)</f>
        <v/>
      </c>
      <c r="AP937" s="3">
        <f>AC937*AD937</f>
        <v/>
      </c>
      <c r="AQ937" s="3">
        <f>IF(AND(G937&lt;&gt;"",'Historical Score'!$C$6&lt;&gt;""),IF(G937='Historical Score'!$C$6,1,0),0)</f>
        <v/>
      </c>
      <c r="AR937" s="3">
        <f>IF(AND(L937&lt;&gt;"",'Historical Score'!$C$5&lt;&gt;""),IF(L937='Historical Score'!$C$5,1,0),0)</f>
        <v/>
      </c>
      <c r="AS937" s="3">
        <f>IF(AND(Y937&lt;&gt;"",'Historical Score'!$C$7&lt;&gt;""),IF(Y937='Historical Score'!$C$7,1,0),0)</f>
        <v/>
      </c>
      <c r="AT937" s="3">
        <f>IF(AND(K937&lt;&gt;"",'Historical Score'!$C$8&lt;&gt;""),IF(K937='Historical Score'!$C$8,1,0),0)</f>
        <v/>
      </c>
      <c r="AU937" s="3" t="n"/>
      <c r="AV937" s="3" t="n"/>
      <c r="AW937" s="3" t="n"/>
      <c r="AX937" s="3" t="n"/>
      <c r="AY937" s="3" t="n"/>
      <c r="AZ937" s="3" t="n"/>
      <c r="BA937" s="182">
        <f>IF(AD937=1,(AR937*'Historical Score'!$K$29+1-'Historical Score'!$K$29)*(AT937*'Historical Score'!$L$29+1-'Historical Score'!$L$29)*(AS937*'Historical Score'!$M$29+1-'Historical Score'!$M$29)*(AQ937*'Historical Score'!$N$29+1-'Historical Score'!$N$29),0)</f>
        <v/>
      </c>
      <c r="BB937" s="3" t="n"/>
      <c r="BC937" s="3" t="n"/>
    </row>
    <row r="938" ht="15.75" customHeight="1" s="174">
      <c r="A938" s="3" t="inlineStr">
        <is>
          <t>5674184975</t>
        </is>
      </c>
      <c r="B938" s="3" t="inlineStr">
        <is>
          <t>Eod</t>
        </is>
      </c>
      <c r="C938" s="3" t="inlineStr">
        <is>
          <t>Eod</t>
        </is>
      </c>
      <c r="D938" s="3" t="inlineStr">
        <is>
          <t>In House Collection</t>
        </is>
      </c>
      <c r="E938" s="23" t="n">
        <v>46178</v>
      </c>
      <c r="F938" s="23" t="n">
        <v>46232</v>
      </c>
      <c r="G938" s="3" t="n">
        <v>3</v>
      </c>
      <c r="H938" s="3" t="inlineStr">
        <is>
          <t>5999</t>
        </is>
      </c>
      <c r="I938" s="3" t="inlineStr">
        <is>
          <t>59</t>
        </is>
      </c>
      <c r="J938" s="3" t="inlineStr">
        <is>
          <t>FL</t>
        </is>
      </c>
      <c r="K938" s="3" t="inlineStr">
        <is>
          <t>PMF</t>
        </is>
      </c>
      <c r="L938" s="3" t="inlineStr">
        <is>
          <t>New Deal</t>
        </is>
      </c>
      <c r="M938" s="3" t="n">
        <v>1.49</v>
      </c>
      <c r="N938" s="28" t="n">
        <v>12000</v>
      </c>
      <c r="O938" s="28" t="n">
        <v>0</v>
      </c>
      <c r="P938" s="28" t="n">
        <v>17880</v>
      </c>
      <c r="Q938" s="28" t="n">
        <v>1563.52</v>
      </c>
      <c r="R938" s="28" t="n">
        <v>16316.48</v>
      </c>
      <c r="S938" s="42" t="n">
        <v>0.0874451901565995</v>
      </c>
      <c r="T938" s="3" t="n">
        <v>2.623</v>
      </c>
      <c r="U938" s="3" t="n">
        <v>29</v>
      </c>
      <c r="V938" s="3" t="n">
        <v>137960.35</v>
      </c>
      <c r="W938" s="42" t="n">
        <v>0.034</v>
      </c>
      <c r="X938" s="23" t="n">
        <v>45778</v>
      </c>
      <c r="Y938" s="3">
        <f>IF(I938="","No SIC",IFERROR(VLOOKUP(I938,Ref!$A$2:$B$65,2,FALSE()),"Unclassified"))</f>
        <v/>
      </c>
      <c r="Z938" s="3">
        <f>IF(T938="","",IF(T938&lt;12,"Daily","Weekly"))</f>
        <v/>
      </c>
      <c r="AA938" s="3">
        <f>IF(T938="",0,IF(T938&lt;12,T938*Controls!$B$13,T938*5))</f>
        <v/>
      </c>
      <c r="AB938" s="3">
        <f>IF(E938="",0,NETWORKDAYS(E938,Controls!$B$20,Ref!$K$2:$K$42))</f>
        <v/>
      </c>
      <c r="AC938" s="3">
        <f>IF(OR(AF938=1,AND(AA938&gt;0,AB938&gt;=Controls!$B$23*AA938)),1,0)</f>
        <v/>
      </c>
      <c r="AD938" s="3">
        <f>IF(AND(E938&lt;&gt;"",E938&gt;=Controls!$B$21,E938&lt;=Controls!$B$22),1,0)</f>
        <v/>
      </c>
      <c r="AE938" s="3">
        <f>IF(IFERROR(VLOOKUP(D938,Controls!$A$36:$E$46,2,FALSE()),"No")="Yes",1,0)</f>
        <v/>
      </c>
      <c r="AF938" s="3">
        <f>IF(IFERROR(VLOOKUP(D938,Controls!$A$36:$E$46,3,FALSE()),"No")="Yes",1,0)</f>
        <v/>
      </c>
      <c r="AG938" s="3">
        <f>IF(IFERROR(VLOOKUP(D938,Controls!$A$36:$E$46,4,FALSE()),"No")="Yes",1,0)</f>
        <v/>
      </c>
      <c r="AH938" s="3">
        <f>IF(IFERROR(VLOOKUP(D938,Controls!$A$36:$E$46,5,FALSE()),"No")="Yes",1,0)</f>
        <v/>
      </c>
      <c r="AI938" s="3">
        <f>IF(ISNUMBER(MATCH(D938,Controls!$A$36:$A$46,0)),1,0)</f>
        <v/>
      </c>
      <c r="AJ938" s="28">
        <f>Q938-N938</f>
        <v/>
      </c>
      <c r="AK938" s="3">
        <f>IF(AE938=1,MAX(0,N938-Q938),0)</f>
        <v/>
      </c>
      <c r="AL938" s="3">
        <f>IF(OR(V938="",V938=0),0,N938/V938)</f>
        <v/>
      </c>
      <c r="AM938" s="3">
        <f>IF(OR(V938="",V938=0),0,1)</f>
        <v/>
      </c>
      <c r="AN938" s="3">
        <f>IF(OR(E938="",F938=""),0,NETWORKDAYS(E938,F938,Ref!$K$2:$K$42))</f>
        <v/>
      </c>
      <c r="AO938" s="3">
        <f>IF(L938="Renewal",1,0)</f>
        <v/>
      </c>
      <c r="AP938" s="3">
        <f>AC938*AD938</f>
        <v/>
      </c>
      <c r="AQ938" s="3">
        <f>IF(AND(G938&lt;&gt;"",'Historical Score'!$C$6&lt;&gt;""),IF(G938='Historical Score'!$C$6,1,0),0)</f>
        <v/>
      </c>
      <c r="AR938" s="3">
        <f>IF(AND(L938&lt;&gt;"",'Historical Score'!$C$5&lt;&gt;""),IF(L938='Historical Score'!$C$5,1,0),0)</f>
        <v/>
      </c>
      <c r="AS938" s="3">
        <f>IF(AND(Y938&lt;&gt;"",'Historical Score'!$C$7&lt;&gt;""),IF(Y938='Historical Score'!$C$7,1,0),0)</f>
        <v/>
      </c>
      <c r="AT938" s="3">
        <f>IF(AND(K938&lt;&gt;"",'Historical Score'!$C$8&lt;&gt;""),IF(K938='Historical Score'!$C$8,1,0),0)</f>
        <v/>
      </c>
      <c r="AU938" s="3" t="n"/>
      <c r="AV938" s="3" t="n"/>
      <c r="AW938" s="3" t="n"/>
      <c r="AX938" s="3" t="n"/>
      <c r="AY938" s="3" t="n"/>
      <c r="AZ938" s="3" t="n"/>
      <c r="BA938" s="182">
        <f>IF(AD938=1,(AR938*'Historical Score'!$K$29+1-'Historical Score'!$K$29)*(AT938*'Historical Score'!$L$29+1-'Historical Score'!$L$29)*(AS938*'Historical Score'!$M$29+1-'Historical Score'!$M$29)*(AQ938*'Historical Score'!$N$29+1-'Historical Score'!$N$29),0)</f>
        <v/>
      </c>
      <c r="BB938" s="3" t="n"/>
      <c r="BC938" s="3" t="n"/>
    </row>
    <row r="939" ht="15.75" customHeight="1" s="174">
      <c r="A939" s="3" t="inlineStr">
        <is>
          <t>5674184987</t>
        </is>
      </c>
      <c r="B939" s="3" t="inlineStr">
        <is>
          <t>SPOTLESS RESTORATION DBA JEFFREY BENSON MBR</t>
        </is>
      </c>
      <c r="C939" s="3" t="inlineStr">
        <is>
          <t>SPOTLESS RESTORATION LLC</t>
        </is>
      </c>
      <c r="D939" s="3" t="inlineStr">
        <is>
          <t>Open</t>
        </is>
      </c>
      <c r="E939" s="23" t="n">
        <v>46178</v>
      </c>
      <c r="F939" s="23" t="n">
        <v>46253</v>
      </c>
      <c r="G939" s="3" t="n">
        <v>3</v>
      </c>
      <c r="H939" s="3" t="inlineStr">
        <is>
          <t>1799</t>
        </is>
      </c>
      <c r="I939" s="3" t="inlineStr">
        <is>
          <t>17</t>
        </is>
      </c>
      <c r="J939" s="3" t="inlineStr">
        <is>
          <t>TX</t>
        </is>
      </c>
      <c r="K939" s="3" t="inlineStr">
        <is>
          <t>Capfront Funding</t>
        </is>
      </c>
      <c r="L939" s="3" t="inlineStr">
        <is>
          <t>New Deal</t>
        </is>
      </c>
      <c r="M939" s="3" t="n">
        <v>1.45</v>
      </c>
      <c r="N939" s="28" t="n">
        <v>35000</v>
      </c>
      <c r="O939" s="28" t="n">
        <v>4200</v>
      </c>
      <c r="P939" s="28" t="n">
        <v>50750</v>
      </c>
      <c r="Q939" s="28" t="n">
        <v>25362</v>
      </c>
      <c r="R939" s="28" t="n">
        <v>25388</v>
      </c>
      <c r="S939" s="42" t="n">
        <v>0.499743842364532</v>
      </c>
      <c r="T939" s="3" t="n">
        <v>3.279</v>
      </c>
      <c r="U939" s="3" t="n">
        <v>2</v>
      </c>
      <c r="V939" s="3" t="n">
        <v>332213.84</v>
      </c>
      <c r="W939" s="42" t="n">
        <v>0.0588</v>
      </c>
      <c r="X939" s="23" t="n">
        <v>42901</v>
      </c>
      <c r="Y939" s="3">
        <f>IF(I939="","No SIC",IFERROR(VLOOKUP(I939,Ref!$A$2:$B$65,2,FALSE()),"Unclassified"))</f>
        <v/>
      </c>
      <c r="Z939" s="3">
        <f>IF(T939="","",IF(T939&lt;12,"Daily","Weekly"))</f>
        <v/>
      </c>
      <c r="AA939" s="3">
        <f>IF(T939="",0,IF(T939&lt;12,T939*Controls!$B$13,T939*5))</f>
        <v/>
      </c>
      <c r="AB939" s="3">
        <f>IF(E939="",0,NETWORKDAYS(E939,Controls!$B$20,Ref!$K$2:$K$42))</f>
        <v/>
      </c>
      <c r="AC939" s="3">
        <f>IF(OR(AF939=1,AND(AA939&gt;0,AB939&gt;=Controls!$B$23*AA939)),1,0)</f>
        <v/>
      </c>
      <c r="AD939" s="3">
        <f>IF(AND(E939&lt;&gt;"",E939&gt;=Controls!$B$21,E939&lt;=Controls!$B$22),1,0)</f>
        <v/>
      </c>
      <c r="AE939" s="3">
        <f>IF(IFERROR(VLOOKUP(D939,Controls!$A$36:$E$46,2,FALSE()),"No")="Yes",1,0)</f>
        <v/>
      </c>
      <c r="AF939" s="3">
        <f>IF(IFERROR(VLOOKUP(D939,Controls!$A$36:$E$46,3,FALSE()),"No")="Yes",1,0)</f>
        <v/>
      </c>
      <c r="AG939" s="3">
        <f>IF(IFERROR(VLOOKUP(D939,Controls!$A$36:$E$46,4,FALSE()),"No")="Yes",1,0)</f>
        <v/>
      </c>
      <c r="AH939" s="3">
        <f>IF(IFERROR(VLOOKUP(D939,Controls!$A$36:$E$46,5,FALSE()),"No")="Yes",1,0)</f>
        <v/>
      </c>
      <c r="AI939" s="3">
        <f>IF(ISNUMBER(MATCH(D939,Controls!$A$36:$A$46,0)),1,0)</f>
        <v/>
      </c>
      <c r="AJ939" s="28">
        <f>Q939-N939</f>
        <v/>
      </c>
      <c r="AK939" s="3">
        <f>IF(AE939=1,MAX(0,N939-Q939),0)</f>
        <v/>
      </c>
      <c r="AL939" s="3">
        <f>IF(OR(V939="",V939=0),0,N939/V939)</f>
        <v/>
      </c>
      <c r="AM939" s="3">
        <f>IF(OR(V939="",V939=0),0,1)</f>
        <v/>
      </c>
      <c r="AN939" s="3">
        <f>IF(OR(E939="",F939=""),0,NETWORKDAYS(E939,F939,Ref!$K$2:$K$42))</f>
        <v/>
      </c>
      <c r="AO939" s="3">
        <f>IF(L939="Renewal",1,0)</f>
        <v/>
      </c>
      <c r="AP939" s="3">
        <f>AC939*AD939</f>
        <v/>
      </c>
      <c r="AQ939" s="3">
        <f>IF(AND(G939&lt;&gt;"",'Historical Score'!$C$6&lt;&gt;""),IF(G939='Historical Score'!$C$6,1,0),0)</f>
        <v/>
      </c>
      <c r="AR939" s="3">
        <f>IF(AND(L939&lt;&gt;"",'Historical Score'!$C$5&lt;&gt;""),IF(L939='Historical Score'!$C$5,1,0),0)</f>
        <v/>
      </c>
      <c r="AS939" s="3">
        <f>IF(AND(Y939&lt;&gt;"",'Historical Score'!$C$7&lt;&gt;""),IF(Y939='Historical Score'!$C$7,1,0),0)</f>
        <v/>
      </c>
      <c r="AT939" s="3">
        <f>IF(AND(K939&lt;&gt;"",'Historical Score'!$C$8&lt;&gt;""),IF(K939='Historical Score'!$C$8,1,0),0)</f>
        <v/>
      </c>
      <c r="AU939" s="3" t="n"/>
      <c r="AV939" s="3" t="n"/>
      <c r="AW939" s="3" t="n"/>
      <c r="AX939" s="3" t="n"/>
      <c r="AY939" s="3" t="n"/>
      <c r="AZ939" s="3" t="n"/>
      <c r="BA939" s="182">
        <f>IF(AD939=1,(AR939*'Historical Score'!$K$29+1-'Historical Score'!$K$29)*(AT939*'Historical Score'!$L$29+1-'Historical Score'!$L$29)*(AS939*'Historical Score'!$M$29+1-'Historical Score'!$M$29)*(AQ939*'Historical Score'!$N$29+1-'Historical Score'!$N$29),0)</f>
        <v/>
      </c>
      <c r="BB939" s="3" t="n"/>
      <c r="BC939" s="3" t="n"/>
    </row>
    <row r="940" ht="15.75" customHeight="1" s="174">
      <c r="A940" s="3" t="inlineStr">
        <is>
          <t>5674185011</t>
        </is>
      </c>
      <c r="B940" s="3" t="inlineStr">
        <is>
          <t>All inclusive service station Corp</t>
        </is>
      </c>
      <c r="C940" s="3" t="inlineStr">
        <is>
          <t>All inclusive service station Corp</t>
        </is>
      </c>
      <c r="D940" s="3" t="inlineStr">
        <is>
          <t>Open</t>
        </is>
      </c>
      <c r="E940" s="23" t="n">
        <v>46181</v>
      </c>
      <c r="F940" s="23" t="n">
        <v>46247</v>
      </c>
      <c r="G940" s="3" t="n">
        <v>6</v>
      </c>
      <c r="H940" s="3" t="inlineStr">
        <is>
          <t>5541</t>
        </is>
      </c>
      <c r="I940" s="3" t="inlineStr">
        <is>
          <t>55</t>
        </is>
      </c>
      <c r="J940" s="3" t="inlineStr">
        <is>
          <t>PR</t>
        </is>
      </c>
      <c r="K940" s="3" t="inlineStr">
        <is>
          <t>ontime cap</t>
        </is>
      </c>
      <c r="L940" s="3" t="inlineStr">
        <is>
          <t>Renewal</t>
        </is>
      </c>
      <c r="M940" s="3" t="n">
        <v>1.49</v>
      </c>
      <c r="N940" s="28" t="n">
        <v>50000</v>
      </c>
      <c r="O940" s="28" t="n">
        <v>7000</v>
      </c>
      <c r="P940" s="28" t="n">
        <v>74500</v>
      </c>
      <c r="Q940" s="28" t="n">
        <v>74500</v>
      </c>
      <c r="R940" s="28" t="n">
        <v>0</v>
      </c>
      <c r="S940" s="42" t="n">
        <v>1</v>
      </c>
      <c r="T940" s="3" t="n">
        <v>2.459</v>
      </c>
      <c r="U940" s="3" t="n">
        <v>0</v>
      </c>
      <c r="V940" s="3" t="n">
        <v>541580.4</v>
      </c>
      <c r="W940" s="42" t="n">
        <v>0.0553</v>
      </c>
      <c r="X940" s="23" t="n">
        <v>42535</v>
      </c>
      <c r="Y940" s="3">
        <f>IF(I940="","No SIC",IFERROR(VLOOKUP(I940,Ref!$A$2:$B$65,2,FALSE()),"Unclassified"))</f>
        <v/>
      </c>
      <c r="Z940" s="3">
        <f>IF(T940="","",IF(T940&lt;12,"Daily","Weekly"))</f>
        <v/>
      </c>
      <c r="AA940" s="3">
        <f>IF(T940="",0,IF(T940&lt;12,T940*Controls!$B$13,T940*5))</f>
        <v/>
      </c>
      <c r="AB940" s="3">
        <f>IF(E940="",0,NETWORKDAYS(E940,Controls!$B$20,Ref!$K$2:$K$42))</f>
        <v/>
      </c>
      <c r="AC940" s="3">
        <f>IF(OR(AF940=1,AND(AA940&gt;0,AB940&gt;=Controls!$B$23*AA940)),1,0)</f>
        <v/>
      </c>
      <c r="AD940" s="3">
        <f>IF(AND(E940&lt;&gt;"",E940&gt;=Controls!$B$21,E940&lt;=Controls!$B$22),1,0)</f>
        <v/>
      </c>
      <c r="AE940" s="3">
        <f>IF(IFERROR(VLOOKUP(D940,Controls!$A$36:$E$46,2,FALSE()),"No")="Yes",1,0)</f>
        <v/>
      </c>
      <c r="AF940" s="3">
        <f>IF(IFERROR(VLOOKUP(D940,Controls!$A$36:$E$46,3,FALSE()),"No")="Yes",1,0)</f>
        <v/>
      </c>
      <c r="AG940" s="3">
        <f>IF(IFERROR(VLOOKUP(D940,Controls!$A$36:$E$46,4,FALSE()),"No")="Yes",1,0)</f>
        <v/>
      </c>
      <c r="AH940" s="3">
        <f>IF(IFERROR(VLOOKUP(D940,Controls!$A$36:$E$46,5,FALSE()),"No")="Yes",1,0)</f>
        <v/>
      </c>
      <c r="AI940" s="3">
        <f>IF(ISNUMBER(MATCH(D940,Controls!$A$36:$A$46,0)),1,0)</f>
        <v/>
      </c>
      <c r="AJ940" s="28">
        <f>Q940-N940</f>
        <v/>
      </c>
      <c r="AK940" s="3">
        <f>IF(AE940=1,MAX(0,N940-Q940),0)</f>
        <v/>
      </c>
      <c r="AL940" s="3">
        <f>IF(OR(V940="",V940=0),0,N940/V940)</f>
        <v/>
      </c>
      <c r="AM940" s="3">
        <f>IF(OR(V940="",V940=0),0,1)</f>
        <v/>
      </c>
      <c r="AN940" s="3">
        <f>IF(OR(E940="",F940=""),0,NETWORKDAYS(E940,F940,Ref!$K$2:$K$42))</f>
        <v/>
      </c>
      <c r="AO940" s="3">
        <f>IF(L940="Renewal",1,0)</f>
        <v/>
      </c>
      <c r="AP940" s="3">
        <f>AC940*AD940</f>
        <v/>
      </c>
      <c r="AQ940" s="3">
        <f>IF(AND(G940&lt;&gt;"",'Historical Score'!$C$6&lt;&gt;""),IF(G940='Historical Score'!$C$6,1,0),0)</f>
        <v/>
      </c>
      <c r="AR940" s="3">
        <f>IF(AND(L940&lt;&gt;"",'Historical Score'!$C$5&lt;&gt;""),IF(L940='Historical Score'!$C$5,1,0),0)</f>
        <v/>
      </c>
      <c r="AS940" s="3">
        <f>IF(AND(Y940&lt;&gt;"",'Historical Score'!$C$7&lt;&gt;""),IF(Y940='Historical Score'!$C$7,1,0),0)</f>
        <v/>
      </c>
      <c r="AT940" s="3">
        <f>IF(AND(K940&lt;&gt;"",'Historical Score'!$C$8&lt;&gt;""),IF(K940='Historical Score'!$C$8,1,0),0)</f>
        <v/>
      </c>
      <c r="AU940" s="3" t="n"/>
      <c r="AV940" s="3" t="n"/>
      <c r="AW940" s="3" t="n"/>
      <c r="AX940" s="3" t="n"/>
      <c r="AY940" s="3" t="n"/>
      <c r="AZ940" s="3" t="n"/>
      <c r="BA940" s="182">
        <f>IF(AD940=1,(AR940*'Historical Score'!$K$29+1-'Historical Score'!$K$29)*(AT940*'Historical Score'!$L$29+1-'Historical Score'!$L$29)*(AS940*'Historical Score'!$M$29+1-'Historical Score'!$M$29)*(AQ940*'Historical Score'!$N$29+1-'Historical Score'!$N$29),0)</f>
        <v/>
      </c>
      <c r="BB940" s="3" t="n"/>
      <c r="BC940" s="3" t="n"/>
    </row>
    <row r="941" ht="15.75" customHeight="1" s="174">
      <c r="A941" s="3" t="inlineStr">
        <is>
          <t>5674185112</t>
        </is>
      </c>
      <c r="B941" s="3" t="inlineStr">
        <is>
          <t>A Better Child Care 3</t>
        </is>
      </c>
      <c r="C941" s="3" t="inlineStr">
        <is>
          <t>A Better Child Care 3</t>
        </is>
      </c>
      <c r="D941" s="3" t="inlineStr">
        <is>
          <t>Open</t>
        </is>
      </c>
      <c r="E941" s="23" t="n">
        <v>46182</v>
      </c>
      <c r="F941" s="23" t="n">
        <v>46248</v>
      </c>
      <c r="G941" s="3" t="n">
        <v>3</v>
      </c>
      <c r="H941" s="3" t="inlineStr">
        <is>
          <t>8351</t>
        </is>
      </c>
      <c r="I941" s="3" t="inlineStr">
        <is>
          <t>83</t>
        </is>
      </c>
      <c r="J941" s="3" t="inlineStr">
        <is>
          <t>WA</t>
        </is>
      </c>
      <c r="K941" s="3" t="inlineStr">
        <is>
          <t>United Secured Capital 8</t>
        </is>
      </c>
      <c r="L941" s="3" t="inlineStr">
        <is>
          <t>Renewal</t>
        </is>
      </c>
      <c r="M941" s="3" t="n">
        <v>1.49</v>
      </c>
      <c r="N941" s="28" t="n">
        <v>35000</v>
      </c>
      <c r="O941" s="28" t="n">
        <v>4900</v>
      </c>
      <c r="P941" s="28" t="n">
        <v>52150</v>
      </c>
      <c r="Q941" s="28" t="n">
        <v>14665.86</v>
      </c>
      <c r="R941" s="28" t="n">
        <v>37484.14</v>
      </c>
      <c r="S941" s="42" t="n">
        <v>0.281224544582934</v>
      </c>
      <c r="T941" s="3" t="n">
        <v>32</v>
      </c>
      <c r="U941" s="3" t="n">
        <v>1</v>
      </c>
      <c r="V941" s="3" t="n">
        <v>24532.07</v>
      </c>
      <c r="W941" s="42" t="n">
        <v>0.2657</v>
      </c>
      <c r="X941" s="23" t="n">
        <v>43186</v>
      </c>
      <c r="Y941" s="3">
        <f>IF(I941="","No SIC",IFERROR(VLOOKUP(I941,Ref!$A$2:$B$65,2,FALSE()),"Unclassified"))</f>
        <v/>
      </c>
      <c r="Z941" s="3">
        <f>IF(T941="","",IF(T941&lt;12,"Daily","Weekly"))</f>
        <v/>
      </c>
      <c r="AA941" s="3">
        <f>IF(T941="",0,IF(T941&lt;12,T941*Controls!$B$13,T941*5))</f>
        <v/>
      </c>
      <c r="AB941" s="3">
        <f>IF(E941="",0,NETWORKDAYS(E941,Controls!$B$20,Ref!$K$2:$K$42))</f>
        <v/>
      </c>
      <c r="AC941" s="3">
        <f>IF(OR(AF941=1,AND(AA941&gt;0,AB941&gt;=Controls!$B$23*AA941)),1,0)</f>
        <v/>
      </c>
      <c r="AD941" s="3">
        <f>IF(AND(E941&lt;&gt;"",E941&gt;=Controls!$B$21,E941&lt;=Controls!$B$22),1,0)</f>
        <v/>
      </c>
      <c r="AE941" s="3">
        <f>IF(IFERROR(VLOOKUP(D941,Controls!$A$36:$E$46,2,FALSE()),"No")="Yes",1,0)</f>
        <v/>
      </c>
      <c r="AF941" s="3">
        <f>IF(IFERROR(VLOOKUP(D941,Controls!$A$36:$E$46,3,FALSE()),"No")="Yes",1,0)</f>
        <v/>
      </c>
      <c r="AG941" s="3">
        <f>IF(IFERROR(VLOOKUP(D941,Controls!$A$36:$E$46,4,FALSE()),"No")="Yes",1,0)</f>
        <v/>
      </c>
      <c r="AH941" s="3">
        <f>IF(IFERROR(VLOOKUP(D941,Controls!$A$36:$E$46,5,FALSE()),"No")="Yes",1,0)</f>
        <v/>
      </c>
      <c r="AI941" s="3">
        <f>IF(ISNUMBER(MATCH(D941,Controls!$A$36:$A$46,0)),1,0)</f>
        <v/>
      </c>
      <c r="AJ941" s="28">
        <f>Q941-N941</f>
        <v/>
      </c>
      <c r="AK941" s="3">
        <f>IF(AE941=1,MAX(0,N941-Q941),0)</f>
        <v/>
      </c>
      <c r="AL941" s="3">
        <f>IF(OR(V941="",V941=0),0,N941/V941)</f>
        <v/>
      </c>
      <c r="AM941" s="3">
        <f>IF(OR(V941="",V941=0),0,1)</f>
        <v/>
      </c>
      <c r="AN941" s="3">
        <f>IF(OR(E941="",F941=""),0,NETWORKDAYS(E941,F941,Ref!$K$2:$K$42))</f>
        <v/>
      </c>
      <c r="AO941" s="3">
        <f>IF(L941="Renewal",1,0)</f>
        <v/>
      </c>
      <c r="AP941" s="3">
        <f>AC941*AD941</f>
        <v/>
      </c>
      <c r="AQ941" s="3">
        <f>IF(AND(G941&lt;&gt;"",'Historical Score'!$C$6&lt;&gt;""),IF(G941='Historical Score'!$C$6,1,0),0)</f>
        <v/>
      </c>
      <c r="AR941" s="3">
        <f>IF(AND(L941&lt;&gt;"",'Historical Score'!$C$5&lt;&gt;""),IF(L941='Historical Score'!$C$5,1,0),0)</f>
        <v/>
      </c>
      <c r="AS941" s="3">
        <f>IF(AND(Y941&lt;&gt;"",'Historical Score'!$C$7&lt;&gt;""),IF(Y941='Historical Score'!$C$7,1,0),0)</f>
        <v/>
      </c>
      <c r="AT941" s="3">
        <f>IF(AND(K941&lt;&gt;"",'Historical Score'!$C$8&lt;&gt;""),IF(K941='Historical Score'!$C$8,1,0),0)</f>
        <v/>
      </c>
      <c r="AU941" s="3" t="n"/>
      <c r="AV941" s="3" t="n"/>
      <c r="AW941" s="3" t="n"/>
      <c r="AX941" s="3" t="n"/>
      <c r="AY941" s="3" t="n"/>
      <c r="AZ941" s="3" t="n"/>
      <c r="BA941" s="182">
        <f>IF(AD941=1,(AR941*'Historical Score'!$K$29+1-'Historical Score'!$K$29)*(AT941*'Historical Score'!$L$29+1-'Historical Score'!$L$29)*(AS941*'Historical Score'!$M$29+1-'Historical Score'!$M$29)*(AQ941*'Historical Score'!$N$29+1-'Historical Score'!$N$29),0)</f>
        <v/>
      </c>
      <c r="BB941" s="3" t="n"/>
      <c r="BC941" s="3" t="n"/>
    </row>
    <row r="942" ht="15.75" customHeight="1" s="174">
      <c r="A942" s="3" t="inlineStr">
        <is>
          <t>5674185138</t>
        </is>
      </c>
      <c r="B942" s="3" t="inlineStr">
        <is>
          <t>CREDIBLE AUTO SALES LLC</t>
        </is>
      </c>
      <c r="C942" s="3" t="inlineStr">
        <is>
          <t>CREDIBLE AUTO SALES LLC</t>
        </is>
      </c>
      <c r="D942" s="3" t="inlineStr">
        <is>
          <t>In House Collection</t>
        </is>
      </c>
      <c r="E942" s="23" t="n">
        <v>46182</v>
      </c>
      <c r="F942" s="23" t="n">
        <v>46205</v>
      </c>
      <c r="G942" s="3" t="n">
        <v>3</v>
      </c>
      <c r="H942" s="3" t="inlineStr">
        <is>
          <t>5599</t>
        </is>
      </c>
      <c r="I942" s="3" t="inlineStr">
        <is>
          <t>55</t>
        </is>
      </c>
      <c r="J942" s="3" t="inlineStr">
        <is>
          <t>FL</t>
        </is>
      </c>
      <c r="K942" s="3" t="inlineStr">
        <is>
          <t>United Secured Capital 8</t>
        </is>
      </c>
      <c r="L942" s="3" t="inlineStr">
        <is>
          <t>New Deal</t>
        </is>
      </c>
      <c r="M942" s="3" t="n">
        <v>1.49</v>
      </c>
      <c r="N942" s="28" t="n">
        <v>10000</v>
      </c>
      <c r="O942" s="28" t="n">
        <v>1400</v>
      </c>
      <c r="P942" s="28" t="n">
        <v>14900</v>
      </c>
      <c r="Q942" s="28" t="n">
        <v>0</v>
      </c>
      <c r="R942" s="28" t="n">
        <v>14900</v>
      </c>
      <c r="S942" s="42" t="n">
        <v>0</v>
      </c>
      <c r="T942" s="3" t="n">
        <v>2.623</v>
      </c>
      <c r="U942" s="3" t="n">
        <v>11</v>
      </c>
      <c r="V942" s="3" t="n">
        <v>74131.67</v>
      </c>
      <c r="W942" s="42" t="n">
        <v>0.0528</v>
      </c>
      <c r="X942" s="23" t="n">
        <v>45033</v>
      </c>
      <c r="Y942" s="3">
        <f>IF(I942="","No SIC",IFERROR(VLOOKUP(I942,Ref!$A$2:$B$65,2,FALSE()),"Unclassified"))</f>
        <v/>
      </c>
      <c r="Z942" s="3">
        <f>IF(T942="","",IF(T942&lt;12,"Daily","Weekly"))</f>
        <v/>
      </c>
      <c r="AA942" s="3">
        <f>IF(T942="",0,IF(T942&lt;12,T942*Controls!$B$13,T942*5))</f>
        <v/>
      </c>
      <c r="AB942" s="3">
        <f>IF(E942="",0,NETWORKDAYS(E942,Controls!$B$20,Ref!$K$2:$K$42))</f>
        <v/>
      </c>
      <c r="AC942" s="3">
        <f>IF(OR(AF942=1,AND(AA942&gt;0,AB942&gt;=Controls!$B$23*AA942)),1,0)</f>
        <v/>
      </c>
      <c r="AD942" s="3">
        <f>IF(AND(E942&lt;&gt;"",E942&gt;=Controls!$B$21,E942&lt;=Controls!$B$22),1,0)</f>
        <v/>
      </c>
      <c r="AE942" s="3">
        <f>IF(IFERROR(VLOOKUP(D942,Controls!$A$36:$E$46,2,FALSE()),"No")="Yes",1,0)</f>
        <v/>
      </c>
      <c r="AF942" s="3">
        <f>IF(IFERROR(VLOOKUP(D942,Controls!$A$36:$E$46,3,FALSE()),"No")="Yes",1,0)</f>
        <v/>
      </c>
      <c r="AG942" s="3">
        <f>IF(IFERROR(VLOOKUP(D942,Controls!$A$36:$E$46,4,FALSE()),"No")="Yes",1,0)</f>
        <v/>
      </c>
      <c r="AH942" s="3">
        <f>IF(IFERROR(VLOOKUP(D942,Controls!$A$36:$E$46,5,FALSE()),"No")="Yes",1,0)</f>
        <v/>
      </c>
      <c r="AI942" s="3">
        <f>IF(ISNUMBER(MATCH(D942,Controls!$A$36:$A$46,0)),1,0)</f>
        <v/>
      </c>
      <c r="AJ942" s="28">
        <f>Q942-N942</f>
        <v/>
      </c>
      <c r="AK942" s="3">
        <f>IF(AE942=1,MAX(0,N942-Q942),0)</f>
        <v/>
      </c>
      <c r="AL942" s="3">
        <f>IF(OR(V942="",V942=0),0,N942/V942)</f>
        <v/>
      </c>
      <c r="AM942" s="3">
        <f>IF(OR(V942="",V942=0),0,1)</f>
        <v/>
      </c>
      <c r="AN942" s="3">
        <f>IF(OR(E942="",F942=""),0,NETWORKDAYS(E942,F942,Ref!$K$2:$K$42))</f>
        <v/>
      </c>
      <c r="AO942" s="3">
        <f>IF(L942="Renewal",1,0)</f>
        <v/>
      </c>
      <c r="AP942" s="3">
        <f>AC942*AD942</f>
        <v/>
      </c>
      <c r="AQ942" s="3">
        <f>IF(AND(G942&lt;&gt;"",'Historical Score'!$C$6&lt;&gt;""),IF(G942='Historical Score'!$C$6,1,0),0)</f>
        <v/>
      </c>
      <c r="AR942" s="3">
        <f>IF(AND(L942&lt;&gt;"",'Historical Score'!$C$5&lt;&gt;""),IF(L942='Historical Score'!$C$5,1,0),0)</f>
        <v/>
      </c>
      <c r="AS942" s="3">
        <f>IF(AND(Y942&lt;&gt;"",'Historical Score'!$C$7&lt;&gt;""),IF(Y942='Historical Score'!$C$7,1,0),0)</f>
        <v/>
      </c>
      <c r="AT942" s="3">
        <f>IF(AND(K942&lt;&gt;"",'Historical Score'!$C$8&lt;&gt;""),IF(K942='Historical Score'!$C$8,1,0),0)</f>
        <v/>
      </c>
      <c r="AU942" s="3" t="n"/>
      <c r="AV942" s="3" t="n"/>
      <c r="AW942" s="3" t="n"/>
      <c r="AX942" s="3" t="n"/>
      <c r="AY942" s="3" t="n"/>
      <c r="AZ942" s="3" t="n"/>
      <c r="BA942" s="182">
        <f>IF(AD942=1,(AR942*'Historical Score'!$K$29+1-'Historical Score'!$K$29)*(AT942*'Historical Score'!$L$29+1-'Historical Score'!$L$29)*(AS942*'Historical Score'!$M$29+1-'Historical Score'!$M$29)*(AQ942*'Historical Score'!$N$29+1-'Historical Score'!$N$29),0)</f>
        <v/>
      </c>
      <c r="BB942" s="3" t="n"/>
      <c r="BC942" s="3" t="n"/>
    </row>
    <row r="943" ht="15.75" customHeight="1" s="174">
      <c r="A943" s="3" t="inlineStr">
        <is>
          <t>5674185185</t>
        </is>
      </c>
      <c r="B943" s="3" t="inlineStr">
        <is>
          <t>Four brothers general merchandise inc</t>
        </is>
      </c>
      <c r="C943" s="3" t="inlineStr">
        <is>
          <t>Four brothers general merchandise inc</t>
        </is>
      </c>
      <c r="D943" s="3" t="inlineStr">
        <is>
          <t>In House Collection</t>
        </is>
      </c>
      <c r="E943" s="23" t="n">
        <v>46183</v>
      </c>
      <c r="F943" s="23" t="n">
        <v>46223</v>
      </c>
      <c r="G943" s="3" t="n">
        <v>3</v>
      </c>
      <c r="H943" s="3" t="inlineStr">
        <is>
          <t>5999</t>
        </is>
      </c>
      <c r="I943" s="3" t="inlineStr">
        <is>
          <t>59</t>
        </is>
      </c>
      <c r="J943" s="3" t="inlineStr">
        <is>
          <t>IL</t>
        </is>
      </c>
      <c r="K943" s="3" t="inlineStr">
        <is>
          <t>United Secured Capital 8</t>
        </is>
      </c>
      <c r="L943" s="3" t="inlineStr">
        <is>
          <t>New Deal</t>
        </is>
      </c>
      <c r="M943" s="3" t="n">
        <v>1.49</v>
      </c>
      <c r="N943" s="28" t="n">
        <v>10000</v>
      </c>
      <c r="O943" s="28" t="n">
        <v>0</v>
      </c>
      <c r="P943" s="28" t="n">
        <v>14900</v>
      </c>
      <c r="Q943" s="28" t="n">
        <v>372.42</v>
      </c>
      <c r="R943" s="28" t="n">
        <v>14527.58</v>
      </c>
      <c r="S943" s="42" t="n">
        <v>0.0249946308724832</v>
      </c>
      <c r="T943" s="3" t="n">
        <v>2.623</v>
      </c>
      <c r="U943" s="3" t="n">
        <v>23</v>
      </c>
      <c r="V943" s="3" t="n">
        <v>69830.47</v>
      </c>
      <c r="W943" s="42" t="n">
        <v>0.056</v>
      </c>
      <c r="X943" s="23" t="n"/>
      <c r="Y943" s="3">
        <f>IF(I943="","No SIC",IFERROR(VLOOKUP(I943,Ref!$A$2:$B$65,2,FALSE()),"Unclassified"))</f>
        <v/>
      </c>
      <c r="Z943" s="3">
        <f>IF(T943="","",IF(T943&lt;12,"Daily","Weekly"))</f>
        <v/>
      </c>
      <c r="AA943" s="3">
        <f>IF(T943="",0,IF(T943&lt;12,T943*Controls!$B$13,T943*5))</f>
        <v/>
      </c>
      <c r="AB943" s="3">
        <f>IF(E943="",0,NETWORKDAYS(E943,Controls!$B$20,Ref!$K$2:$K$42))</f>
        <v/>
      </c>
      <c r="AC943" s="3">
        <f>IF(OR(AF943=1,AND(AA943&gt;0,AB943&gt;=Controls!$B$23*AA943)),1,0)</f>
        <v/>
      </c>
      <c r="AD943" s="3">
        <f>IF(AND(E943&lt;&gt;"",E943&gt;=Controls!$B$21,E943&lt;=Controls!$B$22),1,0)</f>
        <v/>
      </c>
      <c r="AE943" s="3">
        <f>IF(IFERROR(VLOOKUP(D943,Controls!$A$36:$E$46,2,FALSE()),"No")="Yes",1,0)</f>
        <v/>
      </c>
      <c r="AF943" s="3">
        <f>IF(IFERROR(VLOOKUP(D943,Controls!$A$36:$E$46,3,FALSE()),"No")="Yes",1,0)</f>
        <v/>
      </c>
      <c r="AG943" s="3">
        <f>IF(IFERROR(VLOOKUP(D943,Controls!$A$36:$E$46,4,FALSE()),"No")="Yes",1,0)</f>
        <v/>
      </c>
      <c r="AH943" s="3">
        <f>IF(IFERROR(VLOOKUP(D943,Controls!$A$36:$E$46,5,FALSE()),"No")="Yes",1,0)</f>
        <v/>
      </c>
      <c r="AI943" s="3">
        <f>IF(ISNUMBER(MATCH(D943,Controls!$A$36:$A$46,0)),1,0)</f>
        <v/>
      </c>
      <c r="AJ943" s="28">
        <f>Q943-N943</f>
        <v/>
      </c>
      <c r="AK943" s="3">
        <f>IF(AE943=1,MAX(0,N943-Q943),0)</f>
        <v/>
      </c>
      <c r="AL943" s="3">
        <f>IF(OR(V943="",V943=0),0,N943/V943)</f>
        <v/>
      </c>
      <c r="AM943" s="3">
        <f>IF(OR(V943="",V943=0),0,1)</f>
        <v/>
      </c>
      <c r="AN943" s="3">
        <f>IF(OR(E943="",F943=""),0,NETWORKDAYS(E943,F943,Ref!$K$2:$K$42))</f>
        <v/>
      </c>
      <c r="AO943" s="3">
        <f>IF(L943="Renewal",1,0)</f>
        <v/>
      </c>
      <c r="AP943" s="3">
        <f>AC943*AD943</f>
        <v/>
      </c>
      <c r="AQ943" s="3">
        <f>IF(AND(G943&lt;&gt;"",'Historical Score'!$C$6&lt;&gt;""),IF(G943='Historical Score'!$C$6,1,0),0)</f>
        <v/>
      </c>
      <c r="AR943" s="3">
        <f>IF(AND(L943&lt;&gt;"",'Historical Score'!$C$5&lt;&gt;""),IF(L943='Historical Score'!$C$5,1,0),0)</f>
        <v/>
      </c>
      <c r="AS943" s="3">
        <f>IF(AND(Y943&lt;&gt;"",'Historical Score'!$C$7&lt;&gt;""),IF(Y943='Historical Score'!$C$7,1,0),0)</f>
        <v/>
      </c>
      <c r="AT943" s="3">
        <f>IF(AND(K943&lt;&gt;"",'Historical Score'!$C$8&lt;&gt;""),IF(K943='Historical Score'!$C$8,1,0),0)</f>
        <v/>
      </c>
      <c r="AU943" s="3" t="n"/>
      <c r="AV943" s="3" t="n"/>
      <c r="AW943" s="3" t="n"/>
      <c r="AX943" s="3" t="n"/>
      <c r="AY943" s="3" t="n"/>
      <c r="AZ943" s="3" t="n"/>
      <c r="BA943" s="182">
        <f>IF(AD943=1,(AR943*'Historical Score'!$K$29+1-'Historical Score'!$K$29)*(AT943*'Historical Score'!$L$29+1-'Historical Score'!$L$29)*(AS943*'Historical Score'!$M$29+1-'Historical Score'!$M$29)*(AQ943*'Historical Score'!$N$29+1-'Historical Score'!$N$29),0)</f>
        <v/>
      </c>
      <c r="BB943" s="3" t="n"/>
      <c r="BC943" s="3" t="n"/>
    </row>
    <row r="944" ht="15.75" customHeight="1" s="174">
      <c r="A944" s="3" t="inlineStr">
        <is>
          <t>5674185208</t>
        </is>
      </c>
      <c r="B944" s="3" t="inlineStr">
        <is>
          <t>Wise Water Solutions</t>
        </is>
      </c>
      <c r="C944" s="3" t="inlineStr">
        <is>
          <t>Wise Landscaping LLC</t>
        </is>
      </c>
      <c r="D944" s="3" t="inlineStr">
        <is>
          <t>Closed</t>
        </is>
      </c>
      <c r="E944" s="23" t="n">
        <v>46183</v>
      </c>
      <c r="F944" s="23" t="n">
        <v>46212</v>
      </c>
      <c r="G944" s="3" t="n">
        <v>3</v>
      </c>
      <c r="H944" s="3" t="inlineStr">
        <is>
          <t>0781</t>
        </is>
      </c>
      <c r="I944" s="3" t="inlineStr">
        <is>
          <t>07</t>
        </is>
      </c>
      <c r="J944" s="3" t="inlineStr">
        <is>
          <t>TX</t>
        </is>
      </c>
      <c r="K944" s="3" t="inlineStr">
        <is>
          <t>Llama Loan</t>
        </is>
      </c>
      <c r="L944" s="3" t="inlineStr">
        <is>
          <t>New Deal</t>
        </is>
      </c>
      <c r="M944" s="3" t="n">
        <v>1.384135</v>
      </c>
      <c r="N944" s="28" t="n">
        <v>12000</v>
      </c>
      <c r="O944" s="28" t="n">
        <v>1440</v>
      </c>
      <c r="P944" s="28" t="n">
        <v>16609.62</v>
      </c>
      <c r="Q944" s="28" t="n">
        <v>16609.62</v>
      </c>
      <c r="R944" s="28" t="n">
        <v>0</v>
      </c>
      <c r="S944" s="42" t="n">
        <v>1</v>
      </c>
      <c r="T944" s="3" t="n">
        <v>22</v>
      </c>
      <c r="U944" s="3" t="n">
        <v>0</v>
      </c>
      <c r="V944" s="3" t="n">
        <v>42149.02</v>
      </c>
      <c r="W944" s="42" t="n">
        <v>0.0751</v>
      </c>
      <c r="X944" s="23" t="n">
        <v>44265</v>
      </c>
      <c r="Y944" s="3">
        <f>IF(I944="","No SIC",IFERROR(VLOOKUP(I944,Ref!$A$2:$B$65,2,FALSE()),"Unclassified"))</f>
        <v/>
      </c>
      <c r="Z944" s="3">
        <f>IF(T944="","",IF(T944&lt;12,"Daily","Weekly"))</f>
        <v/>
      </c>
      <c r="AA944" s="3">
        <f>IF(T944="",0,IF(T944&lt;12,T944*Controls!$B$13,T944*5))</f>
        <v/>
      </c>
      <c r="AB944" s="3">
        <f>IF(E944="",0,NETWORKDAYS(E944,Controls!$B$20,Ref!$K$2:$K$42))</f>
        <v/>
      </c>
      <c r="AC944" s="3">
        <f>IF(OR(AF944=1,AND(AA944&gt;0,AB944&gt;=Controls!$B$23*AA944)),1,0)</f>
        <v/>
      </c>
      <c r="AD944" s="3">
        <f>IF(AND(E944&lt;&gt;"",E944&gt;=Controls!$B$21,E944&lt;=Controls!$B$22),1,0)</f>
        <v/>
      </c>
      <c r="AE944" s="3">
        <f>IF(IFERROR(VLOOKUP(D944,Controls!$A$36:$E$46,2,FALSE()),"No")="Yes",1,0)</f>
        <v/>
      </c>
      <c r="AF944" s="3">
        <f>IF(IFERROR(VLOOKUP(D944,Controls!$A$36:$E$46,3,FALSE()),"No")="Yes",1,0)</f>
        <v/>
      </c>
      <c r="AG944" s="3">
        <f>IF(IFERROR(VLOOKUP(D944,Controls!$A$36:$E$46,4,FALSE()),"No")="Yes",1,0)</f>
        <v/>
      </c>
      <c r="AH944" s="3">
        <f>IF(IFERROR(VLOOKUP(D944,Controls!$A$36:$E$46,5,FALSE()),"No")="Yes",1,0)</f>
        <v/>
      </c>
      <c r="AI944" s="3">
        <f>IF(ISNUMBER(MATCH(D944,Controls!$A$36:$A$46,0)),1,0)</f>
        <v/>
      </c>
      <c r="AJ944" s="28">
        <f>Q944-N944</f>
        <v/>
      </c>
      <c r="AK944" s="3">
        <f>IF(AE944=1,MAX(0,N944-Q944),0)</f>
        <v/>
      </c>
      <c r="AL944" s="3">
        <f>IF(OR(V944="",V944=0),0,N944/V944)</f>
        <v/>
      </c>
      <c r="AM944" s="3">
        <f>IF(OR(V944="",V944=0),0,1)</f>
        <v/>
      </c>
      <c r="AN944" s="3">
        <f>IF(OR(E944="",F944=""),0,NETWORKDAYS(E944,F944,Ref!$K$2:$K$42))</f>
        <v/>
      </c>
      <c r="AO944" s="3">
        <f>IF(L944="Renewal",1,0)</f>
        <v/>
      </c>
      <c r="AP944" s="3">
        <f>AC944*AD944</f>
        <v/>
      </c>
      <c r="AQ944" s="3">
        <f>IF(AND(G944&lt;&gt;"",'Historical Score'!$C$6&lt;&gt;""),IF(G944='Historical Score'!$C$6,1,0),0)</f>
        <v/>
      </c>
      <c r="AR944" s="3">
        <f>IF(AND(L944&lt;&gt;"",'Historical Score'!$C$5&lt;&gt;""),IF(L944='Historical Score'!$C$5,1,0),0)</f>
        <v/>
      </c>
      <c r="AS944" s="3">
        <f>IF(AND(Y944&lt;&gt;"",'Historical Score'!$C$7&lt;&gt;""),IF(Y944='Historical Score'!$C$7,1,0),0)</f>
        <v/>
      </c>
      <c r="AT944" s="3">
        <f>IF(AND(K944&lt;&gt;"",'Historical Score'!$C$8&lt;&gt;""),IF(K944='Historical Score'!$C$8,1,0),0)</f>
        <v/>
      </c>
      <c r="AU944" s="3" t="n"/>
      <c r="AV944" s="3" t="n"/>
      <c r="AW944" s="3" t="n"/>
      <c r="AX944" s="3" t="n"/>
      <c r="AY944" s="3" t="n"/>
      <c r="AZ944" s="3" t="n"/>
      <c r="BA944" s="182">
        <f>IF(AD944=1,(AR944*'Historical Score'!$K$29+1-'Historical Score'!$K$29)*(AT944*'Historical Score'!$L$29+1-'Historical Score'!$L$29)*(AS944*'Historical Score'!$M$29+1-'Historical Score'!$M$29)*(AQ944*'Historical Score'!$N$29+1-'Historical Score'!$N$29),0)</f>
        <v/>
      </c>
      <c r="BB944" s="3" t="n"/>
      <c r="BC944" s="3" t="n"/>
    </row>
    <row r="945" ht="15.75" customHeight="1" s="174">
      <c r="A945" s="3" t="inlineStr">
        <is>
          <t>5674185224</t>
        </is>
      </c>
      <c r="B945" s="3" t="inlineStr">
        <is>
          <t>GREATFLORIDA INSURANCE</t>
        </is>
      </c>
      <c r="C945" s="3" t="inlineStr">
        <is>
          <t>AJRANC Insurance Agency, Inc</t>
        </is>
      </c>
      <c r="D945" s="3" t="inlineStr">
        <is>
          <t>Open</t>
        </is>
      </c>
      <c r="E945" s="23" t="n">
        <v>46183</v>
      </c>
      <c r="F945" s="23" t="n">
        <v>46248</v>
      </c>
      <c r="G945" s="3" t="n">
        <v>2</v>
      </c>
      <c r="H945" s="3" t="inlineStr">
        <is>
          <t>6411</t>
        </is>
      </c>
      <c r="I945" s="3" t="inlineStr">
        <is>
          <t>64</t>
        </is>
      </c>
      <c r="J945" s="3" t="inlineStr">
        <is>
          <t>FL</t>
        </is>
      </c>
      <c r="K945" s="3" t="inlineStr">
        <is>
          <t>Fund Simple</t>
        </is>
      </c>
      <c r="L945" s="3" t="inlineStr">
        <is>
          <t>New Deal</t>
        </is>
      </c>
      <c r="M945" s="3" t="n">
        <v>1.49</v>
      </c>
      <c r="N945" s="28" t="n">
        <v>12000</v>
      </c>
      <c r="O945" s="28" t="n">
        <v>1680</v>
      </c>
      <c r="P945" s="28" t="n">
        <v>17880</v>
      </c>
      <c r="Q945" s="28" t="n">
        <v>6703.38</v>
      </c>
      <c r="R945" s="28" t="n">
        <v>11176.62</v>
      </c>
      <c r="S945" s="42" t="n">
        <v>0.374909395973154</v>
      </c>
      <c r="T945" s="3" t="n">
        <v>24</v>
      </c>
      <c r="U945" s="3" t="n">
        <v>0</v>
      </c>
      <c r="V945" s="3" t="n">
        <v>17599.95</v>
      </c>
      <c r="W945" s="42" t="n">
        <v>0.2014</v>
      </c>
      <c r="X945" s="23" t="n">
        <v>42217</v>
      </c>
      <c r="Y945" s="3">
        <f>IF(I945="","No SIC",IFERROR(VLOOKUP(I945,Ref!$A$2:$B$65,2,FALSE()),"Unclassified"))</f>
        <v/>
      </c>
      <c r="Z945" s="3">
        <f>IF(T945="","",IF(T945&lt;12,"Daily","Weekly"))</f>
        <v/>
      </c>
      <c r="AA945" s="3">
        <f>IF(T945="",0,IF(T945&lt;12,T945*Controls!$B$13,T945*5))</f>
        <v/>
      </c>
      <c r="AB945" s="3">
        <f>IF(E945="",0,NETWORKDAYS(E945,Controls!$B$20,Ref!$K$2:$K$42))</f>
        <v/>
      </c>
      <c r="AC945" s="3">
        <f>IF(OR(AF945=1,AND(AA945&gt;0,AB945&gt;=Controls!$B$23*AA945)),1,0)</f>
        <v/>
      </c>
      <c r="AD945" s="3">
        <f>IF(AND(E945&lt;&gt;"",E945&gt;=Controls!$B$21,E945&lt;=Controls!$B$22),1,0)</f>
        <v/>
      </c>
      <c r="AE945" s="3">
        <f>IF(IFERROR(VLOOKUP(D945,Controls!$A$36:$E$46,2,FALSE()),"No")="Yes",1,0)</f>
        <v/>
      </c>
      <c r="AF945" s="3">
        <f>IF(IFERROR(VLOOKUP(D945,Controls!$A$36:$E$46,3,FALSE()),"No")="Yes",1,0)</f>
        <v/>
      </c>
      <c r="AG945" s="3">
        <f>IF(IFERROR(VLOOKUP(D945,Controls!$A$36:$E$46,4,FALSE()),"No")="Yes",1,0)</f>
        <v/>
      </c>
      <c r="AH945" s="3">
        <f>IF(IFERROR(VLOOKUP(D945,Controls!$A$36:$E$46,5,FALSE()),"No")="Yes",1,0)</f>
        <v/>
      </c>
      <c r="AI945" s="3">
        <f>IF(ISNUMBER(MATCH(D945,Controls!$A$36:$A$46,0)),1,0)</f>
        <v/>
      </c>
      <c r="AJ945" s="28">
        <f>Q945-N945</f>
        <v/>
      </c>
      <c r="AK945" s="3">
        <f>IF(AE945=1,MAX(0,N945-Q945),0)</f>
        <v/>
      </c>
      <c r="AL945" s="3">
        <f>IF(OR(V945="",V945=0),0,N945/V945)</f>
        <v/>
      </c>
      <c r="AM945" s="3">
        <f>IF(OR(V945="",V945=0),0,1)</f>
        <v/>
      </c>
      <c r="AN945" s="3">
        <f>IF(OR(E945="",F945=""),0,NETWORKDAYS(E945,F945,Ref!$K$2:$K$42))</f>
        <v/>
      </c>
      <c r="AO945" s="3">
        <f>IF(L945="Renewal",1,0)</f>
        <v/>
      </c>
      <c r="AP945" s="3">
        <f>AC945*AD945</f>
        <v/>
      </c>
      <c r="AQ945" s="3">
        <f>IF(AND(G945&lt;&gt;"",'Historical Score'!$C$6&lt;&gt;""),IF(G945='Historical Score'!$C$6,1,0),0)</f>
        <v/>
      </c>
      <c r="AR945" s="3">
        <f>IF(AND(L945&lt;&gt;"",'Historical Score'!$C$5&lt;&gt;""),IF(L945='Historical Score'!$C$5,1,0),0)</f>
        <v/>
      </c>
      <c r="AS945" s="3">
        <f>IF(AND(Y945&lt;&gt;"",'Historical Score'!$C$7&lt;&gt;""),IF(Y945='Historical Score'!$C$7,1,0),0)</f>
        <v/>
      </c>
      <c r="AT945" s="3">
        <f>IF(AND(K945&lt;&gt;"",'Historical Score'!$C$8&lt;&gt;""),IF(K945='Historical Score'!$C$8,1,0),0)</f>
        <v/>
      </c>
      <c r="AU945" s="3" t="n"/>
      <c r="AV945" s="3" t="n"/>
      <c r="AW945" s="3" t="n"/>
      <c r="AX945" s="3" t="n"/>
      <c r="AY945" s="3" t="n"/>
      <c r="AZ945" s="3" t="n"/>
      <c r="BA945" s="182">
        <f>IF(AD945=1,(AR945*'Historical Score'!$K$29+1-'Historical Score'!$K$29)*(AT945*'Historical Score'!$L$29+1-'Historical Score'!$L$29)*(AS945*'Historical Score'!$M$29+1-'Historical Score'!$M$29)*(AQ945*'Historical Score'!$N$29+1-'Historical Score'!$N$29),0)</f>
        <v/>
      </c>
      <c r="BB945" s="3" t="n"/>
      <c r="BC945" s="3" t="n"/>
    </row>
    <row r="946" ht="15.75" customHeight="1" s="174">
      <c r="A946" s="3" t="inlineStr">
        <is>
          <t>5674185229</t>
        </is>
      </c>
      <c r="B946" s="3" t="inlineStr">
        <is>
          <t>Santiban Services Group LLC</t>
        </is>
      </c>
      <c r="C946" s="3" t="inlineStr">
        <is>
          <t>Santiban Services Group LLC</t>
        </is>
      </c>
      <c r="D946" s="3" t="inlineStr">
        <is>
          <t>In House Collection</t>
        </is>
      </c>
      <c r="E946" s="23" t="n">
        <v>46183</v>
      </c>
      <c r="F946" s="23" t="n">
        <v>46251</v>
      </c>
      <c r="G946" s="3" t="n">
        <v>3</v>
      </c>
      <c r="H946" s="3" t="inlineStr">
        <is>
          <t>5999</t>
        </is>
      </c>
      <c r="I946" s="3" t="inlineStr">
        <is>
          <t>59</t>
        </is>
      </c>
      <c r="J946" s="3" t="inlineStr">
        <is>
          <t>TX</t>
        </is>
      </c>
      <c r="K946" s="3" t="inlineStr">
        <is>
          <t>PMF</t>
        </is>
      </c>
      <c r="L946" s="3" t="inlineStr">
        <is>
          <t>New Deal</t>
        </is>
      </c>
      <c r="M946" s="3" t="n">
        <v>1.49</v>
      </c>
      <c r="N946" s="28" t="n">
        <v>11000</v>
      </c>
      <c r="O946" s="28" t="n">
        <v>0</v>
      </c>
      <c r="P946" s="28" t="n">
        <v>16390</v>
      </c>
      <c r="Q946" s="28" t="n">
        <v>2106.48</v>
      </c>
      <c r="R946" s="28" t="n">
        <v>14283.52</v>
      </c>
      <c r="S946" s="42" t="n">
        <v>0.128522269676632</v>
      </c>
      <c r="T946" s="3" t="n">
        <v>2.951</v>
      </c>
      <c r="U946" s="3" t="n">
        <v>19</v>
      </c>
      <c r="V946" s="3" t="n">
        <v>28065.56</v>
      </c>
      <c r="W946" s="42" t="n">
        <v>0.1363</v>
      </c>
      <c r="X946" s="23" t="n">
        <v>45158</v>
      </c>
      <c r="Y946" s="3">
        <f>IF(I946="","No SIC",IFERROR(VLOOKUP(I946,Ref!$A$2:$B$65,2,FALSE()),"Unclassified"))</f>
        <v/>
      </c>
      <c r="Z946" s="3">
        <f>IF(T946="","",IF(T946&lt;12,"Daily","Weekly"))</f>
        <v/>
      </c>
      <c r="AA946" s="3">
        <f>IF(T946="",0,IF(T946&lt;12,T946*Controls!$B$13,T946*5))</f>
        <v/>
      </c>
      <c r="AB946" s="3">
        <f>IF(E946="",0,NETWORKDAYS(E946,Controls!$B$20,Ref!$K$2:$K$42))</f>
        <v/>
      </c>
      <c r="AC946" s="3">
        <f>IF(OR(AF946=1,AND(AA946&gt;0,AB946&gt;=Controls!$B$23*AA946)),1,0)</f>
        <v/>
      </c>
      <c r="AD946" s="3">
        <f>IF(AND(E946&lt;&gt;"",E946&gt;=Controls!$B$21,E946&lt;=Controls!$B$22),1,0)</f>
        <v/>
      </c>
      <c r="AE946" s="3">
        <f>IF(IFERROR(VLOOKUP(D946,Controls!$A$36:$E$46,2,FALSE()),"No")="Yes",1,0)</f>
        <v/>
      </c>
      <c r="AF946" s="3">
        <f>IF(IFERROR(VLOOKUP(D946,Controls!$A$36:$E$46,3,FALSE()),"No")="Yes",1,0)</f>
        <v/>
      </c>
      <c r="AG946" s="3">
        <f>IF(IFERROR(VLOOKUP(D946,Controls!$A$36:$E$46,4,FALSE()),"No")="Yes",1,0)</f>
        <v/>
      </c>
      <c r="AH946" s="3">
        <f>IF(IFERROR(VLOOKUP(D946,Controls!$A$36:$E$46,5,FALSE()),"No")="Yes",1,0)</f>
        <v/>
      </c>
      <c r="AI946" s="3">
        <f>IF(ISNUMBER(MATCH(D946,Controls!$A$36:$A$46,0)),1,0)</f>
        <v/>
      </c>
      <c r="AJ946" s="28">
        <f>Q946-N946</f>
        <v/>
      </c>
      <c r="AK946" s="3">
        <f>IF(AE946=1,MAX(0,N946-Q946),0)</f>
        <v/>
      </c>
      <c r="AL946" s="3">
        <f>IF(OR(V946="",V946=0),0,N946/V946)</f>
        <v/>
      </c>
      <c r="AM946" s="3">
        <f>IF(OR(V946="",V946=0),0,1)</f>
        <v/>
      </c>
      <c r="AN946" s="3">
        <f>IF(OR(E946="",F946=""),0,NETWORKDAYS(E946,F946,Ref!$K$2:$K$42))</f>
        <v/>
      </c>
      <c r="AO946" s="3">
        <f>IF(L946="Renewal",1,0)</f>
        <v/>
      </c>
      <c r="AP946" s="3">
        <f>AC946*AD946</f>
        <v/>
      </c>
      <c r="AQ946" s="3">
        <f>IF(AND(G946&lt;&gt;"",'Historical Score'!$C$6&lt;&gt;""),IF(G946='Historical Score'!$C$6,1,0),0)</f>
        <v/>
      </c>
      <c r="AR946" s="3">
        <f>IF(AND(L946&lt;&gt;"",'Historical Score'!$C$5&lt;&gt;""),IF(L946='Historical Score'!$C$5,1,0),0)</f>
        <v/>
      </c>
      <c r="AS946" s="3">
        <f>IF(AND(Y946&lt;&gt;"",'Historical Score'!$C$7&lt;&gt;""),IF(Y946='Historical Score'!$C$7,1,0),0)</f>
        <v/>
      </c>
      <c r="AT946" s="3">
        <f>IF(AND(K946&lt;&gt;"",'Historical Score'!$C$8&lt;&gt;""),IF(K946='Historical Score'!$C$8,1,0),0)</f>
        <v/>
      </c>
      <c r="AU946" s="3" t="n"/>
      <c r="AV946" s="3" t="n"/>
      <c r="AW946" s="3" t="n"/>
      <c r="AX946" s="3" t="n"/>
      <c r="AY946" s="3" t="n"/>
      <c r="AZ946" s="3" t="n"/>
      <c r="BA946" s="182">
        <f>IF(AD946=1,(AR946*'Historical Score'!$K$29+1-'Historical Score'!$K$29)*(AT946*'Historical Score'!$L$29+1-'Historical Score'!$L$29)*(AS946*'Historical Score'!$M$29+1-'Historical Score'!$M$29)*(AQ946*'Historical Score'!$N$29+1-'Historical Score'!$N$29),0)</f>
        <v/>
      </c>
      <c r="BB946" s="3" t="n"/>
      <c r="BC946" s="3" t="n"/>
    </row>
    <row r="947" ht="15.75" customHeight="1" s="174">
      <c r="A947" s="3" t="inlineStr">
        <is>
          <t>5674185236</t>
        </is>
      </c>
      <c r="B947" s="3" t="inlineStr">
        <is>
          <t>3-B'S CONSTRUCTION, LLC</t>
        </is>
      </c>
      <c r="C947" s="3" t="inlineStr">
        <is>
          <t>3-B'S CONSTRUCTION, LLC</t>
        </is>
      </c>
      <c r="D947" s="3" t="inlineStr">
        <is>
          <t>Closed</t>
        </is>
      </c>
      <c r="E947" s="23" t="n">
        <v>46183</v>
      </c>
      <c r="F947" s="23" t="n">
        <v>46216</v>
      </c>
      <c r="G947" s="3" t="n">
        <v>3</v>
      </c>
      <c r="H947" s="3" t="inlineStr">
        <is>
          <t>1521</t>
        </is>
      </c>
      <c r="I947" s="3" t="inlineStr">
        <is>
          <t>15</t>
        </is>
      </c>
      <c r="J947" s="3" t="inlineStr">
        <is>
          <t>MI</t>
        </is>
      </c>
      <c r="K947" s="3" t="inlineStr">
        <is>
          <t>Fundwell</t>
        </is>
      </c>
      <c r="L947" s="3" t="inlineStr">
        <is>
          <t>New Deal</t>
        </is>
      </c>
      <c r="M947" s="3" t="n">
        <v>1.17008</v>
      </c>
      <c r="N947" s="28" t="n">
        <v>10000</v>
      </c>
      <c r="O947" s="28" t="n">
        <v>1250</v>
      </c>
      <c r="P947" s="28" t="n">
        <v>11700.8</v>
      </c>
      <c r="Q947" s="28" t="n">
        <v>11700.8</v>
      </c>
      <c r="R947" s="28" t="n">
        <v>0</v>
      </c>
      <c r="S947" s="42" t="n">
        <v>1</v>
      </c>
      <c r="T947" s="3" t="n">
        <v>20</v>
      </c>
      <c r="U947" s="3" t="n">
        <v>0</v>
      </c>
      <c r="V947" s="3" t="n">
        <v>78063.8</v>
      </c>
      <c r="W947" s="42" t="n">
        <v>0.0374</v>
      </c>
      <c r="X947" s="23" t="n">
        <v>42842</v>
      </c>
      <c r="Y947" s="3">
        <f>IF(I947="","No SIC",IFERROR(VLOOKUP(I947,Ref!$A$2:$B$65,2,FALSE()),"Unclassified"))</f>
        <v/>
      </c>
      <c r="Z947" s="3">
        <f>IF(T947="","",IF(T947&lt;12,"Daily","Weekly"))</f>
        <v/>
      </c>
      <c r="AA947" s="3">
        <f>IF(T947="",0,IF(T947&lt;12,T947*Controls!$B$13,T947*5))</f>
        <v/>
      </c>
      <c r="AB947" s="3">
        <f>IF(E947="",0,NETWORKDAYS(E947,Controls!$B$20,Ref!$K$2:$K$42))</f>
        <v/>
      </c>
      <c r="AC947" s="3">
        <f>IF(OR(AF947=1,AND(AA947&gt;0,AB947&gt;=Controls!$B$23*AA947)),1,0)</f>
        <v/>
      </c>
      <c r="AD947" s="3">
        <f>IF(AND(E947&lt;&gt;"",E947&gt;=Controls!$B$21,E947&lt;=Controls!$B$22),1,0)</f>
        <v/>
      </c>
      <c r="AE947" s="3">
        <f>IF(IFERROR(VLOOKUP(D947,Controls!$A$36:$E$46,2,FALSE()),"No")="Yes",1,0)</f>
        <v/>
      </c>
      <c r="AF947" s="3">
        <f>IF(IFERROR(VLOOKUP(D947,Controls!$A$36:$E$46,3,FALSE()),"No")="Yes",1,0)</f>
        <v/>
      </c>
      <c r="AG947" s="3">
        <f>IF(IFERROR(VLOOKUP(D947,Controls!$A$36:$E$46,4,FALSE()),"No")="Yes",1,0)</f>
        <v/>
      </c>
      <c r="AH947" s="3">
        <f>IF(IFERROR(VLOOKUP(D947,Controls!$A$36:$E$46,5,FALSE()),"No")="Yes",1,0)</f>
        <v/>
      </c>
      <c r="AI947" s="3">
        <f>IF(ISNUMBER(MATCH(D947,Controls!$A$36:$A$46,0)),1,0)</f>
        <v/>
      </c>
      <c r="AJ947" s="28">
        <f>Q947-N947</f>
        <v/>
      </c>
      <c r="AK947" s="3">
        <f>IF(AE947=1,MAX(0,N947-Q947),0)</f>
        <v/>
      </c>
      <c r="AL947" s="3">
        <f>IF(OR(V947="",V947=0),0,N947/V947)</f>
        <v/>
      </c>
      <c r="AM947" s="3">
        <f>IF(OR(V947="",V947=0),0,1)</f>
        <v/>
      </c>
      <c r="AN947" s="3">
        <f>IF(OR(E947="",F947=""),0,NETWORKDAYS(E947,F947,Ref!$K$2:$K$42))</f>
        <v/>
      </c>
      <c r="AO947" s="3">
        <f>IF(L947="Renewal",1,0)</f>
        <v/>
      </c>
      <c r="AP947" s="3">
        <f>AC947*AD947</f>
        <v/>
      </c>
      <c r="AQ947" s="3">
        <f>IF(AND(G947&lt;&gt;"",'Historical Score'!$C$6&lt;&gt;""),IF(G947='Historical Score'!$C$6,1,0),0)</f>
        <v/>
      </c>
      <c r="AR947" s="3">
        <f>IF(AND(L947&lt;&gt;"",'Historical Score'!$C$5&lt;&gt;""),IF(L947='Historical Score'!$C$5,1,0),0)</f>
        <v/>
      </c>
      <c r="AS947" s="3">
        <f>IF(AND(Y947&lt;&gt;"",'Historical Score'!$C$7&lt;&gt;""),IF(Y947='Historical Score'!$C$7,1,0),0)</f>
        <v/>
      </c>
      <c r="AT947" s="3">
        <f>IF(AND(K947&lt;&gt;"",'Historical Score'!$C$8&lt;&gt;""),IF(K947='Historical Score'!$C$8,1,0),0)</f>
        <v/>
      </c>
      <c r="AU947" s="3" t="n"/>
      <c r="AV947" s="3" t="n"/>
      <c r="AW947" s="3" t="n"/>
      <c r="AX947" s="3" t="n"/>
      <c r="AY947" s="3" t="n"/>
      <c r="AZ947" s="3" t="n"/>
      <c r="BA947" s="182">
        <f>IF(AD947=1,(AR947*'Historical Score'!$K$29+1-'Historical Score'!$K$29)*(AT947*'Historical Score'!$L$29+1-'Historical Score'!$L$29)*(AS947*'Historical Score'!$M$29+1-'Historical Score'!$M$29)*(AQ947*'Historical Score'!$N$29+1-'Historical Score'!$N$29),0)</f>
        <v/>
      </c>
      <c r="BB947" s="3" t="n"/>
      <c r="BC947" s="3" t="n"/>
    </row>
    <row r="948" ht="15.75" customHeight="1" s="174">
      <c r="A948" s="3" t="inlineStr">
        <is>
          <t>5674185313</t>
        </is>
      </c>
      <c r="B948" s="3" t="inlineStr">
        <is>
          <t>BOWL OF FUN LANES LLC</t>
        </is>
      </c>
      <c r="C948" s="3" t="inlineStr">
        <is>
          <t>BOWL OF FUN LANES LLC</t>
        </is>
      </c>
      <c r="D948" s="3" t="inlineStr">
        <is>
          <t>Open</t>
        </is>
      </c>
      <c r="E948" s="23" t="n">
        <v>46184</v>
      </c>
      <c r="F948" s="23" t="n">
        <v>46248</v>
      </c>
      <c r="G948" s="3" t="n">
        <v>3</v>
      </c>
      <c r="H948" s="3" t="inlineStr">
        <is>
          <t>7933</t>
        </is>
      </c>
      <c r="I948" s="3" t="inlineStr">
        <is>
          <t>79</t>
        </is>
      </c>
      <c r="J948" s="3" t="inlineStr">
        <is>
          <t>FL</t>
        </is>
      </c>
      <c r="K948" s="3" t="inlineStr">
        <is>
          <t>United Secured Capital 8</t>
        </is>
      </c>
      <c r="L948" s="3" t="inlineStr">
        <is>
          <t>Renewal</t>
        </is>
      </c>
      <c r="M948" s="3" t="n">
        <v>1.47</v>
      </c>
      <c r="N948" s="28" t="n">
        <v>35000</v>
      </c>
      <c r="O948" s="28" t="n">
        <v>4550</v>
      </c>
      <c r="P948" s="28" t="n">
        <v>51450</v>
      </c>
      <c r="Q948" s="28" t="n">
        <v>15896.6</v>
      </c>
      <c r="R948" s="28" t="n">
        <v>35553.4</v>
      </c>
      <c r="S948" s="42" t="n">
        <v>0.308971817298348</v>
      </c>
      <c r="T948" s="3" t="n">
        <v>28</v>
      </c>
      <c r="U948" s="3" t="n">
        <v>1</v>
      </c>
      <c r="V948" s="3" t="n">
        <v>76345.67</v>
      </c>
      <c r="W948" s="42" t="n">
        <v>0.0963</v>
      </c>
      <c r="X948" s="23" t="n">
        <v>40880</v>
      </c>
      <c r="Y948" s="3">
        <f>IF(I948="","No SIC",IFERROR(VLOOKUP(I948,Ref!$A$2:$B$65,2,FALSE()),"Unclassified"))</f>
        <v/>
      </c>
      <c r="Z948" s="3">
        <f>IF(T948="","",IF(T948&lt;12,"Daily","Weekly"))</f>
        <v/>
      </c>
      <c r="AA948" s="3">
        <f>IF(T948="",0,IF(T948&lt;12,T948*Controls!$B$13,T948*5))</f>
        <v/>
      </c>
      <c r="AB948" s="3">
        <f>IF(E948="",0,NETWORKDAYS(E948,Controls!$B$20,Ref!$K$2:$K$42))</f>
        <v/>
      </c>
      <c r="AC948" s="3">
        <f>IF(OR(AF948=1,AND(AA948&gt;0,AB948&gt;=Controls!$B$23*AA948)),1,0)</f>
        <v/>
      </c>
      <c r="AD948" s="3">
        <f>IF(AND(E948&lt;&gt;"",E948&gt;=Controls!$B$21,E948&lt;=Controls!$B$22),1,0)</f>
        <v/>
      </c>
      <c r="AE948" s="3">
        <f>IF(IFERROR(VLOOKUP(D948,Controls!$A$36:$E$46,2,FALSE()),"No")="Yes",1,0)</f>
        <v/>
      </c>
      <c r="AF948" s="3">
        <f>IF(IFERROR(VLOOKUP(D948,Controls!$A$36:$E$46,3,FALSE()),"No")="Yes",1,0)</f>
        <v/>
      </c>
      <c r="AG948" s="3">
        <f>IF(IFERROR(VLOOKUP(D948,Controls!$A$36:$E$46,4,FALSE()),"No")="Yes",1,0)</f>
        <v/>
      </c>
      <c r="AH948" s="3">
        <f>IF(IFERROR(VLOOKUP(D948,Controls!$A$36:$E$46,5,FALSE()),"No")="Yes",1,0)</f>
        <v/>
      </c>
      <c r="AI948" s="3">
        <f>IF(ISNUMBER(MATCH(D948,Controls!$A$36:$A$46,0)),1,0)</f>
        <v/>
      </c>
      <c r="AJ948" s="28">
        <f>Q948-N948</f>
        <v/>
      </c>
      <c r="AK948" s="3">
        <f>IF(AE948=1,MAX(0,N948-Q948),0)</f>
        <v/>
      </c>
      <c r="AL948" s="3">
        <f>IF(OR(V948="",V948=0),0,N948/V948)</f>
        <v/>
      </c>
      <c r="AM948" s="3">
        <f>IF(OR(V948="",V948=0),0,1)</f>
        <v/>
      </c>
      <c r="AN948" s="3">
        <f>IF(OR(E948="",F948=""),0,NETWORKDAYS(E948,F948,Ref!$K$2:$K$42))</f>
        <v/>
      </c>
      <c r="AO948" s="3">
        <f>IF(L948="Renewal",1,0)</f>
        <v/>
      </c>
      <c r="AP948" s="3">
        <f>AC948*AD948</f>
        <v/>
      </c>
      <c r="AQ948" s="3">
        <f>IF(AND(G948&lt;&gt;"",'Historical Score'!$C$6&lt;&gt;""),IF(G948='Historical Score'!$C$6,1,0),0)</f>
        <v/>
      </c>
      <c r="AR948" s="3">
        <f>IF(AND(L948&lt;&gt;"",'Historical Score'!$C$5&lt;&gt;""),IF(L948='Historical Score'!$C$5,1,0),0)</f>
        <v/>
      </c>
      <c r="AS948" s="3">
        <f>IF(AND(Y948&lt;&gt;"",'Historical Score'!$C$7&lt;&gt;""),IF(Y948='Historical Score'!$C$7,1,0),0)</f>
        <v/>
      </c>
      <c r="AT948" s="3">
        <f>IF(AND(K948&lt;&gt;"",'Historical Score'!$C$8&lt;&gt;""),IF(K948='Historical Score'!$C$8,1,0),0)</f>
        <v/>
      </c>
      <c r="AU948" s="3" t="n"/>
      <c r="AV948" s="3" t="n"/>
      <c r="AW948" s="3" t="n"/>
      <c r="AX948" s="3" t="n"/>
      <c r="AY948" s="3" t="n"/>
      <c r="AZ948" s="3" t="n"/>
      <c r="BA948" s="182">
        <f>IF(AD948=1,(AR948*'Historical Score'!$K$29+1-'Historical Score'!$K$29)*(AT948*'Historical Score'!$L$29+1-'Historical Score'!$L$29)*(AS948*'Historical Score'!$M$29+1-'Historical Score'!$M$29)*(AQ948*'Historical Score'!$N$29+1-'Historical Score'!$N$29),0)</f>
        <v/>
      </c>
      <c r="BB948" s="3" t="n"/>
      <c r="BC948" s="3" t="n"/>
    </row>
    <row r="949" ht="15.75" customHeight="1" s="174">
      <c r="A949" s="3" t="inlineStr">
        <is>
          <t>5674185314</t>
        </is>
      </c>
      <c r="B949" s="3" t="inlineStr">
        <is>
          <t>Southern Panc Eat Good LLC DBA Southern Pancake House</t>
        </is>
      </c>
      <c r="C949" s="3" t="inlineStr">
        <is>
          <t>Let'em Eat Good LLC</t>
        </is>
      </c>
      <c r="D949" s="3" t="inlineStr">
        <is>
          <t>Open</t>
        </is>
      </c>
      <c r="E949" s="23" t="n">
        <v>46184</v>
      </c>
      <c r="F949" s="23" t="n">
        <v>46253</v>
      </c>
      <c r="G949" s="3" t="n">
        <v>3</v>
      </c>
      <c r="H949" s="3" t="inlineStr">
        <is>
          <t>5812</t>
        </is>
      </c>
      <c r="I949" s="3" t="inlineStr">
        <is>
          <t>58</t>
        </is>
      </c>
      <c r="J949" s="3" t="inlineStr">
        <is>
          <t>VA</t>
        </is>
      </c>
      <c r="K949" s="3" t="inlineStr">
        <is>
          <t>Premium Capital (AMRK)</t>
        </is>
      </c>
      <c r="L949" s="3" t="inlineStr">
        <is>
          <t>Renewal</t>
        </is>
      </c>
      <c r="M949" s="3" t="n">
        <v>1.45</v>
      </c>
      <c r="N949" s="28" t="n">
        <v>65000</v>
      </c>
      <c r="O949" s="28" t="n">
        <v>7800</v>
      </c>
      <c r="P949" s="28" t="n">
        <v>94250</v>
      </c>
      <c r="Q949" s="28" t="n">
        <v>26055.39</v>
      </c>
      <c r="R949" s="28" t="n">
        <v>68194.61</v>
      </c>
      <c r="S949" s="42" t="n">
        <v>0.27644976127321</v>
      </c>
      <c r="T949" s="3" t="n">
        <v>5.574</v>
      </c>
      <c r="U949" s="3" t="n">
        <v>0</v>
      </c>
      <c r="V949" s="3" t="n">
        <v>73218.44</v>
      </c>
      <c r="W949" s="42" t="n">
        <v>0.159</v>
      </c>
      <c r="X949" s="23" t="n"/>
      <c r="Y949" s="3">
        <f>IF(I949="","No SIC",IFERROR(VLOOKUP(I949,Ref!$A$2:$B$65,2,FALSE()),"Unclassified"))</f>
        <v/>
      </c>
      <c r="Z949" s="3">
        <f>IF(T949="","",IF(T949&lt;12,"Daily","Weekly"))</f>
        <v/>
      </c>
      <c r="AA949" s="3">
        <f>IF(T949="",0,IF(T949&lt;12,T949*Controls!$B$13,T949*5))</f>
        <v/>
      </c>
      <c r="AB949" s="3">
        <f>IF(E949="",0,NETWORKDAYS(E949,Controls!$B$20,Ref!$K$2:$K$42))</f>
        <v/>
      </c>
      <c r="AC949" s="3">
        <f>IF(OR(AF949=1,AND(AA949&gt;0,AB949&gt;=Controls!$B$23*AA949)),1,0)</f>
        <v/>
      </c>
      <c r="AD949" s="3">
        <f>IF(AND(E949&lt;&gt;"",E949&gt;=Controls!$B$21,E949&lt;=Controls!$B$22),1,0)</f>
        <v/>
      </c>
      <c r="AE949" s="3">
        <f>IF(IFERROR(VLOOKUP(D949,Controls!$A$36:$E$46,2,FALSE()),"No")="Yes",1,0)</f>
        <v/>
      </c>
      <c r="AF949" s="3">
        <f>IF(IFERROR(VLOOKUP(D949,Controls!$A$36:$E$46,3,FALSE()),"No")="Yes",1,0)</f>
        <v/>
      </c>
      <c r="AG949" s="3">
        <f>IF(IFERROR(VLOOKUP(D949,Controls!$A$36:$E$46,4,FALSE()),"No")="Yes",1,0)</f>
        <v/>
      </c>
      <c r="AH949" s="3">
        <f>IF(IFERROR(VLOOKUP(D949,Controls!$A$36:$E$46,5,FALSE()),"No")="Yes",1,0)</f>
        <v/>
      </c>
      <c r="AI949" s="3">
        <f>IF(ISNUMBER(MATCH(D949,Controls!$A$36:$A$46,0)),1,0)</f>
        <v/>
      </c>
      <c r="AJ949" s="28">
        <f>Q949-N949</f>
        <v/>
      </c>
      <c r="AK949" s="3">
        <f>IF(AE949=1,MAX(0,N949-Q949),0)</f>
        <v/>
      </c>
      <c r="AL949" s="3">
        <f>IF(OR(V949="",V949=0),0,N949/V949)</f>
        <v/>
      </c>
      <c r="AM949" s="3">
        <f>IF(OR(V949="",V949=0),0,1)</f>
        <v/>
      </c>
      <c r="AN949" s="3">
        <f>IF(OR(E949="",F949=""),0,NETWORKDAYS(E949,F949,Ref!$K$2:$K$42))</f>
        <v/>
      </c>
      <c r="AO949" s="3">
        <f>IF(L949="Renewal",1,0)</f>
        <v/>
      </c>
      <c r="AP949" s="3">
        <f>AC949*AD949</f>
        <v/>
      </c>
      <c r="AQ949" s="3">
        <f>IF(AND(G949&lt;&gt;"",'Historical Score'!$C$6&lt;&gt;""),IF(G949='Historical Score'!$C$6,1,0),0)</f>
        <v/>
      </c>
      <c r="AR949" s="3">
        <f>IF(AND(L949&lt;&gt;"",'Historical Score'!$C$5&lt;&gt;""),IF(L949='Historical Score'!$C$5,1,0),0)</f>
        <v/>
      </c>
      <c r="AS949" s="3">
        <f>IF(AND(Y949&lt;&gt;"",'Historical Score'!$C$7&lt;&gt;""),IF(Y949='Historical Score'!$C$7,1,0),0)</f>
        <v/>
      </c>
      <c r="AT949" s="3">
        <f>IF(AND(K949&lt;&gt;"",'Historical Score'!$C$8&lt;&gt;""),IF(K949='Historical Score'!$C$8,1,0),0)</f>
        <v/>
      </c>
      <c r="AU949" s="3" t="n"/>
      <c r="AV949" s="3" t="n"/>
      <c r="AW949" s="3" t="n"/>
      <c r="AX949" s="3" t="n"/>
      <c r="AY949" s="3" t="n"/>
      <c r="AZ949" s="3" t="n"/>
      <c r="BA949" s="182">
        <f>IF(AD949=1,(AR949*'Historical Score'!$K$29+1-'Historical Score'!$K$29)*(AT949*'Historical Score'!$L$29+1-'Historical Score'!$L$29)*(AS949*'Historical Score'!$M$29+1-'Historical Score'!$M$29)*(AQ949*'Historical Score'!$N$29+1-'Historical Score'!$N$29),0)</f>
        <v/>
      </c>
      <c r="BB949" s="3" t="n"/>
      <c r="BC949" s="3" t="n"/>
    </row>
    <row r="950" ht="15.75" customHeight="1" s="174">
      <c r="A950" s="3" t="inlineStr">
        <is>
          <t>5674185320</t>
        </is>
      </c>
      <c r="B950" s="3" t="inlineStr">
        <is>
          <t>CHEF ERICS BEST INC</t>
        </is>
      </c>
      <c r="C950" s="3" t="inlineStr">
        <is>
          <t>CHEF ERICS BEST INC</t>
        </is>
      </c>
      <c r="D950" s="3" t="inlineStr">
        <is>
          <t>Open</t>
        </is>
      </c>
      <c r="E950" s="23" t="n">
        <v>46184</v>
      </c>
      <c r="F950" s="23" t="n">
        <v>46248</v>
      </c>
      <c r="G950" s="3" t="n">
        <v>3</v>
      </c>
      <c r="H950" s="3" t="inlineStr">
        <is>
          <t>5812</t>
        </is>
      </c>
      <c r="I950" s="3" t="inlineStr">
        <is>
          <t>58</t>
        </is>
      </c>
      <c r="J950" s="3" t="inlineStr">
        <is>
          <t>FL</t>
        </is>
      </c>
      <c r="K950" s="3" t="inlineStr">
        <is>
          <t>United Secured Capital 8</t>
        </is>
      </c>
      <c r="L950" s="3" t="inlineStr">
        <is>
          <t>New Deal</t>
        </is>
      </c>
      <c r="M950" s="3" t="n">
        <v>1.49</v>
      </c>
      <c r="N950" s="28" t="n">
        <v>15000</v>
      </c>
      <c r="O950" s="28" t="n">
        <v>2100</v>
      </c>
      <c r="P950" s="28" t="n">
        <v>22350</v>
      </c>
      <c r="Q950" s="28" t="n">
        <v>5587.45</v>
      </c>
      <c r="R950" s="28" t="n">
        <v>16762.55</v>
      </c>
      <c r="S950" s="42" t="n">
        <v>0.249997762863535</v>
      </c>
      <c r="T950" s="3" t="n">
        <v>20</v>
      </c>
      <c r="U950" s="3" t="n">
        <v>4</v>
      </c>
      <c r="V950" s="3" t="n">
        <v>33992.18</v>
      </c>
      <c r="W950" s="42" t="n">
        <v>0.1315</v>
      </c>
      <c r="X950" s="23" t="n">
        <v>37841</v>
      </c>
      <c r="Y950" s="3">
        <f>IF(I950="","No SIC",IFERROR(VLOOKUP(I950,Ref!$A$2:$B$65,2,FALSE()),"Unclassified"))</f>
        <v/>
      </c>
      <c r="Z950" s="3">
        <f>IF(T950="","",IF(T950&lt;12,"Daily","Weekly"))</f>
        <v/>
      </c>
      <c r="AA950" s="3">
        <f>IF(T950="",0,IF(T950&lt;12,T950*Controls!$B$13,T950*5))</f>
        <v/>
      </c>
      <c r="AB950" s="3">
        <f>IF(E950="",0,NETWORKDAYS(E950,Controls!$B$20,Ref!$K$2:$K$42))</f>
        <v/>
      </c>
      <c r="AC950" s="3">
        <f>IF(OR(AF950=1,AND(AA950&gt;0,AB950&gt;=Controls!$B$23*AA950)),1,0)</f>
        <v/>
      </c>
      <c r="AD950" s="3">
        <f>IF(AND(E950&lt;&gt;"",E950&gt;=Controls!$B$21,E950&lt;=Controls!$B$22),1,0)</f>
        <v/>
      </c>
      <c r="AE950" s="3">
        <f>IF(IFERROR(VLOOKUP(D950,Controls!$A$36:$E$46,2,FALSE()),"No")="Yes",1,0)</f>
        <v/>
      </c>
      <c r="AF950" s="3">
        <f>IF(IFERROR(VLOOKUP(D950,Controls!$A$36:$E$46,3,FALSE()),"No")="Yes",1,0)</f>
        <v/>
      </c>
      <c r="AG950" s="3">
        <f>IF(IFERROR(VLOOKUP(D950,Controls!$A$36:$E$46,4,FALSE()),"No")="Yes",1,0)</f>
        <v/>
      </c>
      <c r="AH950" s="3">
        <f>IF(IFERROR(VLOOKUP(D950,Controls!$A$36:$E$46,5,FALSE()),"No")="Yes",1,0)</f>
        <v/>
      </c>
      <c r="AI950" s="3">
        <f>IF(ISNUMBER(MATCH(D950,Controls!$A$36:$A$46,0)),1,0)</f>
        <v/>
      </c>
      <c r="AJ950" s="28">
        <f>Q950-N950</f>
        <v/>
      </c>
      <c r="AK950" s="3">
        <f>IF(AE950=1,MAX(0,N950-Q950),0)</f>
        <v/>
      </c>
      <c r="AL950" s="3">
        <f>IF(OR(V950="",V950=0),0,N950/V950)</f>
        <v/>
      </c>
      <c r="AM950" s="3">
        <f>IF(OR(V950="",V950=0),0,1)</f>
        <v/>
      </c>
      <c r="AN950" s="3">
        <f>IF(OR(E950="",F950=""),0,NETWORKDAYS(E950,F950,Ref!$K$2:$K$42))</f>
        <v/>
      </c>
      <c r="AO950" s="3">
        <f>IF(L950="Renewal",1,0)</f>
        <v/>
      </c>
      <c r="AP950" s="3">
        <f>AC950*AD950</f>
        <v/>
      </c>
      <c r="AQ950" s="3">
        <f>IF(AND(G950&lt;&gt;"",'Historical Score'!$C$6&lt;&gt;""),IF(G950='Historical Score'!$C$6,1,0),0)</f>
        <v/>
      </c>
      <c r="AR950" s="3">
        <f>IF(AND(L950&lt;&gt;"",'Historical Score'!$C$5&lt;&gt;""),IF(L950='Historical Score'!$C$5,1,0),0)</f>
        <v/>
      </c>
      <c r="AS950" s="3">
        <f>IF(AND(Y950&lt;&gt;"",'Historical Score'!$C$7&lt;&gt;""),IF(Y950='Historical Score'!$C$7,1,0),0)</f>
        <v/>
      </c>
      <c r="AT950" s="3">
        <f>IF(AND(K950&lt;&gt;"",'Historical Score'!$C$8&lt;&gt;""),IF(K950='Historical Score'!$C$8,1,0),0)</f>
        <v/>
      </c>
      <c r="AU950" s="3" t="n"/>
      <c r="AV950" s="3" t="n"/>
      <c r="AW950" s="3" t="n"/>
      <c r="AX950" s="3" t="n"/>
      <c r="AY950" s="3" t="n"/>
      <c r="AZ950" s="3" t="n"/>
      <c r="BA950" s="182">
        <f>IF(AD950=1,(AR950*'Historical Score'!$K$29+1-'Historical Score'!$K$29)*(AT950*'Historical Score'!$L$29+1-'Historical Score'!$L$29)*(AS950*'Historical Score'!$M$29+1-'Historical Score'!$M$29)*(AQ950*'Historical Score'!$N$29+1-'Historical Score'!$N$29),0)</f>
        <v/>
      </c>
      <c r="BB950" s="3" t="n"/>
      <c r="BC950" s="3" t="n"/>
    </row>
    <row r="951" ht="15.75" customHeight="1" s="174">
      <c r="A951" s="3" t="inlineStr">
        <is>
          <t>5674185325</t>
        </is>
      </c>
      <c r="B951" s="3" t="inlineStr">
        <is>
          <t>Rudy LLC</t>
        </is>
      </c>
      <c r="C951" s="3" t="inlineStr">
        <is>
          <t>Rudy LLC</t>
        </is>
      </c>
      <c r="D951" s="3" t="inlineStr">
        <is>
          <t>Open</t>
        </is>
      </c>
      <c r="E951" s="23" t="n">
        <v>46184</v>
      </c>
      <c r="F951" s="23" t="n">
        <v>46251</v>
      </c>
      <c r="G951" s="3" t="n">
        <v>3</v>
      </c>
      <c r="H951" s="3" t="inlineStr">
        <is>
          <t>5999</t>
        </is>
      </c>
      <c r="I951" s="3" t="inlineStr">
        <is>
          <t>59</t>
        </is>
      </c>
      <c r="J951" s="3" t="inlineStr">
        <is>
          <t>IN</t>
        </is>
      </c>
      <c r="K951" s="3" t="inlineStr">
        <is>
          <t>Clover Capital</t>
        </is>
      </c>
      <c r="L951" s="3" t="inlineStr">
        <is>
          <t>New Deal</t>
        </is>
      </c>
      <c r="M951" s="3" t="n">
        <v>1.49</v>
      </c>
      <c r="N951" s="28" t="n">
        <v>25000</v>
      </c>
      <c r="O951" s="28" t="n">
        <v>3500</v>
      </c>
      <c r="P951" s="28" t="n">
        <v>37250</v>
      </c>
      <c r="Q951" s="28" t="n">
        <v>10864.91</v>
      </c>
      <c r="R951" s="28" t="n">
        <v>26385.09</v>
      </c>
      <c r="S951" s="42" t="n">
        <v>0.291675436241611</v>
      </c>
      <c r="T951" s="3" t="n">
        <v>24</v>
      </c>
      <c r="U951" s="3" t="n">
        <v>4</v>
      </c>
      <c r="V951" s="3" t="n">
        <v>53246.41</v>
      </c>
      <c r="W951" s="42" t="n">
        <v>0.1166</v>
      </c>
      <c r="X951" s="23" t="n">
        <v>41134</v>
      </c>
      <c r="Y951" s="3">
        <f>IF(I951="","No SIC",IFERROR(VLOOKUP(I951,Ref!$A$2:$B$65,2,FALSE()),"Unclassified"))</f>
        <v/>
      </c>
      <c r="Z951" s="3">
        <f>IF(T951="","",IF(T951&lt;12,"Daily","Weekly"))</f>
        <v/>
      </c>
      <c r="AA951" s="3">
        <f>IF(T951="",0,IF(T951&lt;12,T951*Controls!$B$13,T951*5))</f>
        <v/>
      </c>
      <c r="AB951" s="3">
        <f>IF(E951="",0,NETWORKDAYS(E951,Controls!$B$20,Ref!$K$2:$K$42))</f>
        <v/>
      </c>
      <c r="AC951" s="3">
        <f>IF(OR(AF951=1,AND(AA951&gt;0,AB951&gt;=Controls!$B$23*AA951)),1,0)</f>
        <v/>
      </c>
      <c r="AD951" s="3">
        <f>IF(AND(E951&lt;&gt;"",E951&gt;=Controls!$B$21,E951&lt;=Controls!$B$22),1,0)</f>
        <v/>
      </c>
      <c r="AE951" s="3">
        <f>IF(IFERROR(VLOOKUP(D951,Controls!$A$36:$E$46,2,FALSE()),"No")="Yes",1,0)</f>
        <v/>
      </c>
      <c r="AF951" s="3">
        <f>IF(IFERROR(VLOOKUP(D951,Controls!$A$36:$E$46,3,FALSE()),"No")="Yes",1,0)</f>
        <v/>
      </c>
      <c r="AG951" s="3">
        <f>IF(IFERROR(VLOOKUP(D951,Controls!$A$36:$E$46,4,FALSE()),"No")="Yes",1,0)</f>
        <v/>
      </c>
      <c r="AH951" s="3">
        <f>IF(IFERROR(VLOOKUP(D951,Controls!$A$36:$E$46,5,FALSE()),"No")="Yes",1,0)</f>
        <v/>
      </c>
      <c r="AI951" s="3">
        <f>IF(ISNUMBER(MATCH(D951,Controls!$A$36:$A$46,0)),1,0)</f>
        <v/>
      </c>
      <c r="AJ951" s="28">
        <f>Q951-N951</f>
        <v/>
      </c>
      <c r="AK951" s="3">
        <f>IF(AE951=1,MAX(0,N951-Q951),0)</f>
        <v/>
      </c>
      <c r="AL951" s="3">
        <f>IF(OR(V951="",V951=0),0,N951/V951)</f>
        <v/>
      </c>
      <c r="AM951" s="3">
        <f>IF(OR(V951="",V951=0),0,1)</f>
        <v/>
      </c>
      <c r="AN951" s="3">
        <f>IF(OR(E951="",F951=""),0,NETWORKDAYS(E951,F951,Ref!$K$2:$K$42))</f>
        <v/>
      </c>
      <c r="AO951" s="3">
        <f>IF(L951="Renewal",1,0)</f>
        <v/>
      </c>
      <c r="AP951" s="3">
        <f>AC951*AD951</f>
        <v/>
      </c>
      <c r="AQ951" s="3">
        <f>IF(AND(G951&lt;&gt;"",'Historical Score'!$C$6&lt;&gt;""),IF(G951='Historical Score'!$C$6,1,0),0)</f>
        <v/>
      </c>
      <c r="AR951" s="3">
        <f>IF(AND(L951&lt;&gt;"",'Historical Score'!$C$5&lt;&gt;""),IF(L951='Historical Score'!$C$5,1,0),0)</f>
        <v/>
      </c>
      <c r="AS951" s="3">
        <f>IF(AND(Y951&lt;&gt;"",'Historical Score'!$C$7&lt;&gt;""),IF(Y951='Historical Score'!$C$7,1,0),0)</f>
        <v/>
      </c>
      <c r="AT951" s="3">
        <f>IF(AND(K951&lt;&gt;"",'Historical Score'!$C$8&lt;&gt;""),IF(K951='Historical Score'!$C$8,1,0),0)</f>
        <v/>
      </c>
      <c r="AU951" s="3" t="n"/>
      <c r="AV951" s="3" t="n"/>
      <c r="AW951" s="3" t="n"/>
      <c r="AX951" s="3" t="n"/>
      <c r="AY951" s="3" t="n"/>
      <c r="AZ951" s="3" t="n"/>
      <c r="BA951" s="182">
        <f>IF(AD951=1,(AR951*'Historical Score'!$K$29+1-'Historical Score'!$K$29)*(AT951*'Historical Score'!$L$29+1-'Historical Score'!$L$29)*(AS951*'Historical Score'!$M$29+1-'Historical Score'!$M$29)*(AQ951*'Historical Score'!$N$29+1-'Historical Score'!$N$29),0)</f>
        <v/>
      </c>
      <c r="BB951" s="3" t="n"/>
      <c r="BC951" s="3" t="n"/>
    </row>
    <row r="952" ht="15.75" customHeight="1" s="174">
      <c r="A952" s="3" t="inlineStr">
        <is>
          <t>5674185368</t>
        </is>
      </c>
      <c r="B952" s="3" t="inlineStr">
        <is>
          <t>GATEWAY COMICS AND TOYS</t>
        </is>
      </c>
      <c r="C952" s="3" t="inlineStr">
        <is>
          <t>NOVA GATEWAY GROUP LLC , EDWARD P SANDERSON</t>
        </is>
      </c>
      <c r="D952" s="3" t="inlineStr">
        <is>
          <t>Open</t>
        </is>
      </c>
      <c r="E952" s="23" t="n">
        <v>46185</v>
      </c>
      <c r="F952" s="23" t="n">
        <v>46248</v>
      </c>
      <c r="G952" s="3" t="n">
        <v>1</v>
      </c>
      <c r="H952" s="3" t="inlineStr">
        <is>
          <t>5942</t>
        </is>
      </c>
      <c r="I952" s="3" t="inlineStr">
        <is>
          <t>59</t>
        </is>
      </c>
      <c r="J952" s="3" t="inlineStr">
        <is>
          <t>VA</t>
        </is>
      </c>
      <c r="K952" s="3" t="inlineStr">
        <is>
          <t>Financity</t>
        </is>
      </c>
      <c r="L952" s="3" t="inlineStr">
        <is>
          <t>New Deal</t>
        </is>
      </c>
      <c r="M952" s="3" t="n">
        <v>1.49</v>
      </c>
      <c r="N952" s="28" t="n">
        <v>75000</v>
      </c>
      <c r="O952" s="28" t="n">
        <v>10500</v>
      </c>
      <c r="P952" s="28" t="n">
        <v>111750</v>
      </c>
      <c r="Q952" s="28" t="n">
        <v>35910</v>
      </c>
      <c r="R952" s="28" t="n">
        <v>75840</v>
      </c>
      <c r="S952" s="42" t="n">
        <v>0.321342281879195</v>
      </c>
      <c r="T952" s="3" t="n">
        <v>28</v>
      </c>
      <c r="U952" s="3" t="n">
        <v>0</v>
      </c>
      <c r="V952" s="3" t="n">
        <v>91829.59</v>
      </c>
      <c r="W952" s="42" t="n">
        <v>0.1738</v>
      </c>
      <c r="X952" s="23" t="n">
        <v>35496</v>
      </c>
      <c r="Y952" s="3">
        <f>IF(I952="","No SIC",IFERROR(VLOOKUP(I952,Ref!$A$2:$B$65,2,FALSE()),"Unclassified"))</f>
        <v/>
      </c>
      <c r="Z952" s="3">
        <f>IF(T952="","",IF(T952&lt;12,"Daily","Weekly"))</f>
        <v/>
      </c>
      <c r="AA952" s="3">
        <f>IF(T952="",0,IF(T952&lt;12,T952*Controls!$B$13,T952*5))</f>
        <v/>
      </c>
      <c r="AB952" s="3">
        <f>IF(E952="",0,NETWORKDAYS(E952,Controls!$B$20,Ref!$K$2:$K$42))</f>
        <v/>
      </c>
      <c r="AC952" s="3">
        <f>IF(OR(AF952=1,AND(AA952&gt;0,AB952&gt;=Controls!$B$23*AA952)),1,0)</f>
        <v/>
      </c>
      <c r="AD952" s="3">
        <f>IF(AND(E952&lt;&gt;"",E952&gt;=Controls!$B$21,E952&lt;=Controls!$B$22),1,0)</f>
        <v/>
      </c>
      <c r="AE952" s="3">
        <f>IF(IFERROR(VLOOKUP(D952,Controls!$A$36:$E$46,2,FALSE()),"No")="Yes",1,0)</f>
        <v/>
      </c>
      <c r="AF952" s="3">
        <f>IF(IFERROR(VLOOKUP(D952,Controls!$A$36:$E$46,3,FALSE()),"No")="Yes",1,0)</f>
        <v/>
      </c>
      <c r="AG952" s="3">
        <f>IF(IFERROR(VLOOKUP(D952,Controls!$A$36:$E$46,4,FALSE()),"No")="Yes",1,0)</f>
        <v/>
      </c>
      <c r="AH952" s="3">
        <f>IF(IFERROR(VLOOKUP(D952,Controls!$A$36:$E$46,5,FALSE()),"No")="Yes",1,0)</f>
        <v/>
      </c>
      <c r="AI952" s="3">
        <f>IF(ISNUMBER(MATCH(D952,Controls!$A$36:$A$46,0)),1,0)</f>
        <v/>
      </c>
      <c r="AJ952" s="28">
        <f>Q952-N952</f>
        <v/>
      </c>
      <c r="AK952" s="3">
        <f>IF(AE952=1,MAX(0,N952-Q952),0)</f>
        <v/>
      </c>
      <c r="AL952" s="3">
        <f>IF(OR(V952="",V952=0),0,N952/V952)</f>
        <v/>
      </c>
      <c r="AM952" s="3">
        <f>IF(OR(V952="",V952=0),0,1)</f>
        <v/>
      </c>
      <c r="AN952" s="3">
        <f>IF(OR(E952="",F952=""),0,NETWORKDAYS(E952,F952,Ref!$K$2:$K$42))</f>
        <v/>
      </c>
      <c r="AO952" s="3">
        <f>IF(L952="Renewal",1,0)</f>
        <v/>
      </c>
      <c r="AP952" s="3">
        <f>AC952*AD952</f>
        <v/>
      </c>
      <c r="AQ952" s="3">
        <f>IF(AND(G952&lt;&gt;"",'Historical Score'!$C$6&lt;&gt;""),IF(G952='Historical Score'!$C$6,1,0),0)</f>
        <v/>
      </c>
      <c r="AR952" s="3">
        <f>IF(AND(L952&lt;&gt;"",'Historical Score'!$C$5&lt;&gt;""),IF(L952='Historical Score'!$C$5,1,0),0)</f>
        <v/>
      </c>
      <c r="AS952" s="3">
        <f>IF(AND(Y952&lt;&gt;"",'Historical Score'!$C$7&lt;&gt;""),IF(Y952='Historical Score'!$C$7,1,0),0)</f>
        <v/>
      </c>
      <c r="AT952" s="3">
        <f>IF(AND(K952&lt;&gt;"",'Historical Score'!$C$8&lt;&gt;""),IF(K952='Historical Score'!$C$8,1,0),0)</f>
        <v/>
      </c>
      <c r="AU952" s="3" t="n"/>
      <c r="AV952" s="3" t="n"/>
      <c r="AW952" s="3" t="n"/>
      <c r="AX952" s="3" t="n"/>
      <c r="AY952" s="3" t="n"/>
      <c r="AZ952" s="3" t="n"/>
      <c r="BA952" s="182">
        <f>IF(AD952=1,(AR952*'Historical Score'!$K$29+1-'Historical Score'!$K$29)*(AT952*'Historical Score'!$L$29+1-'Historical Score'!$L$29)*(AS952*'Historical Score'!$M$29+1-'Historical Score'!$M$29)*(AQ952*'Historical Score'!$N$29+1-'Historical Score'!$N$29),0)</f>
        <v/>
      </c>
      <c r="BB952" s="3" t="n"/>
      <c r="BC952" s="3" t="n"/>
    </row>
    <row r="953" ht="15.75" customHeight="1" s="174">
      <c r="A953" s="3" t="inlineStr">
        <is>
          <t>5674185371</t>
        </is>
      </c>
      <c r="B953" s="3" t="inlineStr">
        <is>
          <t>Bamboo House Restaurant LLC</t>
        </is>
      </c>
      <c r="C953" s="3" t="inlineStr">
        <is>
          <t>Bamboo House Restaurant LLC</t>
        </is>
      </c>
      <c r="D953" s="3" t="inlineStr">
        <is>
          <t>Open</t>
        </is>
      </c>
      <c r="E953" s="23" t="n">
        <v>46185</v>
      </c>
      <c r="F953" s="23" t="n">
        <v>46248</v>
      </c>
      <c r="G953" s="3" t="n">
        <v>3</v>
      </c>
      <c r="H953" s="3" t="inlineStr">
        <is>
          <t>5812</t>
        </is>
      </c>
      <c r="I953" s="3" t="inlineStr">
        <is>
          <t>58</t>
        </is>
      </c>
      <c r="J953" s="3" t="inlineStr">
        <is>
          <t>MA</t>
        </is>
      </c>
      <c r="K953" s="3" t="inlineStr">
        <is>
          <t>alvara capital</t>
        </is>
      </c>
      <c r="L953" s="3" t="inlineStr">
        <is>
          <t>New Deal</t>
        </is>
      </c>
      <c r="M953" s="3" t="n">
        <v>1.49</v>
      </c>
      <c r="N953" s="28" t="n">
        <v>40000</v>
      </c>
      <c r="O953" s="28" t="n">
        <v>5600</v>
      </c>
      <c r="P953" s="28" t="n">
        <v>59600</v>
      </c>
      <c r="Q953" s="28" t="n">
        <v>22342.5</v>
      </c>
      <c r="R953" s="28" t="n">
        <v>37257.5</v>
      </c>
      <c r="S953" s="42" t="n">
        <v>0.374874161073826</v>
      </c>
      <c r="T953" s="3" t="n">
        <v>24</v>
      </c>
      <c r="U953" s="3" t="n">
        <v>0</v>
      </c>
      <c r="V953" s="3" t="n">
        <v>89138.08</v>
      </c>
      <c r="W953" s="42" t="n">
        <v>0.1114</v>
      </c>
      <c r="X953" s="23" t="n">
        <v>45292</v>
      </c>
      <c r="Y953" s="3">
        <f>IF(I953="","No SIC",IFERROR(VLOOKUP(I953,Ref!$A$2:$B$65,2,FALSE()),"Unclassified"))</f>
        <v/>
      </c>
      <c r="Z953" s="3">
        <f>IF(T953="","",IF(T953&lt;12,"Daily","Weekly"))</f>
        <v/>
      </c>
      <c r="AA953" s="3">
        <f>IF(T953="",0,IF(T953&lt;12,T953*Controls!$B$13,T953*5))</f>
        <v/>
      </c>
      <c r="AB953" s="3">
        <f>IF(E953="",0,NETWORKDAYS(E953,Controls!$B$20,Ref!$K$2:$K$42))</f>
        <v/>
      </c>
      <c r="AC953" s="3">
        <f>IF(OR(AF953=1,AND(AA953&gt;0,AB953&gt;=Controls!$B$23*AA953)),1,0)</f>
        <v/>
      </c>
      <c r="AD953" s="3">
        <f>IF(AND(E953&lt;&gt;"",E953&gt;=Controls!$B$21,E953&lt;=Controls!$B$22),1,0)</f>
        <v/>
      </c>
      <c r="AE953" s="3">
        <f>IF(IFERROR(VLOOKUP(D953,Controls!$A$36:$E$46,2,FALSE()),"No")="Yes",1,0)</f>
        <v/>
      </c>
      <c r="AF953" s="3">
        <f>IF(IFERROR(VLOOKUP(D953,Controls!$A$36:$E$46,3,FALSE()),"No")="Yes",1,0)</f>
        <v/>
      </c>
      <c r="AG953" s="3">
        <f>IF(IFERROR(VLOOKUP(D953,Controls!$A$36:$E$46,4,FALSE()),"No")="Yes",1,0)</f>
        <v/>
      </c>
      <c r="AH953" s="3">
        <f>IF(IFERROR(VLOOKUP(D953,Controls!$A$36:$E$46,5,FALSE()),"No")="Yes",1,0)</f>
        <v/>
      </c>
      <c r="AI953" s="3">
        <f>IF(ISNUMBER(MATCH(D953,Controls!$A$36:$A$46,0)),1,0)</f>
        <v/>
      </c>
      <c r="AJ953" s="28">
        <f>Q953-N953</f>
        <v/>
      </c>
      <c r="AK953" s="3">
        <f>IF(AE953=1,MAX(0,N953-Q953),0)</f>
        <v/>
      </c>
      <c r="AL953" s="3">
        <f>IF(OR(V953="",V953=0),0,N953/V953)</f>
        <v/>
      </c>
      <c r="AM953" s="3">
        <f>IF(OR(V953="",V953=0),0,1)</f>
        <v/>
      </c>
      <c r="AN953" s="3">
        <f>IF(OR(E953="",F953=""),0,NETWORKDAYS(E953,F953,Ref!$K$2:$K$42))</f>
        <v/>
      </c>
      <c r="AO953" s="3">
        <f>IF(L953="Renewal",1,0)</f>
        <v/>
      </c>
      <c r="AP953" s="3">
        <f>AC953*AD953</f>
        <v/>
      </c>
      <c r="AQ953" s="3">
        <f>IF(AND(G953&lt;&gt;"",'Historical Score'!$C$6&lt;&gt;""),IF(G953='Historical Score'!$C$6,1,0),0)</f>
        <v/>
      </c>
      <c r="AR953" s="3">
        <f>IF(AND(L953&lt;&gt;"",'Historical Score'!$C$5&lt;&gt;""),IF(L953='Historical Score'!$C$5,1,0),0)</f>
        <v/>
      </c>
      <c r="AS953" s="3">
        <f>IF(AND(Y953&lt;&gt;"",'Historical Score'!$C$7&lt;&gt;""),IF(Y953='Historical Score'!$C$7,1,0),0)</f>
        <v/>
      </c>
      <c r="AT953" s="3">
        <f>IF(AND(K953&lt;&gt;"",'Historical Score'!$C$8&lt;&gt;""),IF(K953='Historical Score'!$C$8,1,0),0)</f>
        <v/>
      </c>
      <c r="AU953" s="3" t="n"/>
      <c r="AV953" s="3" t="n"/>
      <c r="AW953" s="3" t="n"/>
      <c r="AX953" s="3" t="n"/>
      <c r="AY953" s="3" t="n"/>
      <c r="AZ953" s="3" t="n"/>
      <c r="BA953" s="182">
        <f>IF(AD953=1,(AR953*'Historical Score'!$K$29+1-'Historical Score'!$K$29)*(AT953*'Historical Score'!$L$29+1-'Historical Score'!$L$29)*(AS953*'Historical Score'!$M$29+1-'Historical Score'!$M$29)*(AQ953*'Historical Score'!$N$29+1-'Historical Score'!$N$29),0)</f>
        <v/>
      </c>
      <c r="BB953" s="3" t="n"/>
      <c r="BC953" s="3" t="n"/>
    </row>
    <row r="954" ht="15.75" customHeight="1" s="174">
      <c r="A954" s="3" t="inlineStr">
        <is>
          <t>5674185378</t>
        </is>
      </c>
      <c r="B954" s="3" t="inlineStr">
        <is>
          <t>AMIN TRADING LLC</t>
        </is>
      </c>
      <c r="C954" s="3" t="inlineStr">
        <is>
          <t>AMIN TRADING LLC</t>
        </is>
      </c>
      <c r="D954" s="3" t="inlineStr">
        <is>
          <t>Open</t>
        </is>
      </c>
      <c r="E954" s="23" t="n">
        <v>46185</v>
      </c>
      <c r="F954" s="23" t="n">
        <v>46241</v>
      </c>
      <c r="G954" s="3" t="n">
        <v>3</v>
      </c>
      <c r="H954" s="3" t="inlineStr">
        <is>
          <t>5999</t>
        </is>
      </c>
      <c r="I954" s="3" t="inlineStr">
        <is>
          <t>59</t>
        </is>
      </c>
      <c r="J954" s="3" t="inlineStr">
        <is>
          <t>TX</t>
        </is>
      </c>
      <c r="K954" s="3" t="inlineStr">
        <is>
          <t>Fundwell</t>
        </is>
      </c>
      <c r="L954" s="3" t="inlineStr">
        <is>
          <t>New Deal</t>
        </is>
      </c>
      <c r="M954" s="3" t="n">
        <v>1.35</v>
      </c>
      <c r="N954" s="28" t="n">
        <v>7000</v>
      </c>
      <c r="O954" s="28" t="n">
        <v>490</v>
      </c>
      <c r="P954" s="28" t="n">
        <v>9450</v>
      </c>
      <c r="Q954" s="28" t="n">
        <v>2756.25</v>
      </c>
      <c r="R954" s="28" t="n">
        <v>6693.75</v>
      </c>
      <c r="S954" s="42" t="n">
        <v>0.291666666666667</v>
      </c>
      <c r="T954" s="3" t="n">
        <v>24</v>
      </c>
      <c r="U954" s="3" t="n">
        <v>1</v>
      </c>
      <c r="V954" s="3" t="n">
        <v>420000</v>
      </c>
      <c r="W954" s="42" t="n">
        <v>0.1125</v>
      </c>
      <c r="X954" s="23" t="n">
        <v>44287</v>
      </c>
      <c r="Y954" s="3">
        <f>IF(I954="","No SIC",IFERROR(VLOOKUP(I954,Ref!$A$2:$B$65,2,FALSE()),"Unclassified"))</f>
        <v/>
      </c>
      <c r="Z954" s="3">
        <f>IF(T954="","",IF(T954&lt;12,"Daily","Weekly"))</f>
        <v/>
      </c>
      <c r="AA954" s="3">
        <f>IF(T954="",0,IF(T954&lt;12,T954*Controls!$B$13,T954*5))</f>
        <v/>
      </c>
      <c r="AB954" s="3">
        <f>IF(E954="",0,NETWORKDAYS(E954,Controls!$B$20,Ref!$K$2:$K$42))</f>
        <v/>
      </c>
      <c r="AC954" s="3">
        <f>IF(OR(AF954=1,AND(AA954&gt;0,AB954&gt;=Controls!$B$23*AA954)),1,0)</f>
        <v/>
      </c>
      <c r="AD954" s="3">
        <f>IF(AND(E954&lt;&gt;"",E954&gt;=Controls!$B$21,E954&lt;=Controls!$B$22),1,0)</f>
        <v/>
      </c>
      <c r="AE954" s="3">
        <f>IF(IFERROR(VLOOKUP(D954,Controls!$A$36:$E$46,2,FALSE()),"No")="Yes",1,0)</f>
        <v/>
      </c>
      <c r="AF954" s="3">
        <f>IF(IFERROR(VLOOKUP(D954,Controls!$A$36:$E$46,3,FALSE()),"No")="Yes",1,0)</f>
        <v/>
      </c>
      <c r="AG954" s="3">
        <f>IF(IFERROR(VLOOKUP(D954,Controls!$A$36:$E$46,4,FALSE()),"No")="Yes",1,0)</f>
        <v/>
      </c>
      <c r="AH954" s="3">
        <f>IF(IFERROR(VLOOKUP(D954,Controls!$A$36:$E$46,5,FALSE()),"No")="Yes",1,0)</f>
        <v/>
      </c>
      <c r="AI954" s="3">
        <f>IF(ISNUMBER(MATCH(D954,Controls!$A$36:$A$46,0)),1,0)</f>
        <v/>
      </c>
      <c r="AJ954" s="28">
        <f>Q954-N954</f>
        <v/>
      </c>
      <c r="AK954" s="3">
        <f>IF(AE954=1,MAX(0,N954-Q954),0)</f>
        <v/>
      </c>
      <c r="AL954" s="3">
        <f>IF(OR(V954="",V954=0),0,N954/V954)</f>
        <v/>
      </c>
      <c r="AM954" s="3">
        <f>IF(OR(V954="",V954=0),0,1)</f>
        <v/>
      </c>
      <c r="AN954" s="3">
        <f>IF(OR(E954="",F954=""),0,NETWORKDAYS(E954,F954,Ref!$K$2:$K$42))</f>
        <v/>
      </c>
      <c r="AO954" s="3">
        <f>IF(L954="Renewal",1,0)</f>
        <v/>
      </c>
      <c r="AP954" s="3">
        <f>AC954*AD954</f>
        <v/>
      </c>
      <c r="AQ954" s="3">
        <f>IF(AND(G954&lt;&gt;"",'Historical Score'!$C$6&lt;&gt;""),IF(G954='Historical Score'!$C$6,1,0),0)</f>
        <v/>
      </c>
      <c r="AR954" s="3">
        <f>IF(AND(L954&lt;&gt;"",'Historical Score'!$C$5&lt;&gt;""),IF(L954='Historical Score'!$C$5,1,0),0)</f>
        <v/>
      </c>
      <c r="AS954" s="3">
        <f>IF(AND(Y954&lt;&gt;"",'Historical Score'!$C$7&lt;&gt;""),IF(Y954='Historical Score'!$C$7,1,0),0)</f>
        <v/>
      </c>
      <c r="AT954" s="3">
        <f>IF(AND(K954&lt;&gt;"",'Historical Score'!$C$8&lt;&gt;""),IF(K954='Historical Score'!$C$8,1,0),0)</f>
        <v/>
      </c>
      <c r="AU954" s="3" t="n"/>
      <c r="AV954" s="3" t="n"/>
      <c r="AW954" s="3" t="n"/>
      <c r="AX954" s="3" t="n"/>
      <c r="AY954" s="3" t="n"/>
      <c r="AZ954" s="3" t="n"/>
      <c r="BA954" s="182">
        <f>IF(AD954=1,(AR954*'Historical Score'!$K$29+1-'Historical Score'!$K$29)*(AT954*'Historical Score'!$L$29+1-'Historical Score'!$L$29)*(AS954*'Historical Score'!$M$29+1-'Historical Score'!$M$29)*(AQ954*'Historical Score'!$N$29+1-'Historical Score'!$N$29),0)</f>
        <v/>
      </c>
      <c r="BB954" s="3" t="n"/>
      <c r="BC954" s="3" t="n"/>
    </row>
    <row r="955" ht="15.75" customHeight="1" s="174">
      <c r="A955" s="3" t="inlineStr">
        <is>
          <t>5674185386</t>
        </is>
      </c>
      <c r="B955" s="3" t="inlineStr">
        <is>
          <t>QUALITY COMMUNITY HEALTH CARE</t>
        </is>
      </c>
      <c r="C955" s="3" t="inlineStr">
        <is>
          <t>QUALITY COMMUNITY HEALTH CARE, INC.</t>
        </is>
      </c>
      <c r="D955" s="3" t="inlineStr">
        <is>
          <t>Legal</t>
        </is>
      </c>
      <c r="E955" s="23" t="n">
        <v>46185</v>
      </c>
      <c r="F955" s="23" t="n">
        <v>46198</v>
      </c>
      <c r="G955" s="3" t="n">
        <v>4</v>
      </c>
      <c r="H955" s="3" t="inlineStr">
        <is>
          <t>8072</t>
        </is>
      </c>
      <c r="I955" s="3" t="inlineStr">
        <is>
          <t>80</t>
        </is>
      </c>
      <c r="J955" s="3" t="inlineStr">
        <is>
          <t>PA</t>
        </is>
      </c>
      <c r="K955" s="3" t="inlineStr">
        <is>
          <t>PMF</t>
        </is>
      </c>
      <c r="L955" s="3" t="inlineStr">
        <is>
          <t>New Deal</t>
        </is>
      </c>
      <c r="M955" s="3" t="n">
        <v>1.49</v>
      </c>
      <c r="N955" s="28" t="n">
        <v>50000</v>
      </c>
      <c r="O955" s="28" t="n">
        <v>0</v>
      </c>
      <c r="P955" s="28" t="n">
        <v>74500</v>
      </c>
      <c r="Q955" s="28" t="n">
        <v>0</v>
      </c>
      <c r="R955" s="28" t="n">
        <v>74500</v>
      </c>
      <c r="S955" s="42" t="n">
        <v>0</v>
      </c>
      <c r="T955" s="3" t="n">
        <v>24</v>
      </c>
      <c r="U955" s="3" t="n">
        <v>2</v>
      </c>
      <c r="V955" s="3" t="n">
        <v>455270.02</v>
      </c>
      <c r="W955" s="42" t="n">
        <v>0.0276</v>
      </c>
      <c r="X955" s="23" t="n">
        <v>38513</v>
      </c>
      <c r="Y955" s="3">
        <f>IF(I955="","No SIC",IFERROR(VLOOKUP(I955,Ref!$A$2:$B$65,2,FALSE()),"Unclassified"))</f>
        <v/>
      </c>
      <c r="Z955" s="3">
        <f>IF(T955="","",IF(T955&lt;12,"Daily","Weekly"))</f>
        <v/>
      </c>
      <c r="AA955" s="3">
        <f>IF(T955="",0,IF(T955&lt;12,T955*Controls!$B$13,T955*5))</f>
        <v/>
      </c>
      <c r="AB955" s="3">
        <f>IF(E955="",0,NETWORKDAYS(E955,Controls!$B$20,Ref!$K$2:$K$42))</f>
        <v/>
      </c>
      <c r="AC955" s="3">
        <f>IF(OR(AF955=1,AND(AA955&gt;0,AB955&gt;=Controls!$B$23*AA955)),1,0)</f>
        <v/>
      </c>
      <c r="AD955" s="3">
        <f>IF(AND(E955&lt;&gt;"",E955&gt;=Controls!$B$21,E955&lt;=Controls!$B$22),1,0)</f>
        <v/>
      </c>
      <c r="AE955" s="3">
        <f>IF(IFERROR(VLOOKUP(D955,Controls!$A$36:$E$46,2,FALSE()),"No")="Yes",1,0)</f>
        <v/>
      </c>
      <c r="AF955" s="3">
        <f>IF(IFERROR(VLOOKUP(D955,Controls!$A$36:$E$46,3,FALSE()),"No")="Yes",1,0)</f>
        <v/>
      </c>
      <c r="AG955" s="3">
        <f>IF(IFERROR(VLOOKUP(D955,Controls!$A$36:$E$46,4,FALSE()),"No")="Yes",1,0)</f>
        <v/>
      </c>
      <c r="AH955" s="3">
        <f>IF(IFERROR(VLOOKUP(D955,Controls!$A$36:$E$46,5,FALSE()),"No")="Yes",1,0)</f>
        <v/>
      </c>
      <c r="AI955" s="3">
        <f>IF(ISNUMBER(MATCH(D955,Controls!$A$36:$A$46,0)),1,0)</f>
        <v/>
      </c>
      <c r="AJ955" s="28">
        <f>Q955-N955</f>
        <v/>
      </c>
      <c r="AK955" s="3">
        <f>IF(AE955=1,MAX(0,N955-Q955),0)</f>
        <v/>
      </c>
      <c r="AL955" s="3">
        <f>IF(OR(V955="",V955=0),0,N955/V955)</f>
        <v/>
      </c>
      <c r="AM955" s="3">
        <f>IF(OR(V955="",V955=0),0,1)</f>
        <v/>
      </c>
      <c r="AN955" s="3">
        <f>IF(OR(E955="",F955=""),0,NETWORKDAYS(E955,F955,Ref!$K$2:$K$42))</f>
        <v/>
      </c>
      <c r="AO955" s="3">
        <f>IF(L955="Renewal",1,0)</f>
        <v/>
      </c>
      <c r="AP955" s="3">
        <f>AC955*AD955</f>
        <v/>
      </c>
      <c r="AQ955" s="3">
        <f>IF(AND(G955&lt;&gt;"",'Historical Score'!$C$6&lt;&gt;""),IF(G955='Historical Score'!$C$6,1,0),0)</f>
        <v/>
      </c>
      <c r="AR955" s="3">
        <f>IF(AND(L955&lt;&gt;"",'Historical Score'!$C$5&lt;&gt;""),IF(L955='Historical Score'!$C$5,1,0),0)</f>
        <v/>
      </c>
      <c r="AS955" s="3">
        <f>IF(AND(Y955&lt;&gt;"",'Historical Score'!$C$7&lt;&gt;""),IF(Y955='Historical Score'!$C$7,1,0),0)</f>
        <v/>
      </c>
      <c r="AT955" s="3">
        <f>IF(AND(K955&lt;&gt;"",'Historical Score'!$C$8&lt;&gt;""),IF(K955='Historical Score'!$C$8,1,0),0)</f>
        <v/>
      </c>
      <c r="AU955" s="3" t="n"/>
      <c r="AV955" s="3" t="n"/>
      <c r="AW955" s="3" t="n"/>
      <c r="AX955" s="3" t="n"/>
      <c r="AY955" s="3" t="n"/>
      <c r="AZ955" s="3" t="n"/>
      <c r="BA955" s="182">
        <f>IF(AD955=1,(AR955*'Historical Score'!$K$29+1-'Historical Score'!$K$29)*(AT955*'Historical Score'!$L$29+1-'Historical Score'!$L$29)*(AS955*'Historical Score'!$M$29+1-'Historical Score'!$M$29)*(AQ955*'Historical Score'!$N$29+1-'Historical Score'!$N$29),0)</f>
        <v/>
      </c>
      <c r="BB955" s="3" t="n"/>
      <c r="BC955" s="3" t="n"/>
    </row>
    <row r="956" ht="15.75" customHeight="1" s="174">
      <c r="A956" s="3" t="inlineStr">
        <is>
          <t>5674185390</t>
        </is>
      </c>
      <c r="B956" s="3" t="inlineStr">
        <is>
          <t>CATAMOUNT BUILDERS</t>
        </is>
      </c>
      <c r="C956" s="3" t="inlineStr">
        <is>
          <t>Catamount Builders, Inc</t>
        </is>
      </c>
      <c r="D956" s="3" t="inlineStr">
        <is>
          <t>Legal</t>
        </is>
      </c>
      <c r="E956" s="23" t="n">
        <v>46185</v>
      </c>
      <c r="F956" s="23" t="n">
        <v>46205</v>
      </c>
      <c r="G956" s="3" t="n">
        <v>3</v>
      </c>
      <c r="H956" s="3" t="inlineStr">
        <is>
          <t>1799</t>
        </is>
      </c>
      <c r="I956" s="3" t="inlineStr">
        <is>
          <t>17</t>
        </is>
      </c>
      <c r="J956" s="3" t="inlineStr">
        <is>
          <t>MA</t>
        </is>
      </c>
      <c r="K956" s="3" t="inlineStr">
        <is>
          <t>PMF</t>
        </is>
      </c>
      <c r="L956" s="3" t="inlineStr">
        <is>
          <t>Renewal</t>
        </is>
      </c>
      <c r="M956" s="3" t="n">
        <v>1.39</v>
      </c>
      <c r="N956" s="28" t="n">
        <v>120000</v>
      </c>
      <c r="O956" s="28" t="n">
        <v>0</v>
      </c>
      <c r="P956" s="28" t="n">
        <v>166800</v>
      </c>
      <c r="Q956" s="28" t="n">
        <v>11916.66</v>
      </c>
      <c r="R956" s="28" t="n">
        <v>154883.34</v>
      </c>
      <c r="S956" s="42" t="n">
        <v>0.0714428057553957</v>
      </c>
      <c r="T956" s="3" t="n">
        <v>28</v>
      </c>
      <c r="U956" s="3" t="n">
        <v>1</v>
      </c>
      <c r="V956" s="3" t="n">
        <v>600490.8100000001</v>
      </c>
      <c r="W956" s="42" t="n">
        <v>0.0511</v>
      </c>
      <c r="X956" s="23" t="n">
        <v>39722</v>
      </c>
      <c r="Y956" s="3">
        <f>IF(I956="","No SIC",IFERROR(VLOOKUP(I956,Ref!$A$2:$B$65,2,FALSE()),"Unclassified"))</f>
        <v/>
      </c>
      <c r="Z956" s="3">
        <f>IF(T956="","",IF(T956&lt;12,"Daily","Weekly"))</f>
        <v/>
      </c>
      <c r="AA956" s="3">
        <f>IF(T956="",0,IF(T956&lt;12,T956*Controls!$B$13,T956*5))</f>
        <v/>
      </c>
      <c r="AB956" s="3">
        <f>IF(E956="",0,NETWORKDAYS(E956,Controls!$B$20,Ref!$K$2:$K$42))</f>
        <v/>
      </c>
      <c r="AC956" s="3">
        <f>IF(OR(AF956=1,AND(AA956&gt;0,AB956&gt;=Controls!$B$23*AA956)),1,0)</f>
        <v/>
      </c>
      <c r="AD956" s="3">
        <f>IF(AND(E956&lt;&gt;"",E956&gt;=Controls!$B$21,E956&lt;=Controls!$B$22),1,0)</f>
        <v/>
      </c>
      <c r="AE956" s="3">
        <f>IF(IFERROR(VLOOKUP(D956,Controls!$A$36:$E$46,2,FALSE()),"No")="Yes",1,0)</f>
        <v/>
      </c>
      <c r="AF956" s="3">
        <f>IF(IFERROR(VLOOKUP(D956,Controls!$A$36:$E$46,3,FALSE()),"No")="Yes",1,0)</f>
        <v/>
      </c>
      <c r="AG956" s="3">
        <f>IF(IFERROR(VLOOKUP(D956,Controls!$A$36:$E$46,4,FALSE()),"No")="Yes",1,0)</f>
        <v/>
      </c>
      <c r="AH956" s="3">
        <f>IF(IFERROR(VLOOKUP(D956,Controls!$A$36:$E$46,5,FALSE()),"No")="Yes",1,0)</f>
        <v/>
      </c>
      <c r="AI956" s="3">
        <f>IF(ISNUMBER(MATCH(D956,Controls!$A$36:$A$46,0)),1,0)</f>
        <v/>
      </c>
      <c r="AJ956" s="28">
        <f>Q956-N956</f>
        <v/>
      </c>
      <c r="AK956" s="3">
        <f>IF(AE956=1,MAX(0,N956-Q956),0)</f>
        <v/>
      </c>
      <c r="AL956" s="3">
        <f>IF(OR(V956="",V956=0),0,N956/V956)</f>
        <v/>
      </c>
      <c r="AM956" s="3">
        <f>IF(OR(V956="",V956=0),0,1)</f>
        <v/>
      </c>
      <c r="AN956" s="3">
        <f>IF(OR(E956="",F956=""),0,NETWORKDAYS(E956,F956,Ref!$K$2:$K$42))</f>
        <v/>
      </c>
      <c r="AO956" s="3">
        <f>IF(L956="Renewal",1,0)</f>
        <v/>
      </c>
      <c r="AP956" s="3">
        <f>AC956*AD956</f>
        <v/>
      </c>
      <c r="AQ956" s="3">
        <f>IF(AND(G956&lt;&gt;"",'Historical Score'!$C$6&lt;&gt;""),IF(G956='Historical Score'!$C$6,1,0),0)</f>
        <v/>
      </c>
      <c r="AR956" s="3">
        <f>IF(AND(L956&lt;&gt;"",'Historical Score'!$C$5&lt;&gt;""),IF(L956='Historical Score'!$C$5,1,0),0)</f>
        <v/>
      </c>
      <c r="AS956" s="3">
        <f>IF(AND(Y956&lt;&gt;"",'Historical Score'!$C$7&lt;&gt;""),IF(Y956='Historical Score'!$C$7,1,0),0)</f>
        <v/>
      </c>
      <c r="AT956" s="3">
        <f>IF(AND(K956&lt;&gt;"",'Historical Score'!$C$8&lt;&gt;""),IF(K956='Historical Score'!$C$8,1,0),0)</f>
        <v/>
      </c>
      <c r="AU956" s="3" t="n"/>
      <c r="AV956" s="3" t="n"/>
      <c r="AW956" s="3" t="n"/>
      <c r="AX956" s="3" t="n"/>
      <c r="AY956" s="3" t="n"/>
      <c r="AZ956" s="3" t="n"/>
      <c r="BA956" s="182">
        <f>IF(AD956=1,(AR956*'Historical Score'!$K$29+1-'Historical Score'!$K$29)*(AT956*'Historical Score'!$L$29+1-'Historical Score'!$L$29)*(AS956*'Historical Score'!$M$29+1-'Historical Score'!$M$29)*(AQ956*'Historical Score'!$N$29+1-'Historical Score'!$N$29),0)</f>
        <v/>
      </c>
      <c r="BB956" s="3" t="n"/>
      <c r="BC956" s="3" t="n"/>
    </row>
    <row r="957" ht="15.75" customHeight="1" s="174">
      <c r="A957" s="3" t="inlineStr">
        <is>
          <t>5674185416</t>
        </is>
      </c>
      <c r="B957" s="3" t="inlineStr">
        <is>
          <t>All dogs hair haven</t>
        </is>
      </c>
      <c r="C957" s="3" t="inlineStr">
        <is>
          <t>CRAWFIS CREATURES INC</t>
        </is>
      </c>
      <c r="D957" s="3" t="inlineStr">
        <is>
          <t>Open</t>
        </is>
      </c>
      <c r="E957" s="23" t="n">
        <v>46185</v>
      </c>
      <c r="F957" s="23" t="n">
        <v>46253</v>
      </c>
      <c r="G957" s="3" t="n">
        <v>3</v>
      </c>
      <c r="H957" s="3" t="inlineStr">
        <is>
          <t>0742</t>
        </is>
      </c>
      <c r="I957" s="3" t="inlineStr">
        <is>
          <t>07</t>
        </is>
      </c>
      <c r="J957" s="3" t="inlineStr">
        <is>
          <t>FL</t>
        </is>
      </c>
      <c r="K957" s="3" t="inlineStr">
        <is>
          <t>AVON ADVANCE</t>
        </is>
      </c>
      <c r="L957" s="3" t="inlineStr">
        <is>
          <t>New Deal</t>
        </is>
      </c>
      <c r="M957" s="3" t="n">
        <v>1.49</v>
      </c>
      <c r="N957" s="28" t="n">
        <v>12500</v>
      </c>
      <c r="O957" s="28" t="n">
        <v>1750</v>
      </c>
      <c r="P957" s="28" t="n">
        <v>18625</v>
      </c>
      <c r="Q957" s="28" t="n">
        <v>7448.32</v>
      </c>
      <c r="R957" s="28" t="n">
        <v>11176.68</v>
      </c>
      <c r="S957" s="42" t="n">
        <v>0.399909798657718</v>
      </c>
      <c r="T957" s="3" t="n">
        <v>2.623</v>
      </c>
      <c r="U957" s="3" t="n">
        <v>15</v>
      </c>
      <c r="V957" s="3" t="n">
        <v>32761.34</v>
      </c>
      <c r="W957" s="42" t="n">
        <v>0.1492</v>
      </c>
      <c r="X957" s="23" t="n">
        <v>34700</v>
      </c>
      <c r="Y957" s="3">
        <f>IF(I957="","No SIC",IFERROR(VLOOKUP(I957,Ref!$A$2:$B$65,2,FALSE()),"Unclassified"))</f>
        <v/>
      </c>
      <c r="Z957" s="3">
        <f>IF(T957="","",IF(T957&lt;12,"Daily","Weekly"))</f>
        <v/>
      </c>
      <c r="AA957" s="3">
        <f>IF(T957="",0,IF(T957&lt;12,T957*Controls!$B$13,T957*5))</f>
        <v/>
      </c>
      <c r="AB957" s="3">
        <f>IF(E957="",0,NETWORKDAYS(E957,Controls!$B$20,Ref!$K$2:$K$42))</f>
        <v/>
      </c>
      <c r="AC957" s="3">
        <f>IF(OR(AF957=1,AND(AA957&gt;0,AB957&gt;=Controls!$B$23*AA957)),1,0)</f>
        <v/>
      </c>
      <c r="AD957" s="3">
        <f>IF(AND(E957&lt;&gt;"",E957&gt;=Controls!$B$21,E957&lt;=Controls!$B$22),1,0)</f>
        <v/>
      </c>
      <c r="AE957" s="3">
        <f>IF(IFERROR(VLOOKUP(D957,Controls!$A$36:$E$46,2,FALSE()),"No")="Yes",1,0)</f>
        <v/>
      </c>
      <c r="AF957" s="3">
        <f>IF(IFERROR(VLOOKUP(D957,Controls!$A$36:$E$46,3,FALSE()),"No")="Yes",1,0)</f>
        <v/>
      </c>
      <c r="AG957" s="3">
        <f>IF(IFERROR(VLOOKUP(D957,Controls!$A$36:$E$46,4,FALSE()),"No")="Yes",1,0)</f>
        <v/>
      </c>
      <c r="AH957" s="3">
        <f>IF(IFERROR(VLOOKUP(D957,Controls!$A$36:$E$46,5,FALSE()),"No")="Yes",1,0)</f>
        <v/>
      </c>
      <c r="AI957" s="3">
        <f>IF(ISNUMBER(MATCH(D957,Controls!$A$36:$A$46,0)),1,0)</f>
        <v/>
      </c>
      <c r="AJ957" s="28">
        <f>Q957-N957</f>
        <v/>
      </c>
      <c r="AK957" s="3">
        <f>IF(AE957=1,MAX(0,N957-Q957),0)</f>
        <v/>
      </c>
      <c r="AL957" s="3">
        <f>IF(OR(V957="",V957=0),0,N957/V957)</f>
        <v/>
      </c>
      <c r="AM957" s="3">
        <f>IF(OR(V957="",V957=0),0,1)</f>
        <v/>
      </c>
      <c r="AN957" s="3">
        <f>IF(OR(E957="",F957=""),0,NETWORKDAYS(E957,F957,Ref!$K$2:$K$42))</f>
        <v/>
      </c>
      <c r="AO957" s="3">
        <f>IF(L957="Renewal",1,0)</f>
        <v/>
      </c>
      <c r="AP957" s="3">
        <f>AC957*AD957</f>
        <v/>
      </c>
      <c r="AQ957" s="3">
        <f>IF(AND(G957&lt;&gt;"",'Historical Score'!$C$6&lt;&gt;""),IF(G957='Historical Score'!$C$6,1,0),0)</f>
        <v/>
      </c>
      <c r="AR957" s="3">
        <f>IF(AND(L957&lt;&gt;"",'Historical Score'!$C$5&lt;&gt;""),IF(L957='Historical Score'!$C$5,1,0),0)</f>
        <v/>
      </c>
      <c r="AS957" s="3">
        <f>IF(AND(Y957&lt;&gt;"",'Historical Score'!$C$7&lt;&gt;""),IF(Y957='Historical Score'!$C$7,1,0),0)</f>
        <v/>
      </c>
      <c r="AT957" s="3">
        <f>IF(AND(K957&lt;&gt;"",'Historical Score'!$C$8&lt;&gt;""),IF(K957='Historical Score'!$C$8,1,0),0)</f>
        <v/>
      </c>
      <c r="AU957" s="3" t="n"/>
      <c r="AV957" s="3" t="n"/>
      <c r="AW957" s="3" t="n"/>
      <c r="AX957" s="3" t="n"/>
      <c r="AY957" s="3" t="n"/>
      <c r="AZ957" s="3" t="n"/>
      <c r="BA957" s="182">
        <f>IF(AD957=1,(AR957*'Historical Score'!$K$29+1-'Historical Score'!$K$29)*(AT957*'Historical Score'!$L$29+1-'Historical Score'!$L$29)*(AS957*'Historical Score'!$M$29+1-'Historical Score'!$M$29)*(AQ957*'Historical Score'!$N$29+1-'Historical Score'!$N$29),0)</f>
        <v/>
      </c>
      <c r="BB957" s="3" t="n"/>
      <c r="BC957" s="3" t="n"/>
    </row>
    <row r="958" ht="15.75" customHeight="1" s="174">
      <c r="A958" s="3" t="inlineStr">
        <is>
          <t>5674185436</t>
        </is>
      </c>
      <c r="B958" s="3" t="inlineStr">
        <is>
          <t>4Play Kitchen &amp; Cocktails</t>
        </is>
      </c>
      <c r="C958" s="3" t="inlineStr">
        <is>
          <t>4Play LLC</t>
        </is>
      </c>
      <c r="D958" s="3" t="inlineStr">
        <is>
          <t>Legal</t>
        </is>
      </c>
      <c r="E958" s="23" t="n">
        <v>46188</v>
      </c>
      <c r="F958" s="23" t="n">
        <v>46238</v>
      </c>
      <c r="G958" s="3" t="n">
        <v>2</v>
      </c>
      <c r="H958" s="3" t="inlineStr">
        <is>
          <t>5812</t>
        </is>
      </c>
      <c r="I958" s="3" t="inlineStr">
        <is>
          <t>58</t>
        </is>
      </c>
      <c r="J958" s="3" t="inlineStr">
        <is>
          <t>CO</t>
        </is>
      </c>
      <c r="K958" s="3" t="inlineStr">
        <is>
          <t>Choicecapital Solutions LLC</t>
        </is>
      </c>
      <c r="L958" s="3" t="inlineStr">
        <is>
          <t>New Deal</t>
        </is>
      </c>
      <c r="M958" s="3" t="n">
        <v>1.49</v>
      </c>
      <c r="N958" s="28" t="n">
        <v>90000</v>
      </c>
      <c r="O958" s="28" t="n">
        <v>0</v>
      </c>
      <c r="P958" s="28" t="n">
        <v>134100</v>
      </c>
      <c r="Q958" s="28" t="n">
        <v>7886.1</v>
      </c>
      <c r="R958" s="28" t="n">
        <v>126213.9</v>
      </c>
      <c r="S958" s="42" t="n">
        <v>0.0588076062639821</v>
      </c>
      <c r="T958" s="3" t="n">
        <v>34</v>
      </c>
      <c r="U958" s="3" t="n">
        <v>5</v>
      </c>
      <c r="V958" s="3" t="n">
        <v>159799.24</v>
      </c>
      <c r="W958" s="42" t="n">
        <v>0.0987</v>
      </c>
      <c r="X958" s="23" t="n">
        <v>45166</v>
      </c>
      <c r="Y958" s="3">
        <f>IF(I958="","No SIC",IFERROR(VLOOKUP(I958,Ref!$A$2:$B$65,2,FALSE()),"Unclassified"))</f>
        <v/>
      </c>
      <c r="Z958" s="3">
        <f>IF(T958="","",IF(T958&lt;12,"Daily","Weekly"))</f>
        <v/>
      </c>
      <c r="AA958" s="3">
        <f>IF(T958="",0,IF(T958&lt;12,T958*Controls!$B$13,T958*5))</f>
        <v/>
      </c>
      <c r="AB958" s="3">
        <f>IF(E958="",0,NETWORKDAYS(E958,Controls!$B$20,Ref!$K$2:$K$42))</f>
        <v/>
      </c>
      <c r="AC958" s="3">
        <f>IF(OR(AF958=1,AND(AA958&gt;0,AB958&gt;=Controls!$B$23*AA958)),1,0)</f>
        <v/>
      </c>
      <c r="AD958" s="3">
        <f>IF(AND(E958&lt;&gt;"",E958&gt;=Controls!$B$21,E958&lt;=Controls!$B$22),1,0)</f>
        <v/>
      </c>
      <c r="AE958" s="3">
        <f>IF(IFERROR(VLOOKUP(D958,Controls!$A$36:$E$46,2,FALSE()),"No")="Yes",1,0)</f>
        <v/>
      </c>
      <c r="AF958" s="3">
        <f>IF(IFERROR(VLOOKUP(D958,Controls!$A$36:$E$46,3,FALSE()),"No")="Yes",1,0)</f>
        <v/>
      </c>
      <c r="AG958" s="3">
        <f>IF(IFERROR(VLOOKUP(D958,Controls!$A$36:$E$46,4,FALSE()),"No")="Yes",1,0)</f>
        <v/>
      </c>
      <c r="AH958" s="3">
        <f>IF(IFERROR(VLOOKUP(D958,Controls!$A$36:$E$46,5,FALSE()),"No")="Yes",1,0)</f>
        <v/>
      </c>
      <c r="AI958" s="3">
        <f>IF(ISNUMBER(MATCH(D958,Controls!$A$36:$A$46,0)),1,0)</f>
        <v/>
      </c>
      <c r="AJ958" s="28">
        <f>Q958-N958</f>
        <v/>
      </c>
      <c r="AK958" s="3">
        <f>IF(AE958=1,MAX(0,N958-Q958),0)</f>
        <v/>
      </c>
      <c r="AL958" s="3">
        <f>IF(OR(V958="",V958=0),0,N958/V958)</f>
        <v/>
      </c>
      <c r="AM958" s="3">
        <f>IF(OR(V958="",V958=0),0,1)</f>
        <v/>
      </c>
      <c r="AN958" s="3">
        <f>IF(OR(E958="",F958=""),0,NETWORKDAYS(E958,F958,Ref!$K$2:$K$42))</f>
        <v/>
      </c>
      <c r="AO958" s="3">
        <f>IF(L958="Renewal",1,0)</f>
        <v/>
      </c>
      <c r="AP958" s="3">
        <f>AC958*AD958</f>
        <v/>
      </c>
      <c r="AQ958" s="3">
        <f>IF(AND(G958&lt;&gt;"",'Historical Score'!$C$6&lt;&gt;""),IF(G958='Historical Score'!$C$6,1,0),0)</f>
        <v/>
      </c>
      <c r="AR958" s="3">
        <f>IF(AND(L958&lt;&gt;"",'Historical Score'!$C$5&lt;&gt;""),IF(L958='Historical Score'!$C$5,1,0),0)</f>
        <v/>
      </c>
      <c r="AS958" s="3">
        <f>IF(AND(Y958&lt;&gt;"",'Historical Score'!$C$7&lt;&gt;""),IF(Y958='Historical Score'!$C$7,1,0),0)</f>
        <v/>
      </c>
      <c r="AT958" s="3">
        <f>IF(AND(K958&lt;&gt;"",'Historical Score'!$C$8&lt;&gt;""),IF(K958='Historical Score'!$C$8,1,0),0)</f>
        <v/>
      </c>
      <c r="AU958" s="3" t="n"/>
      <c r="AV958" s="3" t="n"/>
      <c r="AW958" s="3" t="n"/>
      <c r="AX958" s="3" t="n"/>
      <c r="AY958" s="3" t="n"/>
      <c r="AZ958" s="3" t="n"/>
      <c r="BA958" s="182">
        <f>IF(AD958=1,(AR958*'Historical Score'!$K$29+1-'Historical Score'!$K$29)*(AT958*'Historical Score'!$L$29+1-'Historical Score'!$L$29)*(AS958*'Historical Score'!$M$29+1-'Historical Score'!$M$29)*(AQ958*'Historical Score'!$N$29+1-'Historical Score'!$N$29),0)</f>
        <v/>
      </c>
      <c r="BB958" s="3" t="n"/>
      <c r="BC958" s="3" t="n"/>
    </row>
    <row r="959" ht="15.75" customHeight="1" s="174">
      <c r="A959" s="3" t="inlineStr">
        <is>
          <t>5674185449</t>
        </is>
      </c>
      <c r="B959" s="3" t="inlineStr">
        <is>
          <t>ORGANIZACION DE EVENTOS ZEUS</t>
        </is>
      </c>
      <c r="C959" s="3" t="inlineStr">
        <is>
          <t>ORGANIZACION DE EVENTOS ZEUS LLC</t>
        </is>
      </c>
      <c r="D959" s="3" t="inlineStr">
        <is>
          <t>Open</t>
        </is>
      </c>
      <c r="E959" s="23" t="n">
        <v>46188</v>
      </c>
      <c r="F959" s="23" t="n">
        <v>46253</v>
      </c>
      <c r="G959" s="3" t="n">
        <v>3</v>
      </c>
      <c r="H959" s="3" t="inlineStr">
        <is>
          <t>7941</t>
        </is>
      </c>
      <c r="I959" s="3" t="inlineStr">
        <is>
          <t>79</t>
        </is>
      </c>
      <c r="J959" s="3" t="inlineStr">
        <is>
          <t>TX</t>
        </is>
      </c>
      <c r="K959" s="3" t="inlineStr">
        <is>
          <t>Westwood</t>
        </is>
      </c>
      <c r="L959" s="3" t="inlineStr">
        <is>
          <t>New Deal</t>
        </is>
      </c>
      <c r="M959" s="3" t="n">
        <v>1.49</v>
      </c>
      <c r="N959" s="28" t="n">
        <v>25000</v>
      </c>
      <c r="O959" s="28" t="n">
        <v>3500</v>
      </c>
      <c r="P959" s="28" t="n">
        <v>37250</v>
      </c>
      <c r="Q959" s="28" t="n">
        <v>20030.26</v>
      </c>
      <c r="R959" s="28" t="n">
        <v>17219.74</v>
      </c>
      <c r="S959" s="42" t="n">
        <v>0.537725100671141</v>
      </c>
      <c r="T959" s="3" t="n">
        <v>2.623</v>
      </c>
      <c r="U959" s="3" t="n">
        <v>1</v>
      </c>
      <c r="V959" s="3" t="n">
        <v>85137.67999999999</v>
      </c>
      <c r="W959" s="42" t="n">
        <v>0.1149</v>
      </c>
      <c r="X959" s="23" t="n">
        <v>45805</v>
      </c>
      <c r="Y959" s="3">
        <f>IF(I959="","No SIC",IFERROR(VLOOKUP(I959,Ref!$A$2:$B$65,2,FALSE()),"Unclassified"))</f>
        <v/>
      </c>
      <c r="Z959" s="3">
        <f>IF(T959="","",IF(T959&lt;12,"Daily","Weekly"))</f>
        <v/>
      </c>
      <c r="AA959" s="3">
        <f>IF(T959="",0,IF(T959&lt;12,T959*Controls!$B$13,T959*5))</f>
        <v/>
      </c>
      <c r="AB959" s="3">
        <f>IF(E959="",0,NETWORKDAYS(E959,Controls!$B$20,Ref!$K$2:$K$42))</f>
        <v/>
      </c>
      <c r="AC959" s="3">
        <f>IF(OR(AF959=1,AND(AA959&gt;0,AB959&gt;=Controls!$B$23*AA959)),1,0)</f>
        <v/>
      </c>
      <c r="AD959" s="3">
        <f>IF(AND(E959&lt;&gt;"",E959&gt;=Controls!$B$21,E959&lt;=Controls!$B$22),1,0)</f>
        <v/>
      </c>
      <c r="AE959" s="3">
        <f>IF(IFERROR(VLOOKUP(D959,Controls!$A$36:$E$46,2,FALSE()),"No")="Yes",1,0)</f>
        <v/>
      </c>
      <c r="AF959" s="3">
        <f>IF(IFERROR(VLOOKUP(D959,Controls!$A$36:$E$46,3,FALSE()),"No")="Yes",1,0)</f>
        <v/>
      </c>
      <c r="AG959" s="3">
        <f>IF(IFERROR(VLOOKUP(D959,Controls!$A$36:$E$46,4,FALSE()),"No")="Yes",1,0)</f>
        <v/>
      </c>
      <c r="AH959" s="3">
        <f>IF(IFERROR(VLOOKUP(D959,Controls!$A$36:$E$46,5,FALSE()),"No")="Yes",1,0)</f>
        <v/>
      </c>
      <c r="AI959" s="3">
        <f>IF(ISNUMBER(MATCH(D959,Controls!$A$36:$A$46,0)),1,0)</f>
        <v/>
      </c>
      <c r="AJ959" s="28">
        <f>Q959-N959</f>
        <v/>
      </c>
      <c r="AK959" s="3">
        <f>IF(AE959=1,MAX(0,N959-Q959),0)</f>
        <v/>
      </c>
      <c r="AL959" s="3">
        <f>IF(OR(V959="",V959=0),0,N959/V959)</f>
        <v/>
      </c>
      <c r="AM959" s="3">
        <f>IF(OR(V959="",V959=0),0,1)</f>
        <v/>
      </c>
      <c r="AN959" s="3">
        <f>IF(OR(E959="",F959=""),0,NETWORKDAYS(E959,F959,Ref!$K$2:$K$42))</f>
        <v/>
      </c>
      <c r="AO959" s="3">
        <f>IF(L959="Renewal",1,0)</f>
        <v/>
      </c>
      <c r="AP959" s="3">
        <f>AC959*AD959</f>
        <v/>
      </c>
      <c r="AQ959" s="3">
        <f>IF(AND(G959&lt;&gt;"",'Historical Score'!$C$6&lt;&gt;""),IF(G959='Historical Score'!$C$6,1,0),0)</f>
        <v/>
      </c>
      <c r="AR959" s="3">
        <f>IF(AND(L959&lt;&gt;"",'Historical Score'!$C$5&lt;&gt;""),IF(L959='Historical Score'!$C$5,1,0),0)</f>
        <v/>
      </c>
      <c r="AS959" s="3">
        <f>IF(AND(Y959&lt;&gt;"",'Historical Score'!$C$7&lt;&gt;""),IF(Y959='Historical Score'!$C$7,1,0),0)</f>
        <v/>
      </c>
      <c r="AT959" s="3">
        <f>IF(AND(K959&lt;&gt;"",'Historical Score'!$C$8&lt;&gt;""),IF(K959='Historical Score'!$C$8,1,0),0)</f>
        <v/>
      </c>
      <c r="AU959" s="3" t="n"/>
      <c r="AV959" s="3" t="n"/>
      <c r="AW959" s="3" t="n"/>
      <c r="AX959" s="3" t="n"/>
      <c r="AY959" s="3" t="n"/>
      <c r="AZ959" s="3" t="n"/>
      <c r="BA959" s="182">
        <f>IF(AD959=1,(AR959*'Historical Score'!$K$29+1-'Historical Score'!$K$29)*(AT959*'Historical Score'!$L$29+1-'Historical Score'!$L$29)*(AS959*'Historical Score'!$M$29+1-'Historical Score'!$M$29)*(AQ959*'Historical Score'!$N$29+1-'Historical Score'!$N$29),0)</f>
        <v/>
      </c>
      <c r="BB959" s="3" t="n"/>
      <c r="BC959" s="3" t="n"/>
    </row>
    <row r="960" ht="15.75" customHeight="1" s="174">
      <c r="A960" s="3" t="inlineStr">
        <is>
          <t>5674185504</t>
        </is>
      </c>
      <c r="B960" s="3" t="inlineStr">
        <is>
          <t>CAPITOL INVESTMENT CONSULTANTS, LTD  DBA  WENDY BALICANTA SOLE MBR</t>
        </is>
      </c>
      <c r="C960" s="3" t="inlineStr">
        <is>
          <t>CAPITOL INVESTMENT CONSULTANTS LLC</t>
        </is>
      </c>
      <c r="D960" s="3" t="inlineStr">
        <is>
          <t>Open</t>
        </is>
      </c>
      <c r="E960" s="23" t="n">
        <v>46188</v>
      </c>
      <c r="F960" s="23" t="n">
        <v>46253</v>
      </c>
      <c r="G960" s="3" t="n">
        <v>3</v>
      </c>
      <c r="H960" s="3" t="inlineStr">
        <is>
          <t>6282</t>
        </is>
      </c>
      <c r="I960" s="3" t="inlineStr">
        <is>
          <t>62</t>
        </is>
      </c>
      <c r="J960" s="3" t="inlineStr">
        <is>
          <t>VA</t>
        </is>
      </c>
      <c r="K960" s="3" t="inlineStr">
        <is>
          <t>Samson Funding</t>
        </is>
      </c>
      <c r="L960" s="3" t="inlineStr">
        <is>
          <t>Renewal</t>
        </is>
      </c>
      <c r="M960" s="3" t="n">
        <v>1.49</v>
      </c>
      <c r="N960" s="28" t="n">
        <v>80000</v>
      </c>
      <c r="O960" s="28" t="n">
        <v>11200</v>
      </c>
      <c r="P960" s="28" t="n">
        <v>119200</v>
      </c>
      <c r="Q960" s="28" t="n">
        <v>41847.75</v>
      </c>
      <c r="R960" s="28" t="n">
        <v>77352.25</v>
      </c>
      <c r="S960" s="42" t="n">
        <v>0.35107172818792</v>
      </c>
      <c r="T960" s="3" t="n">
        <v>2.787</v>
      </c>
      <c r="U960" s="3" t="n">
        <v>21</v>
      </c>
      <c r="V960" s="3" t="n">
        <v>390784.09</v>
      </c>
      <c r="W960" s="42" t="n">
        <v>0.0511</v>
      </c>
      <c r="X960" s="23" t="n">
        <v>44762</v>
      </c>
      <c r="Y960" s="3">
        <f>IF(I960="","No SIC",IFERROR(VLOOKUP(I960,Ref!$A$2:$B$65,2,FALSE()),"Unclassified"))</f>
        <v/>
      </c>
      <c r="Z960" s="3">
        <f>IF(T960="","",IF(T960&lt;12,"Daily","Weekly"))</f>
        <v/>
      </c>
      <c r="AA960" s="3">
        <f>IF(T960="",0,IF(T960&lt;12,T960*Controls!$B$13,T960*5))</f>
        <v/>
      </c>
      <c r="AB960" s="3">
        <f>IF(E960="",0,NETWORKDAYS(E960,Controls!$B$20,Ref!$K$2:$K$42))</f>
        <v/>
      </c>
      <c r="AC960" s="3">
        <f>IF(OR(AF960=1,AND(AA960&gt;0,AB960&gt;=Controls!$B$23*AA960)),1,0)</f>
        <v/>
      </c>
      <c r="AD960" s="3">
        <f>IF(AND(E960&lt;&gt;"",E960&gt;=Controls!$B$21,E960&lt;=Controls!$B$22),1,0)</f>
        <v/>
      </c>
      <c r="AE960" s="3">
        <f>IF(IFERROR(VLOOKUP(D960,Controls!$A$36:$E$46,2,FALSE()),"No")="Yes",1,0)</f>
        <v/>
      </c>
      <c r="AF960" s="3">
        <f>IF(IFERROR(VLOOKUP(D960,Controls!$A$36:$E$46,3,FALSE()),"No")="Yes",1,0)</f>
        <v/>
      </c>
      <c r="AG960" s="3">
        <f>IF(IFERROR(VLOOKUP(D960,Controls!$A$36:$E$46,4,FALSE()),"No")="Yes",1,0)</f>
        <v/>
      </c>
      <c r="AH960" s="3">
        <f>IF(IFERROR(VLOOKUP(D960,Controls!$A$36:$E$46,5,FALSE()),"No")="Yes",1,0)</f>
        <v/>
      </c>
      <c r="AI960" s="3">
        <f>IF(ISNUMBER(MATCH(D960,Controls!$A$36:$A$46,0)),1,0)</f>
        <v/>
      </c>
      <c r="AJ960" s="28">
        <f>Q960-N960</f>
        <v/>
      </c>
      <c r="AK960" s="3">
        <f>IF(AE960=1,MAX(0,N960-Q960),0)</f>
        <v/>
      </c>
      <c r="AL960" s="3">
        <f>IF(OR(V960="",V960=0),0,N960/V960)</f>
        <v/>
      </c>
      <c r="AM960" s="3">
        <f>IF(OR(V960="",V960=0),0,1)</f>
        <v/>
      </c>
      <c r="AN960" s="3">
        <f>IF(OR(E960="",F960=""),0,NETWORKDAYS(E960,F960,Ref!$K$2:$K$42))</f>
        <v/>
      </c>
      <c r="AO960" s="3">
        <f>IF(L960="Renewal",1,0)</f>
        <v/>
      </c>
      <c r="AP960" s="3">
        <f>AC960*AD960</f>
        <v/>
      </c>
      <c r="AQ960" s="3">
        <f>IF(AND(G960&lt;&gt;"",'Historical Score'!$C$6&lt;&gt;""),IF(G960='Historical Score'!$C$6,1,0),0)</f>
        <v/>
      </c>
      <c r="AR960" s="3">
        <f>IF(AND(L960&lt;&gt;"",'Historical Score'!$C$5&lt;&gt;""),IF(L960='Historical Score'!$C$5,1,0),0)</f>
        <v/>
      </c>
      <c r="AS960" s="3">
        <f>IF(AND(Y960&lt;&gt;"",'Historical Score'!$C$7&lt;&gt;""),IF(Y960='Historical Score'!$C$7,1,0),0)</f>
        <v/>
      </c>
      <c r="AT960" s="3">
        <f>IF(AND(K960&lt;&gt;"",'Historical Score'!$C$8&lt;&gt;""),IF(K960='Historical Score'!$C$8,1,0),0)</f>
        <v/>
      </c>
      <c r="AU960" s="3" t="n"/>
      <c r="AV960" s="3" t="n"/>
      <c r="AW960" s="3" t="n"/>
      <c r="AX960" s="3" t="n"/>
      <c r="AY960" s="3" t="n"/>
      <c r="AZ960" s="3" t="n"/>
      <c r="BA960" s="182">
        <f>IF(AD960=1,(AR960*'Historical Score'!$K$29+1-'Historical Score'!$K$29)*(AT960*'Historical Score'!$L$29+1-'Historical Score'!$L$29)*(AS960*'Historical Score'!$M$29+1-'Historical Score'!$M$29)*(AQ960*'Historical Score'!$N$29+1-'Historical Score'!$N$29),0)</f>
        <v/>
      </c>
      <c r="BB960" s="3" t="n"/>
      <c r="BC960" s="3" t="n"/>
    </row>
    <row r="961" ht="15.75" customHeight="1" s="174">
      <c r="A961" s="3" t="inlineStr">
        <is>
          <t>5674185547</t>
        </is>
      </c>
      <c r="B961" s="3" t="inlineStr">
        <is>
          <t>HEALTH WELLNESS CLINICCO LLC</t>
        </is>
      </c>
      <c r="C961" s="3" t="inlineStr">
        <is>
          <t>HEALTH WELLNESS CLINICCO LLC</t>
        </is>
      </c>
      <c r="D961" s="3" t="inlineStr">
        <is>
          <t>Open</t>
        </is>
      </c>
      <c r="E961" s="23" t="n">
        <v>46189</v>
      </c>
      <c r="F961" s="23" t="n">
        <v>46253</v>
      </c>
      <c r="G961" s="3" t="n">
        <v>3</v>
      </c>
      <c r="H961" s="3" t="inlineStr">
        <is>
          <t>8011</t>
        </is>
      </c>
      <c r="I961" s="3" t="inlineStr">
        <is>
          <t>80</t>
        </is>
      </c>
      <c r="J961" s="3" t="inlineStr">
        <is>
          <t>KS</t>
        </is>
      </c>
      <c r="K961" s="3" t="inlineStr">
        <is>
          <t>PMF</t>
        </is>
      </c>
      <c r="L961" s="3" t="inlineStr">
        <is>
          <t>New Deal</t>
        </is>
      </c>
      <c r="M961" s="3" t="n">
        <v>1.49</v>
      </c>
      <c r="N961" s="28" t="n">
        <v>20000</v>
      </c>
      <c r="O961" s="28" t="n">
        <v>2800</v>
      </c>
      <c r="P961" s="28" t="n">
        <v>29800</v>
      </c>
      <c r="Q961" s="28" t="n">
        <v>13513.68</v>
      </c>
      <c r="R961" s="28" t="n">
        <v>16286.32</v>
      </c>
      <c r="S961" s="42" t="n">
        <v>0.453479194630873</v>
      </c>
      <c r="T961" s="3" t="n">
        <v>2.951</v>
      </c>
      <c r="U961" s="3" t="n">
        <v>1</v>
      </c>
      <c r="V961" s="3" t="n">
        <v>37546.4</v>
      </c>
      <c r="W961" s="42" t="n">
        <v>0.1852</v>
      </c>
      <c r="X961" s="23" t="n">
        <v>45762</v>
      </c>
      <c r="Y961" s="3">
        <f>IF(I961="","No SIC",IFERROR(VLOOKUP(I961,Ref!$A$2:$B$65,2,FALSE()),"Unclassified"))</f>
        <v/>
      </c>
      <c r="Z961" s="3">
        <f>IF(T961="","",IF(T961&lt;12,"Daily","Weekly"))</f>
        <v/>
      </c>
      <c r="AA961" s="3">
        <f>IF(T961="",0,IF(T961&lt;12,T961*Controls!$B$13,T961*5))</f>
        <v/>
      </c>
      <c r="AB961" s="3">
        <f>IF(E961="",0,NETWORKDAYS(E961,Controls!$B$20,Ref!$K$2:$K$42))</f>
        <v/>
      </c>
      <c r="AC961" s="3">
        <f>IF(OR(AF961=1,AND(AA961&gt;0,AB961&gt;=Controls!$B$23*AA961)),1,0)</f>
        <v/>
      </c>
      <c r="AD961" s="3">
        <f>IF(AND(E961&lt;&gt;"",E961&gt;=Controls!$B$21,E961&lt;=Controls!$B$22),1,0)</f>
        <v/>
      </c>
      <c r="AE961" s="3">
        <f>IF(IFERROR(VLOOKUP(D961,Controls!$A$36:$E$46,2,FALSE()),"No")="Yes",1,0)</f>
        <v/>
      </c>
      <c r="AF961" s="3">
        <f>IF(IFERROR(VLOOKUP(D961,Controls!$A$36:$E$46,3,FALSE()),"No")="Yes",1,0)</f>
        <v/>
      </c>
      <c r="AG961" s="3">
        <f>IF(IFERROR(VLOOKUP(D961,Controls!$A$36:$E$46,4,FALSE()),"No")="Yes",1,0)</f>
        <v/>
      </c>
      <c r="AH961" s="3">
        <f>IF(IFERROR(VLOOKUP(D961,Controls!$A$36:$E$46,5,FALSE()),"No")="Yes",1,0)</f>
        <v/>
      </c>
      <c r="AI961" s="3">
        <f>IF(ISNUMBER(MATCH(D961,Controls!$A$36:$A$46,0)),1,0)</f>
        <v/>
      </c>
      <c r="AJ961" s="28">
        <f>Q961-N961</f>
        <v/>
      </c>
      <c r="AK961" s="3">
        <f>IF(AE961=1,MAX(0,N961-Q961),0)</f>
        <v/>
      </c>
      <c r="AL961" s="3">
        <f>IF(OR(V961="",V961=0),0,N961/V961)</f>
        <v/>
      </c>
      <c r="AM961" s="3">
        <f>IF(OR(V961="",V961=0),0,1)</f>
        <v/>
      </c>
      <c r="AN961" s="3">
        <f>IF(OR(E961="",F961=""),0,NETWORKDAYS(E961,F961,Ref!$K$2:$K$42))</f>
        <v/>
      </c>
      <c r="AO961" s="3">
        <f>IF(L961="Renewal",1,0)</f>
        <v/>
      </c>
      <c r="AP961" s="3">
        <f>AC961*AD961</f>
        <v/>
      </c>
      <c r="AQ961" s="3">
        <f>IF(AND(G961&lt;&gt;"",'Historical Score'!$C$6&lt;&gt;""),IF(G961='Historical Score'!$C$6,1,0),0)</f>
        <v/>
      </c>
      <c r="AR961" s="3">
        <f>IF(AND(L961&lt;&gt;"",'Historical Score'!$C$5&lt;&gt;""),IF(L961='Historical Score'!$C$5,1,0),0)</f>
        <v/>
      </c>
      <c r="AS961" s="3">
        <f>IF(AND(Y961&lt;&gt;"",'Historical Score'!$C$7&lt;&gt;""),IF(Y961='Historical Score'!$C$7,1,0),0)</f>
        <v/>
      </c>
      <c r="AT961" s="3">
        <f>IF(AND(K961&lt;&gt;"",'Historical Score'!$C$8&lt;&gt;""),IF(K961='Historical Score'!$C$8,1,0),0)</f>
        <v/>
      </c>
      <c r="AU961" s="3" t="n"/>
      <c r="AV961" s="3" t="n"/>
      <c r="AW961" s="3" t="n"/>
      <c r="AX961" s="3" t="n"/>
      <c r="AY961" s="3" t="n"/>
      <c r="AZ961" s="3" t="n"/>
      <c r="BA961" s="182">
        <f>IF(AD961=1,(AR961*'Historical Score'!$K$29+1-'Historical Score'!$K$29)*(AT961*'Historical Score'!$L$29+1-'Historical Score'!$L$29)*(AS961*'Historical Score'!$M$29+1-'Historical Score'!$M$29)*(AQ961*'Historical Score'!$N$29+1-'Historical Score'!$N$29),0)</f>
        <v/>
      </c>
      <c r="BB961" s="3" t="n"/>
      <c r="BC961" s="3" t="n"/>
    </row>
    <row r="962" ht="15.75" customHeight="1" s="174">
      <c r="A962" s="3" t="inlineStr">
        <is>
          <t>5674185552</t>
        </is>
      </c>
      <c r="B962" s="3" t="inlineStr">
        <is>
          <t>y3ms wireless plus</t>
        </is>
      </c>
      <c r="C962" s="3" t="inlineStr">
        <is>
          <t>Y3MS WIRELESS PLUS LLC</t>
        </is>
      </c>
      <c r="D962" s="3" t="inlineStr">
        <is>
          <t>Open</t>
        </is>
      </c>
      <c r="E962" s="23" t="n">
        <v>46189</v>
      </c>
      <c r="F962" s="23" t="n">
        <v>46248</v>
      </c>
      <c r="G962" s="3" t="n">
        <v>4</v>
      </c>
      <c r="H962" s="3" t="inlineStr">
        <is>
          <t>5999</t>
        </is>
      </c>
      <c r="I962" s="3" t="inlineStr">
        <is>
          <t>59</t>
        </is>
      </c>
      <c r="J962" s="3" t="inlineStr">
        <is>
          <t>MI</t>
        </is>
      </c>
      <c r="K962" s="3" t="inlineStr">
        <is>
          <t>PMF</t>
        </is>
      </c>
      <c r="L962" s="3" t="inlineStr">
        <is>
          <t>New Deal</t>
        </is>
      </c>
      <c r="M962" s="3" t="n">
        <v>1.49</v>
      </c>
      <c r="N962" s="28" t="n">
        <v>10000</v>
      </c>
      <c r="O962" s="28" t="n">
        <v>1400</v>
      </c>
      <c r="P962" s="28" t="n">
        <v>14900</v>
      </c>
      <c r="Q962" s="28" t="n">
        <v>7945.36</v>
      </c>
      <c r="R962" s="28" t="n">
        <v>6954.64</v>
      </c>
      <c r="S962" s="42" t="n">
        <v>0.533245637583893</v>
      </c>
      <c r="T962" s="3" t="n">
        <v>15</v>
      </c>
      <c r="U962" s="3" t="n">
        <v>0</v>
      </c>
      <c r="V962" s="3" t="n">
        <v>25796.55</v>
      </c>
      <c r="W962" s="42" t="n">
        <v>0.154</v>
      </c>
      <c r="X962" s="23" t="n">
        <v>37401</v>
      </c>
      <c r="Y962" s="3">
        <f>IF(I962="","No SIC",IFERROR(VLOOKUP(I962,Ref!$A$2:$B$65,2,FALSE()),"Unclassified"))</f>
        <v/>
      </c>
      <c r="Z962" s="3">
        <f>IF(T962="","",IF(T962&lt;12,"Daily","Weekly"))</f>
        <v/>
      </c>
      <c r="AA962" s="3">
        <f>IF(T962="",0,IF(T962&lt;12,T962*Controls!$B$13,T962*5))</f>
        <v/>
      </c>
      <c r="AB962" s="3">
        <f>IF(E962="",0,NETWORKDAYS(E962,Controls!$B$20,Ref!$K$2:$K$42))</f>
        <v/>
      </c>
      <c r="AC962" s="3">
        <f>IF(OR(AF962=1,AND(AA962&gt;0,AB962&gt;=Controls!$B$23*AA962)),1,0)</f>
        <v/>
      </c>
      <c r="AD962" s="3">
        <f>IF(AND(E962&lt;&gt;"",E962&gt;=Controls!$B$21,E962&lt;=Controls!$B$22),1,0)</f>
        <v/>
      </c>
      <c r="AE962" s="3">
        <f>IF(IFERROR(VLOOKUP(D962,Controls!$A$36:$E$46,2,FALSE()),"No")="Yes",1,0)</f>
        <v/>
      </c>
      <c r="AF962" s="3">
        <f>IF(IFERROR(VLOOKUP(D962,Controls!$A$36:$E$46,3,FALSE()),"No")="Yes",1,0)</f>
        <v/>
      </c>
      <c r="AG962" s="3">
        <f>IF(IFERROR(VLOOKUP(D962,Controls!$A$36:$E$46,4,FALSE()),"No")="Yes",1,0)</f>
        <v/>
      </c>
      <c r="AH962" s="3">
        <f>IF(IFERROR(VLOOKUP(D962,Controls!$A$36:$E$46,5,FALSE()),"No")="Yes",1,0)</f>
        <v/>
      </c>
      <c r="AI962" s="3">
        <f>IF(ISNUMBER(MATCH(D962,Controls!$A$36:$A$46,0)),1,0)</f>
        <v/>
      </c>
      <c r="AJ962" s="28">
        <f>Q962-N962</f>
        <v/>
      </c>
      <c r="AK962" s="3">
        <f>IF(AE962=1,MAX(0,N962-Q962),0)</f>
        <v/>
      </c>
      <c r="AL962" s="3">
        <f>IF(OR(V962="",V962=0),0,N962/V962)</f>
        <v/>
      </c>
      <c r="AM962" s="3">
        <f>IF(OR(V962="",V962=0),0,1)</f>
        <v/>
      </c>
      <c r="AN962" s="3">
        <f>IF(OR(E962="",F962=""),0,NETWORKDAYS(E962,F962,Ref!$K$2:$K$42))</f>
        <v/>
      </c>
      <c r="AO962" s="3">
        <f>IF(L962="Renewal",1,0)</f>
        <v/>
      </c>
      <c r="AP962" s="3">
        <f>AC962*AD962</f>
        <v/>
      </c>
      <c r="AQ962" s="3">
        <f>IF(AND(G962&lt;&gt;"",'Historical Score'!$C$6&lt;&gt;""),IF(G962='Historical Score'!$C$6,1,0),0)</f>
        <v/>
      </c>
      <c r="AR962" s="3">
        <f>IF(AND(L962&lt;&gt;"",'Historical Score'!$C$5&lt;&gt;""),IF(L962='Historical Score'!$C$5,1,0),0)</f>
        <v/>
      </c>
      <c r="AS962" s="3">
        <f>IF(AND(Y962&lt;&gt;"",'Historical Score'!$C$7&lt;&gt;""),IF(Y962='Historical Score'!$C$7,1,0),0)</f>
        <v/>
      </c>
      <c r="AT962" s="3">
        <f>IF(AND(K962&lt;&gt;"",'Historical Score'!$C$8&lt;&gt;""),IF(K962='Historical Score'!$C$8,1,0),0)</f>
        <v/>
      </c>
      <c r="AU962" s="3" t="n"/>
      <c r="AV962" s="3" t="n"/>
      <c r="AW962" s="3" t="n"/>
      <c r="AX962" s="3" t="n"/>
      <c r="AY962" s="3" t="n"/>
      <c r="AZ962" s="3" t="n"/>
      <c r="BA962" s="182">
        <f>IF(AD962=1,(AR962*'Historical Score'!$K$29+1-'Historical Score'!$K$29)*(AT962*'Historical Score'!$L$29+1-'Historical Score'!$L$29)*(AS962*'Historical Score'!$M$29+1-'Historical Score'!$M$29)*(AQ962*'Historical Score'!$N$29+1-'Historical Score'!$N$29),0)</f>
        <v/>
      </c>
      <c r="BB962" s="3" t="n"/>
      <c r="BC962" s="3" t="n"/>
    </row>
    <row r="963" ht="15.75" customHeight="1" s="174">
      <c r="A963" s="3" t="inlineStr">
        <is>
          <t>5674185556</t>
        </is>
      </c>
      <c r="B963" s="3" t="inlineStr">
        <is>
          <t>FIRST CLASS HOME HEALTHCARE SERVICES LLC</t>
        </is>
      </c>
      <c r="C963" s="3" t="inlineStr">
        <is>
          <t>MAGDALENA MARIE DOLBRUS-GREENE</t>
        </is>
      </c>
      <c r="D963" s="3" t="inlineStr">
        <is>
          <t>In House Collection</t>
        </is>
      </c>
      <c r="E963" s="23" t="n">
        <v>46189</v>
      </c>
      <c r="F963" s="23" t="n">
        <v>46253</v>
      </c>
      <c r="G963" s="3" t="n">
        <v>3</v>
      </c>
      <c r="H963" s="3" t="inlineStr">
        <is>
          <t>8011</t>
        </is>
      </c>
      <c r="I963" s="3" t="inlineStr">
        <is>
          <t>80</t>
        </is>
      </c>
      <c r="J963" s="3" t="inlineStr">
        <is>
          <t>FL</t>
        </is>
      </c>
      <c r="K963" s="3" t="inlineStr">
        <is>
          <t>United Secured Capital 8</t>
        </is>
      </c>
      <c r="L963" s="3" t="inlineStr">
        <is>
          <t>New Deal</t>
        </is>
      </c>
      <c r="M963" s="3" t="n">
        <v>1.49</v>
      </c>
      <c r="N963" s="28" t="n">
        <v>30000</v>
      </c>
      <c r="O963" s="28" t="n">
        <v>4200</v>
      </c>
      <c r="P963" s="28" t="n">
        <v>44700</v>
      </c>
      <c r="Q963" s="28" t="n">
        <v>3576.68</v>
      </c>
      <c r="R963" s="28" t="n">
        <v>41123.32</v>
      </c>
      <c r="S963" s="42" t="n">
        <v>0.0800152125279642</v>
      </c>
      <c r="T963" s="3" t="n">
        <v>30</v>
      </c>
      <c r="U963" s="3" t="n">
        <v>9</v>
      </c>
      <c r="V963" s="3" t="n">
        <v>72081.56</v>
      </c>
      <c r="W963" s="42" t="n">
        <v>0.0827</v>
      </c>
      <c r="X963" s="23" t="n">
        <v>43780</v>
      </c>
      <c r="Y963" s="3">
        <f>IF(I963="","No SIC",IFERROR(VLOOKUP(I963,Ref!$A$2:$B$65,2,FALSE()),"Unclassified"))</f>
        <v/>
      </c>
      <c r="Z963" s="3">
        <f>IF(T963="","",IF(T963&lt;12,"Daily","Weekly"))</f>
        <v/>
      </c>
      <c r="AA963" s="3">
        <f>IF(T963="",0,IF(T963&lt;12,T963*Controls!$B$13,T963*5))</f>
        <v/>
      </c>
      <c r="AB963" s="3">
        <f>IF(E963="",0,NETWORKDAYS(E963,Controls!$B$20,Ref!$K$2:$K$42))</f>
        <v/>
      </c>
      <c r="AC963" s="3">
        <f>IF(OR(AF963=1,AND(AA963&gt;0,AB963&gt;=Controls!$B$23*AA963)),1,0)</f>
        <v/>
      </c>
      <c r="AD963" s="3">
        <f>IF(AND(E963&lt;&gt;"",E963&gt;=Controls!$B$21,E963&lt;=Controls!$B$22),1,0)</f>
        <v/>
      </c>
      <c r="AE963" s="3">
        <f>IF(IFERROR(VLOOKUP(D963,Controls!$A$36:$E$46,2,FALSE()),"No")="Yes",1,0)</f>
        <v/>
      </c>
      <c r="AF963" s="3">
        <f>IF(IFERROR(VLOOKUP(D963,Controls!$A$36:$E$46,3,FALSE()),"No")="Yes",1,0)</f>
        <v/>
      </c>
      <c r="AG963" s="3">
        <f>IF(IFERROR(VLOOKUP(D963,Controls!$A$36:$E$46,4,FALSE()),"No")="Yes",1,0)</f>
        <v/>
      </c>
      <c r="AH963" s="3">
        <f>IF(IFERROR(VLOOKUP(D963,Controls!$A$36:$E$46,5,FALSE()),"No")="Yes",1,0)</f>
        <v/>
      </c>
      <c r="AI963" s="3">
        <f>IF(ISNUMBER(MATCH(D963,Controls!$A$36:$A$46,0)),1,0)</f>
        <v/>
      </c>
      <c r="AJ963" s="28">
        <f>Q963-N963</f>
        <v/>
      </c>
      <c r="AK963" s="3">
        <f>IF(AE963=1,MAX(0,N963-Q963),0)</f>
        <v/>
      </c>
      <c r="AL963" s="3">
        <f>IF(OR(V963="",V963=0),0,N963/V963)</f>
        <v/>
      </c>
      <c r="AM963" s="3">
        <f>IF(OR(V963="",V963=0),0,1)</f>
        <v/>
      </c>
      <c r="AN963" s="3">
        <f>IF(OR(E963="",F963=""),0,NETWORKDAYS(E963,F963,Ref!$K$2:$K$42))</f>
        <v/>
      </c>
      <c r="AO963" s="3">
        <f>IF(L963="Renewal",1,0)</f>
        <v/>
      </c>
      <c r="AP963" s="3">
        <f>AC963*AD963</f>
        <v/>
      </c>
      <c r="AQ963" s="3">
        <f>IF(AND(G963&lt;&gt;"",'Historical Score'!$C$6&lt;&gt;""),IF(G963='Historical Score'!$C$6,1,0),0)</f>
        <v/>
      </c>
      <c r="AR963" s="3">
        <f>IF(AND(L963&lt;&gt;"",'Historical Score'!$C$5&lt;&gt;""),IF(L963='Historical Score'!$C$5,1,0),0)</f>
        <v/>
      </c>
      <c r="AS963" s="3">
        <f>IF(AND(Y963&lt;&gt;"",'Historical Score'!$C$7&lt;&gt;""),IF(Y963='Historical Score'!$C$7,1,0),0)</f>
        <v/>
      </c>
      <c r="AT963" s="3">
        <f>IF(AND(K963&lt;&gt;"",'Historical Score'!$C$8&lt;&gt;""),IF(K963='Historical Score'!$C$8,1,0),0)</f>
        <v/>
      </c>
      <c r="AU963" s="3" t="n"/>
      <c r="AV963" s="3" t="n"/>
      <c r="AW963" s="3" t="n"/>
      <c r="AX963" s="3" t="n"/>
      <c r="AY963" s="3" t="n"/>
      <c r="AZ963" s="3" t="n"/>
      <c r="BA963" s="182">
        <f>IF(AD963=1,(AR963*'Historical Score'!$K$29+1-'Historical Score'!$K$29)*(AT963*'Historical Score'!$L$29+1-'Historical Score'!$L$29)*(AS963*'Historical Score'!$M$29+1-'Historical Score'!$M$29)*(AQ963*'Historical Score'!$N$29+1-'Historical Score'!$N$29),0)</f>
        <v/>
      </c>
      <c r="BB963" s="3" t="n"/>
      <c r="BC963" s="3" t="n"/>
    </row>
    <row r="964" ht="15.75" customHeight="1" s="174">
      <c r="A964" s="3" t="inlineStr">
        <is>
          <t>5674185577</t>
        </is>
      </c>
      <c r="B964" s="3" t="inlineStr">
        <is>
          <t>Borezzo</t>
        </is>
      </c>
      <c r="C964" s="3" t="inlineStr">
        <is>
          <t>Borezzo LLC</t>
        </is>
      </c>
      <c r="D964" s="3" t="inlineStr">
        <is>
          <t>In House Collection</t>
        </is>
      </c>
      <c r="E964" s="23" t="n">
        <v>46189</v>
      </c>
      <c r="F964" s="23" t="n">
        <v>46209</v>
      </c>
      <c r="G964" s="3" t="n">
        <v>3</v>
      </c>
      <c r="H964" s="3" t="inlineStr">
        <is>
          <t>5999</t>
        </is>
      </c>
      <c r="I964" s="3" t="inlineStr">
        <is>
          <t>59</t>
        </is>
      </c>
      <c r="J964" s="3" t="inlineStr">
        <is>
          <t>SC</t>
        </is>
      </c>
      <c r="K964" s="3" t="inlineStr">
        <is>
          <t>Shore Funding USA</t>
        </is>
      </c>
      <c r="L964" s="3" t="inlineStr">
        <is>
          <t>New Deal</t>
        </is>
      </c>
      <c r="M964" s="3" t="n">
        <v>1.49</v>
      </c>
      <c r="N964" s="28" t="n">
        <v>12000</v>
      </c>
      <c r="O964" s="28" t="n">
        <v>1680</v>
      </c>
      <c r="P964" s="28" t="n">
        <v>17880</v>
      </c>
      <c r="Q964" s="28" t="n">
        <v>1564.62</v>
      </c>
      <c r="R964" s="28" t="n">
        <v>16315.38</v>
      </c>
      <c r="S964" s="42" t="n">
        <v>0.087506711409396</v>
      </c>
      <c r="T964" s="3" t="n">
        <v>2.951</v>
      </c>
      <c r="U964" s="3" t="n">
        <v>3</v>
      </c>
      <c r="V964" s="3" t="n">
        <v>101914.65</v>
      </c>
      <c r="W964" s="42" t="n">
        <v>0.0409</v>
      </c>
      <c r="X964" s="23" t="n">
        <v>45324</v>
      </c>
      <c r="Y964" s="3">
        <f>IF(I964="","No SIC",IFERROR(VLOOKUP(I964,Ref!$A$2:$B$65,2,FALSE()),"Unclassified"))</f>
        <v/>
      </c>
      <c r="Z964" s="3">
        <f>IF(T964="","",IF(T964&lt;12,"Daily","Weekly"))</f>
        <v/>
      </c>
      <c r="AA964" s="3">
        <f>IF(T964="",0,IF(T964&lt;12,T964*Controls!$B$13,T964*5))</f>
        <v/>
      </c>
      <c r="AB964" s="3">
        <f>IF(E964="",0,NETWORKDAYS(E964,Controls!$B$20,Ref!$K$2:$K$42))</f>
        <v/>
      </c>
      <c r="AC964" s="3">
        <f>IF(OR(AF964=1,AND(AA964&gt;0,AB964&gt;=Controls!$B$23*AA964)),1,0)</f>
        <v/>
      </c>
      <c r="AD964" s="3">
        <f>IF(AND(E964&lt;&gt;"",E964&gt;=Controls!$B$21,E964&lt;=Controls!$B$22),1,0)</f>
        <v/>
      </c>
      <c r="AE964" s="3">
        <f>IF(IFERROR(VLOOKUP(D964,Controls!$A$36:$E$46,2,FALSE()),"No")="Yes",1,0)</f>
        <v/>
      </c>
      <c r="AF964" s="3">
        <f>IF(IFERROR(VLOOKUP(D964,Controls!$A$36:$E$46,3,FALSE()),"No")="Yes",1,0)</f>
        <v/>
      </c>
      <c r="AG964" s="3">
        <f>IF(IFERROR(VLOOKUP(D964,Controls!$A$36:$E$46,4,FALSE()),"No")="Yes",1,0)</f>
        <v/>
      </c>
      <c r="AH964" s="3">
        <f>IF(IFERROR(VLOOKUP(D964,Controls!$A$36:$E$46,5,FALSE()),"No")="Yes",1,0)</f>
        <v/>
      </c>
      <c r="AI964" s="3">
        <f>IF(ISNUMBER(MATCH(D964,Controls!$A$36:$A$46,0)),1,0)</f>
        <v/>
      </c>
      <c r="AJ964" s="28">
        <f>Q964-N964</f>
        <v/>
      </c>
      <c r="AK964" s="3">
        <f>IF(AE964=1,MAX(0,N964-Q964),0)</f>
        <v/>
      </c>
      <c r="AL964" s="3">
        <f>IF(OR(V964="",V964=0),0,N964/V964)</f>
        <v/>
      </c>
      <c r="AM964" s="3">
        <f>IF(OR(V964="",V964=0),0,1)</f>
        <v/>
      </c>
      <c r="AN964" s="3">
        <f>IF(OR(E964="",F964=""),0,NETWORKDAYS(E964,F964,Ref!$K$2:$K$42))</f>
        <v/>
      </c>
      <c r="AO964" s="3">
        <f>IF(L964="Renewal",1,0)</f>
        <v/>
      </c>
      <c r="AP964" s="3">
        <f>AC964*AD964</f>
        <v/>
      </c>
      <c r="AQ964" s="3">
        <f>IF(AND(G964&lt;&gt;"",'Historical Score'!$C$6&lt;&gt;""),IF(G964='Historical Score'!$C$6,1,0),0)</f>
        <v/>
      </c>
      <c r="AR964" s="3">
        <f>IF(AND(L964&lt;&gt;"",'Historical Score'!$C$5&lt;&gt;""),IF(L964='Historical Score'!$C$5,1,0),0)</f>
        <v/>
      </c>
      <c r="AS964" s="3">
        <f>IF(AND(Y964&lt;&gt;"",'Historical Score'!$C$7&lt;&gt;""),IF(Y964='Historical Score'!$C$7,1,0),0)</f>
        <v/>
      </c>
      <c r="AT964" s="3">
        <f>IF(AND(K964&lt;&gt;"",'Historical Score'!$C$8&lt;&gt;""),IF(K964='Historical Score'!$C$8,1,0),0)</f>
        <v/>
      </c>
      <c r="AU964" s="3" t="n"/>
      <c r="AV964" s="3" t="n"/>
      <c r="AW964" s="3" t="n"/>
      <c r="AX964" s="3" t="n"/>
      <c r="AY964" s="3" t="n"/>
      <c r="AZ964" s="3" t="n"/>
      <c r="BA964" s="182">
        <f>IF(AD964=1,(AR964*'Historical Score'!$K$29+1-'Historical Score'!$K$29)*(AT964*'Historical Score'!$L$29+1-'Historical Score'!$L$29)*(AS964*'Historical Score'!$M$29+1-'Historical Score'!$M$29)*(AQ964*'Historical Score'!$N$29+1-'Historical Score'!$N$29),0)</f>
        <v/>
      </c>
      <c r="BB964" s="3" t="n"/>
      <c r="BC964" s="3" t="n"/>
    </row>
    <row r="965" ht="15.75" customHeight="1" s="174">
      <c r="A965" s="3" t="inlineStr">
        <is>
          <t>5674185628</t>
        </is>
      </c>
      <c r="B965" s="3" t="inlineStr">
        <is>
          <t>UNITED TARPS</t>
        </is>
      </c>
      <c r="C965" s="3" t="inlineStr">
        <is>
          <t>United Tarps LLC</t>
        </is>
      </c>
      <c r="D965" s="3" t="inlineStr">
        <is>
          <t>Open</t>
        </is>
      </c>
      <c r="E965" s="23" t="n">
        <v>46190</v>
      </c>
      <c r="F965" s="23" t="n">
        <v>46253</v>
      </c>
      <c r="G965" s="3" t="n">
        <v>1</v>
      </c>
      <c r="H965" s="3" t="inlineStr">
        <is>
          <t>2394</t>
        </is>
      </c>
      <c r="I965" s="3" t="inlineStr">
        <is>
          <t>23</t>
        </is>
      </c>
      <c r="J965" s="3" t="inlineStr">
        <is>
          <t>No state</t>
        </is>
      </c>
      <c r="K965" s="3" t="inlineStr">
        <is>
          <t>Financity</t>
        </is>
      </c>
      <c r="L965" s="3" t="inlineStr">
        <is>
          <t>New Deal</t>
        </is>
      </c>
      <c r="M965" s="3" t="n">
        <v>1.35</v>
      </c>
      <c r="N965" s="28" t="n">
        <v>175000</v>
      </c>
      <c r="O965" s="28" t="n">
        <v>12250</v>
      </c>
      <c r="P965" s="28" t="n">
        <v>236250</v>
      </c>
      <c r="Q965" s="28" t="n">
        <v>48933.54</v>
      </c>
      <c r="R965" s="28" t="n">
        <v>187316.46</v>
      </c>
      <c r="S965" s="42" t="n">
        <v>0.207126095238095</v>
      </c>
      <c r="T965" s="3" t="n">
        <v>40</v>
      </c>
      <c r="U965" s="3" t="n">
        <v>0</v>
      </c>
      <c r="V965" s="3" t="n">
        <v>267221.26</v>
      </c>
      <c r="W965" s="42" t="n">
        <v>0.08840000000000001</v>
      </c>
      <c r="X965" s="23" t="n">
        <v>43466</v>
      </c>
      <c r="Y965" s="3">
        <f>IF(I965="","No SIC",IFERROR(VLOOKUP(I965,Ref!$A$2:$B$65,2,FALSE()),"Unclassified"))</f>
        <v/>
      </c>
      <c r="Z965" s="3">
        <f>IF(T965="","",IF(T965&lt;12,"Daily","Weekly"))</f>
        <v/>
      </c>
      <c r="AA965" s="3">
        <f>IF(T965="",0,IF(T965&lt;12,T965*Controls!$B$13,T965*5))</f>
        <v/>
      </c>
      <c r="AB965" s="3">
        <f>IF(E965="",0,NETWORKDAYS(E965,Controls!$B$20,Ref!$K$2:$K$42))</f>
        <v/>
      </c>
      <c r="AC965" s="3">
        <f>IF(OR(AF965=1,AND(AA965&gt;0,AB965&gt;=Controls!$B$23*AA965)),1,0)</f>
        <v/>
      </c>
      <c r="AD965" s="3">
        <f>IF(AND(E965&lt;&gt;"",E965&gt;=Controls!$B$21,E965&lt;=Controls!$B$22),1,0)</f>
        <v/>
      </c>
      <c r="AE965" s="3">
        <f>IF(IFERROR(VLOOKUP(D965,Controls!$A$36:$E$46,2,FALSE()),"No")="Yes",1,0)</f>
        <v/>
      </c>
      <c r="AF965" s="3">
        <f>IF(IFERROR(VLOOKUP(D965,Controls!$A$36:$E$46,3,FALSE()),"No")="Yes",1,0)</f>
        <v/>
      </c>
      <c r="AG965" s="3">
        <f>IF(IFERROR(VLOOKUP(D965,Controls!$A$36:$E$46,4,FALSE()),"No")="Yes",1,0)</f>
        <v/>
      </c>
      <c r="AH965" s="3">
        <f>IF(IFERROR(VLOOKUP(D965,Controls!$A$36:$E$46,5,FALSE()),"No")="Yes",1,0)</f>
        <v/>
      </c>
      <c r="AI965" s="3">
        <f>IF(ISNUMBER(MATCH(D965,Controls!$A$36:$A$46,0)),1,0)</f>
        <v/>
      </c>
      <c r="AJ965" s="28">
        <f>Q965-N965</f>
        <v/>
      </c>
      <c r="AK965" s="3">
        <f>IF(AE965=1,MAX(0,N965-Q965),0)</f>
        <v/>
      </c>
      <c r="AL965" s="3">
        <f>IF(OR(V965="",V965=0),0,N965/V965)</f>
        <v/>
      </c>
      <c r="AM965" s="3">
        <f>IF(OR(V965="",V965=0),0,1)</f>
        <v/>
      </c>
      <c r="AN965" s="3">
        <f>IF(OR(E965="",F965=""),0,NETWORKDAYS(E965,F965,Ref!$K$2:$K$42))</f>
        <v/>
      </c>
      <c r="AO965" s="3">
        <f>IF(L965="Renewal",1,0)</f>
        <v/>
      </c>
      <c r="AP965" s="3">
        <f>AC965*AD965</f>
        <v/>
      </c>
      <c r="AQ965" s="3">
        <f>IF(AND(G965&lt;&gt;"",'Historical Score'!$C$6&lt;&gt;""),IF(G965='Historical Score'!$C$6,1,0),0)</f>
        <v/>
      </c>
      <c r="AR965" s="3">
        <f>IF(AND(L965&lt;&gt;"",'Historical Score'!$C$5&lt;&gt;""),IF(L965='Historical Score'!$C$5,1,0),0)</f>
        <v/>
      </c>
      <c r="AS965" s="3">
        <f>IF(AND(Y965&lt;&gt;"",'Historical Score'!$C$7&lt;&gt;""),IF(Y965='Historical Score'!$C$7,1,0),0)</f>
        <v/>
      </c>
      <c r="AT965" s="3">
        <f>IF(AND(K965&lt;&gt;"",'Historical Score'!$C$8&lt;&gt;""),IF(K965='Historical Score'!$C$8,1,0),0)</f>
        <v/>
      </c>
      <c r="AU965" s="3" t="n"/>
      <c r="AV965" s="3" t="n"/>
      <c r="AW965" s="3" t="n"/>
      <c r="AX965" s="3" t="n"/>
      <c r="AY965" s="3" t="n"/>
      <c r="AZ965" s="3" t="n"/>
      <c r="BA965" s="182">
        <f>IF(AD965=1,(AR965*'Historical Score'!$K$29+1-'Historical Score'!$K$29)*(AT965*'Historical Score'!$L$29+1-'Historical Score'!$L$29)*(AS965*'Historical Score'!$M$29+1-'Historical Score'!$M$29)*(AQ965*'Historical Score'!$N$29+1-'Historical Score'!$N$29),0)</f>
        <v/>
      </c>
      <c r="BB965" s="3" t="n"/>
      <c r="BC965" s="3" t="n"/>
    </row>
    <row r="966" ht="15.75" customHeight="1" s="174">
      <c r="A966" s="3" t="inlineStr">
        <is>
          <t>5674185652</t>
        </is>
      </c>
      <c r="B966" s="3" t="inlineStr">
        <is>
          <t>Robinson Law Firm LLC</t>
        </is>
      </c>
      <c r="C966" s="3" t="inlineStr">
        <is>
          <t>Robinson Law Firm LLC</t>
        </is>
      </c>
      <c r="D966" s="3" t="inlineStr">
        <is>
          <t>Open</t>
        </is>
      </c>
      <c r="E966" s="23" t="n">
        <v>46190</v>
      </c>
      <c r="F966" s="23" t="n">
        <v>46253</v>
      </c>
      <c r="G966" s="3" t="n">
        <v>4</v>
      </c>
      <c r="H966" s="3" t="inlineStr">
        <is>
          <t>8111</t>
        </is>
      </c>
      <c r="I966" s="3" t="inlineStr">
        <is>
          <t>81</t>
        </is>
      </c>
      <c r="J966" s="3" t="inlineStr">
        <is>
          <t>KY</t>
        </is>
      </c>
      <c r="K966" s="3" t="inlineStr">
        <is>
          <t>Linked In Funding</t>
        </is>
      </c>
      <c r="L966" s="3" t="inlineStr">
        <is>
          <t>New Deal</t>
        </is>
      </c>
      <c r="M966" s="3" t="n">
        <v>1.49</v>
      </c>
      <c r="N966" s="28" t="n">
        <v>5000</v>
      </c>
      <c r="O966" s="28" t="n">
        <v>700</v>
      </c>
      <c r="P966" s="28" t="n">
        <v>7450</v>
      </c>
      <c r="Q966" s="28" t="n">
        <v>2683.08</v>
      </c>
      <c r="R966" s="28" t="n">
        <v>4766.92</v>
      </c>
      <c r="S966" s="42" t="n">
        <v>0.360144966442953</v>
      </c>
      <c r="T966" s="3" t="n">
        <v>3.279</v>
      </c>
      <c r="U966" s="3" t="n">
        <v>3</v>
      </c>
      <c r="V966" s="3" t="n">
        <v>14600.1</v>
      </c>
      <c r="W966" s="42" t="n">
        <v>0.1072</v>
      </c>
      <c r="X966" s="23" t="n">
        <v>40349</v>
      </c>
      <c r="Y966" s="3">
        <f>IF(I966="","No SIC",IFERROR(VLOOKUP(I966,Ref!$A$2:$B$65,2,FALSE()),"Unclassified"))</f>
        <v/>
      </c>
      <c r="Z966" s="3">
        <f>IF(T966="","",IF(T966&lt;12,"Daily","Weekly"))</f>
        <v/>
      </c>
      <c r="AA966" s="3">
        <f>IF(T966="",0,IF(T966&lt;12,T966*Controls!$B$13,T966*5))</f>
        <v/>
      </c>
      <c r="AB966" s="3">
        <f>IF(E966="",0,NETWORKDAYS(E966,Controls!$B$20,Ref!$K$2:$K$42))</f>
        <v/>
      </c>
      <c r="AC966" s="3">
        <f>IF(OR(AF966=1,AND(AA966&gt;0,AB966&gt;=Controls!$B$23*AA966)),1,0)</f>
        <v/>
      </c>
      <c r="AD966" s="3">
        <f>IF(AND(E966&lt;&gt;"",E966&gt;=Controls!$B$21,E966&lt;=Controls!$B$22),1,0)</f>
        <v/>
      </c>
      <c r="AE966" s="3">
        <f>IF(IFERROR(VLOOKUP(D966,Controls!$A$36:$E$46,2,FALSE()),"No")="Yes",1,0)</f>
        <v/>
      </c>
      <c r="AF966" s="3">
        <f>IF(IFERROR(VLOOKUP(D966,Controls!$A$36:$E$46,3,FALSE()),"No")="Yes",1,0)</f>
        <v/>
      </c>
      <c r="AG966" s="3">
        <f>IF(IFERROR(VLOOKUP(D966,Controls!$A$36:$E$46,4,FALSE()),"No")="Yes",1,0)</f>
        <v/>
      </c>
      <c r="AH966" s="3">
        <f>IF(IFERROR(VLOOKUP(D966,Controls!$A$36:$E$46,5,FALSE()),"No")="Yes",1,0)</f>
        <v/>
      </c>
      <c r="AI966" s="3">
        <f>IF(ISNUMBER(MATCH(D966,Controls!$A$36:$A$46,0)),1,0)</f>
        <v/>
      </c>
      <c r="AJ966" s="28">
        <f>Q966-N966</f>
        <v/>
      </c>
      <c r="AK966" s="3">
        <f>IF(AE966=1,MAX(0,N966-Q966),0)</f>
        <v/>
      </c>
      <c r="AL966" s="3">
        <f>IF(OR(V966="",V966=0),0,N966/V966)</f>
        <v/>
      </c>
      <c r="AM966" s="3">
        <f>IF(OR(V966="",V966=0),0,1)</f>
        <v/>
      </c>
      <c r="AN966" s="3">
        <f>IF(OR(E966="",F966=""),0,NETWORKDAYS(E966,F966,Ref!$K$2:$K$42))</f>
        <v/>
      </c>
      <c r="AO966" s="3">
        <f>IF(L966="Renewal",1,0)</f>
        <v/>
      </c>
      <c r="AP966" s="3">
        <f>AC966*AD966</f>
        <v/>
      </c>
      <c r="AQ966" s="3">
        <f>IF(AND(G966&lt;&gt;"",'Historical Score'!$C$6&lt;&gt;""),IF(G966='Historical Score'!$C$6,1,0),0)</f>
        <v/>
      </c>
      <c r="AR966" s="3">
        <f>IF(AND(L966&lt;&gt;"",'Historical Score'!$C$5&lt;&gt;""),IF(L966='Historical Score'!$C$5,1,0),0)</f>
        <v/>
      </c>
      <c r="AS966" s="3">
        <f>IF(AND(Y966&lt;&gt;"",'Historical Score'!$C$7&lt;&gt;""),IF(Y966='Historical Score'!$C$7,1,0),0)</f>
        <v/>
      </c>
      <c r="AT966" s="3">
        <f>IF(AND(K966&lt;&gt;"",'Historical Score'!$C$8&lt;&gt;""),IF(K966='Historical Score'!$C$8,1,0),0)</f>
        <v/>
      </c>
      <c r="AU966" s="3" t="n"/>
      <c r="AV966" s="3" t="n"/>
      <c r="AW966" s="3" t="n"/>
      <c r="AX966" s="3" t="n"/>
      <c r="AY966" s="3" t="n"/>
      <c r="AZ966" s="3" t="n"/>
      <c r="BA966" s="182">
        <f>IF(AD966=1,(AR966*'Historical Score'!$K$29+1-'Historical Score'!$K$29)*(AT966*'Historical Score'!$L$29+1-'Historical Score'!$L$29)*(AS966*'Historical Score'!$M$29+1-'Historical Score'!$M$29)*(AQ966*'Historical Score'!$N$29+1-'Historical Score'!$N$29),0)</f>
        <v/>
      </c>
      <c r="BB966" s="3" t="n"/>
      <c r="BC966" s="3" t="n"/>
    </row>
    <row r="967" ht="15.75" customHeight="1" s="174">
      <c r="A967" s="3" t="inlineStr">
        <is>
          <t>5674185654</t>
        </is>
      </c>
      <c r="B967" s="3" t="inlineStr">
        <is>
          <t>TRANSGLOBAL CONCESSIONS</t>
        </is>
      </c>
      <c r="C967" s="3" t="inlineStr">
        <is>
          <t>Transglobal Concessions LLC</t>
        </is>
      </c>
      <c r="D967" s="3" t="inlineStr">
        <is>
          <t>Closed</t>
        </is>
      </c>
      <c r="E967" s="23" t="n">
        <v>46190</v>
      </c>
      <c r="F967" s="23" t="n">
        <v>46253</v>
      </c>
      <c r="G967" s="3" t="n">
        <v>4</v>
      </c>
      <c r="H967" s="3" t="inlineStr">
        <is>
          <t>5812</t>
        </is>
      </c>
      <c r="I967" s="3" t="inlineStr">
        <is>
          <t>58</t>
        </is>
      </c>
      <c r="J967" s="3" t="inlineStr">
        <is>
          <t>FL</t>
        </is>
      </c>
      <c r="K967" s="3" t="inlineStr">
        <is>
          <t>PMF</t>
        </is>
      </c>
      <c r="L967" s="3" t="inlineStr">
        <is>
          <t>New Deal</t>
        </is>
      </c>
      <c r="M967" s="3" t="n">
        <v>1.15000254</v>
      </c>
      <c r="N967" s="28" t="n">
        <v>315000</v>
      </c>
      <c r="O967" s="28" t="n">
        <v>35437.5</v>
      </c>
      <c r="P967" s="28" t="n">
        <v>362250.8001</v>
      </c>
      <c r="Q967" s="28" t="n">
        <v>362250.8</v>
      </c>
      <c r="R967" s="28" t="n">
        <v>0.000100000004749745</v>
      </c>
      <c r="S967" s="42" t="n">
        <v>0.999999999723948</v>
      </c>
      <c r="T967" s="3" t="n">
        <v>40</v>
      </c>
      <c r="U967" s="3" t="n">
        <v>0</v>
      </c>
      <c r="V967" s="3" t="n">
        <v>949336.14</v>
      </c>
      <c r="W967" s="42" t="n">
        <v>0.0461</v>
      </c>
      <c r="X967" s="23" t="n">
        <v>38959</v>
      </c>
      <c r="Y967" s="3">
        <f>IF(I967="","No SIC",IFERROR(VLOOKUP(I967,Ref!$A$2:$B$65,2,FALSE()),"Unclassified"))</f>
        <v/>
      </c>
      <c r="Z967" s="3">
        <f>IF(T967="","",IF(T967&lt;12,"Daily","Weekly"))</f>
        <v/>
      </c>
      <c r="AA967" s="3">
        <f>IF(T967="",0,IF(T967&lt;12,T967*Controls!$B$13,T967*5))</f>
        <v/>
      </c>
      <c r="AB967" s="3">
        <f>IF(E967="",0,NETWORKDAYS(E967,Controls!$B$20,Ref!$K$2:$K$42))</f>
        <v/>
      </c>
      <c r="AC967" s="3">
        <f>IF(OR(AF967=1,AND(AA967&gt;0,AB967&gt;=Controls!$B$23*AA967)),1,0)</f>
        <v/>
      </c>
      <c r="AD967" s="3">
        <f>IF(AND(E967&lt;&gt;"",E967&gt;=Controls!$B$21,E967&lt;=Controls!$B$22),1,0)</f>
        <v/>
      </c>
      <c r="AE967" s="3">
        <f>IF(IFERROR(VLOOKUP(D967,Controls!$A$36:$E$46,2,FALSE()),"No")="Yes",1,0)</f>
        <v/>
      </c>
      <c r="AF967" s="3">
        <f>IF(IFERROR(VLOOKUP(D967,Controls!$A$36:$E$46,3,FALSE()),"No")="Yes",1,0)</f>
        <v/>
      </c>
      <c r="AG967" s="3">
        <f>IF(IFERROR(VLOOKUP(D967,Controls!$A$36:$E$46,4,FALSE()),"No")="Yes",1,0)</f>
        <v/>
      </c>
      <c r="AH967" s="3">
        <f>IF(IFERROR(VLOOKUP(D967,Controls!$A$36:$E$46,5,FALSE()),"No")="Yes",1,0)</f>
        <v/>
      </c>
      <c r="AI967" s="3">
        <f>IF(ISNUMBER(MATCH(D967,Controls!$A$36:$A$46,0)),1,0)</f>
        <v/>
      </c>
      <c r="AJ967" s="28">
        <f>Q967-N967</f>
        <v/>
      </c>
      <c r="AK967" s="3">
        <f>IF(AE967=1,MAX(0,N967-Q967),0)</f>
        <v/>
      </c>
      <c r="AL967" s="3">
        <f>IF(OR(V967="",V967=0),0,N967/V967)</f>
        <v/>
      </c>
      <c r="AM967" s="3">
        <f>IF(OR(V967="",V967=0),0,1)</f>
        <v/>
      </c>
      <c r="AN967" s="3">
        <f>IF(OR(E967="",F967=""),0,NETWORKDAYS(E967,F967,Ref!$K$2:$K$42))</f>
        <v/>
      </c>
      <c r="AO967" s="3">
        <f>IF(L967="Renewal",1,0)</f>
        <v/>
      </c>
      <c r="AP967" s="3">
        <f>AC967*AD967</f>
        <v/>
      </c>
      <c r="AQ967" s="3">
        <f>IF(AND(G967&lt;&gt;"",'Historical Score'!$C$6&lt;&gt;""),IF(G967='Historical Score'!$C$6,1,0),0)</f>
        <v/>
      </c>
      <c r="AR967" s="3">
        <f>IF(AND(L967&lt;&gt;"",'Historical Score'!$C$5&lt;&gt;""),IF(L967='Historical Score'!$C$5,1,0),0)</f>
        <v/>
      </c>
      <c r="AS967" s="3">
        <f>IF(AND(Y967&lt;&gt;"",'Historical Score'!$C$7&lt;&gt;""),IF(Y967='Historical Score'!$C$7,1,0),0)</f>
        <v/>
      </c>
      <c r="AT967" s="3">
        <f>IF(AND(K967&lt;&gt;"",'Historical Score'!$C$8&lt;&gt;""),IF(K967='Historical Score'!$C$8,1,0),0)</f>
        <v/>
      </c>
      <c r="AU967" s="3" t="n"/>
      <c r="AV967" s="3" t="n"/>
      <c r="AW967" s="3" t="n"/>
      <c r="AX967" s="3" t="n"/>
      <c r="AY967" s="3" t="n"/>
      <c r="AZ967" s="3" t="n"/>
      <c r="BA967" s="182">
        <f>IF(AD967=1,(AR967*'Historical Score'!$K$29+1-'Historical Score'!$K$29)*(AT967*'Historical Score'!$L$29+1-'Historical Score'!$L$29)*(AS967*'Historical Score'!$M$29+1-'Historical Score'!$M$29)*(AQ967*'Historical Score'!$N$29+1-'Historical Score'!$N$29),0)</f>
        <v/>
      </c>
      <c r="BB967" s="3" t="n"/>
      <c r="BC967" s="3" t="n"/>
    </row>
    <row r="968" ht="15.75" customHeight="1" s="174">
      <c r="A968" s="3" t="inlineStr">
        <is>
          <t>5674185729</t>
        </is>
      </c>
      <c r="B968" s="3" t="inlineStr">
        <is>
          <t>KOZLENKO&amp;CO LLC</t>
        </is>
      </c>
      <c r="C968" s="3" t="inlineStr">
        <is>
          <t>KOZLENKO&amp;CO LLC</t>
        </is>
      </c>
      <c r="D968" s="3" t="inlineStr">
        <is>
          <t>Closed</t>
        </is>
      </c>
      <c r="E968" s="23" t="n">
        <v>46191</v>
      </c>
      <c r="F968" s="23" t="n">
        <v>46238</v>
      </c>
      <c r="G968" s="3" t="n">
        <v>3</v>
      </c>
      <c r="H968" s="3" t="inlineStr">
        <is>
          <t>6531</t>
        </is>
      </c>
      <c r="I968" s="3" t="inlineStr">
        <is>
          <t>65</t>
        </is>
      </c>
      <c r="J968" s="3" t="inlineStr">
        <is>
          <t>FL</t>
        </is>
      </c>
      <c r="K968" s="3" t="inlineStr">
        <is>
          <t>United Secured Capital 8</t>
        </is>
      </c>
      <c r="L968" s="3" t="inlineStr">
        <is>
          <t>New Deal</t>
        </is>
      </c>
      <c r="M968" s="3" t="n">
        <v>1.49</v>
      </c>
      <c r="N968" s="28" t="n">
        <v>10000</v>
      </c>
      <c r="O968" s="28" t="n">
        <v>1400</v>
      </c>
      <c r="P968" s="28" t="n">
        <v>14900</v>
      </c>
      <c r="Q968" s="28" t="n">
        <v>14900</v>
      </c>
      <c r="R968" s="28" t="n">
        <v>0</v>
      </c>
      <c r="S968" s="42" t="n">
        <v>1</v>
      </c>
      <c r="T968" s="3" t="n">
        <v>2.623</v>
      </c>
      <c r="U968" s="3" t="n">
        <v>0</v>
      </c>
      <c r="V968" s="3" t="n">
        <v>31031.13</v>
      </c>
      <c r="W968" s="42" t="n">
        <v>0.126</v>
      </c>
      <c r="X968" s="23" t="n">
        <v>45620</v>
      </c>
      <c r="Y968" s="3">
        <f>IF(I968="","No SIC",IFERROR(VLOOKUP(I968,Ref!$A$2:$B$65,2,FALSE()),"Unclassified"))</f>
        <v/>
      </c>
      <c r="Z968" s="3">
        <f>IF(T968="","",IF(T968&lt;12,"Daily","Weekly"))</f>
        <v/>
      </c>
      <c r="AA968" s="3">
        <f>IF(T968="",0,IF(T968&lt;12,T968*Controls!$B$13,T968*5))</f>
        <v/>
      </c>
      <c r="AB968" s="3">
        <f>IF(E968="",0,NETWORKDAYS(E968,Controls!$B$20,Ref!$K$2:$K$42))</f>
        <v/>
      </c>
      <c r="AC968" s="3">
        <f>IF(OR(AF968=1,AND(AA968&gt;0,AB968&gt;=Controls!$B$23*AA968)),1,0)</f>
        <v/>
      </c>
      <c r="AD968" s="3">
        <f>IF(AND(E968&lt;&gt;"",E968&gt;=Controls!$B$21,E968&lt;=Controls!$B$22),1,0)</f>
        <v/>
      </c>
      <c r="AE968" s="3">
        <f>IF(IFERROR(VLOOKUP(D968,Controls!$A$36:$E$46,2,FALSE()),"No")="Yes",1,0)</f>
        <v/>
      </c>
      <c r="AF968" s="3">
        <f>IF(IFERROR(VLOOKUP(D968,Controls!$A$36:$E$46,3,FALSE()),"No")="Yes",1,0)</f>
        <v/>
      </c>
      <c r="AG968" s="3">
        <f>IF(IFERROR(VLOOKUP(D968,Controls!$A$36:$E$46,4,FALSE()),"No")="Yes",1,0)</f>
        <v/>
      </c>
      <c r="AH968" s="3">
        <f>IF(IFERROR(VLOOKUP(D968,Controls!$A$36:$E$46,5,FALSE()),"No")="Yes",1,0)</f>
        <v/>
      </c>
      <c r="AI968" s="3">
        <f>IF(ISNUMBER(MATCH(D968,Controls!$A$36:$A$46,0)),1,0)</f>
        <v/>
      </c>
      <c r="AJ968" s="28">
        <f>Q968-N968</f>
        <v/>
      </c>
      <c r="AK968" s="3">
        <f>IF(AE968=1,MAX(0,N968-Q968),0)</f>
        <v/>
      </c>
      <c r="AL968" s="3">
        <f>IF(OR(V968="",V968=0),0,N968/V968)</f>
        <v/>
      </c>
      <c r="AM968" s="3">
        <f>IF(OR(V968="",V968=0),0,1)</f>
        <v/>
      </c>
      <c r="AN968" s="3">
        <f>IF(OR(E968="",F968=""),0,NETWORKDAYS(E968,F968,Ref!$K$2:$K$42))</f>
        <v/>
      </c>
      <c r="AO968" s="3">
        <f>IF(L968="Renewal",1,0)</f>
        <v/>
      </c>
      <c r="AP968" s="3">
        <f>AC968*AD968</f>
        <v/>
      </c>
      <c r="AQ968" s="3">
        <f>IF(AND(G968&lt;&gt;"",'Historical Score'!$C$6&lt;&gt;""),IF(G968='Historical Score'!$C$6,1,0),0)</f>
        <v/>
      </c>
      <c r="AR968" s="3">
        <f>IF(AND(L968&lt;&gt;"",'Historical Score'!$C$5&lt;&gt;""),IF(L968='Historical Score'!$C$5,1,0),0)</f>
        <v/>
      </c>
      <c r="AS968" s="3">
        <f>IF(AND(Y968&lt;&gt;"",'Historical Score'!$C$7&lt;&gt;""),IF(Y968='Historical Score'!$C$7,1,0),0)</f>
        <v/>
      </c>
      <c r="AT968" s="3">
        <f>IF(AND(K968&lt;&gt;"",'Historical Score'!$C$8&lt;&gt;""),IF(K968='Historical Score'!$C$8,1,0),0)</f>
        <v/>
      </c>
      <c r="AU968" s="3" t="n"/>
      <c r="AV968" s="3" t="n"/>
      <c r="AW968" s="3" t="n"/>
      <c r="AX968" s="3" t="n"/>
      <c r="AY968" s="3" t="n"/>
      <c r="AZ968" s="3" t="n"/>
      <c r="BA968" s="182">
        <f>IF(AD968=1,(AR968*'Historical Score'!$K$29+1-'Historical Score'!$K$29)*(AT968*'Historical Score'!$L$29+1-'Historical Score'!$L$29)*(AS968*'Historical Score'!$M$29+1-'Historical Score'!$M$29)*(AQ968*'Historical Score'!$N$29+1-'Historical Score'!$N$29),0)</f>
        <v/>
      </c>
      <c r="BB968" s="3" t="n"/>
      <c r="BC968" s="3" t="n"/>
    </row>
    <row r="969" ht="15.75" customHeight="1" s="174">
      <c r="A969" s="3" t="inlineStr">
        <is>
          <t>5674185734</t>
        </is>
      </c>
      <c r="B969" s="3" t="inlineStr">
        <is>
          <t>OLD SAYBROOK GARDEN CENTER</t>
        </is>
      </c>
      <c r="C969" s="3" t="inlineStr">
        <is>
          <t>He did he did LLC</t>
        </is>
      </c>
      <c r="D969" s="3" t="inlineStr">
        <is>
          <t>Open</t>
        </is>
      </c>
      <c r="E969" s="23" t="n">
        <v>46191</v>
      </c>
      <c r="F969" s="23" t="n">
        <v>46248</v>
      </c>
      <c r="G969" s="3" t="n">
        <v>4</v>
      </c>
      <c r="H969" s="3" t="inlineStr">
        <is>
          <t>5261</t>
        </is>
      </c>
      <c r="I969" s="3" t="inlineStr">
        <is>
          <t>52</t>
        </is>
      </c>
      <c r="J969" s="3" t="inlineStr">
        <is>
          <t>CT</t>
        </is>
      </c>
      <c r="K969" s="3" t="inlineStr">
        <is>
          <t>United Secured Capital 8</t>
        </is>
      </c>
      <c r="L969" s="3" t="inlineStr">
        <is>
          <t>New Deal</t>
        </is>
      </c>
      <c r="M969" s="3" t="n">
        <v>1.49</v>
      </c>
      <c r="N969" s="28" t="n">
        <v>15000</v>
      </c>
      <c r="O969" s="28" t="n">
        <v>2100</v>
      </c>
      <c r="P969" s="28" t="n">
        <v>22350</v>
      </c>
      <c r="Q969" s="28" t="n">
        <v>7817.46</v>
      </c>
      <c r="R969" s="28" t="n">
        <v>14532.54</v>
      </c>
      <c r="S969" s="42" t="n">
        <v>0.349774496644295</v>
      </c>
      <c r="T969" s="3" t="n">
        <v>20</v>
      </c>
      <c r="U969" s="3" t="n">
        <v>0</v>
      </c>
      <c r="V969" s="3" t="n">
        <v>123742.46</v>
      </c>
      <c r="W969" s="42" t="n">
        <v>0.0361</v>
      </c>
      <c r="X969" s="23" t="n">
        <v>45919</v>
      </c>
      <c r="Y969" s="3">
        <f>IF(I969="","No SIC",IFERROR(VLOOKUP(I969,Ref!$A$2:$B$65,2,FALSE()),"Unclassified"))</f>
        <v/>
      </c>
      <c r="Z969" s="3">
        <f>IF(T969="","",IF(T969&lt;12,"Daily","Weekly"))</f>
        <v/>
      </c>
      <c r="AA969" s="3">
        <f>IF(T969="",0,IF(T969&lt;12,T969*Controls!$B$13,T969*5))</f>
        <v/>
      </c>
      <c r="AB969" s="3">
        <f>IF(E969="",0,NETWORKDAYS(E969,Controls!$B$20,Ref!$K$2:$K$42))</f>
        <v/>
      </c>
      <c r="AC969" s="3">
        <f>IF(OR(AF969=1,AND(AA969&gt;0,AB969&gt;=Controls!$B$23*AA969)),1,0)</f>
        <v/>
      </c>
      <c r="AD969" s="3">
        <f>IF(AND(E969&lt;&gt;"",E969&gt;=Controls!$B$21,E969&lt;=Controls!$B$22),1,0)</f>
        <v/>
      </c>
      <c r="AE969" s="3">
        <f>IF(IFERROR(VLOOKUP(D969,Controls!$A$36:$E$46,2,FALSE()),"No")="Yes",1,0)</f>
        <v/>
      </c>
      <c r="AF969" s="3">
        <f>IF(IFERROR(VLOOKUP(D969,Controls!$A$36:$E$46,3,FALSE()),"No")="Yes",1,0)</f>
        <v/>
      </c>
      <c r="AG969" s="3">
        <f>IF(IFERROR(VLOOKUP(D969,Controls!$A$36:$E$46,4,FALSE()),"No")="Yes",1,0)</f>
        <v/>
      </c>
      <c r="AH969" s="3">
        <f>IF(IFERROR(VLOOKUP(D969,Controls!$A$36:$E$46,5,FALSE()),"No")="Yes",1,0)</f>
        <v/>
      </c>
      <c r="AI969" s="3">
        <f>IF(ISNUMBER(MATCH(D969,Controls!$A$36:$A$46,0)),1,0)</f>
        <v/>
      </c>
      <c r="AJ969" s="28">
        <f>Q969-N969</f>
        <v/>
      </c>
      <c r="AK969" s="3">
        <f>IF(AE969=1,MAX(0,N969-Q969),0)</f>
        <v/>
      </c>
      <c r="AL969" s="3">
        <f>IF(OR(V969="",V969=0),0,N969/V969)</f>
        <v/>
      </c>
      <c r="AM969" s="3">
        <f>IF(OR(V969="",V969=0),0,1)</f>
        <v/>
      </c>
      <c r="AN969" s="3">
        <f>IF(OR(E969="",F969=""),0,NETWORKDAYS(E969,F969,Ref!$K$2:$K$42))</f>
        <v/>
      </c>
      <c r="AO969" s="3">
        <f>IF(L969="Renewal",1,0)</f>
        <v/>
      </c>
      <c r="AP969" s="3">
        <f>AC969*AD969</f>
        <v/>
      </c>
      <c r="AQ969" s="3">
        <f>IF(AND(G969&lt;&gt;"",'Historical Score'!$C$6&lt;&gt;""),IF(G969='Historical Score'!$C$6,1,0),0)</f>
        <v/>
      </c>
      <c r="AR969" s="3">
        <f>IF(AND(L969&lt;&gt;"",'Historical Score'!$C$5&lt;&gt;""),IF(L969='Historical Score'!$C$5,1,0),0)</f>
        <v/>
      </c>
      <c r="AS969" s="3">
        <f>IF(AND(Y969&lt;&gt;"",'Historical Score'!$C$7&lt;&gt;""),IF(Y969='Historical Score'!$C$7,1,0),0)</f>
        <v/>
      </c>
      <c r="AT969" s="3">
        <f>IF(AND(K969&lt;&gt;"",'Historical Score'!$C$8&lt;&gt;""),IF(K969='Historical Score'!$C$8,1,0),0)</f>
        <v/>
      </c>
      <c r="AU969" s="3" t="n"/>
      <c r="AV969" s="3" t="n"/>
      <c r="AW969" s="3" t="n"/>
      <c r="AX969" s="3" t="n"/>
      <c r="AY969" s="3" t="n"/>
      <c r="AZ969" s="3" t="n"/>
      <c r="BA969" s="182">
        <f>IF(AD969=1,(AR969*'Historical Score'!$K$29+1-'Historical Score'!$K$29)*(AT969*'Historical Score'!$L$29+1-'Historical Score'!$L$29)*(AS969*'Historical Score'!$M$29+1-'Historical Score'!$M$29)*(AQ969*'Historical Score'!$N$29+1-'Historical Score'!$N$29),0)</f>
        <v/>
      </c>
      <c r="BB969" s="3" t="n"/>
      <c r="BC969" s="3" t="n"/>
    </row>
    <row r="970" ht="15.75" customHeight="1" s="174">
      <c r="A970" s="3" t="inlineStr">
        <is>
          <t>5674185746</t>
        </is>
      </c>
      <c r="B970" s="3" t="inlineStr">
        <is>
          <t>AGAVE BUILDERS</t>
        </is>
      </c>
      <c r="C970" s="3" t="inlineStr">
        <is>
          <t>AGAVE BUILDERS LLC</t>
        </is>
      </c>
      <c r="D970" s="3" t="inlineStr">
        <is>
          <t>Legal</t>
        </is>
      </c>
      <c r="E970" s="23" t="n">
        <v>46191</v>
      </c>
      <c r="F970" s="23" t="n">
        <v>46238</v>
      </c>
      <c r="G970" s="3" t="n">
        <v>2</v>
      </c>
      <c r="H970" s="3" t="inlineStr">
        <is>
          <t>1522</t>
        </is>
      </c>
      <c r="I970" s="3" t="inlineStr">
        <is>
          <t>15</t>
        </is>
      </c>
      <c r="J970" s="3" t="inlineStr">
        <is>
          <t>AZ</t>
        </is>
      </c>
      <c r="K970" s="3" t="inlineStr">
        <is>
          <t>J Capital Solutions</t>
        </is>
      </c>
      <c r="L970" s="3" t="inlineStr">
        <is>
          <t>New Deal</t>
        </is>
      </c>
      <c r="M970" s="3" t="n">
        <v>1.49</v>
      </c>
      <c r="N970" s="28" t="n">
        <v>70000</v>
      </c>
      <c r="O970" s="28" t="n">
        <v>0</v>
      </c>
      <c r="P970" s="28" t="n">
        <v>104300</v>
      </c>
      <c r="Q970" s="28" t="n">
        <v>3069.58</v>
      </c>
      <c r="R970" s="28" t="n">
        <v>101230.42</v>
      </c>
      <c r="S970" s="42" t="n">
        <v>0.029430297219559</v>
      </c>
      <c r="T970" s="3" t="n">
        <v>34</v>
      </c>
      <c r="U970" s="3" t="n">
        <v>17</v>
      </c>
      <c r="V970" s="3" t="n">
        <v>210967.52</v>
      </c>
      <c r="W970" s="42" t="n">
        <v>0.0582</v>
      </c>
      <c r="X970" s="23" t="n">
        <v>36526</v>
      </c>
      <c r="Y970" s="3">
        <f>IF(I970="","No SIC",IFERROR(VLOOKUP(I970,Ref!$A$2:$B$65,2,FALSE()),"Unclassified"))</f>
        <v/>
      </c>
      <c r="Z970" s="3">
        <f>IF(T970="","",IF(T970&lt;12,"Daily","Weekly"))</f>
        <v/>
      </c>
      <c r="AA970" s="3">
        <f>IF(T970="",0,IF(T970&lt;12,T970*Controls!$B$13,T970*5))</f>
        <v/>
      </c>
      <c r="AB970" s="3">
        <f>IF(E970="",0,NETWORKDAYS(E970,Controls!$B$20,Ref!$K$2:$K$42))</f>
        <v/>
      </c>
      <c r="AC970" s="3">
        <f>IF(OR(AF970=1,AND(AA970&gt;0,AB970&gt;=Controls!$B$23*AA970)),1,0)</f>
        <v/>
      </c>
      <c r="AD970" s="3">
        <f>IF(AND(E970&lt;&gt;"",E970&gt;=Controls!$B$21,E970&lt;=Controls!$B$22),1,0)</f>
        <v/>
      </c>
      <c r="AE970" s="3">
        <f>IF(IFERROR(VLOOKUP(D970,Controls!$A$36:$E$46,2,FALSE()),"No")="Yes",1,0)</f>
        <v/>
      </c>
      <c r="AF970" s="3">
        <f>IF(IFERROR(VLOOKUP(D970,Controls!$A$36:$E$46,3,FALSE()),"No")="Yes",1,0)</f>
        <v/>
      </c>
      <c r="AG970" s="3">
        <f>IF(IFERROR(VLOOKUP(D970,Controls!$A$36:$E$46,4,FALSE()),"No")="Yes",1,0)</f>
        <v/>
      </c>
      <c r="AH970" s="3">
        <f>IF(IFERROR(VLOOKUP(D970,Controls!$A$36:$E$46,5,FALSE()),"No")="Yes",1,0)</f>
        <v/>
      </c>
      <c r="AI970" s="3">
        <f>IF(ISNUMBER(MATCH(D970,Controls!$A$36:$A$46,0)),1,0)</f>
        <v/>
      </c>
      <c r="AJ970" s="28">
        <f>Q970-N970</f>
        <v/>
      </c>
      <c r="AK970" s="3">
        <f>IF(AE970=1,MAX(0,N970-Q970),0)</f>
        <v/>
      </c>
      <c r="AL970" s="3">
        <f>IF(OR(V970="",V970=0),0,N970/V970)</f>
        <v/>
      </c>
      <c r="AM970" s="3">
        <f>IF(OR(V970="",V970=0),0,1)</f>
        <v/>
      </c>
      <c r="AN970" s="3">
        <f>IF(OR(E970="",F970=""),0,NETWORKDAYS(E970,F970,Ref!$K$2:$K$42))</f>
        <v/>
      </c>
      <c r="AO970" s="3">
        <f>IF(L970="Renewal",1,0)</f>
        <v/>
      </c>
      <c r="AP970" s="3">
        <f>AC970*AD970</f>
        <v/>
      </c>
      <c r="AQ970" s="3">
        <f>IF(AND(G970&lt;&gt;"",'Historical Score'!$C$6&lt;&gt;""),IF(G970='Historical Score'!$C$6,1,0),0)</f>
        <v/>
      </c>
      <c r="AR970" s="3">
        <f>IF(AND(L970&lt;&gt;"",'Historical Score'!$C$5&lt;&gt;""),IF(L970='Historical Score'!$C$5,1,0),0)</f>
        <v/>
      </c>
      <c r="AS970" s="3">
        <f>IF(AND(Y970&lt;&gt;"",'Historical Score'!$C$7&lt;&gt;""),IF(Y970='Historical Score'!$C$7,1,0),0)</f>
        <v/>
      </c>
      <c r="AT970" s="3">
        <f>IF(AND(K970&lt;&gt;"",'Historical Score'!$C$8&lt;&gt;""),IF(K970='Historical Score'!$C$8,1,0),0)</f>
        <v/>
      </c>
      <c r="AU970" s="3" t="n"/>
      <c r="AV970" s="3" t="n"/>
      <c r="AW970" s="3" t="n"/>
      <c r="AX970" s="3" t="n"/>
      <c r="AY970" s="3" t="n"/>
      <c r="AZ970" s="3" t="n"/>
      <c r="BA970" s="182">
        <f>IF(AD970=1,(AR970*'Historical Score'!$K$29+1-'Historical Score'!$K$29)*(AT970*'Historical Score'!$L$29+1-'Historical Score'!$L$29)*(AS970*'Historical Score'!$M$29+1-'Historical Score'!$M$29)*(AQ970*'Historical Score'!$N$29+1-'Historical Score'!$N$29),0)</f>
        <v/>
      </c>
      <c r="BB970" s="3" t="n"/>
      <c r="BC970" s="3" t="n"/>
    </row>
    <row r="971" ht="15.75" customHeight="1" s="174">
      <c r="A971" s="3" t="inlineStr">
        <is>
          <t>5674185758</t>
        </is>
      </c>
      <c r="B971" s="3" t="inlineStr">
        <is>
          <t>YUMA LANDING COMPANY</t>
        </is>
      </c>
      <c r="C971" s="3" t="inlineStr">
        <is>
          <t>YUMA LANDING COMPANY</t>
        </is>
      </c>
      <c r="D971" s="3" t="inlineStr">
        <is>
          <t>Open</t>
        </is>
      </c>
      <c r="E971" s="23" t="n">
        <v>46191</v>
      </c>
      <c r="F971" s="23" t="n">
        <v>46233</v>
      </c>
      <c r="G971" s="3" t="n">
        <v>3</v>
      </c>
      <c r="H971" s="3" t="inlineStr">
        <is>
          <t>6531</t>
        </is>
      </c>
      <c r="I971" s="3" t="inlineStr">
        <is>
          <t>65</t>
        </is>
      </c>
      <c r="J971" s="3" t="inlineStr">
        <is>
          <t>AZ</t>
        </is>
      </c>
      <c r="K971" s="3" t="inlineStr">
        <is>
          <t>PMF</t>
        </is>
      </c>
      <c r="L971" s="3" t="inlineStr">
        <is>
          <t>New Deal</t>
        </is>
      </c>
      <c r="M971" s="3" t="n">
        <v>1.49</v>
      </c>
      <c r="N971" s="28" t="n">
        <v>20000</v>
      </c>
      <c r="O971" s="28" t="n">
        <v>2800</v>
      </c>
      <c r="P971" s="28" t="n">
        <v>29800</v>
      </c>
      <c r="Q971" s="28" t="n">
        <v>7835.25</v>
      </c>
      <c r="R971" s="28" t="n">
        <v>21964.75</v>
      </c>
      <c r="S971" s="42" t="n">
        <v>0.262927852348993</v>
      </c>
      <c r="T971" s="3" t="n">
        <v>3.115</v>
      </c>
      <c r="U971" s="3" t="n">
        <v>4</v>
      </c>
      <c r="V971" s="3" t="n">
        <v>135144.45</v>
      </c>
      <c r="W971" s="42" t="n">
        <v>0.0487</v>
      </c>
      <c r="X971" s="23" t="n">
        <v>33522</v>
      </c>
      <c r="Y971" s="3">
        <f>IF(I971="","No SIC",IFERROR(VLOOKUP(I971,Ref!$A$2:$B$65,2,FALSE()),"Unclassified"))</f>
        <v/>
      </c>
      <c r="Z971" s="3">
        <f>IF(T971="","",IF(T971&lt;12,"Daily","Weekly"))</f>
        <v/>
      </c>
      <c r="AA971" s="3">
        <f>IF(T971="",0,IF(T971&lt;12,T971*Controls!$B$13,T971*5))</f>
        <v/>
      </c>
      <c r="AB971" s="3">
        <f>IF(E971="",0,NETWORKDAYS(E971,Controls!$B$20,Ref!$K$2:$K$42))</f>
        <v/>
      </c>
      <c r="AC971" s="3">
        <f>IF(OR(AF971=1,AND(AA971&gt;0,AB971&gt;=Controls!$B$23*AA971)),1,0)</f>
        <v/>
      </c>
      <c r="AD971" s="3">
        <f>IF(AND(E971&lt;&gt;"",E971&gt;=Controls!$B$21,E971&lt;=Controls!$B$22),1,0)</f>
        <v/>
      </c>
      <c r="AE971" s="3">
        <f>IF(IFERROR(VLOOKUP(D971,Controls!$A$36:$E$46,2,FALSE()),"No")="Yes",1,0)</f>
        <v/>
      </c>
      <c r="AF971" s="3">
        <f>IF(IFERROR(VLOOKUP(D971,Controls!$A$36:$E$46,3,FALSE()),"No")="Yes",1,0)</f>
        <v/>
      </c>
      <c r="AG971" s="3">
        <f>IF(IFERROR(VLOOKUP(D971,Controls!$A$36:$E$46,4,FALSE()),"No")="Yes",1,0)</f>
        <v/>
      </c>
      <c r="AH971" s="3">
        <f>IF(IFERROR(VLOOKUP(D971,Controls!$A$36:$E$46,5,FALSE()),"No")="Yes",1,0)</f>
        <v/>
      </c>
      <c r="AI971" s="3">
        <f>IF(ISNUMBER(MATCH(D971,Controls!$A$36:$A$46,0)),1,0)</f>
        <v/>
      </c>
      <c r="AJ971" s="28">
        <f>Q971-N971</f>
        <v/>
      </c>
      <c r="AK971" s="3">
        <f>IF(AE971=1,MAX(0,N971-Q971),0)</f>
        <v/>
      </c>
      <c r="AL971" s="3">
        <f>IF(OR(V971="",V971=0),0,N971/V971)</f>
        <v/>
      </c>
      <c r="AM971" s="3">
        <f>IF(OR(V971="",V971=0),0,1)</f>
        <v/>
      </c>
      <c r="AN971" s="3">
        <f>IF(OR(E971="",F971=""),0,NETWORKDAYS(E971,F971,Ref!$K$2:$K$42))</f>
        <v/>
      </c>
      <c r="AO971" s="3">
        <f>IF(L971="Renewal",1,0)</f>
        <v/>
      </c>
      <c r="AP971" s="3">
        <f>AC971*AD971</f>
        <v/>
      </c>
      <c r="AQ971" s="3">
        <f>IF(AND(G971&lt;&gt;"",'Historical Score'!$C$6&lt;&gt;""),IF(G971='Historical Score'!$C$6,1,0),0)</f>
        <v/>
      </c>
      <c r="AR971" s="3">
        <f>IF(AND(L971&lt;&gt;"",'Historical Score'!$C$5&lt;&gt;""),IF(L971='Historical Score'!$C$5,1,0),0)</f>
        <v/>
      </c>
      <c r="AS971" s="3">
        <f>IF(AND(Y971&lt;&gt;"",'Historical Score'!$C$7&lt;&gt;""),IF(Y971='Historical Score'!$C$7,1,0),0)</f>
        <v/>
      </c>
      <c r="AT971" s="3">
        <f>IF(AND(K971&lt;&gt;"",'Historical Score'!$C$8&lt;&gt;""),IF(K971='Historical Score'!$C$8,1,0),0)</f>
        <v/>
      </c>
      <c r="AU971" s="3" t="n"/>
      <c r="AV971" s="3" t="n"/>
      <c r="AW971" s="3" t="n"/>
      <c r="AX971" s="3" t="n"/>
      <c r="AY971" s="3" t="n"/>
      <c r="AZ971" s="3" t="n"/>
      <c r="BA971" s="182">
        <f>IF(AD971=1,(AR971*'Historical Score'!$K$29+1-'Historical Score'!$K$29)*(AT971*'Historical Score'!$L$29+1-'Historical Score'!$L$29)*(AS971*'Historical Score'!$M$29+1-'Historical Score'!$M$29)*(AQ971*'Historical Score'!$N$29+1-'Historical Score'!$N$29),0)</f>
        <v/>
      </c>
      <c r="BB971" s="3" t="n"/>
      <c r="BC971" s="3" t="n"/>
    </row>
    <row r="972" ht="15.75" customHeight="1" s="174">
      <c r="A972" s="3" t="inlineStr">
        <is>
          <t>5674185768</t>
        </is>
      </c>
      <c r="B972" s="3" t="inlineStr">
        <is>
          <t>VENTURA PRODUCE</t>
        </is>
      </c>
      <c r="C972" s="3" t="inlineStr">
        <is>
          <t>Ventura Produce INC.</t>
        </is>
      </c>
      <c r="D972" s="3" t="inlineStr">
        <is>
          <t>Open</t>
        </is>
      </c>
      <c r="E972" s="23" t="n">
        <v>46191</v>
      </c>
      <c r="F972" s="23" t="n">
        <v>46253</v>
      </c>
      <c r="G972" s="3" t="n">
        <v>2</v>
      </c>
      <c r="H972" s="3" t="inlineStr">
        <is>
          <t>5148</t>
        </is>
      </c>
      <c r="I972" s="3" t="inlineStr">
        <is>
          <t>51</t>
        </is>
      </c>
      <c r="J972" s="3" t="inlineStr">
        <is>
          <t>CA</t>
        </is>
      </c>
      <c r="K972" s="3" t="inlineStr">
        <is>
          <t>Shore Funding USA</t>
        </is>
      </c>
      <c r="L972" s="3" t="inlineStr">
        <is>
          <t>New Deal</t>
        </is>
      </c>
      <c r="M972" s="3" t="n">
        <v>1.49</v>
      </c>
      <c r="N972" s="28" t="n">
        <v>30000</v>
      </c>
      <c r="O972" s="28" t="n">
        <v>4200</v>
      </c>
      <c r="P972" s="28" t="n">
        <v>44700</v>
      </c>
      <c r="Q972" s="28" t="n">
        <v>12820.02</v>
      </c>
      <c r="R972" s="28" t="n">
        <v>31879.98</v>
      </c>
      <c r="S972" s="42" t="n">
        <v>0.286801342281879</v>
      </c>
      <c r="T972" s="3" t="n">
        <v>4.918</v>
      </c>
      <c r="U972" s="3" t="n">
        <v>0</v>
      </c>
      <c r="V972" s="3" t="n">
        <v>135520.03</v>
      </c>
      <c r="W972" s="42" t="n">
        <v>0.0462</v>
      </c>
      <c r="X972" s="23" t="n">
        <v>40888</v>
      </c>
      <c r="Y972" s="3">
        <f>IF(I972="","No SIC",IFERROR(VLOOKUP(I972,Ref!$A$2:$B$65,2,FALSE()),"Unclassified"))</f>
        <v/>
      </c>
      <c r="Z972" s="3">
        <f>IF(T972="","",IF(T972&lt;12,"Daily","Weekly"))</f>
        <v/>
      </c>
      <c r="AA972" s="3">
        <f>IF(T972="",0,IF(T972&lt;12,T972*Controls!$B$13,T972*5))</f>
        <v/>
      </c>
      <c r="AB972" s="3">
        <f>IF(E972="",0,NETWORKDAYS(E972,Controls!$B$20,Ref!$K$2:$K$42))</f>
        <v/>
      </c>
      <c r="AC972" s="3">
        <f>IF(OR(AF972=1,AND(AA972&gt;0,AB972&gt;=Controls!$B$23*AA972)),1,0)</f>
        <v/>
      </c>
      <c r="AD972" s="3">
        <f>IF(AND(E972&lt;&gt;"",E972&gt;=Controls!$B$21,E972&lt;=Controls!$B$22),1,0)</f>
        <v/>
      </c>
      <c r="AE972" s="3">
        <f>IF(IFERROR(VLOOKUP(D972,Controls!$A$36:$E$46,2,FALSE()),"No")="Yes",1,0)</f>
        <v/>
      </c>
      <c r="AF972" s="3">
        <f>IF(IFERROR(VLOOKUP(D972,Controls!$A$36:$E$46,3,FALSE()),"No")="Yes",1,0)</f>
        <v/>
      </c>
      <c r="AG972" s="3">
        <f>IF(IFERROR(VLOOKUP(D972,Controls!$A$36:$E$46,4,FALSE()),"No")="Yes",1,0)</f>
        <v/>
      </c>
      <c r="AH972" s="3">
        <f>IF(IFERROR(VLOOKUP(D972,Controls!$A$36:$E$46,5,FALSE()),"No")="Yes",1,0)</f>
        <v/>
      </c>
      <c r="AI972" s="3">
        <f>IF(ISNUMBER(MATCH(D972,Controls!$A$36:$A$46,0)),1,0)</f>
        <v/>
      </c>
      <c r="AJ972" s="28">
        <f>Q972-N972</f>
        <v/>
      </c>
      <c r="AK972" s="3">
        <f>IF(AE972=1,MAX(0,N972-Q972),0)</f>
        <v/>
      </c>
      <c r="AL972" s="3">
        <f>IF(OR(V972="",V972=0),0,N972/V972)</f>
        <v/>
      </c>
      <c r="AM972" s="3">
        <f>IF(OR(V972="",V972=0),0,1)</f>
        <v/>
      </c>
      <c r="AN972" s="3">
        <f>IF(OR(E972="",F972=""),0,NETWORKDAYS(E972,F972,Ref!$K$2:$K$42))</f>
        <v/>
      </c>
      <c r="AO972" s="3">
        <f>IF(L972="Renewal",1,0)</f>
        <v/>
      </c>
      <c r="AP972" s="3">
        <f>AC972*AD972</f>
        <v/>
      </c>
      <c r="AQ972" s="3">
        <f>IF(AND(G972&lt;&gt;"",'Historical Score'!$C$6&lt;&gt;""),IF(G972='Historical Score'!$C$6,1,0),0)</f>
        <v/>
      </c>
      <c r="AR972" s="3">
        <f>IF(AND(L972&lt;&gt;"",'Historical Score'!$C$5&lt;&gt;""),IF(L972='Historical Score'!$C$5,1,0),0)</f>
        <v/>
      </c>
      <c r="AS972" s="3">
        <f>IF(AND(Y972&lt;&gt;"",'Historical Score'!$C$7&lt;&gt;""),IF(Y972='Historical Score'!$C$7,1,0),0)</f>
        <v/>
      </c>
      <c r="AT972" s="3">
        <f>IF(AND(K972&lt;&gt;"",'Historical Score'!$C$8&lt;&gt;""),IF(K972='Historical Score'!$C$8,1,0),0)</f>
        <v/>
      </c>
      <c r="AU972" s="3" t="n"/>
      <c r="AV972" s="3" t="n"/>
      <c r="AW972" s="3" t="n"/>
      <c r="AX972" s="3" t="n"/>
      <c r="AY972" s="3" t="n"/>
      <c r="AZ972" s="3" t="n"/>
      <c r="BA972" s="182">
        <f>IF(AD972=1,(AR972*'Historical Score'!$K$29+1-'Historical Score'!$K$29)*(AT972*'Historical Score'!$L$29+1-'Historical Score'!$L$29)*(AS972*'Historical Score'!$M$29+1-'Historical Score'!$M$29)*(AQ972*'Historical Score'!$N$29+1-'Historical Score'!$N$29),0)</f>
        <v/>
      </c>
      <c r="BB972" s="3" t="n"/>
      <c r="BC972" s="3" t="n"/>
    </row>
    <row r="973" ht="15.75" customHeight="1" s="174">
      <c r="A973" s="3" t="inlineStr">
        <is>
          <t>5674185771</t>
        </is>
      </c>
      <c r="B973" s="3" t="inlineStr">
        <is>
          <t>DIXON MECHANICAL LLC</t>
        </is>
      </c>
      <c r="C973" s="3" t="inlineStr">
        <is>
          <t>DIXON MECHANICAL LLC</t>
        </is>
      </c>
      <c r="D973" s="3" t="inlineStr">
        <is>
          <t>Open</t>
        </is>
      </c>
      <c r="E973" s="23" t="n">
        <v>46191</v>
      </c>
      <c r="F973" s="23" t="n">
        <v>46253</v>
      </c>
      <c r="G973" s="3" t="n">
        <v>2</v>
      </c>
      <c r="H973" s="3" t="inlineStr">
        <is>
          <t>7538</t>
        </is>
      </c>
      <c r="I973" s="3" t="inlineStr">
        <is>
          <t>75</t>
        </is>
      </c>
      <c r="J973" s="3" t="inlineStr">
        <is>
          <t>TN</t>
        </is>
      </c>
      <c r="K973" s="3" t="inlineStr">
        <is>
          <t>biz advance now</t>
        </is>
      </c>
      <c r="L973" s="3" t="inlineStr">
        <is>
          <t>New Deal</t>
        </is>
      </c>
      <c r="M973" s="3" t="n">
        <v>1.49</v>
      </c>
      <c r="N973" s="28" t="n">
        <v>25000</v>
      </c>
      <c r="O973" s="28" t="n">
        <v>3500</v>
      </c>
      <c r="P973" s="28" t="n">
        <v>37250</v>
      </c>
      <c r="Q973" s="28" t="n">
        <v>6826.6</v>
      </c>
      <c r="R973" s="28" t="n">
        <v>30423.4</v>
      </c>
      <c r="S973" s="42" t="n">
        <v>0.183264429530201</v>
      </c>
      <c r="T973" s="3" t="n">
        <v>3.934</v>
      </c>
      <c r="U973" s="3" t="n">
        <v>21</v>
      </c>
      <c r="V973" s="3" t="n">
        <v>104932.85</v>
      </c>
      <c r="W973" s="42" t="n">
        <v>0.0621</v>
      </c>
      <c r="X973" s="23" t="n">
        <v>42777</v>
      </c>
      <c r="Y973" s="3">
        <f>IF(I973="","No SIC",IFERROR(VLOOKUP(I973,Ref!$A$2:$B$65,2,FALSE()),"Unclassified"))</f>
        <v/>
      </c>
      <c r="Z973" s="3">
        <f>IF(T973="","",IF(T973&lt;12,"Daily","Weekly"))</f>
        <v/>
      </c>
      <c r="AA973" s="3">
        <f>IF(T973="",0,IF(T973&lt;12,T973*Controls!$B$13,T973*5))</f>
        <v/>
      </c>
      <c r="AB973" s="3">
        <f>IF(E973="",0,NETWORKDAYS(E973,Controls!$B$20,Ref!$K$2:$K$42))</f>
        <v/>
      </c>
      <c r="AC973" s="3">
        <f>IF(OR(AF973=1,AND(AA973&gt;0,AB973&gt;=Controls!$B$23*AA973)),1,0)</f>
        <v/>
      </c>
      <c r="AD973" s="3">
        <f>IF(AND(E973&lt;&gt;"",E973&gt;=Controls!$B$21,E973&lt;=Controls!$B$22),1,0)</f>
        <v/>
      </c>
      <c r="AE973" s="3">
        <f>IF(IFERROR(VLOOKUP(D973,Controls!$A$36:$E$46,2,FALSE()),"No")="Yes",1,0)</f>
        <v/>
      </c>
      <c r="AF973" s="3">
        <f>IF(IFERROR(VLOOKUP(D973,Controls!$A$36:$E$46,3,FALSE()),"No")="Yes",1,0)</f>
        <v/>
      </c>
      <c r="AG973" s="3">
        <f>IF(IFERROR(VLOOKUP(D973,Controls!$A$36:$E$46,4,FALSE()),"No")="Yes",1,0)</f>
        <v/>
      </c>
      <c r="AH973" s="3">
        <f>IF(IFERROR(VLOOKUP(D973,Controls!$A$36:$E$46,5,FALSE()),"No")="Yes",1,0)</f>
        <v/>
      </c>
      <c r="AI973" s="3">
        <f>IF(ISNUMBER(MATCH(D973,Controls!$A$36:$A$46,0)),1,0)</f>
        <v/>
      </c>
      <c r="AJ973" s="28">
        <f>Q973-N973</f>
        <v/>
      </c>
      <c r="AK973" s="3">
        <f>IF(AE973=1,MAX(0,N973-Q973),0)</f>
        <v/>
      </c>
      <c r="AL973" s="3">
        <f>IF(OR(V973="",V973=0),0,N973/V973)</f>
        <v/>
      </c>
      <c r="AM973" s="3">
        <f>IF(OR(V973="",V973=0),0,1)</f>
        <v/>
      </c>
      <c r="AN973" s="3">
        <f>IF(OR(E973="",F973=""),0,NETWORKDAYS(E973,F973,Ref!$K$2:$K$42))</f>
        <v/>
      </c>
      <c r="AO973" s="3">
        <f>IF(L973="Renewal",1,0)</f>
        <v/>
      </c>
      <c r="AP973" s="3">
        <f>AC973*AD973</f>
        <v/>
      </c>
      <c r="AQ973" s="3">
        <f>IF(AND(G973&lt;&gt;"",'Historical Score'!$C$6&lt;&gt;""),IF(G973='Historical Score'!$C$6,1,0),0)</f>
        <v/>
      </c>
      <c r="AR973" s="3">
        <f>IF(AND(L973&lt;&gt;"",'Historical Score'!$C$5&lt;&gt;""),IF(L973='Historical Score'!$C$5,1,0),0)</f>
        <v/>
      </c>
      <c r="AS973" s="3">
        <f>IF(AND(Y973&lt;&gt;"",'Historical Score'!$C$7&lt;&gt;""),IF(Y973='Historical Score'!$C$7,1,0),0)</f>
        <v/>
      </c>
      <c r="AT973" s="3">
        <f>IF(AND(K973&lt;&gt;"",'Historical Score'!$C$8&lt;&gt;""),IF(K973='Historical Score'!$C$8,1,0),0)</f>
        <v/>
      </c>
      <c r="AU973" s="3" t="n"/>
      <c r="AV973" s="3" t="n"/>
      <c r="AW973" s="3" t="n"/>
      <c r="AX973" s="3" t="n"/>
      <c r="AY973" s="3" t="n"/>
      <c r="AZ973" s="3" t="n"/>
      <c r="BA973" s="182">
        <f>IF(AD973=1,(AR973*'Historical Score'!$K$29+1-'Historical Score'!$K$29)*(AT973*'Historical Score'!$L$29+1-'Historical Score'!$L$29)*(AS973*'Historical Score'!$M$29+1-'Historical Score'!$M$29)*(AQ973*'Historical Score'!$N$29+1-'Historical Score'!$N$29),0)</f>
        <v/>
      </c>
      <c r="BB973" s="3" t="n"/>
      <c r="BC973" s="3" t="n"/>
    </row>
    <row r="974" ht="15.75" customHeight="1" s="174">
      <c r="A974" s="3" t="inlineStr">
        <is>
          <t>5674185785</t>
        </is>
      </c>
      <c r="B974" s="3" t="inlineStr">
        <is>
          <t>TAQUERIA EGRAN CHAPIN</t>
        </is>
      </c>
      <c r="C974" s="3" t="inlineStr">
        <is>
          <t>TAQUERIA EGRAN CHAPIN</t>
        </is>
      </c>
      <c r="D974" s="3" t="inlineStr">
        <is>
          <t>Open</t>
        </is>
      </c>
      <c r="E974" s="23" t="n">
        <v>46191</v>
      </c>
      <c r="F974" s="23" t="n">
        <v>46253</v>
      </c>
      <c r="G974" s="3" t="n">
        <v>3</v>
      </c>
      <c r="H974" s="3" t="inlineStr">
        <is>
          <t>5812</t>
        </is>
      </c>
      <c r="I974" s="3" t="inlineStr">
        <is>
          <t>58</t>
        </is>
      </c>
      <c r="J974" s="3" t="inlineStr">
        <is>
          <t>VA</t>
        </is>
      </c>
      <c r="K974" s="3" t="inlineStr">
        <is>
          <t>Westwood</t>
        </is>
      </c>
      <c r="L974" s="3" t="inlineStr">
        <is>
          <t>New Deal</t>
        </is>
      </c>
      <c r="M974" s="3" t="n">
        <v>1.46</v>
      </c>
      <c r="N974" s="28" t="n">
        <v>5000</v>
      </c>
      <c r="O974" s="28" t="n">
        <v>625</v>
      </c>
      <c r="P974" s="28" t="n">
        <v>7300</v>
      </c>
      <c r="Q974" s="28" t="n">
        <v>3924.61</v>
      </c>
      <c r="R974" s="28" t="n">
        <v>3375.39</v>
      </c>
      <c r="S974" s="42" t="n">
        <v>0.537617808219178</v>
      </c>
      <c r="T974" s="3" t="n">
        <v>2.623</v>
      </c>
      <c r="U974" s="3" t="n">
        <v>0</v>
      </c>
      <c r="V974" s="3" t="n">
        <v>14962.29</v>
      </c>
      <c r="W974" s="42" t="n">
        <v>0.1281</v>
      </c>
      <c r="X974" s="23" t="n">
        <v>43212</v>
      </c>
      <c r="Y974" s="3">
        <f>IF(I974="","No SIC",IFERROR(VLOOKUP(I974,Ref!$A$2:$B$65,2,FALSE()),"Unclassified"))</f>
        <v/>
      </c>
      <c r="Z974" s="3">
        <f>IF(T974="","",IF(T974&lt;12,"Daily","Weekly"))</f>
        <v/>
      </c>
      <c r="AA974" s="3">
        <f>IF(T974="",0,IF(T974&lt;12,T974*Controls!$B$13,T974*5))</f>
        <v/>
      </c>
      <c r="AB974" s="3">
        <f>IF(E974="",0,NETWORKDAYS(E974,Controls!$B$20,Ref!$K$2:$K$42))</f>
        <v/>
      </c>
      <c r="AC974" s="3">
        <f>IF(OR(AF974=1,AND(AA974&gt;0,AB974&gt;=Controls!$B$23*AA974)),1,0)</f>
        <v/>
      </c>
      <c r="AD974" s="3">
        <f>IF(AND(E974&lt;&gt;"",E974&gt;=Controls!$B$21,E974&lt;=Controls!$B$22),1,0)</f>
        <v/>
      </c>
      <c r="AE974" s="3">
        <f>IF(IFERROR(VLOOKUP(D974,Controls!$A$36:$E$46,2,FALSE()),"No")="Yes",1,0)</f>
        <v/>
      </c>
      <c r="AF974" s="3">
        <f>IF(IFERROR(VLOOKUP(D974,Controls!$A$36:$E$46,3,FALSE()),"No")="Yes",1,0)</f>
        <v/>
      </c>
      <c r="AG974" s="3">
        <f>IF(IFERROR(VLOOKUP(D974,Controls!$A$36:$E$46,4,FALSE()),"No")="Yes",1,0)</f>
        <v/>
      </c>
      <c r="AH974" s="3">
        <f>IF(IFERROR(VLOOKUP(D974,Controls!$A$36:$E$46,5,FALSE()),"No")="Yes",1,0)</f>
        <v/>
      </c>
      <c r="AI974" s="3">
        <f>IF(ISNUMBER(MATCH(D974,Controls!$A$36:$A$46,0)),1,0)</f>
        <v/>
      </c>
      <c r="AJ974" s="28">
        <f>Q974-N974</f>
        <v/>
      </c>
      <c r="AK974" s="3">
        <f>IF(AE974=1,MAX(0,N974-Q974),0)</f>
        <v/>
      </c>
      <c r="AL974" s="3">
        <f>IF(OR(V974="",V974=0),0,N974/V974)</f>
        <v/>
      </c>
      <c r="AM974" s="3">
        <f>IF(OR(V974="",V974=0),0,1)</f>
        <v/>
      </c>
      <c r="AN974" s="3">
        <f>IF(OR(E974="",F974=""),0,NETWORKDAYS(E974,F974,Ref!$K$2:$K$42))</f>
        <v/>
      </c>
      <c r="AO974" s="3">
        <f>IF(L974="Renewal",1,0)</f>
        <v/>
      </c>
      <c r="AP974" s="3">
        <f>AC974*AD974</f>
        <v/>
      </c>
      <c r="AQ974" s="3">
        <f>IF(AND(G974&lt;&gt;"",'Historical Score'!$C$6&lt;&gt;""),IF(G974='Historical Score'!$C$6,1,0),0)</f>
        <v/>
      </c>
      <c r="AR974" s="3">
        <f>IF(AND(L974&lt;&gt;"",'Historical Score'!$C$5&lt;&gt;""),IF(L974='Historical Score'!$C$5,1,0),0)</f>
        <v/>
      </c>
      <c r="AS974" s="3">
        <f>IF(AND(Y974&lt;&gt;"",'Historical Score'!$C$7&lt;&gt;""),IF(Y974='Historical Score'!$C$7,1,0),0)</f>
        <v/>
      </c>
      <c r="AT974" s="3">
        <f>IF(AND(K974&lt;&gt;"",'Historical Score'!$C$8&lt;&gt;""),IF(K974='Historical Score'!$C$8,1,0),0)</f>
        <v/>
      </c>
      <c r="AU974" s="3" t="n"/>
      <c r="AV974" s="3" t="n"/>
      <c r="AW974" s="3" t="n"/>
      <c r="AX974" s="3" t="n"/>
      <c r="AY974" s="3" t="n"/>
      <c r="AZ974" s="3" t="n"/>
      <c r="BA974" s="182">
        <f>IF(AD974=1,(AR974*'Historical Score'!$K$29+1-'Historical Score'!$K$29)*(AT974*'Historical Score'!$L$29+1-'Historical Score'!$L$29)*(AS974*'Historical Score'!$M$29+1-'Historical Score'!$M$29)*(AQ974*'Historical Score'!$N$29+1-'Historical Score'!$N$29),0)</f>
        <v/>
      </c>
      <c r="BB974" s="3" t="n"/>
      <c r="BC974" s="3" t="n"/>
    </row>
    <row r="975" ht="15.75" customHeight="1" s="174">
      <c r="A975" s="3" t="inlineStr">
        <is>
          <t>5674185786</t>
        </is>
      </c>
      <c r="B975" s="3" t="inlineStr">
        <is>
          <t>GREAT LAKES URGENT CARE</t>
        </is>
      </c>
      <c r="C975" s="3" t="inlineStr">
        <is>
          <t>GREAT LAKES MEDICAL SERVICES LLC</t>
        </is>
      </c>
      <c r="D975" s="3" t="inlineStr">
        <is>
          <t>Open</t>
        </is>
      </c>
      <c r="E975" s="23" t="n">
        <v>46191</v>
      </c>
      <c r="F975" s="23" t="n">
        <v>46253</v>
      </c>
      <c r="G975" s="3" t="n">
        <v>3</v>
      </c>
      <c r="H975" s="3" t="inlineStr">
        <is>
          <t>8011</t>
        </is>
      </c>
      <c r="I975" s="3" t="inlineStr">
        <is>
          <t>80</t>
        </is>
      </c>
      <c r="J975" s="3" t="inlineStr">
        <is>
          <t>OH</t>
        </is>
      </c>
      <c r="K975" s="3" t="inlineStr">
        <is>
          <t>Platform Funding</t>
        </is>
      </c>
      <c r="L975" s="3" t="inlineStr">
        <is>
          <t>New Deal</t>
        </is>
      </c>
      <c r="M975" s="3" t="n">
        <v>1.49</v>
      </c>
      <c r="N975" s="28" t="n">
        <v>5000</v>
      </c>
      <c r="O975" s="28" t="n">
        <v>700</v>
      </c>
      <c r="P975" s="28" t="n">
        <v>7450</v>
      </c>
      <c r="Q975" s="28" t="n">
        <v>4005.45</v>
      </c>
      <c r="R975" s="28" t="n">
        <v>3444.55</v>
      </c>
      <c r="S975" s="42" t="n">
        <v>0.537644295302013</v>
      </c>
      <c r="T975" s="3" t="n">
        <v>2.623</v>
      </c>
      <c r="U975" s="3" t="n">
        <v>0</v>
      </c>
      <c r="V975" s="3" t="n">
        <v>18436.73</v>
      </c>
      <c r="W975" s="42" t="n">
        <v>0.1061</v>
      </c>
      <c r="X975" s="23" t="n">
        <v>38718</v>
      </c>
      <c r="Y975" s="3">
        <f>IF(I975="","No SIC",IFERROR(VLOOKUP(I975,Ref!$A$2:$B$65,2,FALSE()),"Unclassified"))</f>
        <v/>
      </c>
      <c r="Z975" s="3">
        <f>IF(T975="","",IF(T975&lt;12,"Daily","Weekly"))</f>
        <v/>
      </c>
      <c r="AA975" s="3">
        <f>IF(T975="",0,IF(T975&lt;12,T975*Controls!$B$13,T975*5))</f>
        <v/>
      </c>
      <c r="AB975" s="3">
        <f>IF(E975="",0,NETWORKDAYS(E975,Controls!$B$20,Ref!$K$2:$K$42))</f>
        <v/>
      </c>
      <c r="AC975" s="3">
        <f>IF(OR(AF975=1,AND(AA975&gt;0,AB975&gt;=Controls!$B$23*AA975)),1,0)</f>
        <v/>
      </c>
      <c r="AD975" s="3">
        <f>IF(AND(E975&lt;&gt;"",E975&gt;=Controls!$B$21,E975&lt;=Controls!$B$22),1,0)</f>
        <v/>
      </c>
      <c r="AE975" s="3">
        <f>IF(IFERROR(VLOOKUP(D975,Controls!$A$36:$E$46,2,FALSE()),"No")="Yes",1,0)</f>
        <v/>
      </c>
      <c r="AF975" s="3">
        <f>IF(IFERROR(VLOOKUP(D975,Controls!$A$36:$E$46,3,FALSE()),"No")="Yes",1,0)</f>
        <v/>
      </c>
      <c r="AG975" s="3">
        <f>IF(IFERROR(VLOOKUP(D975,Controls!$A$36:$E$46,4,FALSE()),"No")="Yes",1,0)</f>
        <v/>
      </c>
      <c r="AH975" s="3">
        <f>IF(IFERROR(VLOOKUP(D975,Controls!$A$36:$E$46,5,FALSE()),"No")="Yes",1,0)</f>
        <v/>
      </c>
      <c r="AI975" s="3">
        <f>IF(ISNUMBER(MATCH(D975,Controls!$A$36:$A$46,0)),1,0)</f>
        <v/>
      </c>
      <c r="AJ975" s="28">
        <f>Q975-N975</f>
        <v/>
      </c>
      <c r="AK975" s="3">
        <f>IF(AE975=1,MAX(0,N975-Q975),0)</f>
        <v/>
      </c>
      <c r="AL975" s="3">
        <f>IF(OR(V975="",V975=0),0,N975/V975)</f>
        <v/>
      </c>
      <c r="AM975" s="3">
        <f>IF(OR(V975="",V975=0),0,1)</f>
        <v/>
      </c>
      <c r="AN975" s="3">
        <f>IF(OR(E975="",F975=""),0,NETWORKDAYS(E975,F975,Ref!$K$2:$K$42))</f>
        <v/>
      </c>
      <c r="AO975" s="3">
        <f>IF(L975="Renewal",1,0)</f>
        <v/>
      </c>
      <c r="AP975" s="3">
        <f>AC975*AD975</f>
        <v/>
      </c>
      <c r="AQ975" s="3">
        <f>IF(AND(G975&lt;&gt;"",'Historical Score'!$C$6&lt;&gt;""),IF(G975='Historical Score'!$C$6,1,0),0)</f>
        <v/>
      </c>
      <c r="AR975" s="3">
        <f>IF(AND(L975&lt;&gt;"",'Historical Score'!$C$5&lt;&gt;""),IF(L975='Historical Score'!$C$5,1,0),0)</f>
        <v/>
      </c>
      <c r="AS975" s="3">
        <f>IF(AND(Y975&lt;&gt;"",'Historical Score'!$C$7&lt;&gt;""),IF(Y975='Historical Score'!$C$7,1,0),0)</f>
        <v/>
      </c>
      <c r="AT975" s="3">
        <f>IF(AND(K975&lt;&gt;"",'Historical Score'!$C$8&lt;&gt;""),IF(K975='Historical Score'!$C$8,1,0),0)</f>
        <v/>
      </c>
      <c r="AU975" s="3" t="n"/>
      <c r="AV975" s="3" t="n"/>
      <c r="AW975" s="3" t="n"/>
      <c r="AX975" s="3" t="n"/>
      <c r="AY975" s="3" t="n"/>
      <c r="AZ975" s="3" t="n"/>
      <c r="BA975" s="182">
        <f>IF(AD975=1,(AR975*'Historical Score'!$K$29+1-'Historical Score'!$K$29)*(AT975*'Historical Score'!$L$29+1-'Historical Score'!$L$29)*(AS975*'Historical Score'!$M$29+1-'Historical Score'!$M$29)*(AQ975*'Historical Score'!$N$29+1-'Historical Score'!$N$29),0)</f>
        <v/>
      </c>
      <c r="BB975" s="3" t="n"/>
      <c r="BC975" s="3" t="n"/>
    </row>
    <row r="976" ht="15.75" customHeight="1" s="174">
      <c r="A976" s="3" t="inlineStr">
        <is>
          <t>5674185857</t>
        </is>
      </c>
      <c r="B976" s="3" t="inlineStr">
        <is>
          <t>Silver &amp; Riley</t>
        </is>
      </c>
      <c r="C976" s="3" t="inlineStr">
        <is>
          <t>Silver &amp; Riley</t>
        </is>
      </c>
      <c r="D976" s="3" t="inlineStr">
        <is>
          <t>Open</t>
        </is>
      </c>
      <c r="E976" s="23" t="n">
        <v>46195</v>
      </c>
      <c r="F976" s="23" t="n">
        <v>46248</v>
      </c>
      <c r="G976" s="3" t="n">
        <v>2</v>
      </c>
      <c r="H976" s="3" t="inlineStr">
        <is>
          <t>5399</t>
        </is>
      </c>
      <c r="I976" s="3" t="inlineStr">
        <is>
          <t>53</t>
        </is>
      </c>
      <c r="J976" s="3" t="inlineStr">
        <is>
          <t>NJ</t>
        </is>
      </c>
      <c r="K976" s="3" t="inlineStr">
        <is>
          <t>Vanguard Equities</t>
        </is>
      </c>
      <c r="L976" s="3" t="inlineStr">
        <is>
          <t>Renewal</t>
        </is>
      </c>
      <c r="M976" s="3" t="n">
        <v>1.4</v>
      </c>
      <c r="N976" s="28" t="n">
        <v>40000</v>
      </c>
      <c r="O976" s="28" t="n">
        <v>3800</v>
      </c>
      <c r="P976" s="28" t="n">
        <v>56000</v>
      </c>
      <c r="Q976" s="28" t="n">
        <v>14317.08</v>
      </c>
      <c r="R976" s="28" t="n">
        <v>41682.92</v>
      </c>
      <c r="S976" s="42" t="n">
        <v>0.255662142857143</v>
      </c>
      <c r="T976" s="3" t="n">
        <v>32</v>
      </c>
      <c r="U976" s="3" t="n">
        <v>0</v>
      </c>
      <c r="V976" s="3" t="n">
        <v>37557.06</v>
      </c>
      <c r="W976" s="42" t="n">
        <v>0.1864</v>
      </c>
      <c r="X976" s="23" t="n">
        <v>43617</v>
      </c>
      <c r="Y976" s="3">
        <f>IF(I976="","No SIC",IFERROR(VLOOKUP(I976,Ref!$A$2:$B$65,2,FALSE()),"Unclassified"))</f>
        <v/>
      </c>
      <c r="Z976" s="3">
        <f>IF(T976="","",IF(T976&lt;12,"Daily","Weekly"))</f>
        <v/>
      </c>
      <c r="AA976" s="3">
        <f>IF(T976="",0,IF(T976&lt;12,T976*Controls!$B$13,T976*5))</f>
        <v/>
      </c>
      <c r="AB976" s="3">
        <f>IF(E976="",0,NETWORKDAYS(E976,Controls!$B$20,Ref!$K$2:$K$42))</f>
        <v/>
      </c>
      <c r="AC976" s="3">
        <f>IF(OR(AF976=1,AND(AA976&gt;0,AB976&gt;=Controls!$B$23*AA976)),1,0)</f>
        <v/>
      </c>
      <c r="AD976" s="3">
        <f>IF(AND(E976&lt;&gt;"",E976&gt;=Controls!$B$21,E976&lt;=Controls!$B$22),1,0)</f>
        <v/>
      </c>
      <c r="AE976" s="3">
        <f>IF(IFERROR(VLOOKUP(D976,Controls!$A$36:$E$46,2,FALSE()),"No")="Yes",1,0)</f>
        <v/>
      </c>
      <c r="AF976" s="3">
        <f>IF(IFERROR(VLOOKUP(D976,Controls!$A$36:$E$46,3,FALSE()),"No")="Yes",1,0)</f>
        <v/>
      </c>
      <c r="AG976" s="3">
        <f>IF(IFERROR(VLOOKUP(D976,Controls!$A$36:$E$46,4,FALSE()),"No")="Yes",1,0)</f>
        <v/>
      </c>
      <c r="AH976" s="3">
        <f>IF(IFERROR(VLOOKUP(D976,Controls!$A$36:$E$46,5,FALSE()),"No")="Yes",1,0)</f>
        <v/>
      </c>
      <c r="AI976" s="3">
        <f>IF(ISNUMBER(MATCH(D976,Controls!$A$36:$A$46,0)),1,0)</f>
        <v/>
      </c>
      <c r="AJ976" s="28">
        <f>Q976-N976</f>
        <v/>
      </c>
      <c r="AK976" s="3">
        <f>IF(AE976=1,MAX(0,N976-Q976),0)</f>
        <v/>
      </c>
      <c r="AL976" s="3">
        <f>IF(OR(V976="",V976=0),0,N976/V976)</f>
        <v/>
      </c>
      <c r="AM976" s="3">
        <f>IF(OR(V976="",V976=0),0,1)</f>
        <v/>
      </c>
      <c r="AN976" s="3">
        <f>IF(OR(E976="",F976=""),0,NETWORKDAYS(E976,F976,Ref!$K$2:$K$42))</f>
        <v/>
      </c>
      <c r="AO976" s="3">
        <f>IF(L976="Renewal",1,0)</f>
        <v/>
      </c>
      <c r="AP976" s="3">
        <f>AC976*AD976</f>
        <v/>
      </c>
      <c r="AQ976" s="3">
        <f>IF(AND(G976&lt;&gt;"",'Historical Score'!$C$6&lt;&gt;""),IF(G976='Historical Score'!$C$6,1,0),0)</f>
        <v/>
      </c>
      <c r="AR976" s="3">
        <f>IF(AND(L976&lt;&gt;"",'Historical Score'!$C$5&lt;&gt;""),IF(L976='Historical Score'!$C$5,1,0),0)</f>
        <v/>
      </c>
      <c r="AS976" s="3">
        <f>IF(AND(Y976&lt;&gt;"",'Historical Score'!$C$7&lt;&gt;""),IF(Y976='Historical Score'!$C$7,1,0),0)</f>
        <v/>
      </c>
      <c r="AT976" s="3">
        <f>IF(AND(K976&lt;&gt;"",'Historical Score'!$C$8&lt;&gt;""),IF(K976='Historical Score'!$C$8,1,0),0)</f>
        <v/>
      </c>
      <c r="AU976" s="3" t="n"/>
      <c r="AV976" s="3" t="n"/>
      <c r="AW976" s="3" t="n"/>
      <c r="AX976" s="3" t="n"/>
      <c r="AY976" s="3" t="n"/>
      <c r="AZ976" s="3" t="n"/>
      <c r="BA976" s="182">
        <f>IF(AD976=1,(AR976*'Historical Score'!$K$29+1-'Historical Score'!$K$29)*(AT976*'Historical Score'!$L$29+1-'Historical Score'!$L$29)*(AS976*'Historical Score'!$M$29+1-'Historical Score'!$M$29)*(AQ976*'Historical Score'!$N$29+1-'Historical Score'!$N$29),0)</f>
        <v/>
      </c>
      <c r="BB976" s="3" t="n"/>
      <c r="BC976" s="3" t="n"/>
    </row>
    <row r="977" ht="15.75" customHeight="1" s="174">
      <c r="A977" s="3" t="inlineStr">
        <is>
          <t>5674185859</t>
        </is>
      </c>
      <c r="B977" s="3" t="inlineStr">
        <is>
          <t>Controlled Outcomes</t>
        </is>
      </c>
      <c r="C977" s="3" t="inlineStr">
        <is>
          <t>CONTROLLED OUTCOMES LLC</t>
        </is>
      </c>
      <c r="D977" s="3" t="inlineStr">
        <is>
          <t>In House Collection</t>
        </is>
      </c>
      <c r="E977" s="23" t="n">
        <v>46195</v>
      </c>
      <c r="F977" s="23" t="n">
        <v>46237</v>
      </c>
      <c r="G977" s="3" t="n">
        <v>3</v>
      </c>
      <c r="H977" s="3" t="inlineStr">
        <is>
          <t>5999</t>
        </is>
      </c>
      <c r="I977" s="3" t="inlineStr">
        <is>
          <t>59</t>
        </is>
      </c>
      <c r="J977" s="3" t="inlineStr">
        <is>
          <t>FL</t>
        </is>
      </c>
      <c r="K977" s="3" t="inlineStr">
        <is>
          <t>PMF</t>
        </is>
      </c>
      <c r="L977" s="3" t="inlineStr">
        <is>
          <t>New Deal</t>
        </is>
      </c>
      <c r="M977" s="3" t="n">
        <v>1.49</v>
      </c>
      <c r="N977" s="28" t="n">
        <v>15000</v>
      </c>
      <c r="O977" s="28" t="n">
        <v>0</v>
      </c>
      <c r="P977" s="28" t="n">
        <v>22350</v>
      </c>
      <c r="Q977" s="28" t="n">
        <v>2873.16</v>
      </c>
      <c r="R977" s="28" t="n">
        <v>19476.84</v>
      </c>
      <c r="S977" s="42" t="n">
        <v>0.128553020134228</v>
      </c>
      <c r="T977" s="3" t="n">
        <v>2.295</v>
      </c>
      <c r="U977" s="3" t="n">
        <v>21</v>
      </c>
      <c r="V977" s="3" t="n">
        <v>48000</v>
      </c>
      <c r="W977" s="42" t="n">
        <v>0.1922</v>
      </c>
      <c r="X977" s="23" t="n">
        <v>44124</v>
      </c>
      <c r="Y977" s="3">
        <f>IF(I977="","No SIC",IFERROR(VLOOKUP(I977,Ref!$A$2:$B$65,2,FALSE()),"Unclassified"))</f>
        <v/>
      </c>
      <c r="Z977" s="3">
        <f>IF(T977="","",IF(T977&lt;12,"Daily","Weekly"))</f>
        <v/>
      </c>
      <c r="AA977" s="3">
        <f>IF(T977="",0,IF(T977&lt;12,T977*Controls!$B$13,T977*5))</f>
        <v/>
      </c>
      <c r="AB977" s="3">
        <f>IF(E977="",0,NETWORKDAYS(E977,Controls!$B$20,Ref!$K$2:$K$42))</f>
        <v/>
      </c>
      <c r="AC977" s="3">
        <f>IF(OR(AF977=1,AND(AA977&gt;0,AB977&gt;=Controls!$B$23*AA977)),1,0)</f>
        <v/>
      </c>
      <c r="AD977" s="3">
        <f>IF(AND(E977&lt;&gt;"",E977&gt;=Controls!$B$21,E977&lt;=Controls!$B$22),1,0)</f>
        <v/>
      </c>
      <c r="AE977" s="3">
        <f>IF(IFERROR(VLOOKUP(D977,Controls!$A$36:$E$46,2,FALSE()),"No")="Yes",1,0)</f>
        <v/>
      </c>
      <c r="AF977" s="3">
        <f>IF(IFERROR(VLOOKUP(D977,Controls!$A$36:$E$46,3,FALSE()),"No")="Yes",1,0)</f>
        <v/>
      </c>
      <c r="AG977" s="3">
        <f>IF(IFERROR(VLOOKUP(D977,Controls!$A$36:$E$46,4,FALSE()),"No")="Yes",1,0)</f>
        <v/>
      </c>
      <c r="AH977" s="3">
        <f>IF(IFERROR(VLOOKUP(D977,Controls!$A$36:$E$46,5,FALSE()),"No")="Yes",1,0)</f>
        <v/>
      </c>
      <c r="AI977" s="3">
        <f>IF(ISNUMBER(MATCH(D977,Controls!$A$36:$A$46,0)),1,0)</f>
        <v/>
      </c>
      <c r="AJ977" s="28">
        <f>Q977-N977</f>
        <v/>
      </c>
      <c r="AK977" s="3">
        <f>IF(AE977=1,MAX(0,N977-Q977),0)</f>
        <v/>
      </c>
      <c r="AL977" s="3">
        <f>IF(OR(V977="",V977=0),0,N977/V977)</f>
        <v/>
      </c>
      <c r="AM977" s="3">
        <f>IF(OR(V977="",V977=0),0,1)</f>
        <v/>
      </c>
      <c r="AN977" s="3">
        <f>IF(OR(E977="",F977=""),0,NETWORKDAYS(E977,F977,Ref!$K$2:$K$42))</f>
        <v/>
      </c>
      <c r="AO977" s="3">
        <f>IF(L977="Renewal",1,0)</f>
        <v/>
      </c>
      <c r="AP977" s="3">
        <f>AC977*AD977</f>
        <v/>
      </c>
      <c r="AQ977" s="3">
        <f>IF(AND(G977&lt;&gt;"",'Historical Score'!$C$6&lt;&gt;""),IF(G977='Historical Score'!$C$6,1,0),0)</f>
        <v/>
      </c>
      <c r="AR977" s="3">
        <f>IF(AND(L977&lt;&gt;"",'Historical Score'!$C$5&lt;&gt;""),IF(L977='Historical Score'!$C$5,1,0),0)</f>
        <v/>
      </c>
      <c r="AS977" s="3">
        <f>IF(AND(Y977&lt;&gt;"",'Historical Score'!$C$7&lt;&gt;""),IF(Y977='Historical Score'!$C$7,1,0),0)</f>
        <v/>
      </c>
      <c r="AT977" s="3">
        <f>IF(AND(K977&lt;&gt;"",'Historical Score'!$C$8&lt;&gt;""),IF(K977='Historical Score'!$C$8,1,0),0)</f>
        <v/>
      </c>
      <c r="AU977" s="3" t="n"/>
      <c r="AV977" s="3" t="n"/>
      <c r="AW977" s="3" t="n"/>
      <c r="AX977" s="3" t="n"/>
      <c r="AY977" s="3" t="n"/>
      <c r="AZ977" s="3" t="n"/>
      <c r="BA977" s="182">
        <f>IF(AD977=1,(AR977*'Historical Score'!$K$29+1-'Historical Score'!$K$29)*(AT977*'Historical Score'!$L$29+1-'Historical Score'!$L$29)*(AS977*'Historical Score'!$M$29+1-'Historical Score'!$M$29)*(AQ977*'Historical Score'!$N$29+1-'Historical Score'!$N$29),0)</f>
        <v/>
      </c>
      <c r="BB977" s="3" t="n"/>
      <c r="BC977" s="3" t="n"/>
    </row>
    <row r="978" ht="15.75" customHeight="1" s="174">
      <c r="A978" s="3" t="inlineStr">
        <is>
          <t>5674185876</t>
        </is>
      </c>
      <c r="B978" s="3" t="inlineStr">
        <is>
          <t>Miramar Mermaids Synchro Team</t>
        </is>
      </c>
      <c r="C978" s="3" t="inlineStr">
        <is>
          <t>MIRAMAR MERMAIDS SYNCHRO TEAM LLC</t>
        </is>
      </c>
      <c r="D978" s="3" t="inlineStr">
        <is>
          <t>In House Collection</t>
        </is>
      </c>
      <c r="E978" s="23" t="n">
        <v>46195</v>
      </c>
      <c r="F978" s="23" t="n">
        <v>46220</v>
      </c>
      <c r="G978" s="3" t="n">
        <v>3</v>
      </c>
      <c r="H978" s="3" t="inlineStr">
        <is>
          <t>5999</t>
        </is>
      </c>
      <c r="I978" s="3" t="inlineStr">
        <is>
          <t>59</t>
        </is>
      </c>
      <c r="J978" s="3" t="inlineStr">
        <is>
          <t>FL</t>
        </is>
      </c>
      <c r="K978" s="3" t="inlineStr">
        <is>
          <t>Secure Capital Solutions 7</t>
        </is>
      </c>
      <c r="L978" s="3" t="inlineStr">
        <is>
          <t>New Deal</t>
        </is>
      </c>
      <c r="M978" s="3" t="n">
        <v>1.49</v>
      </c>
      <c r="N978" s="28" t="n">
        <v>4000</v>
      </c>
      <c r="O978" s="28" t="n">
        <v>0</v>
      </c>
      <c r="P978" s="28" t="n">
        <v>5960</v>
      </c>
      <c r="Q978" s="28" t="n">
        <v>813.21</v>
      </c>
      <c r="R978" s="28" t="n">
        <v>5146.79</v>
      </c>
      <c r="S978" s="42" t="n">
        <v>0.136444630872483</v>
      </c>
      <c r="T978" s="3" t="n">
        <v>22</v>
      </c>
      <c r="U978" s="3" t="n">
        <v>1</v>
      </c>
      <c r="V978" s="3" t="n">
        <v>13954.68</v>
      </c>
      <c r="W978" s="42" t="n">
        <v>0.07770000000000001</v>
      </c>
      <c r="X978" s="23" t="n">
        <v>41446</v>
      </c>
      <c r="Y978" s="3">
        <f>IF(I978="","No SIC",IFERROR(VLOOKUP(I978,Ref!$A$2:$B$65,2,FALSE()),"Unclassified"))</f>
        <v/>
      </c>
      <c r="Z978" s="3">
        <f>IF(T978="","",IF(T978&lt;12,"Daily","Weekly"))</f>
        <v/>
      </c>
      <c r="AA978" s="3">
        <f>IF(T978="",0,IF(T978&lt;12,T978*Controls!$B$13,T978*5))</f>
        <v/>
      </c>
      <c r="AB978" s="3">
        <f>IF(E978="",0,NETWORKDAYS(E978,Controls!$B$20,Ref!$K$2:$K$42))</f>
        <v/>
      </c>
      <c r="AC978" s="3">
        <f>IF(OR(AF978=1,AND(AA978&gt;0,AB978&gt;=Controls!$B$23*AA978)),1,0)</f>
        <v/>
      </c>
      <c r="AD978" s="3">
        <f>IF(AND(E978&lt;&gt;"",E978&gt;=Controls!$B$21,E978&lt;=Controls!$B$22),1,0)</f>
        <v/>
      </c>
      <c r="AE978" s="3">
        <f>IF(IFERROR(VLOOKUP(D978,Controls!$A$36:$E$46,2,FALSE()),"No")="Yes",1,0)</f>
        <v/>
      </c>
      <c r="AF978" s="3">
        <f>IF(IFERROR(VLOOKUP(D978,Controls!$A$36:$E$46,3,FALSE()),"No")="Yes",1,0)</f>
        <v/>
      </c>
      <c r="AG978" s="3">
        <f>IF(IFERROR(VLOOKUP(D978,Controls!$A$36:$E$46,4,FALSE()),"No")="Yes",1,0)</f>
        <v/>
      </c>
      <c r="AH978" s="3">
        <f>IF(IFERROR(VLOOKUP(D978,Controls!$A$36:$E$46,5,FALSE()),"No")="Yes",1,0)</f>
        <v/>
      </c>
      <c r="AI978" s="3">
        <f>IF(ISNUMBER(MATCH(D978,Controls!$A$36:$A$46,0)),1,0)</f>
        <v/>
      </c>
      <c r="AJ978" s="28">
        <f>Q978-N978</f>
        <v/>
      </c>
      <c r="AK978" s="3">
        <f>IF(AE978=1,MAX(0,N978-Q978),0)</f>
        <v/>
      </c>
      <c r="AL978" s="3">
        <f>IF(OR(V978="",V978=0),0,N978/V978)</f>
        <v/>
      </c>
      <c r="AM978" s="3">
        <f>IF(OR(V978="",V978=0),0,1)</f>
        <v/>
      </c>
      <c r="AN978" s="3">
        <f>IF(OR(E978="",F978=""),0,NETWORKDAYS(E978,F978,Ref!$K$2:$K$42))</f>
        <v/>
      </c>
      <c r="AO978" s="3">
        <f>IF(L978="Renewal",1,0)</f>
        <v/>
      </c>
      <c r="AP978" s="3">
        <f>AC978*AD978</f>
        <v/>
      </c>
      <c r="AQ978" s="3">
        <f>IF(AND(G978&lt;&gt;"",'Historical Score'!$C$6&lt;&gt;""),IF(G978='Historical Score'!$C$6,1,0),0)</f>
        <v/>
      </c>
      <c r="AR978" s="3">
        <f>IF(AND(L978&lt;&gt;"",'Historical Score'!$C$5&lt;&gt;""),IF(L978='Historical Score'!$C$5,1,0),0)</f>
        <v/>
      </c>
      <c r="AS978" s="3">
        <f>IF(AND(Y978&lt;&gt;"",'Historical Score'!$C$7&lt;&gt;""),IF(Y978='Historical Score'!$C$7,1,0),0)</f>
        <v/>
      </c>
      <c r="AT978" s="3">
        <f>IF(AND(K978&lt;&gt;"",'Historical Score'!$C$8&lt;&gt;""),IF(K978='Historical Score'!$C$8,1,0),0)</f>
        <v/>
      </c>
      <c r="AU978" s="3" t="n"/>
      <c r="AV978" s="3" t="n"/>
      <c r="AW978" s="3" t="n"/>
      <c r="AX978" s="3" t="n"/>
      <c r="AY978" s="3" t="n"/>
      <c r="AZ978" s="3" t="n"/>
      <c r="BA978" s="182">
        <f>IF(AD978=1,(AR978*'Historical Score'!$K$29+1-'Historical Score'!$K$29)*(AT978*'Historical Score'!$L$29+1-'Historical Score'!$L$29)*(AS978*'Historical Score'!$M$29+1-'Historical Score'!$M$29)*(AQ978*'Historical Score'!$N$29+1-'Historical Score'!$N$29),0)</f>
        <v/>
      </c>
      <c r="BB978" s="3" t="n"/>
      <c r="BC978" s="3" t="n"/>
    </row>
    <row r="979" ht="15.75" customHeight="1" s="174">
      <c r="A979" s="3" t="inlineStr">
        <is>
          <t>5674185894</t>
        </is>
      </c>
      <c r="B979" s="3" t="inlineStr">
        <is>
          <t>RML DBA FETTES MOVING &amp; STORAGE DBA ROBERT LEHR SOLE MBR</t>
        </is>
      </c>
      <c r="C979" s="3" t="inlineStr">
        <is>
          <t>RML LLC</t>
        </is>
      </c>
      <c r="D979" s="3" t="inlineStr">
        <is>
          <t>Open</t>
        </is>
      </c>
      <c r="E979" s="23" t="n">
        <v>46195</v>
      </c>
      <c r="F979" s="23" t="n">
        <v>46247</v>
      </c>
      <c r="G979" s="3" t="n">
        <v>3</v>
      </c>
      <c r="H979" s="3" t="inlineStr">
        <is>
          <t>4226</t>
        </is>
      </c>
      <c r="I979" s="3" t="inlineStr">
        <is>
          <t>42</t>
        </is>
      </c>
      <c r="J979" s="3" t="inlineStr">
        <is>
          <t>NC</t>
        </is>
      </c>
      <c r="K979" s="3" t="inlineStr">
        <is>
          <t>Capfront Funding</t>
        </is>
      </c>
      <c r="L979" s="3" t="inlineStr">
        <is>
          <t>New Deal</t>
        </is>
      </c>
      <c r="M979" s="3" t="n">
        <v>1.49</v>
      </c>
      <c r="N979" s="28" t="n">
        <v>60000</v>
      </c>
      <c r="O979" s="28" t="n">
        <v>8400</v>
      </c>
      <c r="P979" s="28" t="n">
        <v>89400</v>
      </c>
      <c r="Q979" s="28" t="n">
        <v>26064.57</v>
      </c>
      <c r="R979" s="28" t="n">
        <v>63335.43</v>
      </c>
      <c r="S979" s="42" t="n">
        <v>0.29155</v>
      </c>
      <c r="T979" s="3" t="n">
        <v>24</v>
      </c>
      <c r="U979" s="3" t="n">
        <v>0</v>
      </c>
      <c r="V979" s="3" t="n">
        <v>898992.04</v>
      </c>
      <c r="W979" s="42" t="n">
        <v>0.0573</v>
      </c>
      <c r="X979" s="23" t="n">
        <v>42050</v>
      </c>
      <c r="Y979" s="3">
        <f>IF(I979="","No SIC",IFERROR(VLOOKUP(I979,Ref!$A$2:$B$65,2,FALSE()),"Unclassified"))</f>
        <v/>
      </c>
      <c r="Z979" s="3">
        <f>IF(T979="","",IF(T979&lt;12,"Daily","Weekly"))</f>
        <v/>
      </c>
      <c r="AA979" s="3">
        <f>IF(T979="",0,IF(T979&lt;12,T979*Controls!$B$13,T979*5))</f>
        <v/>
      </c>
      <c r="AB979" s="3">
        <f>IF(E979="",0,NETWORKDAYS(E979,Controls!$B$20,Ref!$K$2:$K$42))</f>
        <v/>
      </c>
      <c r="AC979" s="3">
        <f>IF(OR(AF979=1,AND(AA979&gt;0,AB979&gt;=Controls!$B$23*AA979)),1,0)</f>
        <v/>
      </c>
      <c r="AD979" s="3">
        <f>IF(AND(E979&lt;&gt;"",E979&gt;=Controls!$B$21,E979&lt;=Controls!$B$22),1,0)</f>
        <v/>
      </c>
      <c r="AE979" s="3">
        <f>IF(IFERROR(VLOOKUP(D979,Controls!$A$36:$E$46,2,FALSE()),"No")="Yes",1,0)</f>
        <v/>
      </c>
      <c r="AF979" s="3">
        <f>IF(IFERROR(VLOOKUP(D979,Controls!$A$36:$E$46,3,FALSE()),"No")="Yes",1,0)</f>
        <v/>
      </c>
      <c r="AG979" s="3">
        <f>IF(IFERROR(VLOOKUP(D979,Controls!$A$36:$E$46,4,FALSE()),"No")="Yes",1,0)</f>
        <v/>
      </c>
      <c r="AH979" s="3">
        <f>IF(IFERROR(VLOOKUP(D979,Controls!$A$36:$E$46,5,FALSE()),"No")="Yes",1,0)</f>
        <v/>
      </c>
      <c r="AI979" s="3">
        <f>IF(ISNUMBER(MATCH(D979,Controls!$A$36:$A$46,0)),1,0)</f>
        <v/>
      </c>
      <c r="AJ979" s="28">
        <f>Q979-N979</f>
        <v/>
      </c>
      <c r="AK979" s="3">
        <f>IF(AE979=1,MAX(0,N979-Q979),0)</f>
        <v/>
      </c>
      <c r="AL979" s="3">
        <f>IF(OR(V979="",V979=0),0,N979/V979)</f>
        <v/>
      </c>
      <c r="AM979" s="3">
        <f>IF(OR(V979="",V979=0),0,1)</f>
        <v/>
      </c>
      <c r="AN979" s="3">
        <f>IF(OR(E979="",F979=""),0,NETWORKDAYS(E979,F979,Ref!$K$2:$K$42))</f>
        <v/>
      </c>
      <c r="AO979" s="3">
        <f>IF(L979="Renewal",1,0)</f>
        <v/>
      </c>
      <c r="AP979" s="3">
        <f>AC979*AD979</f>
        <v/>
      </c>
      <c r="AQ979" s="3">
        <f>IF(AND(G979&lt;&gt;"",'Historical Score'!$C$6&lt;&gt;""),IF(G979='Historical Score'!$C$6,1,0),0)</f>
        <v/>
      </c>
      <c r="AR979" s="3">
        <f>IF(AND(L979&lt;&gt;"",'Historical Score'!$C$5&lt;&gt;""),IF(L979='Historical Score'!$C$5,1,0),0)</f>
        <v/>
      </c>
      <c r="AS979" s="3">
        <f>IF(AND(Y979&lt;&gt;"",'Historical Score'!$C$7&lt;&gt;""),IF(Y979='Historical Score'!$C$7,1,0),0)</f>
        <v/>
      </c>
      <c r="AT979" s="3">
        <f>IF(AND(K979&lt;&gt;"",'Historical Score'!$C$8&lt;&gt;""),IF(K979='Historical Score'!$C$8,1,0),0)</f>
        <v/>
      </c>
      <c r="AU979" s="3" t="n"/>
      <c r="AV979" s="3" t="n"/>
      <c r="AW979" s="3" t="n"/>
      <c r="AX979" s="3" t="n"/>
      <c r="AY979" s="3" t="n"/>
      <c r="AZ979" s="3" t="n"/>
      <c r="BA979" s="182">
        <f>IF(AD979=1,(AR979*'Historical Score'!$K$29+1-'Historical Score'!$K$29)*(AT979*'Historical Score'!$L$29+1-'Historical Score'!$L$29)*(AS979*'Historical Score'!$M$29+1-'Historical Score'!$M$29)*(AQ979*'Historical Score'!$N$29+1-'Historical Score'!$N$29),0)</f>
        <v/>
      </c>
      <c r="BB979" s="3" t="n"/>
      <c r="BC979" s="3" t="n"/>
    </row>
    <row r="980" ht="15.75" customHeight="1" s="174">
      <c r="A980" s="3" t="inlineStr">
        <is>
          <t>5674185913</t>
        </is>
      </c>
      <c r="B980" s="3" t="inlineStr">
        <is>
          <t>HD SADLER ELECTRICAL REPAIR SERVICE LLC</t>
        </is>
      </c>
      <c r="C980" s="3" t="inlineStr">
        <is>
          <t>HD SADLER ELECTRICAL REPAIR SERVICE LLC</t>
        </is>
      </c>
      <c r="D980" s="3" t="inlineStr">
        <is>
          <t>Open</t>
        </is>
      </c>
      <c r="E980" s="23" t="n">
        <v>46195</v>
      </c>
      <c r="F980" s="23" t="n">
        <v>46241</v>
      </c>
      <c r="G980" s="3" t="n">
        <v>3</v>
      </c>
      <c r="H980" s="3" t="inlineStr">
        <is>
          <t>1731</t>
        </is>
      </c>
      <c r="I980" s="3" t="inlineStr">
        <is>
          <t>17</t>
        </is>
      </c>
      <c r="J980" s="3" t="inlineStr">
        <is>
          <t>GA</t>
        </is>
      </c>
      <c r="K980" s="3" t="inlineStr">
        <is>
          <t>TRUSTFI</t>
        </is>
      </c>
      <c r="L980" s="3" t="inlineStr">
        <is>
          <t>New Deal</t>
        </is>
      </c>
      <c r="M980" s="3" t="n">
        <v>1.4</v>
      </c>
      <c r="N980" s="28" t="n">
        <v>7500</v>
      </c>
      <c r="O980" s="28" t="n">
        <v>712.5</v>
      </c>
      <c r="P980" s="28" t="n">
        <v>10500</v>
      </c>
      <c r="Q980" s="28" t="n">
        <v>2862.9</v>
      </c>
      <c r="R980" s="28" t="n">
        <v>7637.1</v>
      </c>
      <c r="S980" s="42" t="n">
        <v>0.272657142857143</v>
      </c>
      <c r="T980" s="3" t="n">
        <v>22</v>
      </c>
      <c r="U980" s="3" t="n">
        <v>1</v>
      </c>
      <c r="V980" s="3" t="n">
        <v>27781.44</v>
      </c>
      <c r="W980" s="42" t="n">
        <v>0.0687</v>
      </c>
      <c r="X980" s="23" t="n">
        <v>45961</v>
      </c>
      <c r="Y980" s="3">
        <f>IF(I980="","No SIC",IFERROR(VLOOKUP(I980,Ref!$A$2:$B$65,2,FALSE()),"Unclassified"))</f>
        <v/>
      </c>
      <c r="Z980" s="3">
        <f>IF(T980="","",IF(T980&lt;12,"Daily","Weekly"))</f>
        <v/>
      </c>
      <c r="AA980" s="3">
        <f>IF(T980="",0,IF(T980&lt;12,T980*Controls!$B$13,T980*5))</f>
        <v/>
      </c>
      <c r="AB980" s="3">
        <f>IF(E980="",0,NETWORKDAYS(E980,Controls!$B$20,Ref!$K$2:$K$42))</f>
        <v/>
      </c>
      <c r="AC980" s="3">
        <f>IF(OR(AF980=1,AND(AA980&gt;0,AB980&gt;=Controls!$B$23*AA980)),1,0)</f>
        <v/>
      </c>
      <c r="AD980" s="3">
        <f>IF(AND(E980&lt;&gt;"",E980&gt;=Controls!$B$21,E980&lt;=Controls!$B$22),1,0)</f>
        <v/>
      </c>
      <c r="AE980" s="3">
        <f>IF(IFERROR(VLOOKUP(D980,Controls!$A$36:$E$46,2,FALSE()),"No")="Yes",1,0)</f>
        <v/>
      </c>
      <c r="AF980" s="3">
        <f>IF(IFERROR(VLOOKUP(D980,Controls!$A$36:$E$46,3,FALSE()),"No")="Yes",1,0)</f>
        <v/>
      </c>
      <c r="AG980" s="3">
        <f>IF(IFERROR(VLOOKUP(D980,Controls!$A$36:$E$46,4,FALSE()),"No")="Yes",1,0)</f>
        <v/>
      </c>
      <c r="AH980" s="3">
        <f>IF(IFERROR(VLOOKUP(D980,Controls!$A$36:$E$46,5,FALSE()),"No")="Yes",1,0)</f>
        <v/>
      </c>
      <c r="AI980" s="3">
        <f>IF(ISNUMBER(MATCH(D980,Controls!$A$36:$A$46,0)),1,0)</f>
        <v/>
      </c>
      <c r="AJ980" s="28">
        <f>Q980-N980</f>
        <v/>
      </c>
      <c r="AK980" s="3">
        <f>IF(AE980=1,MAX(0,N980-Q980),0)</f>
        <v/>
      </c>
      <c r="AL980" s="3">
        <f>IF(OR(V980="",V980=0),0,N980/V980)</f>
        <v/>
      </c>
      <c r="AM980" s="3">
        <f>IF(OR(V980="",V980=0),0,1)</f>
        <v/>
      </c>
      <c r="AN980" s="3">
        <f>IF(OR(E980="",F980=""),0,NETWORKDAYS(E980,F980,Ref!$K$2:$K$42))</f>
        <v/>
      </c>
      <c r="AO980" s="3">
        <f>IF(L980="Renewal",1,0)</f>
        <v/>
      </c>
      <c r="AP980" s="3">
        <f>AC980*AD980</f>
        <v/>
      </c>
      <c r="AQ980" s="3">
        <f>IF(AND(G980&lt;&gt;"",'Historical Score'!$C$6&lt;&gt;""),IF(G980='Historical Score'!$C$6,1,0),0)</f>
        <v/>
      </c>
      <c r="AR980" s="3">
        <f>IF(AND(L980&lt;&gt;"",'Historical Score'!$C$5&lt;&gt;""),IF(L980='Historical Score'!$C$5,1,0),0)</f>
        <v/>
      </c>
      <c r="AS980" s="3">
        <f>IF(AND(Y980&lt;&gt;"",'Historical Score'!$C$7&lt;&gt;""),IF(Y980='Historical Score'!$C$7,1,0),0)</f>
        <v/>
      </c>
      <c r="AT980" s="3">
        <f>IF(AND(K980&lt;&gt;"",'Historical Score'!$C$8&lt;&gt;""),IF(K980='Historical Score'!$C$8,1,0),0)</f>
        <v/>
      </c>
      <c r="AU980" s="3" t="n"/>
      <c r="AV980" s="3" t="n"/>
      <c r="AW980" s="3" t="n"/>
      <c r="AX980" s="3" t="n"/>
      <c r="AY980" s="3" t="n"/>
      <c r="AZ980" s="3" t="n"/>
      <c r="BA980" s="182">
        <f>IF(AD980=1,(AR980*'Historical Score'!$K$29+1-'Historical Score'!$K$29)*(AT980*'Historical Score'!$L$29+1-'Historical Score'!$L$29)*(AS980*'Historical Score'!$M$29+1-'Historical Score'!$M$29)*(AQ980*'Historical Score'!$N$29+1-'Historical Score'!$N$29),0)</f>
        <v/>
      </c>
      <c r="BB980" s="3" t="n"/>
      <c r="BC980" s="3" t="n"/>
    </row>
    <row r="981" ht="15.75" customHeight="1" s="174">
      <c r="A981" s="3" t="inlineStr">
        <is>
          <t>5674185941</t>
        </is>
      </c>
      <c r="B981" s="3" t="inlineStr">
        <is>
          <t>MJD EXCAVATING</t>
        </is>
      </c>
      <c r="C981" s="3" t="inlineStr">
        <is>
          <t>MJD EXCAVATING INC</t>
        </is>
      </c>
      <c r="D981" s="3" t="inlineStr">
        <is>
          <t>Open</t>
        </is>
      </c>
      <c r="E981" s="23" t="n">
        <v>46196</v>
      </c>
      <c r="F981" s="23" t="n">
        <v>46253</v>
      </c>
      <c r="G981" s="3" t="n">
        <v>3</v>
      </c>
      <c r="H981" s="3" t="inlineStr">
        <is>
          <t>1629</t>
        </is>
      </c>
      <c r="I981" s="3" t="inlineStr">
        <is>
          <t>16</t>
        </is>
      </c>
      <c r="J981" s="3" t="inlineStr">
        <is>
          <t>MA</t>
        </is>
      </c>
      <c r="K981" s="3" t="inlineStr">
        <is>
          <t>Premium Capital (AMRK)</t>
        </is>
      </c>
      <c r="L981" s="3" t="inlineStr">
        <is>
          <t>Renewal</t>
        </is>
      </c>
      <c r="M981" s="3" t="n">
        <v>1.49</v>
      </c>
      <c r="N981" s="28" t="n">
        <v>325000</v>
      </c>
      <c r="O981" s="28" t="n">
        <v>45500</v>
      </c>
      <c r="P981" s="28" t="n">
        <v>484250</v>
      </c>
      <c r="Q981" s="28" t="n">
        <v>88809.09</v>
      </c>
      <c r="R981" s="28" t="n">
        <v>395440.91</v>
      </c>
      <c r="S981" s="42" t="n">
        <v>0.183395126484254</v>
      </c>
      <c r="T981" s="3" t="n">
        <v>36</v>
      </c>
      <c r="U981" s="3" t="n">
        <v>2</v>
      </c>
      <c r="V981" s="3" t="n">
        <v>836006.55</v>
      </c>
      <c r="W981" s="42" t="n">
        <v>0.0762</v>
      </c>
      <c r="X981" s="23" t="n">
        <v>40909</v>
      </c>
      <c r="Y981" s="3">
        <f>IF(I981="","No SIC",IFERROR(VLOOKUP(I981,Ref!$A$2:$B$65,2,FALSE()),"Unclassified"))</f>
        <v/>
      </c>
      <c r="Z981" s="3">
        <f>IF(T981="","",IF(T981&lt;12,"Daily","Weekly"))</f>
        <v/>
      </c>
      <c r="AA981" s="3">
        <f>IF(T981="",0,IF(T981&lt;12,T981*Controls!$B$13,T981*5))</f>
        <v/>
      </c>
      <c r="AB981" s="3">
        <f>IF(E981="",0,NETWORKDAYS(E981,Controls!$B$20,Ref!$K$2:$K$42))</f>
        <v/>
      </c>
      <c r="AC981" s="3">
        <f>IF(OR(AF981=1,AND(AA981&gt;0,AB981&gt;=Controls!$B$23*AA981)),1,0)</f>
        <v/>
      </c>
      <c r="AD981" s="3">
        <f>IF(AND(E981&lt;&gt;"",E981&gt;=Controls!$B$21,E981&lt;=Controls!$B$22),1,0)</f>
        <v/>
      </c>
      <c r="AE981" s="3">
        <f>IF(IFERROR(VLOOKUP(D981,Controls!$A$36:$E$46,2,FALSE()),"No")="Yes",1,0)</f>
        <v/>
      </c>
      <c r="AF981" s="3">
        <f>IF(IFERROR(VLOOKUP(D981,Controls!$A$36:$E$46,3,FALSE()),"No")="Yes",1,0)</f>
        <v/>
      </c>
      <c r="AG981" s="3">
        <f>IF(IFERROR(VLOOKUP(D981,Controls!$A$36:$E$46,4,FALSE()),"No")="Yes",1,0)</f>
        <v/>
      </c>
      <c r="AH981" s="3">
        <f>IF(IFERROR(VLOOKUP(D981,Controls!$A$36:$E$46,5,FALSE()),"No")="Yes",1,0)</f>
        <v/>
      </c>
      <c r="AI981" s="3">
        <f>IF(ISNUMBER(MATCH(D981,Controls!$A$36:$A$46,0)),1,0)</f>
        <v/>
      </c>
      <c r="AJ981" s="28">
        <f>Q981-N981</f>
        <v/>
      </c>
      <c r="AK981" s="3">
        <f>IF(AE981=1,MAX(0,N981-Q981),0)</f>
        <v/>
      </c>
      <c r="AL981" s="3">
        <f>IF(OR(V981="",V981=0),0,N981/V981)</f>
        <v/>
      </c>
      <c r="AM981" s="3">
        <f>IF(OR(V981="",V981=0),0,1)</f>
        <v/>
      </c>
      <c r="AN981" s="3">
        <f>IF(OR(E981="",F981=""),0,NETWORKDAYS(E981,F981,Ref!$K$2:$K$42))</f>
        <v/>
      </c>
      <c r="AO981" s="3">
        <f>IF(L981="Renewal",1,0)</f>
        <v/>
      </c>
      <c r="AP981" s="3">
        <f>AC981*AD981</f>
        <v/>
      </c>
      <c r="AQ981" s="3">
        <f>IF(AND(G981&lt;&gt;"",'Historical Score'!$C$6&lt;&gt;""),IF(G981='Historical Score'!$C$6,1,0),0)</f>
        <v/>
      </c>
      <c r="AR981" s="3">
        <f>IF(AND(L981&lt;&gt;"",'Historical Score'!$C$5&lt;&gt;""),IF(L981='Historical Score'!$C$5,1,0),0)</f>
        <v/>
      </c>
      <c r="AS981" s="3">
        <f>IF(AND(Y981&lt;&gt;"",'Historical Score'!$C$7&lt;&gt;""),IF(Y981='Historical Score'!$C$7,1,0),0)</f>
        <v/>
      </c>
      <c r="AT981" s="3">
        <f>IF(AND(K981&lt;&gt;"",'Historical Score'!$C$8&lt;&gt;""),IF(K981='Historical Score'!$C$8,1,0),0)</f>
        <v/>
      </c>
      <c r="AU981" s="3" t="n"/>
      <c r="AV981" s="3" t="n"/>
      <c r="AW981" s="3" t="n"/>
      <c r="AX981" s="3" t="n"/>
      <c r="AY981" s="3" t="n"/>
      <c r="AZ981" s="3" t="n"/>
      <c r="BA981" s="182">
        <f>IF(AD981=1,(AR981*'Historical Score'!$K$29+1-'Historical Score'!$K$29)*(AT981*'Historical Score'!$L$29+1-'Historical Score'!$L$29)*(AS981*'Historical Score'!$M$29+1-'Historical Score'!$M$29)*(AQ981*'Historical Score'!$N$29+1-'Historical Score'!$N$29),0)</f>
        <v/>
      </c>
      <c r="BB981" s="3" t="n"/>
      <c r="BC981" s="3" t="n"/>
    </row>
    <row r="982" ht="15.75" customHeight="1" s="174">
      <c r="A982" s="3" t="inlineStr">
        <is>
          <t>5674185972</t>
        </is>
      </c>
      <c r="B982" s="3" t="inlineStr">
        <is>
          <t>Eyecare Express</t>
        </is>
      </c>
      <c r="C982" s="3" t="inlineStr">
        <is>
          <t>THIRTEENTH  STREET OPTICAL CO INC</t>
        </is>
      </c>
      <c r="D982" s="3" t="inlineStr">
        <is>
          <t>Open</t>
        </is>
      </c>
      <c r="E982" s="23" t="n">
        <v>46196</v>
      </c>
      <c r="F982" s="23" t="n">
        <v>46248</v>
      </c>
      <c r="G982" s="3" t="n">
        <v>3</v>
      </c>
      <c r="H982" s="3" t="inlineStr">
        <is>
          <t>8042</t>
        </is>
      </c>
      <c r="I982" s="3" t="inlineStr">
        <is>
          <t>80</t>
        </is>
      </c>
      <c r="J982" s="3" t="inlineStr">
        <is>
          <t>FL</t>
        </is>
      </c>
      <c r="K982" s="3" t="inlineStr">
        <is>
          <t>Credibly</t>
        </is>
      </c>
      <c r="L982" s="3" t="inlineStr">
        <is>
          <t>New Deal</t>
        </is>
      </c>
      <c r="M982" s="3" t="n">
        <v>1.49</v>
      </c>
      <c r="N982" s="28" t="n">
        <v>30000</v>
      </c>
      <c r="O982" s="28" t="n">
        <v>4200</v>
      </c>
      <c r="P982" s="28" t="n">
        <v>44700</v>
      </c>
      <c r="Q982" s="28" t="n">
        <v>9930</v>
      </c>
      <c r="R982" s="28" t="n">
        <v>34770</v>
      </c>
      <c r="S982" s="42" t="n">
        <v>0.222147651006711</v>
      </c>
      <c r="T982" s="3" t="n">
        <v>36</v>
      </c>
      <c r="U982" s="3" t="n">
        <v>0</v>
      </c>
      <c r="V982" s="3" t="n">
        <v>42000</v>
      </c>
      <c r="W982" s="42" t="n">
        <v>0.0993</v>
      </c>
      <c r="X982" s="23" t="n">
        <v>35085</v>
      </c>
      <c r="Y982" s="3">
        <f>IF(I982="","No SIC",IFERROR(VLOOKUP(I982,Ref!$A$2:$B$65,2,FALSE()),"Unclassified"))</f>
        <v/>
      </c>
      <c r="Z982" s="3">
        <f>IF(T982="","",IF(T982&lt;12,"Daily","Weekly"))</f>
        <v/>
      </c>
      <c r="AA982" s="3">
        <f>IF(T982="",0,IF(T982&lt;12,T982*Controls!$B$13,T982*5))</f>
        <v/>
      </c>
      <c r="AB982" s="3">
        <f>IF(E982="",0,NETWORKDAYS(E982,Controls!$B$20,Ref!$K$2:$K$42))</f>
        <v/>
      </c>
      <c r="AC982" s="3">
        <f>IF(OR(AF982=1,AND(AA982&gt;0,AB982&gt;=Controls!$B$23*AA982)),1,0)</f>
        <v/>
      </c>
      <c r="AD982" s="3">
        <f>IF(AND(E982&lt;&gt;"",E982&gt;=Controls!$B$21,E982&lt;=Controls!$B$22),1,0)</f>
        <v/>
      </c>
      <c r="AE982" s="3">
        <f>IF(IFERROR(VLOOKUP(D982,Controls!$A$36:$E$46,2,FALSE()),"No")="Yes",1,0)</f>
        <v/>
      </c>
      <c r="AF982" s="3">
        <f>IF(IFERROR(VLOOKUP(D982,Controls!$A$36:$E$46,3,FALSE()),"No")="Yes",1,0)</f>
        <v/>
      </c>
      <c r="AG982" s="3">
        <f>IF(IFERROR(VLOOKUP(D982,Controls!$A$36:$E$46,4,FALSE()),"No")="Yes",1,0)</f>
        <v/>
      </c>
      <c r="AH982" s="3">
        <f>IF(IFERROR(VLOOKUP(D982,Controls!$A$36:$E$46,5,FALSE()),"No")="Yes",1,0)</f>
        <v/>
      </c>
      <c r="AI982" s="3">
        <f>IF(ISNUMBER(MATCH(D982,Controls!$A$36:$A$46,0)),1,0)</f>
        <v/>
      </c>
      <c r="AJ982" s="28">
        <f>Q982-N982</f>
        <v/>
      </c>
      <c r="AK982" s="3">
        <f>IF(AE982=1,MAX(0,N982-Q982),0)</f>
        <v/>
      </c>
      <c r="AL982" s="3">
        <f>IF(OR(V982="",V982=0),0,N982/V982)</f>
        <v/>
      </c>
      <c r="AM982" s="3">
        <f>IF(OR(V982="",V982=0),0,1)</f>
        <v/>
      </c>
      <c r="AN982" s="3">
        <f>IF(OR(E982="",F982=""),0,NETWORKDAYS(E982,F982,Ref!$K$2:$K$42))</f>
        <v/>
      </c>
      <c r="AO982" s="3">
        <f>IF(L982="Renewal",1,0)</f>
        <v/>
      </c>
      <c r="AP982" s="3">
        <f>AC982*AD982</f>
        <v/>
      </c>
      <c r="AQ982" s="3">
        <f>IF(AND(G982&lt;&gt;"",'Historical Score'!$C$6&lt;&gt;""),IF(G982='Historical Score'!$C$6,1,0),0)</f>
        <v/>
      </c>
      <c r="AR982" s="3">
        <f>IF(AND(L982&lt;&gt;"",'Historical Score'!$C$5&lt;&gt;""),IF(L982='Historical Score'!$C$5,1,0),0)</f>
        <v/>
      </c>
      <c r="AS982" s="3">
        <f>IF(AND(Y982&lt;&gt;"",'Historical Score'!$C$7&lt;&gt;""),IF(Y982='Historical Score'!$C$7,1,0),0)</f>
        <v/>
      </c>
      <c r="AT982" s="3">
        <f>IF(AND(K982&lt;&gt;"",'Historical Score'!$C$8&lt;&gt;""),IF(K982='Historical Score'!$C$8,1,0),0)</f>
        <v/>
      </c>
      <c r="AU982" s="3" t="n"/>
      <c r="AV982" s="3" t="n"/>
      <c r="AW982" s="3" t="n"/>
      <c r="AX982" s="3" t="n"/>
      <c r="AY982" s="3" t="n"/>
      <c r="AZ982" s="3" t="n"/>
      <c r="BA982" s="182">
        <f>IF(AD982=1,(AR982*'Historical Score'!$K$29+1-'Historical Score'!$K$29)*(AT982*'Historical Score'!$L$29+1-'Historical Score'!$L$29)*(AS982*'Historical Score'!$M$29+1-'Historical Score'!$M$29)*(AQ982*'Historical Score'!$N$29+1-'Historical Score'!$N$29),0)</f>
        <v/>
      </c>
      <c r="BB982" s="3" t="n"/>
      <c r="BC982" s="3" t="n"/>
    </row>
    <row r="983" ht="15.75" customHeight="1" s="174">
      <c r="A983" s="3" t="inlineStr">
        <is>
          <t>5674185992</t>
        </is>
      </c>
      <c r="B983" s="3" t="inlineStr">
        <is>
          <t>ELEVATE IT</t>
        </is>
      </c>
      <c r="C983" s="3" t="inlineStr">
        <is>
          <t>ELEVATE EVENTS LLC</t>
        </is>
      </c>
      <c r="D983" s="3" t="inlineStr">
        <is>
          <t>Open</t>
        </is>
      </c>
      <c r="E983" s="23" t="n">
        <v>46196</v>
      </c>
      <c r="F983" s="23" t="n">
        <v>46251</v>
      </c>
      <c r="G983" s="3" t="n">
        <v>1</v>
      </c>
      <c r="H983" s="3" t="inlineStr">
        <is>
          <t>7371</t>
        </is>
      </c>
      <c r="I983" s="3" t="inlineStr">
        <is>
          <t>73</t>
        </is>
      </c>
      <c r="J983" s="3" t="inlineStr">
        <is>
          <t>OR</t>
        </is>
      </c>
      <c r="K983" s="3" t="inlineStr">
        <is>
          <t>United Secured Capital 8</t>
        </is>
      </c>
      <c r="L983" s="3" t="inlineStr">
        <is>
          <t>New Deal</t>
        </is>
      </c>
      <c r="M983" s="3" t="n">
        <v>1.32</v>
      </c>
      <c r="N983" s="28" t="n">
        <v>100000</v>
      </c>
      <c r="O983" s="28" t="n">
        <v>4000</v>
      </c>
      <c r="P983" s="28" t="n">
        <v>132000</v>
      </c>
      <c r="Q983" s="28" t="n">
        <v>33003.12</v>
      </c>
      <c r="R983" s="28" t="n">
        <v>98996.88</v>
      </c>
      <c r="S983" s="42" t="n">
        <v>0.250023636363636</v>
      </c>
      <c r="T983" s="3" t="n">
        <v>32</v>
      </c>
      <c r="U983" s="3" t="n">
        <v>0</v>
      </c>
      <c r="V983" s="3" t="n">
        <v>164142.69</v>
      </c>
      <c r="W983" s="42" t="n">
        <v>0.1114</v>
      </c>
      <c r="X983" s="23" t="n">
        <v>44419</v>
      </c>
      <c r="Y983" s="3">
        <f>IF(I983="","No SIC",IFERROR(VLOOKUP(I983,Ref!$A$2:$B$65,2,FALSE()),"Unclassified"))</f>
        <v/>
      </c>
      <c r="Z983" s="3">
        <f>IF(T983="","",IF(T983&lt;12,"Daily","Weekly"))</f>
        <v/>
      </c>
      <c r="AA983" s="3">
        <f>IF(T983="",0,IF(T983&lt;12,T983*Controls!$B$13,T983*5))</f>
        <v/>
      </c>
      <c r="AB983" s="3">
        <f>IF(E983="",0,NETWORKDAYS(E983,Controls!$B$20,Ref!$K$2:$K$42))</f>
        <v/>
      </c>
      <c r="AC983" s="3">
        <f>IF(OR(AF983=1,AND(AA983&gt;0,AB983&gt;=Controls!$B$23*AA983)),1,0)</f>
        <v/>
      </c>
      <c r="AD983" s="3">
        <f>IF(AND(E983&lt;&gt;"",E983&gt;=Controls!$B$21,E983&lt;=Controls!$B$22),1,0)</f>
        <v/>
      </c>
      <c r="AE983" s="3">
        <f>IF(IFERROR(VLOOKUP(D983,Controls!$A$36:$E$46,2,FALSE()),"No")="Yes",1,0)</f>
        <v/>
      </c>
      <c r="AF983" s="3">
        <f>IF(IFERROR(VLOOKUP(D983,Controls!$A$36:$E$46,3,FALSE()),"No")="Yes",1,0)</f>
        <v/>
      </c>
      <c r="AG983" s="3">
        <f>IF(IFERROR(VLOOKUP(D983,Controls!$A$36:$E$46,4,FALSE()),"No")="Yes",1,0)</f>
        <v/>
      </c>
      <c r="AH983" s="3">
        <f>IF(IFERROR(VLOOKUP(D983,Controls!$A$36:$E$46,5,FALSE()),"No")="Yes",1,0)</f>
        <v/>
      </c>
      <c r="AI983" s="3">
        <f>IF(ISNUMBER(MATCH(D983,Controls!$A$36:$A$46,0)),1,0)</f>
        <v/>
      </c>
      <c r="AJ983" s="28">
        <f>Q983-N983</f>
        <v/>
      </c>
      <c r="AK983" s="3">
        <f>IF(AE983=1,MAX(0,N983-Q983),0)</f>
        <v/>
      </c>
      <c r="AL983" s="3">
        <f>IF(OR(V983="",V983=0),0,N983/V983)</f>
        <v/>
      </c>
      <c r="AM983" s="3">
        <f>IF(OR(V983="",V983=0),0,1)</f>
        <v/>
      </c>
      <c r="AN983" s="3">
        <f>IF(OR(E983="",F983=""),0,NETWORKDAYS(E983,F983,Ref!$K$2:$K$42))</f>
        <v/>
      </c>
      <c r="AO983" s="3">
        <f>IF(L983="Renewal",1,0)</f>
        <v/>
      </c>
      <c r="AP983" s="3">
        <f>AC983*AD983</f>
        <v/>
      </c>
      <c r="AQ983" s="3">
        <f>IF(AND(G983&lt;&gt;"",'Historical Score'!$C$6&lt;&gt;""),IF(G983='Historical Score'!$C$6,1,0),0)</f>
        <v/>
      </c>
      <c r="AR983" s="3">
        <f>IF(AND(L983&lt;&gt;"",'Historical Score'!$C$5&lt;&gt;""),IF(L983='Historical Score'!$C$5,1,0),0)</f>
        <v/>
      </c>
      <c r="AS983" s="3">
        <f>IF(AND(Y983&lt;&gt;"",'Historical Score'!$C$7&lt;&gt;""),IF(Y983='Historical Score'!$C$7,1,0),0)</f>
        <v/>
      </c>
      <c r="AT983" s="3">
        <f>IF(AND(K983&lt;&gt;"",'Historical Score'!$C$8&lt;&gt;""),IF(K983='Historical Score'!$C$8,1,0),0)</f>
        <v/>
      </c>
      <c r="AU983" s="3" t="n"/>
      <c r="AV983" s="3" t="n"/>
      <c r="AW983" s="3" t="n"/>
      <c r="AX983" s="3" t="n"/>
      <c r="AY983" s="3" t="n"/>
      <c r="AZ983" s="3" t="n"/>
      <c r="BA983" s="182">
        <f>IF(AD983=1,(AR983*'Historical Score'!$K$29+1-'Historical Score'!$K$29)*(AT983*'Historical Score'!$L$29+1-'Historical Score'!$L$29)*(AS983*'Historical Score'!$M$29+1-'Historical Score'!$M$29)*(AQ983*'Historical Score'!$N$29+1-'Historical Score'!$N$29),0)</f>
        <v/>
      </c>
      <c r="BB983" s="3" t="n"/>
      <c r="BC983" s="3" t="n"/>
    </row>
    <row r="984" ht="15.75" customHeight="1" s="174">
      <c r="A984" s="3" t="inlineStr">
        <is>
          <t>5674186087</t>
        </is>
      </c>
      <c r="B984" s="3" t="inlineStr">
        <is>
          <t>CARGO, CARGO TX, CARGO LLC</t>
        </is>
      </c>
      <c r="C984" s="3" t="inlineStr">
        <is>
          <t>CARGO OPERATIONS LLC</t>
        </is>
      </c>
      <c r="D984" s="3" t="inlineStr">
        <is>
          <t>Open</t>
        </is>
      </c>
      <c r="E984" s="23" t="n">
        <v>46197</v>
      </c>
      <c r="F984" s="23" t="n">
        <v>46253</v>
      </c>
      <c r="G984" s="3" t="n">
        <v>1</v>
      </c>
      <c r="H984" s="3" t="inlineStr">
        <is>
          <t>5812</t>
        </is>
      </c>
      <c r="I984" s="3" t="inlineStr">
        <is>
          <t>58</t>
        </is>
      </c>
      <c r="J984" s="3" t="inlineStr">
        <is>
          <t>TX</t>
        </is>
      </c>
      <c r="K984" s="3" t="inlineStr">
        <is>
          <t>Credibly</t>
        </is>
      </c>
      <c r="L984" s="3" t="inlineStr">
        <is>
          <t>New Deal</t>
        </is>
      </c>
      <c r="M984" s="3" t="n">
        <v>1.39</v>
      </c>
      <c r="N984" s="28" t="n">
        <v>75000</v>
      </c>
      <c r="O984" s="28" t="n">
        <v>6750</v>
      </c>
      <c r="P984" s="28" t="n">
        <v>104250</v>
      </c>
      <c r="Q984" s="28" t="n">
        <v>29817.6</v>
      </c>
      <c r="R984" s="28" t="n">
        <v>74432.39999999999</v>
      </c>
      <c r="S984" s="42" t="n">
        <v>0.286020143884892</v>
      </c>
      <c r="T984" s="3" t="n">
        <v>4.59</v>
      </c>
      <c r="U984" s="3" t="n">
        <v>1</v>
      </c>
      <c r="V984" s="3" t="n">
        <v>343296.1</v>
      </c>
      <c r="W984" s="42" t="n">
        <v>0.0456</v>
      </c>
      <c r="X984" s="23" t="n">
        <v>45870</v>
      </c>
      <c r="Y984" s="3">
        <f>IF(I984="","No SIC",IFERROR(VLOOKUP(I984,Ref!$A$2:$B$65,2,FALSE()),"Unclassified"))</f>
        <v/>
      </c>
      <c r="Z984" s="3">
        <f>IF(T984="","",IF(T984&lt;12,"Daily","Weekly"))</f>
        <v/>
      </c>
      <c r="AA984" s="3">
        <f>IF(T984="",0,IF(T984&lt;12,T984*Controls!$B$13,T984*5))</f>
        <v/>
      </c>
      <c r="AB984" s="3">
        <f>IF(E984="",0,NETWORKDAYS(E984,Controls!$B$20,Ref!$K$2:$K$42))</f>
        <v/>
      </c>
      <c r="AC984" s="3">
        <f>IF(OR(AF984=1,AND(AA984&gt;0,AB984&gt;=Controls!$B$23*AA984)),1,0)</f>
        <v/>
      </c>
      <c r="AD984" s="3">
        <f>IF(AND(E984&lt;&gt;"",E984&gt;=Controls!$B$21,E984&lt;=Controls!$B$22),1,0)</f>
        <v/>
      </c>
      <c r="AE984" s="3">
        <f>IF(IFERROR(VLOOKUP(D984,Controls!$A$36:$E$46,2,FALSE()),"No")="Yes",1,0)</f>
        <v/>
      </c>
      <c r="AF984" s="3">
        <f>IF(IFERROR(VLOOKUP(D984,Controls!$A$36:$E$46,3,FALSE()),"No")="Yes",1,0)</f>
        <v/>
      </c>
      <c r="AG984" s="3">
        <f>IF(IFERROR(VLOOKUP(D984,Controls!$A$36:$E$46,4,FALSE()),"No")="Yes",1,0)</f>
        <v/>
      </c>
      <c r="AH984" s="3">
        <f>IF(IFERROR(VLOOKUP(D984,Controls!$A$36:$E$46,5,FALSE()),"No")="Yes",1,0)</f>
        <v/>
      </c>
      <c r="AI984" s="3">
        <f>IF(ISNUMBER(MATCH(D984,Controls!$A$36:$A$46,0)),1,0)</f>
        <v/>
      </c>
      <c r="AJ984" s="28">
        <f>Q984-N984</f>
        <v/>
      </c>
      <c r="AK984" s="3">
        <f>IF(AE984=1,MAX(0,N984-Q984),0)</f>
        <v/>
      </c>
      <c r="AL984" s="3">
        <f>IF(OR(V984="",V984=0),0,N984/V984)</f>
        <v/>
      </c>
      <c r="AM984" s="3">
        <f>IF(OR(V984="",V984=0),0,1)</f>
        <v/>
      </c>
      <c r="AN984" s="3">
        <f>IF(OR(E984="",F984=""),0,NETWORKDAYS(E984,F984,Ref!$K$2:$K$42))</f>
        <v/>
      </c>
      <c r="AO984" s="3">
        <f>IF(L984="Renewal",1,0)</f>
        <v/>
      </c>
      <c r="AP984" s="3">
        <f>AC984*AD984</f>
        <v/>
      </c>
      <c r="AQ984" s="3">
        <f>IF(AND(G984&lt;&gt;"",'Historical Score'!$C$6&lt;&gt;""),IF(G984='Historical Score'!$C$6,1,0),0)</f>
        <v/>
      </c>
      <c r="AR984" s="3">
        <f>IF(AND(L984&lt;&gt;"",'Historical Score'!$C$5&lt;&gt;""),IF(L984='Historical Score'!$C$5,1,0),0)</f>
        <v/>
      </c>
      <c r="AS984" s="3">
        <f>IF(AND(Y984&lt;&gt;"",'Historical Score'!$C$7&lt;&gt;""),IF(Y984='Historical Score'!$C$7,1,0),0)</f>
        <v/>
      </c>
      <c r="AT984" s="3">
        <f>IF(AND(K984&lt;&gt;"",'Historical Score'!$C$8&lt;&gt;""),IF(K984='Historical Score'!$C$8,1,0),0)</f>
        <v/>
      </c>
      <c r="AU984" s="3" t="n"/>
      <c r="AV984" s="3" t="n"/>
      <c r="AW984" s="3" t="n"/>
      <c r="AX984" s="3" t="n"/>
      <c r="AY984" s="3" t="n"/>
      <c r="AZ984" s="3" t="n"/>
      <c r="BA984" s="182">
        <f>IF(AD984=1,(AR984*'Historical Score'!$K$29+1-'Historical Score'!$K$29)*(AT984*'Historical Score'!$L$29+1-'Historical Score'!$L$29)*(AS984*'Historical Score'!$M$29+1-'Historical Score'!$M$29)*(AQ984*'Historical Score'!$N$29+1-'Historical Score'!$N$29),0)</f>
        <v/>
      </c>
      <c r="BB984" s="3" t="n"/>
      <c r="BC984" s="3" t="n"/>
    </row>
    <row r="985" ht="15.75" customHeight="1" s="174">
      <c r="A985" s="3" t="inlineStr">
        <is>
          <t>5674186171</t>
        </is>
      </c>
      <c r="B985" s="3" t="inlineStr">
        <is>
          <t>LIG LOGISTICS LLC</t>
        </is>
      </c>
      <c r="C985" s="3" t="inlineStr">
        <is>
          <t>LIG LOGISTICS LLC</t>
        </is>
      </c>
      <c r="D985" s="3" t="inlineStr">
        <is>
          <t>Open</t>
        </is>
      </c>
      <c r="E985" s="23" t="n">
        <v>46198</v>
      </c>
      <c r="F985" s="23" t="n">
        <v>46248</v>
      </c>
      <c r="G985" s="3" t="n">
        <v>3</v>
      </c>
      <c r="H985" s="3" t="inlineStr">
        <is>
          <t>4212</t>
        </is>
      </c>
      <c r="I985" s="3" t="inlineStr">
        <is>
          <t>42</t>
        </is>
      </c>
      <c r="J985" s="3" t="inlineStr">
        <is>
          <t>NJ</t>
        </is>
      </c>
      <c r="K985" s="3" t="inlineStr">
        <is>
          <t>Westwood</t>
        </is>
      </c>
      <c r="L985" s="3" t="inlineStr">
        <is>
          <t>New Deal</t>
        </is>
      </c>
      <c r="M985" s="3" t="n">
        <v>1.39</v>
      </c>
      <c r="N985" s="28" t="n">
        <v>15000</v>
      </c>
      <c r="O985" s="28" t="n">
        <v>1350</v>
      </c>
      <c r="P985" s="28" t="n">
        <v>20850</v>
      </c>
      <c r="Q985" s="28" t="n">
        <v>4903.74</v>
      </c>
      <c r="R985" s="28" t="n">
        <v>15946.26</v>
      </c>
      <c r="S985" s="42" t="n">
        <v>0.235191366906475</v>
      </c>
      <c r="T985" s="3" t="n">
        <v>17</v>
      </c>
      <c r="U985" s="3" t="n">
        <v>7</v>
      </c>
      <c r="V985" s="3" t="n">
        <v>96896.8</v>
      </c>
      <c r="W985" s="42" t="n">
        <v>0.0506</v>
      </c>
      <c r="X985" s="23" t="n">
        <v>44958</v>
      </c>
      <c r="Y985" s="3">
        <f>IF(I985="","No SIC",IFERROR(VLOOKUP(I985,Ref!$A$2:$B$65,2,FALSE()),"Unclassified"))</f>
        <v/>
      </c>
      <c r="Z985" s="3">
        <f>IF(T985="","",IF(T985&lt;12,"Daily","Weekly"))</f>
        <v/>
      </c>
      <c r="AA985" s="3">
        <f>IF(T985="",0,IF(T985&lt;12,T985*Controls!$B$13,T985*5))</f>
        <v/>
      </c>
      <c r="AB985" s="3">
        <f>IF(E985="",0,NETWORKDAYS(E985,Controls!$B$20,Ref!$K$2:$K$42))</f>
        <v/>
      </c>
      <c r="AC985" s="3">
        <f>IF(OR(AF985=1,AND(AA985&gt;0,AB985&gt;=Controls!$B$23*AA985)),1,0)</f>
        <v/>
      </c>
      <c r="AD985" s="3">
        <f>IF(AND(E985&lt;&gt;"",E985&gt;=Controls!$B$21,E985&lt;=Controls!$B$22),1,0)</f>
        <v/>
      </c>
      <c r="AE985" s="3">
        <f>IF(IFERROR(VLOOKUP(D985,Controls!$A$36:$E$46,2,FALSE()),"No")="Yes",1,0)</f>
        <v/>
      </c>
      <c r="AF985" s="3">
        <f>IF(IFERROR(VLOOKUP(D985,Controls!$A$36:$E$46,3,FALSE()),"No")="Yes",1,0)</f>
        <v/>
      </c>
      <c r="AG985" s="3">
        <f>IF(IFERROR(VLOOKUP(D985,Controls!$A$36:$E$46,4,FALSE()),"No")="Yes",1,0)</f>
        <v/>
      </c>
      <c r="AH985" s="3">
        <f>IF(IFERROR(VLOOKUP(D985,Controls!$A$36:$E$46,5,FALSE()),"No")="Yes",1,0)</f>
        <v/>
      </c>
      <c r="AI985" s="3">
        <f>IF(ISNUMBER(MATCH(D985,Controls!$A$36:$A$46,0)),1,0)</f>
        <v/>
      </c>
      <c r="AJ985" s="28">
        <f>Q985-N985</f>
        <v/>
      </c>
      <c r="AK985" s="3">
        <f>IF(AE985=1,MAX(0,N985-Q985),0)</f>
        <v/>
      </c>
      <c r="AL985" s="3">
        <f>IF(OR(V985="",V985=0),0,N985/V985)</f>
        <v/>
      </c>
      <c r="AM985" s="3">
        <f>IF(OR(V985="",V985=0),0,1)</f>
        <v/>
      </c>
      <c r="AN985" s="3">
        <f>IF(OR(E985="",F985=""),0,NETWORKDAYS(E985,F985,Ref!$K$2:$K$42))</f>
        <v/>
      </c>
      <c r="AO985" s="3">
        <f>IF(L985="Renewal",1,0)</f>
        <v/>
      </c>
      <c r="AP985" s="3">
        <f>AC985*AD985</f>
        <v/>
      </c>
      <c r="AQ985" s="3">
        <f>IF(AND(G985&lt;&gt;"",'Historical Score'!$C$6&lt;&gt;""),IF(G985='Historical Score'!$C$6,1,0),0)</f>
        <v/>
      </c>
      <c r="AR985" s="3">
        <f>IF(AND(L985&lt;&gt;"",'Historical Score'!$C$5&lt;&gt;""),IF(L985='Historical Score'!$C$5,1,0),0)</f>
        <v/>
      </c>
      <c r="AS985" s="3">
        <f>IF(AND(Y985&lt;&gt;"",'Historical Score'!$C$7&lt;&gt;""),IF(Y985='Historical Score'!$C$7,1,0),0)</f>
        <v/>
      </c>
      <c r="AT985" s="3">
        <f>IF(AND(K985&lt;&gt;"",'Historical Score'!$C$8&lt;&gt;""),IF(K985='Historical Score'!$C$8,1,0),0)</f>
        <v/>
      </c>
      <c r="AU985" s="3" t="n"/>
      <c r="AV985" s="3" t="n"/>
      <c r="AW985" s="3" t="n"/>
      <c r="AX985" s="3" t="n"/>
      <c r="AY985" s="3" t="n"/>
      <c r="AZ985" s="3" t="n"/>
      <c r="BA985" s="182">
        <f>IF(AD985=1,(AR985*'Historical Score'!$K$29+1-'Historical Score'!$K$29)*(AT985*'Historical Score'!$L$29+1-'Historical Score'!$L$29)*(AS985*'Historical Score'!$M$29+1-'Historical Score'!$M$29)*(AQ985*'Historical Score'!$N$29+1-'Historical Score'!$N$29),0)</f>
        <v/>
      </c>
      <c r="BB985" s="3" t="n"/>
      <c r="BC985" s="3" t="n"/>
    </row>
    <row r="986" ht="15.75" customHeight="1" s="174">
      <c r="A986" s="3" t="inlineStr">
        <is>
          <t>5674186188</t>
        </is>
      </c>
      <c r="B986" s="3" t="inlineStr">
        <is>
          <t>The Med Spa by BA</t>
        </is>
      </c>
      <c r="C986" s="3" t="inlineStr">
        <is>
          <t>THE MED SPA BY BA LLC</t>
        </is>
      </c>
      <c r="D986" s="3" t="inlineStr">
        <is>
          <t>Open</t>
        </is>
      </c>
      <c r="E986" s="23" t="n">
        <v>46198</v>
      </c>
      <c r="F986" s="23" t="n">
        <v>46247</v>
      </c>
      <c r="G986" s="3" t="n">
        <v>3</v>
      </c>
      <c r="H986" s="3" t="inlineStr">
        <is>
          <t>8011</t>
        </is>
      </c>
      <c r="I986" s="3" t="inlineStr">
        <is>
          <t>80</t>
        </is>
      </c>
      <c r="J986" s="3" t="inlineStr">
        <is>
          <t>PA</t>
        </is>
      </c>
      <c r="K986" s="3" t="inlineStr">
        <is>
          <t>MONETCAP</t>
        </is>
      </c>
      <c r="L986" s="3" t="inlineStr">
        <is>
          <t>New Deal</t>
        </is>
      </c>
      <c r="M986" s="3" t="n">
        <v>1.49</v>
      </c>
      <c r="N986" s="28" t="n">
        <v>30000</v>
      </c>
      <c r="O986" s="28" t="n">
        <v>4200</v>
      </c>
      <c r="P986" s="28" t="n">
        <v>44700</v>
      </c>
      <c r="Q986" s="28" t="n">
        <v>11180.75</v>
      </c>
      <c r="R986" s="28" t="n">
        <v>33519.25</v>
      </c>
      <c r="S986" s="42" t="n">
        <v>0.250128635346756</v>
      </c>
      <c r="T986" s="3" t="n">
        <v>28</v>
      </c>
      <c r="U986" s="3" t="n">
        <v>0</v>
      </c>
      <c r="V986" s="3" t="n">
        <v>92459.92</v>
      </c>
      <c r="W986" s="42" t="n">
        <v>0.06909999999999999</v>
      </c>
      <c r="X986" s="23" t="n">
        <v>45736</v>
      </c>
      <c r="Y986" s="3">
        <f>IF(I986="","No SIC",IFERROR(VLOOKUP(I986,Ref!$A$2:$B$65,2,FALSE()),"Unclassified"))</f>
        <v/>
      </c>
      <c r="Z986" s="3">
        <f>IF(T986="","",IF(T986&lt;12,"Daily","Weekly"))</f>
        <v/>
      </c>
      <c r="AA986" s="3">
        <f>IF(T986="",0,IF(T986&lt;12,T986*Controls!$B$13,T986*5))</f>
        <v/>
      </c>
      <c r="AB986" s="3">
        <f>IF(E986="",0,NETWORKDAYS(E986,Controls!$B$20,Ref!$K$2:$K$42))</f>
        <v/>
      </c>
      <c r="AC986" s="3">
        <f>IF(OR(AF986=1,AND(AA986&gt;0,AB986&gt;=Controls!$B$23*AA986)),1,0)</f>
        <v/>
      </c>
      <c r="AD986" s="3">
        <f>IF(AND(E986&lt;&gt;"",E986&gt;=Controls!$B$21,E986&lt;=Controls!$B$22),1,0)</f>
        <v/>
      </c>
      <c r="AE986" s="3">
        <f>IF(IFERROR(VLOOKUP(D986,Controls!$A$36:$E$46,2,FALSE()),"No")="Yes",1,0)</f>
        <v/>
      </c>
      <c r="AF986" s="3">
        <f>IF(IFERROR(VLOOKUP(D986,Controls!$A$36:$E$46,3,FALSE()),"No")="Yes",1,0)</f>
        <v/>
      </c>
      <c r="AG986" s="3">
        <f>IF(IFERROR(VLOOKUP(D986,Controls!$A$36:$E$46,4,FALSE()),"No")="Yes",1,0)</f>
        <v/>
      </c>
      <c r="AH986" s="3">
        <f>IF(IFERROR(VLOOKUP(D986,Controls!$A$36:$E$46,5,FALSE()),"No")="Yes",1,0)</f>
        <v/>
      </c>
      <c r="AI986" s="3">
        <f>IF(ISNUMBER(MATCH(D986,Controls!$A$36:$A$46,0)),1,0)</f>
        <v/>
      </c>
      <c r="AJ986" s="28">
        <f>Q986-N986</f>
        <v/>
      </c>
      <c r="AK986" s="3">
        <f>IF(AE986=1,MAX(0,N986-Q986),0)</f>
        <v/>
      </c>
      <c r="AL986" s="3">
        <f>IF(OR(V986="",V986=0),0,N986/V986)</f>
        <v/>
      </c>
      <c r="AM986" s="3">
        <f>IF(OR(V986="",V986=0),0,1)</f>
        <v/>
      </c>
      <c r="AN986" s="3">
        <f>IF(OR(E986="",F986=""),0,NETWORKDAYS(E986,F986,Ref!$K$2:$K$42))</f>
        <v/>
      </c>
      <c r="AO986" s="3">
        <f>IF(L986="Renewal",1,0)</f>
        <v/>
      </c>
      <c r="AP986" s="3">
        <f>AC986*AD986</f>
        <v/>
      </c>
      <c r="AQ986" s="3">
        <f>IF(AND(G986&lt;&gt;"",'Historical Score'!$C$6&lt;&gt;""),IF(G986='Historical Score'!$C$6,1,0),0)</f>
        <v/>
      </c>
      <c r="AR986" s="3">
        <f>IF(AND(L986&lt;&gt;"",'Historical Score'!$C$5&lt;&gt;""),IF(L986='Historical Score'!$C$5,1,0),0)</f>
        <v/>
      </c>
      <c r="AS986" s="3">
        <f>IF(AND(Y986&lt;&gt;"",'Historical Score'!$C$7&lt;&gt;""),IF(Y986='Historical Score'!$C$7,1,0),0)</f>
        <v/>
      </c>
      <c r="AT986" s="3">
        <f>IF(AND(K986&lt;&gt;"",'Historical Score'!$C$8&lt;&gt;""),IF(K986='Historical Score'!$C$8,1,0),0)</f>
        <v/>
      </c>
      <c r="AU986" s="3" t="n"/>
      <c r="AV986" s="3" t="n"/>
      <c r="AW986" s="3" t="n"/>
      <c r="AX986" s="3" t="n"/>
      <c r="AY986" s="3" t="n"/>
      <c r="AZ986" s="3" t="n"/>
      <c r="BA986" s="182">
        <f>IF(AD986=1,(AR986*'Historical Score'!$K$29+1-'Historical Score'!$K$29)*(AT986*'Historical Score'!$L$29+1-'Historical Score'!$L$29)*(AS986*'Historical Score'!$M$29+1-'Historical Score'!$M$29)*(AQ986*'Historical Score'!$N$29+1-'Historical Score'!$N$29),0)</f>
        <v/>
      </c>
      <c r="BB986" s="3" t="n"/>
      <c r="BC986" s="3" t="n"/>
    </row>
    <row r="987" ht="15.75" customHeight="1" s="174">
      <c r="A987" s="3" t="inlineStr">
        <is>
          <t>5674186239</t>
        </is>
      </c>
      <c r="B987" s="3" t="inlineStr">
        <is>
          <t>T1 RESTORATION &amp; CONSTRUCTION, T1 RESTORATION</t>
        </is>
      </c>
      <c r="C987" s="3" t="inlineStr">
        <is>
          <t>T1 RESTORATION &amp; CONSTRUCTION LLC</t>
        </is>
      </c>
      <c r="D987" s="3" t="inlineStr">
        <is>
          <t>Open</t>
        </is>
      </c>
      <c r="E987" s="23" t="n">
        <v>46199</v>
      </c>
      <c r="F987" s="23" t="n">
        <v>46253</v>
      </c>
      <c r="G987" s="3" t="n">
        <v>5</v>
      </c>
      <c r="H987" s="3" t="inlineStr">
        <is>
          <t>1629</t>
        </is>
      </c>
      <c r="I987" s="3" t="inlineStr">
        <is>
          <t>16</t>
        </is>
      </c>
      <c r="J987" s="3" t="inlineStr">
        <is>
          <t>PA</t>
        </is>
      </c>
      <c r="K987" s="3" t="inlineStr">
        <is>
          <t>PMF</t>
        </is>
      </c>
      <c r="L987" s="3" t="inlineStr">
        <is>
          <t>New Deal</t>
        </is>
      </c>
      <c r="M987" s="3" t="n">
        <v>1.49</v>
      </c>
      <c r="N987" s="28" t="n">
        <v>100000</v>
      </c>
      <c r="O987" s="28" t="n">
        <v>14000</v>
      </c>
      <c r="P987" s="28" t="n">
        <v>149000</v>
      </c>
      <c r="Q987" s="28" t="n">
        <v>30826.38</v>
      </c>
      <c r="R987" s="28" t="n">
        <v>118173.62</v>
      </c>
      <c r="S987" s="42" t="n">
        <v>0.206888456375839</v>
      </c>
      <c r="T987" s="3" t="n">
        <v>12</v>
      </c>
      <c r="U987" s="3" t="n">
        <v>2</v>
      </c>
      <c r="V987" s="3" t="n">
        <v>500000</v>
      </c>
      <c r="W987" s="42" t="n">
        <v>0.1105</v>
      </c>
      <c r="X987" s="23" t="n">
        <v>44239</v>
      </c>
      <c r="Y987" s="3">
        <f>IF(I987="","No SIC",IFERROR(VLOOKUP(I987,Ref!$A$2:$B$65,2,FALSE()),"Unclassified"))</f>
        <v/>
      </c>
      <c r="Z987" s="3">
        <f>IF(T987="","",IF(T987&lt;12,"Daily","Weekly"))</f>
        <v/>
      </c>
      <c r="AA987" s="3">
        <f>IF(T987="",0,IF(T987&lt;12,T987*Controls!$B$13,T987*5))</f>
        <v/>
      </c>
      <c r="AB987" s="3">
        <f>IF(E987="",0,NETWORKDAYS(E987,Controls!$B$20,Ref!$K$2:$K$42))</f>
        <v/>
      </c>
      <c r="AC987" s="3">
        <f>IF(OR(AF987=1,AND(AA987&gt;0,AB987&gt;=Controls!$B$23*AA987)),1,0)</f>
        <v/>
      </c>
      <c r="AD987" s="3">
        <f>IF(AND(E987&lt;&gt;"",E987&gt;=Controls!$B$21,E987&lt;=Controls!$B$22),1,0)</f>
        <v/>
      </c>
      <c r="AE987" s="3">
        <f>IF(IFERROR(VLOOKUP(D987,Controls!$A$36:$E$46,2,FALSE()),"No")="Yes",1,0)</f>
        <v/>
      </c>
      <c r="AF987" s="3">
        <f>IF(IFERROR(VLOOKUP(D987,Controls!$A$36:$E$46,3,FALSE()),"No")="Yes",1,0)</f>
        <v/>
      </c>
      <c r="AG987" s="3">
        <f>IF(IFERROR(VLOOKUP(D987,Controls!$A$36:$E$46,4,FALSE()),"No")="Yes",1,0)</f>
        <v/>
      </c>
      <c r="AH987" s="3">
        <f>IF(IFERROR(VLOOKUP(D987,Controls!$A$36:$E$46,5,FALSE()),"No")="Yes",1,0)</f>
        <v/>
      </c>
      <c r="AI987" s="3">
        <f>IF(ISNUMBER(MATCH(D987,Controls!$A$36:$A$46,0)),1,0)</f>
        <v/>
      </c>
      <c r="AJ987" s="28">
        <f>Q987-N987</f>
        <v/>
      </c>
      <c r="AK987" s="3">
        <f>IF(AE987=1,MAX(0,N987-Q987),0)</f>
        <v/>
      </c>
      <c r="AL987" s="3">
        <f>IF(OR(V987="",V987=0),0,N987/V987)</f>
        <v/>
      </c>
      <c r="AM987" s="3">
        <f>IF(OR(V987="",V987=0),0,1)</f>
        <v/>
      </c>
      <c r="AN987" s="3">
        <f>IF(OR(E987="",F987=""),0,NETWORKDAYS(E987,F987,Ref!$K$2:$K$42))</f>
        <v/>
      </c>
      <c r="AO987" s="3">
        <f>IF(L987="Renewal",1,0)</f>
        <v/>
      </c>
      <c r="AP987" s="3">
        <f>AC987*AD987</f>
        <v/>
      </c>
      <c r="AQ987" s="3">
        <f>IF(AND(G987&lt;&gt;"",'Historical Score'!$C$6&lt;&gt;""),IF(G987='Historical Score'!$C$6,1,0),0)</f>
        <v/>
      </c>
      <c r="AR987" s="3">
        <f>IF(AND(L987&lt;&gt;"",'Historical Score'!$C$5&lt;&gt;""),IF(L987='Historical Score'!$C$5,1,0),0)</f>
        <v/>
      </c>
      <c r="AS987" s="3">
        <f>IF(AND(Y987&lt;&gt;"",'Historical Score'!$C$7&lt;&gt;""),IF(Y987='Historical Score'!$C$7,1,0),0)</f>
        <v/>
      </c>
      <c r="AT987" s="3">
        <f>IF(AND(K987&lt;&gt;"",'Historical Score'!$C$8&lt;&gt;""),IF(K987='Historical Score'!$C$8,1,0),0)</f>
        <v/>
      </c>
      <c r="AU987" s="3" t="n"/>
      <c r="AV987" s="3" t="n"/>
      <c r="AW987" s="3" t="n"/>
      <c r="AX987" s="3" t="n"/>
      <c r="AY987" s="3" t="n"/>
      <c r="AZ987" s="3" t="n"/>
      <c r="BA987" s="182">
        <f>IF(AD987=1,(AR987*'Historical Score'!$K$29+1-'Historical Score'!$K$29)*(AT987*'Historical Score'!$L$29+1-'Historical Score'!$L$29)*(AS987*'Historical Score'!$M$29+1-'Historical Score'!$M$29)*(AQ987*'Historical Score'!$N$29+1-'Historical Score'!$N$29),0)</f>
        <v/>
      </c>
      <c r="BB987" s="3" t="n"/>
      <c r="BC987" s="3" t="n"/>
    </row>
    <row r="988" ht="15.75" customHeight="1" s="174">
      <c r="A988" s="3" t="inlineStr">
        <is>
          <t>5674186277</t>
        </is>
      </c>
      <c r="B988" s="3" t="inlineStr">
        <is>
          <t>TEAMWORK TOWN INC</t>
        </is>
      </c>
      <c r="C988" s="3" t="inlineStr">
        <is>
          <t>TEAMWORK TOWN INC</t>
        </is>
      </c>
      <c r="D988" s="3" t="inlineStr">
        <is>
          <t>Open</t>
        </is>
      </c>
      <c r="E988" s="23" t="n">
        <v>46202</v>
      </c>
      <c r="F988" s="23" t="n">
        <v>46248</v>
      </c>
      <c r="G988" s="3" t="n">
        <v>2</v>
      </c>
      <c r="H988" s="3" t="inlineStr">
        <is>
          <t>1521</t>
        </is>
      </c>
      <c r="I988" s="3" t="inlineStr">
        <is>
          <t>15</t>
        </is>
      </c>
      <c r="J988" s="3" t="inlineStr">
        <is>
          <t>TX</t>
        </is>
      </c>
      <c r="K988" s="3" t="inlineStr">
        <is>
          <t>Westwood</t>
        </is>
      </c>
      <c r="L988" s="3" t="inlineStr">
        <is>
          <t>New Deal</t>
        </is>
      </c>
      <c r="M988" s="3" t="n">
        <v>1.4</v>
      </c>
      <c r="N988" s="28" t="n">
        <v>42000</v>
      </c>
      <c r="O988" s="28" t="n">
        <v>3990</v>
      </c>
      <c r="P988" s="28" t="n">
        <v>58800</v>
      </c>
      <c r="Q988" s="28" t="n">
        <v>13840.04</v>
      </c>
      <c r="R988" s="28" t="n">
        <v>44959.96</v>
      </c>
      <c r="S988" s="42" t="n">
        <v>0.235374829931973</v>
      </c>
      <c r="T988" s="3" t="n">
        <v>28</v>
      </c>
      <c r="U988" s="3" t="n">
        <v>0</v>
      </c>
      <c r="V988" s="3" t="n">
        <v>159888.75</v>
      </c>
      <c r="W988" s="42" t="n">
        <v>0.0525</v>
      </c>
      <c r="X988" s="23" t="n">
        <v>44094</v>
      </c>
      <c r="Y988" s="3">
        <f>IF(I988="","No SIC",IFERROR(VLOOKUP(I988,Ref!$A$2:$B$65,2,FALSE()),"Unclassified"))</f>
        <v/>
      </c>
      <c r="Z988" s="3">
        <f>IF(T988="","",IF(T988&lt;12,"Daily","Weekly"))</f>
        <v/>
      </c>
      <c r="AA988" s="3">
        <f>IF(T988="",0,IF(T988&lt;12,T988*Controls!$B$13,T988*5))</f>
        <v/>
      </c>
      <c r="AB988" s="3">
        <f>IF(E988="",0,NETWORKDAYS(E988,Controls!$B$20,Ref!$K$2:$K$42))</f>
        <v/>
      </c>
      <c r="AC988" s="3">
        <f>IF(OR(AF988=1,AND(AA988&gt;0,AB988&gt;=Controls!$B$23*AA988)),1,0)</f>
        <v/>
      </c>
      <c r="AD988" s="3">
        <f>IF(AND(E988&lt;&gt;"",E988&gt;=Controls!$B$21,E988&lt;=Controls!$B$22),1,0)</f>
        <v/>
      </c>
      <c r="AE988" s="3">
        <f>IF(IFERROR(VLOOKUP(D988,Controls!$A$36:$E$46,2,FALSE()),"No")="Yes",1,0)</f>
        <v/>
      </c>
      <c r="AF988" s="3">
        <f>IF(IFERROR(VLOOKUP(D988,Controls!$A$36:$E$46,3,FALSE()),"No")="Yes",1,0)</f>
        <v/>
      </c>
      <c r="AG988" s="3">
        <f>IF(IFERROR(VLOOKUP(D988,Controls!$A$36:$E$46,4,FALSE()),"No")="Yes",1,0)</f>
        <v/>
      </c>
      <c r="AH988" s="3">
        <f>IF(IFERROR(VLOOKUP(D988,Controls!$A$36:$E$46,5,FALSE()),"No")="Yes",1,0)</f>
        <v/>
      </c>
      <c r="AI988" s="3">
        <f>IF(ISNUMBER(MATCH(D988,Controls!$A$36:$A$46,0)),1,0)</f>
        <v/>
      </c>
      <c r="AJ988" s="28">
        <f>Q988-N988</f>
        <v/>
      </c>
      <c r="AK988" s="3">
        <f>IF(AE988=1,MAX(0,N988-Q988),0)</f>
        <v/>
      </c>
      <c r="AL988" s="3">
        <f>IF(OR(V988="",V988=0),0,N988/V988)</f>
        <v/>
      </c>
      <c r="AM988" s="3">
        <f>IF(OR(V988="",V988=0),0,1)</f>
        <v/>
      </c>
      <c r="AN988" s="3">
        <f>IF(OR(E988="",F988=""),0,NETWORKDAYS(E988,F988,Ref!$K$2:$K$42))</f>
        <v/>
      </c>
      <c r="AO988" s="3">
        <f>IF(L988="Renewal",1,0)</f>
        <v/>
      </c>
      <c r="AP988" s="3">
        <f>AC988*AD988</f>
        <v/>
      </c>
      <c r="AQ988" s="3">
        <f>IF(AND(G988&lt;&gt;"",'Historical Score'!$C$6&lt;&gt;""),IF(G988='Historical Score'!$C$6,1,0),0)</f>
        <v/>
      </c>
      <c r="AR988" s="3">
        <f>IF(AND(L988&lt;&gt;"",'Historical Score'!$C$5&lt;&gt;""),IF(L988='Historical Score'!$C$5,1,0),0)</f>
        <v/>
      </c>
      <c r="AS988" s="3">
        <f>IF(AND(Y988&lt;&gt;"",'Historical Score'!$C$7&lt;&gt;""),IF(Y988='Historical Score'!$C$7,1,0),0)</f>
        <v/>
      </c>
      <c r="AT988" s="3">
        <f>IF(AND(K988&lt;&gt;"",'Historical Score'!$C$8&lt;&gt;""),IF(K988='Historical Score'!$C$8,1,0),0)</f>
        <v/>
      </c>
      <c r="AU988" s="3" t="n"/>
      <c r="AV988" s="3" t="n"/>
      <c r="AW988" s="3" t="n"/>
      <c r="AX988" s="3" t="n"/>
      <c r="AY988" s="3" t="n"/>
      <c r="AZ988" s="3" t="n"/>
      <c r="BA988" s="182">
        <f>IF(AD988=1,(AR988*'Historical Score'!$K$29+1-'Historical Score'!$K$29)*(AT988*'Historical Score'!$L$29+1-'Historical Score'!$L$29)*(AS988*'Historical Score'!$M$29+1-'Historical Score'!$M$29)*(AQ988*'Historical Score'!$N$29+1-'Historical Score'!$N$29),0)</f>
        <v/>
      </c>
      <c r="BB988" s="3" t="n"/>
      <c r="BC988" s="3" t="n"/>
    </row>
    <row r="989" ht="15.75" customHeight="1" s="174">
      <c r="A989" s="3" t="inlineStr">
        <is>
          <t>5674186308</t>
        </is>
      </c>
      <c r="B989" s="3" t="inlineStr">
        <is>
          <t>Tayler Playgrounds</t>
        </is>
      </c>
      <c r="C989" s="3" t="inlineStr">
        <is>
          <t>TAYLER PLAYGROUNDS LLC</t>
        </is>
      </c>
      <c r="D989" s="3" t="inlineStr">
        <is>
          <t>Open</t>
        </is>
      </c>
      <c r="E989" s="23" t="n">
        <v>46202</v>
      </c>
      <c r="F989" s="23" t="n">
        <v>46248</v>
      </c>
      <c r="G989" s="3" t="n">
        <v>3</v>
      </c>
      <c r="H989" s="3" t="inlineStr">
        <is>
          <t>3949</t>
        </is>
      </c>
      <c r="I989" s="3" t="inlineStr">
        <is>
          <t>39</t>
        </is>
      </c>
      <c r="J989" s="3" t="inlineStr">
        <is>
          <t>MO</t>
        </is>
      </c>
      <c r="K989" s="3" t="inlineStr">
        <is>
          <t>PMF</t>
        </is>
      </c>
      <c r="L989" s="3" t="inlineStr">
        <is>
          <t>New Deal</t>
        </is>
      </c>
      <c r="M989" s="3" t="n">
        <v>1.43</v>
      </c>
      <c r="N989" s="28" t="n">
        <v>15000</v>
      </c>
      <c r="O989" s="28" t="n">
        <v>1650</v>
      </c>
      <c r="P989" s="28" t="n">
        <v>21450</v>
      </c>
      <c r="Q989" s="28" t="n">
        <v>3300.96</v>
      </c>
      <c r="R989" s="28" t="n">
        <v>18149.04</v>
      </c>
      <c r="S989" s="42" t="n">
        <v>0.153890909090909</v>
      </c>
      <c r="T989" s="3" t="n">
        <v>26</v>
      </c>
      <c r="U989" s="3" t="n">
        <v>3</v>
      </c>
      <c r="V989" s="3" t="n">
        <v>33242.32</v>
      </c>
      <c r="W989" s="42" t="n">
        <v>0.0993</v>
      </c>
      <c r="X989" s="23" t="n">
        <v>40380</v>
      </c>
      <c r="Y989" s="3">
        <f>IF(I989="","No SIC",IFERROR(VLOOKUP(I989,Ref!$A$2:$B$65,2,FALSE()),"Unclassified"))</f>
        <v/>
      </c>
      <c r="Z989" s="3">
        <f>IF(T989="","",IF(T989&lt;12,"Daily","Weekly"))</f>
        <v/>
      </c>
      <c r="AA989" s="3">
        <f>IF(T989="",0,IF(T989&lt;12,T989*Controls!$B$13,T989*5))</f>
        <v/>
      </c>
      <c r="AB989" s="3">
        <f>IF(E989="",0,NETWORKDAYS(E989,Controls!$B$20,Ref!$K$2:$K$42))</f>
        <v/>
      </c>
      <c r="AC989" s="3">
        <f>IF(OR(AF989=1,AND(AA989&gt;0,AB989&gt;=Controls!$B$23*AA989)),1,0)</f>
        <v/>
      </c>
      <c r="AD989" s="3">
        <f>IF(AND(E989&lt;&gt;"",E989&gt;=Controls!$B$21,E989&lt;=Controls!$B$22),1,0)</f>
        <v/>
      </c>
      <c r="AE989" s="3">
        <f>IF(IFERROR(VLOOKUP(D989,Controls!$A$36:$E$46,2,FALSE()),"No")="Yes",1,0)</f>
        <v/>
      </c>
      <c r="AF989" s="3">
        <f>IF(IFERROR(VLOOKUP(D989,Controls!$A$36:$E$46,3,FALSE()),"No")="Yes",1,0)</f>
        <v/>
      </c>
      <c r="AG989" s="3">
        <f>IF(IFERROR(VLOOKUP(D989,Controls!$A$36:$E$46,4,FALSE()),"No")="Yes",1,0)</f>
        <v/>
      </c>
      <c r="AH989" s="3">
        <f>IF(IFERROR(VLOOKUP(D989,Controls!$A$36:$E$46,5,FALSE()),"No")="Yes",1,0)</f>
        <v/>
      </c>
      <c r="AI989" s="3">
        <f>IF(ISNUMBER(MATCH(D989,Controls!$A$36:$A$46,0)),1,0)</f>
        <v/>
      </c>
      <c r="AJ989" s="28">
        <f>Q989-N989</f>
        <v/>
      </c>
      <c r="AK989" s="3">
        <f>IF(AE989=1,MAX(0,N989-Q989),0)</f>
        <v/>
      </c>
      <c r="AL989" s="3">
        <f>IF(OR(V989="",V989=0),0,N989/V989)</f>
        <v/>
      </c>
      <c r="AM989" s="3">
        <f>IF(OR(V989="",V989=0),0,1)</f>
        <v/>
      </c>
      <c r="AN989" s="3">
        <f>IF(OR(E989="",F989=""),0,NETWORKDAYS(E989,F989,Ref!$K$2:$K$42))</f>
        <v/>
      </c>
      <c r="AO989" s="3">
        <f>IF(L989="Renewal",1,0)</f>
        <v/>
      </c>
      <c r="AP989" s="3">
        <f>AC989*AD989</f>
        <v/>
      </c>
      <c r="AQ989" s="3">
        <f>IF(AND(G989&lt;&gt;"",'Historical Score'!$C$6&lt;&gt;""),IF(G989='Historical Score'!$C$6,1,0),0)</f>
        <v/>
      </c>
      <c r="AR989" s="3">
        <f>IF(AND(L989&lt;&gt;"",'Historical Score'!$C$5&lt;&gt;""),IF(L989='Historical Score'!$C$5,1,0),0)</f>
        <v/>
      </c>
      <c r="AS989" s="3">
        <f>IF(AND(Y989&lt;&gt;"",'Historical Score'!$C$7&lt;&gt;""),IF(Y989='Historical Score'!$C$7,1,0),0)</f>
        <v/>
      </c>
      <c r="AT989" s="3">
        <f>IF(AND(K989&lt;&gt;"",'Historical Score'!$C$8&lt;&gt;""),IF(K989='Historical Score'!$C$8,1,0),0)</f>
        <v/>
      </c>
      <c r="AU989" s="3" t="n"/>
      <c r="AV989" s="3" t="n"/>
      <c r="AW989" s="3" t="n"/>
      <c r="AX989" s="3" t="n"/>
      <c r="AY989" s="3" t="n"/>
      <c r="AZ989" s="3" t="n"/>
      <c r="BA989" s="182">
        <f>IF(AD989=1,(AR989*'Historical Score'!$K$29+1-'Historical Score'!$K$29)*(AT989*'Historical Score'!$L$29+1-'Historical Score'!$L$29)*(AS989*'Historical Score'!$M$29+1-'Historical Score'!$M$29)*(AQ989*'Historical Score'!$N$29+1-'Historical Score'!$N$29),0)</f>
        <v/>
      </c>
      <c r="BB989" s="3" t="n"/>
      <c r="BC989" s="3" t="n"/>
    </row>
    <row r="990" ht="15.75" customHeight="1" s="174">
      <c r="A990" s="3" t="inlineStr">
        <is>
          <t>5674186312</t>
        </is>
      </c>
      <c r="B990" s="3" t="inlineStr">
        <is>
          <t>PAR-10 Companies</t>
        </is>
      </c>
      <c r="C990" s="3" t="inlineStr">
        <is>
          <t>PAR-10 Companies</t>
        </is>
      </c>
      <c r="D990" s="3" t="inlineStr">
        <is>
          <t>Open</t>
        </is>
      </c>
      <c r="E990" s="23" t="n">
        <v>46202</v>
      </c>
      <c r="F990" s="23" t="n">
        <v>46248</v>
      </c>
      <c r="G990" s="3" t="n">
        <v>3</v>
      </c>
      <c r="H990" s="3" t="inlineStr">
        <is>
          <t>5712</t>
        </is>
      </c>
      <c r="I990" s="3" t="inlineStr">
        <is>
          <t>57</t>
        </is>
      </c>
      <c r="J990" s="3" t="inlineStr">
        <is>
          <t>MN</t>
        </is>
      </c>
      <c r="K990" s="3" t="inlineStr">
        <is>
          <t>The Funding Channel</t>
        </is>
      </c>
      <c r="L990" s="3" t="inlineStr">
        <is>
          <t>New Deal</t>
        </is>
      </c>
      <c r="M990" s="3" t="n">
        <v>1.45</v>
      </c>
      <c r="N990" s="28" t="n">
        <v>10000</v>
      </c>
      <c r="O990" s="28" t="n">
        <v>1200</v>
      </c>
      <c r="P990" s="28" t="n">
        <v>14500</v>
      </c>
      <c r="Q990" s="28" t="n">
        <v>2174.79</v>
      </c>
      <c r="R990" s="28" t="n">
        <v>12325.21</v>
      </c>
      <c r="S990" s="42" t="n">
        <v>0.149985517241379</v>
      </c>
      <c r="T990" s="3" t="n">
        <v>20</v>
      </c>
      <c r="U990" s="3" t="n">
        <v>4</v>
      </c>
      <c r="V990" s="3" t="n">
        <v>86558.33</v>
      </c>
      <c r="W990" s="42" t="n">
        <v>0.0335</v>
      </c>
      <c r="X990" s="23" t="n">
        <v>41072</v>
      </c>
      <c r="Y990" s="3">
        <f>IF(I990="","No SIC",IFERROR(VLOOKUP(I990,Ref!$A$2:$B$65,2,FALSE()),"Unclassified"))</f>
        <v/>
      </c>
      <c r="Z990" s="3">
        <f>IF(T990="","",IF(T990&lt;12,"Daily","Weekly"))</f>
        <v/>
      </c>
      <c r="AA990" s="3">
        <f>IF(T990="",0,IF(T990&lt;12,T990*Controls!$B$13,T990*5))</f>
        <v/>
      </c>
      <c r="AB990" s="3">
        <f>IF(E990="",0,NETWORKDAYS(E990,Controls!$B$20,Ref!$K$2:$K$42))</f>
        <v/>
      </c>
      <c r="AC990" s="3">
        <f>IF(OR(AF990=1,AND(AA990&gt;0,AB990&gt;=Controls!$B$23*AA990)),1,0)</f>
        <v/>
      </c>
      <c r="AD990" s="3">
        <f>IF(AND(E990&lt;&gt;"",E990&gt;=Controls!$B$21,E990&lt;=Controls!$B$22),1,0)</f>
        <v/>
      </c>
      <c r="AE990" s="3">
        <f>IF(IFERROR(VLOOKUP(D990,Controls!$A$36:$E$46,2,FALSE()),"No")="Yes",1,0)</f>
        <v/>
      </c>
      <c r="AF990" s="3">
        <f>IF(IFERROR(VLOOKUP(D990,Controls!$A$36:$E$46,3,FALSE()),"No")="Yes",1,0)</f>
        <v/>
      </c>
      <c r="AG990" s="3">
        <f>IF(IFERROR(VLOOKUP(D990,Controls!$A$36:$E$46,4,FALSE()),"No")="Yes",1,0)</f>
        <v/>
      </c>
      <c r="AH990" s="3">
        <f>IF(IFERROR(VLOOKUP(D990,Controls!$A$36:$E$46,5,FALSE()),"No")="Yes",1,0)</f>
        <v/>
      </c>
      <c r="AI990" s="3">
        <f>IF(ISNUMBER(MATCH(D990,Controls!$A$36:$A$46,0)),1,0)</f>
        <v/>
      </c>
      <c r="AJ990" s="28">
        <f>Q990-N990</f>
        <v/>
      </c>
      <c r="AK990" s="3">
        <f>IF(AE990=1,MAX(0,N990-Q990),0)</f>
        <v/>
      </c>
      <c r="AL990" s="3">
        <f>IF(OR(V990="",V990=0),0,N990/V990)</f>
        <v/>
      </c>
      <c r="AM990" s="3">
        <f>IF(OR(V990="",V990=0),0,1)</f>
        <v/>
      </c>
      <c r="AN990" s="3">
        <f>IF(OR(E990="",F990=""),0,NETWORKDAYS(E990,F990,Ref!$K$2:$K$42))</f>
        <v/>
      </c>
      <c r="AO990" s="3">
        <f>IF(L990="Renewal",1,0)</f>
        <v/>
      </c>
      <c r="AP990" s="3">
        <f>AC990*AD990</f>
        <v/>
      </c>
      <c r="AQ990" s="3">
        <f>IF(AND(G990&lt;&gt;"",'Historical Score'!$C$6&lt;&gt;""),IF(G990='Historical Score'!$C$6,1,0),0)</f>
        <v/>
      </c>
      <c r="AR990" s="3">
        <f>IF(AND(L990&lt;&gt;"",'Historical Score'!$C$5&lt;&gt;""),IF(L990='Historical Score'!$C$5,1,0),0)</f>
        <v/>
      </c>
      <c r="AS990" s="3">
        <f>IF(AND(Y990&lt;&gt;"",'Historical Score'!$C$7&lt;&gt;""),IF(Y990='Historical Score'!$C$7,1,0),0)</f>
        <v/>
      </c>
      <c r="AT990" s="3">
        <f>IF(AND(K990&lt;&gt;"",'Historical Score'!$C$8&lt;&gt;""),IF(K990='Historical Score'!$C$8,1,0),0)</f>
        <v/>
      </c>
      <c r="AU990" s="3" t="n"/>
      <c r="AV990" s="3" t="n"/>
      <c r="AW990" s="3" t="n"/>
      <c r="AX990" s="3" t="n"/>
      <c r="AY990" s="3" t="n"/>
      <c r="AZ990" s="3" t="n"/>
      <c r="BA990" s="182">
        <f>IF(AD990=1,(AR990*'Historical Score'!$K$29+1-'Historical Score'!$K$29)*(AT990*'Historical Score'!$L$29+1-'Historical Score'!$L$29)*(AS990*'Historical Score'!$M$29+1-'Historical Score'!$M$29)*(AQ990*'Historical Score'!$N$29+1-'Historical Score'!$N$29),0)</f>
        <v/>
      </c>
      <c r="BB990" s="3" t="n"/>
      <c r="BC990" s="3" t="n"/>
    </row>
    <row r="991" ht="15.75" customHeight="1" s="174">
      <c r="A991" s="3" t="inlineStr">
        <is>
          <t>5674186372</t>
        </is>
      </c>
      <c r="B991" s="3" t="inlineStr">
        <is>
          <t>SST Brands</t>
        </is>
      </c>
      <c r="C991" s="3" t="inlineStr">
        <is>
          <t>Heads Up Headcare LLC</t>
        </is>
      </c>
      <c r="D991" s="3" t="inlineStr">
        <is>
          <t>Open</t>
        </is>
      </c>
      <c r="E991" s="23" t="n">
        <v>46203</v>
      </c>
      <c r="F991" s="23" t="n">
        <v>46251</v>
      </c>
      <c r="G991" s="3" t="n">
        <v>3</v>
      </c>
      <c r="H991" s="3" t="inlineStr">
        <is>
          <t>5999</t>
        </is>
      </c>
      <c r="I991" s="3" t="inlineStr">
        <is>
          <t>59</t>
        </is>
      </c>
      <c r="J991" s="3" t="inlineStr">
        <is>
          <t>NJ</t>
        </is>
      </c>
      <c r="K991" s="3" t="inlineStr">
        <is>
          <t>YM ventures</t>
        </is>
      </c>
      <c r="L991" s="3" t="inlineStr">
        <is>
          <t>Renewal</t>
        </is>
      </c>
      <c r="M991" s="3" t="n">
        <v>1.49</v>
      </c>
      <c r="N991" s="28" t="n">
        <v>235000</v>
      </c>
      <c r="O991" s="28" t="n">
        <v>30550</v>
      </c>
      <c r="P991" s="28" t="n">
        <v>350150</v>
      </c>
      <c r="Q991" s="28" t="n">
        <v>36168.32</v>
      </c>
      <c r="R991" s="28" t="n">
        <v>313981.68</v>
      </c>
      <c r="S991" s="42" t="n">
        <v>0.10329378837641</v>
      </c>
      <c r="T991" s="3" t="n">
        <v>46</v>
      </c>
      <c r="U991" s="3" t="n">
        <v>0</v>
      </c>
      <c r="V991" s="3" t="n">
        <v>640003.17</v>
      </c>
      <c r="W991" s="42" t="n">
        <v>0.1016</v>
      </c>
      <c r="X991" s="23" t="n">
        <v>40087</v>
      </c>
      <c r="Y991" s="3">
        <f>IF(I991="","No SIC",IFERROR(VLOOKUP(I991,Ref!$A$2:$B$65,2,FALSE()),"Unclassified"))</f>
        <v/>
      </c>
      <c r="Z991" s="3">
        <f>IF(T991="","",IF(T991&lt;12,"Daily","Weekly"))</f>
        <v/>
      </c>
      <c r="AA991" s="3">
        <f>IF(T991="",0,IF(T991&lt;12,T991*Controls!$B$13,T991*5))</f>
        <v/>
      </c>
      <c r="AB991" s="3">
        <f>IF(E991="",0,NETWORKDAYS(E991,Controls!$B$20,Ref!$K$2:$K$42))</f>
        <v/>
      </c>
      <c r="AC991" s="3">
        <f>IF(OR(AF991=1,AND(AA991&gt;0,AB991&gt;=Controls!$B$23*AA991)),1,0)</f>
        <v/>
      </c>
      <c r="AD991" s="3">
        <f>IF(AND(E991&lt;&gt;"",E991&gt;=Controls!$B$21,E991&lt;=Controls!$B$22),1,0)</f>
        <v/>
      </c>
      <c r="AE991" s="3">
        <f>IF(IFERROR(VLOOKUP(D991,Controls!$A$36:$E$46,2,FALSE()),"No")="Yes",1,0)</f>
        <v/>
      </c>
      <c r="AF991" s="3">
        <f>IF(IFERROR(VLOOKUP(D991,Controls!$A$36:$E$46,3,FALSE()),"No")="Yes",1,0)</f>
        <v/>
      </c>
      <c r="AG991" s="3">
        <f>IF(IFERROR(VLOOKUP(D991,Controls!$A$36:$E$46,4,FALSE()),"No")="Yes",1,0)</f>
        <v/>
      </c>
      <c r="AH991" s="3">
        <f>IF(IFERROR(VLOOKUP(D991,Controls!$A$36:$E$46,5,FALSE()),"No")="Yes",1,0)</f>
        <v/>
      </c>
      <c r="AI991" s="3">
        <f>IF(ISNUMBER(MATCH(D991,Controls!$A$36:$A$46,0)),1,0)</f>
        <v/>
      </c>
      <c r="AJ991" s="28">
        <f>Q991-N991</f>
        <v/>
      </c>
      <c r="AK991" s="3">
        <f>IF(AE991=1,MAX(0,N991-Q991),0)</f>
        <v/>
      </c>
      <c r="AL991" s="3">
        <f>IF(OR(V991="",V991=0),0,N991/V991)</f>
        <v/>
      </c>
      <c r="AM991" s="3">
        <f>IF(OR(V991="",V991=0),0,1)</f>
        <v/>
      </c>
      <c r="AN991" s="3">
        <f>IF(OR(E991="",F991=""),0,NETWORKDAYS(E991,F991,Ref!$K$2:$K$42))</f>
        <v/>
      </c>
      <c r="AO991" s="3">
        <f>IF(L991="Renewal",1,0)</f>
        <v/>
      </c>
      <c r="AP991" s="3">
        <f>AC991*AD991</f>
        <v/>
      </c>
      <c r="AQ991" s="3">
        <f>IF(AND(G991&lt;&gt;"",'Historical Score'!$C$6&lt;&gt;""),IF(G991='Historical Score'!$C$6,1,0),0)</f>
        <v/>
      </c>
      <c r="AR991" s="3">
        <f>IF(AND(L991&lt;&gt;"",'Historical Score'!$C$5&lt;&gt;""),IF(L991='Historical Score'!$C$5,1,0),0)</f>
        <v/>
      </c>
      <c r="AS991" s="3">
        <f>IF(AND(Y991&lt;&gt;"",'Historical Score'!$C$7&lt;&gt;""),IF(Y991='Historical Score'!$C$7,1,0),0)</f>
        <v/>
      </c>
      <c r="AT991" s="3">
        <f>IF(AND(K991&lt;&gt;"",'Historical Score'!$C$8&lt;&gt;""),IF(K991='Historical Score'!$C$8,1,0),0)</f>
        <v/>
      </c>
      <c r="AU991" s="3" t="n"/>
      <c r="AV991" s="3" t="n"/>
      <c r="AW991" s="3" t="n"/>
      <c r="AX991" s="3" t="n"/>
      <c r="AY991" s="3" t="n"/>
      <c r="AZ991" s="3" t="n"/>
      <c r="BA991" s="182">
        <f>IF(AD991=1,(AR991*'Historical Score'!$K$29+1-'Historical Score'!$K$29)*(AT991*'Historical Score'!$L$29+1-'Historical Score'!$L$29)*(AS991*'Historical Score'!$M$29+1-'Historical Score'!$M$29)*(AQ991*'Historical Score'!$N$29+1-'Historical Score'!$N$29),0)</f>
        <v/>
      </c>
      <c r="BB991" s="3" t="n"/>
      <c r="BC991" s="3" t="n"/>
    </row>
    <row r="992" ht="15.75" customHeight="1" s="174">
      <c r="A992" s="3" t="inlineStr">
        <is>
          <t>5674186382</t>
        </is>
      </c>
      <c r="B992" s="3" t="inlineStr">
        <is>
          <t>Golden Stream Media LLC</t>
        </is>
      </c>
      <c r="C992" s="3" t="inlineStr">
        <is>
          <t>Golden Stream Media LLC</t>
        </is>
      </c>
      <c r="D992" s="3" t="inlineStr">
        <is>
          <t>Open</t>
        </is>
      </c>
      <c r="E992" s="23" t="n">
        <v>46203</v>
      </c>
      <c r="F992" s="23" t="n">
        <v>46248</v>
      </c>
      <c r="G992" s="3" t="n">
        <v>3</v>
      </c>
      <c r="H992" s="3" t="inlineStr">
        <is>
          <t>7311</t>
        </is>
      </c>
      <c r="I992" s="3" t="inlineStr">
        <is>
          <t>73</t>
        </is>
      </c>
      <c r="J992" s="3" t="inlineStr">
        <is>
          <t>FL</t>
        </is>
      </c>
      <c r="K992" s="3" t="inlineStr">
        <is>
          <t>Capfront Funding</t>
        </is>
      </c>
      <c r="L992" s="3" t="inlineStr">
        <is>
          <t>New Deal</t>
        </is>
      </c>
      <c r="M992" s="3" t="n">
        <v>1.39</v>
      </c>
      <c r="N992" s="28" t="n">
        <v>10000</v>
      </c>
      <c r="O992" s="28" t="n">
        <v>900</v>
      </c>
      <c r="P992" s="28" t="n">
        <v>13900</v>
      </c>
      <c r="Q992" s="28" t="n">
        <v>4863.95</v>
      </c>
      <c r="R992" s="28" t="n">
        <v>9036.049999999999</v>
      </c>
      <c r="S992" s="42" t="n">
        <v>0.349924460431655</v>
      </c>
      <c r="T992" s="3" t="n">
        <v>20</v>
      </c>
      <c r="U992" s="3" t="n">
        <v>0</v>
      </c>
      <c r="V992" s="3" t="n">
        <v>36002.37</v>
      </c>
      <c r="W992" s="42" t="n">
        <v>0.0772</v>
      </c>
      <c r="X992" s="23" t="n">
        <v>44096</v>
      </c>
      <c r="Y992" s="3">
        <f>IF(I992="","No SIC",IFERROR(VLOOKUP(I992,Ref!$A$2:$B$65,2,FALSE()),"Unclassified"))</f>
        <v/>
      </c>
      <c r="Z992" s="3">
        <f>IF(T992="","",IF(T992&lt;12,"Daily","Weekly"))</f>
        <v/>
      </c>
      <c r="AA992" s="3">
        <f>IF(T992="",0,IF(T992&lt;12,T992*Controls!$B$13,T992*5))</f>
        <v/>
      </c>
      <c r="AB992" s="3">
        <f>IF(E992="",0,NETWORKDAYS(E992,Controls!$B$20,Ref!$K$2:$K$42))</f>
        <v/>
      </c>
      <c r="AC992" s="3">
        <f>IF(OR(AF992=1,AND(AA992&gt;0,AB992&gt;=Controls!$B$23*AA992)),1,0)</f>
        <v/>
      </c>
      <c r="AD992" s="3">
        <f>IF(AND(E992&lt;&gt;"",E992&gt;=Controls!$B$21,E992&lt;=Controls!$B$22),1,0)</f>
        <v/>
      </c>
      <c r="AE992" s="3">
        <f>IF(IFERROR(VLOOKUP(D992,Controls!$A$36:$E$46,2,FALSE()),"No")="Yes",1,0)</f>
        <v/>
      </c>
      <c r="AF992" s="3">
        <f>IF(IFERROR(VLOOKUP(D992,Controls!$A$36:$E$46,3,FALSE()),"No")="Yes",1,0)</f>
        <v/>
      </c>
      <c r="AG992" s="3">
        <f>IF(IFERROR(VLOOKUP(D992,Controls!$A$36:$E$46,4,FALSE()),"No")="Yes",1,0)</f>
        <v/>
      </c>
      <c r="AH992" s="3">
        <f>IF(IFERROR(VLOOKUP(D992,Controls!$A$36:$E$46,5,FALSE()),"No")="Yes",1,0)</f>
        <v/>
      </c>
      <c r="AI992" s="3">
        <f>IF(ISNUMBER(MATCH(D992,Controls!$A$36:$A$46,0)),1,0)</f>
        <v/>
      </c>
      <c r="AJ992" s="28">
        <f>Q992-N992</f>
        <v/>
      </c>
      <c r="AK992" s="3">
        <f>IF(AE992=1,MAX(0,N992-Q992),0)</f>
        <v/>
      </c>
      <c r="AL992" s="3">
        <f>IF(OR(V992="",V992=0),0,N992/V992)</f>
        <v/>
      </c>
      <c r="AM992" s="3">
        <f>IF(OR(V992="",V992=0),0,1)</f>
        <v/>
      </c>
      <c r="AN992" s="3">
        <f>IF(OR(E992="",F992=""),0,NETWORKDAYS(E992,F992,Ref!$K$2:$K$42))</f>
        <v/>
      </c>
      <c r="AO992" s="3">
        <f>IF(L992="Renewal",1,0)</f>
        <v/>
      </c>
      <c r="AP992" s="3">
        <f>AC992*AD992</f>
        <v/>
      </c>
      <c r="AQ992" s="3">
        <f>IF(AND(G992&lt;&gt;"",'Historical Score'!$C$6&lt;&gt;""),IF(G992='Historical Score'!$C$6,1,0),0)</f>
        <v/>
      </c>
      <c r="AR992" s="3">
        <f>IF(AND(L992&lt;&gt;"",'Historical Score'!$C$5&lt;&gt;""),IF(L992='Historical Score'!$C$5,1,0),0)</f>
        <v/>
      </c>
      <c r="AS992" s="3">
        <f>IF(AND(Y992&lt;&gt;"",'Historical Score'!$C$7&lt;&gt;""),IF(Y992='Historical Score'!$C$7,1,0),0)</f>
        <v/>
      </c>
      <c r="AT992" s="3">
        <f>IF(AND(K992&lt;&gt;"",'Historical Score'!$C$8&lt;&gt;""),IF(K992='Historical Score'!$C$8,1,0),0)</f>
        <v/>
      </c>
      <c r="AU992" s="3" t="n"/>
      <c r="AV992" s="3" t="n"/>
      <c r="AW992" s="3" t="n"/>
      <c r="AX992" s="3" t="n"/>
      <c r="AY992" s="3" t="n"/>
      <c r="AZ992" s="3" t="n"/>
      <c r="BA992" s="182">
        <f>IF(AD992=1,(AR992*'Historical Score'!$K$29+1-'Historical Score'!$K$29)*(AT992*'Historical Score'!$L$29+1-'Historical Score'!$L$29)*(AS992*'Historical Score'!$M$29+1-'Historical Score'!$M$29)*(AQ992*'Historical Score'!$N$29+1-'Historical Score'!$N$29),0)</f>
        <v/>
      </c>
      <c r="BB992" s="3" t="n"/>
      <c r="BC992" s="3" t="n"/>
    </row>
    <row r="993" ht="15.75" customHeight="1" s="174">
      <c r="A993" s="3" t="inlineStr">
        <is>
          <t>5674186416</t>
        </is>
      </c>
      <c r="B993" s="3" t="inlineStr">
        <is>
          <t>BE WELLNESS DBA DUBOIS DRUG AND WELLNESS DBA WILLIAM DRAHUSHAK SOLE MBR</t>
        </is>
      </c>
      <c r="C993" s="3" t="inlineStr">
        <is>
          <t>BE Wellness Inc</t>
        </is>
      </c>
      <c r="D993" s="3" t="inlineStr">
        <is>
          <t>Open</t>
        </is>
      </c>
      <c r="E993" s="23" t="n">
        <v>46203</v>
      </c>
      <c r="F993" s="23" t="n">
        <v>46253</v>
      </c>
      <c r="G993" s="3" t="n">
        <v>3</v>
      </c>
      <c r="H993" s="3" t="inlineStr">
        <is>
          <t>2834</t>
        </is>
      </c>
      <c r="I993" s="3" t="inlineStr">
        <is>
          <t>28</t>
        </is>
      </c>
      <c r="J993" s="3" t="inlineStr">
        <is>
          <t>PA</t>
        </is>
      </c>
      <c r="K993" s="3" t="inlineStr">
        <is>
          <t>TRUSTFI</t>
        </is>
      </c>
      <c r="L993" s="3" t="inlineStr">
        <is>
          <t>New Deal</t>
        </is>
      </c>
      <c r="M993" s="3" t="n">
        <v>1.43</v>
      </c>
      <c r="N993" s="28" t="n">
        <v>110000</v>
      </c>
      <c r="O993" s="28" t="n">
        <v>12100</v>
      </c>
      <c r="P993" s="28" t="n">
        <v>157300</v>
      </c>
      <c r="Q993" s="28" t="n">
        <v>19305.89</v>
      </c>
      <c r="R993" s="28" t="n">
        <v>137994.11</v>
      </c>
      <c r="S993" s="42" t="n">
        <v>0.122732930705658</v>
      </c>
      <c r="T993" s="3" t="n">
        <v>44</v>
      </c>
      <c r="U993" s="3" t="n">
        <v>1</v>
      </c>
      <c r="V993" s="3" t="n">
        <v>276075.27</v>
      </c>
      <c r="W993" s="42" t="n">
        <v>0.0518</v>
      </c>
      <c r="X993" s="23" t="n">
        <v>39056</v>
      </c>
      <c r="Y993" s="3">
        <f>IF(I993="","No SIC",IFERROR(VLOOKUP(I993,Ref!$A$2:$B$65,2,FALSE()),"Unclassified"))</f>
        <v/>
      </c>
      <c r="Z993" s="3">
        <f>IF(T993="","",IF(T993&lt;12,"Daily","Weekly"))</f>
        <v/>
      </c>
      <c r="AA993" s="3">
        <f>IF(T993="",0,IF(T993&lt;12,T993*Controls!$B$13,T993*5))</f>
        <v/>
      </c>
      <c r="AB993" s="3">
        <f>IF(E993="",0,NETWORKDAYS(E993,Controls!$B$20,Ref!$K$2:$K$42))</f>
        <v/>
      </c>
      <c r="AC993" s="3">
        <f>IF(OR(AF993=1,AND(AA993&gt;0,AB993&gt;=Controls!$B$23*AA993)),1,0)</f>
        <v/>
      </c>
      <c r="AD993" s="3">
        <f>IF(AND(E993&lt;&gt;"",E993&gt;=Controls!$B$21,E993&lt;=Controls!$B$22),1,0)</f>
        <v/>
      </c>
      <c r="AE993" s="3">
        <f>IF(IFERROR(VLOOKUP(D993,Controls!$A$36:$E$46,2,FALSE()),"No")="Yes",1,0)</f>
        <v/>
      </c>
      <c r="AF993" s="3">
        <f>IF(IFERROR(VLOOKUP(D993,Controls!$A$36:$E$46,3,FALSE()),"No")="Yes",1,0)</f>
        <v/>
      </c>
      <c r="AG993" s="3">
        <f>IF(IFERROR(VLOOKUP(D993,Controls!$A$36:$E$46,4,FALSE()),"No")="Yes",1,0)</f>
        <v/>
      </c>
      <c r="AH993" s="3">
        <f>IF(IFERROR(VLOOKUP(D993,Controls!$A$36:$E$46,5,FALSE()),"No")="Yes",1,0)</f>
        <v/>
      </c>
      <c r="AI993" s="3">
        <f>IF(ISNUMBER(MATCH(D993,Controls!$A$36:$A$46,0)),1,0)</f>
        <v/>
      </c>
      <c r="AJ993" s="28">
        <f>Q993-N993</f>
        <v/>
      </c>
      <c r="AK993" s="3">
        <f>IF(AE993=1,MAX(0,N993-Q993),0)</f>
        <v/>
      </c>
      <c r="AL993" s="3">
        <f>IF(OR(V993="",V993=0),0,N993/V993)</f>
        <v/>
      </c>
      <c r="AM993" s="3">
        <f>IF(OR(V993="",V993=0),0,1)</f>
        <v/>
      </c>
      <c r="AN993" s="3">
        <f>IF(OR(E993="",F993=""),0,NETWORKDAYS(E993,F993,Ref!$K$2:$K$42))</f>
        <v/>
      </c>
      <c r="AO993" s="3">
        <f>IF(L993="Renewal",1,0)</f>
        <v/>
      </c>
      <c r="AP993" s="3">
        <f>AC993*AD993</f>
        <v/>
      </c>
      <c r="AQ993" s="3">
        <f>IF(AND(G993&lt;&gt;"",'Historical Score'!$C$6&lt;&gt;""),IF(G993='Historical Score'!$C$6,1,0),0)</f>
        <v/>
      </c>
      <c r="AR993" s="3">
        <f>IF(AND(L993&lt;&gt;"",'Historical Score'!$C$5&lt;&gt;""),IF(L993='Historical Score'!$C$5,1,0),0)</f>
        <v/>
      </c>
      <c r="AS993" s="3">
        <f>IF(AND(Y993&lt;&gt;"",'Historical Score'!$C$7&lt;&gt;""),IF(Y993='Historical Score'!$C$7,1,0),0)</f>
        <v/>
      </c>
      <c r="AT993" s="3">
        <f>IF(AND(K993&lt;&gt;"",'Historical Score'!$C$8&lt;&gt;""),IF(K993='Historical Score'!$C$8,1,0),0)</f>
        <v/>
      </c>
      <c r="AU993" s="3" t="n"/>
      <c r="AV993" s="3" t="n"/>
      <c r="AW993" s="3" t="n"/>
      <c r="AX993" s="3" t="n"/>
      <c r="AY993" s="3" t="n"/>
      <c r="AZ993" s="3" t="n"/>
      <c r="BA993" s="182">
        <f>IF(AD993=1,(AR993*'Historical Score'!$K$29+1-'Historical Score'!$K$29)*(AT993*'Historical Score'!$L$29+1-'Historical Score'!$L$29)*(AS993*'Historical Score'!$M$29+1-'Historical Score'!$M$29)*(AQ993*'Historical Score'!$N$29+1-'Historical Score'!$N$29),0)</f>
        <v/>
      </c>
      <c r="BB993" s="3" t="n"/>
      <c r="BC993" s="3" t="n"/>
    </row>
    <row r="994" ht="15.75" customHeight="1" s="174">
      <c r="A994" s="3" t="inlineStr">
        <is>
          <t>5674186419</t>
        </is>
      </c>
      <c r="B994" s="3" t="inlineStr">
        <is>
          <t>FRANCHISE MEALS</t>
        </is>
      </c>
      <c r="C994" s="3" t="inlineStr">
        <is>
          <t>FRANCHISE MEALS LLC</t>
        </is>
      </c>
      <c r="D994" s="3" t="inlineStr">
        <is>
          <t>Open</t>
        </is>
      </c>
      <c r="E994" s="23" t="n">
        <v>46203</v>
      </c>
      <c r="F994" s="23" t="n">
        <v>46253</v>
      </c>
      <c r="G994" s="3" t="n">
        <v>3</v>
      </c>
      <c r="H994" s="3" t="inlineStr">
        <is>
          <t>5812</t>
        </is>
      </c>
      <c r="I994" s="3" t="inlineStr">
        <is>
          <t>58</t>
        </is>
      </c>
      <c r="J994" s="3" t="inlineStr">
        <is>
          <t>MO</t>
        </is>
      </c>
      <c r="K994" s="3" t="inlineStr">
        <is>
          <t>Westwood</t>
        </is>
      </c>
      <c r="L994" s="3" t="inlineStr">
        <is>
          <t>New Deal</t>
        </is>
      </c>
      <c r="M994" s="3" t="n">
        <v>1.49</v>
      </c>
      <c r="N994" s="28" t="n">
        <v>20000</v>
      </c>
      <c r="O994" s="28" t="n">
        <v>2800</v>
      </c>
      <c r="P994" s="28" t="n">
        <v>29800</v>
      </c>
      <c r="Q994" s="28" t="n">
        <v>3228.07</v>
      </c>
      <c r="R994" s="28" t="n">
        <v>26571.93</v>
      </c>
      <c r="S994" s="42" t="n">
        <v>0.108324496644295</v>
      </c>
      <c r="T994" s="3" t="n">
        <v>24</v>
      </c>
      <c r="U994" s="3" t="n">
        <v>5</v>
      </c>
      <c r="V994" s="3" t="n">
        <v>29008.61</v>
      </c>
      <c r="W994" s="42" t="n">
        <v>0.1712</v>
      </c>
      <c r="X994" s="23" t="n">
        <v>44187</v>
      </c>
      <c r="Y994" s="3">
        <f>IF(I994="","No SIC",IFERROR(VLOOKUP(I994,Ref!$A$2:$B$65,2,FALSE()),"Unclassified"))</f>
        <v/>
      </c>
      <c r="Z994" s="3">
        <f>IF(T994="","",IF(T994&lt;12,"Daily","Weekly"))</f>
        <v/>
      </c>
      <c r="AA994" s="3">
        <f>IF(T994="",0,IF(T994&lt;12,T994*Controls!$B$13,T994*5))</f>
        <v/>
      </c>
      <c r="AB994" s="3">
        <f>IF(E994="",0,NETWORKDAYS(E994,Controls!$B$20,Ref!$K$2:$K$42))</f>
        <v/>
      </c>
      <c r="AC994" s="3">
        <f>IF(OR(AF994=1,AND(AA994&gt;0,AB994&gt;=Controls!$B$23*AA994)),1,0)</f>
        <v/>
      </c>
      <c r="AD994" s="3">
        <f>IF(AND(E994&lt;&gt;"",E994&gt;=Controls!$B$21,E994&lt;=Controls!$B$22),1,0)</f>
        <v/>
      </c>
      <c r="AE994" s="3">
        <f>IF(IFERROR(VLOOKUP(D994,Controls!$A$36:$E$46,2,FALSE()),"No")="Yes",1,0)</f>
        <v/>
      </c>
      <c r="AF994" s="3">
        <f>IF(IFERROR(VLOOKUP(D994,Controls!$A$36:$E$46,3,FALSE()),"No")="Yes",1,0)</f>
        <v/>
      </c>
      <c r="AG994" s="3">
        <f>IF(IFERROR(VLOOKUP(D994,Controls!$A$36:$E$46,4,FALSE()),"No")="Yes",1,0)</f>
        <v/>
      </c>
      <c r="AH994" s="3">
        <f>IF(IFERROR(VLOOKUP(D994,Controls!$A$36:$E$46,5,FALSE()),"No")="Yes",1,0)</f>
        <v/>
      </c>
      <c r="AI994" s="3">
        <f>IF(ISNUMBER(MATCH(D994,Controls!$A$36:$A$46,0)),1,0)</f>
        <v/>
      </c>
      <c r="AJ994" s="28">
        <f>Q994-N994</f>
        <v/>
      </c>
      <c r="AK994" s="3">
        <f>IF(AE994=1,MAX(0,N994-Q994),0)</f>
        <v/>
      </c>
      <c r="AL994" s="3">
        <f>IF(OR(V994="",V994=0),0,N994/V994)</f>
        <v/>
      </c>
      <c r="AM994" s="3">
        <f>IF(OR(V994="",V994=0),0,1)</f>
        <v/>
      </c>
      <c r="AN994" s="3">
        <f>IF(OR(E994="",F994=""),0,NETWORKDAYS(E994,F994,Ref!$K$2:$K$42))</f>
        <v/>
      </c>
      <c r="AO994" s="3">
        <f>IF(L994="Renewal",1,0)</f>
        <v/>
      </c>
      <c r="AP994" s="3">
        <f>AC994*AD994</f>
        <v/>
      </c>
      <c r="AQ994" s="3">
        <f>IF(AND(G994&lt;&gt;"",'Historical Score'!$C$6&lt;&gt;""),IF(G994='Historical Score'!$C$6,1,0),0)</f>
        <v/>
      </c>
      <c r="AR994" s="3">
        <f>IF(AND(L994&lt;&gt;"",'Historical Score'!$C$5&lt;&gt;""),IF(L994='Historical Score'!$C$5,1,0),0)</f>
        <v/>
      </c>
      <c r="AS994" s="3">
        <f>IF(AND(Y994&lt;&gt;"",'Historical Score'!$C$7&lt;&gt;""),IF(Y994='Historical Score'!$C$7,1,0),0)</f>
        <v/>
      </c>
      <c r="AT994" s="3">
        <f>IF(AND(K994&lt;&gt;"",'Historical Score'!$C$8&lt;&gt;""),IF(K994='Historical Score'!$C$8,1,0),0)</f>
        <v/>
      </c>
      <c r="AU994" s="3" t="n"/>
      <c r="AV994" s="3" t="n"/>
      <c r="AW994" s="3" t="n"/>
      <c r="AX994" s="3" t="n"/>
      <c r="AY994" s="3" t="n"/>
      <c r="AZ994" s="3" t="n"/>
      <c r="BA994" s="182">
        <f>IF(AD994=1,(AR994*'Historical Score'!$K$29+1-'Historical Score'!$K$29)*(AT994*'Historical Score'!$L$29+1-'Historical Score'!$L$29)*(AS994*'Historical Score'!$M$29+1-'Historical Score'!$M$29)*(AQ994*'Historical Score'!$N$29+1-'Historical Score'!$N$29),0)</f>
        <v/>
      </c>
      <c r="BB994" s="3" t="n"/>
      <c r="BC994" s="3" t="n"/>
    </row>
    <row r="995" ht="15.75" customHeight="1" s="174">
      <c r="A995" s="3" t="inlineStr">
        <is>
          <t>5674186483</t>
        </is>
      </c>
      <c r="B995" s="3" t="inlineStr">
        <is>
          <t>TACOS MADRE KITCHEN &amp; CANTINA</t>
        </is>
      </c>
      <c r="C995" s="3" t="inlineStr">
        <is>
          <t>Tacos Madre Kitchen &amp; Cantina LLC</t>
        </is>
      </c>
      <c r="D995" s="3" t="inlineStr">
        <is>
          <t>Open</t>
        </is>
      </c>
      <c r="E995" s="23" t="n">
        <v>46204</v>
      </c>
      <c r="F995" s="23" t="n">
        <v>46248</v>
      </c>
      <c r="G995" s="3" t="n">
        <v>3</v>
      </c>
      <c r="H995" s="3" t="inlineStr">
        <is>
          <t>5812</t>
        </is>
      </c>
      <c r="I995" s="3" t="inlineStr">
        <is>
          <t>58</t>
        </is>
      </c>
      <c r="J995" s="3" t="inlineStr">
        <is>
          <t>CA</t>
        </is>
      </c>
      <c r="K995" s="3" t="inlineStr">
        <is>
          <t>National Business Capital</t>
        </is>
      </c>
      <c r="L995" s="3" t="inlineStr">
        <is>
          <t>New Deal</t>
        </is>
      </c>
      <c r="M995" s="3" t="n">
        <v>1.45</v>
      </c>
      <c r="N995" s="28" t="n">
        <v>20000</v>
      </c>
      <c r="O995" s="28" t="n">
        <v>2400</v>
      </c>
      <c r="P995" s="28" t="n">
        <v>29000</v>
      </c>
      <c r="Q995" s="28" t="n">
        <v>6960</v>
      </c>
      <c r="R995" s="28" t="n">
        <v>22040</v>
      </c>
      <c r="S995" s="42" t="n">
        <v>0.24</v>
      </c>
      <c r="T995" s="3" t="n">
        <v>25</v>
      </c>
      <c r="U995" s="3" t="n">
        <v>0</v>
      </c>
      <c r="V995" s="3" t="n">
        <v>184402.29</v>
      </c>
      <c r="W995" s="42" t="n">
        <v>0.03</v>
      </c>
      <c r="X995" s="23" t="n">
        <v>45190</v>
      </c>
      <c r="Y995" s="3">
        <f>IF(I995="","No SIC",IFERROR(VLOOKUP(I995,Ref!$A$2:$B$65,2,FALSE()),"Unclassified"))</f>
        <v/>
      </c>
      <c r="Z995" s="3">
        <f>IF(T995="","",IF(T995&lt;12,"Daily","Weekly"))</f>
        <v/>
      </c>
      <c r="AA995" s="3">
        <f>IF(T995="",0,IF(T995&lt;12,T995*Controls!$B$13,T995*5))</f>
        <v/>
      </c>
      <c r="AB995" s="3">
        <f>IF(E995="",0,NETWORKDAYS(E995,Controls!$B$20,Ref!$K$2:$K$42))</f>
        <v/>
      </c>
      <c r="AC995" s="3">
        <f>IF(OR(AF995=1,AND(AA995&gt;0,AB995&gt;=Controls!$B$23*AA995)),1,0)</f>
        <v/>
      </c>
      <c r="AD995" s="3">
        <f>IF(AND(E995&lt;&gt;"",E995&gt;=Controls!$B$21,E995&lt;=Controls!$B$22),1,0)</f>
        <v/>
      </c>
      <c r="AE995" s="3">
        <f>IF(IFERROR(VLOOKUP(D995,Controls!$A$36:$E$46,2,FALSE()),"No")="Yes",1,0)</f>
        <v/>
      </c>
      <c r="AF995" s="3">
        <f>IF(IFERROR(VLOOKUP(D995,Controls!$A$36:$E$46,3,FALSE()),"No")="Yes",1,0)</f>
        <v/>
      </c>
      <c r="AG995" s="3">
        <f>IF(IFERROR(VLOOKUP(D995,Controls!$A$36:$E$46,4,FALSE()),"No")="Yes",1,0)</f>
        <v/>
      </c>
      <c r="AH995" s="3">
        <f>IF(IFERROR(VLOOKUP(D995,Controls!$A$36:$E$46,5,FALSE()),"No")="Yes",1,0)</f>
        <v/>
      </c>
      <c r="AI995" s="3">
        <f>IF(ISNUMBER(MATCH(D995,Controls!$A$36:$A$46,0)),1,0)</f>
        <v/>
      </c>
      <c r="AJ995" s="28">
        <f>Q995-N995</f>
        <v/>
      </c>
      <c r="AK995" s="3">
        <f>IF(AE995=1,MAX(0,N995-Q995),0)</f>
        <v/>
      </c>
      <c r="AL995" s="3">
        <f>IF(OR(V995="",V995=0),0,N995/V995)</f>
        <v/>
      </c>
      <c r="AM995" s="3">
        <f>IF(OR(V995="",V995=0),0,1)</f>
        <v/>
      </c>
      <c r="AN995" s="3">
        <f>IF(OR(E995="",F995=""),0,NETWORKDAYS(E995,F995,Ref!$K$2:$K$42))</f>
        <v/>
      </c>
      <c r="AO995" s="3">
        <f>IF(L995="Renewal",1,0)</f>
        <v/>
      </c>
      <c r="AP995" s="3">
        <f>AC995*AD995</f>
        <v/>
      </c>
      <c r="AQ995" s="3">
        <f>IF(AND(G995&lt;&gt;"",'Historical Score'!$C$6&lt;&gt;""),IF(G995='Historical Score'!$C$6,1,0),0)</f>
        <v/>
      </c>
      <c r="AR995" s="3">
        <f>IF(AND(L995&lt;&gt;"",'Historical Score'!$C$5&lt;&gt;""),IF(L995='Historical Score'!$C$5,1,0),0)</f>
        <v/>
      </c>
      <c r="AS995" s="3">
        <f>IF(AND(Y995&lt;&gt;"",'Historical Score'!$C$7&lt;&gt;""),IF(Y995='Historical Score'!$C$7,1,0),0)</f>
        <v/>
      </c>
      <c r="AT995" s="3">
        <f>IF(AND(K995&lt;&gt;"",'Historical Score'!$C$8&lt;&gt;""),IF(K995='Historical Score'!$C$8,1,0),0)</f>
        <v/>
      </c>
      <c r="AU995" s="3" t="n"/>
      <c r="AV995" s="3" t="n"/>
      <c r="AW995" s="3" t="n"/>
      <c r="AX995" s="3" t="n"/>
      <c r="AY995" s="3" t="n"/>
      <c r="AZ995" s="3" t="n"/>
      <c r="BA995" s="182">
        <f>IF(AD995=1,(AR995*'Historical Score'!$K$29+1-'Historical Score'!$K$29)*(AT995*'Historical Score'!$L$29+1-'Historical Score'!$L$29)*(AS995*'Historical Score'!$M$29+1-'Historical Score'!$M$29)*(AQ995*'Historical Score'!$N$29+1-'Historical Score'!$N$29),0)</f>
        <v/>
      </c>
      <c r="BB995" s="3" t="n"/>
      <c r="BC995" s="3" t="n"/>
    </row>
    <row r="996" ht="15.75" customHeight="1" s="174">
      <c r="A996" s="3" t="inlineStr">
        <is>
          <t>5674186487</t>
        </is>
      </c>
      <c r="B996" s="3" t="inlineStr">
        <is>
          <t>Doreesha Flavad Puurckles</t>
        </is>
      </c>
      <c r="C996" s="3" t="inlineStr">
        <is>
          <t>Doreesha Flavad Puurckles</t>
        </is>
      </c>
      <c r="D996" s="3" t="inlineStr">
        <is>
          <t>Open</t>
        </is>
      </c>
      <c r="E996" s="23" t="n">
        <v>46204</v>
      </c>
      <c r="F996" s="23" t="n">
        <v>46253</v>
      </c>
      <c r="G996" s="3" t="n">
        <v>3</v>
      </c>
      <c r="H996" s="3" t="inlineStr">
        <is>
          <t>5499</t>
        </is>
      </c>
      <c r="I996" s="3" t="inlineStr">
        <is>
          <t>54</t>
        </is>
      </c>
      <c r="J996" s="3" t="inlineStr">
        <is>
          <t>GA</t>
        </is>
      </c>
      <c r="K996" s="3" t="inlineStr">
        <is>
          <t>United Secured Capital 8</t>
        </is>
      </c>
      <c r="L996" s="3" t="inlineStr">
        <is>
          <t>New Deal</t>
        </is>
      </c>
      <c r="M996" s="3" t="n">
        <v>1.49</v>
      </c>
      <c r="N996" s="28" t="n">
        <v>25000</v>
      </c>
      <c r="O996" s="28" t="n">
        <v>3500</v>
      </c>
      <c r="P996" s="28" t="n">
        <v>37250</v>
      </c>
      <c r="Q996" s="28" t="n">
        <v>3725.23</v>
      </c>
      <c r="R996" s="28" t="n">
        <v>33524.77</v>
      </c>
      <c r="S996" s="42" t="n">
        <v>0.100006174496644</v>
      </c>
      <c r="T996" s="3" t="n">
        <v>20</v>
      </c>
      <c r="U996" s="3" t="n">
        <v>8</v>
      </c>
      <c r="V996" s="3" t="n">
        <v>30373.05</v>
      </c>
      <c r="W996" s="42" t="n">
        <v>0.2453</v>
      </c>
      <c r="X996" s="23" t="n">
        <v>44287</v>
      </c>
      <c r="Y996" s="3">
        <f>IF(I996="","No SIC",IFERROR(VLOOKUP(I996,Ref!$A$2:$B$65,2,FALSE()),"Unclassified"))</f>
        <v/>
      </c>
      <c r="Z996" s="3">
        <f>IF(T996="","",IF(T996&lt;12,"Daily","Weekly"))</f>
        <v/>
      </c>
      <c r="AA996" s="3">
        <f>IF(T996="",0,IF(T996&lt;12,T996*Controls!$B$13,T996*5))</f>
        <v/>
      </c>
      <c r="AB996" s="3">
        <f>IF(E996="",0,NETWORKDAYS(E996,Controls!$B$20,Ref!$K$2:$K$42))</f>
        <v/>
      </c>
      <c r="AC996" s="3">
        <f>IF(OR(AF996=1,AND(AA996&gt;0,AB996&gt;=Controls!$B$23*AA996)),1,0)</f>
        <v/>
      </c>
      <c r="AD996" s="3">
        <f>IF(AND(E996&lt;&gt;"",E996&gt;=Controls!$B$21,E996&lt;=Controls!$B$22),1,0)</f>
        <v/>
      </c>
      <c r="AE996" s="3">
        <f>IF(IFERROR(VLOOKUP(D996,Controls!$A$36:$E$46,2,FALSE()),"No")="Yes",1,0)</f>
        <v/>
      </c>
      <c r="AF996" s="3">
        <f>IF(IFERROR(VLOOKUP(D996,Controls!$A$36:$E$46,3,FALSE()),"No")="Yes",1,0)</f>
        <v/>
      </c>
      <c r="AG996" s="3">
        <f>IF(IFERROR(VLOOKUP(D996,Controls!$A$36:$E$46,4,FALSE()),"No")="Yes",1,0)</f>
        <v/>
      </c>
      <c r="AH996" s="3">
        <f>IF(IFERROR(VLOOKUP(D996,Controls!$A$36:$E$46,5,FALSE()),"No")="Yes",1,0)</f>
        <v/>
      </c>
      <c r="AI996" s="3">
        <f>IF(ISNUMBER(MATCH(D996,Controls!$A$36:$A$46,0)),1,0)</f>
        <v/>
      </c>
      <c r="AJ996" s="28">
        <f>Q996-N996</f>
        <v/>
      </c>
      <c r="AK996" s="3">
        <f>IF(AE996=1,MAX(0,N996-Q996),0)</f>
        <v/>
      </c>
      <c r="AL996" s="3">
        <f>IF(OR(V996="",V996=0),0,N996/V996)</f>
        <v/>
      </c>
      <c r="AM996" s="3">
        <f>IF(OR(V996="",V996=0),0,1)</f>
        <v/>
      </c>
      <c r="AN996" s="3">
        <f>IF(OR(E996="",F996=""),0,NETWORKDAYS(E996,F996,Ref!$K$2:$K$42))</f>
        <v/>
      </c>
      <c r="AO996" s="3">
        <f>IF(L996="Renewal",1,0)</f>
        <v/>
      </c>
      <c r="AP996" s="3">
        <f>AC996*AD996</f>
        <v/>
      </c>
      <c r="AQ996" s="3">
        <f>IF(AND(G996&lt;&gt;"",'Historical Score'!$C$6&lt;&gt;""),IF(G996='Historical Score'!$C$6,1,0),0)</f>
        <v/>
      </c>
      <c r="AR996" s="3">
        <f>IF(AND(L996&lt;&gt;"",'Historical Score'!$C$5&lt;&gt;""),IF(L996='Historical Score'!$C$5,1,0),0)</f>
        <v/>
      </c>
      <c r="AS996" s="3">
        <f>IF(AND(Y996&lt;&gt;"",'Historical Score'!$C$7&lt;&gt;""),IF(Y996='Historical Score'!$C$7,1,0),0)</f>
        <v/>
      </c>
      <c r="AT996" s="3">
        <f>IF(AND(K996&lt;&gt;"",'Historical Score'!$C$8&lt;&gt;""),IF(K996='Historical Score'!$C$8,1,0),0)</f>
        <v/>
      </c>
      <c r="AU996" s="3" t="n"/>
      <c r="AV996" s="3" t="n"/>
      <c r="AW996" s="3" t="n"/>
      <c r="AX996" s="3" t="n"/>
      <c r="AY996" s="3" t="n"/>
      <c r="AZ996" s="3" t="n"/>
      <c r="BA996" s="182">
        <f>IF(AD996=1,(AR996*'Historical Score'!$K$29+1-'Historical Score'!$K$29)*(AT996*'Historical Score'!$L$29+1-'Historical Score'!$L$29)*(AS996*'Historical Score'!$M$29+1-'Historical Score'!$M$29)*(AQ996*'Historical Score'!$N$29+1-'Historical Score'!$N$29),0)</f>
        <v/>
      </c>
      <c r="BB996" s="3" t="n"/>
      <c r="BC996" s="3" t="n"/>
    </row>
    <row r="997" ht="15.75" customHeight="1" s="174">
      <c r="A997" s="3" t="inlineStr">
        <is>
          <t>5674186490</t>
        </is>
      </c>
      <c r="B997" s="3" t="inlineStr">
        <is>
          <t>TRANSGLOBAL CONCESSIONS</t>
        </is>
      </c>
      <c r="C997" s="3" t="inlineStr">
        <is>
          <t>Transglobal Concessions LLC</t>
        </is>
      </c>
      <c r="D997" s="3" t="inlineStr">
        <is>
          <t>Open</t>
        </is>
      </c>
      <c r="E997" s="23" t="n">
        <v>46204</v>
      </c>
      <c r="F997" s="23" t="n">
        <v>46251</v>
      </c>
      <c r="G997" s="3" t="n">
        <v>4</v>
      </c>
      <c r="H997" s="3" t="inlineStr">
        <is>
          <t>1522</t>
        </is>
      </c>
      <c r="I997" s="3" t="inlineStr">
        <is>
          <t>15</t>
        </is>
      </c>
      <c r="J997" s="3" t="inlineStr">
        <is>
          <t>FL</t>
        </is>
      </c>
      <c r="K997" s="3" t="inlineStr">
        <is>
          <t>PMF</t>
        </is>
      </c>
      <c r="L997" s="3" t="inlineStr">
        <is>
          <t>New Deal</t>
        </is>
      </c>
      <c r="M997" s="3" t="n">
        <v>1.39</v>
      </c>
      <c r="N997" s="28" t="n">
        <v>300000</v>
      </c>
      <c r="O997" s="28" t="n">
        <v>27000</v>
      </c>
      <c r="P997" s="28" t="n">
        <v>417000</v>
      </c>
      <c r="Q997" s="28" t="n">
        <v>72932.72</v>
      </c>
      <c r="R997" s="28" t="n">
        <v>344067.28</v>
      </c>
      <c r="S997" s="42" t="n">
        <v>0.17489860911271</v>
      </c>
      <c r="T997" s="3" t="n">
        <v>40</v>
      </c>
      <c r="U997" s="3" t="n">
        <v>0</v>
      </c>
      <c r="V997" s="3" t="n">
        <v>949336.14</v>
      </c>
      <c r="W997" s="42" t="n">
        <v>0.0439</v>
      </c>
      <c r="X997" s="23" t="n">
        <v>38959</v>
      </c>
      <c r="Y997" s="3">
        <f>IF(I997="","No SIC",IFERROR(VLOOKUP(I997,Ref!$A$2:$B$65,2,FALSE()),"Unclassified"))</f>
        <v/>
      </c>
      <c r="Z997" s="3">
        <f>IF(T997="","",IF(T997&lt;12,"Daily","Weekly"))</f>
        <v/>
      </c>
      <c r="AA997" s="3">
        <f>IF(T997="",0,IF(T997&lt;12,T997*Controls!$B$13,T997*5))</f>
        <v/>
      </c>
      <c r="AB997" s="3">
        <f>IF(E997="",0,NETWORKDAYS(E997,Controls!$B$20,Ref!$K$2:$K$42))</f>
        <v/>
      </c>
      <c r="AC997" s="3">
        <f>IF(OR(AF997=1,AND(AA997&gt;0,AB997&gt;=Controls!$B$23*AA997)),1,0)</f>
        <v/>
      </c>
      <c r="AD997" s="3">
        <f>IF(AND(E997&lt;&gt;"",E997&gt;=Controls!$B$21,E997&lt;=Controls!$B$22),1,0)</f>
        <v/>
      </c>
      <c r="AE997" s="3">
        <f>IF(IFERROR(VLOOKUP(D997,Controls!$A$36:$E$46,2,FALSE()),"No")="Yes",1,0)</f>
        <v/>
      </c>
      <c r="AF997" s="3">
        <f>IF(IFERROR(VLOOKUP(D997,Controls!$A$36:$E$46,3,FALSE()),"No")="Yes",1,0)</f>
        <v/>
      </c>
      <c r="AG997" s="3">
        <f>IF(IFERROR(VLOOKUP(D997,Controls!$A$36:$E$46,4,FALSE()),"No")="Yes",1,0)</f>
        <v/>
      </c>
      <c r="AH997" s="3">
        <f>IF(IFERROR(VLOOKUP(D997,Controls!$A$36:$E$46,5,FALSE()),"No")="Yes",1,0)</f>
        <v/>
      </c>
      <c r="AI997" s="3">
        <f>IF(ISNUMBER(MATCH(D997,Controls!$A$36:$A$46,0)),1,0)</f>
        <v/>
      </c>
      <c r="AJ997" s="28">
        <f>Q997-N997</f>
        <v/>
      </c>
      <c r="AK997" s="3">
        <f>IF(AE997=1,MAX(0,N997-Q997),0)</f>
        <v/>
      </c>
      <c r="AL997" s="3">
        <f>IF(OR(V997="",V997=0),0,N997/V997)</f>
        <v/>
      </c>
      <c r="AM997" s="3">
        <f>IF(OR(V997="",V997=0),0,1)</f>
        <v/>
      </c>
      <c r="AN997" s="3">
        <f>IF(OR(E997="",F997=""),0,NETWORKDAYS(E997,F997,Ref!$K$2:$K$42))</f>
        <v/>
      </c>
      <c r="AO997" s="3">
        <f>IF(L997="Renewal",1,0)</f>
        <v/>
      </c>
      <c r="AP997" s="3">
        <f>AC997*AD997</f>
        <v/>
      </c>
      <c r="AQ997" s="3">
        <f>IF(AND(G997&lt;&gt;"",'Historical Score'!$C$6&lt;&gt;""),IF(G997='Historical Score'!$C$6,1,0),0)</f>
        <v/>
      </c>
      <c r="AR997" s="3">
        <f>IF(AND(L997&lt;&gt;"",'Historical Score'!$C$5&lt;&gt;""),IF(L997='Historical Score'!$C$5,1,0),0)</f>
        <v/>
      </c>
      <c r="AS997" s="3">
        <f>IF(AND(Y997&lt;&gt;"",'Historical Score'!$C$7&lt;&gt;""),IF(Y997='Historical Score'!$C$7,1,0),0)</f>
        <v/>
      </c>
      <c r="AT997" s="3">
        <f>IF(AND(K997&lt;&gt;"",'Historical Score'!$C$8&lt;&gt;""),IF(K997='Historical Score'!$C$8,1,0),0)</f>
        <v/>
      </c>
      <c r="AU997" s="3" t="n"/>
      <c r="AV997" s="3" t="n"/>
      <c r="AW997" s="3" t="n"/>
      <c r="AX997" s="3" t="n"/>
      <c r="AY997" s="3" t="n"/>
      <c r="AZ997" s="3" t="n"/>
      <c r="BA997" s="182">
        <f>IF(AD997=1,(AR997*'Historical Score'!$K$29+1-'Historical Score'!$K$29)*(AT997*'Historical Score'!$L$29+1-'Historical Score'!$L$29)*(AS997*'Historical Score'!$M$29+1-'Historical Score'!$M$29)*(AQ997*'Historical Score'!$N$29+1-'Historical Score'!$N$29),0)</f>
        <v/>
      </c>
      <c r="BB997" s="3" t="n"/>
      <c r="BC997" s="3" t="n"/>
    </row>
    <row r="998" ht="15.75" customHeight="1" s="174">
      <c r="A998" s="3" t="inlineStr">
        <is>
          <t>5674186503</t>
        </is>
      </c>
      <c r="B998" s="3" t="inlineStr">
        <is>
          <t>Nexus Contracting</t>
        </is>
      </c>
      <c r="C998" s="3" t="inlineStr">
        <is>
          <t>NEXUS CONTRACTING LLC</t>
        </is>
      </c>
      <c r="D998" s="3" t="inlineStr">
        <is>
          <t>Open</t>
        </is>
      </c>
      <c r="E998" s="23" t="n">
        <v>46204</v>
      </c>
      <c r="F998" s="23" t="n">
        <v>46248</v>
      </c>
      <c r="G998" s="3" t="n">
        <v>3</v>
      </c>
      <c r="H998" s="3" t="inlineStr">
        <is>
          <t>1521</t>
        </is>
      </c>
      <c r="I998" s="3" t="inlineStr">
        <is>
          <t>15</t>
        </is>
      </c>
      <c r="J998" s="3" t="inlineStr">
        <is>
          <t>TX</t>
        </is>
      </c>
      <c r="K998" s="3" t="inlineStr">
        <is>
          <t>United Secured Capital 8</t>
        </is>
      </c>
      <c r="L998" s="3" t="inlineStr">
        <is>
          <t>New Deal</t>
        </is>
      </c>
      <c r="M998" s="3" t="n">
        <v>1.49</v>
      </c>
      <c r="N998" s="28" t="n">
        <v>15000</v>
      </c>
      <c r="O998" s="28" t="n">
        <v>2100</v>
      </c>
      <c r="P998" s="28" t="n">
        <v>22350</v>
      </c>
      <c r="Q998" s="28" t="n">
        <v>3653.61</v>
      </c>
      <c r="R998" s="28" t="n">
        <v>18696.39</v>
      </c>
      <c r="S998" s="42" t="n">
        <v>0.163472483221477</v>
      </c>
      <c r="T998" s="3" t="n">
        <v>20</v>
      </c>
      <c r="U998" s="3" t="n">
        <v>0</v>
      </c>
      <c r="V998" s="3" t="n">
        <v>73423.09</v>
      </c>
      <c r="W998" s="42" t="n">
        <v>0.0609</v>
      </c>
      <c r="X998" s="23" t="n">
        <v>45826</v>
      </c>
      <c r="Y998" s="3">
        <f>IF(I998="","No SIC",IFERROR(VLOOKUP(I998,Ref!$A$2:$B$65,2,FALSE()),"Unclassified"))</f>
        <v/>
      </c>
      <c r="Z998" s="3">
        <f>IF(T998="","",IF(T998&lt;12,"Daily","Weekly"))</f>
        <v/>
      </c>
      <c r="AA998" s="3">
        <f>IF(T998="",0,IF(T998&lt;12,T998*Controls!$B$13,T998*5))</f>
        <v/>
      </c>
      <c r="AB998" s="3">
        <f>IF(E998="",0,NETWORKDAYS(E998,Controls!$B$20,Ref!$K$2:$K$42))</f>
        <v/>
      </c>
      <c r="AC998" s="3">
        <f>IF(OR(AF998=1,AND(AA998&gt;0,AB998&gt;=Controls!$B$23*AA998)),1,0)</f>
        <v/>
      </c>
      <c r="AD998" s="3">
        <f>IF(AND(E998&lt;&gt;"",E998&gt;=Controls!$B$21,E998&lt;=Controls!$B$22),1,0)</f>
        <v/>
      </c>
      <c r="AE998" s="3">
        <f>IF(IFERROR(VLOOKUP(D998,Controls!$A$36:$E$46,2,FALSE()),"No")="Yes",1,0)</f>
        <v/>
      </c>
      <c r="AF998" s="3">
        <f>IF(IFERROR(VLOOKUP(D998,Controls!$A$36:$E$46,3,FALSE()),"No")="Yes",1,0)</f>
        <v/>
      </c>
      <c r="AG998" s="3">
        <f>IF(IFERROR(VLOOKUP(D998,Controls!$A$36:$E$46,4,FALSE()),"No")="Yes",1,0)</f>
        <v/>
      </c>
      <c r="AH998" s="3">
        <f>IF(IFERROR(VLOOKUP(D998,Controls!$A$36:$E$46,5,FALSE()),"No")="Yes",1,0)</f>
        <v/>
      </c>
      <c r="AI998" s="3">
        <f>IF(ISNUMBER(MATCH(D998,Controls!$A$36:$A$46,0)),1,0)</f>
        <v/>
      </c>
      <c r="AJ998" s="28">
        <f>Q998-N998</f>
        <v/>
      </c>
      <c r="AK998" s="3">
        <f>IF(AE998=1,MAX(0,N998-Q998),0)</f>
        <v/>
      </c>
      <c r="AL998" s="3">
        <f>IF(OR(V998="",V998=0),0,N998/V998)</f>
        <v/>
      </c>
      <c r="AM998" s="3">
        <f>IF(OR(V998="",V998=0),0,1)</f>
        <v/>
      </c>
      <c r="AN998" s="3">
        <f>IF(OR(E998="",F998=""),0,NETWORKDAYS(E998,F998,Ref!$K$2:$K$42))</f>
        <v/>
      </c>
      <c r="AO998" s="3">
        <f>IF(L998="Renewal",1,0)</f>
        <v/>
      </c>
      <c r="AP998" s="3">
        <f>AC998*AD998</f>
        <v/>
      </c>
      <c r="AQ998" s="3">
        <f>IF(AND(G998&lt;&gt;"",'Historical Score'!$C$6&lt;&gt;""),IF(G998='Historical Score'!$C$6,1,0),0)</f>
        <v/>
      </c>
      <c r="AR998" s="3">
        <f>IF(AND(L998&lt;&gt;"",'Historical Score'!$C$5&lt;&gt;""),IF(L998='Historical Score'!$C$5,1,0),0)</f>
        <v/>
      </c>
      <c r="AS998" s="3">
        <f>IF(AND(Y998&lt;&gt;"",'Historical Score'!$C$7&lt;&gt;""),IF(Y998='Historical Score'!$C$7,1,0),0)</f>
        <v/>
      </c>
      <c r="AT998" s="3">
        <f>IF(AND(K998&lt;&gt;"",'Historical Score'!$C$8&lt;&gt;""),IF(K998='Historical Score'!$C$8,1,0),0)</f>
        <v/>
      </c>
      <c r="AU998" s="3" t="n"/>
      <c r="AV998" s="3" t="n"/>
      <c r="AW998" s="3" t="n"/>
      <c r="AX998" s="3" t="n"/>
      <c r="AY998" s="3" t="n"/>
      <c r="AZ998" s="3" t="n"/>
      <c r="BA998" s="182">
        <f>IF(AD998=1,(AR998*'Historical Score'!$K$29+1-'Historical Score'!$K$29)*(AT998*'Historical Score'!$L$29+1-'Historical Score'!$L$29)*(AS998*'Historical Score'!$M$29+1-'Historical Score'!$M$29)*(AQ998*'Historical Score'!$N$29+1-'Historical Score'!$N$29),0)</f>
        <v/>
      </c>
      <c r="BB998" s="3" t="n"/>
      <c r="BC998" s="3" t="n"/>
    </row>
    <row r="999" ht="15.75" customHeight="1" s="174">
      <c r="A999" s="3" t="inlineStr">
        <is>
          <t>5674186521</t>
        </is>
      </c>
      <c r="B999" s="3" t="inlineStr">
        <is>
          <t>ROUSNY LLC</t>
        </is>
      </c>
      <c r="C999" s="3" t="inlineStr">
        <is>
          <t>ROUSNY LLC</t>
        </is>
      </c>
      <c r="D999" s="3" t="inlineStr">
        <is>
          <t>Open</t>
        </is>
      </c>
      <c r="E999" s="23" t="n">
        <v>46204</v>
      </c>
      <c r="F999" s="23" t="n">
        <v>46253</v>
      </c>
      <c r="G999" s="3" t="n">
        <v>3</v>
      </c>
      <c r="H999" s="3" t="inlineStr">
        <is>
          <t>5999</t>
        </is>
      </c>
      <c r="I999" s="3" t="inlineStr">
        <is>
          <t>59</t>
        </is>
      </c>
      <c r="J999" s="3" t="inlineStr">
        <is>
          <t>FL</t>
        </is>
      </c>
      <c r="K999" s="3" t="inlineStr">
        <is>
          <t>Fundwell</t>
        </is>
      </c>
      <c r="L999" s="3" t="inlineStr">
        <is>
          <t>New Deal</t>
        </is>
      </c>
      <c r="M999" s="3" t="n">
        <v>1.42</v>
      </c>
      <c r="N999" s="28" t="n">
        <v>5000</v>
      </c>
      <c r="O999" s="28" t="n">
        <v>525</v>
      </c>
      <c r="P999" s="28" t="n">
        <v>7100</v>
      </c>
      <c r="Q999" s="28" t="n">
        <v>2344.32</v>
      </c>
      <c r="R999" s="28" t="n">
        <v>4755.68</v>
      </c>
      <c r="S999" s="42" t="n">
        <v>0.330185915492958</v>
      </c>
      <c r="T999" s="3" t="n">
        <v>3.279</v>
      </c>
      <c r="U999" s="3" t="n">
        <v>3</v>
      </c>
      <c r="V999" s="3" t="n">
        <v>19078.51</v>
      </c>
      <c r="W999" s="42" t="n">
        <v>0.07820000000000001</v>
      </c>
      <c r="X999" s="23" t="n">
        <v>45733</v>
      </c>
      <c r="Y999" s="3">
        <f>IF(I999="","No SIC",IFERROR(VLOOKUP(I999,Ref!$A$2:$B$65,2,FALSE()),"Unclassified"))</f>
        <v/>
      </c>
      <c r="Z999" s="3">
        <f>IF(T999="","",IF(T999&lt;12,"Daily","Weekly"))</f>
        <v/>
      </c>
      <c r="AA999" s="3">
        <f>IF(T999="",0,IF(T999&lt;12,T999*Controls!$B$13,T999*5))</f>
        <v/>
      </c>
      <c r="AB999" s="3">
        <f>IF(E999="",0,NETWORKDAYS(E999,Controls!$B$20,Ref!$K$2:$K$42))</f>
        <v/>
      </c>
      <c r="AC999" s="3">
        <f>IF(OR(AF999=1,AND(AA999&gt;0,AB999&gt;=Controls!$B$23*AA999)),1,0)</f>
        <v/>
      </c>
      <c r="AD999" s="3">
        <f>IF(AND(E999&lt;&gt;"",E999&gt;=Controls!$B$21,E999&lt;=Controls!$B$22),1,0)</f>
        <v/>
      </c>
      <c r="AE999" s="3">
        <f>IF(IFERROR(VLOOKUP(D999,Controls!$A$36:$E$46,2,FALSE()),"No")="Yes",1,0)</f>
        <v/>
      </c>
      <c r="AF999" s="3">
        <f>IF(IFERROR(VLOOKUP(D999,Controls!$A$36:$E$46,3,FALSE()),"No")="Yes",1,0)</f>
        <v/>
      </c>
      <c r="AG999" s="3">
        <f>IF(IFERROR(VLOOKUP(D999,Controls!$A$36:$E$46,4,FALSE()),"No")="Yes",1,0)</f>
        <v/>
      </c>
      <c r="AH999" s="3">
        <f>IF(IFERROR(VLOOKUP(D999,Controls!$A$36:$E$46,5,FALSE()),"No")="Yes",1,0)</f>
        <v/>
      </c>
      <c r="AI999" s="3">
        <f>IF(ISNUMBER(MATCH(D999,Controls!$A$36:$A$46,0)),1,0)</f>
        <v/>
      </c>
      <c r="AJ999" s="28">
        <f>Q999-N999</f>
        <v/>
      </c>
      <c r="AK999" s="3">
        <f>IF(AE999=1,MAX(0,N999-Q999),0)</f>
        <v/>
      </c>
      <c r="AL999" s="3">
        <f>IF(OR(V999="",V999=0),0,N999/V999)</f>
        <v/>
      </c>
      <c r="AM999" s="3">
        <f>IF(OR(V999="",V999=0),0,1)</f>
        <v/>
      </c>
      <c r="AN999" s="3">
        <f>IF(OR(E999="",F999=""),0,NETWORKDAYS(E999,F999,Ref!$K$2:$K$42))</f>
        <v/>
      </c>
      <c r="AO999" s="3">
        <f>IF(L999="Renewal",1,0)</f>
        <v/>
      </c>
      <c r="AP999" s="3">
        <f>AC999*AD999</f>
        <v/>
      </c>
      <c r="AQ999" s="3">
        <f>IF(AND(G999&lt;&gt;"",'Historical Score'!$C$6&lt;&gt;""),IF(G999='Historical Score'!$C$6,1,0),0)</f>
        <v/>
      </c>
      <c r="AR999" s="3">
        <f>IF(AND(L999&lt;&gt;"",'Historical Score'!$C$5&lt;&gt;""),IF(L999='Historical Score'!$C$5,1,0),0)</f>
        <v/>
      </c>
      <c r="AS999" s="3">
        <f>IF(AND(Y999&lt;&gt;"",'Historical Score'!$C$7&lt;&gt;""),IF(Y999='Historical Score'!$C$7,1,0),0)</f>
        <v/>
      </c>
      <c r="AT999" s="3">
        <f>IF(AND(K999&lt;&gt;"",'Historical Score'!$C$8&lt;&gt;""),IF(K999='Historical Score'!$C$8,1,0),0)</f>
        <v/>
      </c>
      <c r="AU999" s="3" t="n"/>
      <c r="AV999" s="3" t="n"/>
      <c r="AW999" s="3" t="n"/>
      <c r="AX999" s="3" t="n"/>
      <c r="AY999" s="3" t="n"/>
      <c r="AZ999" s="3" t="n"/>
      <c r="BA999" s="182">
        <f>IF(AD999=1,(AR999*'Historical Score'!$K$29+1-'Historical Score'!$K$29)*(AT999*'Historical Score'!$L$29+1-'Historical Score'!$L$29)*(AS999*'Historical Score'!$M$29+1-'Historical Score'!$M$29)*(AQ999*'Historical Score'!$N$29+1-'Historical Score'!$N$29),0)</f>
        <v/>
      </c>
      <c r="BB999" s="3" t="n"/>
      <c r="BC999" s="3" t="n"/>
    </row>
    <row r="1000" ht="15.75" customHeight="1" s="174">
      <c r="A1000" s="3" t="inlineStr">
        <is>
          <t>5674186593</t>
        </is>
      </c>
      <c r="B1000" s="3" t="inlineStr">
        <is>
          <t>vecs group llc</t>
        </is>
      </c>
      <c r="C1000" s="3" t="inlineStr">
        <is>
          <t>vecs group llc</t>
        </is>
      </c>
      <c r="D1000" s="3" t="inlineStr">
        <is>
          <t>Open</t>
        </is>
      </c>
      <c r="E1000" s="23" t="n">
        <v>46205</v>
      </c>
      <c r="F1000" s="23" t="n">
        <v>46247</v>
      </c>
      <c r="G1000" s="3" t="n">
        <v>3</v>
      </c>
      <c r="H1000" s="3" t="inlineStr">
        <is>
          <t>5999</t>
        </is>
      </c>
      <c r="I1000" s="3" t="inlineStr">
        <is>
          <t>59</t>
        </is>
      </c>
      <c r="J1000" s="3" t="inlineStr">
        <is>
          <t>FL</t>
        </is>
      </c>
      <c r="K1000" s="3" t="inlineStr">
        <is>
          <t>The Funding Channel</t>
        </is>
      </c>
      <c r="L1000" s="3" t="inlineStr">
        <is>
          <t>Renewal</t>
        </is>
      </c>
      <c r="M1000" s="3" t="n">
        <v>1.49</v>
      </c>
      <c r="N1000" s="28" t="n">
        <v>25000</v>
      </c>
      <c r="O1000" s="28" t="n">
        <v>3500</v>
      </c>
      <c r="P1000" s="28" t="n">
        <v>37250</v>
      </c>
      <c r="Q1000" s="28" t="n">
        <v>7449.96</v>
      </c>
      <c r="R1000" s="28" t="n">
        <v>29800.04</v>
      </c>
      <c r="S1000" s="42" t="n">
        <v>0.199998926174497</v>
      </c>
      <c r="T1000" s="3" t="n">
        <v>30</v>
      </c>
      <c r="U1000" s="3" t="n">
        <v>0</v>
      </c>
      <c r="V1000" s="3" t="n">
        <v>47032.66</v>
      </c>
      <c r="W1000" s="42" t="n">
        <v>0.1056</v>
      </c>
      <c r="X1000" s="23" t="n">
        <v>44336</v>
      </c>
      <c r="Y1000" s="3">
        <f>IF(I1000="","No SIC",IFERROR(VLOOKUP(I1000,Ref!$A$2:$B$65,2,FALSE()),"Unclassified"))</f>
        <v/>
      </c>
      <c r="Z1000" s="3">
        <f>IF(T1000="","",IF(T1000&lt;12,"Daily","Weekly"))</f>
        <v/>
      </c>
      <c r="AA1000" s="3">
        <f>IF(T1000="",0,IF(T1000&lt;12,T1000*Controls!$B$13,T1000*5))</f>
        <v/>
      </c>
      <c r="AB1000" s="3">
        <f>IF(E1000="",0,NETWORKDAYS(E1000,Controls!$B$20,Ref!$K$2:$K$42))</f>
        <v/>
      </c>
      <c r="AC1000" s="3">
        <f>IF(OR(AF1000=1,AND(AA1000&gt;0,AB1000&gt;=Controls!$B$23*AA1000)),1,0)</f>
        <v/>
      </c>
      <c r="AD1000" s="3">
        <f>IF(AND(E1000&lt;&gt;"",E1000&gt;=Controls!$B$21,E1000&lt;=Controls!$B$22),1,0)</f>
        <v/>
      </c>
      <c r="AE1000" s="3">
        <f>IF(IFERROR(VLOOKUP(D1000,Controls!$A$36:$E$46,2,FALSE()),"No")="Yes",1,0)</f>
        <v/>
      </c>
      <c r="AF1000" s="3">
        <f>IF(IFERROR(VLOOKUP(D1000,Controls!$A$36:$E$46,3,FALSE()),"No")="Yes",1,0)</f>
        <v/>
      </c>
      <c r="AG1000" s="3">
        <f>IF(IFERROR(VLOOKUP(D1000,Controls!$A$36:$E$46,4,FALSE()),"No")="Yes",1,0)</f>
        <v/>
      </c>
      <c r="AH1000" s="3">
        <f>IF(IFERROR(VLOOKUP(D1000,Controls!$A$36:$E$46,5,FALSE()),"No")="Yes",1,0)</f>
        <v/>
      </c>
      <c r="AI1000" s="3">
        <f>IF(ISNUMBER(MATCH(D1000,Controls!$A$36:$A$46,0)),1,0)</f>
        <v/>
      </c>
      <c r="AJ1000" s="28">
        <f>Q1000-N1000</f>
        <v/>
      </c>
      <c r="AK1000" s="3">
        <f>IF(AE1000=1,MAX(0,N1000-Q1000),0)</f>
        <v/>
      </c>
      <c r="AL1000" s="3">
        <f>IF(OR(V1000="",V1000=0),0,N1000/V1000)</f>
        <v/>
      </c>
      <c r="AM1000" s="3">
        <f>IF(OR(V1000="",V1000=0),0,1)</f>
        <v/>
      </c>
      <c r="AN1000" s="3">
        <f>IF(OR(E1000="",F1000=""),0,NETWORKDAYS(E1000,F1000,Ref!$K$2:$K$42))</f>
        <v/>
      </c>
      <c r="AO1000" s="3">
        <f>IF(L1000="Renewal",1,0)</f>
        <v/>
      </c>
      <c r="AP1000" s="3">
        <f>AC1000*AD1000</f>
        <v/>
      </c>
      <c r="AQ1000" s="3">
        <f>IF(AND(G1000&lt;&gt;"",'Historical Score'!$C$6&lt;&gt;""),IF(G1000='Historical Score'!$C$6,1,0),0)</f>
        <v/>
      </c>
      <c r="AR1000" s="3">
        <f>IF(AND(L1000&lt;&gt;"",'Historical Score'!$C$5&lt;&gt;""),IF(L1000='Historical Score'!$C$5,1,0),0)</f>
        <v/>
      </c>
      <c r="AS1000" s="3">
        <f>IF(AND(Y1000&lt;&gt;"",'Historical Score'!$C$7&lt;&gt;""),IF(Y1000='Historical Score'!$C$7,1,0),0)</f>
        <v/>
      </c>
      <c r="AT1000" s="3">
        <f>IF(AND(K1000&lt;&gt;"",'Historical Score'!$C$8&lt;&gt;""),IF(K1000='Historical Score'!$C$8,1,0),0)</f>
        <v/>
      </c>
      <c r="AU1000" s="3" t="n"/>
      <c r="AV1000" s="3" t="n"/>
      <c r="AW1000" s="3" t="n"/>
      <c r="AX1000" s="3" t="n"/>
      <c r="AY1000" s="3" t="n"/>
      <c r="AZ1000" s="3" t="n"/>
      <c r="BA1000" s="182">
        <f>IF(AD1000=1,(AR1000*'Historical Score'!$K$29+1-'Historical Score'!$K$29)*(AT1000*'Historical Score'!$L$29+1-'Historical Score'!$L$29)*(AS1000*'Historical Score'!$M$29+1-'Historical Score'!$M$29)*(AQ1000*'Historical Score'!$N$29+1-'Historical Score'!$N$29),0)</f>
        <v/>
      </c>
      <c r="BB1000" s="3" t="n"/>
      <c r="BC1000" s="3" t="n"/>
    </row>
    <row r="1001" ht="15" customHeight="1" s="174">
      <c r="A1001" s="3" t="inlineStr">
        <is>
          <t>5674186624</t>
        </is>
      </c>
      <c r="B1001" s="3" t="inlineStr">
        <is>
          <t>Senter Consulting Inc</t>
        </is>
      </c>
      <c r="C1001" s="3" t="inlineStr">
        <is>
          <t>Senter Consulting Inc</t>
        </is>
      </c>
      <c r="D1001" s="3" t="inlineStr">
        <is>
          <t>Open</t>
        </is>
      </c>
      <c r="E1001" s="23" t="n">
        <v>46205</v>
      </c>
      <c r="F1001" s="23" t="n">
        <v>46248</v>
      </c>
      <c r="G1001" s="3" t="n">
        <v>3</v>
      </c>
      <c r="H1001" s="3" t="inlineStr">
        <is>
          <t>8742</t>
        </is>
      </c>
      <c r="I1001" s="3" t="inlineStr">
        <is>
          <t>87</t>
        </is>
      </c>
      <c r="J1001" s="3" t="inlineStr">
        <is>
          <t>MD</t>
        </is>
      </c>
      <c r="K1001" s="3" t="inlineStr">
        <is>
          <t>PMF</t>
        </is>
      </c>
      <c r="L1001" s="3" t="inlineStr">
        <is>
          <t>New Deal</t>
        </is>
      </c>
      <c r="M1001" s="3" t="n">
        <v>1.43</v>
      </c>
      <c r="N1001" s="28" t="n">
        <v>20000</v>
      </c>
      <c r="O1001" s="28" t="n">
        <v>2200</v>
      </c>
      <c r="P1001" s="28" t="n">
        <v>28600</v>
      </c>
      <c r="Q1001" s="28" t="n">
        <v>5721.06</v>
      </c>
      <c r="R1001" s="28" t="n">
        <v>22878.94</v>
      </c>
      <c r="S1001" s="42" t="n">
        <v>0.200037062937063</v>
      </c>
      <c r="T1001" s="3" t="n">
        <v>30</v>
      </c>
      <c r="U1001" s="3" t="n">
        <v>0</v>
      </c>
      <c r="V1001" s="3" t="n">
        <v>28734.87</v>
      </c>
      <c r="W1001" s="42" t="n">
        <v>0.1037</v>
      </c>
      <c r="X1001" s="23" t="n">
        <v>34394</v>
      </c>
      <c r="Y1001" s="3">
        <f>IF(I1001="","No SIC",IFERROR(VLOOKUP(I1001,Ref!$A$2:$B$65,2,FALSE()),"Unclassified"))</f>
        <v/>
      </c>
      <c r="Z1001" s="3">
        <f>IF(T1001="","",IF(T1001&lt;12,"Daily","Weekly"))</f>
        <v/>
      </c>
      <c r="AA1001" s="3">
        <f>IF(T1001="",0,IF(T1001&lt;12,T1001*Controls!$B$13,T1001*5))</f>
        <v/>
      </c>
      <c r="AB1001" s="3">
        <f>IF(E1001="",0,NETWORKDAYS(E1001,Controls!$B$20,Ref!$K$2:$K$42))</f>
        <v/>
      </c>
      <c r="AC1001" s="3">
        <f>IF(OR(AF1001=1,AND(AA1001&gt;0,AB1001&gt;=Controls!$B$23*AA1001)),1,0)</f>
        <v/>
      </c>
      <c r="AD1001" s="3">
        <f>IF(AND(E1001&lt;&gt;"",E1001&gt;=Controls!$B$21,E1001&lt;=Controls!$B$22),1,0)</f>
        <v/>
      </c>
      <c r="AE1001" s="3">
        <f>IF(IFERROR(VLOOKUP(D1001,Controls!$A$36:$E$46,2,FALSE()),"No")="Yes",1,0)</f>
        <v/>
      </c>
      <c r="AF1001" s="3">
        <f>IF(IFERROR(VLOOKUP(D1001,Controls!$A$36:$E$46,3,FALSE()),"No")="Yes",1,0)</f>
        <v/>
      </c>
      <c r="AG1001" s="3">
        <f>IF(IFERROR(VLOOKUP(D1001,Controls!$A$36:$E$46,4,FALSE()),"No")="Yes",1,0)</f>
        <v/>
      </c>
      <c r="AH1001" s="3">
        <f>IF(IFERROR(VLOOKUP(D1001,Controls!$A$36:$E$46,5,FALSE()),"No")="Yes",1,0)</f>
        <v/>
      </c>
      <c r="AI1001" s="3">
        <f>IF(ISNUMBER(MATCH(D1001,Controls!$A$36:$A$46,0)),1,0)</f>
        <v/>
      </c>
      <c r="AJ1001" s="28">
        <f>Q1001-N1001</f>
        <v/>
      </c>
      <c r="AK1001" s="3">
        <f>IF(AE1001=1,MAX(0,N1001-Q1001),0)</f>
        <v/>
      </c>
      <c r="AL1001" s="3">
        <f>IF(OR(V1001="",V1001=0),0,N1001/V1001)</f>
        <v/>
      </c>
      <c r="AM1001" s="3">
        <f>IF(OR(V1001="",V1001=0),0,1)</f>
        <v/>
      </c>
      <c r="AN1001" s="3">
        <f>IF(OR(E1001="",F1001=""),0,NETWORKDAYS(E1001,F1001,Ref!$K$2:$K$42))</f>
        <v/>
      </c>
      <c r="AO1001" s="3">
        <f>IF(L1001="Renewal",1,0)</f>
        <v/>
      </c>
      <c r="AP1001" s="3">
        <f>AC1001*AD1001</f>
        <v/>
      </c>
      <c r="AQ1001" s="3">
        <f>IF(AND(G1001&lt;&gt;"",'Historical Score'!$C$6&lt;&gt;""),IF(G1001='Historical Score'!$C$6,1,0),0)</f>
        <v/>
      </c>
      <c r="AR1001" s="3">
        <f>IF(AND(L1001&lt;&gt;"",'Historical Score'!$C$5&lt;&gt;""),IF(L1001='Historical Score'!$C$5,1,0),0)</f>
        <v/>
      </c>
      <c r="AS1001" s="3">
        <f>IF(AND(Y1001&lt;&gt;"",'Historical Score'!$C$7&lt;&gt;""),IF(Y1001='Historical Score'!$C$7,1,0),0)</f>
        <v/>
      </c>
      <c r="AT1001" s="3">
        <f>IF(AND(K1001&lt;&gt;"",'Historical Score'!$C$8&lt;&gt;""),IF(K1001='Historical Score'!$C$8,1,0),0)</f>
        <v/>
      </c>
      <c r="AU1001" s="3" t="n"/>
      <c r="AV1001" s="3" t="n"/>
      <c r="AW1001" s="3" t="n"/>
      <c r="AX1001" s="3" t="n"/>
      <c r="AY1001" s="3" t="n"/>
      <c r="AZ1001" s="3" t="n"/>
      <c r="BA1001" s="182">
        <f>IF(AD1001=1,(AR1001*'Historical Score'!$K$29+1-'Historical Score'!$K$29)*(AT1001*'Historical Score'!$L$29+1-'Historical Score'!$L$29)*(AS1001*'Historical Score'!$M$29+1-'Historical Score'!$M$29)*(AQ1001*'Historical Score'!$N$29+1-'Historical Score'!$N$29),0)</f>
        <v/>
      </c>
      <c r="BB1001" s="3" t="n"/>
      <c r="BC1001" s="3" t="n"/>
    </row>
    <row r="1002" ht="15" customHeight="1" s="174">
      <c r="A1002" s="3" t="inlineStr">
        <is>
          <t>5674186679</t>
        </is>
      </c>
      <c r="B1002" s="3" t="inlineStr">
        <is>
          <t>AMDF SOLUTIONS CORP</t>
        </is>
      </c>
      <c r="C1002" s="3" t="inlineStr">
        <is>
          <t>AMDF SOLUTIONS CORP</t>
        </is>
      </c>
      <c r="D1002" s="3" t="inlineStr">
        <is>
          <t>Legal</t>
        </is>
      </c>
      <c r="E1002" s="23" t="n">
        <v>46209</v>
      </c>
      <c r="F1002" s="23" t="n">
        <v>46252</v>
      </c>
      <c r="G1002" s="3" t="n">
        <v>3</v>
      </c>
      <c r="H1002" s="3" t="inlineStr">
        <is>
          <t>5399</t>
        </is>
      </c>
      <c r="I1002" s="3" t="inlineStr">
        <is>
          <t>53</t>
        </is>
      </c>
      <c r="J1002" s="3" t="inlineStr">
        <is>
          <t>FL</t>
        </is>
      </c>
      <c r="K1002" s="3" t="inlineStr">
        <is>
          <t>Fundible</t>
        </is>
      </c>
      <c r="L1002" s="3" t="inlineStr">
        <is>
          <t>New Deal</t>
        </is>
      </c>
      <c r="M1002" s="3" t="n">
        <v>1.49</v>
      </c>
      <c r="N1002" s="28" t="n">
        <v>20000</v>
      </c>
      <c r="O1002" s="28" t="n">
        <v>2800</v>
      </c>
      <c r="P1002" s="28" t="n">
        <v>29800</v>
      </c>
      <c r="Q1002" s="28" t="n">
        <v>1191.48</v>
      </c>
      <c r="R1002" s="28" t="n">
        <v>28608.52</v>
      </c>
      <c r="S1002" s="42" t="n">
        <v>0.0399825503355705</v>
      </c>
      <c r="T1002" s="3" t="n">
        <v>30</v>
      </c>
      <c r="U1002" s="3" t="n">
        <v>7</v>
      </c>
      <c r="V1002" s="3" t="n">
        <v>38373.13</v>
      </c>
      <c r="W1002" s="42" t="n">
        <v>0.1035</v>
      </c>
      <c r="X1002" s="23" t="n">
        <v>44838</v>
      </c>
      <c r="Y1002" s="3">
        <f>IF(I1002="","No SIC",IFERROR(VLOOKUP(I1002,Ref!$A$2:$B$65,2,FALSE()),"Unclassified"))</f>
        <v/>
      </c>
      <c r="Z1002" s="3">
        <f>IF(T1002="","",IF(T1002&lt;12,"Daily","Weekly"))</f>
        <v/>
      </c>
      <c r="AA1002" s="3">
        <f>IF(T1002="",0,IF(T1002&lt;12,T1002*Controls!$B$13,T1002*5))</f>
        <v/>
      </c>
      <c r="AB1002" s="3">
        <f>IF(E1002="",0,NETWORKDAYS(E1002,Controls!$B$20,Ref!$K$2:$K$42))</f>
        <v/>
      </c>
      <c r="AC1002" s="3">
        <f>IF(OR(AF1002=1,AND(AA1002&gt;0,AB1002&gt;=Controls!$B$23*AA1002)),1,0)</f>
        <v/>
      </c>
      <c r="AD1002" s="3">
        <f>IF(AND(E1002&lt;&gt;"",E1002&gt;=Controls!$B$21,E1002&lt;=Controls!$B$22),1,0)</f>
        <v/>
      </c>
      <c r="AE1002" s="3">
        <f>IF(IFERROR(VLOOKUP(D1002,Controls!$A$36:$E$46,2,FALSE()),"No")="Yes",1,0)</f>
        <v/>
      </c>
      <c r="AF1002" s="3">
        <f>IF(IFERROR(VLOOKUP(D1002,Controls!$A$36:$E$46,3,FALSE()),"No")="Yes",1,0)</f>
        <v/>
      </c>
      <c r="AG1002" s="3">
        <f>IF(IFERROR(VLOOKUP(D1002,Controls!$A$36:$E$46,4,FALSE()),"No")="Yes",1,0)</f>
        <v/>
      </c>
      <c r="AH1002" s="3">
        <f>IF(IFERROR(VLOOKUP(D1002,Controls!$A$36:$E$46,5,FALSE()),"No")="Yes",1,0)</f>
        <v/>
      </c>
      <c r="AI1002" s="3">
        <f>IF(ISNUMBER(MATCH(D1002,Controls!$A$36:$A$46,0)),1,0)</f>
        <v/>
      </c>
      <c r="AJ1002" s="28">
        <f>Q1002-N1002</f>
        <v/>
      </c>
      <c r="AK1002" s="3">
        <f>IF(AE1002=1,MAX(0,N1002-Q1002),0)</f>
        <v/>
      </c>
      <c r="AL1002" s="3">
        <f>IF(OR(V1002="",V1002=0),0,N1002/V1002)</f>
        <v/>
      </c>
      <c r="AM1002" s="3">
        <f>IF(OR(V1002="",V1002=0),0,1)</f>
        <v/>
      </c>
      <c r="AN1002" s="3">
        <f>IF(OR(E1002="",F1002=""),0,NETWORKDAYS(E1002,F1002,Ref!$K$2:$K$42))</f>
        <v/>
      </c>
      <c r="AO1002" s="3">
        <f>IF(L1002="Renewal",1,0)</f>
        <v/>
      </c>
      <c r="AP1002" s="3">
        <f>AC1002*AD1002</f>
        <v/>
      </c>
      <c r="AQ1002" s="3">
        <f>IF(AND(G1002&lt;&gt;"",'Historical Score'!$C$6&lt;&gt;""),IF(G1002='Historical Score'!$C$6,1,0),0)</f>
        <v/>
      </c>
      <c r="AR1002" s="3">
        <f>IF(AND(L1002&lt;&gt;"",'Historical Score'!$C$5&lt;&gt;""),IF(L1002='Historical Score'!$C$5,1,0),0)</f>
        <v/>
      </c>
      <c r="AS1002" s="3">
        <f>IF(AND(Y1002&lt;&gt;"",'Historical Score'!$C$7&lt;&gt;""),IF(Y1002='Historical Score'!$C$7,1,0),0)</f>
        <v/>
      </c>
      <c r="AT1002" s="3">
        <f>IF(AND(K1002&lt;&gt;"",'Historical Score'!$C$8&lt;&gt;""),IF(K1002='Historical Score'!$C$8,1,0),0)</f>
        <v/>
      </c>
      <c r="AU1002" s="3" t="n"/>
      <c r="AV1002" s="3" t="n"/>
      <c r="AW1002" s="3" t="n"/>
      <c r="AX1002" s="3" t="n"/>
      <c r="AY1002" s="3" t="n"/>
      <c r="AZ1002" s="3" t="n"/>
      <c r="BA1002" s="182">
        <f>IF(AD1002=1,(AR1002*'Historical Score'!$K$29+1-'Historical Score'!$K$29)*(AT1002*'Historical Score'!$L$29+1-'Historical Score'!$L$29)*(AS1002*'Historical Score'!$M$29+1-'Historical Score'!$M$29)*(AQ1002*'Historical Score'!$N$29+1-'Historical Score'!$N$29),0)</f>
        <v/>
      </c>
      <c r="BB1002" s="3" t="n"/>
      <c r="BC1002" s="3" t="n"/>
    </row>
    <row r="1003" ht="15" customHeight="1" s="174">
      <c r="A1003" s="3" t="inlineStr">
        <is>
          <t>5674186685</t>
        </is>
      </c>
      <c r="B1003" s="3" t="inlineStr">
        <is>
          <t>Sweet Racks &amp; Smokin' Butts BBQ</t>
        </is>
      </c>
      <c r="C1003" s="3" t="inlineStr">
        <is>
          <t>Sweet Racks &amp; Smokin' Butts BBQ LLC</t>
        </is>
      </c>
      <c r="D1003" s="3" t="inlineStr">
        <is>
          <t>In House Collection</t>
        </is>
      </c>
      <c r="E1003" s="23" t="n">
        <v>46209</v>
      </c>
      <c r="F1003" s="23" t="n">
        <v>46241</v>
      </c>
      <c r="G1003" s="3" t="n">
        <v>3</v>
      </c>
      <c r="H1003" s="3" t="inlineStr">
        <is>
          <t>5812</t>
        </is>
      </c>
      <c r="I1003" s="3" t="inlineStr">
        <is>
          <t>58</t>
        </is>
      </c>
      <c r="J1003" s="3" t="inlineStr">
        <is>
          <t>MI</t>
        </is>
      </c>
      <c r="K1003" s="3" t="inlineStr">
        <is>
          <t>Seacap</t>
        </is>
      </c>
      <c r="L1003" s="3" t="inlineStr">
        <is>
          <t>New Deal</t>
        </is>
      </c>
      <c r="M1003" s="3" t="n">
        <v>1.49</v>
      </c>
      <c r="N1003" s="28" t="n">
        <v>30000</v>
      </c>
      <c r="O1003" s="28" t="n">
        <v>0</v>
      </c>
      <c r="P1003" s="28" t="n">
        <v>44700</v>
      </c>
      <c r="Q1003" s="28" t="n">
        <v>6706.23</v>
      </c>
      <c r="R1003" s="28" t="n">
        <v>37993.77</v>
      </c>
      <c r="S1003" s="42" t="n">
        <v>0.150027516778524</v>
      </c>
      <c r="T1003" s="3" t="n">
        <v>20</v>
      </c>
      <c r="U1003" s="3" t="n">
        <v>2</v>
      </c>
      <c r="V1003" s="3" t="n">
        <v>100542.37</v>
      </c>
      <c r="W1003" s="42" t="n">
        <v>0.0982</v>
      </c>
      <c r="X1003" s="23" t="n">
        <v>43516</v>
      </c>
      <c r="Y1003" s="3">
        <f>IF(I1003="","No SIC",IFERROR(VLOOKUP(I1003,Ref!$A$2:$B$65,2,FALSE()),"Unclassified"))</f>
        <v/>
      </c>
      <c r="Z1003" s="3">
        <f>IF(T1003="","",IF(T1003&lt;12,"Daily","Weekly"))</f>
        <v/>
      </c>
      <c r="AA1003" s="3">
        <f>IF(T1003="",0,IF(T1003&lt;12,T1003*Controls!$B$13,T1003*5))</f>
        <v/>
      </c>
      <c r="AB1003" s="3">
        <f>IF(E1003="",0,NETWORKDAYS(E1003,Controls!$B$20,Ref!$K$2:$K$42))</f>
        <v/>
      </c>
      <c r="AC1003" s="3">
        <f>IF(OR(AF1003=1,AND(AA1003&gt;0,AB1003&gt;=Controls!$B$23*AA1003)),1,0)</f>
        <v/>
      </c>
      <c r="AD1003" s="3">
        <f>IF(AND(E1003&lt;&gt;"",E1003&gt;=Controls!$B$21,E1003&lt;=Controls!$B$22),1,0)</f>
        <v/>
      </c>
      <c r="AE1003" s="3">
        <f>IF(IFERROR(VLOOKUP(D1003,Controls!$A$36:$E$46,2,FALSE()),"No")="Yes",1,0)</f>
        <v/>
      </c>
      <c r="AF1003" s="3">
        <f>IF(IFERROR(VLOOKUP(D1003,Controls!$A$36:$E$46,3,FALSE()),"No")="Yes",1,0)</f>
        <v/>
      </c>
      <c r="AG1003" s="3">
        <f>IF(IFERROR(VLOOKUP(D1003,Controls!$A$36:$E$46,4,FALSE()),"No")="Yes",1,0)</f>
        <v/>
      </c>
      <c r="AH1003" s="3">
        <f>IF(IFERROR(VLOOKUP(D1003,Controls!$A$36:$E$46,5,FALSE()),"No")="Yes",1,0)</f>
        <v/>
      </c>
      <c r="AI1003" s="3">
        <f>IF(ISNUMBER(MATCH(D1003,Controls!$A$36:$A$46,0)),1,0)</f>
        <v/>
      </c>
      <c r="AJ1003" s="28">
        <f>Q1003-N1003</f>
        <v/>
      </c>
      <c r="AK1003" s="3">
        <f>IF(AE1003=1,MAX(0,N1003-Q1003),0)</f>
        <v/>
      </c>
      <c r="AL1003" s="3">
        <f>IF(OR(V1003="",V1003=0),0,N1003/V1003)</f>
        <v/>
      </c>
      <c r="AM1003" s="3">
        <f>IF(OR(V1003="",V1003=0),0,1)</f>
        <v/>
      </c>
      <c r="AN1003" s="3">
        <f>IF(OR(E1003="",F1003=""),0,NETWORKDAYS(E1003,F1003,Ref!$K$2:$K$42))</f>
        <v/>
      </c>
      <c r="AO1003" s="3">
        <f>IF(L1003="Renewal",1,0)</f>
        <v/>
      </c>
      <c r="AP1003" s="3">
        <f>AC1003*AD1003</f>
        <v/>
      </c>
      <c r="AQ1003" s="3">
        <f>IF(AND(G1003&lt;&gt;"",'Historical Score'!$C$6&lt;&gt;""),IF(G1003='Historical Score'!$C$6,1,0),0)</f>
        <v/>
      </c>
      <c r="AR1003" s="3">
        <f>IF(AND(L1003&lt;&gt;"",'Historical Score'!$C$5&lt;&gt;""),IF(L1003='Historical Score'!$C$5,1,0),0)</f>
        <v/>
      </c>
      <c r="AS1003" s="3">
        <f>IF(AND(Y1003&lt;&gt;"",'Historical Score'!$C$7&lt;&gt;""),IF(Y1003='Historical Score'!$C$7,1,0),0)</f>
        <v/>
      </c>
      <c r="AT1003" s="3">
        <f>IF(AND(K1003&lt;&gt;"",'Historical Score'!$C$8&lt;&gt;""),IF(K1003='Historical Score'!$C$8,1,0),0)</f>
        <v/>
      </c>
      <c r="AU1003" s="3" t="n"/>
      <c r="AV1003" s="3" t="n"/>
      <c r="AW1003" s="3" t="n"/>
      <c r="AX1003" s="3" t="n"/>
      <c r="AY1003" s="3" t="n"/>
      <c r="AZ1003" s="3" t="n"/>
      <c r="BA1003" s="182">
        <f>IF(AD1003=1,(AR1003*'Historical Score'!$K$29+1-'Historical Score'!$K$29)*(AT1003*'Historical Score'!$L$29+1-'Historical Score'!$L$29)*(AS1003*'Historical Score'!$M$29+1-'Historical Score'!$M$29)*(AQ1003*'Historical Score'!$N$29+1-'Historical Score'!$N$29),0)</f>
        <v/>
      </c>
      <c r="BB1003" s="3" t="n"/>
      <c r="BC1003" s="3" t="n"/>
    </row>
    <row r="1004" ht="15" customHeight="1" s="174">
      <c r="A1004" s="3" t="inlineStr">
        <is>
          <t>5674186738</t>
        </is>
      </c>
      <c r="B1004" s="3" t="inlineStr">
        <is>
          <t>Finish line diner</t>
        </is>
      </c>
      <c r="C1004" s="3" t="inlineStr">
        <is>
          <t>SUMER D BOOHER</t>
        </is>
      </c>
      <c r="D1004" s="3" t="inlineStr">
        <is>
          <t>Open</t>
        </is>
      </c>
      <c r="E1004" s="23" t="n">
        <v>46209</v>
      </c>
      <c r="F1004" s="23" t="n">
        <v>46253</v>
      </c>
      <c r="G1004" s="3" t="n">
        <v>3</v>
      </c>
      <c r="H1004" s="3" t="inlineStr">
        <is>
          <t>5812</t>
        </is>
      </c>
      <c r="I1004" s="3" t="inlineStr">
        <is>
          <t>58</t>
        </is>
      </c>
      <c r="J1004" s="3" t="inlineStr">
        <is>
          <t>TN</t>
        </is>
      </c>
      <c r="K1004" s="3" t="inlineStr">
        <is>
          <t>peach tree capital</t>
        </is>
      </c>
      <c r="L1004" s="3" t="inlineStr">
        <is>
          <t>New Deal</t>
        </is>
      </c>
      <c r="M1004" s="3" t="n">
        <v>1.49</v>
      </c>
      <c r="N1004" s="28" t="n">
        <v>8000</v>
      </c>
      <c r="O1004" s="28" t="n">
        <v>1120</v>
      </c>
      <c r="P1004" s="28" t="n">
        <v>11920</v>
      </c>
      <c r="Q1004" s="28" t="n">
        <v>4925.59</v>
      </c>
      <c r="R1004" s="28" t="n">
        <v>6994.41</v>
      </c>
      <c r="S1004" s="42" t="n">
        <v>0.413220637583893</v>
      </c>
      <c r="T1004" s="3" t="n">
        <v>2.459</v>
      </c>
      <c r="U1004" s="3" t="n">
        <v>1</v>
      </c>
      <c r="V1004" s="3" t="n">
        <v>31597.8</v>
      </c>
      <c r="W1004" s="42" t="n">
        <v>0.1056</v>
      </c>
      <c r="X1004" s="23" t="n">
        <v>42962</v>
      </c>
      <c r="Y1004" s="3">
        <f>IF(I1004="","No SIC",IFERROR(VLOOKUP(I1004,Ref!$A$2:$B$65,2,FALSE()),"Unclassified"))</f>
        <v/>
      </c>
      <c r="Z1004" s="3">
        <f>IF(T1004="","",IF(T1004&lt;12,"Daily","Weekly"))</f>
        <v/>
      </c>
      <c r="AA1004" s="3">
        <f>IF(T1004="",0,IF(T1004&lt;12,T1004*Controls!$B$13,T1004*5))</f>
        <v/>
      </c>
      <c r="AB1004" s="3">
        <f>IF(E1004="",0,NETWORKDAYS(E1004,Controls!$B$20,Ref!$K$2:$K$42))</f>
        <v/>
      </c>
      <c r="AC1004" s="3">
        <f>IF(OR(AF1004=1,AND(AA1004&gt;0,AB1004&gt;=Controls!$B$23*AA1004)),1,0)</f>
        <v/>
      </c>
      <c r="AD1004" s="3">
        <f>IF(AND(E1004&lt;&gt;"",E1004&gt;=Controls!$B$21,E1004&lt;=Controls!$B$22),1,0)</f>
        <v/>
      </c>
      <c r="AE1004" s="3">
        <f>IF(IFERROR(VLOOKUP(D1004,Controls!$A$36:$E$46,2,FALSE()),"No")="Yes",1,0)</f>
        <v/>
      </c>
      <c r="AF1004" s="3">
        <f>IF(IFERROR(VLOOKUP(D1004,Controls!$A$36:$E$46,3,FALSE()),"No")="Yes",1,0)</f>
        <v/>
      </c>
      <c r="AG1004" s="3">
        <f>IF(IFERROR(VLOOKUP(D1004,Controls!$A$36:$E$46,4,FALSE()),"No")="Yes",1,0)</f>
        <v/>
      </c>
      <c r="AH1004" s="3">
        <f>IF(IFERROR(VLOOKUP(D1004,Controls!$A$36:$E$46,5,FALSE()),"No")="Yes",1,0)</f>
        <v/>
      </c>
      <c r="AI1004" s="3">
        <f>IF(ISNUMBER(MATCH(D1004,Controls!$A$36:$A$46,0)),1,0)</f>
        <v/>
      </c>
      <c r="AJ1004" s="28">
        <f>Q1004-N1004</f>
        <v/>
      </c>
      <c r="AK1004" s="3">
        <f>IF(AE1004=1,MAX(0,N1004-Q1004),0)</f>
        <v/>
      </c>
      <c r="AL1004" s="3">
        <f>IF(OR(V1004="",V1004=0),0,N1004/V1004)</f>
        <v/>
      </c>
      <c r="AM1004" s="3">
        <f>IF(OR(V1004="",V1004=0),0,1)</f>
        <v/>
      </c>
      <c r="AN1004" s="3">
        <f>IF(OR(E1004="",F1004=""),0,NETWORKDAYS(E1004,F1004,Ref!$K$2:$K$42))</f>
        <v/>
      </c>
      <c r="AO1004" s="3">
        <f>IF(L1004="Renewal",1,0)</f>
        <v/>
      </c>
      <c r="AP1004" s="3">
        <f>AC1004*AD1004</f>
        <v/>
      </c>
      <c r="AQ1004" s="3">
        <f>IF(AND(G1004&lt;&gt;"",'Historical Score'!$C$6&lt;&gt;""),IF(G1004='Historical Score'!$C$6,1,0),0)</f>
        <v/>
      </c>
      <c r="AR1004" s="3">
        <f>IF(AND(L1004&lt;&gt;"",'Historical Score'!$C$5&lt;&gt;""),IF(L1004='Historical Score'!$C$5,1,0),0)</f>
        <v/>
      </c>
      <c r="AS1004" s="3">
        <f>IF(AND(Y1004&lt;&gt;"",'Historical Score'!$C$7&lt;&gt;""),IF(Y1004='Historical Score'!$C$7,1,0),0)</f>
        <v/>
      </c>
      <c r="AT1004" s="3">
        <f>IF(AND(K1004&lt;&gt;"",'Historical Score'!$C$8&lt;&gt;""),IF(K1004='Historical Score'!$C$8,1,0),0)</f>
        <v/>
      </c>
      <c r="AU1004" s="3" t="n"/>
      <c r="AV1004" s="3" t="n"/>
      <c r="AW1004" s="3" t="n"/>
      <c r="AX1004" s="3" t="n"/>
      <c r="AY1004" s="3" t="n"/>
      <c r="AZ1004" s="3" t="n"/>
      <c r="BA1004" s="182">
        <f>IF(AD1004=1,(AR1004*'Historical Score'!$K$29+1-'Historical Score'!$K$29)*(AT1004*'Historical Score'!$L$29+1-'Historical Score'!$L$29)*(AS1004*'Historical Score'!$M$29+1-'Historical Score'!$M$29)*(AQ1004*'Historical Score'!$N$29+1-'Historical Score'!$N$29),0)</f>
        <v/>
      </c>
      <c r="BB1004" s="3" t="n"/>
      <c r="BC1004" s="3" t="n"/>
    </row>
    <row r="1005" ht="15" customHeight="1" s="174">
      <c r="A1005" s="3" t="inlineStr">
        <is>
          <t>5674186773</t>
        </is>
      </c>
      <c r="B1005" s="3" t="inlineStr">
        <is>
          <t>Transporte Jose Baez Corp</t>
        </is>
      </c>
      <c r="C1005" s="3" t="inlineStr">
        <is>
          <t>Transporte Jose Baez Corp</t>
        </is>
      </c>
      <c r="D1005" s="3" t="inlineStr">
        <is>
          <t>Open</t>
        </is>
      </c>
      <c r="E1005" s="23" t="n">
        <v>46210</v>
      </c>
      <c r="F1005" s="23" t="n">
        <v>46253</v>
      </c>
      <c r="G1005" s="3" t="n">
        <v>3</v>
      </c>
      <c r="H1005" s="3" t="inlineStr">
        <is>
          <t>4212</t>
        </is>
      </c>
      <c r="I1005" s="3" t="inlineStr">
        <is>
          <t>42</t>
        </is>
      </c>
      <c r="J1005" s="3" t="inlineStr">
        <is>
          <t>PR</t>
        </is>
      </c>
      <c r="K1005" s="3" t="inlineStr">
        <is>
          <t>Westwood</t>
        </is>
      </c>
      <c r="L1005" s="3" t="inlineStr">
        <is>
          <t>New Deal</t>
        </is>
      </c>
      <c r="M1005" s="3" t="n">
        <v>1.49</v>
      </c>
      <c r="N1005" s="28" t="n">
        <v>5000</v>
      </c>
      <c r="O1005" s="28" t="n">
        <v>700</v>
      </c>
      <c r="P1005" s="28" t="n">
        <v>7450</v>
      </c>
      <c r="Q1005" s="28" t="n">
        <v>1989.12</v>
      </c>
      <c r="R1005" s="28" t="n">
        <v>5460.88</v>
      </c>
      <c r="S1005" s="42" t="n">
        <v>0.266995973154362</v>
      </c>
      <c r="T1005" s="3" t="n">
        <v>3.934</v>
      </c>
      <c r="U1005" s="3" t="n">
        <v>0</v>
      </c>
      <c r="V1005" s="3" t="n">
        <v>64622.8</v>
      </c>
      <c r="W1005" s="42" t="n">
        <v>0.0202</v>
      </c>
      <c r="X1005" s="23" t="n">
        <v>39262</v>
      </c>
      <c r="Y1005" s="3">
        <f>IF(I1005="","No SIC",IFERROR(VLOOKUP(I1005,Ref!$A$2:$B$65,2,FALSE()),"Unclassified"))</f>
        <v/>
      </c>
      <c r="Z1005" s="3">
        <f>IF(T1005="","",IF(T1005&lt;12,"Daily","Weekly"))</f>
        <v/>
      </c>
      <c r="AA1005" s="3">
        <f>IF(T1005="",0,IF(T1005&lt;12,T1005*Controls!$B$13,T1005*5))</f>
        <v/>
      </c>
      <c r="AB1005" s="3">
        <f>IF(E1005="",0,NETWORKDAYS(E1005,Controls!$B$20,Ref!$K$2:$K$42))</f>
        <v/>
      </c>
      <c r="AC1005" s="3">
        <f>IF(OR(AF1005=1,AND(AA1005&gt;0,AB1005&gt;=Controls!$B$23*AA1005)),1,0)</f>
        <v/>
      </c>
      <c r="AD1005" s="3">
        <f>IF(AND(E1005&lt;&gt;"",E1005&gt;=Controls!$B$21,E1005&lt;=Controls!$B$22),1,0)</f>
        <v/>
      </c>
      <c r="AE1005" s="3">
        <f>IF(IFERROR(VLOOKUP(D1005,Controls!$A$36:$E$46,2,FALSE()),"No")="Yes",1,0)</f>
        <v/>
      </c>
      <c r="AF1005" s="3">
        <f>IF(IFERROR(VLOOKUP(D1005,Controls!$A$36:$E$46,3,FALSE()),"No")="Yes",1,0)</f>
        <v/>
      </c>
      <c r="AG1005" s="3">
        <f>IF(IFERROR(VLOOKUP(D1005,Controls!$A$36:$E$46,4,FALSE()),"No")="Yes",1,0)</f>
        <v/>
      </c>
      <c r="AH1005" s="3">
        <f>IF(IFERROR(VLOOKUP(D1005,Controls!$A$36:$E$46,5,FALSE()),"No")="Yes",1,0)</f>
        <v/>
      </c>
      <c r="AI1005" s="3">
        <f>IF(ISNUMBER(MATCH(D1005,Controls!$A$36:$A$46,0)),1,0)</f>
        <v/>
      </c>
      <c r="AJ1005" s="28">
        <f>Q1005-N1005</f>
        <v/>
      </c>
      <c r="AK1005" s="3">
        <f>IF(AE1005=1,MAX(0,N1005-Q1005),0)</f>
        <v/>
      </c>
      <c r="AL1005" s="3">
        <f>IF(OR(V1005="",V1005=0),0,N1005/V1005)</f>
        <v/>
      </c>
      <c r="AM1005" s="3">
        <f>IF(OR(V1005="",V1005=0),0,1)</f>
        <v/>
      </c>
      <c r="AN1005" s="3">
        <f>IF(OR(E1005="",F1005=""),0,NETWORKDAYS(E1005,F1005,Ref!$K$2:$K$42))</f>
        <v/>
      </c>
      <c r="AO1005" s="3">
        <f>IF(L1005="Renewal",1,0)</f>
        <v/>
      </c>
      <c r="AP1005" s="3">
        <f>AC1005*AD1005</f>
        <v/>
      </c>
      <c r="AQ1005" s="3">
        <f>IF(AND(G1005&lt;&gt;"",'Historical Score'!$C$6&lt;&gt;""),IF(G1005='Historical Score'!$C$6,1,0),0)</f>
        <v/>
      </c>
      <c r="AR1005" s="3">
        <f>IF(AND(L1005&lt;&gt;"",'Historical Score'!$C$5&lt;&gt;""),IF(L1005='Historical Score'!$C$5,1,0),0)</f>
        <v/>
      </c>
      <c r="AS1005" s="3">
        <f>IF(AND(Y1005&lt;&gt;"",'Historical Score'!$C$7&lt;&gt;""),IF(Y1005='Historical Score'!$C$7,1,0),0)</f>
        <v/>
      </c>
      <c r="AT1005" s="3">
        <f>IF(AND(K1005&lt;&gt;"",'Historical Score'!$C$8&lt;&gt;""),IF(K1005='Historical Score'!$C$8,1,0),0)</f>
        <v/>
      </c>
      <c r="AU1005" s="3" t="n"/>
      <c r="AV1005" s="3" t="n"/>
      <c r="AW1005" s="3" t="n"/>
      <c r="AX1005" s="3" t="n"/>
      <c r="AY1005" s="3" t="n"/>
      <c r="AZ1005" s="3" t="n"/>
      <c r="BA1005" s="182">
        <f>IF(AD1005=1,(AR1005*'Historical Score'!$K$29+1-'Historical Score'!$K$29)*(AT1005*'Historical Score'!$L$29+1-'Historical Score'!$L$29)*(AS1005*'Historical Score'!$M$29+1-'Historical Score'!$M$29)*(AQ1005*'Historical Score'!$N$29+1-'Historical Score'!$N$29),0)</f>
        <v/>
      </c>
      <c r="BB1005" s="3" t="n"/>
      <c r="BC1005" s="3" t="n"/>
    </row>
    <row r="1006" ht="15" customHeight="1" s="174">
      <c r="A1006" s="3" t="inlineStr">
        <is>
          <t>5674186776</t>
        </is>
      </c>
      <c r="B1006" s="3" t="inlineStr">
        <is>
          <t>AERODESIGN SERVICES DBA ADS</t>
        </is>
      </c>
      <c r="C1006" s="3" t="inlineStr">
        <is>
          <t>AeroDesign Services LLC</t>
        </is>
      </c>
      <c r="D1006" s="3" t="inlineStr">
        <is>
          <t>Open</t>
        </is>
      </c>
      <c r="E1006" s="23" t="n">
        <v>46210</v>
      </c>
      <c r="F1006" s="23" t="n">
        <v>46253</v>
      </c>
      <c r="G1006" s="3" t="n">
        <v>3</v>
      </c>
      <c r="H1006" s="3" t="inlineStr">
        <is>
          <t>3728</t>
        </is>
      </c>
      <c r="I1006" s="3" t="inlineStr">
        <is>
          <t>37</t>
        </is>
      </c>
      <c r="J1006" s="3" t="inlineStr">
        <is>
          <t>MI</t>
        </is>
      </c>
      <c r="K1006" s="3" t="inlineStr">
        <is>
          <t>FireLine Funding</t>
        </is>
      </c>
      <c r="L1006" s="3" t="inlineStr">
        <is>
          <t>New Deal</t>
        </is>
      </c>
      <c r="M1006" s="3" t="n">
        <v>1.49</v>
      </c>
      <c r="N1006" s="28" t="n">
        <v>100000</v>
      </c>
      <c r="O1006" s="28" t="n">
        <v>14000</v>
      </c>
      <c r="P1006" s="28" t="n">
        <v>149000</v>
      </c>
      <c r="Q1006" s="28" t="n">
        <v>25545.42</v>
      </c>
      <c r="R1006" s="28" t="n">
        <v>123454.58</v>
      </c>
      <c r="S1006" s="42" t="n">
        <v>0.171445771812081</v>
      </c>
      <c r="T1006" s="3" t="n">
        <v>35</v>
      </c>
      <c r="U1006" s="3" t="n">
        <v>0</v>
      </c>
      <c r="V1006" s="3" t="n">
        <v>290619.15</v>
      </c>
      <c r="W1006" s="42" t="n">
        <v>0.0586</v>
      </c>
      <c r="X1006" s="23" t="n">
        <v>37347</v>
      </c>
      <c r="Y1006" s="3">
        <f>IF(I1006="","No SIC",IFERROR(VLOOKUP(I1006,Ref!$A$2:$B$65,2,FALSE()),"Unclassified"))</f>
        <v/>
      </c>
      <c r="Z1006" s="3">
        <f>IF(T1006="","",IF(T1006&lt;12,"Daily","Weekly"))</f>
        <v/>
      </c>
      <c r="AA1006" s="3">
        <f>IF(T1006="",0,IF(T1006&lt;12,T1006*Controls!$B$13,T1006*5))</f>
        <v/>
      </c>
      <c r="AB1006" s="3">
        <f>IF(E1006="",0,NETWORKDAYS(E1006,Controls!$B$20,Ref!$K$2:$K$42))</f>
        <v/>
      </c>
      <c r="AC1006" s="3">
        <f>IF(OR(AF1006=1,AND(AA1006&gt;0,AB1006&gt;=Controls!$B$23*AA1006)),1,0)</f>
        <v/>
      </c>
      <c r="AD1006" s="3">
        <f>IF(AND(E1006&lt;&gt;"",E1006&gt;=Controls!$B$21,E1006&lt;=Controls!$B$22),1,0)</f>
        <v/>
      </c>
      <c r="AE1006" s="3">
        <f>IF(IFERROR(VLOOKUP(D1006,Controls!$A$36:$E$46,2,FALSE()),"No")="Yes",1,0)</f>
        <v/>
      </c>
      <c r="AF1006" s="3">
        <f>IF(IFERROR(VLOOKUP(D1006,Controls!$A$36:$E$46,3,FALSE()),"No")="Yes",1,0)</f>
        <v/>
      </c>
      <c r="AG1006" s="3">
        <f>IF(IFERROR(VLOOKUP(D1006,Controls!$A$36:$E$46,4,FALSE()),"No")="Yes",1,0)</f>
        <v/>
      </c>
      <c r="AH1006" s="3">
        <f>IF(IFERROR(VLOOKUP(D1006,Controls!$A$36:$E$46,5,FALSE()),"No")="Yes",1,0)</f>
        <v/>
      </c>
      <c r="AI1006" s="3">
        <f>IF(ISNUMBER(MATCH(D1006,Controls!$A$36:$A$46,0)),1,0)</f>
        <v/>
      </c>
      <c r="AJ1006" s="28">
        <f>Q1006-N1006</f>
        <v/>
      </c>
      <c r="AK1006" s="3">
        <f>IF(AE1006=1,MAX(0,N1006-Q1006),0)</f>
        <v/>
      </c>
      <c r="AL1006" s="3">
        <f>IF(OR(V1006="",V1006=0),0,N1006/V1006)</f>
        <v/>
      </c>
      <c r="AM1006" s="3">
        <f>IF(OR(V1006="",V1006=0),0,1)</f>
        <v/>
      </c>
      <c r="AN1006" s="3">
        <f>IF(OR(E1006="",F1006=""),0,NETWORKDAYS(E1006,F1006,Ref!$K$2:$K$42))</f>
        <v/>
      </c>
      <c r="AO1006" s="3">
        <f>IF(L1006="Renewal",1,0)</f>
        <v/>
      </c>
      <c r="AP1006" s="3">
        <f>AC1006*AD1006</f>
        <v/>
      </c>
      <c r="AQ1006" s="3">
        <f>IF(AND(G1006&lt;&gt;"",'Historical Score'!$C$6&lt;&gt;""),IF(G1006='Historical Score'!$C$6,1,0),0)</f>
        <v/>
      </c>
      <c r="AR1006" s="3">
        <f>IF(AND(L1006&lt;&gt;"",'Historical Score'!$C$5&lt;&gt;""),IF(L1006='Historical Score'!$C$5,1,0),0)</f>
        <v/>
      </c>
      <c r="AS1006" s="3">
        <f>IF(AND(Y1006&lt;&gt;"",'Historical Score'!$C$7&lt;&gt;""),IF(Y1006='Historical Score'!$C$7,1,0),0)</f>
        <v/>
      </c>
      <c r="AT1006" s="3">
        <f>IF(AND(K1006&lt;&gt;"",'Historical Score'!$C$8&lt;&gt;""),IF(K1006='Historical Score'!$C$8,1,0),0)</f>
        <v/>
      </c>
      <c r="AU1006" s="3" t="n"/>
      <c r="AV1006" s="3" t="n"/>
      <c r="AW1006" s="3" t="n"/>
      <c r="AX1006" s="3" t="n"/>
      <c r="AY1006" s="3" t="n"/>
      <c r="AZ1006" s="3" t="n"/>
      <c r="BA1006" s="182">
        <f>IF(AD1006=1,(AR1006*'Historical Score'!$K$29+1-'Historical Score'!$K$29)*(AT1006*'Historical Score'!$L$29+1-'Historical Score'!$L$29)*(AS1006*'Historical Score'!$M$29+1-'Historical Score'!$M$29)*(AQ1006*'Historical Score'!$N$29+1-'Historical Score'!$N$29),0)</f>
        <v/>
      </c>
      <c r="BB1006" s="3" t="n"/>
      <c r="BC1006" s="3" t="n"/>
    </row>
    <row r="1007" ht="15" customHeight="1" s="174">
      <c r="A1007" s="3" t="inlineStr">
        <is>
          <t>5674186785</t>
        </is>
      </c>
      <c r="B1007" s="3" t="inlineStr">
        <is>
          <t>Browns logging LLC</t>
        </is>
      </c>
      <c r="C1007" s="3" t="inlineStr">
        <is>
          <t>Browns logging LLC</t>
        </is>
      </c>
      <c r="D1007" s="3" t="inlineStr">
        <is>
          <t>Open</t>
        </is>
      </c>
      <c r="E1007" s="23" t="n">
        <v>46210</v>
      </c>
      <c r="F1007" s="23" t="n">
        <v>46253</v>
      </c>
      <c r="G1007" s="3" t="n">
        <v>3</v>
      </c>
      <c r="H1007" s="3" t="inlineStr">
        <is>
          <t>2411</t>
        </is>
      </c>
      <c r="I1007" s="3" t="inlineStr">
        <is>
          <t>24</t>
        </is>
      </c>
      <c r="J1007" s="3" t="inlineStr">
        <is>
          <t>TX</t>
        </is>
      </c>
      <c r="K1007" s="3" t="inlineStr">
        <is>
          <t>Fundwell</t>
        </is>
      </c>
      <c r="L1007" s="3" t="inlineStr">
        <is>
          <t>New Deal</t>
        </is>
      </c>
      <c r="M1007" s="3" t="n">
        <v>1.49</v>
      </c>
      <c r="N1007" s="28" t="n">
        <v>8000</v>
      </c>
      <c r="O1007" s="28" t="n">
        <v>1120</v>
      </c>
      <c r="P1007" s="28" t="n">
        <v>11920</v>
      </c>
      <c r="Q1007" s="28" t="n">
        <v>3632</v>
      </c>
      <c r="R1007" s="28" t="n">
        <v>8288</v>
      </c>
      <c r="S1007" s="42" t="n">
        <v>0.304697986577181</v>
      </c>
      <c r="T1007" s="3" t="n">
        <v>3.443</v>
      </c>
      <c r="U1007" s="3" t="n">
        <v>0</v>
      </c>
      <c r="V1007" s="3" t="n">
        <v>20000</v>
      </c>
      <c r="W1007" s="42" t="n">
        <v>0.1135</v>
      </c>
      <c r="X1007" s="23" t="n">
        <v>45323</v>
      </c>
      <c r="Y1007" s="3">
        <f>IF(I1007="","No SIC",IFERROR(VLOOKUP(I1007,Ref!$A$2:$B$65,2,FALSE()),"Unclassified"))</f>
        <v/>
      </c>
      <c r="Z1007" s="3">
        <f>IF(T1007="","",IF(T1007&lt;12,"Daily","Weekly"))</f>
        <v/>
      </c>
      <c r="AA1007" s="3">
        <f>IF(T1007="",0,IF(T1007&lt;12,T1007*Controls!$B$13,T1007*5))</f>
        <v/>
      </c>
      <c r="AB1007" s="3">
        <f>IF(E1007="",0,NETWORKDAYS(E1007,Controls!$B$20,Ref!$K$2:$K$42))</f>
        <v/>
      </c>
      <c r="AC1007" s="3">
        <f>IF(OR(AF1007=1,AND(AA1007&gt;0,AB1007&gt;=Controls!$B$23*AA1007)),1,0)</f>
        <v/>
      </c>
      <c r="AD1007" s="3">
        <f>IF(AND(E1007&lt;&gt;"",E1007&gt;=Controls!$B$21,E1007&lt;=Controls!$B$22),1,0)</f>
        <v/>
      </c>
      <c r="AE1007" s="3">
        <f>IF(IFERROR(VLOOKUP(D1007,Controls!$A$36:$E$46,2,FALSE()),"No")="Yes",1,0)</f>
        <v/>
      </c>
      <c r="AF1007" s="3">
        <f>IF(IFERROR(VLOOKUP(D1007,Controls!$A$36:$E$46,3,FALSE()),"No")="Yes",1,0)</f>
        <v/>
      </c>
      <c r="AG1007" s="3">
        <f>IF(IFERROR(VLOOKUP(D1007,Controls!$A$36:$E$46,4,FALSE()),"No")="Yes",1,0)</f>
        <v/>
      </c>
      <c r="AH1007" s="3">
        <f>IF(IFERROR(VLOOKUP(D1007,Controls!$A$36:$E$46,5,FALSE()),"No")="Yes",1,0)</f>
        <v/>
      </c>
      <c r="AI1007" s="3">
        <f>IF(ISNUMBER(MATCH(D1007,Controls!$A$36:$A$46,0)),1,0)</f>
        <v/>
      </c>
      <c r="AJ1007" s="28">
        <f>Q1007-N1007</f>
        <v/>
      </c>
      <c r="AK1007" s="3">
        <f>IF(AE1007=1,MAX(0,N1007-Q1007),0)</f>
        <v/>
      </c>
      <c r="AL1007" s="3">
        <f>IF(OR(V1007="",V1007=0),0,N1007/V1007)</f>
        <v/>
      </c>
      <c r="AM1007" s="3">
        <f>IF(OR(V1007="",V1007=0),0,1)</f>
        <v/>
      </c>
      <c r="AN1007" s="3">
        <f>IF(OR(E1007="",F1007=""),0,NETWORKDAYS(E1007,F1007,Ref!$K$2:$K$42))</f>
        <v/>
      </c>
      <c r="AO1007" s="3">
        <f>IF(L1007="Renewal",1,0)</f>
        <v/>
      </c>
      <c r="AP1007" s="3">
        <f>AC1007*AD1007</f>
        <v/>
      </c>
      <c r="AQ1007" s="3">
        <f>IF(AND(G1007&lt;&gt;"",'Historical Score'!$C$6&lt;&gt;""),IF(G1007='Historical Score'!$C$6,1,0),0)</f>
        <v/>
      </c>
      <c r="AR1007" s="3">
        <f>IF(AND(L1007&lt;&gt;"",'Historical Score'!$C$5&lt;&gt;""),IF(L1007='Historical Score'!$C$5,1,0),0)</f>
        <v/>
      </c>
      <c r="AS1007" s="3">
        <f>IF(AND(Y1007&lt;&gt;"",'Historical Score'!$C$7&lt;&gt;""),IF(Y1007='Historical Score'!$C$7,1,0),0)</f>
        <v/>
      </c>
      <c r="AT1007" s="3">
        <f>IF(AND(K1007&lt;&gt;"",'Historical Score'!$C$8&lt;&gt;""),IF(K1007='Historical Score'!$C$8,1,0),0)</f>
        <v/>
      </c>
      <c r="AU1007" s="3" t="n"/>
      <c r="AV1007" s="3" t="n"/>
      <c r="AW1007" s="3" t="n"/>
      <c r="AX1007" s="3" t="n"/>
      <c r="AY1007" s="3" t="n"/>
      <c r="AZ1007" s="3" t="n"/>
      <c r="BA1007" s="182">
        <f>IF(AD1007=1,(AR1007*'Historical Score'!$K$29+1-'Historical Score'!$K$29)*(AT1007*'Historical Score'!$L$29+1-'Historical Score'!$L$29)*(AS1007*'Historical Score'!$M$29+1-'Historical Score'!$M$29)*(AQ1007*'Historical Score'!$N$29+1-'Historical Score'!$N$29),0)</f>
        <v/>
      </c>
      <c r="BB1007" s="3" t="n"/>
      <c r="BC1007" s="3" t="n"/>
    </row>
    <row r="1008" ht="15" customHeight="1" s="174">
      <c r="A1008" s="3" t="inlineStr">
        <is>
          <t>5674186794</t>
        </is>
      </c>
      <c r="B1008" s="3" t="inlineStr">
        <is>
          <t>GREASE MONKEY, GREASE MONKEY OF PENDLETON</t>
        </is>
      </c>
      <c r="C1008" s="3" t="inlineStr">
        <is>
          <t>Grease Monkey</t>
        </is>
      </c>
      <c r="D1008" s="3" t="inlineStr">
        <is>
          <t>Open</t>
        </is>
      </c>
      <c r="E1008" s="23" t="n">
        <v>46210</v>
      </c>
      <c r="F1008" s="23" t="n">
        <v>46241</v>
      </c>
      <c r="G1008" s="3" t="n">
        <v>3</v>
      </c>
      <c r="H1008" s="3" t="inlineStr">
        <is>
          <t>7533</t>
        </is>
      </c>
      <c r="I1008" s="3" t="inlineStr">
        <is>
          <t>75</t>
        </is>
      </c>
      <c r="J1008" s="3" t="inlineStr">
        <is>
          <t>SC</t>
        </is>
      </c>
      <c r="K1008" s="3" t="inlineStr">
        <is>
          <t>elite finance team</t>
        </is>
      </c>
      <c r="L1008" s="3" t="inlineStr">
        <is>
          <t>New Deal</t>
        </is>
      </c>
      <c r="M1008" s="3" t="n">
        <v>1.35</v>
      </c>
      <c r="N1008" s="28" t="n">
        <v>20000</v>
      </c>
      <c r="O1008" s="28" t="n">
        <v>0</v>
      </c>
      <c r="P1008" s="28" t="n">
        <v>27000</v>
      </c>
      <c r="Q1008" s="28" t="n">
        <v>2250.36</v>
      </c>
      <c r="R1008" s="28" t="n">
        <v>24749.64</v>
      </c>
      <c r="S1008" s="42" t="n">
        <v>0.08334666666666669</v>
      </c>
      <c r="T1008" s="3" t="n">
        <v>24</v>
      </c>
      <c r="U1008" s="3" t="n">
        <v>8</v>
      </c>
      <c r="V1008" s="3" t="n">
        <v>64851.96</v>
      </c>
      <c r="W1008" s="42" t="n">
        <v>0.0694</v>
      </c>
      <c r="X1008" s="23" t="n">
        <v>45505</v>
      </c>
      <c r="Y1008" s="3">
        <f>IF(I1008="","No SIC",IFERROR(VLOOKUP(I1008,Ref!$A$2:$B$65,2,FALSE()),"Unclassified"))</f>
        <v/>
      </c>
      <c r="Z1008" s="3">
        <f>IF(T1008="","",IF(T1008&lt;12,"Daily","Weekly"))</f>
        <v/>
      </c>
      <c r="AA1008" s="3">
        <f>IF(T1008="",0,IF(T1008&lt;12,T1008*Controls!$B$13,T1008*5))</f>
        <v/>
      </c>
      <c r="AB1008" s="3">
        <f>IF(E1008="",0,NETWORKDAYS(E1008,Controls!$B$20,Ref!$K$2:$K$42))</f>
        <v/>
      </c>
      <c r="AC1008" s="3">
        <f>IF(OR(AF1008=1,AND(AA1008&gt;0,AB1008&gt;=Controls!$B$23*AA1008)),1,0)</f>
        <v/>
      </c>
      <c r="AD1008" s="3">
        <f>IF(AND(E1008&lt;&gt;"",E1008&gt;=Controls!$B$21,E1008&lt;=Controls!$B$22),1,0)</f>
        <v/>
      </c>
      <c r="AE1008" s="3">
        <f>IF(IFERROR(VLOOKUP(D1008,Controls!$A$36:$E$46,2,FALSE()),"No")="Yes",1,0)</f>
        <v/>
      </c>
      <c r="AF1008" s="3">
        <f>IF(IFERROR(VLOOKUP(D1008,Controls!$A$36:$E$46,3,FALSE()),"No")="Yes",1,0)</f>
        <v/>
      </c>
      <c r="AG1008" s="3">
        <f>IF(IFERROR(VLOOKUP(D1008,Controls!$A$36:$E$46,4,FALSE()),"No")="Yes",1,0)</f>
        <v/>
      </c>
      <c r="AH1008" s="3">
        <f>IF(IFERROR(VLOOKUP(D1008,Controls!$A$36:$E$46,5,FALSE()),"No")="Yes",1,0)</f>
        <v/>
      </c>
      <c r="AI1008" s="3">
        <f>IF(ISNUMBER(MATCH(D1008,Controls!$A$36:$A$46,0)),1,0)</f>
        <v/>
      </c>
      <c r="AJ1008" s="28">
        <f>Q1008-N1008</f>
        <v/>
      </c>
      <c r="AK1008" s="3">
        <f>IF(AE1008=1,MAX(0,N1008-Q1008),0)</f>
        <v/>
      </c>
      <c r="AL1008" s="3">
        <f>IF(OR(V1008="",V1008=0),0,N1008/V1008)</f>
        <v/>
      </c>
      <c r="AM1008" s="3">
        <f>IF(OR(V1008="",V1008=0),0,1)</f>
        <v/>
      </c>
      <c r="AN1008" s="3">
        <f>IF(OR(E1008="",F1008=""),0,NETWORKDAYS(E1008,F1008,Ref!$K$2:$K$42))</f>
        <v/>
      </c>
      <c r="AO1008" s="3">
        <f>IF(L1008="Renewal",1,0)</f>
        <v/>
      </c>
      <c r="AP1008" s="3">
        <f>AC1008*AD1008</f>
        <v/>
      </c>
      <c r="AQ1008" s="3">
        <f>IF(AND(G1008&lt;&gt;"",'Historical Score'!$C$6&lt;&gt;""),IF(G1008='Historical Score'!$C$6,1,0),0)</f>
        <v/>
      </c>
      <c r="AR1008" s="3">
        <f>IF(AND(L1008&lt;&gt;"",'Historical Score'!$C$5&lt;&gt;""),IF(L1008='Historical Score'!$C$5,1,0),0)</f>
        <v/>
      </c>
      <c r="AS1008" s="3">
        <f>IF(AND(Y1008&lt;&gt;"",'Historical Score'!$C$7&lt;&gt;""),IF(Y1008='Historical Score'!$C$7,1,0),0)</f>
        <v/>
      </c>
      <c r="AT1008" s="3">
        <f>IF(AND(K1008&lt;&gt;"",'Historical Score'!$C$8&lt;&gt;""),IF(K1008='Historical Score'!$C$8,1,0),0)</f>
        <v/>
      </c>
      <c r="AU1008" s="3" t="n"/>
      <c r="AV1008" s="3" t="n"/>
      <c r="AW1008" s="3" t="n"/>
      <c r="AX1008" s="3" t="n"/>
      <c r="AY1008" s="3" t="n"/>
      <c r="AZ1008" s="3" t="n"/>
      <c r="BA1008" s="182">
        <f>IF(AD1008=1,(AR1008*'Historical Score'!$K$29+1-'Historical Score'!$K$29)*(AT1008*'Historical Score'!$L$29+1-'Historical Score'!$L$29)*(AS1008*'Historical Score'!$M$29+1-'Historical Score'!$M$29)*(AQ1008*'Historical Score'!$N$29+1-'Historical Score'!$N$29),0)</f>
        <v/>
      </c>
      <c r="BB1008" s="3" t="n"/>
      <c r="BC1008" s="3" t="n"/>
    </row>
    <row r="1009" ht="15" customHeight="1" s="174">
      <c r="A1009" s="3" t="inlineStr">
        <is>
          <t>5674186838</t>
        </is>
      </c>
      <c r="B1009" s="3" t="inlineStr">
        <is>
          <t>ROLLS AND BOWLS SUSHI</t>
        </is>
      </c>
      <c r="C1009" s="3" t="inlineStr">
        <is>
          <t>Rolls and bowls Llc</t>
        </is>
      </c>
      <c r="D1009" s="3" t="inlineStr">
        <is>
          <t>Open</t>
        </is>
      </c>
      <c r="E1009" s="23" t="n">
        <v>46210</v>
      </c>
      <c r="F1009" s="23" t="n">
        <v>46248</v>
      </c>
      <c r="G1009" s="3" t="n">
        <v>2</v>
      </c>
      <c r="H1009" s="3" t="inlineStr">
        <is>
          <t>5812</t>
        </is>
      </c>
      <c r="I1009" s="3" t="inlineStr">
        <is>
          <t>58</t>
        </is>
      </c>
      <c r="J1009" s="3" t="inlineStr">
        <is>
          <t>AZ</t>
        </is>
      </c>
      <c r="K1009" s="3" t="inlineStr">
        <is>
          <t>PMF</t>
        </is>
      </c>
      <c r="L1009" s="3" t="inlineStr">
        <is>
          <t>New Deal</t>
        </is>
      </c>
      <c r="M1009" s="3" t="n">
        <v>1.4</v>
      </c>
      <c r="N1009" s="28" t="n">
        <v>70000</v>
      </c>
      <c r="O1009" s="28" t="n">
        <v>6650</v>
      </c>
      <c r="P1009" s="28" t="n">
        <v>98000</v>
      </c>
      <c r="Q1009" s="28" t="n">
        <v>16799.04</v>
      </c>
      <c r="R1009" s="28" t="n">
        <v>81200.96000000001</v>
      </c>
      <c r="S1009" s="42" t="n">
        <v>0.171418775510204</v>
      </c>
      <c r="T1009" s="3" t="n">
        <v>35</v>
      </c>
      <c r="U1009" s="3" t="n">
        <v>0</v>
      </c>
      <c r="V1009" s="3" t="n">
        <v>65531.76</v>
      </c>
      <c r="W1009" s="42" t="n">
        <v>0.1709</v>
      </c>
      <c r="X1009" s="23" t="n">
        <v>41814</v>
      </c>
      <c r="Y1009" s="3">
        <f>IF(I1009="","No SIC",IFERROR(VLOOKUP(I1009,Ref!$A$2:$B$65,2,FALSE()),"Unclassified"))</f>
        <v/>
      </c>
      <c r="Z1009" s="3">
        <f>IF(T1009="","",IF(T1009&lt;12,"Daily","Weekly"))</f>
        <v/>
      </c>
      <c r="AA1009" s="3">
        <f>IF(T1009="",0,IF(T1009&lt;12,T1009*Controls!$B$13,T1009*5))</f>
        <v/>
      </c>
      <c r="AB1009" s="3">
        <f>IF(E1009="",0,NETWORKDAYS(E1009,Controls!$B$20,Ref!$K$2:$K$42))</f>
        <v/>
      </c>
      <c r="AC1009" s="3">
        <f>IF(OR(AF1009=1,AND(AA1009&gt;0,AB1009&gt;=Controls!$B$23*AA1009)),1,0)</f>
        <v/>
      </c>
      <c r="AD1009" s="3">
        <f>IF(AND(E1009&lt;&gt;"",E1009&gt;=Controls!$B$21,E1009&lt;=Controls!$B$22),1,0)</f>
        <v/>
      </c>
      <c r="AE1009" s="3">
        <f>IF(IFERROR(VLOOKUP(D1009,Controls!$A$36:$E$46,2,FALSE()),"No")="Yes",1,0)</f>
        <v/>
      </c>
      <c r="AF1009" s="3">
        <f>IF(IFERROR(VLOOKUP(D1009,Controls!$A$36:$E$46,3,FALSE()),"No")="Yes",1,0)</f>
        <v/>
      </c>
      <c r="AG1009" s="3">
        <f>IF(IFERROR(VLOOKUP(D1009,Controls!$A$36:$E$46,4,FALSE()),"No")="Yes",1,0)</f>
        <v/>
      </c>
      <c r="AH1009" s="3">
        <f>IF(IFERROR(VLOOKUP(D1009,Controls!$A$36:$E$46,5,FALSE()),"No")="Yes",1,0)</f>
        <v/>
      </c>
      <c r="AI1009" s="3">
        <f>IF(ISNUMBER(MATCH(D1009,Controls!$A$36:$A$46,0)),1,0)</f>
        <v/>
      </c>
      <c r="AJ1009" s="28">
        <f>Q1009-N1009</f>
        <v/>
      </c>
      <c r="AK1009" s="3">
        <f>IF(AE1009=1,MAX(0,N1009-Q1009),0)</f>
        <v/>
      </c>
      <c r="AL1009" s="3">
        <f>IF(OR(V1009="",V1009=0),0,N1009/V1009)</f>
        <v/>
      </c>
      <c r="AM1009" s="3">
        <f>IF(OR(V1009="",V1009=0),0,1)</f>
        <v/>
      </c>
      <c r="AN1009" s="3">
        <f>IF(OR(E1009="",F1009=""),0,NETWORKDAYS(E1009,F1009,Ref!$K$2:$K$42))</f>
        <v/>
      </c>
      <c r="AO1009" s="3">
        <f>IF(L1009="Renewal",1,0)</f>
        <v/>
      </c>
      <c r="AP1009" s="3">
        <f>AC1009*AD1009</f>
        <v/>
      </c>
      <c r="AQ1009" s="3">
        <f>IF(AND(G1009&lt;&gt;"",'Historical Score'!$C$6&lt;&gt;""),IF(G1009='Historical Score'!$C$6,1,0),0)</f>
        <v/>
      </c>
      <c r="AR1009" s="3">
        <f>IF(AND(L1009&lt;&gt;"",'Historical Score'!$C$5&lt;&gt;""),IF(L1009='Historical Score'!$C$5,1,0),0)</f>
        <v/>
      </c>
      <c r="AS1009" s="3">
        <f>IF(AND(Y1009&lt;&gt;"",'Historical Score'!$C$7&lt;&gt;""),IF(Y1009='Historical Score'!$C$7,1,0),0)</f>
        <v/>
      </c>
      <c r="AT1009" s="3">
        <f>IF(AND(K1009&lt;&gt;"",'Historical Score'!$C$8&lt;&gt;""),IF(K1009='Historical Score'!$C$8,1,0),0)</f>
        <v/>
      </c>
      <c r="AU1009" s="3" t="n"/>
      <c r="AV1009" s="3" t="n"/>
      <c r="AW1009" s="3" t="n"/>
      <c r="AX1009" s="3" t="n"/>
      <c r="AY1009" s="3" t="n"/>
      <c r="AZ1009" s="3" t="n"/>
      <c r="BA1009" s="182">
        <f>IF(AD1009=1,(AR1009*'Historical Score'!$K$29+1-'Historical Score'!$K$29)*(AT1009*'Historical Score'!$L$29+1-'Historical Score'!$L$29)*(AS1009*'Historical Score'!$M$29+1-'Historical Score'!$M$29)*(AQ1009*'Historical Score'!$N$29+1-'Historical Score'!$N$29),0)</f>
        <v/>
      </c>
      <c r="BB1009" s="3" t="n"/>
      <c r="BC1009" s="3" t="n"/>
    </row>
    <row r="1010" ht="15" customHeight="1" s="174">
      <c r="A1010" s="3" t="inlineStr">
        <is>
          <t>5674186914</t>
        </is>
      </c>
      <c r="B1010" s="3" t="inlineStr">
        <is>
          <t>Holliday Empowerment LLC</t>
        </is>
      </c>
      <c r="C1010" s="3" t="inlineStr">
        <is>
          <t>Holliday Empowerment LLC</t>
        </is>
      </c>
      <c r="D1010" s="3" t="inlineStr">
        <is>
          <t>Open</t>
        </is>
      </c>
      <c r="E1010" s="23" t="n">
        <v>46211</v>
      </c>
      <c r="F1010" s="23" t="n">
        <v>46248</v>
      </c>
      <c r="G1010" s="3" t="n">
        <v>3</v>
      </c>
      <c r="H1010" s="3" t="inlineStr">
        <is>
          <t>8748</t>
        </is>
      </c>
      <c r="I1010" s="3" t="inlineStr">
        <is>
          <t>87</t>
        </is>
      </c>
      <c r="J1010" s="3" t="inlineStr">
        <is>
          <t>GA</t>
        </is>
      </c>
      <c r="K1010" s="3" t="inlineStr">
        <is>
          <t>PMF</t>
        </is>
      </c>
      <c r="L1010" s="3" t="inlineStr">
        <is>
          <t>New Deal</t>
        </is>
      </c>
      <c r="M1010" s="3" t="n">
        <v>1.41</v>
      </c>
      <c r="N1010" s="28" t="n">
        <v>14000</v>
      </c>
      <c r="O1010" s="28" t="n">
        <v>1400</v>
      </c>
      <c r="P1010" s="28" t="n">
        <v>19740</v>
      </c>
      <c r="Q1010" s="28" t="n">
        <v>4486.4</v>
      </c>
      <c r="R1010" s="28" t="n">
        <v>15253.6</v>
      </c>
      <c r="S1010" s="42" t="n">
        <v>0.227274569402229</v>
      </c>
      <c r="T1010" s="3" t="n">
        <v>22</v>
      </c>
      <c r="U1010" s="3" t="n">
        <v>0</v>
      </c>
      <c r="V1010" s="3" t="n">
        <v>22320.52</v>
      </c>
      <c r="W1010" s="42" t="n">
        <v>0.1608</v>
      </c>
      <c r="X1010" s="23" t="n">
        <v>43646</v>
      </c>
      <c r="Y1010" s="3">
        <f>IF(I1010="","No SIC",IFERROR(VLOOKUP(I1010,Ref!$A$2:$B$65,2,FALSE()),"Unclassified"))</f>
        <v/>
      </c>
      <c r="Z1010" s="3">
        <f>IF(T1010="","",IF(T1010&lt;12,"Daily","Weekly"))</f>
        <v/>
      </c>
      <c r="AA1010" s="3">
        <f>IF(T1010="",0,IF(T1010&lt;12,T1010*Controls!$B$13,T1010*5))</f>
        <v/>
      </c>
      <c r="AB1010" s="3">
        <f>IF(E1010="",0,NETWORKDAYS(E1010,Controls!$B$20,Ref!$K$2:$K$42))</f>
        <v/>
      </c>
      <c r="AC1010" s="3">
        <f>IF(OR(AF1010=1,AND(AA1010&gt;0,AB1010&gt;=Controls!$B$23*AA1010)),1,0)</f>
        <v/>
      </c>
      <c r="AD1010" s="3">
        <f>IF(AND(E1010&lt;&gt;"",E1010&gt;=Controls!$B$21,E1010&lt;=Controls!$B$22),1,0)</f>
        <v/>
      </c>
      <c r="AE1010" s="3">
        <f>IF(IFERROR(VLOOKUP(D1010,Controls!$A$36:$E$46,2,FALSE()),"No")="Yes",1,0)</f>
        <v/>
      </c>
      <c r="AF1010" s="3">
        <f>IF(IFERROR(VLOOKUP(D1010,Controls!$A$36:$E$46,3,FALSE()),"No")="Yes",1,0)</f>
        <v/>
      </c>
      <c r="AG1010" s="3">
        <f>IF(IFERROR(VLOOKUP(D1010,Controls!$A$36:$E$46,4,FALSE()),"No")="Yes",1,0)</f>
        <v/>
      </c>
      <c r="AH1010" s="3">
        <f>IF(IFERROR(VLOOKUP(D1010,Controls!$A$36:$E$46,5,FALSE()),"No")="Yes",1,0)</f>
        <v/>
      </c>
      <c r="AI1010" s="3">
        <f>IF(ISNUMBER(MATCH(D1010,Controls!$A$36:$A$46,0)),1,0)</f>
        <v/>
      </c>
      <c r="AJ1010" s="28">
        <f>Q1010-N1010</f>
        <v/>
      </c>
      <c r="AK1010" s="3">
        <f>IF(AE1010=1,MAX(0,N1010-Q1010),0)</f>
        <v/>
      </c>
      <c r="AL1010" s="3">
        <f>IF(OR(V1010="",V1010=0),0,N1010/V1010)</f>
        <v/>
      </c>
      <c r="AM1010" s="3">
        <f>IF(OR(V1010="",V1010=0),0,1)</f>
        <v/>
      </c>
      <c r="AN1010" s="3">
        <f>IF(OR(E1010="",F1010=""),0,NETWORKDAYS(E1010,F1010,Ref!$K$2:$K$42))</f>
        <v/>
      </c>
      <c r="AO1010" s="3">
        <f>IF(L1010="Renewal",1,0)</f>
        <v/>
      </c>
      <c r="AP1010" s="3">
        <f>AC1010*AD1010</f>
        <v/>
      </c>
      <c r="AQ1010" s="3">
        <f>IF(AND(G1010&lt;&gt;"",'Historical Score'!$C$6&lt;&gt;""),IF(G1010='Historical Score'!$C$6,1,0),0)</f>
        <v/>
      </c>
      <c r="AR1010" s="3">
        <f>IF(AND(L1010&lt;&gt;"",'Historical Score'!$C$5&lt;&gt;""),IF(L1010='Historical Score'!$C$5,1,0),0)</f>
        <v/>
      </c>
      <c r="AS1010" s="3">
        <f>IF(AND(Y1010&lt;&gt;"",'Historical Score'!$C$7&lt;&gt;""),IF(Y1010='Historical Score'!$C$7,1,0),0)</f>
        <v/>
      </c>
      <c r="AT1010" s="3">
        <f>IF(AND(K1010&lt;&gt;"",'Historical Score'!$C$8&lt;&gt;""),IF(K1010='Historical Score'!$C$8,1,0),0)</f>
        <v/>
      </c>
      <c r="AU1010" s="3" t="n"/>
      <c r="AV1010" s="3" t="n"/>
      <c r="AW1010" s="3" t="n"/>
      <c r="AX1010" s="3" t="n"/>
      <c r="AY1010" s="3" t="n"/>
      <c r="AZ1010" s="3" t="n"/>
      <c r="BA1010" s="182">
        <f>IF(AD1010=1,(AR1010*'Historical Score'!$K$29+1-'Historical Score'!$K$29)*(AT1010*'Historical Score'!$L$29+1-'Historical Score'!$L$29)*(AS1010*'Historical Score'!$M$29+1-'Historical Score'!$M$29)*(AQ1010*'Historical Score'!$N$29+1-'Historical Score'!$N$29),0)</f>
        <v/>
      </c>
      <c r="BB1010" s="3" t="n"/>
      <c r="BC1010" s="3" t="n"/>
    </row>
    <row r="1011" ht="15" customHeight="1" s="174">
      <c r="A1011" s="3" t="inlineStr">
        <is>
          <t>5674186935</t>
        </is>
      </c>
      <c r="B1011" s="3" t="inlineStr">
        <is>
          <t>Shift N2 Gear Auto LLC</t>
        </is>
      </c>
      <c r="C1011" s="3" t="inlineStr">
        <is>
          <t>Shift N2 Gear Auto LLC</t>
        </is>
      </c>
      <c r="D1011" s="3" t="inlineStr">
        <is>
          <t>Open</t>
        </is>
      </c>
      <c r="E1011" s="23" t="n">
        <v>46211</v>
      </c>
      <c r="F1011" s="23" t="n">
        <v>46253</v>
      </c>
      <c r="G1011" s="3" t="n">
        <v>3</v>
      </c>
      <c r="H1011" s="3" t="inlineStr">
        <is>
          <t>5511</t>
        </is>
      </c>
      <c r="I1011" s="3" t="inlineStr">
        <is>
          <t>55</t>
        </is>
      </c>
      <c r="J1011" s="3" t="inlineStr">
        <is>
          <t>AR</t>
        </is>
      </c>
      <c r="K1011" s="3" t="inlineStr">
        <is>
          <t>ROK</t>
        </is>
      </c>
      <c r="L1011" s="3" t="inlineStr">
        <is>
          <t>New Deal</t>
        </is>
      </c>
      <c r="M1011" s="3" t="n">
        <v>1.42</v>
      </c>
      <c r="N1011" s="28" t="n">
        <v>30000</v>
      </c>
      <c r="O1011" s="28" t="n">
        <v>3150</v>
      </c>
      <c r="P1011" s="28" t="n">
        <v>42600</v>
      </c>
      <c r="Q1011" s="28" t="n">
        <v>16509.67</v>
      </c>
      <c r="R1011" s="28" t="n">
        <v>26090.33</v>
      </c>
      <c r="S1011" s="42" t="n">
        <v>0.387550938967136</v>
      </c>
      <c r="T1011" s="3" t="n">
        <v>2.623</v>
      </c>
      <c r="U1011" s="3" t="n">
        <v>0</v>
      </c>
      <c r="V1011" s="3" t="n">
        <v>318631.45</v>
      </c>
      <c r="W1011" s="42" t="n">
        <v>0.0351</v>
      </c>
      <c r="X1011" s="23" t="n">
        <v>44368</v>
      </c>
      <c r="Y1011" s="3">
        <f>IF(I1011="","No SIC",IFERROR(VLOOKUP(I1011,Ref!$A$2:$B$65,2,FALSE()),"Unclassified"))</f>
        <v/>
      </c>
      <c r="Z1011" s="3">
        <f>IF(T1011="","",IF(T1011&lt;12,"Daily","Weekly"))</f>
        <v/>
      </c>
      <c r="AA1011" s="3">
        <f>IF(T1011="",0,IF(T1011&lt;12,T1011*Controls!$B$13,T1011*5))</f>
        <v/>
      </c>
      <c r="AB1011" s="3">
        <f>IF(E1011="",0,NETWORKDAYS(E1011,Controls!$B$20,Ref!$K$2:$K$42))</f>
        <v/>
      </c>
      <c r="AC1011" s="3">
        <f>IF(OR(AF1011=1,AND(AA1011&gt;0,AB1011&gt;=Controls!$B$23*AA1011)),1,0)</f>
        <v/>
      </c>
      <c r="AD1011" s="3">
        <f>IF(AND(E1011&lt;&gt;"",E1011&gt;=Controls!$B$21,E1011&lt;=Controls!$B$22),1,0)</f>
        <v/>
      </c>
      <c r="AE1011" s="3">
        <f>IF(IFERROR(VLOOKUP(D1011,Controls!$A$36:$E$46,2,FALSE()),"No")="Yes",1,0)</f>
        <v/>
      </c>
      <c r="AF1011" s="3">
        <f>IF(IFERROR(VLOOKUP(D1011,Controls!$A$36:$E$46,3,FALSE()),"No")="Yes",1,0)</f>
        <v/>
      </c>
      <c r="AG1011" s="3">
        <f>IF(IFERROR(VLOOKUP(D1011,Controls!$A$36:$E$46,4,FALSE()),"No")="Yes",1,0)</f>
        <v/>
      </c>
      <c r="AH1011" s="3">
        <f>IF(IFERROR(VLOOKUP(D1011,Controls!$A$36:$E$46,5,FALSE()),"No")="Yes",1,0)</f>
        <v/>
      </c>
      <c r="AI1011" s="3">
        <f>IF(ISNUMBER(MATCH(D1011,Controls!$A$36:$A$46,0)),1,0)</f>
        <v/>
      </c>
      <c r="AJ1011" s="28">
        <f>Q1011-N1011</f>
        <v/>
      </c>
      <c r="AK1011" s="3">
        <f>IF(AE1011=1,MAX(0,N1011-Q1011),0)</f>
        <v/>
      </c>
      <c r="AL1011" s="3">
        <f>IF(OR(V1011="",V1011=0),0,N1011/V1011)</f>
        <v/>
      </c>
      <c r="AM1011" s="3">
        <f>IF(OR(V1011="",V1011=0),0,1)</f>
        <v/>
      </c>
      <c r="AN1011" s="3">
        <f>IF(OR(E1011="",F1011=""),0,NETWORKDAYS(E1011,F1011,Ref!$K$2:$K$42))</f>
        <v/>
      </c>
      <c r="AO1011" s="3">
        <f>IF(L1011="Renewal",1,0)</f>
        <v/>
      </c>
      <c r="AP1011" s="3">
        <f>AC1011*AD1011</f>
        <v/>
      </c>
      <c r="AQ1011" s="3">
        <f>IF(AND(G1011&lt;&gt;"",'Historical Score'!$C$6&lt;&gt;""),IF(G1011='Historical Score'!$C$6,1,0),0)</f>
        <v/>
      </c>
      <c r="AR1011" s="3">
        <f>IF(AND(L1011&lt;&gt;"",'Historical Score'!$C$5&lt;&gt;""),IF(L1011='Historical Score'!$C$5,1,0),0)</f>
        <v/>
      </c>
      <c r="AS1011" s="3">
        <f>IF(AND(Y1011&lt;&gt;"",'Historical Score'!$C$7&lt;&gt;""),IF(Y1011='Historical Score'!$C$7,1,0),0)</f>
        <v/>
      </c>
      <c r="AT1011" s="3">
        <f>IF(AND(K1011&lt;&gt;"",'Historical Score'!$C$8&lt;&gt;""),IF(K1011='Historical Score'!$C$8,1,0),0)</f>
        <v/>
      </c>
      <c r="AU1011" s="3" t="n"/>
      <c r="AV1011" s="3" t="n"/>
      <c r="AW1011" s="3" t="n"/>
      <c r="AX1011" s="3" t="n"/>
      <c r="AY1011" s="3" t="n"/>
      <c r="AZ1011" s="3" t="n"/>
      <c r="BA1011" s="182">
        <f>IF(AD1011=1,(AR1011*'Historical Score'!$K$29+1-'Historical Score'!$K$29)*(AT1011*'Historical Score'!$L$29+1-'Historical Score'!$L$29)*(AS1011*'Historical Score'!$M$29+1-'Historical Score'!$M$29)*(AQ1011*'Historical Score'!$N$29+1-'Historical Score'!$N$29),0)</f>
        <v/>
      </c>
      <c r="BB1011" s="3" t="n"/>
      <c r="BC1011" s="3" t="n"/>
    </row>
    <row r="1012" ht="15" customHeight="1" s="174">
      <c r="A1012" s="3" t="inlineStr">
        <is>
          <t>5674186941</t>
        </is>
      </c>
      <c r="B1012" s="3" t="inlineStr">
        <is>
          <t>QuitYerPitchin LLC</t>
        </is>
      </c>
      <c r="C1012" s="3" t="inlineStr">
        <is>
          <t>QuitYerPitchin LLC</t>
        </is>
      </c>
      <c r="D1012" s="3" t="inlineStr">
        <is>
          <t>Open</t>
        </is>
      </c>
      <c r="E1012" s="23" t="n">
        <v>46211</v>
      </c>
      <c r="F1012" s="23" t="n">
        <v>46253</v>
      </c>
      <c r="G1012" s="3" t="n">
        <v>3</v>
      </c>
      <c r="H1012" s="3" t="inlineStr">
        <is>
          <t>7033</t>
        </is>
      </c>
      <c r="I1012" s="3" t="inlineStr">
        <is>
          <t>70</t>
        </is>
      </c>
      <c r="J1012" s="3" t="inlineStr">
        <is>
          <t>TX</t>
        </is>
      </c>
      <c r="K1012" s="3" t="inlineStr">
        <is>
          <t>Fundwell</t>
        </is>
      </c>
      <c r="L1012" s="3" t="inlineStr">
        <is>
          <t>New Deal</t>
        </is>
      </c>
      <c r="M1012" s="3" t="n">
        <v>1.35</v>
      </c>
      <c r="N1012" s="28" t="n">
        <v>5000</v>
      </c>
      <c r="O1012" s="28" t="n">
        <v>350</v>
      </c>
      <c r="P1012" s="28" t="n">
        <v>6750</v>
      </c>
      <c r="Q1012" s="28" t="n">
        <v>1932.3</v>
      </c>
      <c r="R1012" s="28" t="n">
        <v>4817.7</v>
      </c>
      <c r="S1012" s="42" t="n">
        <v>0.286266666666667</v>
      </c>
      <c r="T1012" s="3" t="n">
        <v>3.443</v>
      </c>
      <c r="U1012" s="3" t="n">
        <v>0</v>
      </c>
      <c r="V1012" s="3" t="n">
        <v>53671.43</v>
      </c>
      <c r="W1012" s="42" t="n">
        <v>0.0252</v>
      </c>
      <c r="X1012" s="23" t="n">
        <v>45976</v>
      </c>
      <c r="Y1012" s="3">
        <f>IF(I1012="","No SIC",IFERROR(VLOOKUP(I1012,Ref!$A$2:$B$65,2,FALSE()),"Unclassified"))</f>
        <v/>
      </c>
      <c r="Z1012" s="3">
        <f>IF(T1012="","",IF(T1012&lt;12,"Daily","Weekly"))</f>
        <v/>
      </c>
      <c r="AA1012" s="3">
        <f>IF(T1012="",0,IF(T1012&lt;12,T1012*Controls!$B$13,T1012*5))</f>
        <v/>
      </c>
      <c r="AB1012" s="3">
        <f>IF(E1012="",0,NETWORKDAYS(E1012,Controls!$B$20,Ref!$K$2:$K$42))</f>
        <v/>
      </c>
      <c r="AC1012" s="3">
        <f>IF(OR(AF1012=1,AND(AA1012&gt;0,AB1012&gt;=Controls!$B$23*AA1012)),1,0)</f>
        <v/>
      </c>
      <c r="AD1012" s="3">
        <f>IF(AND(E1012&lt;&gt;"",E1012&gt;=Controls!$B$21,E1012&lt;=Controls!$B$22),1,0)</f>
        <v/>
      </c>
      <c r="AE1012" s="3">
        <f>IF(IFERROR(VLOOKUP(D1012,Controls!$A$36:$E$46,2,FALSE()),"No")="Yes",1,0)</f>
        <v/>
      </c>
      <c r="AF1012" s="3">
        <f>IF(IFERROR(VLOOKUP(D1012,Controls!$A$36:$E$46,3,FALSE()),"No")="Yes",1,0)</f>
        <v/>
      </c>
      <c r="AG1012" s="3">
        <f>IF(IFERROR(VLOOKUP(D1012,Controls!$A$36:$E$46,4,FALSE()),"No")="Yes",1,0)</f>
        <v/>
      </c>
      <c r="AH1012" s="3">
        <f>IF(IFERROR(VLOOKUP(D1012,Controls!$A$36:$E$46,5,FALSE()),"No")="Yes",1,0)</f>
        <v/>
      </c>
      <c r="AI1012" s="3">
        <f>IF(ISNUMBER(MATCH(D1012,Controls!$A$36:$A$46,0)),1,0)</f>
        <v/>
      </c>
      <c r="AJ1012" s="28">
        <f>Q1012-N1012</f>
        <v/>
      </c>
      <c r="AK1012" s="3">
        <f>IF(AE1012=1,MAX(0,N1012-Q1012),0)</f>
        <v/>
      </c>
      <c r="AL1012" s="3">
        <f>IF(OR(V1012="",V1012=0),0,N1012/V1012)</f>
        <v/>
      </c>
      <c r="AM1012" s="3">
        <f>IF(OR(V1012="",V1012=0),0,1)</f>
        <v/>
      </c>
      <c r="AN1012" s="3">
        <f>IF(OR(E1012="",F1012=""),0,NETWORKDAYS(E1012,F1012,Ref!$K$2:$K$42))</f>
        <v/>
      </c>
      <c r="AO1012" s="3">
        <f>IF(L1012="Renewal",1,0)</f>
        <v/>
      </c>
      <c r="AP1012" s="3">
        <f>AC1012*AD1012</f>
        <v/>
      </c>
      <c r="AQ1012" s="3">
        <f>IF(AND(G1012&lt;&gt;"",'Historical Score'!$C$6&lt;&gt;""),IF(G1012='Historical Score'!$C$6,1,0),0)</f>
        <v/>
      </c>
      <c r="AR1012" s="3">
        <f>IF(AND(L1012&lt;&gt;"",'Historical Score'!$C$5&lt;&gt;""),IF(L1012='Historical Score'!$C$5,1,0),0)</f>
        <v/>
      </c>
      <c r="AS1012" s="3">
        <f>IF(AND(Y1012&lt;&gt;"",'Historical Score'!$C$7&lt;&gt;""),IF(Y1012='Historical Score'!$C$7,1,0),0)</f>
        <v/>
      </c>
      <c r="AT1012" s="3">
        <f>IF(AND(K1012&lt;&gt;"",'Historical Score'!$C$8&lt;&gt;""),IF(K1012='Historical Score'!$C$8,1,0),0)</f>
        <v/>
      </c>
      <c r="AU1012" s="3" t="n"/>
      <c r="AV1012" s="3" t="n"/>
      <c r="AW1012" s="3" t="n"/>
      <c r="AX1012" s="3" t="n"/>
      <c r="AY1012" s="3" t="n"/>
      <c r="AZ1012" s="3" t="n"/>
      <c r="BA1012" s="182">
        <f>IF(AD1012=1,(AR1012*'Historical Score'!$K$29+1-'Historical Score'!$K$29)*(AT1012*'Historical Score'!$L$29+1-'Historical Score'!$L$29)*(AS1012*'Historical Score'!$M$29+1-'Historical Score'!$M$29)*(AQ1012*'Historical Score'!$N$29+1-'Historical Score'!$N$29),0)</f>
        <v/>
      </c>
      <c r="BB1012" s="3" t="n"/>
      <c r="BC1012" s="3" t="n"/>
    </row>
    <row r="1013" ht="15" customHeight="1" s="174">
      <c r="A1013" s="3" t="inlineStr">
        <is>
          <t>5674186955</t>
        </is>
      </c>
      <c r="B1013" s="3" t="inlineStr">
        <is>
          <t>Highlander Transport Ak Llc</t>
        </is>
      </c>
      <c r="C1013" s="3" t="inlineStr">
        <is>
          <t>Highlander Transport Ak Llc</t>
        </is>
      </c>
      <c r="D1013" s="3" t="inlineStr">
        <is>
          <t>Open</t>
        </is>
      </c>
      <c r="E1013" s="23" t="n">
        <v>46211</v>
      </c>
      <c r="F1013" s="23" t="n">
        <v>46248</v>
      </c>
      <c r="G1013" s="3" t="n">
        <v>3</v>
      </c>
      <c r="H1013" s="3" t="inlineStr">
        <is>
          <t>1521</t>
        </is>
      </c>
      <c r="I1013" s="3" t="inlineStr">
        <is>
          <t>15</t>
        </is>
      </c>
      <c r="J1013" s="3" t="inlineStr">
        <is>
          <t>OR</t>
        </is>
      </c>
      <c r="K1013" s="3" t="inlineStr">
        <is>
          <t>PMF</t>
        </is>
      </c>
      <c r="L1013" s="3" t="inlineStr">
        <is>
          <t>New Deal</t>
        </is>
      </c>
      <c r="M1013" s="3" t="n">
        <v>1.34</v>
      </c>
      <c r="N1013" s="28" t="n">
        <v>35000</v>
      </c>
      <c r="O1013" s="28" t="n">
        <v>2100</v>
      </c>
      <c r="P1013" s="28" t="n">
        <v>46900</v>
      </c>
      <c r="Q1013" s="28" t="n">
        <v>8681</v>
      </c>
      <c r="R1013" s="28" t="n">
        <v>38219</v>
      </c>
      <c r="S1013" s="42" t="n">
        <v>0.185095948827292</v>
      </c>
      <c r="T1013" s="3" t="n">
        <v>27</v>
      </c>
      <c r="U1013" s="3" t="n">
        <v>0</v>
      </c>
      <c r="V1013" s="3" t="n">
        <v>219079.1</v>
      </c>
      <c r="W1013" s="42" t="n">
        <v>0.0317</v>
      </c>
      <c r="X1013" s="23" t="n">
        <v>45292</v>
      </c>
      <c r="Y1013" s="3">
        <f>IF(I1013="","No SIC",IFERROR(VLOOKUP(I1013,Ref!$A$2:$B$65,2,FALSE()),"Unclassified"))</f>
        <v/>
      </c>
      <c r="Z1013" s="3">
        <f>IF(T1013="","",IF(T1013&lt;12,"Daily","Weekly"))</f>
        <v/>
      </c>
      <c r="AA1013" s="3">
        <f>IF(T1013="",0,IF(T1013&lt;12,T1013*Controls!$B$13,T1013*5))</f>
        <v/>
      </c>
      <c r="AB1013" s="3">
        <f>IF(E1013="",0,NETWORKDAYS(E1013,Controls!$B$20,Ref!$K$2:$K$42))</f>
        <v/>
      </c>
      <c r="AC1013" s="3">
        <f>IF(OR(AF1013=1,AND(AA1013&gt;0,AB1013&gt;=Controls!$B$23*AA1013)),1,0)</f>
        <v/>
      </c>
      <c r="AD1013" s="3">
        <f>IF(AND(E1013&lt;&gt;"",E1013&gt;=Controls!$B$21,E1013&lt;=Controls!$B$22),1,0)</f>
        <v/>
      </c>
      <c r="AE1013" s="3">
        <f>IF(IFERROR(VLOOKUP(D1013,Controls!$A$36:$E$46,2,FALSE()),"No")="Yes",1,0)</f>
        <v/>
      </c>
      <c r="AF1013" s="3">
        <f>IF(IFERROR(VLOOKUP(D1013,Controls!$A$36:$E$46,3,FALSE()),"No")="Yes",1,0)</f>
        <v/>
      </c>
      <c r="AG1013" s="3">
        <f>IF(IFERROR(VLOOKUP(D1013,Controls!$A$36:$E$46,4,FALSE()),"No")="Yes",1,0)</f>
        <v/>
      </c>
      <c r="AH1013" s="3">
        <f>IF(IFERROR(VLOOKUP(D1013,Controls!$A$36:$E$46,5,FALSE()),"No")="Yes",1,0)</f>
        <v/>
      </c>
      <c r="AI1013" s="3">
        <f>IF(ISNUMBER(MATCH(D1013,Controls!$A$36:$A$46,0)),1,0)</f>
        <v/>
      </c>
      <c r="AJ1013" s="28">
        <f>Q1013-N1013</f>
        <v/>
      </c>
      <c r="AK1013" s="3">
        <f>IF(AE1013=1,MAX(0,N1013-Q1013),0)</f>
        <v/>
      </c>
      <c r="AL1013" s="3">
        <f>IF(OR(V1013="",V1013=0),0,N1013/V1013)</f>
        <v/>
      </c>
      <c r="AM1013" s="3">
        <f>IF(OR(V1013="",V1013=0),0,1)</f>
        <v/>
      </c>
      <c r="AN1013" s="3">
        <f>IF(OR(E1013="",F1013=""),0,NETWORKDAYS(E1013,F1013,Ref!$K$2:$K$42))</f>
        <v/>
      </c>
      <c r="AO1013" s="3">
        <f>IF(L1013="Renewal",1,0)</f>
        <v/>
      </c>
      <c r="AP1013" s="3">
        <f>AC1013*AD1013</f>
        <v/>
      </c>
      <c r="AQ1013" s="3">
        <f>IF(AND(G1013&lt;&gt;"",'Historical Score'!$C$6&lt;&gt;""),IF(G1013='Historical Score'!$C$6,1,0),0)</f>
        <v/>
      </c>
      <c r="AR1013" s="3">
        <f>IF(AND(L1013&lt;&gt;"",'Historical Score'!$C$5&lt;&gt;""),IF(L1013='Historical Score'!$C$5,1,0),0)</f>
        <v/>
      </c>
      <c r="AS1013" s="3">
        <f>IF(AND(Y1013&lt;&gt;"",'Historical Score'!$C$7&lt;&gt;""),IF(Y1013='Historical Score'!$C$7,1,0),0)</f>
        <v/>
      </c>
      <c r="AT1013" s="3">
        <f>IF(AND(K1013&lt;&gt;"",'Historical Score'!$C$8&lt;&gt;""),IF(K1013='Historical Score'!$C$8,1,0),0)</f>
        <v/>
      </c>
      <c r="AU1013" s="3" t="n"/>
      <c r="AV1013" s="3" t="n"/>
      <c r="AW1013" s="3" t="n"/>
      <c r="AX1013" s="3" t="n"/>
      <c r="AY1013" s="3" t="n"/>
      <c r="AZ1013" s="3" t="n"/>
      <c r="BA1013" s="182">
        <f>IF(AD1013=1,(AR1013*'Historical Score'!$K$29+1-'Historical Score'!$K$29)*(AT1013*'Historical Score'!$L$29+1-'Historical Score'!$L$29)*(AS1013*'Historical Score'!$M$29+1-'Historical Score'!$M$29)*(AQ1013*'Historical Score'!$N$29+1-'Historical Score'!$N$29),0)</f>
        <v/>
      </c>
      <c r="BB1013" s="3" t="n"/>
      <c r="BC1013" s="3" t="n"/>
    </row>
    <row r="1014" ht="15" customHeight="1" s="174">
      <c r="A1014" s="3" t="inlineStr">
        <is>
          <t>5674186983</t>
        </is>
      </c>
      <c r="B1014" s="3" t="inlineStr">
        <is>
          <t>Cavalier Auto Transport</t>
        </is>
      </c>
      <c r="C1014" s="3" t="inlineStr">
        <is>
          <t>Cavalier Auto Transport</t>
        </is>
      </c>
      <c r="D1014" s="3" t="inlineStr">
        <is>
          <t>Open</t>
        </is>
      </c>
      <c r="E1014" s="23" t="n">
        <v>46212</v>
      </c>
      <c r="F1014" s="23" t="n">
        <v>46253</v>
      </c>
      <c r="G1014" s="3" t="n">
        <v>2</v>
      </c>
      <c r="H1014" s="3" t="inlineStr">
        <is>
          <t>3799</t>
        </is>
      </c>
      <c r="I1014" s="3" t="inlineStr">
        <is>
          <t>37</t>
        </is>
      </c>
      <c r="J1014" s="3" t="inlineStr">
        <is>
          <t>FL</t>
        </is>
      </c>
      <c r="K1014" s="3" t="inlineStr">
        <is>
          <t>Ballicci</t>
        </is>
      </c>
      <c r="L1014" s="3" t="inlineStr">
        <is>
          <t>New Deal</t>
        </is>
      </c>
      <c r="M1014" s="3" t="n">
        <v>1.4</v>
      </c>
      <c r="N1014" s="28" t="n">
        <v>35000</v>
      </c>
      <c r="O1014" s="28" t="n">
        <v>3325</v>
      </c>
      <c r="P1014" s="28" t="n">
        <v>49000</v>
      </c>
      <c r="Q1014" s="28" t="n">
        <v>10502.4</v>
      </c>
      <c r="R1014" s="28" t="n">
        <v>38497.6</v>
      </c>
      <c r="S1014" s="42" t="n">
        <v>0.214334693877551</v>
      </c>
      <c r="T1014" s="3" t="n">
        <v>4.59</v>
      </c>
      <c r="U1014" s="3" t="n">
        <v>0</v>
      </c>
      <c r="V1014" s="3" t="n">
        <v>70757.37</v>
      </c>
      <c r="W1014" s="42" t="n">
        <v>0.1039</v>
      </c>
      <c r="X1014" s="23" t="n">
        <v>40918</v>
      </c>
      <c r="Y1014" s="3">
        <f>IF(I1014="","No SIC",IFERROR(VLOOKUP(I1014,Ref!$A$2:$B$65,2,FALSE()),"Unclassified"))</f>
        <v/>
      </c>
      <c r="Z1014" s="3">
        <f>IF(T1014="","",IF(T1014&lt;12,"Daily","Weekly"))</f>
        <v/>
      </c>
      <c r="AA1014" s="3">
        <f>IF(T1014="",0,IF(T1014&lt;12,T1014*Controls!$B$13,T1014*5))</f>
        <v/>
      </c>
      <c r="AB1014" s="3">
        <f>IF(E1014="",0,NETWORKDAYS(E1014,Controls!$B$20,Ref!$K$2:$K$42))</f>
        <v/>
      </c>
      <c r="AC1014" s="3">
        <f>IF(OR(AF1014=1,AND(AA1014&gt;0,AB1014&gt;=Controls!$B$23*AA1014)),1,0)</f>
        <v/>
      </c>
      <c r="AD1014" s="3">
        <f>IF(AND(E1014&lt;&gt;"",E1014&gt;=Controls!$B$21,E1014&lt;=Controls!$B$22),1,0)</f>
        <v/>
      </c>
      <c r="AE1014" s="3">
        <f>IF(IFERROR(VLOOKUP(D1014,Controls!$A$36:$E$46,2,FALSE()),"No")="Yes",1,0)</f>
        <v/>
      </c>
      <c r="AF1014" s="3">
        <f>IF(IFERROR(VLOOKUP(D1014,Controls!$A$36:$E$46,3,FALSE()),"No")="Yes",1,0)</f>
        <v/>
      </c>
      <c r="AG1014" s="3">
        <f>IF(IFERROR(VLOOKUP(D1014,Controls!$A$36:$E$46,4,FALSE()),"No")="Yes",1,0)</f>
        <v/>
      </c>
      <c r="AH1014" s="3">
        <f>IF(IFERROR(VLOOKUP(D1014,Controls!$A$36:$E$46,5,FALSE()),"No")="Yes",1,0)</f>
        <v/>
      </c>
      <c r="AI1014" s="3">
        <f>IF(ISNUMBER(MATCH(D1014,Controls!$A$36:$A$46,0)),1,0)</f>
        <v/>
      </c>
      <c r="AJ1014" s="28">
        <f>Q1014-N1014</f>
        <v/>
      </c>
      <c r="AK1014" s="3">
        <f>IF(AE1014=1,MAX(0,N1014-Q1014),0)</f>
        <v/>
      </c>
      <c r="AL1014" s="3">
        <f>IF(OR(V1014="",V1014=0),0,N1014/V1014)</f>
        <v/>
      </c>
      <c r="AM1014" s="3">
        <f>IF(OR(V1014="",V1014=0),0,1)</f>
        <v/>
      </c>
      <c r="AN1014" s="3">
        <f>IF(OR(E1014="",F1014=""),0,NETWORKDAYS(E1014,F1014,Ref!$K$2:$K$42))</f>
        <v/>
      </c>
      <c r="AO1014" s="3">
        <f>IF(L1014="Renewal",1,0)</f>
        <v/>
      </c>
      <c r="AP1014" s="3">
        <f>AC1014*AD1014</f>
        <v/>
      </c>
      <c r="AQ1014" s="3">
        <f>IF(AND(G1014&lt;&gt;"",'Historical Score'!$C$6&lt;&gt;""),IF(G1014='Historical Score'!$C$6,1,0),0)</f>
        <v/>
      </c>
      <c r="AR1014" s="3">
        <f>IF(AND(L1014&lt;&gt;"",'Historical Score'!$C$5&lt;&gt;""),IF(L1014='Historical Score'!$C$5,1,0),0)</f>
        <v/>
      </c>
      <c r="AS1014" s="3">
        <f>IF(AND(Y1014&lt;&gt;"",'Historical Score'!$C$7&lt;&gt;""),IF(Y1014='Historical Score'!$C$7,1,0),0)</f>
        <v/>
      </c>
      <c r="AT1014" s="3">
        <f>IF(AND(K1014&lt;&gt;"",'Historical Score'!$C$8&lt;&gt;""),IF(K1014='Historical Score'!$C$8,1,0),0)</f>
        <v/>
      </c>
      <c r="AU1014" s="3" t="n"/>
      <c r="AV1014" s="3" t="n"/>
      <c r="AW1014" s="3" t="n"/>
      <c r="AX1014" s="3" t="n"/>
      <c r="AY1014" s="3" t="n"/>
      <c r="AZ1014" s="3" t="n"/>
      <c r="BA1014" s="182">
        <f>IF(AD1014=1,(AR1014*'Historical Score'!$K$29+1-'Historical Score'!$K$29)*(AT1014*'Historical Score'!$L$29+1-'Historical Score'!$L$29)*(AS1014*'Historical Score'!$M$29+1-'Historical Score'!$M$29)*(AQ1014*'Historical Score'!$N$29+1-'Historical Score'!$N$29),0)</f>
        <v/>
      </c>
      <c r="BB1014" s="3" t="n"/>
      <c r="BC1014" s="3" t="n"/>
    </row>
    <row r="1015" ht="15" customHeight="1" s="174">
      <c r="A1015" s="3" t="inlineStr">
        <is>
          <t>5674186987</t>
        </is>
      </c>
      <c r="B1015" s="3" t="inlineStr">
        <is>
          <t>Bailey's Auto Crushing &amp; Recycling</t>
        </is>
      </c>
      <c r="C1015" s="3" t="inlineStr">
        <is>
          <t>ROBERT M BAILEY</t>
        </is>
      </c>
      <c r="D1015" s="3" t="inlineStr">
        <is>
          <t>Open</t>
        </is>
      </c>
      <c r="E1015" s="23" t="n">
        <v>46212</v>
      </c>
      <c r="F1015" s="23" t="n">
        <v>46253</v>
      </c>
      <c r="G1015" s="3" t="n">
        <v>2</v>
      </c>
      <c r="H1015" s="3" t="inlineStr">
        <is>
          <t>5093</t>
        </is>
      </c>
      <c r="I1015" s="3" t="inlineStr">
        <is>
          <t>50</t>
        </is>
      </c>
      <c r="J1015" s="3" t="inlineStr">
        <is>
          <t>TX</t>
        </is>
      </c>
      <c r="K1015" s="3" t="inlineStr">
        <is>
          <t>Kelly Kapital</t>
        </is>
      </c>
      <c r="L1015" s="3" t="inlineStr">
        <is>
          <t>New Deal</t>
        </is>
      </c>
      <c r="M1015" s="3" t="n">
        <v>1.38</v>
      </c>
      <c r="N1015" s="28" t="n">
        <v>165000</v>
      </c>
      <c r="O1015" s="28" t="n">
        <v>16500</v>
      </c>
      <c r="P1015" s="28" t="n">
        <v>227700</v>
      </c>
      <c r="Q1015" s="28" t="n">
        <v>34105.56</v>
      </c>
      <c r="R1015" s="28" t="n">
        <v>193594.44</v>
      </c>
      <c r="S1015" s="42" t="n">
        <v>0.149782872200264</v>
      </c>
      <c r="T1015" s="3" t="n">
        <v>40</v>
      </c>
      <c r="U1015" s="3" t="n">
        <v>0</v>
      </c>
      <c r="V1015" s="3" t="n">
        <v>1306773.74</v>
      </c>
      <c r="W1015" s="42" t="n">
        <v>0.0174</v>
      </c>
      <c r="X1015" s="23" t="n">
        <v>43619</v>
      </c>
      <c r="Y1015" s="3">
        <f>IF(I1015="","No SIC",IFERROR(VLOOKUP(I1015,Ref!$A$2:$B$65,2,FALSE()),"Unclassified"))</f>
        <v/>
      </c>
      <c r="Z1015" s="3">
        <f>IF(T1015="","",IF(T1015&lt;12,"Daily","Weekly"))</f>
        <v/>
      </c>
      <c r="AA1015" s="3">
        <f>IF(T1015="",0,IF(T1015&lt;12,T1015*Controls!$B$13,T1015*5))</f>
        <v/>
      </c>
      <c r="AB1015" s="3">
        <f>IF(E1015="",0,NETWORKDAYS(E1015,Controls!$B$20,Ref!$K$2:$K$42))</f>
        <v/>
      </c>
      <c r="AC1015" s="3">
        <f>IF(OR(AF1015=1,AND(AA1015&gt;0,AB1015&gt;=Controls!$B$23*AA1015)),1,0)</f>
        <v/>
      </c>
      <c r="AD1015" s="3">
        <f>IF(AND(E1015&lt;&gt;"",E1015&gt;=Controls!$B$21,E1015&lt;=Controls!$B$22),1,0)</f>
        <v/>
      </c>
      <c r="AE1015" s="3">
        <f>IF(IFERROR(VLOOKUP(D1015,Controls!$A$36:$E$46,2,FALSE()),"No")="Yes",1,0)</f>
        <v/>
      </c>
      <c r="AF1015" s="3">
        <f>IF(IFERROR(VLOOKUP(D1015,Controls!$A$36:$E$46,3,FALSE()),"No")="Yes",1,0)</f>
        <v/>
      </c>
      <c r="AG1015" s="3">
        <f>IF(IFERROR(VLOOKUP(D1015,Controls!$A$36:$E$46,4,FALSE()),"No")="Yes",1,0)</f>
        <v/>
      </c>
      <c r="AH1015" s="3">
        <f>IF(IFERROR(VLOOKUP(D1015,Controls!$A$36:$E$46,5,FALSE()),"No")="Yes",1,0)</f>
        <v/>
      </c>
      <c r="AI1015" s="3">
        <f>IF(ISNUMBER(MATCH(D1015,Controls!$A$36:$A$46,0)),1,0)</f>
        <v/>
      </c>
      <c r="AJ1015" s="28">
        <f>Q1015-N1015</f>
        <v/>
      </c>
      <c r="AK1015" s="3">
        <f>IF(AE1015=1,MAX(0,N1015-Q1015),0)</f>
        <v/>
      </c>
      <c r="AL1015" s="3">
        <f>IF(OR(V1015="",V1015=0),0,N1015/V1015)</f>
        <v/>
      </c>
      <c r="AM1015" s="3">
        <f>IF(OR(V1015="",V1015=0),0,1)</f>
        <v/>
      </c>
      <c r="AN1015" s="3">
        <f>IF(OR(E1015="",F1015=""),0,NETWORKDAYS(E1015,F1015,Ref!$K$2:$K$42))</f>
        <v/>
      </c>
      <c r="AO1015" s="3">
        <f>IF(L1015="Renewal",1,0)</f>
        <v/>
      </c>
      <c r="AP1015" s="3">
        <f>AC1015*AD1015</f>
        <v/>
      </c>
      <c r="AQ1015" s="3">
        <f>IF(AND(G1015&lt;&gt;"",'Historical Score'!$C$6&lt;&gt;""),IF(G1015='Historical Score'!$C$6,1,0),0)</f>
        <v/>
      </c>
      <c r="AR1015" s="3">
        <f>IF(AND(L1015&lt;&gt;"",'Historical Score'!$C$5&lt;&gt;""),IF(L1015='Historical Score'!$C$5,1,0),0)</f>
        <v/>
      </c>
      <c r="AS1015" s="3">
        <f>IF(AND(Y1015&lt;&gt;"",'Historical Score'!$C$7&lt;&gt;""),IF(Y1015='Historical Score'!$C$7,1,0),0)</f>
        <v/>
      </c>
      <c r="AT1015" s="3">
        <f>IF(AND(K1015&lt;&gt;"",'Historical Score'!$C$8&lt;&gt;""),IF(K1015='Historical Score'!$C$8,1,0),0)</f>
        <v/>
      </c>
      <c r="AU1015" s="3" t="n"/>
      <c r="AV1015" s="3" t="n"/>
      <c r="AW1015" s="3" t="n"/>
      <c r="AX1015" s="3" t="n"/>
      <c r="AY1015" s="3" t="n"/>
      <c r="AZ1015" s="3" t="n"/>
      <c r="BA1015" s="182">
        <f>IF(AD1015=1,(AR1015*'Historical Score'!$K$29+1-'Historical Score'!$K$29)*(AT1015*'Historical Score'!$L$29+1-'Historical Score'!$L$29)*(AS1015*'Historical Score'!$M$29+1-'Historical Score'!$M$29)*(AQ1015*'Historical Score'!$N$29+1-'Historical Score'!$N$29),0)</f>
        <v/>
      </c>
      <c r="BB1015" s="3" t="n"/>
      <c r="BC1015" s="3" t="n"/>
    </row>
    <row r="1016" ht="15" customHeight="1" s="174">
      <c r="A1016" s="3" t="inlineStr">
        <is>
          <t>5674187021</t>
        </is>
      </c>
      <c r="B1016" s="3" t="inlineStr">
        <is>
          <t>Hd Builders And Construction LLC</t>
        </is>
      </c>
      <c r="C1016" s="3" t="inlineStr">
        <is>
          <t>Hd Builders And Construction LLC</t>
        </is>
      </c>
      <c r="D1016" s="3" t="inlineStr">
        <is>
          <t>Open</t>
        </is>
      </c>
      <c r="E1016" s="23" t="n">
        <v>46212</v>
      </c>
      <c r="F1016" s="23" t="n">
        <v>46253</v>
      </c>
      <c r="G1016" s="3" t="n">
        <v>3</v>
      </c>
      <c r="H1016" s="3" t="inlineStr">
        <is>
          <t>1521</t>
        </is>
      </c>
      <c r="I1016" s="3" t="inlineStr">
        <is>
          <t>15</t>
        </is>
      </c>
      <c r="J1016" s="3" t="inlineStr">
        <is>
          <t>NM</t>
        </is>
      </c>
      <c r="K1016" s="3" t="inlineStr">
        <is>
          <t>AVON ADVANCE</t>
        </is>
      </c>
      <c r="L1016" s="3" t="inlineStr">
        <is>
          <t>Renewal</t>
        </is>
      </c>
      <c r="M1016" s="3" t="n">
        <v>1.49</v>
      </c>
      <c r="N1016" s="28" t="n">
        <v>30000</v>
      </c>
      <c r="O1016" s="28" t="n">
        <v>4200</v>
      </c>
      <c r="P1016" s="28" t="n">
        <v>44700</v>
      </c>
      <c r="Q1016" s="28" t="n">
        <v>10799.31</v>
      </c>
      <c r="R1016" s="28" t="n">
        <v>33900.69</v>
      </c>
      <c r="S1016" s="42" t="n">
        <v>0.241595302013423</v>
      </c>
      <c r="T1016" s="3" t="n">
        <v>3.934</v>
      </c>
      <c r="U1016" s="3" t="n">
        <v>0</v>
      </c>
      <c r="V1016" s="3" t="n">
        <v>50226.03</v>
      </c>
      <c r="W1016" s="42" t="n">
        <v>0.1557</v>
      </c>
      <c r="X1016" s="23" t="n">
        <v>44627</v>
      </c>
      <c r="Y1016" s="3">
        <f>IF(I1016="","No SIC",IFERROR(VLOOKUP(I1016,Ref!$A$2:$B$65,2,FALSE()),"Unclassified"))</f>
        <v/>
      </c>
      <c r="Z1016" s="3">
        <f>IF(T1016="","",IF(T1016&lt;12,"Daily","Weekly"))</f>
        <v/>
      </c>
      <c r="AA1016" s="3">
        <f>IF(T1016="",0,IF(T1016&lt;12,T1016*Controls!$B$13,T1016*5))</f>
        <v/>
      </c>
      <c r="AB1016" s="3">
        <f>IF(E1016="",0,NETWORKDAYS(E1016,Controls!$B$20,Ref!$K$2:$K$42))</f>
        <v/>
      </c>
      <c r="AC1016" s="3">
        <f>IF(OR(AF1016=1,AND(AA1016&gt;0,AB1016&gt;=Controls!$B$23*AA1016)),1,0)</f>
        <v/>
      </c>
      <c r="AD1016" s="3">
        <f>IF(AND(E1016&lt;&gt;"",E1016&gt;=Controls!$B$21,E1016&lt;=Controls!$B$22),1,0)</f>
        <v/>
      </c>
      <c r="AE1016" s="3">
        <f>IF(IFERROR(VLOOKUP(D1016,Controls!$A$36:$E$46,2,FALSE()),"No")="Yes",1,0)</f>
        <v/>
      </c>
      <c r="AF1016" s="3">
        <f>IF(IFERROR(VLOOKUP(D1016,Controls!$A$36:$E$46,3,FALSE()),"No")="Yes",1,0)</f>
        <v/>
      </c>
      <c r="AG1016" s="3">
        <f>IF(IFERROR(VLOOKUP(D1016,Controls!$A$36:$E$46,4,FALSE()),"No")="Yes",1,0)</f>
        <v/>
      </c>
      <c r="AH1016" s="3">
        <f>IF(IFERROR(VLOOKUP(D1016,Controls!$A$36:$E$46,5,FALSE()),"No")="Yes",1,0)</f>
        <v/>
      </c>
      <c r="AI1016" s="3">
        <f>IF(ISNUMBER(MATCH(D1016,Controls!$A$36:$A$46,0)),1,0)</f>
        <v/>
      </c>
      <c r="AJ1016" s="28">
        <f>Q1016-N1016</f>
        <v/>
      </c>
      <c r="AK1016" s="3">
        <f>IF(AE1016=1,MAX(0,N1016-Q1016),0)</f>
        <v/>
      </c>
      <c r="AL1016" s="3">
        <f>IF(OR(V1016="",V1016=0),0,N1016/V1016)</f>
        <v/>
      </c>
      <c r="AM1016" s="3">
        <f>IF(OR(V1016="",V1016=0),0,1)</f>
        <v/>
      </c>
      <c r="AN1016" s="3">
        <f>IF(OR(E1016="",F1016=""),0,NETWORKDAYS(E1016,F1016,Ref!$K$2:$K$42))</f>
        <v/>
      </c>
      <c r="AO1016" s="3">
        <f>IF(L1016="Renewal",1,0)</f>
        <v/>
      </c>
      <c r="AP1016" s="3">
        <f>AC1016*AD1016</f>
        <v/>
      </c>
      <c r="AQ1016" s="3">
        <f>IF(AND(G1016&lt;&gt;"",'Historical Score'!$C$6&lt;&gt;""),IF(G1016='Historical Score'!$C$6,1,0),0)</f>
        <v/>
      </c>
      <c r="AR1016" s="3">
        <f>IF(AND(L1016&lt;&gt;"",'Historical Score'!$C$5&lt;&gt;""),IF(L1016='Historical Score'!$C$5,1,0),0)</f>
        <v/>
      </c>
      <c r="AS1016" s="3">
        <f>IF(AND(Y1016&lt;&gt;"",'Historical Score'!$C$7&lt;&gt;""),IF(Y1016='Historical Score'!$C$7,1,0),0)</f>
        <v/>
      </c>
      <c r="AT1016" s="3">
        <f>IF(AND(K1016&lt;&gt;"",'Historical Score'!$C$8&lt;&gt;""),IF(K1016='Historical Score'!$C$8,1,0),0)</f>
        <v/>
      </c>
      <c r="AU1016" s="3" t="n"/>
      <c r="AV1016" s="3" t="n"/>
      <c r="AW1016" s="3" t="n"/>
      <c r="AX1016" s="3" t="n"/>
      <c r="AY1016" s="3" t="n"/>
      <c r="AZ1016" s="3" t="n"/>
      <c r="BA1016" s="182">
        <f>IF(AD1016=1,(AR1016*'Historical Score'!$K$29+1-'Historical Score'!$K$29)*(AT1016*'Historical Score'!$L$29+1-'Historical Score'!$L$29)*(AS1016*'Historical Score'!$M$29+1-'Historical Score'!$M$29)*(AQ1016*'Historical Score'!$N$29+1-'Historical Score'!$N$29),0)</f>
        <v/>
      </c>
      <c r="BB1016" s="3" t="n"/>
      <c r="BC1016" s="3" t="n"/>
    </row>
    <row r="1017" ht="15" customHeight="1" s="174">
      <c r="A1017" s="3" t="inlineStr">
        <is>
          <t>5674187028</t>
        </is>
      </c>
      <c r="B1017" s="3" t="inlineStr">
        <is>
          <t>Sofi foods and meat</t>
        </is>
      </c>
      <c r="C1017" s="3" t="inlineStr">
        <is>
          <t>Sofi foods and meat inc</t>
        </is>
      </c>
      <c r="D1017" s="3" t="inlineStr">
        <is>
          <t>Legal</t>
        </is>
      </c>
      <c r="E1017" s="23" t="n">
        <v>46212</v>
      </c>
      <c r="F1017" s="23" t="n">
        <v>46225</v>
      </c>
      <c r="G1017" s="3" t="n">
        <v>2</v>
      </c>
      <c r="H1017" s="3" t="inlineStr">
        <is>
          <t>5147</t>
        </is>
      </c>
      <c r="I1017" s="3" t="inlineStr">
        <is>
          <t>51</t>
        </is>
      </c>
      <c r="J1017" s="3" t="inlineStr">
        <is>
          <t>IL</t>
        </is>
      </c>
      <c r="K1017" s="3" t="inlineStr">
        <is>
          <t>Fundible</t>
        </is>
      </c>
      <c r="L1017" s="3" t="inlineStr">
        <is>
          <t>New Deal</t>
        </is>
      </c>
      <c r="M1017" s="3" t="n">
        <v>1.49</v>
      </c>
      <c r="N1017" s="28" t="n">
        <v>25000</v>
      </c>
      <c r="O1017" s="28" t="n">
        <v>0</v>
      </c>
      <c r="P1017" s="28" t="n">
        <v>37250</v>
      </c>
      <c r="Q1017" s="28" t="n">
        <v>1862.16</v>
      </c>
      <c r="R1017" s="28" t="n">
        <v>35387.84</v>
      </c>
      <c r="S1017" s="42" t="n">
        <v>0.0499908724832215</v>
      </c>
      <c r="T1017" s="3" t="n">
        <v>20</v>
      </c>
      <c r="U1017" s="3" t="n">
        <v>1</v>
      </c>
      <c r="V1017" s="3" t="n">
        <v>235066.65</v>
      </c>
      <c r="W1017" s="42" t="n">
        <v>0.0177</v>
      </c>
      <c r="X1017" s="23" t="n">
        <v>45748</v>
      </c>
      <c r="Y1017" s="3">
        <f>IF(I1017="","No SIC",IFERROR(VLOOKUP(I1017,Ref!$A$2:$B$65,2,FALSE()),"Unclassified"))</f>
        <v/>
      </c>
      <c r="Z1017" s="3">
        <f>IF(T1017="","",IF(T1017&lt;12,"Daily","Weekly"))</f>
        <v/>
      </c>
      <c r="AA1017" s="3">
        <f>IF(T1017="",0,IF(T1017&lt;12,T1017*Controls!$B$13,T1017*5))</f>
        <v/>
      </c>
      <c r="AB1017" s="3">
        <f>IF(E1017="",0,NETWORKDAYS(E1017,Controls!$B$20,Ref!$K$2:$K$42))</f>
        <v/>
      </c>
      <c r="AC1017" s="3">
        <f>IF(OR(AF1017=1,AND(AA1017&gt;0,AB1017&gt;=Controls!$B$23*AA1017)),1,0)</f>
        <v/>
      </c>
      <c r="AD1017" s="3">
        <f>IF(AND(E1017&lt;&gt;"",E1017&gt;=Controls!$B$21,E1017&lt;=Controls!$B$22),1,0)</f>
        <v/>
      </c>
      <c r="AE1017" s="3">
        <f>IF(IFERROR(VLOOKUP(D1017,Controls!$A$36:$E$46,2,FALSE()),"No")="Yes",1,0)</f>
        <v/>
      </c>
      <c r="AF1017" s="3">
        <f>IF(IFERROR(VLOOKUP(D1017,Controls!$A$36:$E$46,3,FALSE()),"No")="Yes",1,0)</f>
        <v/>
      </c>
      <c r="AG1017" s="3">
        <f>IF(IFERROR(VLOOKUP(D1017,Controls!$A$36:$E$46,4,FALSE()),"No")="Yes",1,0)</f>
        <v/>
      </c>
      <c r="AH1017" s="3">
        <f>IF(IFERROR(VLOOKUP(D1017,Controls!$A$36:$E$46,5,FALSE()),"No")="Yes",1,0)</f>
        <v/>
      </c>
      <c r="AI1017" s="3">
        <f>IF(ISNUMBER(MATCH(D1017,Controls!$A$36:$A$46,0)),1,0)</f>
        <v/>
      </c>
      <c r="AJ1017" s="28">
        <f>Q1017-N1017</f>
        <v/>
      </c>
      <c r="AK1017" s="3">
        <f>IF(AE1017=1,MAX(0,N1017-Q1017),0)</f>
        <v/>
      </c>
      <c r="AL1017" s="3">
        <f>IF(OR(V1017="",V1017=0),0,N1017/V1017)</f>
        <v/>
      </c>
      <c r="AM1017" s="3">
        <f>IF(OR(V1017="",V1017=0),0,1)</f>
        <v/>
      </c>
      <c r="AN1017" s="3">
        <f>IF(OR(E1017="",F1017=""),0,NETWORKDAYS(E1017,F1017,Ref!$K$2:$K$42))</f>
        <v/>
      </c>
      <c r="AO1017" s="3">
        <f>IF(L1017="Renewal",1,0)</f>
        <v/>
      </c>
      <c r="AP1017" s="3">
        <f>AC1017*AD1017</f>
        <v/>
      </c>
      <c r="AQ1017" s="3">
        <f>IF(AND(G1017&lt;&gt;"",'Historical Score'!$C$6&lt;&gt;""),IF(G1017='Historical Score'!$C$6,1,0),0)</f>
        <v/>
      </c>
      <c r="AR1017" s="3">
        <f>IF(AND(L1017&lt;&gt;"",'Historical Score'!$C$5&lt;&gt;""),IF(L1017='Historical Score'!$C$5,1,0),0)</f>
        <v/>
      </c>
      <c r="AS1017" s="3">
        <f>IF(AND(Y1017&lt;&gt;"",'Historical Score'!$C$7&lt;&gt;""),IF(Y1017='Historical Score'!$C$7,1,0),0)</f>
        <v/>
      </c>
      <c r="AT1017" s="3">
        <f>IF(AND(K1017&lt;&gt;"",'Historical Score'!$C$8&lt;&gt;""),IF(K1017='Historical Score'!$C$8,1,0),0)</f>
        <v/>
      </c>
      <c r="AU1017" s="3" t="n"/>
      <c r="AV1017" s="3" t="n"/>
      <c r="AW1017" s="3" t="n"/>
      <c r="AX1017" s="3" t="n"/>
      <c r="AY1017" s="3" t="n"/>
      <c r="AZ1017" s="3" t="n"/>
      <c r="BA1017" s="182">
        <f>IF(AD1017=1,(AR1017*'Historical Score'!$K$29+1-'Historical Score'!$K$29)*(AT1017*'Historical Score'!$L$29+1-'Historical Score'!$L$29)*(AS1017*'Historical Score'!$M$29+1-'Historical Score'!$M$29)*(AQ1017*'Historical Score'!$N$29+1-'Historical Score'!$N$29),0)</f>
        <v/>
      </c>
      <c r="BB1017" s="3" t="n"/>
      <c r="BC1017" s="3" t="n"/>
    </row>
    <row r="1018" ht="15" customHeight="1" s="174">
      <c r="A1018" s="3" t="inlineStr">
        <is>
          <t>5674187072</t>
        </is>
      </c>
      <c r="B1018" s="3" t="inlineStr">
        <is>
          <t>EASTERN VIRGINIA CAREER COLLEGE, EVCC</t>
        </is>
      </c>
      <c r="C1018" s="3" t="inlineStr">
        <is>
          <t>TEMACC LLC</t>
        </is>
      </c>
      <c r="D1018" s="3" t="inlineStr">
        <is>
          <t>Open</t>
        </is>
      </c>
      <c r="E1018" s="23" t="n">
        <v>46213</v>
      </c>
      <c r="F1018" s="23" t="n">
        <v>46247</v>
      </c>
      <c r="G1018" s="3" t="n">
        <v>3</v>
      </c>
      <c r="H1018" s="3" t="inlineStr">
        <is>
          <t>8299</t>
        </is>
      </c>
      <c r="I1018" s="3" t="inlineStr">
        <is>
          <t>82</t>
        </is>
      </c>
      <c r="J1018" s="3" t="inlineStr">
        <is>
          <t>NY</t>
        </is>
      </c>
      <c r="K1018" s="3" t="inlineStr">
        <is>
          <t>PMF</t>
        </is>
      </c>
      <c r="L1018" s="3" t="inlineStr">
        <is>
          <t>New Deal</t>
        </is>
      </c>
      <c r="M1018" s="3" t="n">
        <v>1.45</v>
      </c>
      <c r="N1018" s="28" t="n">
        <v>225000</v>
      </c>
      <c r="O1018" s="28" t="n">
        <v>27000</v>
      </c>
      <c r="P1018" s="28" t="n">
        <v>326250</v>
      </c>
      <c r="Q1018" s="28" t="n">
        <v>47891.95</v>
      </c>
      <c r="R1018" s="28" t="n">
        <v>278358.05</v>
      </c>
      <c r="S1018" s="42" t="n">
        <v>0.146795249042146</v>
      </c>
      <c r="T1018" s="3" t="n">
        <v>34</v>
      </c>
      <c r="U1018" s="3" t="n">
        <v>0</v>
      </c>
      <c r="V1018" s="3" t="n">
        <v>1658595.82</v>
      </c>
      <c r="W1018" s="42" t="n">
        <v>0.0231</v>
      </c>
      <c r="X1018" s="23" t="n">
        <v>35492</v>
      </c>
      <c r="Y1018" s="3">
        <f>IF(I1018="","No SIC",IFERROR(VLOOKUP(I1018,Ref!$A$2:$B$65,2,FALSE()),"Unclassified"))</f>
        <v/>
      </c>
      <c r="Z1018" s="3">
        <f>IF(T1018="","",IF(T1018&lt;12,"Daily","Weekly"))</f>
        <v/>
      </c>
      <c r="AA1018" s="3">
        <f>IF(T1018="",0,IF(T1018&lt;12,T1018*Controls!$B$13,T1018*5))</f>
        <v/>
      </c>
      <c r="AB1018" s="3">
        <f>IF(E1018="",0,NETWORKDAYS(E1018,Controls!$B$20,Ref!$K$2:$K$42))</f>
        <v/>
      </c>
      <c r="AC1018" s="3">
        <f>IF(OR(AF1018=1,AND(AA1018&gt;0,AB1018&gt;=Controls!$B$23*AA1018)),1,0)</f>
        <v/>
      </c>
      <c r="AD1018" s="3">
        <f>IF(AND(E1018&lt;&gt;"",E1018&gt;=Controls!$B$21,E1018&lt;=Controls!$B$22),1,0)</f>
        <v/>
      </c>
      <c r="AE1018" s="3">
        <f>IF(IFERROR(VLOOKUP(D1018,Controls!$A$36:$E$46,2,FALSE()),"No")="Yes",1,0)</f>
        <v/>
      </c>
      <c r="AF1018" s="3">
        <f>IF(IFERROR(VLOOKUP(D1018,Controls!$A$36:$E$46,3,FALSE()),"No")="Yes",1,0)</f>
        <v/>
      </c>
      <c r="AG1018" s="3">
        <f>IF(IFERROR(VLOOKUP(D1018,Controls!$A$36:$E$46,4,FALSE()),"No")="Yes",1,0)</f>
        <v/>
      </c>
      <c r="AH1018" s="3">
        <f>IF(IFERROR(VLOOKUP(D1018,Controls!$A$36:$E$46,5,FALSE()),"No")="Yes",1,0)</f>
        <v/>
      </c>
      <c r="AI1018" s="3">
        <f>IF(ISNUMBER(MATCH(D1018,Controls!$A$36:$A$46,0)),1,0)</f>
        <v/>
      </c>
      <c r="AJ1018" s="28">
        <f>Q1018-N1018</f>
        <v/>
      </c>
      <c r="AK1018" s="3">
        <f>IF(AE1018=1,MAX(0,N1018-Q1018),0)</f>
        <v/>
      </c>
      <c r="AL1018" s="3">
        <f>IF(OR(V1018="",V1018=0),0,N1018/V1018)</f>
        <v/>
      </c>
      <c r="AM1018" s="3">
        <f>IF(OR(V1018="",V1018=0),0,1)</f>
        <v/>
      </c>
      <c r="AN1018" s="3">
        <f>IF(OR(E1018="",F1018=""),0,NETWORKDAYS(E1018,F1018,Ref!$K$2:$K$42))</f>
        <v/>
      </c>
      <c r="AO1018" s="3">
        <f>IF(L1018="Renewal",1,0)</f>
        <v/>
      </c>
      <c r="AP1018" s="3">
        <f>AC1018*AD1018</f>
        <v/>
      </c>
      <c r="AQ1018" s="3">
        <f>IF(AND(G1018&lt;&gt;"",'Historical Score'!$C$6&lt;&gt;""),IF(G1018='Historical Score'!$C$6,1,0),0)</f>
        <v/>
      </c>
      <c r="AR1018" s="3">
        <f>IF(AND(L1018&lt;&gt;"",'Historical Score'!$C$5&lt;&gt;""),IF(L1018='Historical Score'!$C$5,1,0),0)</f>
        <v/>
      </c>
      <c r="AS1018" s="3">
        <f>IF(AND(Y1018&lt;&gt;"",'Historical Score'!$C$7&lt;&gt;""),IF(Y1018='Historical Score'!$C$7,1,0),0)</f>
        <v/>
      </c>
      <c r="AT1018" s="3">
        <f>IF(AND(K1018&lt;&gt;"",'Historical Score'!$C$8&lt;&gt;""),IF(K1018='Historical Score'!$C$8,1,0),0)</f>
        <v/>
      </c>
      <c r="AU1018" s="3" t="n"/>
      <c r="AV1018" s="3" t="n"/>
      <c r="AW1018" s="3" t="n"/>
      <c r="AX1018" s="3" t="n"/>
      <c r="AY1018" s="3" t="n"/>
      <c r="AZ1018" s="3" t="n"/>
      <c r="BA1018" s="182">
        <f>IF(AD1018=1,(AR1018*'Historical Score'!$K$29+1-'Historical Score'!$K$29)*(AT1018*'Historical Score'!$L$29+1-'Historical Score'!$L$29)*(AS1018*'Historical Score'!$M$29+1-'Historical Score'!$M$29)*(AQ1018*'Historical Score'!$N$29+1-'Historical Score'!$N$29),0)</f>
        <v/>
      </c>
      <c r="BB1018" s="3" t="n"/>
      <c r="BC1018" s="3" t="n"/>
    </row>
    <row r="1019" ht="15" customHeight="1" s="174">
      <c r="A1019" s="3" t="inlineStr">
        <is>
          <t>5674187085</t>
        </is>
      </c>
      <c r="B1019" s="3" t="inlineStr">
        <is>
          <t>WEBBER INTERNATIONAL UNIVERSITY</t>
        </is>
      </c>
      <c r="C1019" s="3" t="inlineStr">
        <is>
          <t>WEBBER INTERNATIONAL UNIVERSITY INC</t>
        </is>
      </c>
      <c r="D1019" s="3" t="inlineStr">
        <is>
          <t>Closed</t>
        </is>
      </c>
      <c r="E1019" s="23" t="n">
        <v>46213</v>
      </c>
      <c r="F1019" s="23" t="n">
        <v>46246</v>
      </c>
      <c r="G1019" s="3" t="n">
        <v>3</v>
      </c>
      <c r="H1019" s="3" t="inlineStr">
        <is>
          <t>8299</t>
        </is>
      </c>
      <c r="I1019" s="3" t="inlineStr">
        <is>
          <t>82</t>
        </is>
      </c>
      <c r="J1019" s="3" t="inlineStr">
        <is>
          <t>FL</t>
        </is>
      </c>
      <c r="K1019" s="3" t="inlineStr">
        <is>
          <t>United Secured Capital 8</t>
        </is>
      </c>
      <c r="L1019" s="3" t="inlineStr">
        <is>
          <t>New Deal</t>
        </is>
      </c>
      <c r="M1019" s="3" t="n">
        <v>1.2460608</v>
      </c>
      <c r="N1019" s="28" t="n">
        <v>150000</v>
      </c>
      <c r="O1019" s="28" t="n">
        <v>21000</v>
      </c>
      <c r="P1019" s="28" t="n">
        <v>186909.12</v>
      </c>
      <c r="Q1019" s="28" t="n">
        <v>186909.12</v>
      </c>
      <c r="R1019" s="28" t="n">
        <v>0</v>
      </c>
      <c r="S1019" s="42" t="n">
        <v>1</v>
      </c>
      <c r="T1019" s="3" t="n">
        <v>32</v>
      </c>
      <c r="U1019" s="3" t="n">
        <v>0</v>
      </c>
      <c r="V1019" s="3" t="n">
        <v>760957.2</v>
      </c>
      <c r="W1019" s="42" t="n">
        <v>0.0167</v>
      </c>
      <c r="X1019" s="23" t="n">
        <v>43101</v>
      </c>
      <c r="Y1019" s="3">
        <f>IF(I1019="","No SIC",IFERROR(VLOOKUP(I1019,Ref!$A$2:$B$65,2,FALSE()),"Unclassified"))</f>
        <v/>
      </c>
      <c r="Z1019" s="3">
        <f>IF(T1019="","",IF(T1019&lt;12,"Daily","Weekly"))</f>
        <v/>
      </c>
      <c r="AA1019" s="3">
        <f>IF(T1019="",0,IF(T1019&lt;12,T1019*Controls!$B$13,T1019*5))</f>
        <v/>
      </c>
      <c r="AB1019" s="3">
        <f>IF(E1019="",0,NETWORKDAYS(E1019,Controls!$B$20,Ref!$K$2:$K$42))</f>
        <v/>
      </c>
      <c r="AC1019" s="3">
        <f>IF(OR(AF1019=1,AND(AA1019&gt;0,AB1019&gt;=Controls!$B$23*AA1019)),1,0)</f>
        <v/>
      </c>
      <c r="AD1019" s="3">
        <f>IF(AND(E1019&lt;&gt;"",E1019&gt;=Controls!$B$21,E1019&lt;=Controls!$B$22),1,0)</f>
        <v/>
      </c>
      <c r="AE1019" s="3">
        <f>IF(IFERROR(VLOOKUP(D1019,Controls!$A$36:$E$46,2,FALSE()),"No")="Yes",1,0)</f>
        <v/>
      </c>
      <c r="AF1019" s="3">
        <f>IF(IFERROR(VLOOKUP(D1019,Controls!$A$36:$E$46,3,FALSE()),"No")="Yes",1,0)</f>
        <v/>
      </c>
      <c r="AG1019" s="3">
        <f>IF(IFERROR(VLOOKUP(D1019,Controls!$A$36:$E$46,4,FALSE()),"No")="Yes",1,0)</f>
        <v/>
      </c>
      <c r="AH1019" s="3">
        <f>IF(IFERROR(VLOOKUP(D1019,Controls!$A$36:$E$46,5,FALSE()),"No")="Yes",1,0)</f>
        <v/>
      </c>
      <c r="AI1019" s="3">
        <f>IF(ISNUMBER(MATCH(D1019,Controls!$A$36:$A$46,0)),1,0)</f>
        <v/>
      </c>
      <c r="AJ1019" s="28">
        <f>Q1019-N1019</f>
        <v/>
      </c>
      <c r="AK1019" s="3">
        <f>IF(AE1019=1,MAX(0,N1019-Q1019),0)</f>
        <v/>
      </c>
      <c r="AL1019" s="3">
        <f>IF(OR(V1019="",V1019=0),0,N1019/V1019)</f>
        <v/>
      </c>
      <c r="AM1019" s="3">
        <f>IF(OR(V1019="",V1019=0),0,1)</f>
        <v/>
      </c>
      <c r="AN1019" s="3">
        <f>IF(OR(E1019="",F1019=""),0,NETWORKDAYS(E1019,F1019,Ref!$K$2:$K$42))</f>
        <v/>
      </c>
      <c r="AO1019" s="3">
        <f>IF(L1019="Renewal",1,0)</f>
        <v/>
      </c>
      <c r="AP1019" s="3">
        <f>AC1019*AD1019</f>
        <v/>
      </c>
      <c r="AQ1019" s="3">
        <f>IF(AND(G1019&lt;&gt;"",'Historical Score'!$C$6&lt;&gt;""),IF(G1019='Historical Score'!$C$6,1,0),0)</f>
        <v/>
      </c>
      <c r="AR1019" s="3">
        <f>IF(AND(L1019&lt;&gt;"",'Historical Score'!$C$5&lt;&gt;""),IF(L1019='Historical Score'!$C$5,1,0),0)</f>
        <v/>
      </c>
      <c r="AS1019" s="3">
        <f>IF(AND(Y1019&lt;&gt;"",'Historical Score'!$C$7&lt;&gt;""),IF(Y1019='Historical Score'!$C$7,1,0),0)</f>
        <v/>
      </c>
      <c r="AT1019" s="3">
        <f>IF(AND(K1019&lt;&gt;"",'Historical Score'!$C$8&lt;&gt;""),IF(K1019='Historical Score'!$C$8,1,0),0)</f>
        <v/>
      </c>
      <c r="AU1019" s="3" t="n"/>
      <c r="AV1019" s="3" t="n"/>
      <c r="AW1019" s="3" t="n"/>
      <c r="AX1019" s="3" t="n"/>
      <c r="AY1019" s="3" t="n"/>
      <c r="AZ1019" s="3" t="n"/>
      <c r="BA1019" s="182">
        <f>IF(AD1019=1,(AR1019*'Historical Score'!$K$29+1-'Historical Score'!$K$29)*(AT1019*'Historical Score'!$L$29+1-'Historical Score'!$L$29)*(AS1019*'Historical Score'!$M$29+1-'Historical Score'!$M$29)*(AQ1019*'Historical Score'!$N$29+1-'Historical Score'!$N$29),0)</f>
        <v/>
      </c>
      <c r="BB1019" s="3" t="n"/>
      <c r="BC1019" s="3" t="n"/>
    </row>
    <row r="1020" ht="15" customHeight="1" s="174">
      <c r="A1020" s="3" t="inlineStr">
        <is>
          <t>5674187100</t>
        </is>
      </c>
      <c r="B1020" s="3" t="inlineStr">
        <is>
          <t>Obys Auto Restoration LLC</t>
        </is>
      </c>
      <c r="C1020" s="3" t="inlineStr">
        <is>
          <t>Obys Auto Restoration LLC</t>
        </is>
      </c>
      <c r="D1020" s="3" t="inlineStr">
        <is>
          <t>Open</t>
        </is>
      </c>
      <c r="E1020" s="23" t="n">
        <v>46213</v>
      </c>
      <c r="F1020" s="23" t="n">
        <v>46248</v>
      </c>
      <c r="G1020" s="3" t="n">
        <v>3</v>
      </c>
      <c r="H1020" s="3" t="inlineStr">
        <is>
          <t>7538</t>
        </is>
      </c>
      <c r="I1020" s="3" t="inlineStr">
        <is>
          <t>75</t>
        </is>
      </c>
      <c r="J1020" s="3" t="inlineStr">
        <is>
          <t>WI</t>
        </is>
      </c>
      <c r="K1020" s="3" t="inlineStr">
        <is>
          <t>United Secured Capital 8</t>
        </is>
      </c>
      <c r="L1020" s="3" t="inlineStr">
        <is>
          <t>Renewal</t>
        </is>
      </c>
      <c r="M1020" s="3" t="n">
        <v>1.49</v>
      </c>
      <c r="N1020" s="28" t="n">
        <v>40000</v>
      </c>
      <c r="O1020" s="28" t="n">
        <v>5600</v>
      </c>
      <c r="P1020" s="28" t="n">
        <v>59600</v>
      </c>
      <c r="Q1020" s="28" t="n">
        <v>8278.1</v>
      </c>
      <c r="R1020" s="28" t="n">
        <v>51321.9</v>
      </c>
      <c r="S1020" s="42" t="n">
        <v>0.138894295302013</v>
      </c>
      <c r="T1020" s="3" t="n">
        <v>36</v>
      </c>
      <c r="U1020" s="3" t="n">
        <v>0</v>
      </c>
      <c r="V1020" s="3" t="n">
        <v>44329</v>
      </c>
      <c r="W1020" s="42" t="n">
        <v>0.1835</v>
      </c>
      <c r="X1020" s="23" t="n">
        <v>45812</v>
      </c>
      <c r="Y1020" s="3">
        <f>IF(I1020="","No SIC",IFERROR(VLOOKUP(I1020,Ref!$A$2:$B$65,2,FALSE()),"Unclassified"))</f>
        <v/>
      </c>
      <c r="Z1020" s="3">
        <f>IF(T1020="","",IF(T1020&lt;12,"Daily","Weekly"))</f>
        <v/>
      </c>
      <c r="AA1020" s="3">
        <f>IF(T1020="",0,IF(T1020&lt;12,T1020*Controls!$B$13,T1020*5))</f>
        <v/>
      </c>
      <c r="AB1020" s="3">
        <f>IF(E1020="",0,NETWORKDAYS(E1020,Controls!$B$20,Ref!$K$2:$K$42))</f>
        <v/>
      </c>
      <c r="AC1020" s="3">
        <f>IF(OR(AF1020=1,AND(AA1020&gt;0,AB1020&gt;=Controls!$B$23*AA1020)),1,0)</f>
        <v/>
      </c>
      <c r="AD1020" s="3">
        <f>IF(AND(E1020&lt;&gt;"",E1020&gt;=Controls!$B$21,E1020&lt;=Controls!$B$22),1,0)</f>
        <v/>
      </c>
      <c r="AE1020" s="3">
        <f>IF(IFERROR(VLOOKUP(D1020,Controls!$A$36:$E$46,2,FALSE()),"No")="Yes",1,0)</f>
        <v/>
      </c>
      <c r="AF1020" s="3">
        <f>IF(IFERROR(VLOOKUP(D1020,Controls!$A$36:$E$46,3,FALSE()),"No")="Yes",1,0)</f>
        <v/>
      </c>
      <c r="AG1020" s="3">
        <f>IF(IFERROR(VLOOKUP(D1020,Controls!$A$36:$E$46,4,FALSE()),"No")="Yes",1,0)</f>
        <v/>
      </c>
      <c r="AH1020" s="3">
        <f>IF(IFERROR(VLOOKUP(D1020,Controls!$A$36:$E$46,5,FALSE()),"No")="Yes",1,0)</f>
        <v/>
      </c>
      <c r="AI1020" s="3">
        <f>IF(ISNUMBER(MATCH(D1020,Controls!$A$36:$A$46,0)),1,0)</f>
        <v/>
      </c>
      <c r="AJ1020" s="28">
        <f>Q1020-N1020</f>
        <v/>
      </c>
      <c r="AK1020" s="3">
        <f>IF(AE1020=1,MAX(0,N1020-Q1020),0)</f>
        <v/>
      </c>
      <c r="AL1020" s="3">
        <f>IF(OR(V1020="",V1020=0),0,N1020/V1020)</f>
        <v/>
      </c>
      <c r="AM1020" s="3">
        <f>IF(OR(V1020="",V1020=0),0,1)</f>
        <v/>
      </c>
      <c r="AN1020" s="3">
        <f>IF(OR(E1020="",F1020=""),0,NETWORKDAYS(E1020,F1020,Ref!$K$2:$K$42))</f>
        <v/>
      </c>
      <c r="AO1020" s="3">
        <f>IF(L1020="Renewal",1,0)</f>
        <v/>
      </c>
      <c r="AP1020" s="3">
        <f>AC1020*AD1020</f>
        <v/>
      </c>
      <c r="AQ1020" s="3">
        <f>IF(AND(G1020&lt;&gt;"",'Historical Score'!$C$6&lt;&gt;""),IF(G1020='Historical Score'!$C$6,1,0),0)</f>
        <v/>
      </c>
      <c r="AR1020" s="3">
        <f>IF(AND(L1020&lt;&gt;"",'Historical Score'!$C$5&lt;&gt;""),IF(L1020='Historical Score'!$C$5,1,0),0)</f>
        <v/>
      </c>
      <c r="AS1020" s="3">
        <f>IF(AND(Y1020&lt;&gt;"",'Historical Score'!$C$7&lt;&gt;""),IF(Y1020='Historical Score'!$C$7,1,0),0)</f>
        <v/>
      </c>
      <c r="AT1020" s="3">
        <f>IF(AND(K1020&lt;&gt;"",'Historical Score'!$C$8&lt;&gt;""),IF(K1020='Historical Score'!$C$8,1,0),0)</f>
        <v/>
      </c>
      <c r="AU1020" s="3" t="n"/>
      <c r="AV1020" s="3" t="n"/>
      <c r="AW1020" s="3" t="n"/>
      <c r="AX1020" s="3" t="n"/>
      <c r="AY1020" s="3" t="n"/>
      <c r="AZ1020" s="3" t="n"/>
      <c r="BA1020" s="182">
        <f>IF(AD1020=1,(AR1020*'Historical Score'!$K$29+1-'Historical Score'!$K$29)*(AT1020*'Historical Score'!$L$29+1-'Historical Score'!$L$29)*(AS1020*'Historical Score'!$M$29+1-'Historical Score'!$M$29)*(AQ1020*'Historical Score'!$N$29+1-'Historical Score'!$N$29),0)</f>
        <v/>
      </c>
      <c r="BB1020" s="3" t="n"/>
      <c r="BC1020" s="3" t="n"/>
    </row>
    <row r="1021" ht="15" customHeight="1" s="174">
      <c r="A1021" s="3" t="inlineStr">
        <is>
          <t>5674187103</t>
        </is>
      </c>
      <c r="B1021" s="3" t="inlineStr">
        <is>
          <t>Ark Solutions</t>
        </is>
      </c>
      <c r="C1021" s="3" t="inlineStr">
        <is>
          <t>Ark Solutions LLC</t>
        </is>
      </c>
      <c r="D1021" s="3" t="inlineStr">
        <is>
          <t>Lowered Payments</t>
        </is>
      </c>
      <c r="E1021" s="23" t="n">
        <v>46213</v>
      </c>
      <c r="F1021" s="23" t="n">
        <v>46253</v>
      </c>
      <c r="G1021" s="3" t="n">
        <v>3</v>
      </c>
      <c r="H1021" s="3" t="inlineStr">
        <is>
          <t>5734</t>
        </is>
      </c>
      <c r="I1021" s="3" t="inlineStr">
        <is>
          <t>57</t>
        </is>
      </c>
      <c r="J1021" s="3" t="inlineStr">
        <is>
          <t>MS</t>
        </is>
      </c>
      <c r="K1021" s="3" t="inlineStr">
        <is>
          <t>Wisco Capital</t>
        </is>
      </c>
      <c r="L1021" s="3" t="inlineStr">
        <is>
          <t>New Deal</t>
        </is>
      </c>
      <c r="M1021" s="3" t="n">
        <v>1.49</v>
      </c>
      <c r="N1021" s="28" t="n">
        <v>10000</v>
      </c>
      <c r="O1021" s="28" t="n">
        <v>0</v>
      </c>
      <c r="P1021" s="28" t="n">
        <v>14900</v>
      </c>
      <c r="Q1021" s="28" t="n">
        <v>965.55</v>
      </c>
      <c r="R1021" s="28" t="n">
        <v>13934.45</v>
      </c>
      <c r="S1021" s="42" t="n">
        <v>0.0648020134228188</v>
      </c>
      <c r="T1021" s="3" t="n">
        <v>2.951</v>
      </c>
      <c r="U1021" s="3" t="n">
        <v>19</v>
      </c>
      <c r="V1021" s="3" t="n">
        <v>23002.23</v>
      </c>
      <c r="W1021" s="42" t="n">
        <v>0.1511</v>
      </c>
      <c r="X1021" s="23" t="n">
        <v>45858</v>
      </c>
      <c r="Y1021" s="3">
        <f>IF(I1021="","No SIC",IFERROR(VLOOKUP(I1021,Ref!$A$2:$B$65,2,FALSE()),"Unclassified"))</f>
        <v/>
      </c>
      <c r="Z1021" s="3">
        <f>IF(T1021="","",IF(T1021&lt;12,"Daily","Weekly"))</f>
        <v/>
      </c>
      <c r="AA1021" s="3">
        <f>IF(T1021="",0,IF(T1021&lt;12,T1021*Controls!$B$13,T1021*5))</f>
        <v/>
      </c>
      <c r="AB1021" s="3">
        <f>IF(E1021="",0,NETWORKDAYS(E1021,Controls!$B$20,Ref!$K$2:$K$42))</f>
        <v/>
      </c>
      <c r="AC1021" s="3">
        <f>IF(OR(AF1021=1,AND(AA1021&gt;0,AB1021&gt;=Controls!$B$23*AA1021)),1,0)</f>
        <v/>
      </c>
      <c r="AD1021" s="3">
        <f>IF(AND(E1021&lt;&gt;"",E1021&gt;=Controls!$B$21,E1021&lt;=Controls!$B$22),1,0)</f>
        <v/>
      </c>
      <c r="AE1021" s="3">
        <f>IF(IFERROR(VLOOKUP(D1021,Controls!$A$36:$E$46,2,FALSE()),"No")="Yes",1,0)</f>
        <v/>
      </c>
      <c r="AF1021" s="3">
        <f>IF(IFERROR(VLOOKUP(D1021,Controls!$A$36:$E$46,3,FALSE()),"No")="Yes",1,0)</f>
        <v/>
      </c>
      <c r="AG1021" s="3">
        <f>IF(IFERROR(VLOOKUP(D1021,Controls!$A$36:$E$46,4,FALSE()),"No")="Yes",1,0)</f>
        <v/>
      </c>
      <c r="AH1021" s="3">
        <f>IF(IFERROR(VLOOKUP(D1021,Controls!$A$36:$E$46,5,FALSE()),"No")="Yes",1,0)</f>
        <v/>
      </c>
      <c r="AI1021" s="3">
        <f>IF(ISNUMBER(MATCH(D1021,Controls!$A$36:$A$46,0)),1,0)</f>
        <v/>
      </c>
      <c r="AJ1021" s="28">
        <f>Q1021-N1021</f>
        <v/>
      </c>
      <c r="AK1021" s="3">
        <f>IF(AE1021=1,MAX(0,N1021-Q1021),0)</f>
        <v/>
      </c>
      <c r="AL1021" s="3">
        <f>IF(OR(V1021="",V1021=0),0,N1021/V1021)</f>
        <v/>
      </c>
      <c r="AM1021" s="3">
        <f>IF(OR(V1021="",V1021=0),0,1)</f>
        <v/>
      </c>
      <c r="AN1021" s="3">
        <f>IF(OR(E1021="",F1021=""),0,NETWORKDAYS(E1021,F1021,Ref!$K$2:$K$42))</f>
        <v/>
      </c>
      <c r="AO1021" s="3">
        <f>IF(L1021="Renewal",1,0)</f>
        <v/>
      </c>
      <c r="AP1021" s="3">
        <f>AC1021*AD1021</f>
        <v/>
      </c>
      <c r="AQ1021" s="3">
        <f>IF(AND(G1021&lt;&gt;"",'Historical Score'!$C$6&lt;&gt;""),IF(G1021='Historical Score'!$C$6,1,0),0)</f>
        <v/>
      </c>
      <c r="AR1021" s="3">
        <f>IF(AND(L1021&lt;&gt;"",'Historical Score'!$C$5&lt;&gt;""),IF(L1021='Historical Score'!$C$5,1,0),0)</f>
        <v/>
      </c>
      <c r="AS1021" s="3">
        <f>IF(AND(Y1021&lt;&gt;"",'Historical Score'!$C$7&lt;&gt;""),IF(Y1021='Historical Score'!$C$7,1,0),0)</f>
        <v/>
      </c>
      <c r="AT1021" s="3">
        <f>IF(AND(K1021&lt;&gt;"",'Historical Score'!$C$8&lt;&gt;""),IF(K1021='Historical Score'!$C$8,1,0),0)</f>
        <v/>
      </c>
      <c r="AU1021" s="3" t="n"/>
      <c r="AV1021" s="3" t="n"/>
      <c r="AW1021" s="3" t="n"/>
      <c r="AX1021" s="3" t="n"/>
      <c r="AY1021" s="3" t="n"/>
      <c r="AZ1021" s="3" t="n"/>
      <c r="BA1021" s="182">
        <f>IF(AD1021=1,(AR1021*'Historical Score'!$K$29+1-'Historical Score'!$K$29)*(AT1021*'Historical Score'!$L$29+1-'Historical Score'!$L$29)*(AS1021*'Historical Score'!$M$29+1-'Historical Score'!$M$29)*(AQ1021*'Historical Score'!$N$29+1-'Historical Score'!$N$29),0)</f>
        <v/>
      </c>
      <c r="BB1021" s="3" t="n"/>
      <c r="BC1021" s="3" t="n"/>
    </row>
    <row r="1022" ht="15" customHeight="1" s="174">
      <c r="A1022" s="3" t="inlineStr">
        <is>
          <t>5674187104</t>
        </is>
      </c>
      <c r="B1022" s="3" t="inlineStr">
        <is>
          <t>SASQUATCH PROVISIONS LLC</t>
        </is>
      </c>
      <c r="C1022" s="3" t="inlineStr">
        <is>
          <t>SASQUATCH PROVISIONS LLC</t>
        </is>
      </c>
      <c r="D1022" s="3" t="inlineStr">
        <is>
          <t>Open</t>
        </is>
      </c>
      <c r="E1022" s="23" t="n">
        <v>46213</v>
      </c>
      <c r="F1022" s="23" t="n">
        <v>46253</v>
      </c>
      <c r="G1022" s="3" t="n">
        <v>3</v>
      </c>
      <c r="H1022" s="3" t="inlineStr">
        <is>
          <t>5999</t>
        </is>
      </c>
      <c r="I1022" s="3" t="inlineStr">
        <is>
          <t>59</t>
        </is>
      </c>
      <c r="J1022" s="3" t="inlineStr">
        <is>
          <t>WA</t>
        </is>
      </c>
      <c r="K1022" s="3" t="inlineStr">
        <is>
          <t>Fundwell</t>
        </is>
      </c>
      <c r="L1022" s="3" t="inlineStr">
        <is>
          <t>New Deal</t>
        </is>
      </c>
      <c r="M1022" s="3" t="n">
        <v>1.36</v>
      </c>
      <c r="N1022" s="28" t="n">
        <v>15000</v>
      </c>
      <c r="O1022" s="28" t="n">
        <v>1125</v>
      </c>
      <c r="P1022" s="28" t="n">
        <v>20400</v>
      </c>
      <c r="Q1022" s="28" t="n">
        <v>4845</v>
      </c>
      <c r="R1022" s="28" t="n">
        <v>15555</v>
      </c>
      <c r="S1022" s="42" t="n">
        <v>0.2375</v>
      </c>
      <c r="T1022" s="3" t="n">
        <v>2.623</v>
      </c>
      <c r="U1022" s="3" t="n">
        <v>9</v>
      </c>
      <c r="V1022" s="3" t="n">
        <v>5734.32</v>
      </c>
      <c r="W1022" s="42" t="n">
        <v>0.282</v>
      </c>
      <c r="X1022" s="23" t="n">
        <v>44165</v>
      </c>
      <c r="Y1022" s="3">
        <f>IF(I1022="","No SIC",IFERROR(VLOOKUP(I1022,Ref!$A$2:$B$65,2,FALSE()),"Unclassified"))</f>
        <v/>
      </c>
      <c r="Z1022" s="3">
        <f>IF(T1022="","",IF(T1022&lt;12,"Daily","Weekly"))</f>
        <v/>
      </c>
      <c r="AA1022" s="3">
        <f>IF(T1022="",0,IF(T1022&lt;12,T1022*Controls!$B$13,T1022*5))</f>
        <v/>
      </c>
      <c r="AB1022" s="3">
        <f>IF(E1022="",0,NETWORKDAYS(E1022,Controls!$B$20,Ref!$K$2:$K$42))</f>
        <v/>
      </c>
      <c r="AC1022" s="3">
        <f>IF(OR(AF1022=1,AND(AA1022&gt;0,AB1022&gt;=Controls!$B$23*AA1022)),1,0)</f>
        <v/>
      </c>
      <c r="AD1022" s="3">
        <f>IF(AND(E1022&lt;&gt;"",E1022&gt;=Controls!$B$21,E1022&lt;=Controls!$B$22),1,0)</f>
        <v/>
      </c>
      <c r="AE1022" s="3">
        <f>IF(IFERROR(VLOOKUP(D1022,Controls!$A$36:$E$46,2,FALSE()),"No")="Yes",1,0)</f>
        <v/>
      </c>
      <c r="AF1022" s="3">
        <f>IF(IFERROR(VLOOKUP(D1022,Controls!$A$36:$E$46,3,FALSE()),"No")="Yes",1,0)</f>
        <v/>
      </c>
      <c r="AG1022" s="3">
        <f>IF(IFERROR(VLOOKUP(D1022,Controls!$A$36:$E$46,4,FALSE()),"No")="Yes",1,0)</f>
        <v/>
      </c>
      <c r="AH1022" s="3">
        <f>IF(IFERROR(VLOOKUP(D1022,Controls!$A$36:$E$46,5,FALSE()),"No")="Yes",1,0)</f>
        <v/>
      </c>
      <c r="AI1022" s="3">
        <f>IF(ISNUMBER(MATCH(D1022,Controls!$A$36:$A$46,0)),1,0)</f>
        <v/>
      </c>
      <c r="AJ1022" s="28">
        <f>Q1022-N1022</f>
        <v/>
      </c>
      <c r="AK1022" s="3">
        <f>IF(AE1022=1,MAX(0,N1022-Q1022),0)</f>
        <v/>
      </c>
      <c r="AL1022" s="3">
        <f>IF(OR(V1022="",V1022=0),0,N1022/V1022)</f>
        <v/>
      </c>
      <c r="AM1022" s="3">
        <f>IF(OR(V1022="",V1022=0),0,1)</f>
        <v/>
      </c>
      <c r="AN1022" s="3">
        <f>IF(OR(E1022="",F1022=""),0,NETWORKDAYS(E1022,F1022,Ref!$K$2:$K$42))</f>
        <v/>
      </c>
      <c r="AO1022" s="3">
        <f>IF(L1022="Renewal",1,0)</f>
        <v/>
      </c>
      <c r="AP1022" s="3">
        <f>AC1022*AD1022</f>
        <v/>
      </c>
      <c r="AQ1022" s="3">
        <f>IF(AND(G1022&lt;&gt;"",'Historical Score'!$C$6&lt;&gt;""),IF(G1022='Historical Score'!$C$6,1,0),0)</f>
        <v/>
      </c>
      <c r="AR1022" s="3">
        <f>IF(AND(L1022&lt;&gt;"",'Historical Score'!$C$5&lt;&gt;""),IF(L1022='Historical Score'!$C$5,1,0),0)</f>
        <v/>
      </c>
      <c r="AS1022" s="3">
        <f>IF(AND(Y1022&lt;&gt;"",'Historical Score'!$C$7&lt;&gt;""),IF(Y1022='Historical Score'!$C$7,1,0),0)</f>
        <v/>
      </c>
      <c r="AT1022" s="3">
        <f>IF(AND(K1022&lt;&gt;"",'Historical Score'!$C$8&lt;&gt;""),IF(K1022='Historical Score'!$C$8,1,0),0)</f>
        <v/>
      </c>
      <c r="AU1022" s="3" t="n"/>
      <c r="AV1022" s="3" t="n"/>
      <c r="AW1022" s="3" t="n"/>
      <c r="AX1022" s="3" t="n"/>
      <c r="AY1022" s="3" t="n"/>
      <c r="AZ1022" s="3" t="n"/>
      <c r="BA1022" s="182">
        <f>IF(AD1022=1,(AR1022*'Historical Score'!$K$29+1-'Historical Score'!$K$29)*(AT1022*'Historical Score'!$L$29+1-'Historical Score'!$L$29)*(AS1022*'Historical Score'!$M$29+1-'Historical Score'!$M$29)*(AQ1022*'Historical Score'!$N$29+1-'Historical Score'!$N$29),0)</f>
        <v/>
      </c>
      <c r="BB1022" s="3" t="n"/>
      <c r="BC1022" s="3" t="n"/>
    </row>
    <row r="1023" ht="15" customHeight="1" s="174">
      <c r="A1023" s="3" t="inlineStr">
        <is>
          <t>5674187105</t>
        </is>
      </c>
      <c r="B1023" s="3" t="inlineStr">
        <is>
          <t>SUMMIT EXERCISES AND TRAINING, SUMMITET</t>
        </is>
      </c>
      <c r="C1023" s="3" t="inlineStr">
        <is>
          <t>Summit Exercises and Training LLC</t>
        </is>
      </c>
      <c r="D1023" s="3" t="inlineStr">
        <is>
          <t>Closed</t>
        </is>
      </c>
      <c r="E1023" s="23" t="n">
        <v>46213</v>
      </c>
      <c r="F1023" s="23" t="n">
        <v>46252</v>
      </c>
      <c r="G1023" s="3" t="n">
        <v>4</v>
      </c>
      <c r="H1023" s="3" t="inlineStr">
        <is>
          <t>9711</t>
        </is>
      </c>
      <c r="I1023" s="3" t="inlineStr">
        <is>
          <t>97</t>
        </is>
      </c>
      <c r="J1023" s="3" t="inlineStr">
        <is>
          <t>FL</t>
        </is>
      </c>
      <c r="K1023" s="3" t="inlineStr">
        <is>
          <t>PMF</t>
        </is>
      </c>
      <c r="L1023" s="3" t="inlineStr">
        <is>
          <t>New Deal</t>
        </is>
      </c>
      <c r="M1023" s="3" t="n">
        <v>1.41145813</v>
      </c>
      <c r="N1023" s="28" t="n">
        <v>160000</v>
      </c>
      <c r="O1023" s="28" t="n">
        <v>22400</v>
      </c>
      <c r="P1023" s="28" t="n">
        <v>225833.3008</v>
      </c>
      <c r="Q1023" s="28" t="n">
        <v>225833.3</v>
      </c>
      <c r="R1023" s="28" t="n">
        <v>0.000800000008894131</v>
      </c>
      <c r="S1023" s="42" t="n">
        <v>0.999999996457564</v>
      </c>
      <c r="T1023" s="3" t="n">
        <v>26</v>
      </c>
      <c r="U1023" s="3" t="n">
        <v>0</v>
      </c>
      <c r="V1023" s="3" t="n">
        <v>850734.34</v>
      </c>
      <c r="W1023" s="42" t="n">
        <v>0.0431</v>
      </c>
      <c r="X1023" s="23" t="n">
        <v>41609</v>
      </c>
      <c r="Y1023" s="3">
        <f>IF(I1023="","No SIC",IFERROR(VLOOKUP(I1023,Ref!$A$2:$B$65,2,FALSE()),"Unclassified"))</f>
        <v/>
      </c>
      <c r="Z1023" s="3">
        <f>IF(T1023="","",IF(T1023&lt;12,"Daily","Weekly"))</f>
        <v/>
      </c>
      <c r="AA1023" s="3">
        <f>IF(T1023="",0,IF(T1023&lt;12,T1023*Controls!$B$13,T1023*5))</f>
        <v/>
      </c>
      <c r="AB1023" s="3">
        <f>IF(E1023="",0,NETWORKDAYS(E1023,Controls!$B$20,Ref!$K$2:$K$42))</f>
        <v/>
      </c>
      <c r="AC1023" s="3">
        <f>IF(OR(AF1023=1,AND(AA1023&gt;0,AB1023&gt;=Controls!$B$23*AA1023)),1,0)</f>
        <v/>
      </c>
      <c r="AD1023" s="3">
        <f>IF(AND(E1023&lt;&gt;"",E1023&gt;=Controls!$B$21,E1023&lt;=Controls!$B$22),1,0)</f>
        <v/>
      </c>
      <c r="AE1023" s="3">
        <f>IF(IFERROR(VLOOKUP(D1023,Controls!$A$36:$E$46,2,FALSE()),"No")="Yes",1,0)</f>
        <v/>
      </c>
      <c r="AF1023" s="3">
        <f>IF(IFERROR(VLOOKUP(D1023,Controls!$A$36:$E$46,3,FALSE()),"No")="Yes",1,0)</f>
        <v/>
      </c>
      <c r="AG1023" s="3">
        <f>IF(IFERROR(VLOOKUP(D1023,Controls!$A$36:$E$46,4,FALSE()),"No")="Yes",1,0)</f>
        <v/>
      </c>
      <c r="AH1023" s="3">
        <f>IF(IFERROR(VLOOKUP(D1023,Controls!$A$36:$E$46,5,FALSE()),"No")="Yes",1,0)</f>
        <v/>
      </c>
      <c r="AI1023" s="3">
        <f>IF(ISNUMBER(MATCH(D1023,Controls!$A$36:$A$46,0)),1,0)</f>
        <v/>
      </c>
      <c r="AJ1023" s="28">
        <f>Q1023-N1023</f>
        <v/>
      </c>
      <c r="AK1023" s="3">
        <f>IF(AE1023=1,MAX(0,N1023-Q1023),0)</f>
        <v/>
      </c>
      <c r="AL1023" s="3">
        <f>IF(OR(V1023="",V1023=0),0,N1023/V1023)</f>
        <v/>
      </c>
      <c r="AM1023" s="3">
        <f>IF(OR(V1023="",V1023=0),0,1)</f>
        <v/>
      </c>
      <c r="AN1023" s="3">
        <f>IF(OR(E1023="",F1023=""),0,NETWORKDAYS(E1023,F1023,Ref!$K$2:$K$42))</f>
        <v/>
      </c>
      <c r="AO1023" s="3">
        <f>IF(L1023="Renewal",1,0)</f>
        <v/>
      </c>
      <c r="AP1023" s="3">
        <f>AC1023*AD1023</f>
        <v/>
      </c>
      <c r="AQ1023" s="3">
        <f>IF(AND(G1023&lt;&gt;"",'Historical Score'!$C$6&lt;&gt;""),IF(G1023='Historical Score'!$C$6,1,0),0)</f>
        <v/>
      </c>
      <c r="AR1023" s="3">
        <f>IF(AND(L1023&lt;&gt;"",'Historical Score'!$C$5&lt;&gt;""),IF(L1023='Historical Score'!$C$5,1,0),0)</f>
        <v/>
      </c>
      <c r="AS1023" s="3">
        <f>IF(AND(Y1023&lt;&gt;"",'Historical Score'!$C$7&lt;&gt;""),IF(Y1023='Historical Score'!$C$7,1,0),0)</f>
        <v/>
      </c>
      <c r="AT1023" s="3">
        <f>IF(AND(K1023&lt;&gt;"",'Historical Score'!$C$8&lt;&gt;""),IF(K1023='Historical Score'!$C$8,1,0),0)</f>
        <v/>
      </c>
      <c r="AU1023" s="3" t="n"/>
      <c r="AV1023" s="3" t="n"/>
      <c r="AW1023" s="3" t="n"/>
      <c r="AX1023" s="3" t="n"/>
      <c r="AY1023" s="3" t="n"/>
      <c r="AZ1023" s="3" t="n"/>
      <c r="BA1023" s="182">
        <f>IF(AD1023=1,(AR1023*'Historical Score'!$K$29+1-'Historical Score'!$K$29)*(AT1023*'Historical Score'!$L$29+1-'Historical Score'!$L$29)*(AS1023*'Historical Score'!$M$29+1-'Historical Score'!$M$29)*(AQ1023*'Historical Score'!$N$29+1-'Historical Score'!$N$29),0)</f>
        <v/>
      </c>
      <c r="BB1023" s="3" t="n"/>
      <c r="BC1023" s="3" t="n"/>
    </row>
    <row r="1024" ht="15" customHeight="1" s="174">
      <c r="A1024" s="3" t="inlineStr">
        <is>
          <t>5674187132</t>
        </is>
      </c>
      <c r="B1024" s="3" t="inlineStr">
        <is>
          <t>A Plus Commercial Tire Service</t>
        </is>
      </c>
      <c r="C1024" s="3" t="inlineStr">
        <is>
          <t>A Plus Commercial Tire Service</t>
        </is>
      </c>
      <c r="D1024" s="3" t="inlineStr">
        <is>
          <t>Open</t>
        </is>
      </c>
      <c r="E1024" s="23" t="n">
        <v>46213</v>
      </c>
      <c r="F1024" s="23" t="n">
        <v>46247</v>
      </c>
      <c r="G1024" s="3" t="n">
        <v>4</v>
      </c>
      <c r="H1024" s="3" t="inlineStr">
        <is>
          <t>7538</t>
        </is>
      </c>
      <c r="I1024" s="3" t="inlineStr">
        <is>
          <t>75</t>
        </is>
      </c>
      <c r="J1024" s="3" t="inlineStr">
        <is>
          <t>GA</t>
        </is>
      </c>
      <c r="K1024" s="3" t="inlineStr">
        <is>
          <t>United Secured Capital 8</t>
        </is>
      </c>
      <c r="L1024" s="3" t="inlineStr">
        <is>
          <t>New Deal</t>
        </is>
      </c>
      <c r="M1024" s="3" t="n">
        <v>1.49</v>
      </c>
      <c r="N1024" s="28" t="n">
        <v>40000</v>
      </c>
      <c r="O1024" s="28" t="n">
        <v>6000</v>
      </c>
      <c r="P1024" s="28" t="n">
        <v>59600</v>
      </c>
      <c r="Q1024" s="28" t="n">
        <v>12416.75</v>
      </c>
      <c r="R1024" s="28" t="n">
        <v>47183.25</v>
      </c>
      <c r="S1024" s="42" t="n">
        <v>0.208334731543624</v>
      </c>
      <c r="T1024" s="3" t="n">
        <v>24</v>
      </c>
      <c r="U1024" s="3" t="n">
        <v>0</v>
      </c>
      <c r="V1024" s="3" t="n">
        <v>110294.91</v>
      </c>
      <c r="W1024" s="42" t="n">
        <v>0.0897</v>
      </c>
      <c r="X1024" s="23" t="n">
        <v>42583</v>
      </c>
      <c r="Y1024" s="3">
        <f>IF(I1024="","No SIC",IFERROR(VLOOKUP(I1024,Ref!$A$2:$B$65,2,FALSE()),"Unclassified"))</f>
        <v/>
      </c>
      <c r="Z1024" s="3">
        <f>IF(T1024="","",IF(T1024&lt;12,"Daily","Weekly"))</f>
        <v/>
      </c>
      <c r="AA1024" s="3">
        <f>IF(T1024="",0,IF(T1024&lt;12,T1024*Controls!$B$13,T1024*5))</f>
        <v/>
      </c>
      <c r="AB1024" s="3">
        <f>IF(E1024="",0,NETWORKDAYS(E1024,Controls!$B$20,Ref!$K$2:$K$42))</f>
        <v/>
      </c>
      <c r="AC1024" s="3">
        <f>IF(OR(AF1024=1,AND(AA1024&gt;0,AB1024&gt;=Controls!$B$23*AA1024)),1,0)</f>
        <v/>
      </c>
      <c r="AD1024" s="3">
        <f>IF(AND(E1024&lt;&gt;"",E1024&gt;=Controls!$B$21,E1024&lt;=Controls!$B$22),1,0)</f>
        <v/>
      </c>
      <c r="AE1024" s="3">
        <f>IF(IFERROR(VLOOKUP(D1024,Controls!$A$36:$E$46,2,FALSE()),"No")="Yes",1,0)</f>
        <v/>
      </c>
      <c r="AF1024" s="3">
        <f>IF(IFERROR(VLOOKUP(D1024,Controls!$A$36:$E$46,3,FALSE()),"No")="Yes",1,0)</f>
        <v/>
      </c>
      <c r="AG1024" s="3">
        <f>IF(IFERROR(VLOOKUP(D1024,Controls!$A$36:$E$46,4,FALSE()),"No")="Yes",1,0)</f>
        <v/>
      </c>
      <c r="AH1024" s="3">
        <f>IF(IFERROR(VLOOKUP(D1024,Controls!$A$36:$E$46,5,FALSE()),"No")="Yes",1,0)</f>
        <v/>
      </c>
      <c r="AI1024" s="3">
        <f>IF(ISNUMBER(MATCH(D1024,Controls!$A$36:$A$46,0)),1,0)</f>
        <v/>
      </c>
      <c r="AJ1024" s="28">
        <f>Q1024-N1024</f>
        <v/>
      </c>
      <c r="AK1024" s="3">
        <f>IF(AE1024=1,MAX(0,N1024-Q1024),0)</f>
        <v/>
      </c>
      <c r="AL1024" s="3">
        <f>IF(OR(V1024="",V1024=0),0,N1024/V1024)</f>
        <v/>
      </c>
      <c r="AM1024" s="3">
        <f>IF(OR(V1024="",V1024=0),0,1)</f>
        <v/>
      </c>
      <c r="AN1024" s="3">
        <f>IF(OR(E1024="",F1024=""),0,NETWORKDAYS(E1024,F1024,Ref!$K$2:$K$42))</f>
        <v/>
      </c>
      <c r="AO1024" s="3">
        <f>IF(L1024="Renewal",1,0)</f>
        <v/>
      </c>
      <c r="AP1024" s="3">
        <f>AC1024*AD1024</f>
        <v/>
      </c>
      <c r="AQ1024" s="3">
        <f>IF(AND(G1024&lt;&gt;"",'Historical Score'!$C$6&lt;&gt;""),IF(G1024='Historical Score'!$C$6,1,0),0)</f>
        <v/>
      </c>
      <c r="AR1024" s="3">
        <f>IF(AND(L1024&lt;&gt;"",'Historical Score'!$C$5&lt;&gt;""),IF(L1024='Historical Score'!$C$5,1,0),0)</f>
        <v/>
      </c>
      <c r="AS1024" s="3">
        <f>IF(AND(Y1024&lt;&gt;"",'Historical Score'!$C$7&lt;&gt;""),IF(Y1024='Historical Score'!$C$7,1,0),0)</f>
        <v/>
      </c>
      <c r="AT1024" s="3">
        <f>IF(AND(K1024&lt;&gt;"",'Historical Score'!$C$8&lt;&gt;""),IF(K1024='Historical Score'!$C$8,1,0),0)</f>
        <v/>
      </c>
      <c r="AU1024" s="3" t="n"/>
      <c r="AV1024" s="3" t="n"/>
      <c r="AW1024" s="3" t="n"/>
      <c r="AX1024" s="3" t="n"/>
      <c r="AY1024" s="3" t="n"/>
      <c r="AZ1024" s="3" t="n"/>
      <c r="BA1024" s="182">
        <f>IF(AD1024=1,(AR1024*'Historical Score'!$K$29+1-'Historical Score'!$K$29)*(AT1024*'Historical Score'!$L$29+1-'Historical Score'!$L$29)*(AS1024*'Historical Score'!$M$29+1-'Historical Score'!$M$29)*(AQ1024*'Historical Score'!$N$29+1-'Historical Score'!$N$29),0)</f>
        <v/>
      </c>
      <c r="BB1024" s="3" t="n"/>
      <c r="BC1024" s="3" t="n"/>
    </row>
    <row r="1025" ht="15" customHeight="1" s="174">
      <c r="A1025" s="3" t="inlineStr">
        <is>
          <t>5674187138</t>
        </is>
      </c>
      <c r="B1025" s="3" t="inlineStr">
        <is>
          <t>National Food Equipment LLC</t>
        </is>
      </c>
      <c r="C1025" s="3" t="inlineStr">
        <is>
          <t>National Food Equipment LLC</t>
        </is>
      </c>
      <c r="D1025" s="3" t="inlineStr">
        <is>
          <t>Open</t>
        </is>
      </c>
      <c r="E1025" s="23" t="n">
        <v>46213</v>
      </c>
      <c r="F1025" s="23" t="n">
        <v>46253</v>
      </c>
      <c r="G1025" s="3" t="n">
        <v>5</v>
      </c>
      <c r="H1025" s="3" t="inlineStr">
        <is>
          <t>3556</t>
        </is>
      </c>
      <c r="I1025" s="3" t="inlineStr">
        <is>
          <t>35</t>
        </is>
      </c>
      <c r="J1025" s="3" t="inlineStr">
        <is>
          <t>CA</t>
        </is>
      </c>
      <c r="K1025" s="3" t="inlineStr">
        <is>
          <t>AVON ADVANCE</t>
        </is>
      </c>
      <c r="L1025" s="3" t="inlineStr">
        <is>
          <t>Renewal</t>
        </is>
      </c>
      <c r="M1025" s="3" t="n">
        <v>1.49</v>
      </c>
      <c r="N1025" s="28" t="n">
        <v>30000</v>
      </c>
      <c r="O1025" s="28" t="n">
        <v>4200</v>
      </c>
      <c r="P1025" s="28" t="n">
        <v>44700</v>
      </c>
      <c r="Q1025" s="28" t="n">
        <v>9628.459999999999</v>
      </c>
      <c r="R1025" s="28" t="n">
        <v>35071.54</v>
      </c>
      <c r="S1025" s="42" t="n">
        <v>0.215401789709172</v>
      </c>
      <c r="T1025" s="3" t="n">
        <v>4.262</v>
      </c>
      <c r="U1025" s="3" t="n">
        <v>0</v>
      </c>
      <c r="V1025" s="3" t="n">
        <v>39426.6</v>
      </c>
      <c r="W1025" s="42" t="n">
        <v>0.282</v>
      </c>
      <c r="X1025" s="23" t="n">
        <v>42370</v>
      </c>
      <c r="Y1025" s="3">
        <f>IF(I1025="","No SIC",IFERROR(VLOOKUP(I1025,Ref!$A$2:$B$65,2,FALSE()),"Unclassified"))</f>
        <v/>
      </c>
      <c r="Z1025" s="3">
        <f>IF(T1025="","",IF(T1025&lt;12,"Daily","Weekly"))</f>
        <v/>
      </c>
      <c r="AA1025" s="3">
        <f>IF(T1025="",0,IF(T1025&lt;12,T1025*Controls!$B$13,T1025*5))</f>
        <v/>
      </c>
      <c r="AB1025" s="3">
        <f>IF(E1025="",0,NETWORKDAYS(E1025,Controls!$B$20,Ref!$K$2:$K$42))</f>
        <v/>
      </c>
      <c r="AC1025" s="3">
        <f>IF(OR(AF1025=1,AND(AA1025&gt;0,AB1025&gt;=Controls!$B$23*AA1025)),1,0)</f>
        <v/>
      </c>
      <c r="AD1025" s="3">
        <f>IF(AND(E1025&lt;&gt;"",E1025&gt;=Controls!$B$21,E1025&lt;=Controls!$B$22),1,0)</f>
        <v/>
      </c>
      <c r="AE1025" s="3">
        <f>IF(IFERROR(VLOOKUP(D1025,Controls!$A$36:$E$46,2,FALSE()),"No")="Yes",1,0)</f>
        <v/>
      </c>
      <c r="AF1025" s="3">
        <f>IF(IFERROR(VLOOKUP(D1025,Controls!$A$36:$E$46,3,FALSE()),"No")="Yes",1,0)</f>
        <v/>
      </c>
      <c r="AG1025" s="3">
        <f>IF(IFERROR(VLOOKUP(D1025,Controls!$A$36:$E$46,4,FALSE()),"No")="Yes",1,0)</f>
        <v/>
      </c>
      <c r="AH1025" s="3">
        <f>IF(IFERROR(VLOOKUP(D1025,Controls!$A$36:$E$46,5,FALSE()),"No")="Yes",1,0)</f>
        <v/>
      </c>
      <c r="AI1025" s="3">
        <f>IF(ISNUMBER(MATCH(D1025,Controls!$A$36:$A$46,0)),1,0)</f>
        <v/>
      </c>
      <c r="AJ1025" s="28">
        <f>Q1025-N1025</f>
        <v/>
      </c>
      <c r="AK1025" s="3">
        <f>IF(AE1025=1,MAX(0,N1025-Q1025),0)</f>
        <v/>
      </c>
      <c r="AL1025" s="3">
        <f>IF(OR(V1025="",V1025=0),0,N1025/V1025)</f>
        <v/>
      </c>
      <c r="AM1025" s="3">
        <f>IF(OR(V1025="",V1025=0),0,1)</f>
        <v/>
      </c>
      <c r="AN1025" s="3">
        <f>IF(OR(E1025="",F1025=""),0,NETWORKDAYS(E1025,F1025,Ref!$K$2:$K$42))</f>
        <v/>
      </c>
      <c r="AO1025" s="3">
        <f>IF(L1025="Renewal",1,0)</f>
        <v/>
      </c>
      <c r="AP1025" s="3">
        <f>AC1025*AD1025</f>
        <v/>
      </c>
      <c r="AQ1025" s="3">
        <f>IF(AND(G1025&lt;&gt;"",'Historical Score'!$C$6&lt;&gt;""),IF(G1025='Historical Score'!$C$6,1,0),0)</f>
        <v/>
      </c>
      <c r="AR1025" s="3">
        <f>IF(AND(L1025&lt;&gt;"",'Historical Score'!$C$5&lt;&gt;""),IF(L1025='Historical Score'!$C$5,1,0),0)</f>
        <v/>
      </c>
      <c r="AS1025" s="3">
        <f>IF(AND(Y1025&lt;&gt;"",'Historical Score'!$C$7&lt;&gt;""),IF(Y1025='Historical Score'!$C$7,1,0),0)</f>
        <v/>
      </c>
      <c r="AT1025" s="3">
        <f>IF(AND(K1025&lt;&gt;"",'Historical Score'!$C$8&lt;&gt;""),IF(K1025='Historical Score'!$C$8,1,0),0)</f>
        <v/>
      </c>
      <c r="AU1025" s="3" t="n"/>
      <c r="AV1025" s="3" t="n"/>
      <c r="AW1025" s="3" t="n"/>
      <c r="AX1025" s="3" t="n"/>
      <c r="AY1025" s="3" t="n"/>
      <c r="AZ1025" s="3" t="n"/>
      <c r="BA1025" s="182">
        <f>IF(AD1025=1,(AR1025*'Historical Score'!$K$29+1-'Historical Score'!$K$29)*(AT1025*'Historical Score'!$L$29+1-'Historical Score'!$L$29)*(AS1025*'Historical Score'!$M$29+1-'Historical Score'!$M$29)*(AQ1025*'Historical Score'!$N$29+1-'Historical Score'!$N$29),0)</f>
        <v/>
      </c>
      <c r="BB1025" s="3" t="n"/>
      <c r="BC1025" s="3" t="n"/>
    </row>
    <row r="1026" ht="15" customHeight="1" s="174">
      <c r="A1026" s="3" t="inlineStr">
        <is>
          <t>5674187198</t>
        </is>
      </c>
      <c r="B1026" s="3" t="inlineStr">
        <is>
          <t>LOS JIMADORES TEX MEX &amp; TEQUILA FACTORY</t>
        </is>
      </c>
      <c r="C1026" s="3" t="inlineStr">
        <is>
          <t>LOS JIMADORES TEX MEX &amp; TEQUILA FACTORY</t>
        </is>
      </c>
      <c r="D1026" s="3" t="inlineStr">
        <is>
          <t>Open</t>
        </is>
      </c>
      <c r="E1026" s="23" t="n">
        <v>46216</v>
      </c>
      <c r="F1026" s="23" t="n">
        <v>46253</v>
      </c>
      <c r="G1026" s="3" t="n">
        <v>3</v>
      </c>
      <c r="H1026" s="3" t="inlineStr">
        <is>
          <t>5812</t>
        </is>
      </c>
      <c r="I1026" s="3" t="inlineStr">
        <is>
          <t>58</t>
        </is>
      </c>
      <c r="J1026" s="3" t="inlineStr">
        <is>
          <t>TX</t>
        </is>
      </c>
      <c r="K1026" s="3" t="inlineStr">
        <is>
          <t>Westwood</t>
        </is>
      </c>
      <c r="L1026" s="3" t="inlineStr">
        <is>
          <t>Renewal</t>
        </is>
      </c>
      <c r="M1026" s="3" t="n">
        <v>1.36</v>
      </c>
      <c r="N1026" s="28" t="n">
        <v>35000</v>
      </c>
      <c r="O1026" s="28" t="n">
        <v>2975</v>
      </c>
      <c r="P1026" s="28" t="n">
        <v>47600</v>
      </c>
      <c r="Q1026" s="28" t="n">
        <v>9123.41</v>
      </c>
      <c r="R1026" s="28" t="n">
        <v>38476.59</v>
      </c>
      <c r="S1026" s="42" t="n">
        <v>0.191668277310924</v>
      </c>
      <c r="T1026" s="3" t="n">
        <v>3.934</v>
      </c>
      <c r="U1026" s="3" t="n">
        <v>2</v>
      </c>
      <c r="V1026" s="3" t="n">
        <v>99573.09</v>
      </c>
      <c r="W1026" s="42" t="n">
        <v>0.0883</v>
      </c>
      <c r="X1026" s="23" t="n">
        <v>40625</v>
      </c>
      <c r="Y1026" s="3">
        <f>IF(I1026="","No SIC",IFERROR(VLOOKUP(I1026,Ref!$A$2:$B$65,2,FALSE()),"Unclassified"))</f>
        <v/>
      </c>
      <c r="Z1026" s="3">
        <f>IF(T1026="","",IF(T1026&lt;12,"Daily","Weekly"))</f>
        <v/>
      </c>
      <c r="AA1026" s="3">
        <f>IF(T1026="",0,IF(T1026&lt;12,T1026*Controls!$B$13,T1026*5))</f>
        <v/>
      </c>
      <c r="AB1026" s="3">
        <f>IF(E1026="",0,NETWORKDAYS(E1026,Controls!$B$20,Ref!$K$2:$K$42))</f>
        <v/>
      </c>
      <c r="AC1026" s="3">
        <f>IF(OR(AF1026=1,AND(AA1026&gt;0,AB1026&gt;=Controls!$B$23*AA1026)),1,0)</f>
        <v/>
      </c>
      <c r="AD1026" s="3">
        <f>IF(AND(E1026&lt;&gt;"",E1026&gt;=Controls!$B$21,E1026&lt;=Controls!$B$22),1,0)</f>
        <v/>
      </c>
      <c r="AE1026" s="3">
        <f>IF(IFERROR(VLOOKUP(D1026,Controls!$A$36:$E$46,2,FALSE()),"No")="Yes",1,0)</f>
        <v/>
      </c>
      <c r="AF1026" s="3">
        <f>IF(IFERROR(VLOOKUP(D1026,Controls!$A$36:$E$46,3,FALSE()),"No")="Yes",1,0)</f>
        <v/>
      </c>
      <c r="AG1026" s="3">
        <f>IF(IFERROR(VLOOKUP(D1026,Controls!$A$36:$E$46,4,FALSE()),"No")="Yes",1,0)</f>
        <v/>
      </c>
      <c r="AH1026" s="3">
        <f>IF(IFERROR(VLOOKUP(D1026,Controls!$A$36:$E$46,5,FALSE()),"No")="Yes",1,0)</f>
        <v/>
      </c>
      <c r="AI1026" s="3">
        <f>IF(ISNUMBER(MATCH(D1026,Controls!$A$36:$A$46,0)),1,0)</f>
        <v/>
      </c>
      <c r="AJ1026" s="28">
        <f>Q1026-N1026</f>
        <v/>
      </c>
      <c r="AK1026" s="3">
        <f>IF(AE1026=1,MAX(0,N1026-Q1026),0)</f>
        <v/>
      </c>
      <c r="AL1026" s="3">
        <f>IF(OR(V1026="",V1026=0),0,N1026/V1026)</f>
        <v/>
      </c>
      <c r="AM1026" s="3">
        <f>IF(OR(V1026="",V1026=0),0,1)</f>
        <v/>
      </c>
      <c r="AN1026" s="3">
        <f>IF(OR(E1026="",F1026=""),0,NETWORKDAYS(E1026,F1026,Ref!$K$2:$K$42))</f>
        <v/>
      </c>
      <c r="AO1026" s="3">
        <f>IF(L1026="Renewal",1,0)</f>
        <v/>
      </c>
      <c r="AP1026" s="3">
        <f>AC1026*AD1026</f>
        <v/>
      </c>
      <c r="AQ1026" s="3">
        <f>IF(AND(G1026&lt;&gt;"",'Historical Score'!$C$6&lt;&gt;""),IF(G1026='Historical Score'!$C$6,1,0),0)</f>
        <v/>
      </c>
      <c r="AR1026" s="3">
        <f>IF(AND(L1026&lt;&gt;"",'Historical Score'!$C$5&lt;&gt;""),IF(L1026='Historical Score'!$C$5,1,0),0)</f>
        <v/>
      </c>
      <c r="AS1026" s="3">
        <f>IF(AND(Y1026&lt;&gt;"",'Historical Score'!$C$7&lt;&gt;""),IF(Y1026='Historical Score'!$C$7,1,0),0)</f>
        <v/>
      </c>
      <c r="AT1026" s="3">
        <f>IF(AND(K1026&lt;&gt;"",'Historical Score'!$C$8&lt;&gt;""),IF(K1026='Historical Score'!$C$8,1,0),0)</f>
        <v/>
      </c>
      <c r="AU1026" s="3" t="n"/>
      <c r="AV1026" s="3" t="n"/>
      <c r="AW1026" s="3" t="n"/>
      <c r="AX1026" s="3" t="n"/>
      <c r="AY1026" s="3" t="n"/>
      <c r="AZ1026" s="3" t="n"/>
      <c r="BA1026" s="182">
        <f>IF(AD1026=1,(AR1026*'Historical Score'!$K$29+1-'Historical Score'!$K$29)*(AT1026*'Historical Score'!$L$29+1-'Historical Score'!$L$29)*(AS1026*'Historical Score'!$M$29+1-'Historical Score'!$M$29)*(AQ1026*'Historical Score'!$N$29+1-'Historical Score'!$N$29),0)</f>
        <v/>
      </c>
      <c r="BB1026" s="3" t="n"/>
      <c r="BC1026" s="3" t="n"/>
    </row>
    <row r="1027" ht="15" customHeight="1" s="174">
      <c r="A1027" s="3" t="inlineStr">
        <is>
          <t>5674187202</t>
        </is>
      </c>
      <c r="B1027" s="3" t="inlineStr">
        <is>
          <t>1Numerica Solutions JCSN Accounting Services</t>
        </is>
      </c>
      <c r="C1027" s="3" t="inlineStr">
        <is>
          <t>JCSN Corp</t>
        </is>
      </c>
      <c r="D1027" s="3" t="inlineStr">
        <is>
          <t>Open</t>
        </is>
      </c>
      <c r="E1027" s="23" t="n">
        <v>46216</v>
      </c>
      <c r="F1027" s="23" t="n">
        <v>46248</v>
      </c>
      <c r="G1027" s="3" t="n">
        <v>4</v>
      </c>
      <c r="H1027" s="3" t="inlineStr">
        <is>
          <t>8721</t>
        </is>
      </c>
      <c r="I1027" s="3" t="inlineStr">
        <is>
          <t>87</t>
        </is>
      </c>
      <c r="J1027" s="3" t="inlineStr">
        <is>
          <t>CA</t>
        </is>
      </c>
      <c r="K1027" s="3" t="inlineStr">
        <is>
          <t>The Funding Family</t>
        </is>
      </c>
      <c r="L1027" s="3" t="inlineStr">
        <is>
          <t>Renewal</t>
        </is>
      </c>
      <c r="M1027" s="3" t="n">
        <v>1.49</v>
      </c>
      <c r="N1027" s="28" t="n">
        <v>45000</v>
      </c>
      <c r="O1027" s="28" t="n">
        <v>6300</v>
      </c>
      <c r="P1027" s="28" t="n">
        <v>67050</v>
      </c>
      <c r="Q1027" s="28" t="n">
        <v>10481.9</v>
      </c>
      <c r="R1027" s="28" t="n">
        <v>56568.1</v>
      </c>
      <c r="S1027" s="42" t="n">
        <v>0.156329604772558</v>
      </c>
      <c r="T1027" s="3" t="n">
        <v>32</v>
      </c>
      <c r="U1027" s="3" t="n">
        <v>0</v>
      </c>
      <c r="V1027" s="3" t="n">
        <v>227249.49</v>
      </c>
      <c r="W1027" s="42" t="n">
        <v>0.0369</v>
      </c>
      <c r="X1027" s="23" t="n">
        <v>44410</v>
      </c>
      <c r="Y1027" s="3">
        <f>IF(I1027="","No SIC",IFERROR(VLOOKUP(I1027,Ref!$A$2:$B$65,2,FALSE()),"Unclassified"))</f>
        <v/>
      </c>
      <c r="Z1027" s="3">
        <f>IF(T1027="","",IF(T1027&lt;12,"Daily","Weekly"))</f>
        <v/>
      </c>
      <c r="AA1027" s="3">
        <f>IF(T1027="",0,IF(T1027&lt;12,T1027*Controls!$B$13,T1027*5))</f>
        <v/>
      </c>
      <c r="AB1027" s="3">
        <f>IF(E1027="",0,NETWORKDAYS(E1027,Controls!$B$20,Ref!$K$2:$K$42))</f>
        <v/>
      </c>
      <c r="AC1027" s="3">
        <f>IF(OR(AF1027=1,AND(AA1027&gt;0,AB1027&gt;=Controls!$B$23*AA1027)),1,0)</f>
        <v/>
      </c>
      <c r="AD1027" s="3">
        <f>IF(AND(E1027&lt;&gt;"",E1027&gt;=Controls!$B$21,E1027&lt;=Controls!$B$22),1,0)</f>
        <v/>
      </c>
      <c r="AE1027" s="3">
        <f>IF(IFERROR(VLOOKUP(D1027,Controls!$A$36:$E$46,2,FALSE()),"No")="Yes",1,0)</f>
        <v/>
      </c>
      <c r="AF1027" s="3">
        <f>IF(IFERROR(VLOOKUP(D1027,Controls!$A$36:$E$46,3,FALSE()),"No")="Yes",1,0)</f>
        <v/>
      </c>
      <c r="AG1027" s="3">
        <f>IF(IFERROR(VLOOKUP(D1027,Controls!$A$36:$E$46,4,FALSE()),"No")="Yes",1,0)</f>
        <v/>
      </c>
      <c r="AH1027" s="3">
        <f>IF(IFERROR(VLOOKUP(D1027,Controls!$A$36:$E$46,5,FALSE()),"No")="Yes",1,0)</f>
        <v/>
      </c>
      <c r="AI1027" s="3">
        <f>IF(ISNUMBER(MATCH(D1027,Controls!$A$36:$A$46,0)),1,0)</f>
        <v/>
      </c>
      <c r="AJ1027" s="28">
        <f>Q1027-N1027</f>
        <v/>
      </c>
      <c r="AK1027" s="3">
        <f>IF(AE1027=1,MAX(0,N1027-Q1027),0)</f>
        <v/>
      </c>
      <c r="AL1027" s="3">
        <f>IF(OR(V1027="",V1027=0),0,N1027/V1027)</f>
        <v/>
      </c>
      <c r="AM1027" s="3">
        <f>IF(OR(V1027="",V1027=0),0,1)</f>
        <v/>
      </c>
      <c r="AN1027" s="3">
        <f>IF(OR(E1027="",F1027=""),0,NETWORKDAYS(E1027,F1027,Ref!$K$2:$K$42))</f>
        <v/>
      </c>
      <c r="AO1027" s="3">
        <f>IF(L1027="Renewal",1,0)</f>
        <v/>
      </c>
      <c r="AP1027" s="3">
        <f>AC1027*AD1027</f>
        <v/>
      </c>
      <c r="AQ1027" s="3">
        <f>IF(AND(G1027&lt;&gt;"",'Historical Score'!$C$6&lt;&gt;""),IF(G1027='Historical Score'!$C$6,1,0),0)</f>
        <v/>
      </c>
      <c r="AR1027" s="3">
        <f>IF(AND(L1027&lt;&gt;"",'Historical Score'!$C$5&lt;&gt;""),IF(L1027='Historical Score'!$C$5,1,0),0)</f>
        <v/>
      </c>
      <c r="AS1027" s="3">
        <f>IF(AND(Y1027&lt;&gt;"",'Historical Score'!$C$7&lt;&gt;""),IF(Y1027='Historical Score'!$C$7,1,0),0)</f>
        <v/>
      </c>
      <c r="AT1027" s="3">
        <f>IF(AND(K1027&lt;&gt;"",'Historical Score'!$C$8&lt;&gt;""),IF(K1027='Historical Score'!$C$8,1,0),0)</f>
        <v/>
      </c>
      <c r="AU1027" s="3" t="n"/>
      <c r="AV1027" s="3" t="n"/>
      <c r="AW1027" s="3" t="n"/>
      <c r="AX1027" s="3" t="n"/>
      <c r="AY1027" s="3" t="n"/>
      <c r="AZ1027" s="3" t="n"/>
      <c r="BA1027" s="182">
        <f>IF(AD1027=1,(AR1027*'Historical Score'!$K$29+1-'Historical Score'!$K$29)*(AT1027*'Historical Score'!$L$29+1-'Historical Score'!$L$29)*(AS1027*'Historical Score'!$M$29+1-'Historical Score'!$M$29)*(AQ1027*'Historical Score'!$N$29+1-'Historical Score'!$N$29),0)</f>
        <v/>
      </c>
      <c r="BB1027" s="3" t="n"/>
      <c r="BC1027" s="3" t="n"/>
    </row>
    <row r="1028" ht="15" customHeight="1" s="174">
      <c r="A1028" s="3" t="inlineStr">
        <is>
          <t>5674187210</t>
        </is>
      </c>
      <c r="B1028" s="3" t="inlineStr">
        <is>
          <t>SERENE SPACES LLC</t>
        </is>
      </c>
      <c r="C1028" s="3" t="inlineStr">
        <is>
          <t>SERENE SPACES LLC</t>
        </is>
      </c>
      <c r="D1028" s="3" t="inlineStr">
        <is>
          <t>In House Collection</t>
        </is>
      </c>
      <c r="E1028" s="23" t="n">
        <v>46216</v>
      </c>
      <c r="F1028" s="23" t="n">
        <v>46234</v>
      </c>
      <c r="G1028" s="3" t="n">
        <v>3</v>
      </c>
      <c r="H1028" s="3" t="inlineStr">
        <is>
          <t>6512</t>
        </is>
      </c>
      <c r="I1028" s="3" t="inlineStr">
        <is>
          <t>65</t>
        </is>
      </c>
      <c r="J1028" s="3" t="inlineStr">
        <is>
          <t>IA</t>
        </is>
      </c>
      <c r="K1028" s="3" t="inlineStr">
        <is>
          <t>United Secured Capital 8</t>
        </is>
      </c>
      <c r="L1028" s="3" t="inlineStr">
        <is>
          <t>New Deal</t>
        </is>
      </c>
      <c r="M1028" s="3" t="n">
        <v>1.49</v>
      </c>
      <c r="N1028" s="28" t="n">
        <v>20000</v>
      </c>
      <c r="O1028" s="28" t="n">
        <v>0</v>
      </c>
      <c r="P1028" s="28" t="n">
        <v>29800</v>
      </c>
      <c r="Q1028" s="28" t="n">
        <v>0</v>
      </c>
      <c r="R1028" s="28" t="n">
        <v>29800</v>
      </c>
      <c r="S1028" s="42" t="n">
        <v>0</v>
      </c>
      <c r="T1028" s="3" t="n">
        <v>20</v>
      </c>
      <c r="U1028" s="3" t="n">
        <v>3</v>
      </c>
      <c r="V1028" s="3" t="n">
        <v>48000</v>
      </c>
      <c r="W1028" s="42" t="n">
        <v>0.0596</v>
      </c>
      <c r="X1028" s="23" t="n">
        <v>43324</v>
      </c>
      <c r="Y1028" s="3">
        <f>IF(I1028="","No SIC",IFERROR(VLOOKUP(I1028,Ref!$A$2:$B$65,2,FALSE()),"Unclassified"))</f>
        <v/>
      </c>
      <c r="Z1028" s="3">
        <f>IF(T1028="","",IF(T1028&lt;12,"Daily","Weekly"))</f>
        <v/>
      </c>
      <c r="AA1028" s="3">
        <f>IF(T1028="",0,IF(T1028&lt;12,T1028*Controls!$B$13,T1028*5))</f>
        <v/>
      </c>
      <c r="AB1028" s="3">
        <f>IF(E1028="",0,NETWORKDAYS(E1028,Controls!$B$20,Ref!$K$2:$K$42))</f>
        <v/>
      </c>
      <c r="AC1028" s="3">
        <f>IF(OR(AF1028=1,AND(AA1028&gt;0,AB1028&gt;=Controls!$B$23*AA1028)),1,0)</f>
        <v/>
      </c>
      <c r="AD1028" s="3">
        <f>IF(AND(E1028&lt;&gt;"",E1028&gt;=Controls!$B$21,E1028&lt;=Controls!$B$22),1,0)</f>
        <v/>
      </c>
      <c r="AE1028" s="3">
        <f>IF(IFERROR(VLOOKUP(D1028,Controls!$A$36:$E$46,2,FALSE()),"No")="Yes",1,0)</f>
        <v/>
      </c>
      <c r="AF1028" s="3">
        <f>IF(IFERROR(VLOOKUP(D1028,Controls!$A$36:$E$46,3,FALSE()),"No")="Yes",1,0)</f>
        <v/>
      </c>
      <c r="AG1028" s="3">
        <f>IF(IFERROR(VLOOKUP(D1028,Controls!$A$36:$E$46,4,FALSE()),"No")="Yes",1,0)</f>
        <v/>
      </c>
      <c r="AH1028" s="3">
        <f>IF(IFERROR(VLOOKUP(D1028,Controls!$A$36:$E$46,5,FALSE()),"No")="Yes",1,0)</f>
        <v/>
      </c>
      <c r="AI1028" s="3">
        <f>IF(ISNUMBER(MATCH(D1028,Controls!$A$36:$A$46,0)),1,0)</f>
        <v/>
      </c>
      <c r="AJ1028" s="28">
        <f>Q1028-N1028</f>
        <v/>
      </c>
      <c r="AK1028" s="3">
        <f>IF(AE1028=1,MAX(0,N1028-Q1028),0)</f>
        <v/>
      </c>
      <c r="AL1028" s="3">
        <f>IF(OR(V1028="",V1028=0),0,N1028/V1028)</f>
        <v/>
      </c>
      <c r="AM1028" s="3">
        <f>IF(OR(V1028="",V1028=0),0,1)</f>
        <v/>
      </c>
      <c r="AN1028" s="3">
        <f>IF(OR(E1028="",F1028=""),0,NETWORKDAYS(E1028,F1028,Ref!$K$2:$K$42))</f>
        <v/>
      </c>
      <c r="AO1028" s="3">
        <f>IF(L1028="Renewal",1,0)</f>
        <v/>
      </c>
      <c r="AP1028" s="3">
        <f>AC1028*AD1028</f>
        <v/>
      </c>
      <c r="AQ1028" s="3">
        <f>IF(AND(G1028&lt;&gt;"",'Historical Score'!$C$6&lt;&gt;""),IF(G1028='Historical Score'!$C$6,1,0),0)</f>
        <v/>
      </c>
      <c r="AR1028" s="3">
        <f>IF(AND(L1028&lt;&gt;"",'Historical Score'!$C$5&lt;&gt;""),IF(L1028='Historical Score'!$C$5,1,0),0)</f>
        <v/>
      </c>
      <c r="AS1028" s="3">
        <f>IF(AND(Y1028&lt;&gt;"",'Historical Score'!$C$7&lt;&gt;""),IF(Y1028='Historical Score'!$C$7,1,0),0)</f>
        <v/>
      </c>
      <c r="AT1028" s="3">
        <f>IF(AND(K1028&lt;&gt;"",'Historical Score'!$C$8&lt;&gt;""),IF(K1028='Historical Score'!$C$8,1,0),0)</f>
        <v/>
      </c>
      <c r="AU1028" s="3" t="n"/>
      <c r="AV1028" s="3" t="n"/>
      <c r="AW1028" s="3" t="n"/>
      <c r="AX1028" s="3" t="n"/>
      <c r="AY1028" s="3" t="n"/>
      <c r="AZ1028" s="3" t="n"/>
      <c r="BA1028" s="182">
        <f>IF(AD1028=1,(AR1028*'Historical Score'!$K$29+1-'Historical Score'!$K$29)*(AT1028*'Historical Score'!$L$29+1-'Historical Score'!$L$29)*(AS1028*'Historical Score'!$M$29+1-'Historical Score'!$M$29)*(AQ1028*'Historical Score'!$N$29+1-'Historical Score'!$N$29),0)</f>
        <v/>
      </c>
      <c r="BB1028" s="3" t="n"/>
      <c r="BC1028" s="3" t="n"/>
    </row>
    <row r="1029" ht="15" customHeight="1" s="174">
      <c r="A1029" s="3" t="inlineStr">
        <is>
          <t>5674187211</t>
        </is>
      </c>
      <c r="B1029" s="3" t="inlineStr">
        <is>
          <t>BLULEO TRANSPORT LLC</t>
        </is>
      </c>
      <c r="C1029" s="3" t="inlineStr">
        <is>
          <t>BLULEO TRANSPORT LLC</t>
        </is>
      </c>
      <c r="D1029" s="3" t="inlineStr">
        <is>
          <t>Open</t>
        </is>
      </c>
      <c r="E1029" s="23" t="n">
        <v>46216</v>
      </c>
      <c r="F1029" s="23" t="n">
        <v>46248</v>
      </c>
      <c r="G1029" s="3" t="n">
        <v>4</v>
      </c>
      <c r="H1029" s="3" t="inlineStr">
        <is>
          <t>4212</t>
        </is>
      </c>
      <c r="I1029" s="3" t="inlineStr">
        <is>
          <t>42</t>
        </is>
      </c>
      <c r="J1029" s="3" t="inlineStr">
        <is>
          <t>TX</t>
        </is>
      </c>
      <c r="K1029" s="3" t="inlineStr">
        <is>
          <t>United Secured Capital 8</t>
        </is>
      </c>
      <c r="L1029" s="3" t="inlineStr">
        <is>
          <t>Renewal</t>
        </is>
      </c>
      <c r="M1029" s="3" t="n">
        <v>1.49</v>
      </c>
      <c r="N1029" s="28" t="n">
        <v>35000</v>
      </c>
      <c r="O1029" s="28" t="n">
        <v>4900</v>
      </c>
      <c r="P1029" s="28" t="n">
        <v>52150</v>
      </c>
      <c r="Q1029" s="28" t="n">
        <v>8149.8</v>
      </c>
      <c r="R1029" s="28" t="n">
        <v>44000.2</v>
      </c>
      <c r="S1029" s="42" t="n">
        <v>0.156276126558006</v>
      </c>
      <c r="T1029" s="3" t="n">
        <v>32</v>
      </c>
      <c r="U1029" s="3" t="n">
        <v>0</v>
      </c>
      <c r="V1029" s="3" t="n">
        <v>56970.35</v>
      </c>
      <c r="W1029" s="42" t="n">
        <v>0.1419</v>
      </c>
      <c r="X1029" s="23" t="n">
        <v>45185</v>
      </c>
      <c r="Y1029" s="3">
        <f>IF(I1029="","No SIC",IFERROR(VLOOKUP(I1029,Ref!$A$2:$B$65,2,FALSE()),"Unclassified"))</f>
        <v/>
      </c>
      <c r="Z1029" s="3">
        <f>IF(T1029="","",IF(T1029&lt;12,"Daily","Weekly"))</f>
        <v/>
      </c>
      <c r="AA1029" s="3">
        <f>IF(T1029="",0,IF(T1029&lt;12,T1029*Controls!$B$13,T1029*5))</f>
        <v/>
      </c>
      <c r="AB1029" s="3">
        <f>IF(E1029="",0,NETWORKDAYS(E1029,Controls!$B$20,Ref!$K$2:$K$42))</f>
        <v/>
      </c>
      <c r="AC1029" s="3">
        <f>IF(OR(AF1029=1,AND(AA1029&gt;0,AB1029&gt;=Controls!$B$23*AA1029)),1,0)</f>
        <v/>
      </c>
      <c r="AD1029" s="3">
        <f>IF(AND(E1029&lt;&gt;"",E1029&gt;=Controls!$B$21,E1029&lt;=Controls!$B$22),1,0)</f>
        <v/>
      </c>
      <c r="AE1029" s="3">
        <f>IF(IFERROR(VLOOKUP(D1029,Controls!$A$36:$E$46,2,FALSE()),"No")="Yes",1,0)</f>
        <v/>
      </c>
      <c r="AF1029" s="3">
        <f>IF(IFERROR(VLOOKUP(D1029,Controls!$A$36:$E$46,3,FALSE()),"No")="Yes",1,0)</f>
        <v/>
      </c>
      <c r="AG1029" s="3">
        <f>IF(IFERROR(VLOOKUP(D1029,Controls!$A$36:$E$46,4,FALSE()),"No")="Yes",1,0)</f>
        <v/>
      </c>
      <c r="AH1029" s="3">
        <f>IF(IFERROR(VLOOKUP(D1029,Controls!$A$36:$E$46,5,FALSE()),"No")="Yes",1,0)</f>
        <v/>
      </c>
      <c r="AI1029" s="3">
        <f>IF(ISNUMBER(MATCH(D1029,Controls!$A$36:$A$46,0)),1,0)</f>
        <v/>
      </c>
      <c r="AJ1029" s="28">
        <f>Q1029-N1029</f>
        <v/>
      </c>
      <c r="AK1029" s="3">
        <f>IF(AE1029=1,MAX(0,N1029-Q1029),0)</f>
        <v/>
      </c>
      <c r="AL1029" s="3">
        <f>IF(OR(V1029="",V1029=0),0,N1029/V1029)</f>
        <v/>
      </c>
      <c r="AM1029" s="3">
        <f>IF(OR(V1029="",V1029=0),0,1)</f>
        <v/>
      </c>
      <c r="AN1029" s="3">
        <f>IF(OR(E1029="",F1029=""),0,NETWORKDAYS(E1029,F1029,Ref!$K$2:$K$42))</f>
        <v/>
      </c>
      <c r="AO1029" s="3">
        <f>IF(L1029="Renewal",1,0)</f>
        <v/>
      </c>
      <c r="AP1029" s="3">
        <f>AC1029*AD1029</f>
        <v/>
      </c>
      <c r="AQ1029" s="3">
        <f>IF(AND(G1029&lt;&gt;"",'Historical Score'!$C$6&lt;&gt;""),IF(G1029='Historical Score'!$C$6,1,0),0)</f>
        <v/>
      </c>
      <c r="AR1029" s="3">
        <f>IF(AND(L1029&lt;&gt;"",'Historical Score'!$C$5&lt;&gt;""),IF(L1029='Historical Score'!$C$5,1,0),0)</f>
        <v/>
      </c>
      <c r="AS1029" s="3">
        <f>IF(AND(Y1029&lt;&gt;"",'Historical Score'!$C$7&lt;&gt;""),IF(Y1029='Historical Score'!$C$7,1,0),0)</f>
        <v/>
      </c>
      <c r="AT1029" s="3">
        <f>IF(AND(K1029&lt;&gt;"",'Historical Score'!$C$8&lt;&gt;""),IF(K1029='Historical Score'!$C$8,1,0),0)</f>
        <v/>
      </c>
      <c r="AU1029" s="3" t="n"/>
      <c r="AV1029" s="3" t="n"/>
      <c r="AW1029" s="3" t="n"/>
      <c r="AX1029" s="3" t="n"/>
      <c r="AY1029" s="3" t="n"/>
      <c r="AZ1029" s="3" t="n"/>
      <c r="BA1029" s="182">
        <f>IF(AD1029=1,(AR1029*'Historical Score'!$K$29+1-'Historical Score'!$K$29)*(AT1029*'Historical Score'!$L$29+1-'Historical Score'!$L$29)*(AS1029*'Historical Score'!$M$29+1-'Historical Score'!$M$29)*(AQ1029*'Historical Score'!$N$29+1-'Historical Score'!$N$29),0)</f>
        <v/>
      </c>
      <c r="BB1029" s="3" t="n"/>
      <c r="BC1029" s="3" t="n"/>
    </row>
    <row r="1030" ht="15" customHeight="1" s="174">
      <c r="A1030" s="3" t="inlineStr">
        <is>
          <t>5674187240</t>
        </is>
      </c>
      <c r="B1030" s="3" t="inlineStr">
        <is>
          <t>DV S GARAGE INC</t>
        </is>
      </c>
      <c r="C1030" s="3" t="inlineStr">
        <is>
          <t>DV S GARAGE INC</t>
        </is>
      </c>
      <c r="D1030" s="3" t="inlineStr">
        <is>
          <t>Open</t>
        </is>
      </c>
      <c r="E1030" s="23" t="n">
        <v>46217</v>
      </c>
      <c r="F1030" s="23" t="n">
        <v>46248</v>
      </c>
      <c r="G1030" s="3" t="n">
        <v>3</v>
      </c>
      <c r="H1030" s="3" t="inlineStr">
        <is>
          <t>7538</t>
        </is>
      </c>
      <c r="I1030" s="3" t="inlineStr">
        <is>
          <t>75</t>
        </is>
      </c>
      <c r="J1030" s="3" t="inlineStr">
        <is>
          <t>IL</t>
        </is>
      </c>
      <c r="K1030" s="3" t="inlineStr">
        <is>
          <t>level 3 funding</t>
        </is>
      </c>
      <c r="L1030" s="3" t="inlineStr">
        <is>
          <t>New Deal</t>
        </is>
      </c>
      <c r="M1030" s="3" t="n">
        <v>1.49</v>
      </c>
      <c r="N1030" s="28" t="n">
        <v>12000</v>
      </c>
      <c r="O1030" s="28" t="n">
        <v>1680</v>
      </c>
      <c r="P1030" s="28" t="n">
        <v>17880</v>
      </c>
      <c r="Q1030" s="28" t="n">
        <v>1986.68</v>
      </c>
      <c r="R1030" s="28" t="n">
        <v>15893.32</v>
      </c>
      <c r="S1030" s="42" t="n">
        <v>0.111111856823266</v>
      </c>
      <c r="T1030" s="3" t="n">
        <v>18</v>
      </c>
      <c r="U1030" s="3" t="n">
        <v>4</v>
      </c>
      <c r="V1030" s="3" t="n"/>
      <c r="W1030" s="42" t="n">
        <v>0.1525</v>
      </c>
      <c r="X1030" s="23" t="n">
        <v>43424</v>
      </c>
      <c r="Y1030" s="3">
        <f>IF(I1030="","No SIC",IFERROR(VLOOKUP(I1030,Ref!$A$2:$B$65,2,FALSE()),"Unclassified"))</f>
        <v/>
      </c>
      <c r="Z1030" s="3">
        <f>IF(T1030="","",IF(T1030&lt;12,"Daily","Weekly"))</f>
        <v/>
      </c>
      <c r="AA1030" s="3">
        <f>IF(T1030="",0,IF(T1030&lt;12,T1030*Controls!$B$13,T1030*5))</f>
        <v/>
      </c>
      <c r="AB1030" s="3">
        <f>IF(E1030="",0,NETWORKDAYS(E1030,Controls!$B$20,Ref!$K$2:$K$42))</f>
        <v/>
      </c>
      <c r="AC1030" s="3">
        <f>IF(OR(AF1030=1,AND(AA1030&gt;0,AB1030&gt;=Controls!$B$23*AA1030)),1,0)</f>
        <v/>
      </c>
      <c r="AD1030" s="3">
        <f>IF(AND(E1030&lt;&gt;"",E1030&gt;=Controls!$B$21,E1030&lt;=Controls!$B$22),1,0)</f>
        <v/>
      </c>
      <c r="AE1030" s="3">
        <f>IF(IFERROR(VLOOKUP(D1030,Controls!$A$36:$E$46,2,FALSE()),"No")="Yes",1,0)</f>
        <v/>
      </c>
      <c r="AF1030" s="3">
        <f>IF(IFERROR(VLOOKUP(D1030,Controls!$A$36:$E$46,3,FALSE()),"No")="Yes",1,0)</f>
        <v/>
      </c>
      <c r="AG1030" s="3">
        <f>IF(IFERROR(VLOOKUP(D1030,Controls!$A$36:$E$46,4,FALSE()),"No")="Yes",1,0)</f>
        <v/>
      </c>
      <c r="AH1030" s="3">
        <f>IF(IFERROR(VLOOKUP(D1030,Controls!$A$36:$E$46,5,FALSE()),"No")="Yes",1,0)</f>
        <v/>
      </c>
      <c r="AI1030" s="3">
        <f>IF(ISNUMBER(MATCH(D1030,Controls!$A$36:$A$46,0)),1,0)</f>
        <v/>
      </c>
      <c r="AJ1030" s="28">
        <f>Q1030-N1030</f>
        <v/>
      </c>
      <c r="AK1030" s="3">
        <f>IF(AE1030=1,MAX(0,N1030-Q1030),0)</f>
        <v/>
      </c>
      <c r="AL1030" s="3">
        <f>IF(OR(V1030="",V1030=0),0,N1030/V1030)</f>
        <v/>
      </c>
      <c r="AM1030" s="3">
        <f>IF(OR(V1030="",V1030=0),0,1)</f>
        <v/>
      </c>
      <c r="AN1030" s="3">
        <f>IF(OR(E1030="",F1030=""),0,NETWORKDAYS(E1030,F1030,Ref!$K$2:$K$42))</f>
        <v/>
      </c>
      <c r="AO1030" s="3">
        <f>IF(L1030="Renewal",1,0)</f>
        <v/>
      </c>
      <c r="AP1030" s="3">
        <f>AC1030*AD1030</f>
        <v/>
      </c>
      <c r="AQ1030" s="3">
        <f>IF(AND(G1030&lt;&gt;"",'Historical Score'!$C$6&lt;&gt;""),IF(G1030='Historical Score'!$C$6,1,0),0)</f>
        <v/>
      </c>
      <c r="AR1030" s="3">
        <f>IF(AND(L1030&lt;&gt;"",'Historical Score'!$C$5&lt;&gt;""),IF(L1030='Historical Score'!$C$5,1,0),0)</f>
        <v/>
      </c>
      <c r="AS1030" s="3">
        <f>IF(AND(Y1030&lt;&gt;"",'Historical Score'!$C$7&lt;&gt;""),IF(Y1030='Historical Score'!$C$7,1,0),0)</f>
        <v/>
      </c>
      <c r="AT1030" s="3">
        <f>IF(AND(K1030&lt;&gt;"",'Historical Score'!$C$8&lt;&gt;""),IF(K1030='Historical Score'!$C$8,1,0),0)</f>
        <v/>
      </c>
      <c r="AU1030" s="3" t="n"/>
      <c r="AV1030" s="3" t="n"/>
      <c r="AW1030" s="3" t="n"/>
      <c r="AX1030" s="3" t="n"/>
      <c r="AY1030" s="3" t="n"/>
      <c r="AZ1030" s="3" t="n"/>
      <c r="BA1030" s="182">
        <f>IF(AD1030=1,(AR1030*'Historical Score'!$K$29+1-'Historical Score'!$K$29)*(AT1030*'Historical Score'!$L$29+1-'Historical Score'!$L$29)*(AS1030*'Historical Score'!$M$29+1-'Historical Score'!$M$29)*(AQ1030*'Historical Score'!$N$29+1-'Historical Score'!$N$29),0)</f>
        <v/>
      </c>
      <c r="BB1030" s="3" t="n"/>
      <c r="BC1030" s="3" t="n"/>
    </row>
    <row r="1031" ht="15" customHeight="1" s="174">
      <c r="A1031" s="3" t="inlineStr">
        <is>
          <t>5674187312</t>
        </is>
      </c>
      <c r="B1031" s="3" t="inlineStr">
        <is>
          <t>Hecto Group, LLC</t>
        </is>
      </c>
      <c r="C1031" s="3" t="inlineStr">
        <is>
          <t>Hecto Group, LLC</t>
        </is>
      </c>
      <c r="D1031" s="3" t="inlineStr">
        <is>
          <t>Open</t>
        </is>
      </c>
      <c r="E1031" s="23" t="n">
        <v>46218</v>
      </c>
      <c r="F1031" s="23" t="n">
        <v>46248</v>
      </c>
      <c r="G1031" s="3" t="n">
        <v>3</v>
      </c>
      <c r="H1031" s="3" t="inlineStr">
        <is>
          <t>8732</t>
        </is>
      </c>
      <c r="I1031" s="3" t="inlineStr">
        <is>
          <t>87</t>
        </is>
      </c>
      <c r="J1031" s="3" t="inlineStr">
        <is>
          <t>KS</t>
        </is>
      </c>
      <c r="K1031" s="3" t="inlineStr">
        <is>
          <t>Westwood</t>
        </is>
      </c>
      <c r="L1031" s="3" t="inlineStr">
        <is>
          <t>Renewal</t>
        </is>
      </c>
      <c r="M1031" s="3" t="n">
        <v>1.45</v>
      </c>
      <c r="N1031" s="28" t="n">
        <v>50000</v>
      </c>
      <c r="O1031" s="28" t="n">
        <v>0</v>
      </c>
      <c r="P1031" s="28" t="n">
        <v>72500</v>
      </c>
      <c r="Q1031" s="28" t="n">
        <v>0</v>
      </c>
      <c r="R1031" s="28" t="n">
        <v>72500</v>
      </c>
      <c r="S1031" s="42" t="n">
        <v>0</v>
      </c>
      <c r="T1031" s="3" t="n">
        <v>24</v>
      </c>
      <c r="U1031" s="3" t="n">
        <v>4</v>
      </c>
      <c r="V1031" s="3" t="n">
        <v>123148.95</v>
      </c>
      <c r="W1031" s="42" t="n">
        <v>0.1162</v>
      </c>
      <c r="X1031" s="23" t="n">
        <v>40380</v>
      </c>
      <c r="Y1031" s="3">
        <f>IF(I1031="","No SIC",IFERROR(VLOOKUP(I1031,Ref!$A$2:$B$65,2,FALSE()),"Unclassified"))</f>
        <v/>
      </c>
      <c r="Z1031" s="3">
        <f>IF(T1031="","",IF(T1031&lt;12,"Daily","Weekly"))</f>
        <v/>
      </c>
      <c r="AA1031" s="3">
        <f>IF(T1031="",0,IF(T1031&lt;12,T1031*Controls!$B$13,T1031*5))</f>
        <v/>
      </c>
      <c r="AB1031" s="3">
        <f>IF(E1031="",0,NETWORKDAYS(E1031,Controls!$B$20,Ref!$K$2:$K$42))</f>
        <v/>
      </c>
      <c r="AC1031" s="3">
        <f>IF(OR(AF1031=1,AND(AA1031&gt;0,AB1031&gt;=Controls!$B$23*AA1031)),1,0)</f>
        <v/>
      </c>
      <c r="AD1031" s="3">
        <f>IF(AND(E1031&lt;&gt;"",E1031&gt;=Controls!$B$21,E1031&lt;=Controls!$B$22),1,0)</f>
        <v/>
      </c>
      <c r="AE1031" s="3">
        <f>IF(IFERROR(VLOOKUP(D1031,Controls!$A$36:$E$46,2,FALSE()),"No")="Yes",1,0)</f>
        <v/>
      </c>
      <c r="AF1031" s="3">
        <f>IF(IFERROR(VLOOKUP(D1031,Controls!$A$36:$E$46,3,FALSE()),"No")="Yes",1,0)</f>
        <v/>
      </c>
      <c r="AG1031" s="3">
        <f>IF(IFERROR(VLOOKUP(D1031,Controls!$A$36:$E$46,4,FALSE()),"No")="Yes",1,0)</f>
        <v/>
      </c>
      <c r="AH1031" s="3">
        <f>IF(IFERROR(VLOOKUP(D1031,Controls!$A$36:$E$46,5,FALSE()),"No")="Yes",1,0)</f>
        <v/>
      </c>
      <c r="AI1031" s="3">
        <f>IF(ISNUMBER(MATCH(D1031,Controls!$A$36:$A$46,0)),1,0)</f>
        <v/>
      </c>
      <c r="AJ1031" s="28">
        <f>Q1031-N1031</f>
        <v/>
      </c>
      <c r="AK1031" s="3">
        <f>IF(AE1031=1,MAX(0,N1031-Q1031),0)</f>
        <v/>
      </c>
      <c r="AL1031" s="3">
        <f>IF(OR(V1031="",V1031=0),0,N1031/V1031)</f>
        <v/>
      </c>
      <c r="AM1031" s="3">
        <f>IF(OR(V1031="",V1031=0),0,1)</f>
        <v/>
      </c>
      <c r="AN1031" s="3">
        <f>IF(OR(E1031="",F1031=""),0,NETWORKDAYS(E1031,F1031,Ref!$K$2:$K$42))</f>
        <v/>
      </c>
      <c r="AO1031" s="3">
        <f>IF(L1031="Renewal",1,0)</f>
        <v/>
      </c>
      <c r="AP1031" s="3">
        <f>AC1031*AD1031</f>
        <v/>
      </c>
      <c r="AQ1031" s="3">
        <f>IF(AND(G1031&lt;&gt;"",'Historical Score'!$C$6&lt;&gt;""),IF(G1031='Historical Score'!$C$6,1,0),0)</f>
        <v/>
      </c>
      <c r="AR1031" s="3">
        <f>IF(AND(L1031&lt;&gt;"",'Historical Score'!$C$5&lt;&gt;""),IF(L1031='Historical Score'!$C$5,1,0),0)</f>
        <v/>
      </c>
      <c r="AS1031" s="3">
        <f>IF(AND(Y1031&lt;&gt;"",'Historical Score'!$C$7&lt;&gt;""),IF(Y1031='Historical Score'!$C$7,1,0),0)</f>
        <v/>
      </c>
      <c r="AT1031" s="3">
        <f>IF(AND(K1031&lt;&gt;"",'Historical Score'!$C$8&lt;&gt;""),IF(K1031='Historical Score'!$C$8,1,0),0)</f>
        <v/>
      </c>
      <c r="AU1031" s="3" t="n"/>
      <c r="AV1031" s="3" t="n"/>
      <c r="AW1031" s="3" t="n"/>
      <c r="AX1031" s="3" t="n"/>
      <c r="AY1031" s="3" t="n"/>
      <c r="AZ1031" s="3" t="n"/>
      <c r="BA1031" s="182">
        <f>IF(AD1031=1,(AR1031*'Historical Score'!$K$29+1-'Historical Score'!$K$29)*(AT1031*'Historical Score'!$L$29+1-'Historical Score'!$L$29)*(AS1031*'Historical Score'!$M$29+1-'Historical Score'!$M$29)*(AQ1031*'Historical Score'!$N$29+1-'Historical Score'!$N$29),0)</f>
        <v/>
      </c>
      <c r="BB1031" s="3" t="n"/>
      <c r="BC1031" s="3" t="n"/>
    </row>
    <row r="1032" ht="15" customHeight="1" s="174">
      <c r="A1032" s="3" t="inlineStr">
        <is>
          <t>5674187332</t>
        </is>
      </c>
      <c r="B1032" s="3" t="inlineStr">
        <is>
          <t>1st Choice Realty, LLC</t>
        </is>
      </c>
      <c r="C1032" s="3" t="inlineStr">
        <is>
          <t>1st Choice Realty, LLC</t>
        </is>
      </c>
      <c r="D1032" s="3" t="inlineStr">
        <is>
          <t>Open</t>
        </is>
      </c>
      <c r="E1032" s="23" t="n">
        <v>46218</v>
      </c>
      <c r="F1032" s="23" t="n">
        <v>46248</v>
      </c>
      <c r="G1032" s="3" t="n">
        <v>3</v>
      </c>
      <c r="H1032" s="3" t="inlineStr">
        <is>
          <t>6531</t>
        </is>
      </c>
      <c r="I1032" s="3" t="inlineStr">
        <is>
          <t>65</t>
        </is>
      </c>
      <c r="J1032" s="3" t="inlineStr">
        <is>
          <t>TX</t>
        </is>
      </c>
      <c r="K1032" s="3" t="inlineStr">
        <is>
          <t>Monarch funding Group</t>
        </is>
      </c>
      <c r="L1032" s="3" t="inlineStr">
        <is>
          <t>Renewal</t>
        </is>
      </c>
      <c r="M1032" s="3" t="n">
        <v>1.49</v>
      </c>
      <c r="N1032" s="28" t="n">
        <v>15000</v>
      </c>
      <c r="O1032" s="28" t="n">
        <v>2100</v>
      </c>
      <c r="P1032" s="28" t="n">
        <v>22350</v>
      </c>
      <c r="Q1032" s="28" t="n">
        <v>5591.56</v>
      </c>
      <c r="R1032" s="28" t="n">
        <v>16758.44</v>
      </c>
      <c r="S1032" s="42" t="n">
        <v>0.250181655480984</v>
      </c>
      <c r="T1032" s="3" t="n">
        <v>16</v>
      </c>
      <c r="U1032" s="3" t="n">
        <v>0</v>
      </c>
      <c r="V1032" s="3" t="n">
        <v>96907.37</v>
      </c>
      <c r="W1032" s="42" t="n">
        <v>0.0577</v>
      </c>
      <c r="X1032" s="23" t="n">
        <v>44232</v>
      </c>
      <c r="Y1032" s="3">
        <f>IF(I1032="","No SIC",IFERROR(VLOOKUP(I1032,Ref!$A$2:$B$65,2,FALSE()),"Unclassified"))</f>
        <v/>
      </c>
      <c r="Z1032" s="3">
        <f>IF(T1032="","",IF(T1032&lt;12,"Daily","Weekly"))</f>
        <v/>
      </c>
      <c r="AA1032" s="3">
        <f>IF(T1032="",0,IF(T1032&lt;12,T1032*Controls!$B$13,T1032*5))</f>
        <v/>
      </c>
      <c r="AB1032" s="3">
        <f>IF(E1032="",0,NETWORKDAYS(E1032,Controls!$B$20,Ref!$K$2:$K$42))</f>
        <v/>
      </c>
      <c r="AC1032" s="3">
        <f>IF(OR(AF1032=1,AND(AA1032&gt;0,AB1032&gt;=Controls!$B$23*AA1032)),1,0)</f>
        <v/>
      </c>
      <c r="AD1032" s="3">
        <f>IF(AND(E1032&lt;&gt;"",E1032&gt;=Controls!$B$21,E1032&lt;=Controls!$B$22),1,0)</f>
        <v/>
      </c>
      <c r="AE1032" s="3">
        <f>IF(IFERROR(VLOOKUP(D1032,Controls!$A$36:$E$46,2,FALSE()),"No")="Yes",1,0)</f>
        <v/>
      </c>
      <c r="AF1032" s="3">
        <f>IF(IFERROR(VLOOKUP(D1032,Controls!$A$36:$E$46,3,FALSE()),"No")="Yes",1,0)</f>
        <v/>
      </c>
      <c r="AG1032" s="3">
        <f>IF(IFERROR(VLOOKUP(D1032,Controls!$A$36:$E$46,4,FALSE()),"No")="Yes",1,0)</f>
        <v/>
      </c>
      <c r="AH1032" s="3">
        <f>IF(IFERROR(VLOOKUP(D1032,Controls!$A$36:$E$46,5,FALSE()),"No")="Yes",1,0)</f>
        <v/>
      </c>
      <c r="AI1032" s="3">
        <f>IF(ISNUMBER(MATCH(D1032,Controls!$A$36:$A$46,0)),1,0)</f>
        <v/>
      </c>
      <c r="AJ1032" s="28">
        <f>Q1032-N1032</f>
        <v/>
      </c>
      <c r="AK1032" s="3">
        <f>IF(AE1032=1,MAX(0,N1032-Q1032),0)</f>
        <v/>
      </c>
      <c r="AL1032" s="3">
        <f>IF(OR(V1032="",V1032=0),0,N1032/V1032)</f>
        <v/>
      </c>
      <c r="AM1032" s="3">
        <f>IF(OR(V1032="",V1032=0),0,1)</f>
        <v/>
      </c>
      <c r="AN1032" s="3">
        <f>IF(OR(E1032="",F1032=""),0,NETWORKDAYS(E1032,F1032,Ref!$K$2:$K$42))</f>
        <v/>
      </c>
      <c r="AO1032" s="3">
        <f>IF(L1032="Renewal",1,0)</f>
        <v/>
      </c>
      <c r="AP1032" s="3">
        <f>AC1032*AD1032</f>
        <v/>
      </c>
      <c r="AQ1032" s="3">
        <f>IF(AND(G1032&lt;&gt;"",'Historical Score'!$C$6&lt;&gt;""),IF(G1032='Historical Score'!$C$6,1,0),0)</f>
        <v/>
      </c>
      <c r="AR1032" s="3">
        <f>IF(AND(L1032&lt;&gt;"",'Historical Score'!$C$5&lt;&gt;""),IF(L1032='Historical Score'!$C$5,1,0),0)</f>
        <v/>
      </c>
      <c r="AS1032" s="3">
        <f>IF(AND(Y1032&lt;&gt;"",'Historical Score'!$C$7&lt;&gt;""),IF(Y1032='Historical Score'!$C$7,1,0),0)</f>
        <v/>
      </c>
      <c r="AT1032" s="3">
        <f>IF(AND(K1032&lt;&gt;"",'Historical Score'!$C$8&lt;&gt;""),IF(K1032='Historical Score'!$C$8,1,0),0)</f>
        <v/>
      </c>
      <c r="AU1032" s="3" t="n"/>
      <c r="AV1032" s="3" t="n"/>
      <c r="AW1032" s="3" t="n"/>
      <c r="AX1032" s="3" t="n"/>
      <c r="AY1032" s="3" t="n"/>
      <c r="AZ1032" s="3" t="n"/>
      <c r="BA1032" s="182">
        <f>IF(AD1032=1,(AR1032*'Historical Score'!$K$29+1-'Historical Score'!$K$29)*(AT1032*'Historical Score'!$L$29+1-'Historical Score'!$L$29)*(AS1032*'Historical Score'!$M$29+1-'Historical Score'!$M$29)*(AQ1032*'Historical Score'!$N$29+1-'Historical Score'!$N$29),0)</f>
        <v/>
      </c>
      <c r="BB1032" s="3" t="n"/>
      <c r="BC1032" s="3" t="n"/>
    </row>
    <row r="1033" ht="15" customHeight="1" s="174">
      <c r="A1033" s="3" t="inlineStr">
        <is>
          <t>5674187367</t>
        </is>
      </c>
      <c r="B1033" s="3" t="inlineStr">
        <is>
          <t>CAPTAIN DYNAMIC SOLUTIONS</t>
        </is>
      </c>
      <c r="C1033" s="3" t="inlineStr">
        <is>
          <t>CAPTAIN DYNAMIC SOLUTIONS LLC</t>
        </is>
      </c>
      <c r="D1033" s="3" t="inlineStr">
        <is>
          <t>Open</t>
        </is>
      </c>
      <c r="E1033" s="23" t="n">
        <v>46218</v>
      </c>
      <c r="F1033" s="23" t="n">
        <v>46248</v>
      </c>
      <c r="G1033" s="3" t="n">
        <v>3</v>
      </c>
      <c r="H1033" s="3" t="inlineStr">
        <is>
          <t>1522</t>
        </is>
      </c>
      <c r="I1033" s="3" t="inlineStr">
        <is>
          <t>15</t>
        </is>
      </c>
      <c r="J1033" s="3" t="inlineStr">
        <is>
          <t>AL</t>
        </is>
      </c>
      <c r="K1033" s="3" t="inlineStr">
        <is>
          <t>PMF</t>
        </is>
      </c>
      <c r="L1033" s="3" t="inlineStr">
        <is>
          <t>New Deal</t>
        </is>
      </c>
      <c r="M1033" s="3" t="n">
        <v>1.49</v>
      </c>
      <c r="N1033" s="28" t="n">
        <v>50000</v>
      </c>
      <c r="O1033" s="28" t="n">
        <v>7000</v>
      </c>
      <c r="P1033" s="28" t="n">
        <v>74500</v>
      </c>
      <c r="Q1033" s="28" t="n">
        <v>7451.95</v>
      </c>
      <c r="R1033" s="28" t="n">
        <v>67048.05</v>
      </c>
      <c r="S1033" s="42" t="n">
        <v>0.100026174496644</v>
      </c>
      <c r="T1033" s="3" t="n">
        <v>22</v>
      </c>
      <c r="U1033" s="3" t="n">
        <v>1</v>
      </c>
      <c r="V1033" s="3" t="n">
        <v>106266.58</v>
      </c>
      <c r="W1033" s="42" t="n">
        <v>0.1275</v>
      </c>
      <c r="X1033" s="23" t="n">
        <v>41275</v>
      </c>
      <c r="Y1033" s="3">
        <f>IF(I1033="","No SIC",IFERROR(VLOOKUP(I1033,Ref!$A$2:$B$65,2,FALSE()),"Unclassified"))</f>
        <v/>
      </c>
      <c r="Z1033" s="3">
        <f>IF(T1033="","",IF(T1033&lt;12,"Daily","Weekly"))</f>
        <v/>
      </c>
      <c r="AA1033" s="3">
        <f>IF(T1033="",0,IF(T1033&lt;12,T1033*Controls!$B$13,T1033*5))</f>
        <v/>
      </c>
      <c r="AB1033" s="3">
        <f>IF(E1033="",0,NETWORKDAYS(E1033,Controls!$B$20,Ref!$K$2:$K$42))</f>
        <v/>
      </c>
      <c r="AC1033" s="3">
        <f>IF(OR(AF1033=1,AND(AA1033&gt;0,AB1033&gt;=Controls!$B$23*AA1033)),1,0)</f>
        <v/>
      </c>
      <c r="AD1033" s="3">
        <f>IF(AND(E1033&lt;&gt;"",E1033&gt;=Controls!$B$21,E1033&lt;=Controls!$B$22),1,0)</f>
        <v/>
      </c>
      <c r="AE1033" s="3">
        <f>IF(IFERROR(VLOOKUP(D1033,Controls!$A$36:$E$46,2,FALSE()),"No")="Yes",1,0)</f>
        <v/>
      </c>
      <c r="AF1033" s="3">
        <f>IF(IFERROR(VLOOKUP(D1033,Controls!$A$36:$E$46,3,FALSE()),"No")="Yes",1,0)</f>
        <v/>
      </c>
      <c r="AG1033" s="3">
        <f>IF(IFERROR(VLOOKUP(D1033,Controls!$A$36:$E$46,4,FALSE()),"No")="Yes",1,0)</f>
        <v/>
      </c>
      <c r="AH1033" s="3">
        <f>IF(IFERROR(VLOOKUP(D1033,Controls!$A$36:$E$46,5,FALSE()),"No")="Yes",1,0)</f>
        <v/>
      </c>
      <c r="AI1033" s="3">
        <f>IF(ISNUMBER(MATCH(D1033,Controls!$A$36:$A$46,0)),1,0)</f>
        <v/>
      </c>
      <c r="AJ1033" s="28">
        <f>Q1033-N1033</f>
        <v/>
      </c>
      <c r="AK1033" s="3">
        <f>IF(AE1033=1,MAX(0,N1033-Q1033),0)</f>
        <v/>
      </c>
      <c r="AL1033" s="3">
        <f>IF(OR(V1033="",V1033=0),0,N1033/V1033)</f>
        <v/>
      </c>
      <c r="AM1033" s="3">
        <f>IF(OR(V1033="",V1033=0),0,1)</f>
        <v/>
      </c>
      <c r="AN1033" s="3">
        <f>IF(OR(E1033="",F1033=""),0,NETWORKDAYS(E1033,F1033,Ref!$K$2:$K$42))</f>
        <v/>
      </c>
      <c r="AO1033" s="3">
        <f>IF(L1033="Renewal",1,0)</f>
        <v/>
      </c>
      <c r="AP1033" s="3">
        <f>AC1033*AD1033</f>
        <v/>
      </c>
      <c r="AQ1033" s="3">
        <f>IF(AND(G1033&lt;&gt;"",'Historical Score'!$C$6&lt;&gt;""),IF(G1033='Historical Score'!$C$6,1,0),0)</f>
        <v/>
      </c>
      <c r="AR1033" s="3">
        <f>IF(AND(L1033&lt;&gt;"",'Historical Score'!$C$5&lt;&gt;""),IF(L1033='Historical Score'!$C$5,1,0),0)</f>
        <v/>
      </c>
      <c r="AS1033" s="3">
        <f>IF(AND(Y1033&lt;&gt;"",'Historical Score'!$C$7&lt;&gt;""),IF(Y1033='Historical Score'!$C$7,1,0),0)</f>
        <v/>
      </c>
      <c r="AT1033" s="3">
        <f>IF(AND(K1033&lt;&gt;"",'Historical Score'!$C$8&lt;&gt;""),IF(K1033='Historical Score'!$C$8,1,0),0)</f>
        <v/>
      </c>
      <c r="AU1033" s="3" t="n"/>
      <c r="AV1033" s="3" t="n"/>
      <c r="AW1033" s="3" t="n"/>
      <c r="AX1033" s="3" t="n"/>
      <c r="AY1033" s="3" t="n"/>
      <c r="AZ1033" s="3" t="n"/>
      <c r="BA1033" s="182">
        <f>IF(AD1033=1,(AR1033*'Historical Score'!$K$29+1-'Historical Score'!$K$29)*(AT1033*'Historical Score'!$L$29+1-'Historical Score'!$L$29)*(AS1033*'Historical Score'!$M$29+1-'Historical Score'!$M$29)*(AQ1033*'Historical Score'!$N$29+1-'Historical Score'!$N$29),0)</f>
        <v/>
      </c>
      <c r="BB1033" s="3" t="n"/>
      <c r="BC1033" s="3" t="n"/>
    </row>
    <row r="1034" ht="15" customHeight="1" s="174">
      <c r="A1034" s="3" t="inlineStr">
        <is>
          <t>5674187421</t>
        </is>
      </c>
      <c r="B1034" s="3" t="inlineStr">
        <is>
          <t>Nest Protection Plan</t>
        </is>
      </c>
      <c r="C1034" s="3" t="inlineStr">
        <is>
          <t>Miami Valley Environmental Services LLC</t>
        </is>
      </c>
      <c r="D1034" s="3" t="inlineStr">
        <is>
          <t>Open</t>
        </is>
      </c>
      <c r="E1034" s="23" t="n">
        <v>46219</v>
      </c>
      <c r="F1034" s="23" t="n">
        <v>46253</v>
      </c>
      <c r="G1034" s="3" t="n">
        <v>3</v>
      </c>
      <c r="H1034" s="3" t="inlineStr">
        <is>
          <t>8999</t>
        </is>
      </c>
      <c r="I1034" s="3" t="inlineStr">
        <is>
          <t>89</t>
        </is>
      </c>
      <c r="J1034" s="3" t="inlineStr">
        <is>
          <t>OH</t>
        </is>
      </c>
      <c r="K1034" s="3" t="inlineStr">
        <is>
          <t>Fundwell</t>
        </is>
      </c>
      <c r="L1034" s="3" t="inlineStr">
        <is>
          <t>Renewal</t>
        </is>
      </c>
      <c r="M1034" s="3" t="n">
        <v>1.43</v>
      </c>
      <c r="N1034" s="28" t="n">
        <v>30000</v>
      </c>
      <c r="O1034" s="28" t="n">
        <v>3300</v>
      </c>
      <c r="P1034" s="28" t="n">
        <v>42900</v>
      </c>
      <c r="Q1034" s="28" t="n">
        <v>7661.25</v>
      </c>
      <c r="R1034" s="28" t="n">
        <v>35238.75</v>
      </c>
      <c r="S1034" s="42" t="n">
        <v>0.178583916083916</v>
      </c>
      <c r="T1034" s="3" t="n">
        <v>4.59</v>
      </c>
      <c r="U1034" s="3" t="n">
        <v>0</v>
      </c>
      <c r="V1034" s="3" t="n">
        <v>14934.99</v>
      </c>
      <c r="W1034" s="42" t="n">
        <v>0.4309</v>
      </c>
      <c r="X1034" s="23" t="n">
        <v>45524</v>
      </c>
      <c r="Y1034" s="3">
        <f>IF(I1034="","No SIC",IFERROR(VLOOKUP(I1034,Ref!$A$2:$B$65,2,FALSE()),"Unclassified"))</f>
        <v/>
      </c>
      <c r="Z1034" s="3">
        <f>IF(T1034="","",IF(T1034&lt;12,"Daily","Weekly"))</f>
        <v/>
      </c>
      <c r="AA1034" s="3">
        <f>IF(T1034="",0,IF(T1034&lt;12,T1034*Controls!$B$13,T1034*5))</f>
        <v/>
      </c>
      <c r="AB1034" s="3">
        <f>IF(E1034="",0,NETWORKDAYS(E1034,Controls!$B$20,Ref!$K$2:$K$42))</f>
        <v/>
      </c>
      <c r="AC1034" s="3">
        <f>IF(OR(AF1034=1,AND(AA1034&gt;0,AB1034&gt;=Controls!$B$23*AA1034)),1,0)</f>
        <v/>
      </c>
      <c r="AD1034" s="3">
        <f>IF(AND(E1034&lt;&gt;"",E1034&gt;=Controls!$B$21,E1034&lt;=Controls!$B$22),1,0)</f>
        <v/>
      </c>
      <c r="AE1034" s="3">
        <f>IF(IFERROR(VLOOKUP(D1034,Controls!$A$36:$E$46,2,FALSE()),"No")="Yes",1,0)</f>
        <v/>
      </c>
      <c r="AF1034" s="3">
        <f>IF(IFERROR(VLOOKUP(D1034,Controls!$A$36:$E$46,3,FALSE()),"No")="Yes",1,0)</f>
        <v/>
      </c>
      <c r="AG1034" s="3">
        <f>IF(IFERROR(VLOOKUP(D1034,Controls!$A$36:$E$46,4,FALSE()),"No")="Yes",1,0)</f>
        <v/>
      </c>
      <c r="AH1034" s="3">
        <f>IF(IFERROR(VLOOKUP(D1034,Controls!$A$36:$E$46,5,FALSE()),"No")="Yes",1,0)</f>
        <v/>
      </c>
      <c r="AI1034" s="3">
        <f>IF(ISNUMBER(MATCH(D1034,Controls!$A$36:$A$46,0)),1,0)</f>
        <v/>
      </c>
      <c r="AJ1034" s="28">
        <f>Q1034-N1034</f>
        <v/>
      </c>
      <c r="AK1034" s="3">
        <f>IF(AE1034=1,MAX(0,N1034-Q1034),0)</f>
        <v/>
      </c>
      <c r="AL1034" s="3">
        <f>IF(OR(V1034="",V1034=0),0,N1034/V1034)</f>
        <v/>
      </c>
      <c r="AM1034" s="3">
        <f>IF(OR(V1034="",V1034=0),0,1)</f>
        <v/>
      </c>
      <c r="AN1034" s="3">
        <f>IF(OR(E1034="",F1034=""),0,NETWORKDAYS(E1034,F1034,Ref!$K$2:$K$42))</f>
        <v/>
      </c>
      <c r="AO1034" s="3">
        <f>IF(L1034="Renewal",1,0)</f>
        <v/>
      </c>
      <c r="AP1034" s="3">
        <f>AC1034*AD1034</f>
        <v/>
      </c>
      <c r="AQ1034" s="3">
        <f>IF(AND(G1034&lt;&gt;"",'Historical Score'!$C$6&lt;&gt;""),IF(G1034='Historical Score'!$C$6,1,0),0)</f>
        <v/>
      </c>
      <c r="AR1034" s="3">
        <f>IF(AND(L1034&lt;&gt;"",'Historical Score'!$C$5&lt;&gt;""),IF(L1034='Historical Score'!$C$5,1,0),0)</f>
        <v/>
      </c>
      <c r="AS1034" s="3">
        <f>IF(AND(Y1034&lt;&gt;"",'Historical Score'!$C$7&lt;&gt;""),IF(Y1034='Historical Score'!$C$7,1,0),0)</f>
        <v/>
      </c>
      <c r="AT1034" s="3">
        <f>IF(AND(K1034&lt;&gt;"",'Historical Score'!$C$8&lt;&gt;""),IF(K1034='Historical Score'!$C$8,1,0),0)</f>
        <v/>
      </c>
      <c r="AU1034" s="3" t="n"/>
      <c r="AV1034" s="3" t="n"/>
      <c r="AW1034" s="3" t="n"/>
      <c r="AX1034" s="3" t="n"/>
      <c r="AY1034" s="3" t="n"/>
      <c r="AZ1034" s="3" t="n"/>
      <c r="BA1034" s="182">
        <f>IF(AD1034=1,(AR1034*'Historical Score'!$K$29+1-'Historical Score'!$K$29)*(AT1034*'Historical Score'!$L$29+1-'Historical Score'!$L$29)*(AS1034*'Historical Score'!$M$29+1-'Historical Score'!$M$29)*(AQ1034*'Historical Score'!$N$29+1-'Historical Score'!$N$29),0)</f>
        <v/>
      </c>
      <c r="BB1034" s="3" t="n"/>
      <c r="BC1034" s="3" t="n"/>
    </row>
    <row r="1035" ht="15" customHeight="1" s="174">
      <c r="A1035" s="3" t="inlineStr">
        <is>
          <t>5674187506</t>
        </is>
      </c>
      <c r="B1035" s="3" t="inlineStr">
        <is>
          <t>THE VINEYARD CAMP AND RETREAT CENTER</t>
        </is>
      </c>
      <c r="C1035" s="3" t="inlineStr">
        <is>
          <t>The Vineyard Camp and Retreat Ce nter Inc</t>
        </is>
      </c>
      <c r="D1035" s="3" t="inlineStr">
        <is>
          <t>Open</t>
        </is>
      </c>
      <c r="E1035" s="23" t="n">
        <v>46220</v>
      </c>
      <c r="F1035" s="23" t="n">
        <v>46253</v>
      </c>
      <c r="G1035" s="3" t="n">
        <v>4</v>
      </c>
      <c r="H1035" s="3" t="inlineStr">
        <is>
          <t>7032</t>
        </is>
      </c>
      <c r="I1035" s="3" t="inlineStr">
        <is>
          <t>70</t>
        </is>
      </c>
      <c r="J1035" s="3" t="inlineStr">
        <is>
          <t>NC</t>
        </is>
      </c>
      <c r="K1035" s="3" t="inlineStr">
        <is>
          <t>PMF</t>
        </is>
      </c>
      <c r="L1035" s="3" t="inlineStr">
        <is>
          <t>New Deal</t>
        </is>
      </c>
      <c r="M1035" s="3" t="n">
        <v>1.49</v>
      </c>
      <c r="N1035" s="28" t="n">
        <v>15000</v>
      </c>
      <c r="O1035" s="28" t="n">
        <v>2100</v>
      </c>
      <c r="P1035" s="28" t="n">
        <v>22350</v>
      </c>
      <c r="Q1035" s="28" t="n">
        <v>7708.3</v>
      </c>
      <c r="R1035" s="28" t="n">
        <v>14641.7</v>
      </c>
      <c r="S1035" s="42" t="n">
        <v>0.344890380313199</v>
      </c>
      <c r="T1035" s="3" t="n">
        <v>15</v>
      </c>
      <c r="U1035" s="3" t="n">
        <v>0</v>
      </c>
      <c r="V1035" s="3" t="n">
        <v>101183.29</v>
      </c>
      <c r="W1035" s="42" t="n">
        <v>0.2035</v>
      </c>
      <c r="X1035" s="23" t="n">
        <v>30841</v>
      </c>
      <c r="Y1035" s="3">
        <f>IF(I1035="","No SIC",IFERROR(VLOOKUP(I1035,Ref!$A$2:$B$65,2,FALSE()),"Unclassified"))</f>
        <v/>
      </c>
      <c r="Z1035" s="3">
        <f>IF(T1035="","",IF(T1035&lt;12,"Daily","Weekly"))</f>
        <v/>
      </c>
      <c r="AA1035" s="3">
        <f>IF(T1035="",0,IF(T1035&lt;12,T1035*Controls!$B$13,T1035*5))</f>
        <v/>
      </c>
      <c r="AB1035" s="3">
        <f>IF(E1035="",0,NETWORKDAYS(E1035,Controls!$B$20,Ref!$K$2:$K$42))</f>
        <v/>
      </c>
      <c r="AC1035" s="3">
        <f>IF(OR(AF1035=1,AND(AA1035&gt;0,AB1035&gt;=Controls!$B$23*AA1035)),1,0)</f>
        <v/>
      </c>
      <c r="AD1035" s="3">
        <f>IF(AND(E1035&lt;&gt;"",E1035&gt;=Controls!$B$21,E1035&lt;=Controls!$B$22),1,0)</f>
        <v/>
      </c>
      <c r="AE1035" s="3">
        <f>IF(IFERROR(VLOOKUP(D1035,Controls!$A$36:$E$46,2,FALSE()),"No")="Yes",1,0)</f>
        <v/>
      </c>
      <c r="AF1035" s="3">
        <f>IF(IFERROR(VLOOKUP(D1035,Controls!$A$36:$E$46,3,FALSE()),"No")="Yes",1,0)</f>
        <v/>
      </c>
      <c r="AG1035" s="3">
        <f>IF(IFERROR(VLOOKUP(D1035,Controls!$A$36:$E$46,4,FALSE()),"No")="Yes",1,0)</f>
        <v/>
      </c>
      <c r="AH1035" s="3">
        <f>IF(IFERROR(VLOOKUP(D1035,Controls!$A$36:$E$46,5,FALSE()),"No")="Yes",1,0)</f>
        <v/>
      </c>
      <c r="AI1035" s="3">
        <f>IF(ISNUMBER(MATCH(D1035,Controls!$A$36:$A$46,0)),1,0)</f>
        <v/>
      </c>
      <c r="AJ1035" s="28">
        <f>Q1035-N1035</f>
        <v/>
      </c>
      <c r="AK1035" s="3">
        <f>IF(AE1035=1,MAX(0,N1035-Q1035),0)</f>
        <v/>
      </c>
      <c r="AL1035" s="3">
        <f>IF(OR(V1035="",V1035=0),0,N1035/V1035)</f>
        <v/>
      </c>
      <c r="AM1035" s="3">
        <f>IF(OR(V1035="",V1035=0),0,1)</f>
        <v/>
      </c>
      <c r="AN1035" s="3">
        <f>IF(OR(E1035="",F1035=""),0,NETWORKDAYS(E1035,F1035,Ref!$K$2:$K$42))</f>
        <v/>
      </c>
      <c r="AO1035" s="3">
        <f>IF(L1035="Renewal",1,0)</f>
        <v/>
      </c>
      <c r="AP1035" s="3">
        <f>AC1035*AD1035</f>
        <v/>
      </c>
      <c r="AQ1035" s="3">
        <f>IF(AND(G1035&lt;&gt;"",'Historical Score'!$C$6&lt;&gt;""),IF(G1035='Historical Score'!$C$6,1,0),0)</f>
        <v/>
      </c>
      <c r="AR1035" s="3">
        <f>IF(AND(L1035&lt;&gt;"",'Historical Score'!$C$5&lt;&gt;""),IF(L1035='Historical Score'!$C$5,1,0),0)</f>
        <v/>
      </c>
      <c r="AS1035" s="3">
        <f>IF(AND(Y1035&lt;&gt;"",'Historical Score'!$C$7&lt;&gt;""),IF(Y1035='Historical Score'!$C$7,1,0),0)</f>
        <v/>
      </c>
      <c r="AT1035" s="3">
        <f>IF(AND(K1035&lt;&gt;"",'Historical Score'!$C$8&lt;&gt;""),IF(K1035='Historical Score'!$C$8,1,0),0)</f>
        <v/>
      </c>
      <c r="AU1035" s="3" t="n"/>
      <c r="AV1035" s="3" t="n"/>
      <c r="AW1035" s="3" t="n"/>
      <c r="AX1035" s="3" t="n"/>
      <c r="AY1035" s="3" t="n"/>
      <c r="AZ1035" s="3" t="n"/>
      <c r="BA1035" s="182">
        <f>IF(AD1035=1,(AR1035*'Historical Score'!$K$29+1-'Historical Score'!$K$29)*(AT1035*'Historical Score'!$L$29+1-'Historical Score'!$L$29)*(AS1035*'Historical Score'!$M$29+1-'Historical Score'!$M$29)*(AQ1035*'Historical Score'!$N$29+1-'Historical Score'!$N$29),0)</f>
        <v/>
      </c>
      <c r="BB1035" s="3" t="n"/>
      <c r="BC1035" s="3" t="n"/>
    </row>
    <row r="1036" ht="15" customHeight="1" s="174">
      <c r="A1036" s="3" t="inlineStr">
        <is>
          <t>5674187540</t>
        </is>
      </c>
      <c r="B1036" s="3" t="inlineStr">
        <is>
          <t>DRTX Facility Maintenance, LLC</t>
        </is>
      </c>
      <c r="C1036" s="3" t="inlineStr">
        <is>
          <t>DRTX Facility Maintenance, LLC</t>
        </is>
      </c>
      <c r="D1036" s="3" t="inlineStr">
        <is>
          <t>Open</t>
        </is>
      </c>
      <c r="E1036" s="23" t="n">
        <v>46220</v>
      </c>
      <c r="F1036" s="23" t="n">
        <v>46253</v>
      </c>
      <c r="G1036" s="3" t="n">
        <v>3</v>
      </c>
      <c r="H1036" s="3" t="inlineStr">
        <is>
          <t>1521</t>
        </is>
      </c>
      <c r="I1036" s="3" t="inlineStr">
        <is>
          <t>15</t>
        </is>
      </c>
      <c r="J1036" s="3" t="inlineStr">
        <is>
          <t>TX</t>
        </is>
      </c>
      <c r="K1036" s="3" t="inlineStr">
        <is>
          <t>SNB CAPITAL 18 LLC</t>
        </is>
      </c>
      <c r="L1036" s="3" t="inlineStr">
        <is>
          <t>Renewal</t>
        </is>
      </c>
      <c r="M1036" s="3" t="n">
        <v>1.49</v>
      </c>
      <c r="N1036" s="28" t="n">
        <v>16000</v>
      </c>
      <c r="O1036" s="28" t="n">
        <v>2240</v>
      </c>
      <c r="P1036" s="28" t="n">
        <v>23840</v>
      </c>
      <c r="Q1036" s="28" t="n">
        <v>5406.88</v>
      </c>
      <c r="R1036" s="28" t="n">
        <v>18433.12</v>
      </c>
      <c r="S1036" s="42" t="n">
        <v>0.226798657718121</v>
      </c>
      <c r="T1036" s="3" t="n">
        <v>3.934</v>
      </c>
      <c r="U1036" s="3" t="n">
        <v>0</v>
      </c>
      <c r="V1036" s="3" t="n">
        <v>51341.83</v>
      </c>
      <c r="W1036" s="42" t="n">
        <v>0.0813</v>
      </c>
      <c r="X1036" s="23" t="n">
        <v>39965</v>
      </c>
      <c r="Y1036" s="3">
        <f>IF(I1036="","No SIC",IFERROR(VLOOKUP(I1036,Ref!$A$2:$B$65,2,FALSE()),"Unclassified"))</f>
        <v/>
      </c>
      <c r="Z1036" s="3">
        <f>IF(T1036="","",IF(T1036&lt;12,"Daily","Weekly"))</f>
        <v/>
      </c>
      <c r="AA1036" s="3">
        <f>IF(T1036="",0,IF(T1036&lt;12,T1036*Controls!$B$13,T1036*5))</f>
        <v/>
      </c>
      <c r="AB1036" s="3">
        <f>IF(E1036="",0,NETWORKDAYS(E1036,Controls!$B$20,Ref!$K$2:$K$42))</f>
        <v/>
      </c>
      <c r="AC1036" s="3">
        <f>IF(OR(AF1036=1,AND(AA1036&gt;0,AB1036&gt;=Controls!$B$23*AA1036)),1,0)</f>
        <v/>
      </c>
      <c r="AD1036" s="3">
        <f>IF(AND(E1036&lt;&gt;"",E1036&gt;=Controls!$B$21,E1036&lt;=Controls!$B$22),1,0)</f>
        <v/>
      </c>
      <c r="AE1036" s="3">
        <f>IF(IFERROR(VLOOKUP(D1036,Controls!$A$36:$E$46,2,FALSE()),"No")="Yes",1,0)</f>
        <v/>
      </c>
      <c r="AF1036" s="3">
        <f>IF(IFERROR(VLOOKUP(D1036,Controls!$A$36:$E$46,3,FALSE()),"No")="Yes",1,0)</f>
        <v/>
      </c>
      <c r="AG1036" s="3">
        <f>IF(IFERROR(VLOOKUP(D1036,Controls!$A$36:$E$46,4,FALSE()),"No")="Yes",1,0)</f>
        <v/>
      </c>
      <c r="AH1036" s="3">
        <f>IF(IFERROR(VLOOKUP(D1036,Controls!$A$36:$E$46,5,FALSE()),"No")="Yes",1,0)</f>
        <v/>
      </c>
      <c r="AI1036" s="3">
        <f>IF(ISNUMBER(MATCH(D1036,Controls!$A$36:$A$46,0)),1,0)</f>
        <v/>
      </c>
      <c r="AJ1036" s="28">
        <f>Q1036-N1036</f>
        <v/>
      </c>
      <c r="AK1036" s="3">
        <f>IF(AE1036=1,MAX(0,N1036-Q1036),0)</f>
        <v/>
      </c>
      <c r="AL1036" s="3">
        <f>IF(OR(V1036="",V1036=0),0,N1036/V1036)</f>
        <v/>
      </c>
      <c r="AM1036" s="3">
        <f>IF(OR(V1036="",V1036=0),0,1)</f>
        <v/>
      </c>
      <c r="AN1036" s="3">
        <f>IF(OR(E1036="",F1036=""),0,NETWORKDAYS(E1036,F1036,Ref!$K$2:$K$42))</f>
        <v/>
      </c>
      <c r="AO1036" s="3">
        <f>IF(L1036="Renewal",1,0)</f>
        <v/>
      </c>
      <c r="AP1036" s="3">
        <f>AC1036*AD1036</f>
        <v/>
      </c>
      <c r="AQ1036" s="3">
        <f>IF(AND(G1036&lt;&gt;"",'Historical Score'!$C$6&lt;&gt;""),IF(G1036='Historical Score'!$C$6,1,0),0)</f>
        <v/>
      </c>
      <c r="AR1036" s="3">
        <f>IF(AND(L1036&lt;&gt;"",'Historical Score'!$C$5&lt;&gt;""),IF(L1036='Historical Score'!$C$5,1,0),0)</f>
        <v/>
      </c>
      <c r="AS1036" s="3">
        <f>IF(AND(Y1036&lt;&gt;"",'Historical Score'!$C$7&lt;&gt;""),IF(Y1036='Historical Score'!$C$7,1,0),0)</f>
        <v/>
      </c>
      <c r="AT1036" s="3">
        <f>IF(AND(K1036&lt;&gt;"",'Historical Score'!$C$8&lt;&gt;""),IF(K1036='Historical Score'!$C$8,1,0),0)</f>
        <v/>
      </c>
      <c r="AU1036" s="3" t="n"/>
      <c r="AV1036" s="3" t="n"/>
      <c r="AW1036" s="3" t="n"/>
      <c r="AX1036" s="3" t="n"/>
      <c r="AY1036" s="3" t="n"/>
      <c r="AZ1036" s="3" t="n"/>
      <c r="BA1036" s="182">
        <f>IF(AD1036=1,(AR1036*'Historical Score'!$K$29+1-'Historical Score'!$K$29)*(AT1036*'Historical Score'!$L$29+1-'Historical Score'!$L$29)*(AS1036*'Historical Score'!$M$29+1-'Historical Score'!$M$29)*(AQ1036*'Historical Score'!$N$29+1-'Historical Score'!$N$29),0)</f>
        <v/>
      </c>
      <c r="BB1036" s="3" t="n"/>
      <c r="BC1036" s="3" t="n"/>
    </row>
    <row r="1037" ht="15" customHeight="1" s="174">
      <c r="A1037" s="3" t="inlineStr">
        <is>
          <t>5674187579</t>
        </is>
      </c>
      <c r="B1037" s="3" t="inlineStr">
        <is>
          <t>John Hebert MD</t>
        </is>
      </c>
      <c r="C1037" s="3" t="inlineStr">
        <is>
          <t>John Hebert MD</t>
        </is>
      </c>
      <c r="D1037" s="3" t="inlineStr">
        <is>
          <t>Open</t>
        </is>
      </c>
      <c r="E1037" s="23" t="n">
        <v>46223</v>
      </c>
      <c r="F1037" s="23" t="n">
        <v>46253</v>
      </c>
      <c r="G1037" s="3" t="n">
        <v>3</v>
      </c>
      <c r="H1037" s="3" t="inlineStr">
        <is>
          <t>8011</t>
        </is>
      </c>
      <c r="I1037" s="3" t="inlineStr">
        <is>
          <t>80</t>
        </is>
      </c>
      <c r="J1037" s="3" t="inlineStr">
        <is>
          <t>LA</t>
        </is>
      </c>
      <c r="K1037" s="3" t="inlineStr">
        <is>
          <t>United Secured Capital 8</t>
        </is>
      </c>
      <c r="L1037" s="3" t="inlineStr">
        <is>
          <t>Renewal</t>
        </is>
      </c>
      <c r="M1037" s="3" t="n">
        <v>1.49</v>
      </c>
      <c r="N1037" s="28" t="n">
        <v>25000</v>
      </c>
      <c r="O1037" s="28" t="n">
        <v>3500</v>
      </c>
      <c r="P1037" s="28" t="n">
        <v>37250</v>
      </c>
      <c r="Q1037" s="28" t="n">
        <v>6827.92</v>
      </c>
      <c r="R1037" s="28" t="n">
        <v>30422.08</v>
      </c>
      <c r="S1037" s="42" t="n">
        <v>0.183299865771812</v>
      </c>
      <c r="T1037" s="3" t="n">
        <v>3.934</v>
      </c>
      <c r="U1037" s="3" t="n">
        <v>0</v>
      </c>
      <c r="V1037" s="3" t="n">
        <v>28362.13</v>
      </c>
      <c r="W1037" s="42" t="n">
        <v>0.2298</v>
      </c>
      <c r="X1037" s="23" t="n"/>
      <c r="Y1037" s="3">
        <f>IF(I1037="","No SIC",IFERROR(VLOOKUP(I1037,Ref!$A$2:$B$65,2,FALSE()),"Unclassified"))</f>
        <v/>
      </c>
      <c r="Z1037" s="3">
        <f>IF(T1037="","",IF(T1037&lt;12,"Daily","Weekly"))</f>
        <v/>
      </c>
      <c r="AA1037" s="3">
        <f>IF(T1037="",0,IF(T1037&lt;12,T1037*Controls!$B$13,T1037*5))</f>
        <v/>
      </c>
      <c r="AB1037" s="3">
        <f>IF(E1037="",0,NETWORKDAYS(E1037,Controls!$B$20,Ref!$K$2:$K$42))</f>
        <v/>
      </c>
      <c r="AC1037" s="3">
        <f>IF(OR(AF1037=1,AND(AA1037&gt;0,AB1037&gt;=Controls!$B$23*AA1037)),1,0)</f>
        <v/>
      </c>
      <c r="AD1037" s="3">
        <f>IF(AND(E1037&lt;&gt;"",E1037&gt;=Controls!$B$21,E1037&lt;=Controls!$B$22),1,0)</f>
        <v/>
      </c>
      <c r="AE1037" s="3">
        <f>IF(IFERROR(VLOOKUP(D1037,Controls!$A$36:$E$46,2,FALSE()),"No")="Yes",1,0)</f>
        <v/>
      </c>
      <c r="AF1037" s="3">
        <f>IF(IFERROR(VLOOKUP(D1037,Controls!$A$36:$E$46,3,FALSE()),"No")="Yes",1,0)</f>
        <v/>
      </c>
      <c r="AG1037" s="3">
        <f>IF(IFERROR(VLOOKUP(D1037,Controls!$A$36:$E$46,4,FALSE()),"No")="Yes",1,0)</f>
        <v/>
      </c>
      <c r="AH1037" s="3">
        <f>IF(IFERROR(VLOOKUP(D1037,Controls!$A$36:$E$46,5,FALSE()),"No")="Yes",1,0)</f>
        <v/>
      </c>
      <c r="AI1037" s="3">
        <f>IF(ISNUMBER(MATCH(D1037,Controls!$A$36:$A$46,0)),1,0)</f>
        <v/>
      </c>
      <c r="AJ1037" s="28">
        <f>Q1037-N1037</f>
        <v/>
      </c>
      <c r="AK1037" s="3">
        <f>IF(AE1037=1,MAX(0,N1037-Q1037),0)</f>
        <v/>
      </c>
      <c r="AL1037" s="3">
        <f>IF(OR(V1037="",V1037=0),0,N1037/V1037)</f>
        <v/>
      </c>
      <c r="AM1037" s="3">
        <f>IF(OR(V1037="",V1037=0),0,1)</f>
        <v/>
      </c>
      <c r="AN1037" s="3">
        <f>IF(OR(E1037="",F1037=""),0,NETWORKDAYS(E1037,F1037,Ref!$K$2:$K$42))</f>
        <v/>
      </c>
      <c r="AO1037" s="3">
        <f>IF(L1037="Renewal",1,0)</f>
        <v/>
      </c>
      <c r="AP1037" s="3">
        <f>AC1037*AD1037</f>
        <v/>
      </c>
      <c r="AQ1037" s="3">
        <f>IF(AND(G1037&lt;&gt;"",'Historical Score'!$C$6&lt;&gt;""),IF(G1037='Historical Score'!$C$6,1,0),0)</f>
        <v/>
      </c>
      <c r="AR1037" s="3">
        <f>IF(AND(L1037&lt;&gt;"",'Historical Score'!$C$5&lt;&gt;""),IF(L1037='Historical Score'!$C$5,1,0),0)</f>
        <v/>
      </c>
      <c r="AS1037" s="3">
        <f>IF(AND(Y1037&lt;&gt;"",'Historical Score'!$C$7&lt;&gt;""),IF(Y1037='Historical Score'!$C$7,1,0),0)</f>
        <v/>
      </c>
      <c r="AT1037" s="3">
        <f>IF(AND(K1037&lt;&gt;"",'Historical Score'!$C$8&lt;&gt;""),IF(K1037='Historical Score'!$C$8,1,0),0)</f>
        <v/>
      </c>
      <c r="AU1037" s="3" t="n"/>
      <c r="AV1037" s="3" t="n"/>
      <c r="AW1037" s="3" t="n"/>
      <c r="AX1037" s="3" t="n"/>
      <c r="AY1037" s="3" t="n"/>
      <c r="AZ1037" s="3" t="n"/>
      <c r="BA1037" s="182">
        <f>IF(AD1037=1,(AR1037*'Historical Score'!$K$29+1-'Historical Score'!$K$29)*(AT1037*'Historical Score'!$L$29+1-'Historical Score'!$L$29)*(AS1037*'Historical Score'!$M$29+1-'Historical Score'!$M$29)*(AQ1037*'Historical Score'!$N$29+1-'Historical Score'!$N$29),0)</f>
        <v/>
      </c>
      <c r="BB1037" s="3" t="n"/>
      <c r="BC1037" s="3" t="n"/>
    </row>
    <row r="1038" ht="15" customHeight="1" s="174">
      <c r="A1038" s="3" t="inlineStr">
        <is>
          <t>5674187704</t>
        </is>
      </c>
      <c r="B1038" s="3" t="inlineStr">
        <is>
          <t>YUGO TRANS</t>
        </is>
      </c>
      <c r="C1038" s="3" t="inlineStr">
        <is>
          <t>yugo trans ltd</t>
        </is>
      </c>
      <c r="D1038" s="3" t="inlineStr">
        <is>
          <t>Open</t>
        </is>
      </c>
      <c r="E1038" s="23" t="n">
        <v>46224</v>
      </c>
      <c r="F1038" s="23" t="n">
        <v>46253</v>
      </c>
      <c r="G1038" s="3" t="n">
        <v>3</v>
      </c>
      <c r="H1038" s="3" t="inlineStr">
        <is>
          <t>4212</t>
        </is>
      </c>
      <c r="I1038" s="3" t="inlineStr">
        <is>
          <t>42</t>
        </is>
      </c>
      <c r="J1038" s="3" t="inlineStr">
        <is>
          <t>IL</t>
        </is>
      </c>
      <c r="K1038" s="3" t="inlineStr">
        <is>
          <t>Hero Advance Group</t>
        </is>
      </c>
      <c r="L1038" s="3" t="inlineStr">
        <is>
          <t>Renewal</t>
        </is>
      </c>
      <c r="M1038" s="3" t="n">
        <v>1.4</v>
      </c>
      <c r="N1038" s="28" t="n">
        <v>95000</v>
      </c>
      <c r="O1038" s="28" t="n">
        <v>8075</v>
      </c>
      <c r="P1038" s="28" t="n">
        <v>133000</v>
      </c>
      <c r="Q1038" s="28" t="n">
        <v>15277.5</v>
      </c>
      <c r="R1038" s="28" t="n">
        <v>117722.5</v>
      </c>
      <c r="S1038" s="42" t="n">
        <v>0.114868421052632</v>
      </c>
      <c r="T1038" s="3" t="n">
        <v>6</v>
      </c>
      <c r="U1038" s="3" t="n">
        <v>0</v>
      </c>
      <c r="V1038" s="3" t="n">
        <v>367587.56</v>
      </c>
      <c r="W1038" s="42" t="n">
        <v>0.0476</v>
      </c>
      <c r="X1038" s="23" t="n"/>
      <c r="Y1038" s="3">
        <f>IF(I1038="","No SIC",IFERROR(VLOOKUP(I1038,Ref!$A$2:$B$65,2,FALSE()),"Unclassified"))</f>
        <v/>
      </c>
      <c r="Z1038" s="3">
        <f>IF(T1038="","",IF(T1038&lt;12,"Daily","Weekly"))</f>
        <v/>
      </c>
      <c r="AA1038" s="3">
        <f>IF(T1038="",0,IF(T1038&lt;12,T1038*Controls!$B$13,T1038*5))</f>
        <v/>
      </c>
      <c r="AB1038" s="3">
        <f>IF(E1038="",0,NETWORKDAYS(E1038,Controls!$B$20,Ref!$K$2:$K$42))</f>
        <v/>
      </c>
      <c r="AC1038" s="3">
        <f>IF(OR(AF1038=1,AND(AA1038&gt;0,AB1038&gt;=Controls!$B$23*AA1038)),1,0)</f>
        <v/>
      </c>
      <c r="AD1038" s="3">
        <f>IF(AND(E1038&lt;&gt;"",E1038&gt;=Controls!$B$21,E1038&lt;=Controls!$B$22),1,0)</f>
        <v/>
      </c>
      <c r="AE1038" s="3">
        <f>IF(IFERROR(VLOOKUP(D1038,Controls!$A$36:$E$46,2,FALSE()),"No")="Yes",1,0)</f>
        <v/>
      </c>
      <c r="AF1038" s="3">
        <f>IF(IFERROR(VLOOKUP(D1038,Controls!$A$36:$E$46,3,FALSE()),"No")="Yes",1,0)</f>
        <v/>
      </c>
      <c r="AG1038" s="3">
        <f>IF(IFERROR(VLOOKUP(D1038,Controls!$A$36:$E$46,4,FALSE()),"No")="Yes",1,0)</f>
        <v/>
      </c>
      <c r="AH1038" s="3">
        <f>IF(IFERROR(VLOOKUP(D1038,Controls!$A$36:$E$46,5,FALSE()),"No")="Yes",1,0)</f>
        <v/>
      </c>
      <c r="AI1038" s="3">
        <f>IF(ISNUMBER(MATCH(D1038,Controls!$A$36:$A$46,0)),1,0)</f>
        <v/>
      </c>
      <c r="AJ1038" s="28">
        <f>Q1038-N1038</f>
        <v/>
      </c>
      <c r="AK1038" s="3">
        <f>IF(AE1038=1,MAX(0,N1038-Q1038),0)</f>
        <v/>
      </c>
      <c r="AL1038" s="3">
        <f>IF(OR(V1038="",V1038=0),0,N1038/V1038)</f>
        <v/>
      </c>
      <c r="AM1038" s="3">
        <f>IF(OR(V1038="",V1038=0),0,1)</f>
        <v/>
      </c>
      <c r="AN1038" s="3">
        <f>IF(OR(E1038="",F1038=""),0,NETWORKDAYS(E1038,F1038,Ref!$K$2:$K$42))</f>
        <v/>
      </c>
      <c r="AO1038" s="3">
        <f>IF(L1038="Renewal",1,0)</f>
        <v/>
      </c>
      <c r="AP1038" s="3">
        <f>AC1038*AD1038</f>
        <v/>
      </c>
      <c r="AQ1038" s="3">
        <f>IF(AND(G1038&lt;&gt;"",'Historical Score'!$C$6&lt;&gt;""),IF(G1038='Historical Score'!$C$6,1,0),0)</f>
        <v/>
      </c>
      <c r="AR1038" s="3">
        <f>IF(AND(L1038&lt;&gt;"",'Historical Score'!$C$5&lt;&gt;""),IF(L1038='Historical Score'!$C$5,1,0),0)</f>
        <v/>
      </c>
      <c r="AS1038" s="3">
        <f>IF(AND(Y1038&lt;&gt;"",'Historical Score'!$C$7&lt;&gt;""),IF(Y1038='Historical Score'!$C$7,1,0),0)</f>
        <v/>
      </c>
      <c r="AT1038" s="3">
        <f>IF(AND(K1038&lt;&gt;"",'Historical Score'!$C$8&lt;&gt;""),IF(K1038='Historical Score'!$C$8,1,0),0)</f>
        <v/>
      </c>
      <c r="AU1038" s="3" t="n"/>
      <c r="AV1038" s="3" t="n"/>
      <c r="AW1038" s="3" t="n"/>
      <c r="AX1038" s="3" t="n"/>
      <c r="AY1038" s="3" t="n"/>
      <c r="AZ1038" s="3" t="n"/>
      <c r="BA1038" s="182">
        <f>IF(AD1038=1,(AR1038*'Historical Score'!$K$29+1-'Historical Score'!$K$29)*(AT1038*'Historical Score'!$L$29+1-'Historical Score'!$L$29)*(AS1038*'Historical Score'!$M$29+1-'Historical Score'!$M$29)*(AQ1038*'Historical Score'!$N$29+1-'Historical Score'!$N$29),0)</f>
        <v/>
      </c>
      <c r="BB1038" s="3" t="n"/>
      <c r="BC1038" s="3" t="n"/>
    </row>
    <row r="1039" ht="15" customHeight="1" s="174">
      <c r="A1039" s="3" t="inlineStr">
        <is>
          <t>5674187744</t>
        </is>
      </c>
      <c r="B1039" s="3" t="inlineStr">
        <is>
          <t>DBA EL TACO LOCO AL VAPOR</t>
        </is>
      </c>
      <c r="C1039" s="3" t="inlineStr">
        <is>
          <t>DBA EL TACO LOCO AL VAPOR</t>
        </is>
      </c>
      <c r="D1039" s="3" t="inlineStr">
        <is>
          <t>Open</t>
        </is>
      </c>
      <c r="E1039" s="23" t="n">
        <v>46225</v>
      </c>
      <c r="F1039" s="23" t="n">
        <v>46248</v>
      </c>
      <c r="G1039" s="3" t="n">
        <v>3</v>
      </c>
      <c r="H1039" s="3" t="inlineStr">
        <is>
          <t>5812</t>
        </is>
      </c>
      <c r="I1039" s="3" t="inlineStr">
        <is>
          <t>58</t>
        </is>
      </c>
      <c r="J1039" s="3" t="inlineStr">
        <is>
          <t>TX</t>
        </is>
      </c>
      <c r="K1039" s="3" t="inlineStr">
        <is>
          <t>Westwood</t>
        </is>
      </c>
      <c r="L1039" s="3" t="inlineStr">
        <is>
          <t>Renewal</t>
        </is>
      </c>
      <c r="M1039" s="3" t="n">
        <v>1.49</v>
      </c>
      <c r="N1039" s="28" t="n">
        <v>35000</v>
      </c>
      <c r="O1039" s="28" t="n">
        <v>4900</v>
      </c>
      <c r="P1039" s="28" t="n">
        <v>52150</v>
      </c>
      <c r="Q1039" s="28" t="n">
        <v>5216.25</v>
      </c>
      <c r="R1039" s="28" t="n">
        <v>46933.75</v>
      </c>
      <c r="S1039" s="42" t="n">
        <v>0.100023969319271</v>
      </c>
      <c r="T1039" s="3" t="n">
        <v>30</v>
      </c>
      <c r="U1039" s="3" t="n">
        <v>0</v>
      </c>
      <c r="V1039" s="3" t="n">
        <v>42000</v>
      </c>
      <c r="W1039" s="42" t="n">
        <v>0.1391</v>
      </c>
      <c r="X1039" s="23" t="n">
        <v>44977</v>
      </c>
      <c r="Y1039" s="3">
        <f>IF(I1039="","No SIC",IFERROR(VLOOKUP(I1039,Ref!$A$2:$B$65,2,FALSE()),"Unclassified"))</f>
        <v/>
      </c>
      <c r="Z1039" s="3">
        <f>IF(T1039="","",IF(T1039&lt;12,"Daily","Weekly"))</f>
        <v/>
      </c>
      <c r="AA1039" s="3">
        <f>IF(T1039="",0,IF(T1039&lt;12,T1039*Controls!$B$13,T1039*5))</f>
        <v/>
      </c>
      <c r="AB1039" s="3">
        <f>IF(E1039="",0,NETWORKDAYS(E1039,Controls!$B$20,Ref!$K$2:$K$42))</f>
        <v/>
      </c>
      <c r="AC1039" s="3">
        <f>IF(OR(AF1039=1,AND(AA1039&gt;0,AB1039&gt;=Controls!$B$23*AA1039)),1,0)</f>
        <v/>
      </c>
      <c r="AD1039" s="3">
        <f>IF(AND(E1039&lt;&gt;"",E1039&gt;=Controls!$B$21,E1039&lt;=Controls!$B$22),1,0)</f>
        <v/>
      </c>
      <c r="AE1039" s="3">
        <f>IF(IFERROR(VLOOKUP(D1039,Controls!$A$36:$E$46,2,FALSE()),"No")="Yes",1,0)</f>
        <v/>
      </c>
      <c r="AF1039" s="3">
        <f>IF(IFERROR(VLOOKUP(D1039,Controls!$A$36:$E$46,3,FALSE()),"No")="Yes",1,0)</f>
        <v/>
      </c>
      <c r="AG1039" s="3">
        <f>IF(IFERROR(VLOOKUP(D1039,Controls!$A$36:$E$46,4,FALSE()),"No")="Yes",1,0)</f>
        <v/>
      </c>
      <c r="AH1039" s="3">
        <f>IF(IFERROR(VLOOKUP(D1039,Controls!$A$36:$E$46,5,FALSE()),"No")="Yes",1,0)</f>
        <v/>
      </c>
      <c r="AI1039" s="3">
        <f>IF(ISNUMBER(MATCH(D1039,Controls!$A$36:$A$46,0)),1,0)</f>
        <v/>
      </c>
      <c r="AJ1039" s="28">
        <f>Q1039-N1039</f>
        <v/>
      </c>
      <c r="AK1039" s="3">
        <f>IF(AE1039=1,MAX(0,N1039-Q1039),0)</f>
        <v/>
      </c>
      <c r="AL1039" s="3">
        <f>IF(OR(V1039="",V1039=0),0,N1039/V1039)</f>
        <v/>
      </c>
      <c r="AM1039" s="3">
        <f>IF(OR(V1039="",V1039=0),0,1)</f>
        <v/>
      </c>
      <c r="AN1039" s="3">
        <f>IF(OR(E1039="",F1039=""),0,NETWORKDAYS(E1039,F1039,Ref!$K$2:$K$42))</f>
        <v/>
      </c>
      <c r="AO1039" s="3">
        <f>IF(L1039="Renewal",1,0)</f>
        <v/>
      </c>
      <c r="AP1039" s="3">
        <f>AC1039*AD1039</f>
        <v/>
      </c>
      <c r="AQ1039" s="3">
        <f>IF(AND(G1039&lt;&gt;"",'Historical Score'!$C$6&lt;&gt;""),IF(G1039='Historical Score'!$C$6,1,0),0)</f>
        <v/>
      </c>
      <c r="AR1039" s="3">
        <f>IF(AND(L1039&lt;&gt;"",'Historical Score'!$C$5&lt;&gt;""),IF(L1039='Historical Score'!$C$5,1,0),0)</f>
        <v/>
      </c>
      <c r="AS1039" s="3">
        <f>IF(AND(Y1039&lt;&gt;"",'Historical Score'!$C$7&lt;&gt;""),IF(Y1039='Historical Score'!$C$7,1,0),0)</f>
        <v/>
      </c>
      <c r="AT1039" s="3">
        <f>IF(AND(K1039&lt;&gt;"",'Historical Score'!$C$8&lt;&gt;""),IF(K1039='Historical Score'!$C$8,1,0),0)</f>
        <v/>
      </c>
      <c r="AU1039" s="3" t="n"/>
      <c r="AV1039" s="3" t="n"/>
      <c r="AW1039" s="3" t="n"/>
      <c r="AX1039" s="3" t="n"/>
      <c r="AY1039" s="3" t="n"/>
      <c r="AZ1039" s="3" t="n"/>
      <c r="BA1039" s="182">
        <f>IF(AD1039=1,(AR1039*'Historical Score'!$K$29+1-'Historical Score'!$K$29)*(AT1039*'Historical Score'!$L$29+1-'Historical Score'!$L$29)*(AS1039*'Historical Score'!$M$29+1-'Historical Score'!$M$29)*(AQ1039*'Historical Score'!$N$29+1-'Historical Score'!$N$29),0)</f>
        <v/>
      </c>
      <c r="BB1039" s="3" t="n"/>
      <c r="BC1039" s="3" t="n"/>
    </row>
    <row r="1040" ht="15" customHeight="1" s="174">
      <c r="A1040" s="3" t="inlineStr">
        <is>
          <t>5674187748</t>
        </is>
      </c>
      <c r="B1040" s="3" t="inlineStr">
        <is>
          <t>HELPING HEARTS RES FACILITIES 1 DBA HELPING HEARTS RESIDENTIAL</t>
        </is>
      </c>
      <c r="C1040" s="3" t="inlineStr">
        <is>
          <t>Helping Hearts Residential Facilities I, LLC</t>
        </is>
      </c>
      <c r="D1040" s="3" t="inlineStr">
        <is>
          <t>Open</t>
        </is>
      </c>
      <c r="E1040" s="23" t="n">
        <v>46225</v>
      </c>
      <c r="F1040" s="23" t="n">
        <v>46253</v>
      </c>
      <c r="G1040" s="3" t="n">
        <v>4</v>
      </c>
      <c r="H1040" s="3" t="inlineStr">
        <is>
          <t>9511</t>
        </is>
      </c>
      <c r="I1040" s="3" t="inlineStr">
        <is>
          <t>95</t>
        </is>
      </c>
      <c r="J1040" s="3" t="inlineStr">
        <is>
          <t>AZ</t>
        </is>
      </c>
      <c r="K1040" s="3" t="inlineStr">
        <is>
          <t>FundFlex</t>
        </is>
      </c>
      <c r="L1040" s="3" t="inlineStr">
        <is>
          <t>New Deal</t>
        </is>
      </c>
      <c r="M1040" s="3" t="n">
        <v>1.49</v>
      </c>
      <c r="N1040" s="28" t="n">
        <v>150000</v>
      </c>
      <c r="O1040" s="28" t="n">
        <v>21000</v>
      </c>
      <c r="P1040" s="28" t="n">
        <v>223500</v>
      </c>
      <c r="Q1040" s="28" t="n">
        <v>26316.8</v>
      </c>
      <c r="R1040" s="28" t="n">
        <v>197183.2</v>
      </c>
      <c r="S1040" s="42" t="n">
        <v>0.117748545861298</v>
      </c>
      <c r="T1040" s="3" t="n">
        <v>34</v>
      </c>
      <c r="U1040" s="3" t="n">
        <v>0</v>
      </c>
      <c r="V1040" s="3" t="n">
        <v>631372.54</v>
      </c>
      <c r="W1040" s="42" t="n">
        <v>0.0346</v>
      </c>
      <c r="X1040" s="23" t="n">
        <v>39338</v>
      </c>
      <c r="Y1040" s="3">
        <f>IF(I1040="","No SIC",IFERROR(VLOOKUP(I1040,Ref!$A$2:$B$65,2,FALSE()),"Unclassified"))</f>
        <v/>
      </c>
      <c r="Z1040" s="3">
        <f>IF(T1040="","",IF(T1040&lt;12,"Daily","Weekly"))</f>
        <v/>
      </c>
      <c r="AA1040" s="3">
        <f>IF(T1040="",0,IF(T1040&lt;12,T1040*Controls!$B$13,T1040*5))</f>
        <v/>
      </c>
      <c r="AB1040" s="3">
        <f>IF(E1040="",0,NETWORKDAYS(E1040,Controls!$B$20,Ref!$K$2:$K$42))</f>
        <v/>
      </c>
      <c r="AC1040" s="3">
        <f>IF(OR(AF1040=1,AND(AA1040&gt;0,AB1040&gt;=Controls!$B$23*AA1040)),1,0)</f>
        <v/>
      </c>
      <c r="AD1040" s="3">
        <f>IF(AND(E1040&lt;&gt;"",E1040&gt;=Controls!$B$21,E1040&lt;=Controls!$B$22),1,0)</f>
        <v/>
      </c>
      <c r="AE1040" s="3">
        <f>IF(IFERROR(VLOOKUP(D1040,Controls!$A$36:$E$46,2,FALSE()),"No")="Yes",1,0)</f>
        <v/>
      </c>
      <c r="AF1040" s="3">
        <f>IF(IFERROR(VLOOKUP(D1040,Controls!$A$36:$E$46,3,FALSE()),"No")="Yes",1,0)</f>
        <v/>
      </c>
      <c r="AG1040" s="3">
        <f>IF(IFERROR(VLOOKUP(D1040,Controls!$A$36:$E$46,4,FALSE()),"No")="Yes",1,0)</f>
        <v/>
      </c>
      <c r="AH1040" s="3">
        <f>IF(IFERROR(VLOOKUP(D1040,Controls!$A$36:$E$46,5,FALSE()),"No")="Yes",1,0)</f>
        <v/>
      </c>
      <c r="AI1040" s="3">
        <f>IF(ISNUMBER(MATCH(D1040,Controls!$A$36:$A$46,0)),1,0)</f>
        <v/>
      </c>
      <c r="AJ1040" s="28">
        <f>Q1040-N1040</f>
        <v/>
      </c>
      <c r="AK1040" s="3">
        <f>IF(AE1040=1,MAX(0,N1040-Q1040),0)</f>
        <v/>
      </c>
      <c r="AL1040" s="3">
        <f>IF(OR(V1040="",V1040=0),0,N1040/V1040)</f>
        <v/>
      </c>
      <c r="AM1040" s="3">
        <f>IF(OR(V1040="",V1040=0),0,1)</f>
        <v/>
      </c>
      <c r="AN1040" s="3">
        <f>IF(OR(E1040="",F1040=""),0,NETWORKDAYS(E1040,F1040,Ref!$K$2:$K$42))</f>
        <v/>
      </c>
      <c r="AO1040" s="3">
        <f>IF(L1040="Renewal",1,0)</f>
        <v/>
      </c>
      <c r="AP1040" s="3">
        <f>AC1040*AD1040</f>
        <v/>
      </c>
      <c r="AQ1040" s="3">
        <f>IF(AND(G1040&lt;&gt;"",'Historical Score'!$C$6&lt;&gt;""),IF(G1040='Historical Score'!$C$6,1,0),0)</f>
        <v/>
      </c>
      <c r="AR1040" s="3">
        <f>IF(AND(L1040&lt;&gt;"",'Historical Score'!$C$5&lt;&gt;""),IF(L1040='Historical Score'!$C$5,1,0),0)</f>
        <v/>
      </c>
      <c r="AS1040" s="3">
        <f>IF(AND(Y1040&lt;&gt;"",'Historical Score'!$C$7&lt;&gt;""),IF(Y1040='Historical Score'!$C$7,1,0),0)</f>
        <v/>
      </c>
      <c r="AT1040" s="3">
        <f>IF(AND(K1040&lt;&gt;"",'Historical Score'!$C$8&lt;&gt;""),IF(K1040='Historical Score'!$C$8,1,0),0)</f>
        <v/>
      </c>
      <c r="AU1040" s="3" t="n"/>
      <c r="AV1040" s="3" t="n"/>
      <c r="AW1040" s="3" t="n"/>
      <c r="AX1040" s="3" t="n"/>
      <c r="AY1040" s="3" t="n"/>
      <c r="AZ1040" s="3" t="n"/>
      <c r="BA1040" s="182">
        <f>IF(AD1040=1,(AR1040*'Historical Score'!$K$29+1-'Historical Score'!$K$29)*(AT1040*'Historical Score'!$L$29+1-'Historical Score'!$L$29)*(AS1040*'Historical Score'!$M$29+1-'Historical Score'!$M$29)*(AQ1040*'Historical Score'!$N$29+1-'Historical Score'!$N$29),0)</f>
        <v/>
      </c>
      <c r="BB1040" s="3" t="n"/>
      <c r="BC1040" s="3" t="n"/>
    </row>
    <row r="1041" ht="15" customHeight="1" s="174">
      <c r="A1041" s="3" t="inlineStr">
        <is>
          <t>5674187753</t>
        </is>
      </c>
      <c r="B1041" s="3" t="inlineStr">
        <is>
          <t>Jojos italian diner llc</t>
        </is>
      </c>
      <c r="C1041" s="3" t="inlineStr">
        <is>
          <t>Jojos italian diner llc</t>
        </is>
      </c>
      <c r="D1041" s="3" t="inlineStr">
        <is>
          <t>Legal</t>
        </is>
      </c>
      <c r="E1041" s="23" t="n">
        <v>46020</v>
      </c>
      <c r="F1041" s="23" t="n">
        <v>46020</v>
      </c>
      <c r="G1041" s="3" t="n"/>
      <c r="H1041" s="3" t="inlineStr">
        <is>
          <t>2091</t>
        </is>
      </c>
      <c r="I1041" s="3" t="inlineStr">
        <is>
          <t>20</t>
        </is>
      </c>
      <c r="J1041" s="3" t="inlineStr">
        <is>
          <t>FL</t>
        </is>
      </c>
      <c r="K1041" s="3" t="inlineStr">
        <is>
          <t>Platform Funding</t>
        </is>
      </c>
      <c r="L1041" s="3" t="inlineStr">
        <is>
          <t>New Deal</t>
        </is>
      </c>
      <c r="M1041" s="3" t="n">
        <v>1.46</v>
      </c>
      <c r="N1041" s="28" t="n">
        <v>11000</v>
      </c>
      <c r="O1041" s="28" t="n">
        <v>1375</v>
      </c>
      <c r="P1041" s="28" t="n">
        <v>16060</v>
      </c>
      <c r="Q1041" s="28" t="n">
        <v>0</v>
      </c>
      <c r="R1041" s="28" t="n">
        <v>16060</v>
      </c>
      <c r="S1041" s="42" t="n">
        <v>0</v>
      </c>
      <c r="T1041" s="3" t="n">
        <v>3.279</v>
      </c>
      <c r="U1041" s="3" t="n">
        <v>0</v>
      </c>
      <c r="V1041" s="3" t="n"/>
      <c r="W1041" s="42" t="n">
        <v>0.055</v>
      </c>
      <c r="X1041" s="23" t="n">
        <v>43844</v>
      </c>
      <c r="Y1041" s="3">
        <f>IF(I1041="","No SIC",IFERROR(VLOOKUP(I1041,Ref!$A$2:$B$65,2,FALSE()),"Unclassified"))</f>
        <v/>
      </c>
      <c r="Z1041" s="3">
        <f>IF(T1041="","",IF(T1041&lt;12,"Daily","Weekly"))</f>
        <v/>
      </c>
      <c r="AA1041" s="3">
        <f>IF(T1041="",0,IF(T1041&lt;12,T1041*Controls!$B$13,T1041*5))</f>
        <v/>
      </c>
      <c r="AB1041" s="3">
        <f>IF(E1041="",0,NETWORKDAYS(E1041,Controls!$B$20,Ref!$K$2:$K$42))</f>
        <v/>
      </c>
      <c r="AC1041" s="3">
        <f>IF(OR(AF1041=1,AND(AA1041&gt;0,AB1041&gt;=Controls!$B$23*AA1041)),1,0)</f>
        <v/>
      </c>
      <c r="AD1041" s="3">
        <f>IF(AND(E1041&lt;&gt;"",E1041&gt;=Controls!$B$21,E1041&lt;=Controls!$B$22),1,0)</f>
        <v/>
      </c>
      <c r="AE1041" s="3">
        <f>IF(IFERROR(VLOOKUP(D1041,Controls!$A$36:$E$46,2,FALSE()),"No")="Yes",1,0)</f>
        <v/>
      </c>
      <c r="AF1041" s="3">
        <f>IF(IFERROR(VLOOKUP(D1041,Controls!$A$36:$E$46,3,FALSE()),"No")="Yes",1,0)</f>
        <v/>
      </c>
      <c r="AG1041" s="3">
        <f>IF(IFERROR(VLOOKUP(D1041,Controls!$A$36:$E$46,4,FALSE()),"No")="Yes",1,0)</f>
        <v/>
      </c>
      <c r="AH1041" s="3">
        <f>IF(IFERROR(VLOOKUP(D1041,Controls!$A$36:$E$46,5,FALSE()),"No")="Yes",1,0)</f>
        <v/>
      </c>
      <c r="AI1041" s="3">
        <f>IF(ISNUMBER(MATCH(D1041,Controls!$A$36:$A$46,0)),1,0)</f>
        <v/>
      </c>
      <c r="AJ1041" s="28">
        <f>Q1041-N1041</f>
        <v/>
      </c>
      <c r="AK1041" s="3">
        <f>IF(AE1041=1,MAX(0,N1041-Q1041),0)</f>
        <v/>
      </c>
      <c r="AL1041" s="3">
        <f>IF(OR(V1041="",V1041=0),0,N1041/V1041)</f>
        <v/>
      </c>
      <c r="AM1041" s="3">
        <f>IF(OR(V1041="",V1041=0),0,1)</f>
        <v/>
      </c>
      <c r="AN1041" s="3">
        <f>IF(OR(E1041="",F1041=""),0,NETWORKDAYS(E1041,F1041,Ref!$K$2:$K$42))</f>
        <v/>
      </c>
      <c r="AO1041" s="3">
        <f>IF(L1041="Renewal",1,0)</f>
        <v/>
      </c>
      <c r="AP1041" s="3">
        <f>AC1041*AD1041</f>
        <v/>
      </c>
      <c r="AQ1041" s="3">
        <f>IF(AND(G1041&lt;&gt;"",'Historical Score'!$C$6&lt;&gt;""),IF(G1041='Historical Score'!$C$6,1,0),0)</f>
        <v/>
      </c>
      <c r="AR1041" s="3">
        <f>IF(AND(L1041&lt;&gt;"",'Historical Score'!$C$5&lt;&gt;""),IF(L1041='Historical Score'!$C$5,1,0),0)</f>
        <v/>
      </c>
      <c r="AS1041" s="3">
        <f>IF(AND(Y1041&lt;&gt;"",'Historical Score'!$C$7&lt;&gt;""),IF(Y1041='Historical Score'!$C$7,1,0),0)</f>
        <v/>
      </c>
      <c r="AT1041" s="3">
        <f>IF(AND(K1041&lt;&gt;"",'Historical Score'!$C$8&lt;&gt;""),IF(K1041='Historical Score'!$C$8,1,0),0)</f>
        <v/>
      </c>
      <c r="AU1041" s="3" t="n"/>
      <c r="AV1041" s="3" t="n"/>
      <c r="AW1041" s="3" t="n"/>
      <c r="AX1041" s="3" t="n"/>
      <c r="AY1041" s="3" t="n"/>
      <c r="AZ1041" s="3" t="n"/>
      <c r="BA1041" s="182">
        <f>IF(AD1041=1,(AR1041*'Historical Score'!$K$29+1-'Historical Score'!$K$29)*(AT1041*'Historical Score'!$L$29+1-'Historical Score'!$L$29)*(AS1041*'Historical Score'!$M$29+1-'Historical Score'!$M$29)*(AQ1041*'Historical Score'!$N$29+1-'Historical Score'!$N$29),0)</f>
        <v/>
      </c>
      <c r="BB1041" s="3" t="n"/>
      <c r="BC1041" s="3" t="n"/>
    </row>
    <row r="1042" ht="15" customHeight="1" s="174">
      <c r="A1042" s="3" t="inlineStr">
        <is>
          <t>5674187783</t>
        </is>
      </c>
      <c r="B1042" s="3" t="inlineStr">
        <is>
          <t>4 EVER TRUCKING 2 LLC</t>
        </is>
      </c>
      <c r="C1042" s="3" t="inlineStr">
        <is>
          <t>4 EVER TRUCKING 2 LLC</t>
        </is>
      </c>
      <c r="D1042" s="3" t="inlineStr">
        <is>
          <t>Open</t>
        </is>
      </c>
      <c r="E1042" s="23" t="n">
        <v>46225</v>
      </c>
      <c r="F1042" s="23" t="n">
        <v>46253</v>
      </c>
      <c r="G1042" s="3" t="n">
        <v>3</v>
      </c>
      <c r="H1042" s="3" t="inlineStr">
        <is>
          <t>4212</t>
        </is>
      </c>
      <c r="I1042" s="3" t="inlineStr">
        <is>
          <t>42</t>
        </is>
      </c>
      <c r="J1042" s="3" t="inlineStr">
        <is>
          <t>MS</t>
        </is>
      </c>
      <c r="K1042" s="3" t="inlineStr">
        <is>
          <t>DIRECT CAPITAL SOURCE, INC.</t>
        </is>
      </c>
      <c r="L1042" s="3" t="inlineStr">
        <is>
          <t>Renewal</t>
        </is>
      </c>
      <c r="M1042" s="3" t="n">
        <v>1.49</v>
      </c>
      <c r="N1042" s="28" t="n">
        <v>15000</v>
      </c>
      <c r="O1042" s="28" t="n">
        <v>2100</v>
      </c>
      <c r="P1042" s="28" t="n">
        <v>22350</v>
      </c>
      <c r="Q1042" s="28" t="n">
        <v>5028.48</v>
      </c>
      <c r="R1042" s="28" t="n">
        <v>17321.52</v>
      </c>
      <c r="S1042" s="42" t="n">
        <v>0.224987919463087</v>
      </c>
      <c r="T1042" s="3" t="n">
        <v>2.623</v>
      </c>
      <c r="U1042" s="3" t="n">
        <v>1</v>
      </c>
      <c r="V1042" s="3" t="n">
        <v>37897</v>
      </c>
      <c r="W1042" s="42" t="n">
        <v>0.1548</v>
      </c>
      <c r="X1042" s="23" t="n">
        <v>44256</v>
      </c>
      <c r="Y1042" s="3">
        <f>IF(I1042="","No SIC",IFERROR(VLOOKUP(I1042,Ref!$A$2:$B$65,2,FALSE()),"Unclassified"))</f>
        <v/>
      </c>
      <c r="Z1042" s="3">
        <f>IF(T1042="","",IF(T1042&lt;12,"Daily","Weekly"))</f>
        <v/>
      </c>
      <c r="AA1042" s="3">
        <f>IF(T1042="",0,IF(T1042&lt;12,T1042*Controls!$B$13,T1042*5))</f>
        <v/>
      </c>
      <c r="AB1042" s="3">
        <f>IF(E1042="",0,NETWORKDAYS(E1042,Controls!$B$20,Ref!$K$2:$K$42))</f>
        <v/>
      </c>
      <c r="AC1042" s="3">
        <f>IF(OR(AF1042=1,AND(AA1042&gt;0,AB1042&gt;=Controls!$B$23*AA1042)),1,0)</f>
        <v/>
      </c>
      <c r="AD1042" s="3">
        <f>IF(AND(E1042&lt;&gt;"",E1042&gt;=Controls!$B$21,E1042&lt;=Controls!$B$22),1,0)</f>
        <v/>
      </c>
      <c r="AE1042" s="3">
        <f>IF(IFERROR(VLOOKUP(D1042,Controls!$A$36:$E$46,2,FALSE()),"No")="Yes",1,0)</f>
        <v/>
      </c>
      <c r="AF1042" s="3">
        <f>IF(IFERROR(VLOOKUP(D1042,Controls!$A$36:$E$46,3,FALSE()),"No")="Yes",1,0)</f>
        <v/>
      </c>
      <c r="AG1042" s="3">
        <f>IF(IFERROR(VLOOKUP(D1042,Controls!$A$36:$E$46,4,FALSE()),"No")="Yes",1,0)</f>
        <v/>
      </c>
      <c r="AH1042" s="3">
        <f>IF(IFERROR(VLOOKUP(D1042,Controls!$A$36:$E$46,5,FALSE()),"No")="Yes",1,0)</f>
        <v/>
      </c>
      <c r="AI1042" s="3">
        <f>IF(ISNUMBER(MATCH(D1042,Controls!$A$36:$A$46,0)),1,0)</f>
        <v/>
      </c>
      <c r="AJ1042" s="28">
        <f>Q1042-N1042</f>
        <v/>
      </c>
      <c r="AK1042" s="3">
        <f>IF(AE1042=1,MAX(0,N1042-Q1042),0)</f>
        <v/>
      </c>
      <c r="AL1042" s="3">
        <f>IF(OR(V1042="",V1042=0),0,N1042/V1042)</f>
        <v/>
      </c>
      <c r="AM1042" s="3">
        <f>IF(OR(V1042="",V1042=0),0,1)</f>
        <v/>
      </c>
      <c r="AN1042" s="3">
        <f>IF(OR(E1042="",F1042=""),0,NETWORKDAYS(E1042,F1042,Ref!$K$2:$K$42))</f>
        <v/>
      </c>
      <c r="AO1042" s="3">
        <f>IF(L1042="Renewal",1,0)</f>
        <v/>
      </c>
      <c r="AP1042" s="3">
        <f>AC1042*AD1042</f>
        <v/>
      </c>
      <c r="AQ1042" s="3">
        <f>IF(AND(G1042&lt;&gt;"",'Historical Score'!$C$6&lt;&gt;""),IF(G1042='Historical Score'!$C$6,1,0),0)</f>
        <v/>
      </c>
      <c r="AR1042" s="3">
        <f>IF(AND(L1042&lt;&gt;"",'Historical Score'!$C$5&lt;&gt;""),IF(L1042='Historical Score'!$C$5,1,0),0)</f>
        <v/>
      </c>
      <c r="AS1042" s="3">
        <f>IF(AND(Y1042&lt;&gt;"",'Historical Score'!$C$7&lt;&gt;""),IF(Y1042='Historical Score'!$C$7,1,0),0)</f>
        <v/>
      </c>
      <c r="AT1042" s="3">
        <f>IF(AND(K1042&lt;&gt;"",'Historical Score'!$C$8&lt;&gt;""),IF(K1042='Historical Score'!$C$8,1,0),0)</f>
        <v/>
      </c>
      <c r="AU1042" s="3" t="n"/>
      <c r="AV1042" s="3" t="n"/>
      <c r="AW1042" s="3" t="n"/>
      <c r="AX1042" s="3" t="n"/>
      <c r="AY1042" s="3" t="n"/>
      <c r="AZ1042" s="3" t="n"/>
      <c r="BA1042" s="182">
        <f>IF(AD1042=1,(AR1042*'Historical Score'!$K$29+1-'Historical Score'!$K$29)*(AT1042*'Historical Score'!$L$29+1-'Historical Score'!$L$29)*(AS1042*'Historical Score'!$M$29+1-'Historical Score'!$M$29)*(AQ1042*'Historical Score'!$N$29+1-'Historical Score'!$N$29),0)</f>
        <v/>
      </c>
      <c r="BB1042" s="3" t="n"/>
      <c r="BC1042" s="3" t="n"/>
    </row>
    <row r="1043" ht="15" customHeight="1" s="174">
      <c r="A1043" s="3" t="inlineStr">
        <is>
          <t>5674187792</t>
        </is>
      </c>
      <c r="B1043" s="3" t="inlineStr">
        <is>
          <t>REVUP COLLISION &amp; AUTO REPAIR</t>
        </is>
      </c>
      <c r="C1043" s="3" t="inlineStr">
        <is>
          <t>REVUP ENTERPRISES LLC</t>
        </is>
      </c>
      <c r="D1043" s="3" t="inlineStr">
        <is>
          <t>Open</t>
        </is>
      </c>
      <c r="E1043" s="23" t="n">
        <v>46225</v>
      </c>
      <c r="F1043" s="23" t="n">
        <v>46253</v>
      </c>
      <c r="G1043" s="3" t="n">
        <v>3</v>
      </c>
      <c r="H1043" s="3" t="inlineStr">
        <is>
          <t>7538</t>
        </is>
      </c>
      <c r="I1043" s="3" t="inlineStr">
        <is>
          <t>75</t>
        </is>
      </c>
      <c r="J1043" s="3" t="inlineStr">
        <is>
          <t>TX</t>
        </is>
      </c>
      <c r="K1043" s="3" t="inlineStr">
        <is>
          <t>PMF</t>
        </is>
      </c>
      <c r="L1043" s="3" t="inlineStr">
        <is>
          <t>Renewal</t>
        </is>
      </c>
      <c r="M1043" s="3" t="n">
        <v>1.49</v>
      </c>
      <c r="N1043" s="28" t="n">
        <v>35000</v>
      </c>
      <c r="O1043" s="28" t="n">
        <v>4900</v>
      </c>
      <c r="P1043" s="28" t="n">
        <v>52150</v>
      </c>
      <c r="Q1043" s="28" t="n">
        <v>11584.6</v>
      </c>
      <c r="R1043" s="28" t="n">
        <v>40565.4</v>
      </c>
      <c r="S1043" s="42" t="n">
        <v>0.222139980824545</v>
      </c>
      <c r="T1043" s="3" t="n">
        <v>2.951</v>
      </c>
      <c r="U1043" s="3" t="n">
        <v>0</v>
      </c>
      <c r="V1043" s="3" t="n">
        <v>117980.29</v>
      </c>
      <c r="W1043" s="42" t="n">
        <v>0.1031</v>
      </c>
      <c r="X1043" s="23" t="n">
        <v>45465</v>
      </c>
      <c r="Y1043" s="3">
        <f>IF(I1043="","No SIC",IFERROR(VLOOKUP(I1043,Ref!$A$2:$B$65,2,FALSE()),"Unclassified"))</f>
        <v/>
      </c>
      <c r="Z1043" s="3">
        <f>IF(T1043="","",IF(T1043&lt;12,"Daily","Weekly"))</f>
        <v/>
      </c>
      <c r="AA1043" s="3">
        <f>IF(T1043="",0,IF(T1043&lt;12,T1043*Controls!$B$13,T1043*5))</f>
        <v/>
      </c>
      <c r="AB1043" s="3">
        <f>IF(E1043="",0,NETWORKDAYS(E1043,Controls!$B$20,Ref!$K$2:$K$42))</f>
        <v/>
      </c>
      <c r="AC1043" s="3">
        <f>IF(OR(AF1043=1,AND(AA1043&gt;0,AB1043&gt;=Controls!$B$23*AA1043)),1,0)</f>
        <v/>
      </c>
      <c r="AD1043" s="3">
        <f>IF(AND(E1043&lt;&gt;"",E1043&gt;=Controls!$B$21,E1043&lt;=Controls!$B$22),1,0)</f>
        <v/>
      </c>
      <c r="AE1043" s="3">
        <f>IF(IFERROR(VLOOKUP(D1043,Controls!$A$36:$E$46,2,FALSE()),"No")="Yes",1,0)</f>
        <v/>
      </c>
      <c r="AF1043" s="3">
        <f>IF(IFERROR(VLOOKUP(D1043,Controls!$A$36:$E$46,3,FALSE()),"No")="Yes",1,0)</f>
        <v/>
      </c>
      <c r="AG1043" s="3">
        <f>IF(IFERROR(VLOOKUP(D1043,Controls!$A$36:$E$46,4,FALSE()),"No")="Yes",1,0)</f>
        <v/>
      </c>
      <c r="AH1043" s="3">
        <f>IF(IFERROR(VLOOKUP(D1043,Controls!$A$36:$E$46,5,FALSE()),"No")="Yes",1,0)</f>
        <v/>
      </c>
      <c r="AI1043" s="3">
        <f>IF(ISNUMBER(MATCH(D1043,Controls!$A$36:$A$46,0)),1,0)</f>
        <v/>
      </c>
      <c r="AJ1043" s="28">
        <f>Q1043-N1043</f>
        <v/>
      </c>
      <c r="AK1043" s="3">
        <f>IF(AE1043=1,MAX(0,N1043-Q1043),0)</f>
        <v/>
      </c>
      <c r="AL1043" s="3">
        <f>IF(OR(V1043="",V1043=0),0,N1043/V1043)</f>
        <v/>
      </c>
      <c r="AM1043" s="3">
        <f>IF(OR(V1043="",V1043=0),0,1)</f>
        <v/>
      </c>
      <c r="AN1043" s="3">
        <f>IF(OR(E1043="",F1043=""),0,NETWORKDAYS(E1043,F1043,Ref!$K$2:$K$42))</f>
        <v/>
      </c>
      <c r="AO1043" s="3">
        <f>IF(L1043="Renewal",1,0)</f>
        <v/>
      </c>
      <c r="AP1043" s="3">
        <f>AC1043*AD1043</f>
        <v/>
      </c>
      <c r="AQ1043" s="3">
        <f>IF(AND(G1043&lt;&gt;"",'Historical Score'!$C$6&lt;&gt;""),IF(G1043='Historical Score'!$C$6,1,0),0)</f>
        <v/>
      </c>
      <c r="AR1043" s="3">
        <f>IF(AND(L1043&lt;&gt;"",'Historical Score'!$C$5&lt;&gt;""),IF(L1043='Historical Score'!$C$5,1,0),0)</f>
        <v/>
      </c>
      <c r="AS1043" s="3">
        <f>IF(AND(Y1043&lt;&gt;"",'Historical Score'!$C$7&lt;&gt;""),IF(Y1043='Historical Score'!$C$7,1,0),0)</f>
        <v/>
      </c>
      <c r="AT1043" s="3">
        <f>IF(AND(K1043&lt;&gt;"",'Historical Score'!$C$8&lt;&gt;""),IF(K1043='Historical Score'!$C$8,1,0),0)</f>
        <v/>
      </c>
      <c r="AU1043" s="3" t="n"/>
      <c r="AV1043" s="3" t="n"/>
      <c r="AW1043" s="3" t="n"/>
      <c r="AX1043" s="3" t="n"/>
      <c r="AY1043" s="3" t="n"/>
      <c r="AZ1043" s="3" t="n"/>
      <c r="BA1043" s="182">
        <f>IF(AD1043=1,(AR1043*'Historical Score'!$K$29+1-'Historical Score'!$K$29)*(AT1043*'Historical Score'!$L$29+1-'Historical Score'!$L$29)*(AS1043*'Historical Score'!$M$29+1-'Historical Score'!$M$29)*(AQ1043*'Historical Score'!$N$29+1-'Historical Score'!$N$29),0)</f>
        <v/>
      </c>
      <c r="BB1043" s="3" t="n"/>
      <c r="BC1043" s="3" t="n"/>
    </row>
    <row r="1044" ht="15" customHeight="1" s="174">
      <c r="A1044" s="3" t="inlineStr">
        <is>
          <t>5674187859</t>
        </is>
      </c>
      <c r="B1044" s="3" t="inlineStr">
        <is>
          <t>ARES COMFORT SYSTEMS, LLC MARIA APARICIO SOLE MBR</t>
        </is>
      </c>
      <c r="C1044" s="3" t="inlineStr">
        <is>
          <t>Ares Comfort Systems, LLC</t>
        </is>
      </c>
      <c r="D1044" s="3" t="inlineStr">
        <is>
          <t>Open</t>
        </is>
      </c>
      <c r="E1044" s="23" t="n">
        <v>46226</v>
      </c>
      <c r="F1044" s="23" t="n">
        <v>46253</v>
      </c>
      <c r="G1044" s="3" t="n">
        <v>3</v>
      </c>
      <c r="H1044" s="3" t="inlineStr">
        <is>
          <t>5075</t>
        </is>
      </c>
      <c r="I1044" s="3" t="inlineStr">
        <is>
          <t>50</t>
        </is>
      </c>
      <c r="J1044" s="3" t="inlineStr">
        <is>
          <t>WA</t>
        </is>
      </c>
      <c r="K1044" s="3" t="inlineStr">
        <is>
          <t>Vanguard Equities</t>
        </is>
      </c>
      <c r="L1044" s="3" t="inlineStr">
        <is>
          <t>New Deal</t>
        </is>
      </c>
      <c r="M1044" s="3" t="n">
        <v>1.45</v>
      </c>
      <c r="N1044" s="28" t="n">
        <v>30000</v>
      </c>
      <c r="O1044" s="28" t="n">
        <v>3600</v>
      </c>
      <c r="P1044" s="28" t="n">
        <v>43500</v>
      </c>
      <c r="Q1044" s="28" t="n">
        <v>7833.42</v>
      </c>
      <c r="R1044" s="28" t="n">
        <v>35666.58</v>
      </c>
      <c r="S1044" s="42" t="n">
        <v>0.180078620689655</v>
      </c>
      <c r="T1044" s="3" t="n">
        <v>3.279</v>
      </c>
      <c r="U1044" s="3" t="n">
        <v>0</v>
      </c>
      <c r="V1044" s="3" t="n">
        <v>242412.73</v>
      </c>
      <c r="W1044" s="42" t="n">
        <v>0.0377</v>
      </c>
      <c r="X1044" s="23" t="n">
        <v>45323</v>
      </c>
      <c r="Y1044" s="3">
        <f>IF(I1044="","No SIC",IFERROR(VLOOKUP(I1044,Ref!$A$2:$B$65,2,FALSE()),"Unclassified"))</f>
        <v/>
      </c>
      <c r="Z1044" s="3">
        <f>IF(T1044="","",IF(T1044&lt;12,"Daily","Weekly"))</f>
        <v/>
      </c>
      <c r="AA1044" s="3">
        <f>IF(T1044="",0,IF(T1044&lt;12,T1044*Controls!$B$13,T1044*5))</f>
        <v/>
      </c>
      <c r="AB1044" s="3">
        <f>IF(E1044="",0,NETWORKDAYS(E1044,Controls!$B$20,Ref!$K$2:$K$42))</f>
        <v/>
      </c>
      <c r="AC1044" s="3">
        <f>IF(OR(AF1044=1,AND(AA1044&gt;0,AB1044&gt;=Controls!$B$23*AA1044)),1,0)</f>
        <v/>
      </c>
      <c r="AD1044" s="3">
        <f>IF(AND(E1044&lt;&gt;"",E1044&gt;=Controls!$B$21,E1044&lt;=Controls!$B$22),1,0)</f>
        <v/>
      </c>
      <c r="AE1044" s="3">
        <f>IF(IFERROR(VLOOKUP(D1044,Controls!$A$36:$E$46,2,FALSE()),"No")="Yes",1,0)</f>
        <v/>
      </c>
      <c r="AF1044" s="3">
        <f>IF(IFERROR(VLOOKUP(D1044,Controls!$A$36:$E$46,3,FALSE()),"No")="Yes",1,0)</f>
        <v/>
      </c>
      <c r="AG1044" s="3">
        <f>IF(IFERROR(VLOOKUP(D1044,Controls!$A$36:$E$46,4,FALSE()),"No")="Yes",1,0)</f>
        <v/>
      </c>
      <c r="AH1044" s="3">
        <f>IF(IFERROR(VLOOKUP(D1044,Controls!$A$36:$E$46,5,FALSE()),"No")="Yes",1,0)</f>
        <v/>
      </c>
      <c r="AI1044" s="3">
        <f>IF(ISNUMBER(MATCH(D1044,Controls!$A$36:$A$46,0)),1,0)</f>
        <v/>
      </c>
      <c r="AJ1044" s="28">
        <f>Q1044-N1044</f>
        <v/>
      </c>
      <c r="AK1044" s="3">
        <f>IF(AE1044=1,MAX(0,N1044-Q1044),0)</f>
        <v/>
      </c>
      <c r="AL1044" s="3">
        <f>IF(OR(V1044="",V1044=0),0,N1044/V1044)</f>
        <v/>
      </c>
      <c r="AM1044" s="3">
        <f>IF(OR(V1044="",V1044=0),0,1)</f>
        <v/>
      </c>
      <c r="AN1044" s="3">
        <f>IF(OR(E1044="",F1044=""),0,NETWORKDAYS(E1044,F1044,Ref!$K$2:$K$42))</f>
        <v/>
      </c>
      <c r="AO1044" s="3">
        <f>IF(L1044="Renewal",1,0)</f>
        <v/>
      </c>
      <c r="AP1044" s="3">
        <f>AC1044*AD1044</f>
        <v/>
      </c>
      <c r="AQ1044" s="3">
        <f>IF(AND(G1044&lt;&gt;"",'Historical Score'!$C$6&lt;&gt;""),IF(G1044='Historical Score'!$C$6,1,0),0)</f>
        <v/>
      </c>
      <c r="AR1044" s="3">
        <f>IF(AND(L1044&lt;&gt;"",'Historical Score'!$C$5&lt;&gt;""),IF(L1044='Historical Score'!$C$5,1,0),0)</f>
        <v/>
      </c>
      <c r="AS1044" s="3">
        <f>IF(AND(Y1044&lt;&gt;"",'Historical Score'!$C$7&lt;&gt;""),IF(Y1044='Historical Score'!$C$7,1,0),0)</f>
        <v/>
      </c>
      <c r="AT1044" s="3">
        <f>IF(AND(K1044&lt;&gt;"",'Historical Score'!$C$8&lt;&gt;""),IF(K1044='Historical Score'!$C$8,1,0),0)</f>
        <v/>
      </c>
      <c r="AU1044" s="3" t="n"/>
      <c r="AV1044" s="3" t="n"/>
      <c r="AW1044" s="3" t="n"/>
      <c r="AX1044" s="3" t="n"/>
      <c r="AY1044" s="3" t="n"/>
      <c r="AZ1044" s="3" t="n"/>
      <c r="BA1044" s="182">
        <f>IF(AD1044=1,(AR1044*'Historical Score'!$K$29+1-'Historical Score'!$K$29)*(AT1044*'Historical Score'!$L$29+1-'Historical Score'!$L$29)*(AS1044*'Historical Score'!$M$29+1-'Historical Score'!$M$29)*(AQ1044*'Historical Score'!$N$29+1-'Historical Score'!$N$29),0)</f>
        <v/>
      </c>
      <c r="BB1044" s="3" t="n"/>
      <c r="BC1044" s="3" t="n"/>
    </row>
    <row r="1045" ht="15" customHeight="1" s="174">
      <c r="A1045" s="3" t="inlineStr">
        <is>
          <t>5674187915</t>
        </is>
      </c>
      <c r="B1045" s="3" t="inlineStr">
        <is>
          <t>Paxton Ranches LLC</t>
        </is>
      </c>
      <c r="C1045" s="3" t="inlineStr">
        <is>
          <t>Paxton Ranches LLC</t>
        </is>
      </c>
      <c r="D1045" s="3" t="inlineStr">
        <is>
          <t>Open</t>
        </is>
      </c>
      <c r="E1045" s="23" t="n">
        <v>46227</v>
      </c>
      <c r="F1045" s="23" t="n">
        <v>46248</v>
      </c>
      <c r="G1045" s="3" t="n">
        <v>3</v>
      </c>
      <c r="H1045" s="3" t="inlineStr">
        <is>
          <t>0212</t>
        </is>
      </c>
      <c r="I1045" s="3" t="inlineStr">
        <is>
          <t>02</t>
        </is>
      </c>
      <c r="J1045" s="3" t="inlineStr">
        <is>
          <t>SD</t>
        </is>
      </c>
      <c r="K1045" s="3" t="inlineStr">
        <is>
          <t>cavala funding</t>
        </is>
      </c>
      <c r="L1045" s="3" t="inlineStr">
        <is>
          <t>New Deal</t>
        </is>
      </c>
      <c r="M1045" s="3" t="n">
        <v>1.49</v>
      </c>
      <c r="N1045" s="28" t="n">
        <v>10000</v>
      </c>
      <c r="O1045" s="28" t="n">
        <v>1400</v>
      </c>
      <c r="P1045" s="28" t="n">
        <v>14900</v>
      </c>
      <c r="Q1045" s="28" t="n">
        <v>2241</v>
      </c>
      <c r="R1045" s="28" t="n">
        <v>12659</v>
      </c>
      <c r="S1045" s="42" t="n">
        <v>0.150402684563758</v>
      </c>
      <c r="T1045" s="3" t="n">
        <v>20</v>
      </c>
      <c r="U1045" s="3" t="n">
        <v>0</v>
      </c>
      <c r="V1045" s="3" t="n">
        <v>28839.01</v>
      </c>
      <c r="W1045" s="42" t="n">
        <v>0.1033</v>
      </c>
      <c r="X1045" s="23" t="n">
        <v>36897</v>
      </c>
      <c r="Y1045" s="3">
        <f>IF(I1045="","No SIC",IFERROR(VLOOKUP(I1045,Ref!$A$2:$B$65,2,FALSE()),"Unclassified"))</f>
        <v/>
      </c>
      <c r="Z1045" s="3">
        <f>IF(T1045="","",IF(T1045&lt;12,"Daily","Weekly"))</f>
        <v/>
      </c>
      <c r="AA1045" s="3">
        <f>IF(T1045="",0,IF(T1045&lt;12,T1045*Controls!$B$13,T1045*5))</f>
        <v/>
      </c>
      <c r="AB1045" s="3">
        <f>IF(E1045="",0,NETWORKDAYS(E1045,Controls!$B$20,Ref!$K$2:$K$42))</f>
        <v/>
      </c>
      <c r="AC1045" s="3">
        <f>IF(OR(AF1045=1,AND(AA1045&gt;0,AB1045&gt;=Controls!$B$23*AA1045)),1,0)</f>
        <v/>
      </c>
      <c r="AD1045" s="3">
        <f>IF(AND(E1045&lt;&gt;"",E1045&gt;=Controls!$B$21,E1045&lt;=Controls!$B$22),1,0)</f>
        <v/>
      </c>
      <c r="AE1045" s="3">
        <f>IF(IFERROR(VLOOKUP(D1045,Controls!$A$36:$E$46,2,FALSE()),"No")="Yes",1,0)</f>
        <v/>
      </c>
      <c r="AF1045" s="3">
        <f>IF(IFERROR(VLOOKUP(D1045,Controls!$A$36:$E$46,3,FALSE()),"No")="Yes",1,0)</f>
        <v/>
      </c>
      <c r="AG1045" s="3">
        <f>IF(IFERROR(VLOOKUP(D1045,Controls!$A$36:$E$46,4,FALSE()),"No")="Yes",1,0)</f>
        <v/>
      </c>
      <c r="AH1045" s="3">
        <f>IF(IFERROR(VLOOKUP(D1045,Controls!$A$36:$E$46,5,FALSE()),"No")="Yes",1,0)</f>
        <v/>
      </c>
      <c r="AI1045" s="3">
        <f>IF(ISNUMBER(MATCH(D1045,Controls!$A$36:$A$46,0)),1,0)</f>
        <v/>
      </c>
      <c r="AJ1045" s="28">
        <f>Q1045-N1045</f>
        <v/>
      </c>
      <c r="AK1045" s="3">
        <f>IF(AE1045=1,MAX(0,N1045-Q1045),0)</f>
        <v/>
      </c>
      <c r="AL1045" s="3">
        <f>IF(OR(V1045="",V1045=0),0,N1045/V1045)</f>
        <v/>
      </c>
      <c r="AM1045" s="3">
        <f>IF(OR(V1045="",V1045=0),0,1)</f>
        <v/>
      </c>
      <c r="AN1045" s="3">
        <f>IF(OR(E1045="",F1045=""),0,NETWORKDAYS(E1045,F1045,Ref!$K$2:$K$42))</f>
        <v/>
      </c>
      <c r="AO1045" s="3">
        <f>IF(L1045="Renewal",1,0)</f>
        <v/>
      </c>
      <c r="AP1045" s="3">
        <f>AC1045*AD1045</f>
        <v/>
      </c>
      <c r="AQ1045" s="3">
        <f>IF(AND(G1045&lt;&gt;"",'Historical Score'!$C$6&lt;&gt;""),IF(G1045='Historical Score'!$C$6,1,0),0)</f>
        <v/>
      </c>
      <c r="AR1045" s="3">
        <f>IF(AND(L1045&lt;&gt;"",'Historical Score'!$C$5&lt;&gt;""),IF(L1045='Historical Score'!$C$5,1,0),0)</f>
        <v/>
      </c>
      <c r="AS1045" s="3">
        <f>IF(AND(Y1045&lt;&gt;"",'Historical Score'!$C$7&lt;&gt;""),IF(Y1045='Historical Score'!$C$7,1,0),0)</f>
        <v/>
      </c>
      <c r="AT1045" s="3">
        <f>IF(AND(K1045&lt;&gt;"",'Historical Score'!$C$8&lt;&gt;""),IF(K1045='Historical Score'!$C$8,1,0),0)</f>
        <v/>
      </c>
      <c r="AU1045" s="3" t="n"/>
      <c r="AV1045" s="3" t="n"/>
      <c r="AW1045" s="3" t="n"/>
      <c r="AX1045" s="3" t="n"/>
      <c r="AY1045" s="3" t="n"/>
      <c r="AZ1045" s="3" t="n"/>
      <c r="BA1045" s="182">
        <f>IF(AD1045=1,(AR1045*'Historical Score'!$K$29+1-'Historical Score'!$K$29)*(AT1045*'Historical Score'!$L$29+1-'Historical Score'!$L$29)*(AS1045*'Historical Score'!$M$29+1-'Historical Score'!$M$29)*(AQ1045*'Historical Score'!$N$29+1-'Historical Score'!$N$29),0)</f>
        <v/>
      </c>
      <c r="BB1045" s="3" t="n"/>
      <c r="BC1045" s="3" t="n"/>
    </row>
    <row r="1046" ht="15" customHeight="1" s="174">
      <c r="A1046" s="3" t="inlineStr">
        <is>
          <t>5674187997</t>
        </is>
      </c>
      <c r="B1046" s="3" t="inlineStr">
        <is>
          <t>LEGACY BARN DOORS INC.</t>
        </is>
      </c>
      <c r="C1046" s="3" t="inlineStr">
        <is>
          <t>LEGACY BARN DOORS INC.</t>
        </is>
      </c>
      <c r="D1046" s="3" t="inlineStr">
        <is>
          <t>Open</t>
        </is>
      </c>
      <c r="E1046" s="23" t="n">
        <v>46230</v>
      </c>
      <c r="F1046" s="23" t="n">
        <v>46248</v>
      </c>
      <c r="G1046" s="3" t="n">
        <v>3</v>
      </c>
      <c r="H1046" s="3" t="inlineStr">
        <is>
          <t>6221</t>
        </is>
      </c>
      <c r="I1046" s="3" t="inlineStr">
        <is>
          <t>62</t>
        </is>
      </c>
      <c r="J1046" s="3" t="inlineStr">
        <is>
          <t>TX</t>
        </is>
      </c>
      <c r="K1046" s="3" t="inlineStr">
        <is>
          <t>United Secured Capital 8</t>
        </is>
      </c>
      <c r="L1046" s="3" t="inlineStr">
        <is>
          <t>Renewal</t>
        </is>
      </c>
      <c r="M1046" s="3" t="n">
        <v>1.49</v>
      </c>
      <c r="N1046" s="28" t="n">
        <v>40000</v>
      </c>
      <c r="O1046" s="28" t="n">
        <v>5600</v>
      </c>
      <c r="P1046" s="28" t="n">
        <v>59600</v>
      </c>
      <c r="Q1046" s="28" t="n">
        <v>3974.34</v>
      </c>
      <c r="R1046" s="28" t="n">
        <v>55625.66</v>
      </c>
      <c r="S1046" s="42" t="n">
        <v>0.0666835570469799</v>
      </c>
      <c r="T1046" s="3" t="n">
        <v>30</v>
      </c>
      <c r="U1046" s="3" t="n">
        <v>0</v>
      </c>
      <c r="V1046" s="3" t="n">
        <v>45291.67</v>
      </c>
      <c r="W1046" s="42" t="n">
        <v>0.1755</v>
      </c>
      <c r="X1046" s="23" t="n">
        <v>44427</v>
      </c>
      <c r="Y1046" s="3">
        <f>IF(I1046="","No SIC",IFERROR(VLOOKUP(I1046,Ref!$A$2:$B$65,2,FALSE()),"Unclassified"))</f>
        <v/>
      </c>
      <c r="Z1046" s="3">
        <f>IF(T1046="","",IF(T1046&lt;12,"Daily","Weekly"))</f>
        <v/>
      </c>
      <c r="AA1046" s="3">
        <f>IF(T1046="",0,IF(T1046&lt;12,T1046*Controls!$B$13,T1046*5))</f>
        <v/>
      </c>
      <c r="AB1046" s="3">
        <f>IF(E1046="",0,NETWORKDAYS(E1046,Controls!$B$20,Ref!$K$2:$K$42))</f>
        <v/>
      </c>
      <c r="AC1046" s="3">
        <f>IF(OR(AF1046=1,AND(AA1046&gt;0,AB1046&gt;=Controls!$B$23*AA1046)),1,0)</f>
        <v/>
      </c>
      <c r="AD1046" s="3">
        <f>IF(AND(E1046&lt;&gt;"",E1046&gt;=Controls!$B$21,E1046&lt;=Controls!$B$22),1,0)</f>
        <v/>
      </c>
      <c r="AE1046" s="3">
        <f>IF(IFERROR(VLOOKUP(D1046,Controls!$A$36:$E$46,2,FALSE()),"No")="Yes",1,0)</f>
        <v/>
      </c>
      <c r="AF1046" s="3">
        <f>IF(IFERROR(VLOOKUP(D1046,Controls!$A$36:$E$46,3,FALSE()),"No")="Yes",1,0)</f>
        <v/>
      </c>
      <c r="AG1046" s="3">
        <f>IF(IFERROR(VLOOKUP(D1046,Controls!$A$36:$E$46,4,FALSE()),"No")="Yes",1,0)</f>
        <v/>
      </c>
      <c r="AH1046" s="3">
        <f>IF(IFERROR(VLOOKUP(D1046,Controls!$A$36:$E$46,5,FALSE()),"No")="Yes",1,0)</f>
        <v/>
      </c>
      <c r="AI1046" s="3">
        <f>IF(ISNUMBER(MATCH(D1046,Controls!$A$36:$A$46,0)),1,0)</f>
        <v/>
      </c>
      <c r="AJ1046" s="28">
        <f>Q1046-N1046</f>
        <v/>
      </c>
      <c r="AK1046" s="3">
        <f>IF(AE1046=1,MAX(0,N1046-Q1046),0)</f>
        <v/>
      </c>
      <c r="AL1046" s="3">
        <f>IF(OR(V1046="",V1046=0),0,N1046/V1046)</f>
        <v/>
      </c>
      <c r="AM1046" s="3">
        <f>IF(OR(V1046="",V1046=0),0,1)</f>
        <v/>
      </c>
      <c r="AN1046" s="3">
        <f>IF(OR(E1046="",F1046=""),0,NETWORKDAYS(E1046,F1046,Ref!$K$2:$K$42))</f>
        <v/>
      </c>
      <c r="AO1046" s="3">
        <f>IF(L1046="Renewal",1,0)</f>
        <v/>
      </c>
      <c r="AP1046" s="3">
        <f>AC1046*AD1046</f>
        <v/>
      </c>
      <c r="AQ1046" s="3">
        <f>IF(AND(G1046&lt;&gt;"",'Historical Score'!$C$6&lt;&gt;""),IF(G1046='Historical Score'!$C$6,1,0),0)</f>
        <v/>
      </c>
      <c r="AR1046" s="3">
        <f>IF(AND(L1046&lt;&gt;"",'Historical Score'!$C$5&lt;&gt;""),IF(L1046='Historical Score'!$C$5,1,0),0)</f>
        <v/>
      </c>
      <c r="AS1046" s="3">
        <f>IF(AND(Y1046&lt;&gt;"",'Historical Score'!$C$7&lt;&gt;""),IF(Y1046='Historical Score'!$C$7,1,0),0)</f>
        <v/>
      </c>
      <c r="AT1046" s="3">
        <f>IF(AND(K1046&lt;&gt;"",'Historical Score'!$C$8&lt;&gt;""),IF(K1046='Historical Score'!$C$8,1,0),0)</f>
        <v/>
      </c>
      <c r="AU1046" s="3" t="n"/>
      <c r="AV1046" s="3" t="n"/>
      <c r="AW1046" s="3" t="n"/>
      <c r="AX1046" s="3" t="n"/>
      <c r="AY1046" s="3" t="n"/>
      <c r="AZ1046" s="3" t="n"/>
      <c r="BA1046" s="182">
        <f>IF(AD1046=1,(AR1046*'Historical Score'!$K$29+1-'Historical Score'!$K$29)*(AT1046*'Historical Score'!$L$29+1-'Historical Score'!$L$29)*(AS1046*'Historical Score'!$M$29+1-'Historical Score'!$M$29)*(AQ1046*'Historical Score'!$N$29+1-'Historical Score'!$N$29),0)</f>
        <v/>
      </c>
      <c r="BB1046" s="3" t="n"/>
      <c r="BC1046" s="3" t="n"/>
    </row>
    <row r="1047" ht="15" customHeight="1" s="174">
      <c r="A1047" s="3" t="inlineStr">
        <is>
          <t>5674188006</t>
        </is>
      </c>
      <c r="B1047" s="3" t="inlineStr">
        <is>
          <t>Scottsdale Supplies</t>
        </is>
      </c>
      <c r="C1047" s="3" t="inlineStr">
        <is>
          <t>Scottsdale Supplies</t>
        </is>
      </c>
      <c r="D1047" s="3" t="inlineStr">
        <is>
          <t>Open</t>
        </is>
      </c>
      <c r="E1047" s="23" t="n">
        <v>46230</v>
      </c>
      <c r="F1047" s="23" t="n">
        <v>46248</v>
      </c>
      <c r="G1047" s="3" t="n">
        <v>3</v>
      </c>
      <c r="H1047" s="3" t="inlineStr">
        <is>
          <t>5085</t>
        </is>
      </c>
      <c r="I1047" s="3" t="inlineStr">
        <is>
          <t>50</t>
        </is>
      </c>
      <c r="J1047" s="3" t="inlineStr">
        <is>
          <t>AZ</t>
        </is>
      </c>
      <c r="K1047" s="3" t="inlineStr">
        <is>
          <t>Credibly</t>
        </is>
      </c>
      <c r="L1047" s="3" t="inlineStr">
        <is>
          <t>New Deal</t>
        </is>
      </c>
      <c r="M1047" s="3" t="n">
        <v>1.447</v>
      </c>
      <c r="N1047" s="28" t="n">
        <v>35000</v>
      </c>
      <c r="O1047" s="28" t="n">
        <v>4025</v>
      </c>
      <c r="P1047" s="28" t="n">
        <v>50645</v>
      </c>
      <c r="Q1047" s="28" t="n">
        <v>5065.17</v>
      </c>
      <c r="R1047" s="28" t="n">
        <v>45579.83</v>
      </c>
      <c r="S1047" s="42" t="n">
        <v>0.100013229341495</v>
      </c>
      <c r="T1047" s="3" t="n">
        <v>30</v>
      </c>
      <c r="U1047" s="3" t="n">
        <v>1</v>
      </c>
      <c r="V1047" s="3" t="n">
        <v>105211.24</v>
      </c>
      <c r="W1047" s="42" t="n">
        <v>0.06419999999999999</v>
      </c>
      <c r="X1047" s="23" t="n">
        <v>45100</v>
      </c>
      <c r="Y1047" s="3">
        <f>IF(I1047="","No SIC",IFERROR(VLOOKUP(I1047,Ref!$A$2:$B$65,2,FALSE()),"Unclassified"))</f>
        <v/>
      </c>
      <c r="Z1047" s="3">
        <f>IF(T1047="","",IF(T1047&lt;12,"Daily","Weekly"))</f>
        <v/>
      </c>
      <c r="AA1047" s="3">
        <f>IF(T1047="",0,IF(T1047&lt;12,T1047*Controls!$B$13,T1047*5))</f>
        <v/>
      </c>
      <c r="AB1047" s="3">
        <f>IF(E1047="",0,NETWORKDAYS(E1047,Controls!$B$20,Ref!$K$2:$K$42))</f>
        <v/>
      </c>
      <c r="AC1047" s="3">
        <f>IF(OR(AF1047=1,AND(AA1047&gt;0,AB1047&gt;=Controls!$B$23*AA1047)),1,0)</f>
        <v/>
      </c>
      <c r="AD1047" s="3">
        <f>IF(AND(E1047&lt;&gt;"",E1047&gt;=Controls!$B$21,E1047&lt;=Controls!$B$22),1,0)</f>
        <v/>
      </c>
      <c r="AE1047" s="3">
        <f>IF(IFERROR(VLOOKUP(D1047,Controls!$A$36:$E$46,2,FALSE()),"No")="Yes",1,0)</f>
        <v/>
      </c>
      <c r="AF1047" s="3">
        <f>IF(IFERROR(VLOOKUP(D1047,Controls!$A$36:$E$46,3,FALSE()),"No")="Yes",1,0)</f>
        <v/>
      </c>
      <c r="AG1047" s="3">
        <f>IF(IFERROR(VLOOKUP(D1047,Controls!$A$36:$E$46,4,FALSE()),"No")="Yes",1,0)</f>
        <v/>
      </c>
      <c r="AH1047" s="3">
        <f>IF(IFERROR(VLOOKUP(D1047,Controls!$A$36:$E$46,5,FALSE()),"No")="Yes",1,0)</f>
        <v/>
      </c>
      <c r="AI1047" s="3">
        <f>IF(ISNUMBER(MATCH(D1047,Controls!$A$36:$A$46,0)),1,0)</f>
        <v/>
      </c>
      <c r="AJ1047" s="28">
        <f>Q1047-N1047</f>
        <v/>
      </c>
      <c r="AK1047" s="3">
        <f>IF(AE1047=1,MAX(0,N1047-Q1047),0)</f>
        <v/>
      </c>
      <c r="AL1047" s="3">
        <f>IF(OR(V1047="",V1047=0),0,N1047/V1047)</f>
        <v/>
      </c>
      <c r="AM1047" s="3">
        <f>IF(OR(V1047="",V1047=0),0,1)</f>
        <v/>
      </c>
      <c r="AN1047" s="3">
        <f>IF(OR(E1047="",F1047=""),0,NETWORKDAYS(E1047,F1047,Ref!$K$2:$K$42))</f>
        <v/>
      </c>
      <c r="AO1047" s="3">
        <f>IF(L1047="Renewal",1,0)</f>
        <v/>
      </c>
      <c r="AP1047" s="3">
        <f>AC1047*AD1047</f>
        <v/>
      </c>
      <c r="AQ1047" s="3">
        <f>IF(AND(G1047&lt;&gt;"",'Historical Score'!$C$6&lt;&gt;""),IF(G1047='Historical Score'!$C$6,1,0),0)</f>
        <v/>
      </c>
      <c r="AR1047" s="3">
        <f>IF(AND(L1047&lt;&gt;"",'Historical Score'!$C$5&lt;&gt;""),IF(L1047='Historical Score'!$C$5,1,0),0)</f>
        <v/>
      </c>
      <c r="AS1047" s="3">
        <f>IF(AND(Y1047&lt;&gt;"",'Historical Score'!$C$7&lt;&gt;""),IF(Y1047='Historical Score'!$C$7,1,0),0)</f>
        <v/>
      </c>
      <c r="AT1047" s="3">
        <f>IF(AND(K1047&lt;&gt;"",'Historical Score'!$C$8&lt;&gt;""),IF(K1047='Historical Score'!$C$8,1,0),0)</f>
        <v/>
      </c>
      <c r="AU1047" s="3" t="n"/>
      <c r="AV1047" s="3" t="n"/>
      <c r="AW1047" s="3" t="n"/>
      <c r="AX1047" s="3" t="n"/>
      <c r="AY1047" s="3" t="n"/>
      <c r="AZ1047" s="3" t="n"/>
      <c r="BA1047" s="182">
        <f>IF(AD1047=1,(AR1047*'Historical Score'!$K$29+1-'Historical Score'!$K$29)*(AT1047*'Historical Score'!$L$29+1-'Historical Score'!$L$29)*(AS1047*'Historical Score'!$M$29+1-'Historical Score'!$M$29)*(AQ1047*'Historical Score'!$N$29+1-'Historical Score'!$N$29),0)</f>
        <v/>
      </c>
      <c r="BB1047" s="3" t="n"/>
      <c r="BC1047" s="3" t="n"/>
    </row>
    <row r="1048" ht="15" customHeight="1" s="174">
      <c r="A1048" s="3" t="inlineStr">
        <is>
          <t>5674188015</t>
        </is>
      </c>
      <c r="B1048" s="3" t="inlineStr">
        <is>
          <t>JACK N MARK TRADING</t>
        </is>
      </c>
      <c r="C1048" s="3" t="inlineStr">
        <is>
          <t>JACK N MARK TRADING</t>
        </is>
      </c>
      <c r="D1048" s="3" t="inlineStr">
        <is>
          <t>Open</t>
        </is>
      </c>
      <c r="E1048" s="23" t="n">
        <v>46230</v>
      </c>
      <c r="F1048" s="23" t="n">
        <v>46248</v>
      </c>
      <c r="G1048" s="3" t="n">
        <v>3</v>
      </c>
      <c r="H1048" s="3" t="inlineStr">
        <is>
          <t>5399</t>
        </is>
      </c>
      <c r="I1048" s="3" t="inlineStr">
        <is>
          <t>53</t>
        </is>
      </c>
      <c r="J1048" s="3" t="inlineStr">
        <is>
          <t>CA</t>
        </is>
      </c>
      <c r="K1048" s="3" t="inlineStr">
        <is>
          <t>United Secured Capital 8</t>
        </is>
      </c>
      <c r="L1048" s="3" t="inlineStr">
        <is>
          <t>Renewal</t>
        </is>
      </c>
      <c r="M1048" s="3" t="n">
        <v>1.49</v>
      </c>
      <c r="N1048" s="28" t="n">
        <v>45000</v>
      </c>
      <c r="O1048" s="28" t="n">
        <v>6300</v>
      </c>
      <c r="P1048" s="28" t="n">
        <v>67050</v>
      </c>
      <c r="Q1048" s="28" t="n">
        <v>7179.87</v>
      </c>
      <c r="R1048" s="28" t="n">
        <v>59870.13</v>
      </c>
      <c r="S1048" s="42" t="n">
        <v>0.107082326621924</v>
      </c>
      <c r="T1048" s="3" t="n">
        <v>28</v>
      </c>
      <c r="U1048" s="3" t="n">
        <v>0</v>
      </c>
      <c r="V1048" s="3" t="n">
        <v>296382.23</v>
      </c>
      <c r="W1048" s="42" t="n">
        <v>0.0323</v>
      </c>
      <c r="X1048" s="23" t="n">
        <v>45547</v>
      </c>
      <c r="Y1048" s="3">
        <f>IF(I1048="","No SIC",IFERROR(VLOOKUP(I1048,Ref!$A$2:$B$65,2,FALSE()),"Unclassified"))</f>
        <v/>
      </c>
      <c r="Z1048" s="3">
        <f>IF(T1048="","",IF(T1048&lt;12,"Daily","Weekly"))</f>
        <v/>
      </c>
      <c r="AA1048" s="3">
        <f>IF(T1048="",0,IF(T1048&lt;12,T1048*Controls!$B$13,T1048*5))</f>
        <v/>
      </c>
      <c r="AB1048" s="3">
        <f>IF(E1048="",0,NETWORKDAYS(E1048,Controls!$B$20,Ref!$K$2:$K$42))</f>
        <v/>
      </c>
      <c r="AC1048" s="3">
        <f>IF(OR(AF1048=1,AND(AA1048&gt;0,AB1048&gt;=Controls!$B$23*AA1048)),1,0)</f>
        <v/>
      </c>
      <c r="AD1048" s="3">
        <f>IF(AND(E1048&lt;&gt;"",E1048&gt;=Controls!$B$21,E1048&lt;=Controls!$B$22),1,0)</f>
        <v/>
      </c>
      <c r="AE1048" s="3">
        <f>IF(IFERROR(VLOOKUP(D1048,Controls!$A$36:$E$46,2,FALSE()),"No")="Yes",1,0)</f>
        <v/>
      </c>
      <c r="AF1048" s="3">
        <f>IF(IFERROR(VLOOKUP(D1048,Controls!$A$36:$E$46,3,FALSE()),"No")="Yes",1,0)</f>
        <v/>
      </c>
      <c r="AG1048" s="3">
        <f>IF(IFERROR(VLOOKUP(D1048,Controls!$A$36:$E$46,4,FALSE()),"No")="Yes",1,0)</f>
        <v/>
      </c>
      <c r="AH1048" s="3">
        <f>IF(IFERROR(VLOOKUP(D1048,Controls!$A$36:$E$46,5,FALSE()),"No")="Yes",1,0)</f>
        <v/>
      </c>
      <c r="AI1048" s="3">
        <f>IF(ISNUMBER(MATCH(D1048,Controls!$A$36:$A$46,0)),1,0)</f>
        <v/>
      </c>
      <c r="AJ1048" s="28">
        <f>Q1048-N1048</f>
        <v/>
      </c>
      <c r="AK1048" s="3">
        <f>IF(AE1048=1,MAX(0,N1048-Q1048),0)</f>
        <v/>
      </c>
      <c r="AL1048" s="3">
        <f>IF(OR(V1048="",V1048=0),0,N1048/V1048)</f>
        <v/>
      </c>
      <c r="AM1048" s="3">
        <f>IF(OR(V1048="",V1048=0),0,1)</f>
        <v/>
      </c>
      <c r="AN1048" s="3">
        <f>IF(OR(E1048="",F1048=""),0,NETWORKDAYS(E1048,F1048,Ref!$K$2:$K$42))</f>
        <v/>
      </c>
      <c r="AO1048" s="3">
        <f>IF(L1048="Renewal",1,0)</f>
        <v/>
      </c>
      <c r="AP1048" s="3">
        <f>AC1048*AD1048</f>
        <v/>
      </c>
      <c r="AQ1048" s="3">
        <f>IF(AND(G1048&lt;&gt;"",'Historical Score'!$C$6&lt;&gt;""),IF(G1048='Historical Score'!$C$6,1,0),0)</f>
        <v/>
      </c>
      <c r="AR1048" s="3">
        <f>IF(AND(L1048&lt;&gt;"",'Historical Score'!$C$5&lt;&gt;""),IF(L1048='Historical Score'!$C$5,1,0),0)</f>
        <v/>
      </c>
      <c r="AS1048" s="3">
        <f>IF(AND(Y1048&lt;&gt;"",'Historical Score'!$C$7&lt;&gt;""),IF(Y1048='Historical Score'!$C$7,1,0),0)</f>
        <v/>
      </c>
      <c r="AT1048" s="3">
        <f>IF(AND(K1048&lt;&gt;"",'Historical Score'!$C$8&lt;&gt;""),IF(K1048='Historical Score'!$C$8,1,0),0)</f>
        <v/>
      </c>
      <c r="AU1048" s="3" t="n"/>
      <c r="AV1048" s="3" t="n"/>
      <c r="AW1048" s="3" t="n"/>
      <c r="AX1048" s="3" t="n"/>
      <c r="AY1048" s="3" t="n"/>
      <c r="AZ1048" s="3" t="n"/>
      <c r="BA1048" s="182">
        <f>IF(AD1048=1,(AR1048*'Historical Score'!$K$29+1-'Historical Score'!$K$29)*(AT1048*'Historical Score'!$L$29+1-'Historical Score'!$L$29)*(AS1048*'Historical Score'!$M$29+1-'Historical Score'!$M$29)*(AQ1048*'Historical Score'!$N$29+1-'Historical Score'!$N$29),0)</f>
        <v/>
      </c>
      <c r="BB1048" s="3" t="n"/>
      <c r="BC1048" s="3" t="n"/>
    </row>
    <row r="1049" ht="15" customHeight="1" s="174">
      <c r="A1049" s="3" t="inlineStr">
        <is>
          <t>5674188027</t>
        </is>
      </c>
      <c r="B1049" s="3" t="inlineStr">
        <is>
          <t>MT Repair Quick Solution Inc.</t>
        </is>
      </c>
      <c r="C1049" s="3" t="inlineStr">
        <is>
          <t>MT Repair Quick Solution Inc.</t>
        </is>
      </c>
      <c r="D1049" s="3" t="inlineStr">
        <is>
          <t>Open</t>
        </is>
      </c>
      <c r="E1049" s="23" t="n">
        <v>46230</v>
      </c>
      <c r="F1049" s="23" t="n">
        <v>46253</v>
      </c>
      <c r="G1049" s="3" t="n">
        <v>3</v>
      </c>
      <c r="H1049" s="3" t="inlineStr">
        <is>
          <t>7538</t>
        </is>
      </c>
      <c r="I1049" s="3" t="inlineStr">
        <is>
          <t>75</t>
        </is>
      </c>
      <c r="J1049" s="3" t="inlineStr">
        <is>
          <t>MA</t>
        </is>
      </c>
      <c r="K1049" s="3" t="inlineStr">
        <is>
          <t>Triumph Cap Fund</t>
        </is>
      </c>
      <c r="L1049" s="3" t="inlineStr">
        <is>
          <t>New Deal</t>
        </is>
      </c>
      <c r="M1049" s="3" t="n">
        <v>1.35</v>
      </c>
      <c r="N1049" s="28" t="n">
        <v>15000</v>
      </c>
      <c r="O1049" s="28" t="n">
        <v>1050</v>
      </c>
      <c r="P1049" s="28" t="n">
        <v>20250</v>
      </c>
      <c r="Q1049" s="28" t="n">
        <v>3332.98</v>
      </c>
      <c r="R1049" s="28" t="n">
        <v>16917.02</v>
      </c>
      <c r="S1049" s="42" t="n">
        <v>0.164591604938272</v>
      </c>
      <c r="T1049" s="3" t="n">
        <v>2.787</v>
      </c>
      <c r="U1049" s="3" t="n">
        <v>0</v>
      </c>
      <c r="V1049" s="3" t="n">
        <v>71218.75</v>
      </c>
      <c r="W1049" s="42" t="n">
        <v>0.0702</v>
      </c>
      <c r="X1049" s="23" t="n">
        <v>45036</v>
      </c>
      <c r="Y1049" s="3">
        <f>IF(I1049="","No SIC",IFERROR(VLOOKUP(I1049,Ref!$A$2:$B$65,2,FALSE()),"Unclassified"))</f>
        <v/>
      </c>
      <c r="Z1049" s="3">
        <f>IF(T1049="","",IF(T1049&lt;12,"Daily","Weekly"))</f>
        <v/>
      </c>
      <c r="AA1049" s="3">
        <f>IF(T1049="",0,IF(T1049&lt;12,T1049*Controls!$B$13,T1049*5))</f>
        <v/>
      </c>
      <c r="AB1049" s="3">
        <f>IF(E1049="",0,NETWORKDAYS(E1049,Controls!$B$20,Ref!$K$2:$K$42))</f>
        <v/>
      </c>
      <c r="AC1049" s="3">
        <f>IF(OR(AF1049=1,AND(AA1049&gt;0,AB1049&gt;=Controls!$B$23*AA1049)),1,0)</f>
        <v/>
      </c>
      <c r="AD1049" s="3">
        <f>IF(AND(E1049&lt;&gt;"",E1049&gt;=Controls!$B$21,E1049&lt;=Controls!$B$22),1,0)</f>
        <v/>
      </c>
      <c r="AE1049" s="3">
        <f>IF(IFERROR(VLOOKUP(D1049,Controls!$A$36:$E$46,2,FALSE()),"No")="Yes",1,0)</f>
        <v/>
      </c>
      <c r="AF1049" s="3">
        <f>IF(IFERROR(VLOOKUP(D1049,Controls!$A$36:$E$46,3,FALSE()),"No")="Yes",1,0)</f>
        <v/>
      </c>
      <c r="AG1049" s="3">
        <f>IF(IFERROR(VLOOKUP(D1049,Controls!$A$36:$E$46,4,FALSE()),"No")="Yes",1,0)</f>
        <v/>
      </c>
      <c r="AH1049" s="3">
        <f>IF(IFERROR(VLOOKUP(D1049,Controls!$A$36:$E$46,5,FALSE()),"No")="Yes",1,0)</f>
        <v/>
      </c>
      <c r="AI1049" s="3">
        <f>IF(ISNUMBER(MATCH(D1049,Controls!$A$36:$A$46,0)),1,0)</f>
        <v/>
      </c>
      <c r="AJ1049" s="28">
        <f>Q1049-N1049</f>
        <v/>
      </c>
      <c r="AK1049" s="3">
        <f>IF(AE1049=1,MAX(0,N1049-Q1049),0)</f>
        <v/>
      </c>
      <c r="AL1049" s="3">
        <f>IF(OR(V1049="",V1049=0),0,N1049/V1049)</f>
        <v/>
      </c>
      <c r="AM1049" s="3">
        <f>IF(OR(V1049="",V1049=0),0,1)</f>
        <v/>
      </c>
      <c r="AN1049" s="3">
        <f>IF(OR(E1049="",F1049=""),0,NETWORKDAYS(E1049,F1049,Ref!$K$2:$K$42))</f>
        <v/>
      </c>
      <c r="AO1049" s="3">
        <f>IF(L1049="Renewal",1,0)</f>
        <v/>
      </c>
      <c r="AP1049" s="3">
        <f>AC1049*AD1049</f>
        <v/>
      </c>
      <c r="AQ1049" s="3">
        <f>IF(AND(G1049&lt;&gt;"",'Historical Score'!$C$6&lt;&gt;""),IF(G1049='Historical Score'!$C$6,1,0),0)</f>
        <v/>
      </c>
      <c r="AR1049" s="3">
        <f>IF(AND(L1049&lt;&gt;"",'Historical Score'!$C$5&lt;&gt;""),IF(L1049='Historical Score'!$C$5,1,0),0)</f>
        <v/>
      </c>
      <c r="AS1049" s="3">
        <f>IF(AND(Y1049&lt;&gt;"",'Historical Score'!$C$7&lt;&gt;""),IF(Y1049='Historical Score'!$C$7,1,0),0)</f>
        <v/>
      </c>
      <c r="AT1049" s="3">
        <f>IF(AND(K1049&lt;&gt;"",'Historical Score'!$C$8&lt;&gt;""),IF(K1049='Historical Score'!$C$8,1,0),0)</f>
        <v/>
      </c>
      <c r="AU1049" s="3" t="n"/>
      <c r="AV1049" s="3" t="n"/>
      <c r="AW1049" s="3" t="n"/>
      <c r="AX1049" s="3" t="n"/>
      <c r="AY1049" s="3" t="n"/>
      <c r="AZ1049" s="3" t="n"/>
      <c r="BA1049" s="182">
        <f>IF(AD1049=1,(AR1049*'Historical Score'!$K$29+1-'Historical Score'!$K$29)*(AT1049*'Historical Score'!$L$29+1-'Historical Score'!$L$29)*(AS1049*'Historical Score'!$M$29+1-'Historical Score'!$M$29)*(AQ1049*'Historical Score'!$N$29+1-'Historical Score'!$N$29),0)</f>
        <v/>
      </c>
      <c r="BB1049" s="3" t="n"/>
      <c r="BC1049" s="3" t="n"/>
    </row>
    <row r="1050" ht="15" customHeight="1" s="174">
      <c r="A1050" s="3" t="inlineStr">
        <is>
          <t>5674188054</t>
        </is>
      </c>
      <c r="B1050" s="3" t="inlineStr">
        <is>
          <t>Map and Map</t>
        </is>
      </c>
      <c r="C1050" s="3" t="inlineStr">
        <is>
          <t>Map and Map</t>
        </is>
      </c>
      <c r="D1050" s="3" t="inlineStr">
        <is>
          <t>Open</t>
        </is>
      </c>
      <c r="E1050" s="23" t="n">
        <v>46231</v>
      </c>
      <c r="F1050" s="23" t="n">
        <v>46248</v>
      </c>
      <c r="G1050" s="3" t="n">
        <v>3</v>
      </c>
      <c r="H1050" s="3" t="inlineStr">
        <is>
          <t>5399</t>
        </is>
      </c>
      <c r="I1050" s="3" t="inlineStr">
        <is>
          <t>53</t>
        </is>
      </c>
      <c r="J1050" s="3" t="inlineStr">
        <is>
          <t>TX</t>
        </is>
      </c>
      <c r="K1050" s="3" t="inlineStr">
        <is>
          <t>PMF</t>
        </is>
      </c>
      <c r="L1050" s="3" t="inlineStr">
        <is>
          <t>Renewal</t>
        </is>
      </c>
      <c r="M1050" s="3" t="n">
        <v>1.46</v>
      </c>
      <c r="N1050" s="28" t="n">
        <v>17000</v>
      </c>
      <c r="O1050" s="28" t="n">
        <v>2125</v>
      </c>
      <c r="P1050" s="28" t="n">
        <v>24820</v>
      </c>
      <c r="Q1050" s="28" t="n">
        <v>3723.63</v>
      </c>
      <c r="R1050" s="28" t="n">
        <v>21096.37</v>
      </c>
      <c r="S1050" s="42" t="n">
        <v>0.150025382755842</v>
      </c>
      <c r="T1050" s="3" t="n">
        <v>20</v>
      </c>
      <c r="U1050" s="3" t="n">
        <v>0</v>
      </c>
      <c r="V1050" s="3" t="n">
        <v>19491.45</v>
      </c>
      <c r="W1050" s="42" t="n">
        <v>0.2574</v>
      </c>
      <c r="X1050" s="23" t="n">
        <v>44356</v>
      </c>
      <c r="Y1050" s="3">
        <f>IF(I1050="","No SIC",IFERROR(VLOOKUP(I1050,Ref!$A$2:$B$65,2,FALSE()),"Unclassified"))</f>
        <v/>
      </c>
      <c r="Z1050" s="3">
        <f>IF(T1050="","",IF(T1050&lt;12,"Daily","Weekly"))</f>
        <v/>
      </c>
      <c r="AA1050" s="3">
        <f>IF(T1050="",0,IF(T1050&lt;12,T1050*Controls!$B$13,T1050*5))</f>
        <v/>
      </c>
      <c r="AB1050" s="3">
        <f>IF(E1050="",0,NETWORKDAYS(E1050,Controls!$B$20,Ref!$K$2:$K$42))</f>
        <v/>
      </c>
      <c r="AC1050" s="3">
        <f>IF(OR(AF1050=1,AND(AA1050&gt;0,AB1050&gt;=Controls!$B$23*AA1050)),1,0)</f>
        <v/>
      </c>
      <c r="AD1050" s="3">
        <f>IF(AND(E1050&lt;&gt;"",E1050&gt;=Controls!$B$21,E1050&lt;=Controls!$B$22),1,0)</f>
        <v/>
      </c>
      <c r="AE1050" s="3">
        <f>IF(IFERROR(VLOOKUP(D1050,Controls!$A$36:$E$46,2,FALSE()),"No")="Yes",1,0)</f>
        <v/>
      </c>
      <c r="AF1050" s="3">
        <f>IF(IFERROR(VLOOKUP(D1050,Controls!$A$36:$E$46,3,FALSE()),"No")="Yes",1,0)</f>
        <v/>
      </c>
      <c r="AG1050" s="3">
        <f>IF(IFERROR(VLOOKUP(D1050,Controls!$A$36:$E$46,4,FALSE()),"No")="Yes",1,0)</f>
        <v/>
      </c>
      <c r="AH1050" s="3">
        <f>IF(IFERROR(VLOOKUP(D1050,Controls!$A$36:$E$46,5,FALSE()),"No")="Yes",1,0)</f>
        <v/>
      </c>
      <c r="AI1050" s="3">
        <f>IF(ISNUMBER(MATCH(D1050,Controls!$A$36:$A$46,0)),1,0)</f>
        <v/>
      </c>
      <c r="AJ1050" s="28">
        <f>Q1050-N1050</f>
        <v/>
      </c>
      <c r="AK1050" s="3">
        <f>IF(AE1050=1,MAX(0,N1050-Q1050),0)</f>
        <v/>
      </c>
      <c r="AL1050" s="3">
        <f>IF(OR(V1050="",V1050=0),0,N1050/V1050)</f>
        <v/>
      </c>
      <c r="AM1050" s="3">
        <f>IF(OR(V1050="",V1050=0),0,1)</f>
        <v/>
      </c>
      <c r="AN1050" s="3">
        <f>IF(OR(E1050="",F1050=""),0,NETWORKDAYS(E1050,F1050,Ref!$K$2:$K$42))</f>
        <v/>
      </c>
      <c r="AO1050" s="3">
        <f>IF(L1050="Renewal",1,0)</f>
        <v/>
      </c>
      <c r="AP1050" s="3">
        <f>AC1050*AD1050</f>
        <v/>
      </c>
      <c r="AQ1050" s="3">
        <f>IF(AND(G1050&lt;&gt;"",'Historical Score'!$C$6&lt;&gt;""),IF(G1050='Historical Score'!$C$6,1,0),0)</f>
        <v/>
      </c>
      <c r="AR1050" s="3">
        <f>IF(AND(L1050&lt;&gt;"",'Historical Score'!$C$5&lt;&gt;""),IF(L1050='Historical Score'!$C$5,1,0),0)</f>
        <v/>
      </c>
      <c r="AS1050" s="3">
        <f>IF(AND(Y1050&lt;&gt;"",'Historical Score'!$C$7&lt;&gt;""),IF(Y1050='Historical Score'!$C$7,1,0),0)</f>
        <v/>
      </c>
      <c r="AT1050" s="3">
        <f>IF(AND(K1050&lt;&gt;"",'Historical Score'!$C$8&lt;&gt;""),IF(K1050='Historical Score'!$C$8,1,0),0)</f>
        <v/>
      </c>
      <c r="AU1050" s="3" t="n"/>
      <c r="AV1050" s="3" t="n"/>
      <c r="AW1050" s="3" t="n"/>
      <c r="AX1050" s="3" t="n"/>
      <c r="AY1050" s="3" t="n"/>
      <c r="AZ1050" s="3" t="n"/>
      <c r="BA1050" s="182">
        <f>IF(AD1050=1,(AR1050*'Historical Score'!$K$29+1-'Historical Score'!$K$29)*(AT1050*'Historical Score'!$L$29+1-'Historical Score'!$L$29)*(AS1050*'Historical Score'!$M$29+1-'Historical Score'!$M$29)*(AQ1050*'Historical Score'!$N$29+1-'Historical Score'!$N$29),0)</f>
        <v/>
      </c>
      <c r="BB1050" s="3" t="n"/>
      <c r="BC1050" s="3" t="n"/>
    </row>
    <row r="1051" ht="15" customHeight="1" s="174">
      <c r="A1051" s="3" t="inlineStr">
        <is>
          <t>5674188066</t>
        </is>
      </c>
      <c r="B1051" s="3" t="inlineStr">
        <is>
          <t>KNIGHT MAINTENANCE LLC</t>
        </is>
      </c>
      <c r="C1051" s="3" t="inlineStr">
        <is>
          <t>KNIGHT MAINTENANCE LLC</t>
        </is>
      </c>
      <c r="D1051" s="3" t="inlineStr">
        <is>
          <t>Open</t>
        </is>
      </c>
      <c r="E1051" s="23" t="n">
        <v>46231</v>
      </c>
      <c r="F1051" s="23" t="n">
        <v>46253</v>
      </c>
      <c r="G1051" s="3" t="n">
        <v>3</v>
      </c>
      <c r="H1051" s="3" t="inlineStr">
        <is>
          <t>7349</t>
        </is>
      </c>
      <c r="I1051" s="3" t="inlineStr">
        <is>
          <t>73</t>
        </is>
      </c>
      <c r="J1051" s="3" t="inlineStr">
        <is>
          <t>NJ</t>
        </is>
      </c>
      <c r="K1051" s="3" t="inlineStr">
        <is>
          <t>Triumph Cap Fund</t>
        </is>
      </c>
      <c r="L1051" s="3" t="inlineStr">
        <is>
          <t>Renewal</t>
        </is>
      </c>
      <c r="M1051" s="3" t="n">
        <v>1.49</v>
      </c>
      <c r="N1051" s="28" t="n">
        <v>35000</v>
      </c>
      <c r="O1051" s="28" t="n">
        <v>4900</v>
      </c>
      <c r="P1051" s="28" t="n">
        <v>52150</v>
      </c>
      <c r="Q1051" s="28" t="n">
        <v>6016.8</v>
      </c>
      <c r="R1051" s="28" t="n">
        <v>46133.2</v>
      </c>
      <c r="S1051" s="42" t="n">
        <v>0.115374880153404</v>
      </c>
      <c r="T1051" s="3" t="n">
        <v>4.262</v>
      </c>
      <c r="U1051" s="3" t="n">
        <v>1</v>
      </c>
      <c r="V1051" s="3" t="n">
        <v>56609.08</v>
      </c>
      <c r="W1051" s="42" t="n">
        <v>0.1488</v>
      </c>
      <c r="X1051" s="23" t="n">
        <v>42223</v>
      </c>
      <c r="Y1051" s="3">
        <f>IF(I1051="","No SIC",IFERROR(VLOOKUP(I1051,Ref!$A$2:$B$65,2,FALSE()),"Unclassified"))</f>
        <v/>
      </c>
      <c r="Z1051" s="3">
        <f>IF(T1051="","",IF(T1051&lt;12,"Daily","Weekly"))</f>
        <v/>
      </c>
      <c r="AA1051" s="3">
        <f>IF(T1051="",0,IF(T1051&lt;12,T1051*Controls!$B$13,T1051*5))</f>
        <v/>
      </c>
      <c r="AB1051" s="3">
        <f>IF(E1051="",0,NETWORKDAYS(E1051,Controls!$B$20,Ref!$K$2:$K$42))</f>
        <v/>
      </c>
      <c r="AC1051" s="3">
        <f>IF(OR(AF1051=1,AND(AA1051&gt;0,AB1051&gt;=Controls!$B$23*AA1051)),1,0)</f>
        <v/>
      </c>
      <c r="AD1051" s="3">
        <f>IF(AND(E1051&lt;&gt;"",E1051&gt;=Controls!$B$21,E1051&lt;=Controls!$B$22),1,0)</f>
        <v/>
      </c>
      <c r="AE1051" s="3">
        <f>IF(IFERROR(VLOOKUP(D1051,Controls!$A$36:$E$46,2,FALSE()),"No")="Yes",1,0)</f>
        <v/>
      </c>
      <c r="AF1051" s="3">
        <f>IF(IFERROR(VLOOKUP(D1051,Controls!$A$36:$E$46,3,FALSE()),"No")="Yes",1,0)</f>
        <v/>
      </c>
      <c r="AG1051" s="3">
        <f>IF(IFERROR(VLOOKUP(D1051,Controls!$A$36:$E$46,4,FALSE()),"No")="Yes",1,0)</f>
        <v/>
      </c>
      <c r="AH1051" s="3">
        <f>IF(IFERROR(VLOOKUP(D1051,Controls!$A$36:$E$46,5,FALSE()),"No")="Yes",1,0)</f>
        <v/>
      </c>
      <c r="AI1051" s="3">
        <f>IF(ISNUMBER(MATCH(D1051,Controls!$A$36:$A$46,0)),1,0)</f>
        <v/>
      </c>
      <c r="AJ1051" s="28">
        <f>Q1051-N1051</f>
        <v/>
      </c>
      <c r="AK1051" s="3">
        <f>IF(AE1051=1,MAX(0,N1051-Q1051),0)</f>
        <v/>
      </c>
      <c r="AL1051" s="3">
        <f>IF(OR(V1051="",V1051=0),0,N1051/V1051)</f>
        <v/>
      </c>
      <c r="AM1051" s="3">
        <f>IF(OR(V1051="",V1051=0),0,1)</f>
        <v/>
      </c>
      <c r="AN1051" s="3">
        <f>IF(OR(E1051="",F1051=""),0,NETWORKDAYS(E1051,F1051,Ref!$K$2:$K$42))</f>
        <v/>
      </c>
      <c r="AO1051" s="3">
        <f>IF(L1051="Renewal",1,0)</f>
        <v/>
      </c>
      <c r="AP1051" s="3">
        <f>AC1051*AD1051</f>
        <v/>
      </c>
      <c r="AQ1051" s="3">
        <f>IF(AND(G1051&lt;&gt;"",'Historical Score'!$C$6&lt;&gt;""),IF(G1051='Historical Score'!$C$6,1,0),0)</f>
        <v/>
      </c>
      <c r="AR1051" s="3">
        <f>IF(AND(L1051&lt;&gt;"",'Historical Score'!$C$5&lt;&gt;""),IF(L1051='Historical Score'!$C$5,1,0),0)</f>
        <v/>
      </c>
      <c r="AS1051" s="3">
        <f>IF(AND(Y1051&lt;&gt;"",'Historical Score'!$C$7&lt;&gt;""),IF(Y1051='Historical Score'!$C$7,1,0),0)</f>
        <v/>
      </c>
      <c r="AT1051" s="3">
        <f>IF(AND(K1051&lt;&gt;"",'Historical Score'!$C$8&lt;&gt;""),IF(K1051='Historical Score'!$C$8,1,0),0)</f>
        <v/>
      </c>
      <c r="AU1051" s="3" t="n"/>
      <c r="AV1051" s="3" t="n"/>
      <c r="AW1051" s="3" t="n"/>
      <c r="AX1051" s="3" t="n"/>
      <c r="AY1051" s="3" t="n"/>
      <c r="AZ1051" s="3" t="n"/>
      <c r="BA1051" s="182">
        <f>IF(AD1051=1,(AR1051*'Historical Score'!$K$29+1-'Historical Score'!$K$29)*(AT1051*'Historical Score'!$L$29+1-'Historical Score'!$L$29)*(AS1051*'Historical Score'!$M$29+1-'Historical Score'!$M$29)*(AQ1051*'Historical Score'!$N$29+1-'Historical Score'!$N$29),0)</f>
        <v/>
      </c>
      <c r="BB1051" s="3" t="n"/>
      <c r="BC1051" s="3" t="n"/>
    </row>
    <row r="1052" ht="15" customHeight="1" s="174">
      <c r="A1052" s="3" t="inlineStr">
        <is>
          <t>5674188067</t>
        </is>
      </c>
      <c r="B1052" s="3" t="inlineStr">
        <is>
          <t>RACING STABLES</t>
        </is>
      </c>
      <c r="C1052" s="3" t="inlineStr">
        <is>
          <t>JOHN ROACH</t>
        </is>
      </c>
      <c r="D1052" s="3" t="inlineStr">
        <is>
          <t>Open</t>
        </is>
      </c>
      <c r="E1052" s="23" t="n">
        <v>46231</v>
      </c>
      <c r="F1052" s="23" t="n">
        <v>46253</v>
      </c>
      <c r="G1052" s="3" t="n">
        <v>3</v>
      </c>
      <c r="H1052" s="3" t="inlineStr">
        <is>
          <t>7948</t>
        </is>
      </c>
      <c r="I1052" s="3" t="inlineStr">
        <is>
          <t>79</t>
        </is>
      </c>
      <c r="J1052" s="3" t="inlineStr">
        <is>
          <t>NC</t>
        </is>
      </c>
      <c r="K1052" s="3" t="inlineStr">
        <is>
          <t>Westwood</t>
        </is>
      </c>
      <c r="L1052" s="3" t="inlineStr">
        <is>
          <t>New Deal</t>
        </is>
      </c>
      <c r="M1052" s="3" t="n">
        <v>1.49</v>
      </c>
      <c r="N1052" s="28" t="n">
        <v>20000</v>
      </c>
      <c r="O1052" s="28" t="n">
        <v>2800</v>
      </c>
      <c r="P1052" s="28" t="n">
        <v>29800</v>
      </c>
      <c r="Q1052" s="28" t="n">
        <v>4635.54</v>
      </c>
      <c r="R1052" s="28" t="n">
        <v>25164.46</v>
      </c>
      <c r="S1052" s="42" t="n">
        <v>0.155555033557047</v>
      </c>
      <c r="T1052" s="3" t="n">
        <v>2.951</v>
      </c>
      <c r="U1052" s="3" t="n">
        <v>0</v>
      </c>
      <c r="V1052" s="3" t="n">
        <v>25516.76</v>
      </c>
      <c r="W1052" s="42" t="n">
        <v>0.2725</v>
      </c>
      <c r="X1052" s="23" t="n">
        <v>37147</v>
      </c>
      <c r="Y1052" s="3">
        <f>IF(I1052="","No SIC",IFERROR(VLOOKUP(I1052,Ref!$A$2:$B$65,2,FALSE()),"Unclassified"))</f>
        <v/>
      </c>
      <c r="Z1052" s="3">
        <f>IF(T1052="","",IF(T1052&lt;12,"Daily","Weekly"))</f>
        <v/>
      </c>
      <c r="AA1052" s="3">
        <f>IF(T1052="",0,IF(T1052&lt;12,T1052*Controls!$B$13,T1052*5))</f>
        <v/>
      </c>
      <c r="AB1052" s="3">
        <f>IF(E1052="",0,NETWORKDAYS(E1052,Controls!$B$20,Ref!$K$2:$K$42))</f>
        <v/>
      </c>
      <c r="AC1052" s="3">
        <f>IF(OR(AF1052=1,AND(AA1052&gt;0,AB1052&gt;=Controls!$B$23*AA1052)),1,0)</f>
        <v/>
      </c>
      <c r="AD1052" s="3">
        <f>IF(AND(E1052&lt;&gt;"",E1052&gt;=Controls!$B$21,E1052&lt;=Controls!$B$22),1,0)</f>
        <v/>
      </c>
      <c r="AE1052" s="3">
        <f>IF(IFERROR(VLOOKUP(D1052,Controls!$A$36:$E$46,2,FALSE()),"No")="Yes",1,0)</f>
        <v/>
      </c>
      <c r="AF1052" s="3">
        <f>IF(IFERROR(VLOOKUP(D1052,Controls!$A$36:$E$46,3,FALSE()),"No")="Yes",1,0)</f>
        <v/>
      </c>
      <c r="AG1052" s="3">
        <f>IF(IFERROR(VLOOKUP(D1052,Controls!$A$36:$E$46,4,FALSE()),"No")="Yes",1,0)</f>
        <v/>
      </c>
      <c r="AH1052" s="3">
        <f>IF(IFERROR(VLOOKUP(D1052,Controls!$A$36:$E$46,5,FALSE()),"No")="Yes",1,0)</f>
        <v/>
      </c>
      <c r="AI1052" s="3">
        <f>IF(ISNUMBER(MATCH(D1052,Controls!$A$36:$A$46,0)),1,0)</f>
        <v/>
      </c>
      <c r="AJ1052" s="28">
        <f>Q1052-N1052</f>
        <v/>
      </c>
      <c r="AK1052" s="3">
        <f>IF(AE1052=1,MAX(0,N1052-Q1052),0)</f>
        <v/>
      </c>
      <c r="AL1052" s="3">
        <f>IF(OR(V1052="",V1052=0),0,N1052/V1052)</f>
        <v/>
      </c>
      <c r="AM1052" s="3">
        <f>IF(OR(V1052="",V1052=0),0,1)</f>
        <v/>
      </c>
      <c r="AN1052" s="3">
        <f>IF(OR(E1052="",F1052=""),0,NETWORKDAYS(E1052,F1052,Ref!$K$2:$K$42))</f>
        <v/>
      </c>
      <c r="AO1052" s="3">
        <f>IF(L1052="Renewal",1,0)</f>
        <v/>
      </c>
      <c r="AP1052" s="3">
        <f>AC1052*AD1052</f>
        <v/>
      </c>
      <c r="AQ1052" s="3">
        <f>IF(AND(G1052&lt;&gt;"",'Historical Score'!$C$6&lt;&gt;""),IF(G1052='Historical Score'!$C$6,1,0),0)</f>
        <v/>
      </c>
      <c r="AR1052" s="3">
        <f>IF(AND(L1052&lt;&gt;"",'Historical Score'!$C$5&lt;&gt;""),IF(L1052='Historical Score'!$C$5,1,0),0)</f>
        <v/>
      </c>
      <c r="AS1052" s="3">
        <f>IF(AND(Y1052&lt;&gt;"",'Historical Score'!$C$7&lt;&gt;""),IF(Y1052='Historical Score'!$C$7,1,0),0)</f>
        <v/>
      </c>
      <c r="AT1052" s="3">
        <f>IF(AND(K1052&lt;&gt;"",'Historical Score'!$C$8&lt;&gt;""),IF(K1052='Historical Score'!$C$8,1,0),0)</f>
        <v/>
      </c>
      <c r="AU1052" s="3" t="n"/>
      <c r="AV1052" s="3" t="n"/>
      <c r="AW1052" s="3" t="n"/>
      <c r="AX1052" s="3" t="n"/>
      <c r="AY1052" s="3" t="n"/>
      <c r="AZ1052" s="3" t="n"/>
      <c r="BA1052" s="182">
        <f>IF(AD1052=1,(AR1052*'Historical Score'!$K$29+1-'Historical Score'!$K$29)*(AT1052*'Historical Score'!$L$29+1-'Historical Score'!$L$29)*(AS1052*'Historical Score'!$M$29+1-'Historical Score'!$M$29)*(AQ1052*'Historical Score'!$N$29+1-'Historical Score'!$N$29),0)</f>
        <v/>
      </c>
      <c r="BB1052" s="3" t="n"/>
      <c r="BC1052" s="3" t="n"/>
    </row>
    <row r="1053" ht="15" customHeight="1" s="174">
      <c r="A1053" s="3" t="inlineStr">
        <is>
          <t>5674188069</t>
        </is>
      </c>
      <c r="B1053" s="3" t="inlineStr">
        <is>
          <t>TRES JARDINES LLC</t>
        </is>
      </c>
      <c r="C1053" s="3" t="inlineStr">
        <is>
          <t>TRES JARDINES LLC</t>
        </is>
      </c>
      <c r="D1053" s="3" t="inlineStr">
        <is>
          <t>Open</t>
        </is>
      </c>
      <c r="E1053" s="23" t="n">
        <v>46231</v>
      </c>
      <c r="F1053" s="23" t="n">
        <v>46253</v>
      </c>
      <c r="G1053" s="3" t="n">
        <v>3</v>
      </c>
      <c r="H1053" s="3" t="inlineStr">
        <is>
          <t>5812</t>
        </is>
      </c>
      <c r="I1053" s="3" t="inlineStr">
        <is>
          <t>58</t>
        </is>
      </c>
      <c r="J1053" s="3" t="inlineStr">
        <is>
          <t>GA</t>
        </is>
      </c>
      <c r="K1053" s="3" t="inlineStr">
        <is>
          <t>secure way capital</t>
        </is>
      </c>
      <c r="L1053" s="3" t="inlineStr">
        <is>
          <t>Renewal</t>
        </is>
      </c>
      <c r="M1053" s="3" t="n">
        <v>1.49</v>
      </c>
      <c r="N1053" s="28" t="n">
        <v>20000</v>
      </c>
      <c r="O1053" s="28" t="n">
        <v>2800</v>
      </c>
      <c r="P1053" s="28" t="n">
        <v>29800</v>
      </c>
      <c r="Q1053" s="28" t="n">
        <v>4171.44</v>
      </c>
      <c r="R1053" s="28" t="n">
        <v>25628.56</v>
      </c>
      <c r="S1053" s="42" t="n">
        <v>0.139981208053691</v>
      </c>
      <c r="T1053" s="3" t="n">
        <v>3.279</v>
      </c>
      <c r="U1053" s="3" t="n">
        <v>0</v>
      </c>
      <c r="V1053" s="3" t="n">
        <v>32880.33</v>
      </c>
      <c r="W1053" s="42" t="n">
        <v>0.1903</v>
      </c>
      <c r="X1053" s="23" t="n">
        <v>44288</v>
      </c>
      <c r="Y1053" s="3">
        <f>IF(I1053="","No SIC",IFERROR(VLOOKUP(I1053,Ref!$A$2:$B$65,2,FALSE()),"Unclassified"))</f>
        <v/>
      </c>
      <c r="Z1053" s="3">
        <f>IF(T1053="","",IF(T1053&lt;12,"Daily","Weekly"))</f>
        <v/>
      </c>
      <c r="AA1053" s="3">
        <f>IF(T1053="",0,IF(T1053&lt;12,T1053*Controls!$B$13,T1053*5))</f>
        <v/>
      </c>
      <c r="AB1053" s="3">
        <f>IF(E1053="",0,NETWORKDAYS(E1053,Controls!$B$20,Ref!$K$2:$K$42))</f>
        <v/>
      </c>
      <c r="AC1053" s="3">
        <f>IF(OR(AF1053=1,AND(AA1053&gt;0,AB1053&gt;=Controls!$B$23*AA1053)),1,0)</f>
        <v/>
      </c>
      <c r="AD1053" s="3">
        <f>IF(AND(E1053&lt;&gt;"",E1053&gt;=Controls!$B$21,E1053&lt;=Controls!$B$22),1,0)</f>
        <v/>
      </c>
      <c r="AE1053" s="3">
        <f>IF(IFERROR(VLOOKUP(D1053,Controls!$A$36:$E$46,2,FALSE()),"No")="Yes",1,0)</f>
        <v/>
      </c>
      <c r="AF1053" s="3">
        <f>IF(IFERROR(VLOOKUP(D1053,Controls!$A$36:$E$46,3,FALSE()),"No")="Yes",1,0)</f>
        <v/>
      </c>
      <c r="AG1053" s="3">
        <f>IF(IFERROR(VLOOKUP(D1053,Controls!$A$36:$E$46,4,FALSE()),"No")="Yes",1,0)</f>
        <v/>
      </c>
      <c r="AH1053" s="3">
        <f>IF(IFERROR(VLOOKUP(D1053,Controls!$A$36:$E$46,5,FALSE()),"No")="Yes",1,0)</f>
        <v/>
      </c>
      <c r="AI1053" s="3">
        <f>IF(ISNUMBER(MATCH(D1053,Controls!$A$36:$A$46,0)),1,0)</f>
        <v/>
      </c>
      <c r="AJ1053" s="28">
        <f>Q1053-N1053</f>
        <v/>
      </c>
      <c r="AK1053" s="3">
        <f>IF(AE1053=1,MAX(0,N1053-Q1053),0)</f>
        <v/>
      </c>
      <c r="AL1053" s="3">
        <f>IF(OR(V1053="",V1053=0),0,N1053/V1053)</f>
        <v/>
      </c>
      <c r="AM1053" s="3">
        <f>IF(OR(V1053="",V1053=0),0,1)</f>
        <v/>
      </c>
      <c r="AN1053" s="3">
        <f>IF(OR(E1053="",F1053=""),0,NETWORKDAYS(E1053,F1053,Ref!$K$2:$K$42))</f>
        <v/>
      </c>
      <c r="AO1053" s="3">
        <f>IF(L1053="Renewal",1,0)</f>
        <v/>
      </c>
      <c r="AP1053" s="3">
        <f>AC1053*AD1053</f>
        <v/>
      </c>
      <c r="AQ1053" s="3">
        <f>IF(AND(G1053&lt;&gt;"",'Historical Score'!$C$6&lt;&gt;""),IF(G1053='Historical Score'!$C$6,1,0),0)</f>
        <v/>
      </c>
      <c r="AR1053" s="3">
        <f>IF(AND(L1053&lt;&gt;"",'Historical Score'!$C$5&lt;&gt;""),IF(L1053='Historical Score'!$C$5,1,0),0)</f>
        <v/>
      </c>
      <c r="AS1053" s="3">
        <f>IF(AND(Y1053&lt;&gt;"",'Historical Score'!$C$7&lt;&gt;""),IF(Y1053='Historical Score'!$C$7,1,0),0)</f>
        <v/>
      </c>
      <c r="AT1053" s="3">
        <f>IF(AND(K1053&lt;&gt;"",'Historical Score'!$C$8&lt;&gt;""),IF(K1053='Historical Score'!$C$8,1,0),0)</f>
        <v/>
      </c>
      <c r="AU1053" s="3" t="n"/>
      <c r="AV1053" s="3" t="n"/>
      <c r="AW1053" s="3" t="n"/>
      <c r="AX1053" s="3" t="n"/>
      <c r="AY1053" s="3" t="n"/>
      <c r="AZ1053" s="3" t="n"/>
      <c r="BA1053" s="182">
        <f>IF(AD1053=1,(AR1053*'Historical Score'!$K$29+1-'Historical Score'!$K$29)*(AT1053*'Historical Score'!$L$29+1-'Historical Score'!$L$29)*(AS1053*'Historical Score'!$M$29+1-'Historical Score'!$M$29)*(AQ1053*'Historical Score'!$N$29+1-'Historical Score'!$N$29),0)</f>
        <v/>
      </c>
      <c r="BB1053" s="3" t="n"/>
      <c r="BC1053" s="3" t="n"/>
    </row>
    <row r="1054" ht="15" customHeight="1" s="174">
      <c r="A1054" s="3" t="inlineStr">
        <is>
          <t>5674188104</t>
        </is>
      </c>
      <c r="B1054" s="3" t="inlineStr">
        <is>
          <t>AS ONE TRANSPORTATION</t>
        </is>
      </c>
      <c r="C1054" s="3" t="inlineStr">
        <is>
          <t>AS ONE TRANSPORTATION</t>
        </is>
      </c>
      <c r="D1054" s="3" t="inlineStr">
        <is>
          <t>Open</t>
        </is>
      </c>
      <c r="E1054" s="23" t="n">
        <v>46231</v>
      </c>
      <c r="F1054" s="23" t="n">
        <v>46248</v>
      </c>
      <c r="G1054" s="3" t="n">
        <v>3</v>
      </c>
      <c r="H1054" s="3" t="inlineStr">
        <is>
          <t>4212</t>
        </is>
      </c>
      <c r="I1054" s="3" t="inlineStr">
        <is>
          <t>42</t>
        </is>
      </c>
      <c r="J1054" s="3" t="inlineStr">
        <is>
          <t>MO</t>
        </is>
      </c>
      <c r="K1054" s="3" t="inlineStr">
        <is>
          <t>Westwood</t>
        </is>
      </c>
      <c r="L1054" s="3" t="inlineStr">
        <is>
          <t>Renewal</t>
        </is>
      </c>
      <c r="M1054" s="3" t="n">
        <v>1.4</v>
      </c>
      <c r="N1054" s="28" t="n">
        <v>35000</v>
      </c>
      <c r="O1054" s="28" t="n">
        <v>3325</v>
      </c>
      <c r="P1054" s="28" t="n">
        <v>49000</v>
      </c>
      <c r="Q1054" s="28" t="n">
        <v>5253.21</v>
      </c>
      <c r="R1054" s="28" t="n">
        <v>43746.79</v>
      </c>
      <c r="S1054" s="42" t="n">
        <v>0.107208367346939</v>
      </c>
      <c r="T1054" s="3" t="n">
        <v>28</v>
      </c>
      <c r="U1054" s="3" t="n">
        <v>0</v>
      </c>
      <c r="V1054" s="3" t="n">
        <v>99070.63</v>
      </c>
      <c r="W1054" s="42" t="n">
        <v>0.0707</v>
      </c>
      <c r="X1054" s="23" t="n">
        <v>44047</v>
      </c>
      <c r="Y1054" s="3">
        <f>IF(I1054="","No SIC",IFERROR(VLOOKUP(I1054,Ref!$A$2:$B$65,2,FALSE()),"Unclassified"))</f>
        <v/>
      </c>
      <c r="Z1054" s="3">
        <f>IF(T1054="","",IF(T1054&lt;12,"Daily","Weekly"))</f>
        <v/>
      </c>
      <c r="AA1054" s="3">
        <f>IF(T1054="",0,IF(T1054&lt;12,T1054*Controls!$B$13,T1054*5))</f>
        <v/>
      </c>
      <c r="AB1054" s="3">
        <f>IF(E1054="",0,NETWORKDAYS(E1054,Controls!$B$20,Ref!$K$2:$K$42))</f>
        <v/>
      </c>
      <c r="AC1054" s="3">
        <f>IF(OR(AF1054=1,AND(AA1054&gt;0,AB1054&gt;=Controls!$B$23*AA1054)),1,0)</f>
        <v/>
      </c>
      <c r="AD1054" s="3">
        <f>IF(AND(E1054&lt;&gt;"",E1054&gt;=Controls!$B$21,E1054&lt;=Controls!$B$22),1,0)</f>
        <v/>
      </c>
      <c r="AE1054" s="3">
        <f>IF(IFERROR(VLOOKUP(D1054,Controls!$A$36:$E$46,2,FALSE()),"No")="Yes",1,0)</f>
        <v/>
      </c>
      <c r="AF1054" s="3">
        <f>IF(IFERROR(VLOOKUP(D1054,Controls!$A$36:$E$46,3,FALSE()),"No")="Yes",1,0)</f>
        <v/>
      </c>
      <c r="AG1054" s="3">
        <f>IF(IFERROR(VLOOKUP(D1054,Controls!$A$36:$E$46,4,FALSE()),"No")="Yes",1,0)</f>
        <v/>
      </c>
      <c r="AH1054" s="3">
        <f>IF(IFERROR(VLOOKUP(D1054,Controls!$A$36:$E$46,5,FALSE()),"No")="Yes",1,0)</f>
        <v/>
      </c>
      <c r="AI1054" s="3">
        <f>IF(ISNUMBER(MATCH(D1054,Controls!$A$36:$A$46,0)),1,0)</f>
        <v/>
      </c>
      <c r="AJ1054" s="28">
        <f>Q1054-N1054</f>
        <v/>
      </c>
      <c r="AK1054" s="3">
        <f>IF(AE1054=1,MAX(0,N1054-Q1054),0)</f>
        <v/>
      </c>
      <c r="AL1054" s="3">
        <f>IF(OR(V1054="",V1054=0),0,N1054/V1054)</f>
        <v/>
      </c>
      <c r="AM1054" s="3">
        <f>IF(OR(V1054="",V1054=0),0,1)</f>
        <v/>
      </c>
      <c r="AN1054" s="3">
        <f>IF(OR(E1054="",F1054=""),0,NETWORKDAYS(E1054,F1054,Ref!$K$2:$K$42))</f>
        <v/>
      </c>
      <c r="AO1054" s="3">
        <f>IF(L1054="Renewal",1,0)</f>
        <v/>
      </c>
      <c r="AP1054" s="3">
        <f>AC1054*AD1054</f>
        <v/>
      </c>
      <c r="AQ1054" s="3">
        <f>IF(AND(G1054&lt;&gt;"",'Historical Score'!$C$6&lt;&gt;""),IF(G1054='Historical Score'!$C$6,1,0),0)</f>
        <v/>
      </c>
      <c r="AR1054" s="3">
        <f>IF(AND(L1054&lt;&gt;"",'Historical Score'!$C$5&lt;&gt;""),IF(L1054='Historical Score'!$C$5,1,0),0)</f>
        <v/>
      </c>
      <c r="AS1054" s="3">
        <f>IF(AND(Y1054&lt;&gt;"",'Historical Score'!$C$7&lt;&gt;""),IF(Y1054='Historical Score'!$C$7,1,0),0)</f>
        <v/>
      </c>
      <c r="AT1054" s="3">
        <f>IF(AND(K1054&lt;&gt;"",'Historical Score'!$C$8&lt;&gt;""),IF(K1054='Historical Score'!$C$8,1,0),0)</f>
        <v/>
      </c>
      <c r="AU1054" s="3" t="n"/>
      <c r="AV1054" s="3" t="n"/>
      <c r="AW1054" s="3" t="n"/>
      <c r="AX1054" s="3" t="n"/>
      <c r="AY1054" s="3" t="n"/>
      <c r="AZ1054" s="3" t="n"/>
      <c r="BA1054" s="182">
        <f>IF(AD1054=1,(AR1054*'Historical Score'!$K$29+1-'Historical Score'!$K$29)*(AT1054*'Historical Score'!$L$29+1-'Historical Score'!$L$29)*(AS1054*'Historical Score'!$M$29+1-'Historical Score'!$M$29)*(AQ1054*'Historical Score'!$N$29+1-'Historical Score'!$N$29),0)</f>
        <v/>
      </c>
      <c r="BB1054" s="3" t="n"/>
      <c r="BC1054" s="3" t="n"/>
    </row>
    <row r="1055" ht="15" customHeight="1" s="174">
      <c r="A1055" s="3" t="inlineStr">
        <is>
          <t>5674188122</t>
        </is>
      </c>
      <c r="B1055" s="3" t="inlineStr">
        <is>
          <t>MARTIN PALMER TOOL</t>
        </is>
      </c>
      <c r="C1055" s="3" t="inlineStr">
        <is>
          <t>EDFA LLC</t>
        </is>
      </c>
      <c r="D1055" s="3" t="inlineStr">
        <is>
          <t>Open</t>
        </is>
      </c>
      <c r="E1055" s="23" t="n">
        <v>46232</v>
      </c>
      <c r="F1055" s="23" t="n">
        <v>46252</v>
      </c>
      <c r="G1055" s="3" t="n">
        <v>3</v>
      </c>
      <c r="H1055" s="3" t="inlineStr">
        <is>
          <t>3544</t>
        </is>
      </c>
      <c r="I1055" s="3" t="inlineStr">
        <is>
          <t>35</t>
        </is>
      </c>
      <c r="J1055" s="3" t="inlineStr">
        <is>
          <t>OH</t>
        </is>
      </c>
      <c r="K1055" s="3" t="inlineStr">
        <is>
          <t>PMF</t>
        </is>
      </c>
      <c r="L1055" s="3" t="inlineStr">
        <is>
          <t>Renewal</t>
        </is>
      </c>
      <c r="M1055" s="3" t="n">
        <v>1.49</v>
      </c>
      <c r="N1055" s="28" t="n">
        <v>300000</v>
      </c>
      <c r="O1055" s="28" t="n">
        <v>42000</v>
      </c>
      <c r="P1055" s="28" t="n">
        <v>447000</v>
      </c>
      <c r="Q1055" s="28" t="n">
        <v>47888.34</v>
      </c>
      <c r="R1055" s="28" t="n">
        <v>399111.66</v>
      </c>
      <c r="S1055" s="42" t="n">
        <v>0.107132751677852</v>
      </c>
      <c r="T1055" s="3" t="n">
        <v>28</v>
      </c>
      <c r="U1055" s="3" t="n">
        <v>0</v>
      </c>
      <c r="V1055" s="3" t="n">
        <v>159987.75</v>
      </c>
      <c r="W1055" s="42" t="n">
        <v>0.3991</v>
      </c>
      <c r="X1055" s="23" t="n">
        <v>43693</v>
      </c>
      <c r="Y1055" s="3">
        <f>IF(I1055="","No SIC",IFERROR(VLOOKUP(I1055,Ref!$A$2:$B$65,2,FALSE()),"Unclassified"))</f>
        <v/>
      </c>
      <c r="Z1055" s="3">
        <f>IF(T1055="","",IF(T1055&lt;12,"Daily","Weekly"))</f>
        <v/>
      </c>
      <c r="AA1055" s="3">
        <f>IF(T1055="",0,IF(T1055&lt;12,T1055*Controls!$B$13,T1055*5))</f>
        <v/>
      </c>
      <c r="AB1055" s="3">
        <f>IF(E1055="",0,NETWORKDAYS(E1055,Controls!$B$20,Ref!$K$2:$K$42))</f>
        <v/>
      </c>
      <c r="AC1055" s="3">
        <f>IF(OR(AF1055=1,AND(AA1055&gt;0,AB1055&gt;=Controls!$B$23*AA1055)),1,0)</f>
        <v/>
      </c>
      <c r="AD1055" s="3">
        <f>IF(AND(E1055&lt;&gt;"",E1055&gt;=Controls!$B$21,E1055&lt;=Controls!$B$22),1,0)</f>
        <v/>
      </c>
      <c r="AE1055" s="3">
        <f>IF(IFERROR(VLOOKUP(D1055,Controls!$A$36:$E$46,2,FALSE()),"No")="Yes",1,0)</f>
        <v/>
      </c>
      <c r="AF1055" s="3">
        <f>IF(IFERROR(VLOOKUP(D1055,Controls!$A$36:$E$46,3,FALSE()),"No")="Yes",1,0)</f>
        <v/>
      </c>
      <c r="AG1055" s="3">
        <f>IF(IFERROR(VLOOKUP(D1055,Controls!$A$36:$E$46,4,FALSE()),"No")="Yes",1,0)</f>
        <v/>
      </c>
      <c r="AH1055" s="3">
        <f>IF(IFERROR(VLOOKUP(D1055,Controls!$A$36:$E$46,5,FALSE()),"No")="Yes",1,0)</f>
        <v/>
      </c>
      <c r="AI1055" s="3">
        <f>IF(ISNUMBER(MATCH(D1055,Controls!$A$36:$A$46,0)),1,0)</f>
        <v/>
      </c>
      <c r="AJ1055" s="28">
        <f>Q1055-N1055</f>
        <v/>
      </c>
      <c r="AK1055" s="3">
        <f>IF(AE1055=1,MAX(0,N1055-Q1055),0)</f>
        <v/>
      </c>
      <c r="AL1055" s="3">
        <f>IF(OR(V1055="",V1055=0),0,N1055/V1055)</f>
        <v/>
      </c>
      <c r="AM1055" s="3">
        <f>IF(OR(V1055="",V1055=0),0,1)</f>
        <v/>
      </c>
      <c r="AN1055" s="3">
        <f>IF(OR(E1055="",F1055=""),0,NETWORKDAYS(E1055,F1055,Ref!$K$2:$K$42))</f>
        <v/>
      </c>
      <c r="AO1055" s="3">
        <f>IF(L1055="Renewal",1,0)</f>
        <v/>
      </c>
      <c r="AP1055" s="3">
        <f>AC1055*AD1055</f>
        <v/>
      </c>
      <c r="AQ1055" s="3">
        <f>IF(AND(G1055&lt;&gt;"",'Historical Score'!$C$6&lt;&gt;""),IF(G1055='Historical Score'!$C$6,1,0),0)</f>
        <v/>
      </c>
      <c r="AR1055" s="3">
        <f>IF(AND(L1055&lt;&gt;"",'Historical Score'!$C$5&lt;&gt;""),IF(L1055='Historical Score'!$C$5,1,0),0)</f>
        <v/>
      </c>
      <c r="AS1055" s="3">
        <f>IF(AND(Y1055&lt;&gt;"",'Historical Score'!$C$7&lt;&gt;""),IF(Y1055='Historical Score'!$C$7,1,0),0)</f>
        <v/>
      </c>
      <c r="AT1055" s="3">
        <f>IF(AND(K1055&lt;&gt;"",'Historical Score'!$C$8&lt;&gt;""),IF(K1055='Historical Score'!$C$8,1,0),0)</f>
        <v/>
      </c>
      <c r="AU1055" s="3" t="n"/>
      <c r="AV1055" s="3" t="n"/>
      <c r="AW1055" s="3" t="n"/>
      <c r="AX1055" s="3" t="n"/>
      <c r="AY1055" s="3" t="n"/>
      <c r="AZ1055" s="3" t="n"/>
      <c r="BA1055" s="182">
        <f>IF(AD1055=1,(AR1055*'Historical Score'!$K$29+1-'Historical Score'!$K$29)*(AT1055*'Historical Score'!$L$29+1-'Historical Score'!$L$29)*(AS1055*'Historical Score'!$M$29+1-'Historical Score'!$M$29)*(AQ1055*'Historical Score'!$N$29+1-'Historical Score'!$N$29),0)</f>
        <v/>
      </c>
      <c r="BB1055" s="3" t="n"/>
      <c r="BC1055" s="3" t="n"/>
    </row>
    <row r="1056" ht="15" customHeight="1" s="174">
      <c r="A1056" s="3" t="inlineStr">
        <is>
          <t>5674188123</t>
        </is>
      </c>
      <c r="B1056" s="3" t="inlineStr">
        <is>
          <t>Kelly Logging Nelson W Sayre</t>
        </is>
      </c>
      <c r="C1056" s="3" t="inlineStr">
        <is>
          <t>Kelly Logging Nelson W Sayre</t>
        </is>
      </c>
      <c r="D1056" s="3" t="inlineStr">
        <is>
          <t>Open</t>
        </is>
      </c>
      <c r="E1056" s="23" t="n">
        <v>46232</v>
      </c>
      <c r="F1056" s="23" t="n">
        <v>46248</v>
      </c>
      <c r="G1056" s="3" t="n">
        <v>3</v>
      </c>
      <c r="H1056" s="3" t="inlineStr">
        <is>
          <t>5031</t>
        </is>
      </c>
      <c r="I1056" s="3" t="inlineStr">
        <is>
          <t>50</t>
        </is>
      </c>
      <c r="J1056" s="3" t="inlineStr">
        <is>
          <t>WV</t>
        </is>
      </c>
      <c r="K1056" s="3" t="inlineStr">
        <is>
          <t>United Secured Capital 8</t>
        </is>
      </c>
      <c r="L1056" s="3" t="inlineStr">
        <is>
          <t>New Deal</t>
        </is>
      </c>
      <c r="M1056" s="3" t="n">
        <v>1.47</v>
      </c>
      <c r="N1056" s="28" t="n">
        <v>25000</v>
      </c>
      <c r="O1056" s="28" t="n">
        <v>2750</v>
      </c>
      <c r="P1056" s="28" t="n">
        <v>36750</v>
      </c>
      <c r="Q1056" s="28" t="n">
        <v>3062.4</v>
      </c>
      <c r="R1056" s="28" t="n">
        <v>33687.6</v>
      </c>
      <c r="S1056" s="42" t="n">
        <v>0.083330612244898</v>
      </c>
      <c r="T1056" s="3" t="n">
        <v>24</v>
      </c>
      <c r="U1056" s="3" t="n">
        <v>0</v>
      </c>
      <c r="V1056" s="3" t="n">
        <v>65000</v>
      </c>
      <c r="W1056" s="42" t="n">
        <v>0.1276</v>
      </c>
      <c r="X1056" s="23" t="n">
        <v>42370</v>
      </c>
      <c r="Y1056" s="3">
        <f>IF(I1056="","No SIC",IFERROR(VLOOKUP(I1056,Ref!$A$2:$B$65,2,FALSE()),"Unclassified"))</f>
        <v/>
      </c>
      <c r="Z1056" s="3">
        <f>IF(T1056="","",IF(T1056&lt;12,"Daily","Weekly"))</f>
        <v/>
      </c>
      <c r="AA1056" s="3">
        <f>IF(T1056="",0,IF(T1056&lt;12,T1056*Controls!$B$13,T1056*5))</f>
        <v/>
      </c>
      <c r="AB1056" s="3">
        <f>IF(E1056="",0,NETWORKDAYS(E1056,Controls!$B$20,Ref!$K$2:$K$42))</f>
        <v/>
      </c>
      <c r="AC1056" s="3">
        <f>IF(OR(AF1056=1,AND(AA1056&gt;0,AB1056&gt;=Controls!$B$23*AA1056)),1,0)</f>
        <v/>
      </c>
      <c r="AD1056" s="3">
        <f>IF(AND(E1056&lt;&gt;"",E1056&gt;=Controls!$B$21,E1056&lt;=Controls!$B$22),1,0)</f>
        <v/>
      </c>
      <c r="AE1056" s="3">
        <f>IF(IFERROR(VLOOKUP(D1056,Controls!$A$36:$E$46,2,FALSE()),"No")="Yes",1,0)</f>
        <v/>
      </c>
      <c r="AF1056" s="3">
        <f>IF(IFERROR(VLOOKUP(D1056,Controls!$A$36:$E$46,3,FALSE()),"No")="Yes",1,0)</f>
        <v/>
      </c>
      <c r="AG1056" s="3">
        <f>IF(IFERROR(VLOOKUP(D1056,Controls!$A$36:$E$46,4,FALSE()),"No")="Yes",1,0)</f>
        <v/>
      </c>
      <c r="AH1056" s="3">
        <f>IF(IFERROR(VLOOKUP(D1056,Controls!$A$36:$E$46,5,FALSE()),"No")="Yes",1,0)</f>
        <v/>
      </c>
      <c r="AI1056" s="3">
        <f>IF(ISNUMBER(MATCH(D1056,Controls!$A$36:$A$46,0)),1,0)</f>
        <v/>
      </c>
      <c r="AJ1056" s="28">
        <f>Q1056-N1056</f>
        <v/>
      </c>
      <c r="AK1056" s="3">
        <f>IF(AE1056=1,MAX(0,N1056-Q1056),0)</f>
        <v/>
      </c>
      <c r="AL1056" s="3">
        <f>IF(OR(V1056="",V1056=0),0,N1056/V1056)</f>
        <v/>
      </c>
      <c r="AM1056" s="3">
        <f>IF(OR(V1056="",V1056=0),0,1)</f>
        <v/>
      </c>
      <c r="AN1056" s="3">
        <f>IF(OR(E1056="",F1056=""),0,NETWORKDAYS(E1056,F1056,Ref!$K$2:$K$42))</f>
        <v/>
      </c>
      <c r="AO1056" s="3">
        <f>IF(L1056="Renewal",1,0)</f>
        <v/>
      </c>
      <c r="AP1056" s="3">
        <f>AC1056*AD1056</f>
        <v/>
      </c>
      <c r="AQ1056" s="3">
        <f>IF(AND(G1056&lt;&gt;"",'Historical Score'!$C$6&lt;&gt;""),IF(G1056='Historical Score'!$C$6,1,0),0)</f>
        <v/>
      </c>
      <c r="AR1056" s="3">
        <f>IF(AND(L1056&lt;&gt;"",'Historical Score'!$C$5&lt;&gt;""),IF(L1056='Historical Score'!$C$5,1,0),0)</f>
        <v/>
      </c>
      <c r="AS1056" s="3">
        <f>IF(AND(Y1056&lt;&gt;"",'Historical Score'!$C$7&lt;&gt;""),IF(Y1056='Historical Score'!$C$7,1,0),0)</f>
        <v/>
      </c>
      <c r="AT1056" s="3">
        <f>IF(AND(K1056&lt;&gt;"",'Historical Score'!$C$8&lt;&gt;""),IF(K1056='Historical Score'!$C$8,1,0),0)</f>
        <v/>
      </c>
      <c r="AU1056" s="3" t="n"/>
      <c r="AV1056" s="3" t="n"/>
      <c r="AW1056" s="3" t="n"/>
      <c r="AX1056" s="3" t="n"/>
      <c r="AY1056" s="3" t="n"/>
      <c r="AZ1056" s="3" t="n"/>
      <c r="BA1056" s="182">
        <f>IF(AD1056=1,(AR1056*'Historical Score'!$K$29+1-'Historical Score'!$K$29)*(AT1056*'Historical Score'!$L$29+1-'Historical Score'!$L$29)*(AS1056*'Historical Score'!$M$29+1-'Historical Score'!$M$29)*(AQ1056*'Historical Score'!$N$29+1-'Historical Score'!$N$29),0)</f>
        <v/>
      </c>
      <c r="BB1056" s="3" t="n"/>
      <c r="BC1056" s="3" t="n"/>
    </row>
    <row r="1057" ht="15" customHeight="1" s="174">
      <c r="A1057" s="3" t="inlineStr">
        <is>
          <t>5674188131</t>
        </is>
      </c>
      <c r="B1057" s="3" t="inlineStr">
        <is>
          <t>MYERS AUTO DIESEL SERVICE</t>
        </is>
      </c>
      <c r="C1057" s="3" t="inlineStr">
        <is>
          <t>KEVIN G MYERS DBA MYERS AUTO DIESEL SERVICE</t>
        </is>
      </c>
      <c r="D1057" s="3" t="inlineStr">
        <is>
          <t>Open</t>
        </is>
      </c>
      <c r="E1057" s="23" t="n">
        <v>46232</v>
      </c>
      <c r="F1057" s="23" t="n">
        <v>46253</v>
      </c>
      <c r="G1057" s="3" t="n">
        <v>3</v>
      </c>
      <c r="H1057" s="3" t="inlineStr">
        <is>
          <t>7539</t>
        </is>
      </c>
      <c r="I1057" s="3" t="inlineStr">
        <is>
          <t>75</t>
        </is>
      </c>
      <c r="J1057" s="3" t="inlineStr">
        <is>
          <t>TX</t>
        </is>
      </c>
      <c r="K1057" s="3" t="inlineStr">
        <is>
          <t>Tier one</t>
        </is>
      </c>
      <c r="L1057" s="3" t="inlineStr">
        <is>
          <t>New Deal</t>
        </is>
      </c>
      <c r="M1057" s="3" t="n">
        <v>1.39</v>
      </c>
      <c r="N1057" s="28" t="n">
        <v>15000</v>
      </c>
      <c r="O1057" s="28" t="n">
        <v>1350</v>
      </c>
      <c r="P1057" s="28" t="n">
        <v>20850</v>
      </c>
      <c r="Q1057" s="28" t="n">
        <v>2221.6</v>
      </c>
      <c r="R1057" s="28" t="n">
        <v>18628.4</v>
      </c>
      <c r="S1057" s="42" t="n">
        <v>0.106551558752998</v>
      </c>
      <c r="T1057" s="3" t="n">
        <v>4.918</v>
      </c>
      <c r="U1057" s="3" t="n">
        <v>0</v>
      </c>
      <c r="V1057" s="3" t="n">
        <v>71993.75999999999</v>
      </c>
      <c r="W1057" s="42" t="n">
        <v>0.0405</v>
      </c>
      <c r="X1057" s="23" t="n">
        <v>44057</v>
      </c>
      <c r="Y1057" s="3">
        <f>IF(I1057="","No SIC",IFERROR(VLOOKUP(I1057,Ref!$A$2:$B$65,2,FALSE()),"Unclassified"))</f>
        <v/>
      </c>
      <c r="Z1057" s="3">
        <f>IF(T1057="","",IF(T1057&lt;12,"Daily","Weekly"))</f>
        <v/>
      </c>
      <c r="AA1057" s="3">
        <f>IF(T1057="",0,IF(T1057&lt;12,T1057*Controls!$B$13,T1057*5))</f>
        <v/>
      </c>
      <c r="AB1057" s="3">
        <f>IF(E1057="",0,NETWORKDAYS(E1057,Controls!$B$20,Ref!$K$2:$K$42))</f>
        <v/>
      </c>
      <c r="AC1057" s="3">
        <f>IF(OR(AF1057=1,AND(AA1057&gt;0,AB1057&gt;=Controls!$B$23*AA1057)),1,0)</f>
        <v/>
      </c>
      <c r="AD1057" s="3">
        <f>IF(AND(E1057&lt;&gt;"",E1057&gt;=Controls!$B$21,E1057&lt;=Controls!$B$22),1,0)</f>
        <v/>
      </c>
      <c r="AE1057" s="3">
        <f>IF(IFERROR(VLOOKUP(D1057,Controls!$A$36:$E$46,2,FALSE()),"No")="Yes",1,0)</f>
        <v/>
      </c>
      <c r="AF1057" s="3">
        <f>IF(IFERROR(VLOOKUP(D1057,Controls!$A$36:$E$46,3,FALSE()),"No")="Yes",1,0)</f>
        <v/>
      </c>
      <c r="AG1057" s="3">
        <f>IF(IFERROR(VLOOKUP(D1057,Controls!$A$36:$E$46,4,FALSE()),"No")="Yes",1,0)</f>
        <v/>
      </c>
      <c r="AH1057" s="3">
        <f>IF(IFERROR(VLOOKUP(D1057,Controls!$A$36:$E$46,5,FALSE()),"No")="Yes",1,0)</f>
        <v/>
      </c>
      <c r="AI1057" s="3">
        <f>IF(ISNUMBER(MATCH(D1057,Controls!$A$36:$A$46,0)),1,0)</f>
        <v/>
      </c>
      <c r="AJ1057" s="28">
        <f>Q1057-N1057</f>
        <v/>
      </c>
      <c r="AK1057" s="3">
        <f>IF(AE1057=1,MAX(0,N1057-Q1057),0)</f>
        <v/>
      </c>
      <c r="AL1057" s="3">
        <f>IF(OR(V1057="",V1057=0),0,N1057/V1057)</f>
        <v/>
      </c>
      <c r="AM1057" s="3">
        <f>IF(OR(V1057="",V1057=0),0,1)</f>
        <v/>
      </c>
      <c r="AN1057" s="3">
        <f>IF(OR(E1057="",F1057=""),0,NETWORKDAYS(E1057,F1057,Ref!$K$2:$K$42))</f>
        <v/>
      </c>
      <c r="AO1057" s="3">
        <f>IF(L1057="Renewal",1,0)</f>
        <v/>
      </c>
      <c r="AP1057" s="3">
        <f>AC1057*AD1057</f>
        <v/>
      </c>
      <c r="AQ1057" s="3">
        <f>IF(AND(G1057&lt;&gt;"",'Historical Score'!$C$6&lt;&gt;""),IF(G1057='Historical Score'!$C$6,1,0),0)</f>
        <v/>
      </c>
      <c r="AR1057" s="3">
        <f>IF(AND(L1057&lt;&gt;"",'Historical Score'!$C$5&lt;&gt;""),IF(L1057='Historical Score'!$C$5,1,0),0)</f>
        <v/>
      </c>
      <c r="AS1057" s="3">
        <f>IF(AND(Y1057&lt;&gt;"",'Historical Score'!$C$7&lt;&gt;""),IF(Y1057='Historical Score'!$C$7,1,0),0)</f>
        <v/>
      </c>
      <c r="AT1057" s="3">
        <f>IF(AND(K1057&lt;&gt;"",'Historical Score'!$C$8&lt;&gt;""),IF(K1057='Historical Score'!$C$8,1,0),0)</f>
        <v/>
      </c>
      <c r="AU1057" s="3" t="n"/>
      <c r="AV1057" s="3" t="n"/>
      <c r="AW1057" s="3" t="n"/>
      <c r="AX1057" s="3" t="n"/>
      <c r="AY1057" s="3" t="n"/>
      <c r="AZ1057" s="3" t="n"/>
      <c r="BA1057" s="182">
        <f>IF(AD1057=1,(AR1057*'Historical Score'!$K$29+1-'Historical Score'!$K$29)*(AT1057*'Historical Score'!$L$29+1-'Historical Score'!$L$29)*(AS1057*'Historical Score'!$M$29+1-'Historical Score'!$M$29)*(AQ1057*'Historical Score'!$N$29+1-'Historical Score'!$N$29),0)</f>
        <v/>
      </c>
      <c r="BB1057" s="3" t="n"/>
      <c r="BC1057" s="3" t="n"/>
    </row>
    <row r="1058" ht="15" customHeight="1" s="174">
      <c r="A1058" s="3" t="inlineStr">
        <is>
          <t>5674188137</t>
        </is>
      </c>
      <c r="B1058" s="3" t="inlineStr">
        <is>
          <t>Peridot Medical Group Corp</t>
        </is>
      </c>
      <c r="C1058" s="3" t="inlineStr">
        <is>
          <t>Peridot Medical Group Corp</t>
        </is>
      </c>
      <c r="D1058" s="3" t="inlineStr">
        <is>
          <t>Open</t>
        </is>
      </c>
      <c r="E1058" s="23" t="n">
        <v>46232</v>
      </c>
      <c r="F1058" s="23" t="n">
        <v>46252</v>
      </c>
      <c r="G1058" s="3" t="n">
        <v>2</v>
      </c>
      <c r="H1058" s="3" t="inlineStr">
        <is>
          <t>5999</t>
        </is>
      </c>
      <c r="I1058" s="3" t="inlineStr">
        <is>
          <t>59</t>
        </is>
      </c>
      <c r="J1058" s="3" t="inlineStr">
        <is>
          <t>FL</t>
        </is>
      </c>
      <c r="K1058" s="3" t="inlineStr">
        <is>
          <t>PMF</t>
        </is>
      </c>
      <c r="L1058" s="3" t="inlineStr">
        <is>
          <t>New Deal</t>
        </is>
      </c>
      <c r="M1058" s="3" t="n">
        <v>1.34</v>
      </c>
      <c r="N1058" s="28" t="n">
        <v>150000</v>
      </c>
      <c r="O1058" s="28" t="n">
        <v>9000</v>
      </c>
      <c r="P1058" s="28" t="n">
        <v>201000</v>
      </c>
      <c r="Q1058" s="28" t="n">
        <v>15074.34</v>
      </c>
      <c r="R1058" s="28" t="n">
        <v>185925.66</v>
      </c>
      <c r="S1058" s="42" t="n">
        <v>0.0749967164179105</v>
      </c>
      <c r="T1058" s="3" t="n">
        <v>40</v>
      </c>
      <c r="U1058" s="3" t="n">
        <v>0</v>
      </c>
      <c r="V1058" s="3" t="n">
        <v>251553.44</v>
      </c>
      <c r="W1058" s="42" t="n">
        <v>0.0799</v>
      </c>
      <c r="X1058" s="23" t="n">
        <v>41045</v>
      </c>
      <c r="Y1058" s="3">
        <f>IF(I1058="","No SIC",IFERROR(VLOOKUP(I1058,Ref!$A$2:$B$65,2,FALSE()),"Unclassified"))</f>
        <v/>
      </c>
      <c r="Z1058" s="3">
        <f>IF(T1058="","",IF(T1058&lt;12,"Daily","Weekly"))</f>
        <v/>
      </c>
      <c r="AA1058" s="3">
        <f>IF(T1058="",0,IF(T1058&lt;12,T1058*Controls!$B$13,T1058*5))</f>
        <v/>
      </c>
      <c r="AB1058" s="3">
        <f>IF(E1058="",0,NETWORKDAYS(E1058,Controls!$B$20,Ref!$K$2:$K$42))</f>
        <v/>
      </c>
      <c r="AC1058" s="3">
        <f>IF(OR(AF1058=1,AND(AA1058&gt;0,AB1058&gt;=Controls!$B$23*AA1058)),1,0)</f>
        <v/>
      </c>
      <c r="AD1058" s="3">
        <f>IF(AND(E1058&lt;&gt;"",E1058&gt;=Controls!$B$21,E1058&lt;=Controls!$B$22),1,0)</f>
        <v/>
      </c>
      <c r="AE1058" s="3">
        <f>IF(IFERROR(VLOOKUP(D1058,Controls!$A$36:$E$46,2,FALSE()),"No")="Yes",1,0)</f>
        <v/>
      </c>
      <c r="AF1058" s="3">
        <f>IF(IFERROR(VLOOKUP(D1058,Controls!$A$36:$E$46,3,FALSE()),"No")="Yes",1,0)</f>
        <v/>
      </c>
      <c r="AG1058" s="3">
        <f>IF(IFERROR(VLOOKUP(D1058,Controls!$A$36:$E$46,4,FALSE()),"No")="Yes",1,0)</f>
        <v/>
      </c>
      <c r="AH1058" s="3">
        <f>IF(IFERROR(VLOOKUP(D1058,Controls!$A$36:$E$46,5,FALSE()),"No")="Yes",1,0)</f>
        <v/>
      </c>
      <c r="AI1058" s="3">
        <f>IF(ISNUMBER(MATCH(D1058,Controls!$A$36:$A$46,0)),1,0)</f>
        <v/>
      </c>
      <c r="AJ1058" s="28">
        <f>Q1058-N1058</f>
        <v/>
      </c>
      <c r="AK1058" s="3">
        <f>IF(AE1058=1,MAX(0,N1058-Q1058),0)</f>
        <v/>
      </c>
      <c r="AL1058" s="3">
        <f>IF(OR(V1058="",V1058=0),0,N1058/V1058)</f>
        <v/>
      </c>
      <c r="AM1058" s="3">
        <f>IF(OR(V1058="",V1058=0),0,1)</f>
        <v/>
      </c>
      <c r="AN1058" s="3">
        <f>IF(OR(E1058="",F1058=""),0,NETWORKDAYS(E1058,F1058,Ref!$K$2:$K$42))</f>
        <v/>
      </c>
      <c r="AO1058" s="3">
        <f>IF(L1058="Renewal",1,0)</f>
        <v/>
      </c>
      <c r="AP1058" s="3">
        <f>AC1058*AD1058</f>
        <v/>
      </c>
      <c r="AQ1058" s="3">
        <f>IF(AND(G1058&lt;&gt;"",'Historical Score'!$C$6&lt;&gt;""),IF(G1058='Historical Score'!$C$6,1,0),0)</f>
        <v/>
      </c>
      <c r="AR1058" s="3">
        <f>IF(AND(L1058&lt;&gt;"",'Historical Score'!$C$5&lt;&gt;""),IF(L1058='Historical Score'!$C$5,1,0),0)</f>
        <v/>
      </c>
      <c r="AS1058" s="3">
        <f>IF(AND(Y1058&lt;&gt;"",'Historical Score'!$C$7&lt;&gt;""),IF(Y1058='Historical Score'!$C$7,1,0),0)</f>
        <v/>
      </c>
      <c r="AT1058" s="3">
        <f>IF(AND(K1058&lt;&gt;"",'Historical Score'!$C$8&lt;&gt;""),IF(K1058='Historical Score'!$C$8,1,0),0)</f>
        <v/>
      </c>
      <c r="AU1058" s="3" t="n"/>
      <c r="AV1058" s="3" t="n"/>
      <c r="AW1058" s="3" t="n"/>
      <c r="AX1058" s="3" t="n"/>
      <c r="AY1058" s="3" t="n"/>
      <c r="AZ1058" s="3" t="n"/>
      <c r="BA1058" s="182">
        <f>IF(AD1058=1,(AR1058*'Historical Score'!$K$29+1-'Historical Score'!$K$29)*(AT1058*'Historical Score'!$L$29+1-'Historical Score'!$L$29)*(AS1058*'Historical Score'!$M$29+1-'Historical Score'!$M$29)*(AQ1058*'Historical Score'!$N$29+1-'Historical Score'!$N$29),0)</f>
        <v/>
      </c>
      <c r="BB1058" s="3" t="n"/>
      <c r="BC1058" s="3" t="n"/>
    </row>
    <row r="1059" ht="15" customHeight="1" s="174">
      <c r="A1059" s="3" t="inlineStr">
        <is>
          <t>5674188177</t>
        </is>
      </c>
      <c r="B1059" s="3" t="inlineStr">
        <is>
          <t>GBS WORLDWIDE</t>
        </is>
      </c>
      <c r="C1059" s="3" t="inlineStr">
        <is>
          <t>GBS WORLDWIDE INC.</t>
        </is>
      </c>
      <c r="D1059" s="3" t="inlineStr">
        <is>
          <t>Open</t>
        </is>
      </c>
      <c r="E1059" s="23" t="n">
        <v>46232</v>
      </c>
      <c r="F1059" s="23" t="n">
        <v>46247</v>
      </c>
      <c r="G1059" s="3" t="n">
        <v>2</v>
      </c>
      <c r="H1059" s="3" t="inlineStr">
        <is>
          <t>8748</t>
        </is>
      </c>
      <c r="I1059" s="3" t="inlineStr">
        <is>
          <t>87</t>
        </is>
      </c>
      <c r="J1059" s="3" t="inlineStr">
        <is>
          <t>MO</t>
        </is>
      </c>
      <c r="K1059" s="3" t="inlineStr">
        <is>
          <t>PMF</t>
        </is>
      </c>
      <c r="L1059" s="3" t="inlineStr">
        <is>
          <t>New Deal</t>
        </is>
      </c>
      <c r="M1059" s="3" t="n">
        <v>1.49</v>
      </c>
      <c r="N1059" s="28" t="n">
        <v>100000</v>
      </c>
      <c r="O1059" s="28" t="n">
        <v>14000</v>
      </c>
      <c r="P1059" s="28" t="n">
        <v>149000</v>
      </c>
      <c r="Q1059" s="28" t="n">
        <v>7640.26</v>
      </c>
      <c r="R1059" s="28" t="n">
        <v>141359.74</v>
      </c>
      <c r="S1059" s="42" t="n">
        <v>0.0512769127516779</v>
      </c>
      <c r="T1059" s="3" t="n">
        <v>39</v>
      </c>
      <c r="U1059" s="3" t="n">
        <v>0</v>
      </c>
      <c r="V1059" s="3" t="n">
        <v>172893.68</v>
      </c>
      <c r="W1059" s="42" t="n">
        <v>0.053</v>
      </c>
      <c r="X1059" s="23" t="n">
        <v>44298</v>
      </c>
      <c r="Y1059" s="3">
        <f>IF(I1059="","No SIC",IFERROR(VLOOKUP(I1059,Ref!$A$2:$B$65,2,FALSE()),"Unclassified"))</f>
        <v/>
      </c>
      <c r="Z1059" s="3">
        <f>IF(T1059="","",IF(T1059&lt;12,"Daily","Weekly"))</f>
        <v/>
      </c>
      <c r="AA1059" s="3">
        <f>IF(T1059="",0,IF(T1059&lt;12,T1059*Controls!$B$13,T1059*5))</f>
        <v/>
      </c>
      <c r="AB1059" s="3">
        <f>IF(E1059="",0,NETWORKDAYS(E1059,Controls!$B$20,Ref!$K$2:$K$42))</f>
        <v/>
      </c>
      <c r="AC1059" s="3">
        <f>IF(OR(AF1059=1,AND(AA1059&gt;0,AB1059&gt;=Controls!$B$23*AA1059)),1,0)</f>
        <v/>
      </c>
      <c r="AD1059" s="3">
        <f>IF(AND(E1059&lt;&gt;"",E1059&gt;=Controls!$B$21,E1059&lt;=Controls!$B$22),1,0)</f>
        <v/>
      </c>
      <c r="AE1059" s="3">
        <f>IF(IFERROR(VLOOKUP(D1059,Controls!$A$36:$E$46,2,FALSE()),"No")="Yes",1,0)</f>
        <v/>
      </c>
      <c r="AF1059" s="3">
        <f>IF(IFERROR(VLOOKUP(D1059,Controls!$A$36:$E$46,3,FALSE()),"No")="Yes",1,0)</f>
        <v/>
      </c>
      <c r="AG1059" s="3">
        <f>IF(IFERROR(VLOOKUP(D1059,Controls!$A$36:$E$46,4,FALSE()),"No")="Yes",1,0)</f>
        <v/>
      </c>
      <c r="AH1059" s="3">
        <f>IF(IFERROR(VLOOKUP(D1059,Controls!$A$36:$E$46,5,FALSE()),"No")="Yes",1,0)</f>
        <v/>
      </c>
      <c r="AI1059" s="3">
        <f>IF(ISNUMBER(MATCH(D1059,Controls!$A$36:$A$46,0)),1,0)</f>
        <v/>
      </c>
      <c r="AJ1059" s="28">
        <f>Q1059-N1059</f>
        <v/>
      </c>
      <c r="AK1059" s="3">
        <f>IF(AE1059=1,MAX(0,N1059-Q1059),0)</f>
        <v/>
      </c>
      <c r="AL1059" s="3">
        <f>IF(OR(V1059="",V1059=0),0,N1059/V1059)</f>
        <v/>
      </c>
      <c r="AM1059" s="3">
        <f>IF(OR(V1059="",V1059=0),0,1)</f>
        <v/>
      </c>
      <c r="AN1059" s="3">
        <f>IF(OR(E1059="",F1059=""),0,NETWORKDAYS(E1059,F1059,Ref!$K$2:$K$42))</f>
        <v/>
      </c>
      <c r="AO1059" s="3">
        <f>IF(L1059="Renewal",1,0)</f>
        <v/>
      </c>
      <c r="AP1059" s="3">
        <f>AC1059*AD1059</f>
        <v/>
      </c>
      <c r="AQ1059" s="3">
        <f>IF(AND(G1059&lt;&gt;"",'Historical Score'!$C$6&lt;&gt;""),IF(G1059='Historical Score'!$C$6,1,0),0)</f>
        <v/>
      </c>
      <c r="AR1059" s="3">
        <f>IF(AND(L1059&lt;&gt;"",'Historical Score'!$C$5&lt;&gt;""),IF(L1059='Historical Score'!$C$5,1,0),0)</f>
        <v/>
      </c>
      <c r="AS1059" s="3">
        <f>IF(AND(Y1059&lt;&gt;"",'Historical Score'!$C$7&lt;&gt;""),IF(Y1059='Historical Score'!$C$7,1,0),0)</f>
        <v/>
      </c>
      <c r="AT1059" s="3">
        <f>IF(AND(K1059&lt;&gt;"",'Historical Score'!$C$8&lt;&gt;""),IF(K1059='Historical Score'!$C$8,1,0),0)</f>
        <v/>
      </c>
      <c r="AU1059" s="3" t="n"/>
      <c r="AV1059" s="3" t="n"/>
      <c r="AW1059" s="3" t="n"/>
      <c r="AX1059" s="3" t="n"/>
      <c r="AY1059" s="3" t="n"/>
      <c r="AZ1059" s="3" t="n"/>
      <c r="BA1059" s="182">
        <f>IF(AD1059=1,(AR1059*'Historical Score'!$K$29+1-'Historical Score'!$K$29)*(AT1059*'Historical Score'!$L$29+1-'Historical Score'!$L$29)*(AS1059*'Historical Score'!$M$29+1-'Historical Score'!$M$29)*(AQ1059*'Historical Score'!$N$29+1-'Historical Score'!$N$29),0)</f>
        <v/>
      </c>
      <c r="BB1059" s="3" t="n"/>
      <c r="BC1059" s="3" t="n"/>
    </row>
    <row r="1060" ht="15" customHeight="1" s="174">
      <c r="A1060" s="3" t="inlineStr">
        <is>
          <t>5674188239</t>
        </is>
      </c>
      <c r="B1060" s="3" t="inlineStr">
        <is>
          <t>MCD VETERANS LLC</t>
        </is>
      </c>
      <c r="C1060" s="3" t="inlineStr">
        <is>
          <t>MCD VETERANS LLC</t>
        </is>
      </c>
      <c r="D1060" s="3" t="inlineStr">
        <is>
          <t>Open</t>
        </is>
      </c>
      <c r="E1060" s="23" t="n">
        <v>46233</v>
      </c>
      <c r="F1060" s="23" t="n">
        <v>46253</v>
      </c>
      <c r="G1060" s="3" t="n">
        <v>3</v>
      </c>
      <c r="H1060" s="3" t="inlineStr">
        <is>
          <t>6531</t>
        </is>
      </c>
      <c r="I1060" s="3" t="inlineStr">
        <is>
          <t>65</t>
        </is>
      </c>
      <c r="J1060" s="3" t="inlineStr">
        <is>
          <t>LA</t>
        </is>
      </c>
      <c r="K1060" s="3" t="inlineStr">
        <is>
          <t>United Secured Capital 8</t>
        </is>
      </c>
      <c r="L1060" s="3" t="inlineStr">
        <is>
          <t>Renewal</t>
        </is>
      </c>
      <c r="M1060" s="3" t="n">
        <v>1.49</v>
      </c>
      <c r="N1060" s="28" t="n">
        <v>35000</v>
      </c>
      <c r="O1060" s="28" t="n">
        <v>4900</v>
      </c>
      <c r="P1060" s="28" t="n">
        <v>52150</v>
      </c>
      <c r="Q1060" s="28" t="n">
        <v>6081.74</v>
      </c>
      <c r="R1060" s="28" t="n">
        <v>46068.26</v>
      </c>
      <c r="S1060" s="42" t="n">
        <v>0.116620134228188</v>
      </c>
      <c r="T1060" s="3" t="n">
        <v>3.934</v>
      </c>
      <c r="U1060" s="3" t="n">
        <v>0</v>
      </c>
      <c r="V1060" s="3" t="n">
        <v>144343.78</v>
      </c>
      <c r="W1060" s="42" t="n">
        <v>0.06320000000000001</v>
      </c>
      <c r="X1060" s="23" t="n">
        <v>44044</v>
      </c>
      <c r="Y1060" s="3">
        <f>IF(I1060="","No SIC",IFERROR(VLOOKUP(I1060,Ref!$A$2:$B$65,2,FALSE()),"Unclassified"))</f>
        <v/>
      </c>
      <c r="Z1060" s="3">
        <f>IF(T1060="","",IF(T1060&lt;12,"Daily","Weekly"))</f>
        <v/>
      </c>
      <c r="AA1060" s="3">
        <f>IF(T1060="",0,IF(T1060&lt;12,T1060*Controls!$B$13,T1060*5))</f>
        <v/>
      </c>
      <c r="AB1060" s="3">
        <f>IF(E1060="",0,NETWORKDAYS(E1060,Controls!$B$20,Ref!$K$2:$K$42))</f>
        <v/>
      </c>
      <c r="AC1060" s="3">
        <f>IF(OR(AF1060=1,AND(AA1060&gt;0,AB1060&gt;=Controls!$B$23*AA1060)),1,0)</f>
        <v/>
      </c>
      <c r="AD1060" s="3">
        <f>IF(AND(E1060&lt;&gt;"",E1060&gt;=Controls!$B$21,E1060&lt;=Controls!$B$22),1,0)</f>
        <v/>
      </c>
      <c r="AE1060" s="3">
        <f>IF(IFERROR(VLOOKUP(D1060,Controls!$A$36:$E$46,2,FALSE()),"No")="Yes",1,0)</f>
        <v/>
      </c>
      <c r="AF1060" s="3">
        <f>IF(IFERROR(VLOOKUP(D1060,Controls!$A$36:$E$46,3,FALSE()),"No")="Yes",1,0)</f>
        <v/>
      </c>
      <c r="AG1060" s="3">
        <f>IF(IFERROR(VLOOKUP(D1060,Controls!$A$36:$E$46,4,FALSE()),"No")="Yes",1,0)</f>
        <v/>
      </c>
      <c r="AH1060" s="3">
        <f>IF(IFERROR(VLOOKUP(D1060,Controls!$A$36:$E$46,5,FALSE()),"No")="Yes",1,0)</f>
        <v/>
      </c>
      <c r="AI1060" s="3">
        <f>IF(ISNUMBER(MATCH(D1060,Controls!$A$36:$A$46,0)),1,0)</f>
        <v/>
      </c>
      <c r="AJ1060" s="28">
        <f>Q1060-N1060</f>
        <v/>
      </c>
      <c r="AK1060" s="3">
        <f>IF(AE1060=1,MAX(0,N1060-Q1060),0)</f>
        <v/>
      </c>
      <c r="AL1060" s="3">
        <f>IF(OR(V1060="",V1060=0),0,N1060/V1060)</f>
        <v/>
      </c>
      <c r="AM1060" s="3">
        <f>IF(OR(V1060="",V1060=0),0,1)</f>
        <v/>
      </c>
      <c r="AN1060" s="3">
        <f>IF(OR(E1060="",F1060=""),0,NETWORKDAYS(E1060,F1060,Ref!$K$2:$K$42))</f>
        <v/>
      </c>
      <c r="AO1060" s="3">
        <f>IF(L1060="Renewal",1,0)</f>
        <v/>
      </c>
      <c r="AP1060" s="3">
        <f>AC1060*AD1060</f>
        <v/>
      </c>
      <c r="AQ1060" s="3">
        <f>IF(AND(G1060&lt;&gt;"",'Historical Score'!$C$6&lt;&gt;""),IF(G1060='Historical Score'!$C$6,1,0),0)</f>
        <v/>
      </c>
      <c r="AR1060" s="3">
        <f>IF(AND(L1060&lt;&gt;"",'Historical Score'!$C$5&lt;&gt;""),IF(L1060='Historical Score'!$C$5,1,0),0)</f>
        <v/>
      </c>
      <c r="AS1060" s="3">
        <f>IF(AND(Y1060&lt;&gt;"",'Historical Score'!$C$7&lt;&gt;""),IF(Y1060='Historical Score'!$C$7,1,0),0)</f>
        <v/>
      </c>
      <c r="AT1060" s="3">
        <f>IF(AND(K1060&lt;&gt;"",'Historical Score'!$C$8&lt;&gt;""),IF(K1060='Historical Score'!$C$8,1,0),0)</f>
        <v/>
      </c>
      <c r="AU1060" s="3" t="n"/>
      <c r="AV1060" s="3" t="n"/>
      <c r="AW1060" s="3" t="n"/>
      <c r="AX1060" s="3" t="n"/>
      <c r="AY1060" s="3" t="n"/>
      <c r="AZ1060" s="3" t="n"/>
      <c r="BA1060" s="182">
        <f>IF(AD1060=1,(AR1060*'Historical Score'!$K$29+1-'Historical Score'!$K$29)*(AT1060*'Historical Score'!$L$29+1-'Historical Score'!$L$29)*(AS1060*'Historical Score'!$M$29+1-'Historical Score'!$M$29)*(AQ1060*'Historical Score'!$N$29+1-'Historical Score'!$N$29),0)</f>
        <v/>
      </c>
      <c r="BB1060" s="3" t="n"/>
      <c r="BC1060" s="3" t="n"/>
    </row>
    <row r="1061" ht="15" customHeight="1" s="174">
      <c r="A1061" s="3" t="inlineStr">
        <is>
          <t>5674188277</t>
        </is>
      </c>
      <c r="B1061" s="3" t="inlineStr">
        <is>
          <t>Prima Mente</t>
        </is>
      </c>
      <c r="C1061" s="3" t="inlineStr">
        <is>
          <t>PRIMA MENTE INC</t>
        </is>
      </c>
      <c r="D1061" s="3" t="inlineStr">
        <is>
          <t>Open</t>
        </is>
      </c>
      <c r="E1061" s="23" t="n">
        <v>46233</v>
      </c>
      <c r="F1061" s="23" t="n">
        <v>46253</v>
      </c>
      <c r="G1061" s="3" t="n">
        <v>4</v>
      </c>
      <c r="H1061" s="3" t="inlineStr">
        <is>
          <t>8734</t>
        </is>
      </c>
      <c r="I1061" s="3" t="inlineStr">
        <is>
          <t>87</t>
        </is>
      </c>
      <c r="J1061" s="3" t="inlineStr">
        <is>
          <t>CA</t>
        </is>
      </c>
      <c r="K1061" s="3" t="inlineStr">
        <is>
          <t>Platform Funding</t>
        </is>
      </c>
      <c r="L1061" s="3" t="inlineStr">
        <is>
          <t>New Deal</t>
        </is>
      </c>
      <c r="M1061" s="3" t="n">
        <v>1.49</v>
      </c>
      <c r="N1061" s="28" t="n">
        <v>150000</v>
      </c>
      <c r="O1061" s="28" t="n">
        <v>21000</v>
      </c>
      <c r="P1061" s="28" t="n">
        <v>223500</v>
      </c>
      <c r="Q1061" s="28" t="n">
        <v>22361.88</v>
      </c>
      <c r="R1061" s="28" t="n">
        <v>201138.12</v>
      </c>
      <c r="S1061" s="42" t="n">
        <v>0.100053154362416</v>
      </c>
      <c r="T1061" s="3" t="n">
        <v>30</v>
      </c>
      <c r="U1061" s="3" t="n">
        <v>0</v>
      </c>
      <c r="V1061" s="3" t="n">
        <v>1130644.29</v>
      </c>
      <c r="W1061" s="42" t="n">
        <v>0.0438</v>
      </c>
      <c r="X1061" s="23" t="n">
        <v>33903</v>
      </c>
      <c r="Y1061" s="3">
        <f>IF(I1061="","No SIC",IFERROR(VLOOKUP(I1061,Ref!$A$2:$B$65,2,FALSE()),"Unclassified"))</f>
        <v/>
      </c>
      <c r="Z1061" s="3">
        <f>IF(T1061="","",IF(T1061&lt;12,"Daily","Weekly"))</f>
        <v/>
      </c>
      <c r="AA1061" s="3">
        <f>IF(T1061="",0,IF(T1061&lt;12,T1061*Controls!$B$13,T1061*5))</f>
        <v/>
      </c>
      <c r="AB1061" s="3">
        <f>IF(E1061="",0,NETWORKDAYS(E1061,Controls!$B$20,Ref!$K$2:$K$42))</f>
        <v/>
      </c>
      <c r="AC1061" s="3">
        <f>IF(OR(AF1061=1,AND(AA1061&gt;0,AB1061&gt;=Controls!$B$23*AA1061)),1,0)</f>
        <v/>
      </c>
      <c r="AD1061" s="3">
        <f>IF(AND(E1061&lt;&gt;"",E1061&gt;=Controls!$B$21,E1061&lt;=Controls!$B$22),1,0)</f>
        <v/>
      </c>
      <c r="AE1061" s="3">
        <f>IF(IFERROR(VLOOKUP(D1061,Controls!$A$36:$E$46,2,FALSE()),"No")="Yes",1,0)</f>
        <v/>
      </c>
      <c r="AF1061" s="3">
        <f>IF(IFERROR(VLOOKUP(D1061,Controls!$A$36:$E$46,3,FALSE()),"No")="Yes",1,0)</f>
        <v/>
      </c>
      <c r="AG1061" s="3">
        <f>IF(IFERROR(VLOOKUP(D1061,Controls!$A$36:$E$46,4,FALSE()),"No")="Yes",1,0)</f>
        <v/>
      </c>
      <c r="AH1061" s="3">
        <f>IF(IFERROR(VLOOKUP(D1061,Controls!$A$36:$E$46,5,FALSE()),"No")="Yes",1,0)</f>
        <v/>
      </c>
      <c r="AI1061" s="3">
        <f>IF(ISNUMBER(MATCH(D1061,Controls!$A$36:$A$46,0)),1,0)</f>
        <v/>
      </c>
      <c r="AJ1061" s="28">
        <f>Q1061-N1061</f>
        <v/>
      </c>
      <c r="AK1061" s="3">
        <f>IF(AE1061=1,MAX(0,N1061-Q1061),0)</f>
        <v/>
      </c>
      <c r="AL1061" s="3">
        <f>IF(OR(V1061="",V1061=0),0,N1061/V1061)</f>
        <v/>
      </c>
      <c r="AM1061" s="3">
        <f>IF(OR(V1061="",V1061=0),0,1)</f>
        <v/>
      </c>
      <c r="AN1061" s="3">
        <f>IF(OR(E1061="",F1061=""),0,NETWORKDAYS(E1061,F1061,Ref!$K$2:$K$42))</f>
        <v/>
      </c>
      <c r="AO1061" s="3">
        <f>IF(L1061="Renewal",1,0)</f>
        <v/>
      </c>
      <c r="AP1061" s="3">
        <f>AC1061*AD1061</f>
        <v/>
      </c>
      <c r="AQ1061" s="3">
        <f>IF(AND(G1061&lt;&gt;"",'Historical Score'!$C$6&lt;&gt;""),IF(G1061='Historical Score'!$C$6,1,0),0)</f>
        <v/>
      </c>
      <c r="AR1061" s="3">
        <f>IF(AND(L1061&lt;&gt;"",'Historical Score'!$C$5&lt;&gt;""),IF(L1061='Historical Score'!$C$5,1,0),0)</f>
        <v/>
      </c>
      <c r="AS1061" s="3">
        <f>IF(AND(Y1061&lt;&gt;"",'Historical Score'!$C$7&lt;&gt;""),IF(Y1061='Historical Score'!$C$7,1,0),0)</f>
        <v/>
      </c>
      <c r="AT1061" s="3">
        <f>IF(AND(K1061&lt;&gt;"",'Historical Score'!$C$8&lt;&gt;""),IF(K1061='Historical Score'!$C$8,1,0),0)</f>
        <v/>
      </c>
      <c r="AU1061" s="3" t="n"/>
      <c r="AV1061" s="3" t="n"/>
      <c r="AW1061" s="3" t="n"/>
      <c r="AX1061" s="3" t="n"/>
      <c r="AY1061" s="3" t="n"/>
      <c r="AZ1061" s="3" t="n"/>
      <c r="BA1061" s="182">
        <f>IF(AD1061=1,(AR1061*'Historical Score'!$K$29+1-'Historical Score'!$K$29)*(AT1061*'Historical Score'!$L$29+1-'Historical Score'!$L$29)*(AS1061*'Historical Score'!$M$29+1-'Historical Score'!$M$29)*(AQ1061*'Historical Score'!$N$29+1-'Historical Score'!$N$29),0)</f>
        <v/>
      </c>
      <c r="BB1061" s="3" t="n"/>
      <c r="BC1061" s="3" t="n"/>
    </row>
    <row r="1062" ht="15" customHeight="1" s="174">
      <c r="A1062" s="3" t="inlineStr">
        <is>
          <t>5674188312</t>
        </is>
      </c>
      <c r="B1062" s="3" t="inlineStr">
        <is>
          <t>EAGLE'S LOGISTIC AND DELIVERIES LLC</t>
        </is>
      </c>
      <c r="C1062" s="3" t="inlineStr">
        <is>
          <t>EAGLE'S LOGISTIC AND DELIVERIES LLC</t>
        </is>
      </c>
      <c r="D1062" s="3" t="inlineStr">
        <is>
          <t>Open</t>
        </is>
      </c>
      <c r="E1062" s="23" t="n">
        <v>46234</v>
      </c>
      <c r="F1062" s="23" t="n">
        <v>46248</v>
      </c>
      <c r="G1062" s="3" t="n">
        <v>3</v>
      </c>
      <c r="H1062" s="3" t="inlineStr">
        <is>
          <t>4212</t>
        </is>
      </c>
      <c r="I1062" s="3" t="inlineStr">
        <is>
          <t>42</t>
        </is>
      </c>
      <c r="J1062" s="3" t="inlineStr">
        <is>
          <t>FL</t>
        </is>
      </c>
      <c r="K1062" s="3" t="inlineStr">
        <is>
          <t>United Secured Capital 8</t>
        </is>
      </c>
      <c r="L1062" s="3" t="inlineStr">
        <is>
          <t>Renewal</t>
        </is>
      </c>
      <c r="M1062" s="3" t="n">
        <v>1.42</v>
      </c>
      <c r="N1062" s="28" t="n">
        <v>43000</v>
      </c>
      <c r="O1062" s="28" t="n">
        <v>4515</v>
      </c>
      <c r="P1062" s="28" t="n">
        <v>61060</v>
      </c>
      <c r="Q1062" s="28" t="n">
        <v>2777.02</v>
      </c>
      <c r="R1062" s="28" t="n">
        <v>58282.98</v>
      </c>
      <c r="S1062" s="42" t="n">
        <v>0.0454801834261382</v>
      </c>
      <c r="T1062" s="3" t="n">
        <v>44</v>
      </c>
      <c r="U1062" s="3" t="n">
        <v>0</v>
      </c>
      <c r="V1062" s="3" t="n"/>
      <c r="W1062" s="42" t="n">
        <v>0.0108</v>
      </c>
      <c r="X1062" s="23" t="n">
        <v>45524</v>
      </c>
      <c r="Y1062" s="3">
        <f>IF(I1062="","No SIC",IFERROR(VLOOKUP(I1062,Ref!$A$2:$B$65,2,FALSE()),"Unclassified"))</f>
        <v/>
      </c>
      <c r="Z1062" s="3">
        <f>IF(T1062="","",IF(T1062&lt;12,"Daily","Weekly"))</f>
        <v/>
      </c>
      <c r="AA1062" s="3">
        <f>IF(T1062="",0,IF(T1062&lt;12,T1062*Controls!$B$13,T1062*5))</f>
        <v/>
      </c>
      <c r="AB1062" s="3">
        <f>IF(E1062="",0,NETWORKDAYS(E1062,Controls!$B$20,Ref!$K$2:$K$42))</f>
        <v/>
      </c>
      <c r="AC1062" s="3">
        <f>IF(OR(AF1062=1,AND(AA1062&gt;0,AB1062&gt;=Controls!$B$23*AA1062)),1,0)</f>
        <v/>
      </c>
      <c r="AD1062" s="3">
        <f>IF(AND(E1062&lt;&gt;"",E1062&gt;=Controls!$B$21,E1062&lt;=Controls!$B$22),1,0)</f>
        <v/>
      </c>
      <c r="AE1062" s="3">
        <f>IF(IFERROR(VLOOKUP(D1062,Controls!$A$36:$E$46,2,FALSE()),"No")="Yes",1,0)</f>
        <v/>
      </c>
      <c r="AF1062" s="3">
        <f>IF(IFERROR(VLOOKUP(D1062,Controls!$A$36:$E$46,3,FALSE()),"No")="Yes",1,0)</f>
        <v/>
      </c>
      <c r="AG1062" s="3">
        <f>IF(IFERROR(VLOOKUP(D1062,Controls!$A$36:$E$46,4,FALSE()),"No")="Yes",1,0)</f>
        <v/>
      </c>
      <c r="AH1062" s="3">
        <f>IF(IFERROR(VLOOKUP(D1062,Controls!$A$36:$E$46,5,FALSE()),"No")="Yes",1,0)</f>
        <v/>
      </c>
      <c r="AI1062" s="3">
        <f>IF(ISNUMBER(MATCH(D1062,Controls!$A$36:$A$46,0)),1,0)</f>
        <v/>
      </c>
      <c r="AJ1062" s="28">
        <f>Q1062-N1062</f>
        <v/>
      </c>
      <c r="AK1062" s="3">
        <f>IF(AE1062=1,MAX(0,N1062-Q1062),0)</f>
        <v/>
      </c>
      <c r="AL1062" s="3">
        <f>IF(OR(V1062="",V1062=0),0,N1062/V1062)</f>
        <v/>
      </c>
      <c r="AM1062" s="3">
        <f>IF(OR(V1062="",V1062=0),0,1)</f>
        <v/>
      </c>
      <c r="AN1062" s="3">
        <f>IF(OR(E1062="",F1062=""),0,NETWORKDAYS(E1062,F1062,Ref!$K$2:$K$42))</f>
        <v/>
      </c>
      <c r="AO1062" s="3">
        <f>IF(L1062="Renewal",1,0)</f>
        <v/>
      </c>
      <c r="AP1062" s="3">
        <f>AC1062*AD1062</f>
        <v/>
      </c>
      <c r="AQ1062" s="3">
        <f>IF(AND(G1062&lt;&gt;"",'Historical Score'!$C$6&lt;&gt;""),IF(G1062='Historical Score'!$C$6,1,0),0)</f>
        <v/>
      </c>
      <c r="AR1062" s="3">
        <f>IF(AND(L1062&lt;&gt;"",'Historical Score'!$C$5&lt;&gt;""),IF(L1062='Historical Score'!$C$5,1,0),0)</f>
        <v/>
      </c>
      <c r="AS1062" s="3">
        <f>IF(AND(Y1062&lt;&gt;"",'Historical Score'!$C$7&lt;&gt;""),IF(Y1062='Historical Score'!$C$7,1,0),0)</f>
        <v/>
      </c>
      <c r="AT1062" s="3">
        <f>IF(AND(K1062&lt;&gt;"",'Historical Score'!$C$8&lt;&gt;""),IF(K1062='Historical Score'!$C$8,1,0),0)</f>
        <v/>
      </c>
      <c r="AU1062" s="3" t="n"/>
      <c r="AV1062" s="3" t="n"/>
      <c r="AW1062" s="3" t="n"/>
      <c r="AX1062" s="3" t="n"/>
      <c r="AY1062" s="3" t="n"/>
      <c r="AZ1062" s="3" t="n"/>
      <c r="BA1062" s="182">
        <f>IF(AD1062=1,(AR1062*'Historical Score'!$K$29+1-'Historical Score'!$K$29)*(AT1062*'Historical Score'!$L$29+1-'Historical Score'!$L$29)*(AS1062*'Historical Score'!$M$29+1-'Historical Score'!$M$29)*(AQ1062*'Historical Score'!$N$29+1-'Historical Score'!$N$29),0)</f>
        <v/>
      </c>
      <c r="BB1062" s="3" t="n"/>
      <c r="BC1062" s="3" t="n"/>
    </row>
    <row r="1063" ht="15" customHeight="1" s="174">
      <c r="A1063" s="3" t="inlineStr">
        <is>
          <t>5674188360</t>
        </is>
      </c>
      <c r="B1063" s="3" t="inlineStr">
        <is>
          <t>Precisely Pandas LLC</t>
        </is>
      </c>
      <c r="C1063" s="3" t="inlineStr">
        <is>
          <t>Precisely Pandas LLC</t>
        </is>
      </c>
      <c r="D1063" s="3" t="inlineStr">
        <is>
          <t>Open</t>
        </is>
      </c>
      <c r="E1063" s="23" t="n">
        <v>46234</v>
      </c>
      <c r="F1063" s="23" t="n">
        <v>46248</v>
      </c>
      <c r="G1063" s="3" t="n">
        <v>3</v>
      </c>
      <c r="H1063" s="3" t="inlineStr">
        <is>
          <t>5812</t>
        </is>
      </c>
      <c r="I1063" s="3" t="inlineStr">
        <is>
          <t>58</t>
        </is>
      </c>
      <c r="J1063" s="3" t="inlineStr">
        <is>
          <t>CT</t>
        </is>
      </c>
      <c r="K1063" s="3" t="inlineStr">
        <is>
          <t>National Business Capital</t>
        </is>
      </c>
      <c r="L1063" s="3" t="inlineStr">
        <is>
          <t>New Deal</t>
        </is>
      </c>
      <c r="M1063" s="3" t="n">
        <v>1.34</v>
      </c>
      <c r="N1063" s="28" t="n">
        <v>24000</v>
      </c>
      <c r="O1063" s="28" t="n">
        <v>1440</v>
      </c>
      <c r="P1063" s="28" t="n">
        <v>32160</v>
      </c>
      <c r="Q1063" s="28" t="n">
        <v>2007.86</v>
      </c>
      <c r="R1063" s="28" t="n">
        <v>30152.14</v>
      </c>
      <c r="S1063" s="42" t="n">
        <v>0.0624334577114428</v>
      </c>
      <c r="T1063" s="3" t="n">
        <v>32</v>
      </c>
      <c r="U1063" s="3" t="n">
        <v>0</v>
      </c>
      <c r="V1063" s="3" t="n">
        <v>126990.39</v>
      </c>
      <c r="W1063" s="42" t="n">
        <v>0.0447</v>
      </c>
      <c r="X1063" s="23" t="n">
        <v>46234</v>
      </c>
      <c r="Y1063" s="3">
        <f>IF(I1063="","No SIC",IFERROR(VLOOKUP(I1063,Ref!$A$2:$B$65,2,FALSE()),"Unclassified"))</f>
        <v/>
      </c>
      <c r="Z1063" s="3">
        <f>IF(T1063="","",IF(T1063&lt;12,"Daily","Weekly"))</f>
        <v/>
      </c>
      <c r="AA1063" s="3">
        <f>IF(T1063="",0,IF(T1063&lt;12,T1063*Controls!$B$13,T1063*5))</f>
        <v/>
      </c>
      <c r="AB1063" s="3">
        <f>IF(E1063="",0,NETWORKDAYS(E1063,Controls!$B$20,Ref!$K$2:$K$42))</f>
        <v/>
      </c>
      <c r="AC1063" s="3">
        <f>IF(OR(AF1063=1,AND(AA1063&gt;0,AB1063&gt;=Controls!$B$23*AA1063)),1,0)</f>
        <v/>
      </c>
      <c r="AD1063" s="3">
        <f>IF(AND(E1063&lt;&gt;"",E1063&gt;=Controls!$B$21,E1063&lt;=Controls!$B$22),1,0)</f>
        <v/>
      </c>
      <c r="AE1063" s="3">
        <f>IF(IFERROR(VLOOKUP(D1063,Controls!$A$36:$E$46,2,FALSE()),"No")="Yes",1,0)</f>
        <v/>
      </c>
      <c r="AF1063" s="3">
        <f>IF(IFERROR(VLOOKUP(D1063,Controls!$A$36:$E$46,3,FALSE()),"No")="Yes",1,0)</f>
        <v/>
      </c>
      <c r="AG1063" s="3">
        <f>IF(IFERROR(VLOOKUP(D1063,Controls!$A$36:$E$46,4,FALSE()),"No")="Yes",1,0)</f>
        <v/>
      </c>
      <c r="AH1063" s="3">
        <f>IF(IFERROR(VLOOKUP(D1063,Controls!$A$36:$E$46,5,FALSE()),"No")="Yes",1,0)</f>
        <v/>
      </c>
      <c r="AI1063" s="3">
        <f>IF(ISNUMBER(MATCH(D1063,Controls!$A$36:$A$46,0)),1,0)</f>
        <v/>
      </c>
      <c r="AJ1063" s="28">
        <f>Q1063-N1063</f>
        <v/>
      </c>
      <c r="AK1063" s="3">
        <f>IF(AE1063=1,MAX(0,N1063-Q1063),0)</f>
        <v/>
      </c>
      <c r="AL1063" s="3">
        <f>IF(OR(V1063="",V1063=0),0,N1063/V1063)</f>
        <v/>
      </c>
      <c r="AM1063" s="3">
        <f>IF(OR(V1063="",V1063=0),0,1)</f>
        <v/>
      </c>
      <c r="AN1063" s="3">
        <f>IF(OR(E1063="",F1063=""),0,NETWORKDAYS(E1063,F1063,Ref!$K$2:$K$42))</f>
        <v/>
      </c>
      <c r="AO1063" s="3">
        <f>IF(L1063="Renewal",1,0)</f>
        <v/>
      </c>
      <c r="AP1063" s="3">
        <f>AC1063*AD1063</f>
        <v/>
      </c>
      <c r="AQ1063" s="3">
        <f>IF(AND(G1063&lt;&gt;"",'Historical Score'!$C$6&lt;&gt;""),IF(G1063='Historical Score'!$C$6,1,0),0)</f>
        <v/>
      </c>
      <c r="AR1063" s="3">
        <f>IF(AND(L1063&lt;&gt;"",'Historical Score'!$C$5&lt;&gt;""),IF(L1063='Historical Score'!$C$5,1,0),0)</f>
        <v/>
      </c>
      <c r="AS1063" s="3">
        <f>IF(AND(Y1063&lt;&gt;"",'Historical Score'!$C$7&lt;&gt;""),IF(Y1063='Historical Score'!$C$7,1,0),0)</f>
        <v/>
      </c>
      <c r="AT1063" s="3">
        <f>IF(AND(K1063&lt;&gt;"",'Historical Score'!$C$8&lt;&gt;""),IF(K1063='Historical Score'!$C$8,1,0),0)</f>
        <v/>
      </c>
      <c r="AU1063" s="3" t="n"/>
      <c r="AV1063" s="3" t="n"/>
      <c r="AW1063" s="3" t="n"/>
      <c r="AX1063" s="3" t="n"/>
      <c r="AY1063" s="3" t="n"/>
      <c r="AZ1063" s="3" t="n"/>
      <c r="BA1063" s="182">
        <f>IF(AD1063=1,(AR1063*'Historical Score'!$K$29+1-'Historical Score'!$K$29)*(AT1063*'Historical Score'!$L$29+1-'Historical Score'!$L$29)*(AS1063*'Historical Score'!$M$29+1-'Historical Score'!$M$29)*(AQ1063*'Historical Score'!$N$29+1-'Historical Score'!$N$29),0)</f>
        <v/>
      </c>
      <c r="BB1063" s="3" t="n"/>
      <c r="BC1063" s="3" t="n"/>
    </row>
    <row r="1064" ht="15" customHeight="1" s="174">
      <c r="A1064" s="3" t="inlineStr">
        <is>
          <t>5674188430</t>
        </is>
      </c>
      <c r="B1064" s="3" t="inlineStr">
        <is>
          <t>ALONSO MEDICAL CENTER</t>
        </is>
      </c>
      <c r="C1064" s="3" t="inlineStr">
        <is>
          <t>ALONSO MEDICAL CENTER LLC, PLLC</t>
        </is>
      </c>
      <c r="D1064" s="3" t="inlineStr">
        <is>
          <t>Open</t>
        </is>
      </c>
      <c r="E1064" s="23" t="n">
        <v>46237</v>
      </c>
      <c r="F1064" s="23" t="n">
        <v>46248</v>
      </c>
      <c r="G1064" s="3" t="n">
        <v>2</v>
      </c>
      <c r="H1064" s="3" t="inlineStr">
        <is>
          <t>8011</t>
        </is>
      </c>
      <c r="I1064" s="3" t="inlineStr">
        <is>
          <t>80</t>
        </is>
      </c>
      <c r="J1064" s="3" t="inlineStr">
        <is>
          <t>NV</t>
        </is>
      </c>
      <c r="K1064" s="3" t="inlineStr">
        <is>
          <t>Premium Capital (AMRK)</t>
        </is>
      </c>
      <c r="L1064" s="3" t="inlineStr">
        <is>
          <t>New Deal</t>
        </is>
      </c>
      <c r="M1064" s="3" t="n">
        <v>1.47</v>
      </c>
      <c r="N1064" s="28" t="n">
        <v>175000</v>
      </c>
      <c r="O1064" s="28" t="n">
        <v>22750</v>
      </c>
      <c r="P1064" s="28" t="n">
        <v>257250</v>
      </c>
      <c r="Q1064" s="28" t="n">
        <v>17156.88</v>
      </c>
      <c r="R1064" s="28" t="n">
        <v>240093.12</v>
      </c>
      <c r="S1064" s="42" t="n">
        <v>0.06669341107871719</v>
      </c>
      <c r="T1064" s="3" t="n">
        <v>30</v>
      </c>
      <c r="U1064" s="3" t="n">
        <v>0</v>
      </c>
      <c r="V1064" s="3" t="n">
        <v>341624.9</v>
      </c>
      <c r="W1064" s="42" t="n">
        <v>0.1004</v>
      </c>
      <c r="X1064" s="23" t="n">
        <v>45437</v>
      </c>
      <c r="Y1064" s="3">
        <f>IF(I1064="","No SIC",IFERROR(VLOOKUP(I1064,Ref!$A$2:$B$65,2,FALSE()),"Unclassified"))</f>
        <v/>
      </c>
      <c r="Z1064" s="3">
        <f>IF(T1064="","",IF(T1064&lt;12,"Daily","Weekly"))</f>
        <v/>
      </c>
      <c r="AA1064" s="3">
        <f>IF(T1064="",0,IF(T1064&lt;12,T1064*Controls!$B$13,T1064*5))</f>
        <v/>
      </c>
      <c r="AB1064" s="3">
        <f>IF(E1064="",0,NETWORKDAYS(E1064,Controls!$B$20,Ref!$K$2:$K$42))</f>
        <v/>
      </c>
      <c r="AC1064" s="3">
        <f>IF(OR(AF1064=1,AND(AA1064&gt;0,AB1064&gt;=Controls!$B$23*AA1064)),1,0)</f>
        <v/>
      </c>
      <c r="AD1064" s="3">
        <f>IF(AND(E1064&lt;&gt;"",E1064&gt;=Controls!$B$21,E1064&lt;=Controls!$B$22),1,0)</f>
        <v/>
      </c>
      <c r="AE1064" s="3">
        <f>IF(IFERROR(VLOOKUP(D1064,Controls!$A$36:$E$46,2,FALSE()),"No")="Yes",1,0)</f>
        <v/>
      </c>
      <c r="AF1064" s="3">
        <f>IF(IFERROR(VLOOKUP(D1064,Controls!$A$36:$E$46,3,FALSE()),"No")="Yes",1,0)</f>
        <v/>
      </c>
      <c r="AG1064" s="3">
        <f>IF(IFERROR(VLOOKUP(D1064,Controls!$A$36:$E$46,4,FALSE()),"No")="Yes",1,0)</f>
        <v/>
      </c>
      <c r="AH1064" s="3">
        <f>IF(IFERROR(VLOOKUP(D1064,Controls!$A$36:$E$46,5,FALSE()),"No")="Yes",1,0)</f>
        <v/>
      </c>
      <c r="AI1064" s="3">
        <f>IF(ISNUMBER(MATCH(D1064,Controls!$A$36:$A$46,0)),1,0)</f>
        <v/>
      </c>
      <c r="AJ1064" s="28">
        <f>Q1064-N1064</f>
        <v/>
      </c>
      <c r="AK1064" s="3">
        <f>IF(AE1064=1,MAX(0,N1064-Q1064),0)</f>
        <v/>
      </c>
      <c r="AL1064" s="3">
        <f>IF(OR(V1064="",V1064=0),0,N1064/V1064)</f>
        <v/>
      </c>
      <c r="AM1064" s="3">
        <f>IF(OR(V1064="",V1064=0),0,1)</f>
        <v/>
      </c>
      <c r="AN1064" s="3">
        <f>IF(OR(E1064="",F1064=""),0,NETWORKDAYS(E1064,F1064,Ref!$K$2:$K$42))</f>
        <v/>
      </c>
      <c r="AO1064" s="3">
        <f>IF(L1064="Renewal",1,0)</f>
        <v/>
      </c>
      <c r="AP1064" s="3">
        <f>AC1064*AD1064</f>
        <v/>
      </c>
      <c r="AQ1064" s="3">
        <f>IF(AND(G1064&lt;&gt;"",'Historical Score'!$C$6&lt;&gt;""),IF(G1064='Historical Score'!$C$6,1,0),0)</f>
        <v/>
      </c>
      <c r="AR1064" s="3">
        <f>IF(AND(L1064&lt;&gt;"",'Historical Score'!$C$5&lt;&gt;""),IF(L1064='Historical Score'!$C$5,1,0),0)</f>
        <v/>
      </c>
      <c r="AS1064" s="3">
        <f>IF(AND(Y1064&lt;&gt;"",'Historical Score'!$C$7&lt;&gt;""),IF(Y1064='Historical Score'!$C$7,1,0),0)</f>
        <v/>
      </c>
      <c r="AT1064" s="3">
        <f>IF(AND(K1064&lt;&gt;"",'Historical Score'!$C$8&lt;&gt;""),IF(K1064='Historical Score'!$C$8,1,0),0)</f>
        <v/>
      </c>
      <c r="AU1064" s="3" t="n"/>
      <c r="AV1064" s="3" t="n"/>
      <c r="AW1064" s="3" t="n"/>
      <c r="AX1064" s="3" t="n"/>
      <c r="AY1064" s="3" t="n"/>
      <c r="AZ1064" s="3" t="n"/>
      <c r="BA1064" s="182">
        <f>IF(AD1064=1,(AR1064*'Historical Score'!$K$29+1-'Historical Score'!$K$29)*(AT1064*'Historical Score'!$L$29+1-'Historical Score'!$L$29)*(AS1064*'Historical Score'!$M$29+1-'Historical Score'!$M$29)*(AQ1064*'Historical Score'!$N$29+1-'Historical Score'!$N$29),0)</f>
        <v/>
      </c>
      <c r="BB1064" s="3" t="n"/>
      <c r="BC1064" s="3" t="n"/>
    </row>
    <row r="1065" ht="15" customHeight="1" s="174">
      <c r="A1065" s="3" t="inlineStr">
        <is>
          <t>5674188624</t>
        </is>
      </c>
      <c r="B1065" s="3" t="inlineStr">
        <is>
          <t>SOUTHRIDGE PEDIATRIC DENTISTRY</t>
        </is>
      </c>
      <c r="C1065" s="3" t="inlineStr">
        <is>
          <t>David c Roth DDS LLC</t>
        </is>
      </c>
      <c r="D1065" s="3" t="inlineStr">
        <is>
          <t>Open</t>
        </is>
      </c>
      <c r="E1065" s="23" t="n">
        <v>46239</v>
      </c>
      <c r="F1065" s="23" t="n">
        <v>46252</v>
      </c>
      <c r="G1065" s="3" t="n">
        <v>2</v>
      </c>
      <c r="H1065" s="3" t="inlineStr">
        <is>
          <t>8021</t>
        </is>
      </c>
      <c r="I1065" s="3" t="inlineStr">
        <is>
          <t>80</t>
        </is>
      </c>
      <c r="J1065" s="3" t="inlineStr">
        <is>
          <t>UT</t>
        </is>
      </c>
      <c r="K1065" s="3" t="inlineStr">
        <is>
          <t>Premium Capital (AMRK)</t>
        </is>
      </c>
      <c r="L1065" s="3" t="inlineStr">
        <is>
          <t>New Deal</t>
        </is>
      </c>
      <c r="M1065" s="3" t="n">
        <v>1.36</v>
      </c>
      <c r="N1065" s="28" t="n">
        <v>75000</v>
      </c>
      <c r="O1065" s="28" t="n">
        <v>5625</v>
      </c>
      <c r="P1065" s="28" t="n">
        <v>102000</v>
      </c>
      <c r="Q1065" s="28" t="n">
        <v>6375</v>
      </c>
      <c r="R1065" s="28" t="n">
        <v>95625</v>
      </c>
      <c r="S1065" s="42" t="n">
        <v>0.0625</v>
      </c>
      <c r="T1065" s="3" t="n">
        <v>32</v>
      </c>
      <c r="U1065" s="3" t="n">
        <v>0</v>
      </c>
      <c r="V1065" s="3" t="n">
        <v>29886.36</v>
      </c>
      <c r="W1065" s="42" t="n">
        <v>0.08500000000000001</v>
      </c>
      <c r="X1065" s="23" t="n">
        <v>38893</v>
      </c>
      <c r="Y1065" s="3">
        <f>IF(I1065="","No SIC",IFERROR(VLOOKUP(I1065,Ref!$A$2:$B$65,2,FALSE()),"Unclassified"))</f>
        <v/>
      </c>
      <c r="Z1065" s="3">
        <f>IF(T1065="","",IF(T1065&lt;12,"Daily","Weekly"))</f>
        <v/>
      </c>
      <c r="AA1065" s="3">
        <f>IF(T1065="",0,IF(T1065&lt;12,T1065*Controls!$B$13,T1065*5))</f>
        <v/>
      </c>
      <c r="AB1065" s="3">
        <f>IF(E1065="",0,NETWORKDAYS(E1065,Controls!$B$20,Ref!$K$2:$K$42))</f>
        <v/>
      </c>
      <c r="AC1065" s="3">
        <f>IF(OR(AF1065=1,AND(AA1065&gt;0,AB1065&gt;=Controls!$B$23*AA1065)),1,0)</f>
        <v/>
      </c>
      <c r="AD1065" s="3">
        <f>IF(AND(E1065&lt;&gt;"",E1065&gt;=Controls!$B$21,E1065&lt;=Controls!$B$22),1,0)</f>
        <v/>
      </c>
      <c r="AE1065" s="3">
        <f>IF(IFERROR(VLOOKUP(D1065,Controls!$A$36:$E$46,2,FALSE()),"No")="Yes",1,0)</f>
        <v/>
      </c>
      <c r="AF1065" s="3">
        <f>IF(IFERROR(VLOOKUP(D1065,Controls!$A$36:$E$46,3,FALSE()),"No")="Yes",1,0)</f>
        <v/>
      </c>
      <c r="AG1065" s="3">
        <f>IF(IFERROR(VLOOKUP(D1065,Controls!$A$36:$E$46,4,FALSE()),"No")="Yes",1,0)</f>
        <v/>
      </c>
      <c r="AH1065" s="3">
        <f>IF(IFERROR(VLOOKUP(D1065,Controls!$A$36:$E$46,5,FALSE()),"No")="Yes",1,0)</f>
        <v/>
      </c>
      <c r="AI1065" s="3">
        <f>IF(ISNUMBER(MATCH(D1065,Controls!$A$36:$A$46,0)),1,0)</f>
        <v/>
      </c>
      <c r="AJ1065" s="28">
        <f>Q1065-N1065</f>
        <v/>
      </c>
      <c r="AK1065" s="3">
        <f>IF(AE1065=1,MAX(0,N1065-Q1065),0)</f>
        <v/>
      </c>
      <c r="AL1065" s="3">
        <f>IF(OR(V1065="",V1065=0),0,N1065/V1065)</f>
        <v/>
      </c>
      <c r="AM1065" s="3">
        <f>IF(OR(V1065="",V1065=0),0,1)</f>
        <v/>
      </c>
      <c r="AN1065" s="3">
        <f>IF(OR(E1065="",F1065=""),0,NETWORKDAYS(E1065,F1065,Ref!$K$2:$K$42))</f>
        <v/>
      </c>
      <c r="AO1065" s="3">
        <f>IF(L1065="Renewal",1,0)</f>
        <v/>
      </c>
      <c r="AP1065" s="3">
        <f>AC1065*AD1065</f>
        <v/>
      </c>
      <c r="AQ1065" s="3">
        <f>IF(AND(G1065&lt;&gt;"",'Historical Score'!$C$6&lt;&gt;""),IF(G1065='Historical Score'!$C$6,1,0),0)</f>
        <v/>
      </c>
      <c r="AR1065" s="3">
        <f>IF(AND(L1065&lt;&gt;"",'Historical Score'!$C$5&lt;&gt;""),IF(L1065='Historical Score'!$C$5,1,0),0)</f>
        <v/>
      </c>
      <c r="AS1065" s="3">
        <f>IF(AND(Y1065&lt;&gt;"",'Historical Score'!$C$7&lt;&gt;""),IF(Y1065='Historical Score'!$C$7,1,0),0)</f>
        <v/>
      </c>
      <c r="AT1065" s="3">
        <f>IF(AND(K1065&lt;&gt;"",'Historical Score'!$C$8&lt;&gt;""),IF(K1065='Historical Score'!$C$8,1,0),0)</f>
        <v/>
      </c>
      <c r="AU1065" s="3" t="n"/>
      <c r="AV1065" s="3" t="n"/>
      <c r="AW1065" s="3" t="n"/>
      <c r="AX1065" s="3" t="n"/>
      <c r="AY1065" s="3" t="n"/>
      <c r="AZ1065" s="3" t="n"/>
      <c r="BA1065" s="182">
        <f>IF(AD1065=1,(AR1065*'Historical Score'!$K$29+1-'Historical Score'!$K$29)*(AT1065*'Historical Score'!$L$29+1-'Historical Score'!$L$29)*(AS1065*'Historical Score'!$M$29+1-'Historical Score'!$M$29)*(AQ1065*'Historical Score'!$N$29+1-'Historical Score'!$N$29),0)</f>
        <v/>
      </c>
      <c r="BB1065" s="3" t="n"/>
      <c r="BC1065" s="3" t="n"/>
    </row>
    <row r="1066" ht="15" customHeight="1" s="174">
      <c r="A1066" s="3" t="inlineStr">
        <is>
          <t>5674188733</t>
        </is>
      </c>
      <c r="B1066" s="3" t="inlineStr">
        <is>
          <t>Shriyas Kitchen</t>
        </is>
      </c>
      <c r="C1066" s="3" t="inlineStr">
        <is>
          <t>SILPA'S INTERNATIONAL FOODS LLC</t>
        </is>
      </c>
      <c r="D1066" s="3" t="inlineStr">
        <is>
          <t>Open</t>
        </is>
      </c>
      <c r="E1066" s="23" t="n">
        <v>46240</v>
      </c>
      <c r="F1066" s="23" t="n">
        <v>46248</v>
      </c>
      <c r="G1066" s="3" t="n">
        <v>2</v>
      </c>
      <c r="H1066" s="3" t="inlineStr">
        <is>
          <t>5812</t>
        </is>
      </c>
      <c r="I1066" s="3" t="inlineStr">
        <is>
          <t>58</t>
        </is>
      </c>
      <c r="J1066" s="3" t="inlineStr">
        <is>
          <t>FL</t>
        </is>
      </c>
      <c r="K1066" s="3" t="inlineStr">
        <is>
          <t>Fund Simple</t>
        </is>
      </c>
      <c r="L1066" s="3" t="inlineStr">
        <is>
          <t>Renewal</t>
        </is>
      </c>
      <c r="M1066" s="3" t="n">
        <v>1.49</v>
      </c>
      <c r="N1066" s="28" t="n">
        <v>27000</v>
      </c>
      <c r="O1066" s="28" t="n">
        <v>3780</v>
      </c>
      <c r="P1066" s="28" t="n">
        <v>40230</v>
      </c>
      <c r="Q1066" s="28" t="n">
        <v>1547.25</v>
      </c>
      <c r="R1066" s="28" t="n">
        <v>38682.75</v>
      </c>
      <c r="S1066" s="42" t="n">
        <v>0.0384601043997017</v>
      </c>
      <c r="T1066" s="3" t="n">
        <v>26</v>
      </c>
      <c r="U1066" s="3" t="n">
        <v>0</v>
      </c>
      <c r="V1066" s="3" t="n">
        <v>58969.27</v>
      </c>
      <c r="W1066" s="42" t="n">
        <v>0.0999</v>
      </c>
      <c r="X1066" s="23" t="n">
        <v>45355</v>
      </c>
      <c r="Y1066" s="3">
        <f>IF(I1066="","No SIC",IFERROR(VLOOKUP(I1066,Ref!$A$2:$B$65,2,FALSE()),"Unclassified"))</f>
        <v/>
      </c>
      <c r="Z1066" s="3">
        <f>IF(T1066="","",IF(T1066&lt;12,"Daily","Weekly"))</f>
        <v/>
      </c>
      <c r="AA1066" s="3">
        <f>IF(T1066="",0,IF(T1066&lt;12,T1066*Controls!$B$13,T1066*5))</f>
        <v/>
      </c>
      <c r="AB1066" s="3">
        <f>IF(E1066="",0,NETWORKDAYS(E1066,Controls!$B$20,Ref!$K$2:$K$42))</f>
        <v/>
      </c>
      <c r="AC1066" s="3">
        <f>IF(OR(AF1066=1,AND(AA1066&gt;0,AB1066&gt;=Controls!$B$23*AA1066)),1,0)</f>
        <v/>
      </c>
      <c r="AD1066" s="3">
        <f>IF(AND(E1066&lt;&gt;"",E1066&gt;=Controls!$B$21,E1066&lt;=Controls!$B$22),1,0)</f>
        <v/>
      </c>
      <c r="AE1066" s="3">
        <f>IF(IFERROR(VLOOKUP(D1066,Controls!$A$36:$E$46,2,FALSE()),"No")="Yes",1,0)</f>
        <v/>
      </c>
      <c r="AF1066" s="3">
        <f>IF(IFERROR(VLOOKUP(D1066,Controls!$A$36:$E$46,3,FALSE()),"No")="Yes",1,0)</f>
        <v/>
      </c>
      <c r="AG1066" s="3">
        <f>IF(IFERROR(VLOOKUP(D1066,Controls!$A$36:$E$46,4,FALSE()),"No")="Yes",1,0)</f>
        <v/>
      </c>
      <c r="AH1066" s="3">
        <f>IF(IFERROR(VLOOKUP(D1066,Controls!$A$36:$E$46,5,FALSE()),"No")="Yes",1,0)</f>
        <v/>
      </c>
      <c r="AI1066" s="3">
        <f>IF(ISNUMBER(MATCH(D1066,Controls!$A$36:$A$46,0)),1,0)</f>
        <v/>
      </c>
      <c r="AJ1066" s="28">
        <f>Q1066-N1066</f>
        <v/>
      </c>
      <c r="AK1066" s="3">
        <f>IF(AE1066=1,MAX(0,N1066-Q1066),0)</f>
        <v/>
      </c>
      <c r="AL1066" s="3">
        <f>IF(OR(V1066="",V1066=0),0,N1066/V1066)</f>
        <v/>
      </c>
      <c r="AM1066" s="3">
        <f>IF(OR(V1066="",V1066=0),0,1)</f>
        <v/>
      </c>
      <c r="AN1066" s="3">
        <f>IF(OR(E1066="",F1066=""),0,NETWORKDAYS(E1066,F1066,Ref!$K$2:$K$42))</f>
        <v/>
      </c>
      <c r="AO1066" s="3">
        <f>IF(L1066="Renewal",1,0)</f>
        <v/>
      </c>
      <c r="AP1066" s="3">
        <f>AC1066*AD1066</f>
        <v/>
      </c>
      <c r="AQ1066" s="3">
        <f>IF(AND(G1066&lt;&gt;"",'Historical Score'!$C$6&lt;&gt;""),IF(G1066='Historical Score'!$C$6,1,0),0)</f>
        <v/>
      </c>
      <c r="AR1066" s="3">
        <f>IF(AND(L1066&lt;&gt;"",'Historical Score'!$C$5&lt;&gt;""),IF(L1066='Historical Score'!$C$5,1,0),0)</f>
        <v/>
      </c>
      <c r="AS1066" s="3">
        <f>IF(AND(Y1066&lt;&gt;"",'Historical Score'!$C$7&lt;&gt;""),IF(Y1066='Historical Score'!$C$7,1,0),0)</f>
        <v/>
      </c>
      <c r="AT1066" s="3">
        <f>IF(AND(K1066&lt;&gt;"",'Historical Score'!$C$8&lt;&gt;""),IF(K1066='Historical Score'!$C$8,1,0),0)</f>
        <v/>
      </c>
      <c r="AU1066" s="3" t="n"/>
      <c r="AV1066" s="3" t="n"/>
      <c r="AW1066" s="3" t="n"/>
      <c r="AX1066" s="3" t="n"/>
      <c r="AY1066" s="3" t="n"/>
      <c r="AZ1066" s="3" t="n"/>
      <c r="BA1066" s="182">
        <f>IF(AD1066=1,(AR1066*'Historical Score'!$K$29+1-'Historical Score'!$K$29)*(AT1066*'Historical Score'!$L$29+1-'Historical Score'!$L$29)*(AS1066*'Historical Score'!$M$29+1-'Historical Score'!$M$29)*(AQ1066*'Historical Score'!$N$29+1-'Historical Score'!$N$29),0)</f>
        <v/>
      </c>
      <c r="BB1066" s="3" t="n"/>
      <c r="BC1066" s="3" t="n"/>
    </row>
    <row r="1067" ht="15" customHeight="1" s="174">
      <c r="A1067" s="3" t="inlineStr">
        <is>
          <t>5674188742</t>
        </is>
      </c>
      <c r="B1067" s="3" t="inlineStr">
        <is>
          <t>POPS DBM</t>
        </is>
      </c>
      <c r="C1067" s="3" t="inlineStr">
        <is>
          <t>POPS DBM LLC</t>
        </is>
      </c>
      <c r="D1067" s="3" t="inlineStr">
        <is>
          <t>Open</t>
        </is>
      </c>
      <c r="E1067" s="23" t="n">
        <v>46240</v>
      </c>
      <c r="F1067" s="23" t="n">
        <v>46253</v>
      </c>
      <c r="G1067" s="3" t="n">
        <v>8</v>
      </c>
      <c r="H1067" s="3" t="inlineStr">
        <is>
          <t>1751</t>
        </is>
      </c>
      <c r="I1067" s="3" t="inlineStr">
        <is>
          <t>17</t>
        </is>
      </c>
      <c r="J1067" s="3" t="inlineStr">
        <is>
          <t>NC</t>
        </is>
      </c>
      <c r="K1067" s="3" t="inlineStr">
        <is>
          <t>Elite Advance 5</t>
        </is>
      </c>
      <c r="L1067" s="3" t="inlineStr">
        <is>
          <t>Renewal</t>
        </is>
      </c>
      <c r="M1067" s="3" t="n">
        <v>1.49</v>
      </c>
      <c r="N1067" s="28" t="n">
        <v>120000</v>
      </c>
      <c r="O1067" s="28" t="n">
        <v>16800</v>
      </c>
      <c r="P1067" s="28" t="n">
        <v>178800</v>
      </c>
      <c r="Q1067" s="28" t="n">
        <v>13874.42</v>
      </c>
      <c r="R1067" s="28" t="n">
        <v>164925.58</v>
      </c>
      <c r="S1067" s="42" t="n">
        <v>0.0775974272930649</v>
      </c>
      <c r="T1067" s="3" t="n">
        <v>4.557</v>
      </c>
      <c r="U1067" s="3" t="n">
        <v>0</v>
      </c>
      <c r="V1067" s="3" t="n">
        <v>220171.86</v>
      </c>
      <c r="W1067" s="42" t="n">
        <v>0.08840000000000001</v>
      </c>
      <c r="X1067" s="23" t="n"/>
      <c r="Y1067" s="3">
        <f>IF(I1067="","No SIC",IFERROR(VLOOKUP(I1067,Ref!$A$2:$B$65,2,FALSE()),"Unclassified"))</f>
        <v/>
      </c>
      <c r="Z1067" s="3">
        <f>IF(T1067="","",IF(T1067&lt;12,"Daily","Weekly"))</f>
        <v/>
      </c>
      <c r="AA1067" s="3">
        <f>IF(T1067="",0,IF(T1067&lt;12,T1067*Controls!$B$13,T1067*5))</f>
        <v/>
      </c>
      <c r="AB1067" s="3">
        <f>IF(E1067="",0,NETWORKDAYS(E1067,Controls!$B$20,Ref!$K$2:$K$42))</f>
        <v/>
      </c>
      <c r="AC1067" s="3">
        <f>IF(OR(AF1067=1,AND(AA1067&gt;0,AB1067&gt;=Controls!$B$23*AA1067)),1,0)</f>
        <v/>
      </c>
      <c r="AD1067" s="3">
        <f>IF(AND(E1067&lt;&gt;"",E1067&gt;=Controls!$B$21,E1067&lt;=Controls!$B$22),1,0)</f>
        <v/>
      </c>
      <c r="AE1067" s="3">
        <f>IF(IFERROR(VLOOKUP(D1067,Controls!$A$36:$E$46,2,FALSE()),"No")="Yes",1,0)</f>
        <v/>
      </c>
      <c r="AF1067" s="3">
        <f>IF(IFERROR(VLOOKUP(D1067,Controls!$A$36:$E$46,3,FALSE()),"No")="Yes",1,0)</f>
        <v/>
      </c>
      <c r="AG1067" s="3">
        <f>IF(IFERROR(VLOOKUP(D1067,Controls!$A$36:$E$46,4,FALSE()),"No")="Yes",1,0)</f>
        <v/>
      </c>
      <c r="AH1067" s="3">
        <f>IF(IFERROR(VLOOKUP(D1067,Controls!$A$36:$E$46,5,FALSE()),"No")="Yes",1,0)</f>
        <v/>
      </c>
      <c r="AI1067" s="3">
        <f>IF(ISNUMBER(MATCH(D1067,Controls!$A$36:$A$46,0)),1,0)</f>
        <v/>
      </c>
      <c r="AJ1067" s="28">
        <f>Q1067-N1067</f>
        <v/>
      </c>
      <c r="AK1067" s="3">
        <f>IF(AE1067=1,MAX(0,N1067-Q1067),0)</f>
        <v/>
      </c>
      <c r="AL1067" s="3">
        <f>IF(OR(V1067="",V1067=0),0,N1067/V1067)</f>
        <v/>
      </c>
      <c r="AM1067" s="3">
        <f>IF(OR(V1067="",V1067=0),0,1)</f>
        <v/>
      </c>
      <c r="AN1067" s="3">
        <f>IF(OR(E1067="",F1067=""),0,NETWORKDAYS(E1067,F1067,Ref!$K$2:$K$42))</f>
        <v/>
      </c>
      <c r="AO1067" s="3">
        <f>IF(L1067="Renewal",1,0)</f>
        <v/>
      </c>
      <c r="AP1067" s="3">
        <f>AC1067*AD1067</f>
        <v/>
      </c>
      <c r="AQ1067" s="3">
        <f>IF(AND(G1067&lt;&gt;"",'Historical Score'!$C$6&lt;&gt;""),IF(G1067='Historical Score'!$C$6,1,0),0)</f>
        <v/>
      </c>
      <c r="AR1067" s="3">
        <f>IF(AND(L1067&lt;&gt;"",'Historical Score'!$C$5&lt;&gt;""),IF(L1067='Historical Score'!$C$5,1,0),0)</f>
        <v/>
      </c>
      <c r="AS1067" s="3">
        <f>IF(AND(Y1067&lt;&gt;"",'Historical Score'!$C$7&lt;&gt;""),IF(Y1067='Historical Score'!$C$7,1,0),0)</f>
        <v/>
      </c>
      <c r="AT1067" s="3">
        <f>IF(AND(K1067&lt;&gt;"",'Historical Score'!$C$8&lt;&gt;""),IF(K1067='Historical Score'!$C$8,1,0),0)</f>
        <v/>
      </c>
      <c r="AU1067" s="3" t="n"/>
      <c r="AV1067" s="3" t="n"/>
      <c r="AW1067" s="3" t="n"/>
      <c r="AX1067" s="3" t="n"/>
      <c r="AY1067" s="3" t="n"/>
      <c r="AZ1067" s="3" t="n"/>
      <c r="BA1067" s="182">
        <f>IF(AD1067=1,(AR1067*'Historical Score'!$K$29+1-'Historical Score'!$K$29)*(AT1067*'Historical Score'!$L$29+1-'Historical Score'!$L$29)*(AS1067*'Historical Score'!$M$29+1-'Historical Score'!$M$29)*(AQ1067*'Historical Score'!$N$29+1-'Historical Score'!$N$29),0)</f>
        <v/>
      </c>
      <c r="BB1067" s="3" t="n"/>
      <c r="BC1067" s="3" t="n"/>
    </row>
    <row r="1068" ht="15" customHeight="1" s="174">
      <c r="A1068" s="3" t="inlineStr">
        <is>
          <t>5674188778</t>
        </is>
      </c>
      <c r="B1068" s="3" t="inlineStr">
        <is>
          <t>SILER LAW OFFICE, PLLC , DANIEL R SILER SOLE PROP</t>
        </is>
      </c>
      <c r="C1068" s="3" t="inlineStr">
        <is>
          <t>SILER LAW OFFICE PLLC</t>
        </is>
      </c>
      <c r="D1068" s="3" t="inlineStr">
        <is>
          <t>Open</t>
        </is>
      </c>
      <c r="E1068" s="23" t="n">
        <v>46241</v>
      </c>
      <c r="F1068" s="23" t="n">
        <v>46247</v>
      </c>
      <c r="G1068" s="3" t="n">
        <v>2</v>
      </c>
      <c r="H1068" s="3" t="inlineStr">
        <is>
          <t>8111</t>
        </is>
      </c>
      <c r="I1068" s="3" t="inlineStr">
        <is>
          <t>81</t>
        </is>
      </c>
      <c r="J1068" s="3" t="inlineStr">
        <is>
          <t>TX</t>
        </is>
      </c>
      <c r="K1068" s="3" t="inlineStr">
        <is>
          <t>Vanguard Equities</t>
        </is>
      </c>
      <c r="L1068" s="3" t="inlineStr">
        <is>
          <t>New Deal</t>
        </is>
      </c>
      <c r="M1068" s="3" t="n">
        <v>1.49</v>
      </c>
      <c r="N1068" s="28" t="n">
        <v>42000</v>
      </c>
      <c r="O1068" s="28" t="n">
        <v>5880</v>
      </c>
      <c r="P1068" s="28" t="n">
        <v>62580</v>
      </c>
      <c r="Q1068" s="28" t="n">
        <v>1564.81</v>
      </c>
      <c r="R1068" s="28" t="n">
        <v>61015.19</v>
      </c>
      <c r="S1068" s="42" t="n">
        <v>0.0250049536593161</v>
      </c>
      <c r="T1068" s="3" t="n">
        <v>40</v>
      </c>
      <c r="U1068" s="3" t="n">
        <v>0</v>
      </c>
      <c r="V1068" s="3" t="n">
        <v>36905.9</v>
      </c>
      <c r="W1068" s="42" t="n">
        <v>0.1696</v>
      </c>
      <c r="X1068" s="23" t="n">
        <v>35916</v>
      </c>
      <c r="Y1068" s="3">
        <f>IF(I1068="","No SIC",IFERROR(VLOOKUP(I1068,Ref!$A$2:$B$65,2,FALSE()),"Unclassified"))</f>
        <v/>
      </c>
      <c r="Z1068" s="3">
        <f>IF(T1068="","",IF(T1068&lt;12,"Daily","Weekly"))</f>
        <v/>
      </c>
      <c r="AA1068" s="3">
        <f>IF(T1068="",0,IF(T1068&lt;12,T1068*Controls!$B$13,T1068*5))</f>
        <v/>
      </c>
      <c r="AB1068" s="3">
        <f>IF(E1068="",0,NETWORKDAYS(E1068,Controls!$B$20,Ref!$K$2:$K$42))</f>
        <v/>
      </c>
      <c r="AC1068" s="3">
        <f>IF(OR(AF1068=1,AND(AA1068&gt;0,AB1068&gt;=Controls!$B$23*AA1068)),1,0)</f>
        <v/>
      </c>
      <c r="AD1068" s="3">
        <f>IF(AND(E1068&lt;&gt;"",E1068&gt;=Controls!$B$21,E1068&lt;=Controls!$B$22),1,0)</f>
        <v/>
      </c>
      <c r="AE1068" s="3">
        <f>IF(IFERROR(VLOOKUP(D1068,Controls!$A$36:$E$46,2,FALSE()),"No")="Yes",1,0)</f>
        <v/>
      </c>
      <c r="AF1068" s="3">
        <f>IF(IFERROR(VLOOKUP(D1068,Controls!$A$36:$E$46,3,FALSE()),"No")="Yes",1,0)</f>
        <v/>
      </c>
      <c r="AG1068" s="3">
        <f>IF(IFERROR(VLOOKUP(D1068,Controls!$A$36:$E$46,4,FALSE()),"No")="Yes",1,0)</f>
        <v/>
      </c>
      <c r="AH1068" s="3">
        <f>IF(IFERROR(VLOOKUP(D1068,Controls!$A$36:$E$46,5,FALSE()),"No")="Yes",1,0)</f>
        <v/>
      </c>
      <c r="AI1068" s="3">
        <f>IF(ISNUMBER(MATCH(D1068,Controls!$A$36:$A$46,0)),1,0)</f>
        <v/>
      </c>
      <c r="AJ1068" s="28">
        <f>Q1068-N1068</f>
        <v/>
      </c>
      <c r="AK1068" s="3">
        <f>IF(AE1068=1,MAX(0,N1068-Q1068),0)</f>
        <v/>
      </c>
      <c r="AL1068" s="3">
        <f>IF(OR(V1068="",V1068=0),0,N1068/V1068)</f>
        <v/>
      </c>
      <c r="AM1068" s="3">
        <f>IF(OR(V1068="",V1068=0),0,1)</f>
        <v/>
      </c>
      <c r="AN1068" s="3">
        <f>IF(OR(E1068="",F1068=""),0,NETWORKDAYS(E1068,F1068,Ref!$K$2:$K$42))</f>
        <v/>
      </c>
      <c r="AO1068" s="3">
        <f>IF(L1068="Renewal",1,0)</f>
        <v/>
      </c>
      <c r="AP1068" s="3">
        <f>AC1068*AD1068</f>
        <v/>
      </c>
      <c r="AQ1068" s="3">
        <f>IF(AND(G1068&lt;&gt;"",'Historical Score'!$C$6&lt;&gt;""),IF(G1068='Historical Score'!$C$6,1,0),0)</f>
        <v/>
      </c>
      <c r="AR1068" s="3">
        <f>IF(AND(L1068&lt;&gt;"",'Historical Score'!$C$5&lt;&gt;""),IF(L1068='Historical Score'!$C$5,1,0),0)</f>
        <v/>
      </c>
      <c r="AS1068" s="3">
        <f>IF(AND(Y1068&lt;&gt;"",'Historical Score'!$C$7&lt;&gt;""),IF(Y1068='Historical Score'!$C$7,1,0),0)</f>
        <v/>
      </c>
      <c r="AT1068" s="3">
        <f>IF(AND(K1068&lt;&gt;"",'Historical Score'!$C$8&lt;&gt;""),IF(K1068='Historical Score'!$C$8,1,0),0)</f>
        <v/>
      </c>
      <c r="AU1068" s="3" t="n"/>
      <c r="AV1068" s="3" t="n"/>
      <c r="AW1068" s="3" t="n"/>
      <c r="AX1068" s="3" t="n"/>
      <c r="AY1068" s="3" t="n"/>
      <c r="AZ1068" s="3" t="n"/>
      <c r="BA1068" s="182">
        <f>IF(AD1068=1,(AR1068*'Historical Score'!$K$29+1-'Historical Score'!$K$29)*(AT1068*'Historical Score'!$L$29+1-'Historical Score'!$L$29)*(AS1068*'Historical Score'!$M$29+1-'Historical Score'!$M$29)*(AQ1068*'Historical Score'!$N$29+1-'Historical Score'!$N$29),0)</f>
        <v/>
      </c>
      <c r="BB1068" s="3" t="n"/>
      <c r="BC1068" s="3" t="n"/>
    </row>
    <row r="1069" ht="15" customHeight="1" s="174">
      <c r="A1069" s="3" t="n"/>
      <c r="B1069" s="3" t="n"/>
      <c r="C1069" s="3" t="n"/>
      <c r="D1069" s="3" t="n"/>
      <c r="E1069" s="3" t="n"/>
      <c r="F1069" s="3" t="n"/>
      <c r="G1069" s="3" t="n"/>
      <c r="H1069" s="3" t="n"/>
      <c r="I1069" s="3" t="n"/>
      <c r="J1069" s="3" t="n"/>
      <c r="K1069" s="3" t="n"/>
      <c r="L1069" s="3" t="n"/>
      <c r="M1069" s="3" t="n"/>
      <c r="N1069" s="3" t="n"/>
      <c r="O1069" s="3" t="n"/>
      <c r="P1069" s="3" t="n"/>
      <c r="Q1069" s="3" t="n"/>
      <c r="R1069" s="3" t="n"/>
      <c r="S1069" s="3" t="n"/>
      <c r="T1069" s="3" t="n"/>
      <c r="U1069" s="3" t="n"/>
      <c r="V1069" s="3" t="n"/>
      <c r="W1069" s="3" t="n"/>
      <c r="X1069" s="3" t="n"/>
      <c r="Y1069" s="3" t="n"/>
      <c r="Z1069" s="3" t="n"/>
      <c r="AA1069" s="3" t="n"/>
      <c r="AB1069" s="3" t="n"/>
      <c r="AC1069" s="3" t="n"/>
      <c r="AD1069" s="3" t="n"/>
      <c r="AE1069" s="3" t="n"/>
      <c r="AF1069" s="3" t="n"/>
      <c r="AG1069" s="3" t="n"/>
      <c r="AH1069" s="3" t="n"/>
      <c r="AI1069" s="3" t="n"/>
      <c r="AJ1069" s="3" t="n"/>
      <c r="AK1069" s="3" t="n"/>
      <c r="AL1069" s="3" t="n"/>
      <c r="AM1069" s="3" t="n"/>
      <c r="AN1069" s="3" t="n"/>
      <c r="AO1069" s="3" t="n"/>
      <c r="AP1069" s="3" t="n"/>
      <c r="AQ1069" s="3" t="n"/>
      <c r="AR1069" s="3" t="n"/>
      <c r="AS1069" s="3" t="n"/>
      <c r="AT1069" s="3" t="n"/>
      <c r="AU1069" s="3" t="n"/>
      <c r="AV1069" s="3" t="n"/>
      <c r="AW1069" s="3" t="n"/>
      <c r="AX1069" s="3" t="n"/>
      <c r="AY1069" s="3" t="n"/>
      <c r="AZ1069" s="3" t="n"/>
      <c r="BA1069" s="3" t="n"/>
      <c r="BB1069" s="3" t="n"/>
      <c r="BC1069" s="3" t="n"/>
    </row>
    <row r="1070" ht="15" customHeight="1" s="174">
      <c r="A1070" s="3" t="n"/>
      <c r="B1070" s="3" t="n"/>
      <c r="C1070" s="3" t="n"/>
      <c r="D1070" s="3" t="n"/>
      <c r="E1070" s="3" t="n"/>
      <c r="F1070" s="3" t="n"/>
      <c r="G1070" s="3" t="n"/>
      <c r="H1070" s="3" t="n"/>
      <c r="I1070" s="3" t="n"/>
      <c r="J1070" s="3" t="n"/>
      <c r="K1070" s="3" t="n"/>
      <c r="L1070" s="3" t="n"/>
      <c r="M1070" s="3" t="n"/>
      <c r="N1070" s="3" t="n"/>
      <c r="O1070" s="3" t="n"/>
      <c r="P1070" s="3" t="n"/>
      <c r="Q1070" s="3" t="n"/>
      <c r="R1070" s="3" t="n"/>
      <c r="S1070" s="3" t="n"/>
      <c r="T1070" s="3" t="n"/>
      <c r="U1070" s="3" t="n"/>
      <c r="V1070" s="3" t="n"/>
      <c r="W1070" s="3" t="n"/>
      <c r="X1070" s="3" t="n"/>
      <c r="Y1070" s="3" t="n"/>
      <c r="Z1070" s="3" t="n"/>
      <c r="AA1070" s="3" t="n"/>
      <c r="AB1070" s="3" t="n"/>
      <c r="AC1070" s="3" t="n"/>
      <c r="AD1070" s="3" t="n"/>
      <c r="AE1070" s="3" t="n"/>
      <c r="AF1070" s="3" t="n"/>
      <c r="AG1070" s="3" t="n"/>
      <c r="AH1070" s="3" t="n"/>
      <c r="AI1070" s="3" t="n"/>
      <c r="AJ1070" s="3" t="n"/>
      <c r="AK1070" s="3" t="n"/>
      <c r="AL1070" s="3" t="n"/>
      <c r="AM1070" s="3" t="n"/>
      <c r="AN1070" s="3" t="n"/>
      <c r="AO1070" s="3" t="n"/>
      <c r="AP1070" s="3" t="n"/>
      <c r="AQ1070" s="3" t="n"/>
      <c r="AR1070" s="3" t="n"/>
      <c r="AS1070" s="3" t="n"/>
      <c r="AT1070" s="3" t="n"/>
      <c r="AU1070" s="3" t="n"/>
      <c r="AV1070" s="3" t="n"/>
      <c r="AW1070" s="3" t="n"/>
      <c r="AX1070" s="3" t="n"/>
      <c r="AY1070" s="3" t="n"/>
      <c r="AZ1070" s="3" t="n"/>
      <c r="BA1070" s="3" t="n"/>
      <c r="BB1070" s="3" t="n"/>
      <c r="BC1070" s="3" t="n"/>
    </row>
    <row r="1071" ht="15" customHeight="1" s="174">
      <c r="A1071" s="3" t="n"/>
      <c r="B1071" s="3" t="n"/>
      <c r="C1071" s="3" t="n"/>
      <c r="D1071" s="3" t="n"/>
      <c r="E1071" s="3" t="n"/>
      <c r="F1071" s="3" t="n"/>
      <c r="G1071" s="3" t="n"/>
      <c r="H1071" s="3" t="n"/>
      <c r="I1071" s="3" t="n"/>
      <c r="J1071" s="3" t="n"/>
      <c r="K1071" s="3" t="n"/>
      <c r="L1071" s="3" t="n"/>
      <c r="M1071" s="3" t="n"/>
      <c r="N1071" s="3" t="n"/>
      <c r="O1071" s="3" t="n"/>
      <c r="P1071" s="3" t="n"/>
      <c r="Q1071" s="3" t="n"/>
      <c r="R1071" s="3" t="n"/>
      <c r="S1071" s="3" t="n"/>
      <c r="T1071" s="3" t="n"/>
      <c r="U1071" s="3" t="n"/>
      <c r="V1071" s="3" t="n"/>
      <c r="W1071" s="3" t="n"/>
      <c r="X1071" s="3" t="n"/>
      <c r="Y1071" s="3" t="n"/>
      <c r="Z1071" s="3" t="n"/>
      <c r="AA1071" s="3" t="n"/>
      <c r="AB1071" s="3" t="n"/>
      <c r="AC1071" s="3" t="n"/>
      <c r="AD1071" s="3" t="n"/>
      <c r="AE1071" s="3" t="n"/>
      <c r="AF1071" s="3" t="n"/>
      <c r="AG1071" s="3" t="n"/>
      <c r="AH1071" s="3" t="n"/>
      <c r="AI1071" s="3" t="n"/>
      <c r="AJ1071" s="3" t="n"/>
      <c r="AK1071" s="3" t="n"/>
      <c r="AL1071" s="3" t="n"/>
      <c r="AM1071" s="3" t="n"/>
      <c r="AN1071" s="3" t="n"/>
      <c r="AO1071" s="3" t="n"/>
      <c r="AP1071" s="3" t="n"/>
      <c r="AQ1071" s="3" t="n"/>
      <c r="AR1071" s="3" t="n"/>
      <c r="AS1071" s="3" t="n"/>
      <c r="AT1071" s="3" t="n"/>
      <c r="AU1071" s="3" t="n"/>
      <c r="AV1071" s="3" t="n"/>
      <c r="AW1071" s="3" t="n"/>
      <c r="AX1071" s="3" t="n"/>
      <c r="AY1071" s="3" t="n"/>
      <c r="AZ1071" s="3" t="n"/>
      <c r="BA1071" s="3" t="n"/>
      <c r="BB1071" s="3" t="n"/>
      <c r="BC1071" s="3" t="n"/>
    </row>
    <row r="1072" ht="15" customHeight="1" s="174">
      <c r="A1072" s="3" t="n"/>
      <c r="B1072" s="3" t="n"/>
      <c r="C1072" s="3" t="n"/>
      <c r="D1072" s="3" t="n"/>
      <c r="E1072" s="3" t="n"/>
      <c r="F1072" s="3" t="n"/>
      <c r="G1072" s="3" t="n"/>
      <c r="H1072" s="3" t="n"/>
      <c r="I1072" s="3" t="n"/>
      <c r="J1072" s="3" t="n"/>
      <c r="K1072" s="3" t="n"/>
      <c r="L1072" s="3" t="n"/>
      <c r="M1072" s="3" t="n"/>
      <c r="N1072" s="3" t="n"/>
      <c r="O1072" s="3" t="n"/>
      <c r="P1072" s="3" t="n"/>
      <c r="Q1072" s="3" t="n"/>
      <c r="R1072" s="3" t="n"/>
      <c r="S1072" s="3" t="n"/>
      <c r="T1072" s="3" t="n"/>
      <c r="U1072" s="3" t="n"/>
      <c r="V1072" s="3" t="n"/>
      <c r="W1072" s="3" t="n"/>
      <c r="X1072" s="3" t="n"/>
      <c r="Y1072" s="3" t="n"/>
      <c r="Z1072" s="3" t="n"/>
      <c r="AA1072" s="3" t="n"/>
      <c r="AB1072" s="3" t="n"/>
      <c r="AC1072" s="3" t="n"/>
      <c r="AD1072" s="3" t="n"/>
      <c r="AE1072" s="3" t="n"/>
      <c r="AF1072" s="3" t="n"/>
      <c r="AG1072" s="3" t="n"/>
      <c r="AH1072" s="3" t="n"/>
      <c r="AI1072" s="3" t="n"/>
      <c r="AJ1072" s="3" t="n"/>
      <c r="AK1072" s="3" t="n"/>
      <c r="AL1072" s="3" t="n"/>
      <c r="AM1072" s="3" t="n"/>
      <c r="AN1072" s="3" t="n"/>
      <c r="AO1072" s="3" t="n"/>
      <c r="AP1072" s="3" t="n"/>
      <c r="AQ1072" s="3" t="n"/>
      <c r="AR1072" s="3" t="n"/>
      <c r="AS1072" s="3" t="n"/>
      <c r="AT1072" s="3" t="n"/>
      <c r="AU1072" s="3" t="n"/>
      <c r="AV1072" s="3" t="n"/>
      <c r="AW1072" s="3" t="n"/>
      <c r="AX1072" s="3" t="n"/>
      <c r="AY1072" s="3" t="n"/>
      <c r="AZ1072" s="3" t="n"/>
      <c r="BA1072" s="3" t="n"/>
      <c r="BB1072" s="3" t="n"/>
      <c r="BC1072" s="3" t="n"/>
    </row>
    <row r="1073" ht="15" customHeight="1" s="174">
      <c r="A1073" s="3" t="n"/>
      <c r="B1073" s="3" t="n"/>
      <c r="C1073" s="3" t="n"/>
      <c r="D1073" s="3" t="n"/>
      <c r="E1073" s="3" t="n"/>
      <c r="F1073" s="3" t="n"/>
      <c r="G1073" s="3" t="n"/>
      <c r="H1073" s="3" t="n"/>
      <c r="I1073" s="3" t="n"/>
      <c r="J1073" s="3" t="n"/>
      <c r="K1073" s="3" t="n"/>
      <c r="L1073" s="3" t="n"/>
      <c r="M1073" s="3" t="n"/>
      <c r="N1073" s="3" t="n"/>
      <c r="O1073" s="3" t="n"/>
      <c r="P1073" s="3" t="n"/>
      <c r="Q1073" s="3" t="n"/>
      <c r="R1073" s="3" t="n"/>
      <c r="S1073" s="3" t="n"/>
      <c r="T1073" s="3" t="n"/>
      <c r="U1073" s="3" t="n"/>
      <c r="V1073" s="3" t="n"/>
      <c r="W1073" s="3" t="n"/>
      <c r="X1073" s="3" t="n"/>
      <c r="Y1073" s="3" t="n"/>
      <c r="Z1073" s="3" t="n"/>
      <c r="AA1073" s="3" t="n"/>
      <c r="AB1073" s="3" t="n"/>
      <c r="AC1073" s="3" t="n"/>
      <c r="AD1073" s="3" t="n"/>
      <c r="AE1073" s="3" t="n"/>
      <c r="AF1073" s="3" t="n"/>
      <c r="AG1073" s="3" t="n"/>
      <c r="AH1073" s="3" t="n"/>
      <c r="AI1073" s="3" t="n"/>
      <c r="AJ1073" s="3" t="n"/>
      <c r="AK1073" s="3" t="n"/>
      <c r="AL1073" s="3" t="n"/>
      <c r="AM1073" s="3" t="n"/>
      <c r="AN1073" s="3" t="n"/>
      <c r="AO1073" s="3" t="n"/>
      <c r="AP1073" s="3" t="n"/>
      <c r="AQ1073" s="3" t="n"/>
      <c r="AR1073" s="3" t="n"/>
      <c r="AS1073" s="3" t="n"/>
      <c r="AT1073" s="3" t="n"/>
      <c r="AU1073" s="3" t="n"/>
      <c r="AV1073" s="3" t="n"/>
      <c r="AW1073" s="3" t="n"/>
      <c r="AX1073" s="3" t="n"/>
      <c r="AY1073" s="3" t="n"/>
      <c r="AZ1073" s="3" t="n"/>
      <c r="BA1073" s="3" t="n"/>
      <c r="BB1073" s="3" t="n"/>
      <c r="BC1073" s="3" t="n"/>
    </row>
    <row r="1074" ht="15" customHeight="1" s="174">
      <c r="A1074" s="3" t="n"/>
      <c r="B1074" s="3" t="n"/>
      <c r="C1074" s="3" t="n"/>
      <c r="D1074" s="3" t="n"/>
      <c r="E1074" s="3" t="n"/>
      <c r="F1074" s="3" t="n"/>
      <c r="G1074" s="3" t="n"/>
      <c r="H1074" s="3" t="n"/>
      <c r="I1074" s="3" t="n"/>
      <c r="J1074" s="3" t="n"/>
      <c r="K1074" s="3" t="n"/>
      <c r="L1074" s="3" t="n"/>
      <c r="M1074" s="3" t="n"/>
      <c r="N1074" s="3" t="n"/>
      <c r="O1074" s="3" t="n"/>
      <c r="P1074" s="3" t="n"/>
      <c r="Q1074" s="3" t="n"/>
      <c r="R1074" s="3" t="n"/>
      <c r="S1074" s="3" t="n"/>
      <c r="T1074" s="3" t="n"/>
      <c r="U1074" s="3" t="n"/>
      <c r="V1074" s="3" t="n"/>
      <c r="W1074" s="3" t="n"/>
      <c r="X1074" s="3" t="n"/>
      <c r="Y1074" s="3" t="n"/>
      <c r="Z1074" s="3" t="n"/>
      <c r="AA1074" s="3" t="n"/>
      <c r="AB1074" s="3" t="n"/>
      <c r="AC1074" s="3" t="n"/>
      <c r="AD1074" s="3" t="n"/>
      <c r="AE1074" s="3" t="n"/>
      <c r="AF1074" s="3" t="n"/>
      <c r="AG1074" s="3" t="n"/>
      <c r="AH1074" s="3" t="n"/>
      <c r="AI1074" s="3" t="n"/>
      <c r="AJ1074" s="3" t="n"/>
      <c r="AK1074" s="3" t="n"/>
      <c r="AL1074" s="3" t="n"/>
      <c r="AM1074" s="3" t="n"/>
      <c r="AN1074" s="3" t="n"/>
      <c r="AO1074" s="3" t="n"/>
      <c r="AP1074" s="3" t="n"/>
      <c r="AQ1074" s="3" t="n"/>
      <c r="AR1074" s="3" t="n"/>
      <c r="AS1074" s="3" t="n"/>
      <c r="AT1074" s="3" t="n"/>
      <c r="AU1074" s="3" t="n"/>
      <c r="AV1074" s="3" t="n"/>
      <c r="AW1074" s="3" t="n"/>
      <c r="AX1074" s="3" t="n"/>
      <c r="AY1074" s="3" t="n"/>
      <c r="AZ1074" s="3" t="n"/>
      <c r="BA1074" s="3" t="n"/>
      <c r="BB1074" s="3" t="n"/>
      <c r="BC1074" s="3" t="n"/>
    </row>
    <row r="1075" ht="15" customHeight="1" s="174">
      <c r="A1075" s="3" t="n"/>
      <c r="B1075" s="3" t="n"/>
      <c r="C1075" s="3" t="n"/>
      <c r="D1075" s="3" t="n"/>
      <c r="E1075" s="3" t="n"/>
      <c r="F1075" s="3" t="n"/>
      <c r="G1075" s="3" t="n"/>
      <c r="H1075" s="3" t="n"/>
      <c r="I1075" s="3" t="n"/>
      <c r="J1075" s="3" t="n"/>
      <c r="K1075" s="3" t="n"/>
      <c r="L1075" s="3" t="n"/>
      <c r="M1075" s="3" t="n"/>
      <c r="N1075" s="3" t="n"/>
      <c r="O1075" s="3" t="n"/>
      <c r="P1075" s="3" t="n"/>
      <c r="Q1075" s="3" t="n"/>
      <c r="R1075" s="3" t="n"/>
      <c r="S1075" s="3" t="n"/>
      <c r="T1075" s="3" t="n"/>
      <c r="U1075" s="3" t="n"/>
      <c r="V1075" s="3" t="n"/>
      <c r="W1075" s="3" t="n"/>
      <c r="X1075" s="3" t="n"/>
      <c r="Y1075" s="3" t="n"/>
      <c r="Z1075" s="3" t="n"/>
      <c r="AA1075" s="3" t="n"/>
      <c r="AB1075" s="3" t="n"/>
      <c r="AC1075" s="3" t="n"/>
      <c r="AD1075" s="3" t="n"/>
      <c r="AE1075" s="3" t="n"/>
      <c r="AF1075" s="3" t="n"/>
      <c r="AG1075" s="3" t="n"/>
      <c r="AH1075" s="3" t="n"/>
      <c r="AI1075" s="3" t="n"/>
      <c r="AJ1075" s="3" t="n"/>
      <c r="AK1075" s="3" t="n"/>
      <c r="AL1075" s="3" t="n"/>
      <c r="AM1075" s="3" t="n"/>
      <c r="AN1075" s="3" t="n"/>
      <c r="AO1075" s="3" t="n"/>
      <c r="AP1075" s="3" t="n"/>
      <c r="AQ1075" s="3" t="n"/>
      <c r="AR1075" s="3" t="n"/>
      <c r="AS1075" s="3" t="n"/>
      <c r="AT1075" s="3" t="n"/>
      <c r="AU1075" s="3" t="n"/>
      <c r="AV1075" s="3" t="n"/>
      <c r="AW1075" s="3" t="n"/>
      <c r="AX1075" s="3" t="n"/>
      <c r="AY1075" s="3" t="n"/>
      <c r="AZ1075" s="3" t="n"/>
      <c r="BA1075" s="3" t="n"/>
      <c r="BB1075" s="3" t="n"/>
      <c r="BC1075" s="3" t="n"/>
    </row>
    <row r="1076" ht="15" customHeight="1" s="174">
      <c r="A1076" s="3" t="n"/>
      <c r="B1076" s="3" t="n"/>
      <c r="C1076" s="3" t="n"/>
      <c r="D1076" s="3" t="n"/>
      <c r="E1076" s="3" t="n"/>
      <c r="F1076" s="3" t="n"/>
      <c r="G1076" s="3" t="n"/>
      <c r="H1076" s="3" t="n"/>
      <c r="I1076" s="3" t="n"/>
      <c r="J1076" s="3" t="n"/>
      <c r="K1076" s="3" t="n"/>
      <c r="L1076" s="3" t="n"/>
      <c r="M1076" s="3" t="n"/>
      <c r="N1076" s="3" t="n"/>
      <c r="O1076" s="3" t="n"/>
      <c r="P1076" s="3" t="n"/>
      <c r="Q1076" s="3" t="n"/>
      <c r="R1076" s="3" t="n"/>
      <c r="S1076" s="3" t="n"/>
      <c r="T1076" s="3" t="n"/>
      <c r="U1076" s="3" t="n"/>
      <c r="V1076" s="3" t="n"/>
      <c r="W1076" s="3" t="n"/>
      <c r="X1076" s="3" t="n"/>
      <c r="Y1076" s="3" t="n"/>
      <c r="Z1076" s="3" t="n"/>
      <c r="AA1076" s="3" t="n"/>
      <c r="AB1076" s="3" t="n"/>
      <c r="AC1076" s="3" t="n"/>
      <c r="AD1076" s="3" t="n"/>
      <c r="AE1076" s="3" t="n"/>
      <c r="AF1076" s="3" t="n"/>
      <c r="AG1076" s="3" t="n"/>
      <c r="AH1076" s="3" t="n"/>
      <c r="AI1076" s="3" t="n"/>
      <c r="AJ1076" s="3" t="n"/>
      <c r="AK1076" s="3" t="n"/>
      <c r="AL1076" s="3" t="n"/>
      <c r="AM1076" s="3" t="n"/>
      <c r="AN1076" s="3" t="n"/>
      <c r="AO1076" s="3" t="n"/>
      <c r="AP1076" s="3" t="n"/>
      <c r="AQ1076" s="3" t="n"/>
      <c r="AR1076" s="3" t="n"/>
      <c r="AS1076" s="3" t="n"/>
      <c r="AT1076" s="3" t="n"/>
      <c r="AU1076" s="3" t="n"/>
      <c r="AV1076" s="3" t="n"/>
      <c r="AW1076" s="3" t="n"/>
      <c r="AX1076" s="3" t="n"/>
      <c r="AY1076" s="3" t="n"/>
      <c r="AZ1076" s="3" t="n"/>
      <c r="BA1076" s="3" t="n"/>
      <c r="BB1076" s="3" t="n"/>
      <c r="BC1076" s="3" t="n"/>
    </row>
    <row r="1077" ht="15" customHeight="1" s="174">
      <c r="A1077" s="3" t="n"/>
      <c r="B1077" s="3" t="n"/>
      <c r="C1077" s="3" t="n"/>
      <c r="D1077" s="3" t="n"/>
      <c r="E1077" s="3" t="n"/>
      <c r="F1077" s="3" t="n"/>
      <c r="G1077" s="3" t="n"/>
      <c r="H1077" s="3" t="n"/>
      <c r="I1077" s="3" t="n"/>
      <c r="J1077" s="3" t="n"/>
      <c r="K1077" s="3" t="n"/>
      <c r="L1077" s="3" t="n"/>
      <c r="M1077" s="3" t="n"/>
      <c r="N1077" s="3" t="n"/>
      <c r="O1077" s="3" t="n"/>
      <c r="P1077" s="3" t="n"/>
      <c r="Q1077" s="3" t="n"/>
      <c r="R1077" s="3" t="n"/>
      <c r="S1077" s="3" t="n"/>
      <c r="T1077" s="3" t="n"/>
      <c r="U1077" s="3" t="n"/>
      <c r="V1077" s="3" t="n"/>
      <c r="W1077" s="3" t="n"/>
      <c r="X1077" s="3" t="n"/>
      <c r="Y1077" s="3" t="n"/>
      <c r="Z1077" s="3" t="n"/>
      <c r="AA1077" s="3" t="n"/>
      <c r="AB1077" s="3" t="n"/>
      <c r="AC1077" s="3" t="n"/>
      <c r="AD1077" s="3" t="n"/>
      <c r="AE1077" s="3" t="n"/>
      <c r="AF1077" s="3" t="n"/>
      <c r="AG1077" s="3" t="n"/>
      <c r="AH1077" s="3" t="n"/>
      <c r="AI1077" s="3" t="n"/>
      <c r="AJ1077" s="3" t="n"/>
      <c r="AK1077" s="3" t="n"/>
      <c r="AL1077" s="3" t="n"/>
      <c r="AM1077" s="3" t="n"/>
      <c r="AN1077" s="3" t="n"/>
      <c r="AO1077" s="3" t="n"/>
      <c r="AP1077" s="3" t="n"/>
      <c r="AQ1077" s="3" t="n"/>
      <c r="AR1077" s="3" t="n"/>
      <c r="AS1077" s="3" t="n"/>
      <c r="AT1077" s="3" t="n"/>
      <c r="AU1077" s="3" t="n"/>
      <c r="AV1077" s="3" t="n"/>
      <c r="AW1077" s="3" t="n"/>
      <c r="AX1077" s="3" t="n"/>
      <c r="AY1077" s="3" t="n"/>
      <c r="AZ1077" s="3" t="n"/>
      <c r="BA1077" s="3" t="n"/>
      <c r="BB1077" s="3" t="n"/>
      <c r="BC1077" s="3" t="n"/>
    </row>
    <row r="1078" ht="15" customHeight="1" s="174">
      <c r="A1078" s="3" t="n"/>
      <c r="B1078" s="3" t="n"/>
      <c r="C1078" s="3" t="n"/>
      <c r="D1078" s="3" t="n"/>
      <c r="E1078" s="3" t="n"/>
      <c r="F1078" s="3" t="n"/>
      <c r="G1078" s="3" t="n"/>
      <c r="H1078" s="3" t="n"/>
      <c r="I1078" s="3" t="n"/>
      <c r="J1078" s="3" t="n"/>
      <c r="K1078" s="3" t="n"/>
      <c r="L1078" s="3" t="n"/>
      <c r="M1078" s="3" t="n"/>
      <c r="N1078" s="3" t="n"/>
      <c r="O1078" s="3" t="n"/>
      <c r="P1078" s="3" t="n"/>
      <c r="Q1078" s="3" t="n"/>
      <c r="R1078" s="3" t="n"/>
      <c r="S1078" s="3" t="n"/>
      <c r="T1078" s="3" t="n"/>
      <c r="U1078" s="3" t="n"/>
      <c r="V1078" s="3" t="n"/>
      <c r="W1078" s="3" t="n"/>
      <c r="X1078" s="3" t="n"/>
      <c r="Y1078" s="3" t="n"/>
      <c r="Z1078" s="3" t="n"/>
      <c r="AA1078" s="3" t="n"/>
      <c r="AB1078" s="3" t="n"/>
      <c r="AC1078" s="3" t="n"/>
      <c r="AD1078" s="3" t="n"/>
      <c r="AE1078" s="3" t="n"/>
      <c r="AF1078" s="3" t="n"/>
      <c r="AG1078" s="3" t="n"/>
      <c r="AH1078" s="3" t="n"/>
      <c r="AI1078" s="3" t="n"/>
      <c r="AJ1078" s="3" t="n"/>
      <c r="AK1078" s="3" t="n"/>
      <c r="AL1078" s="3" t="n"/>
      <c r="AM1078" s="3" t="n"/>
      <c r="AN1078" s="3" t="n"/>
      <c r="AO1078" s="3" t="n"/>
      <c r="AP1078" s="3" t="n"/>
      <c r="AQ1078" s="3" t="n"/>
      <c r="AR1078" s="3" t="n"/>
      <c r="AS1078" s="3" t="n"/>
      <c r="AT1078" s="3" t="n"/>
      <c r="AU1078" s="3" t="n"/>
      <c r="AV1078" s="3" t="n"/>
      <c r="AW1078" s="3" t="n"/>
      <c r="AX1078" s="3" t="n"/>
      <c r="AY1078" s="3" t="n"/>
      <c r="AZ1078" s="3" t="n"/>
      <c r="BA1078" s="3" t="n"/>
      <c r="BB1078" s="3" t="n"/>
      <c r="BC1078" s="3" t="n"/>
    </row>
    <row r="1079" ht="15" customHeight="1" s="174">
      <c r="A1079" s="3" t="n"/>
      <c r="B1079" s="3" t="n"/>
      <c r="C1079" s="3" t="n"/>
      <c r="D1079" s="3" t="n"/>
      <c r="E1079" s="3" t="n"/>
      <c r="F1079" s="3" t="n"/>
      <c r="G1079" s="3" t="n"/>
      <c r="H1079" s="3" t="n"/>
      <c r="I1079" s="3" t="n"/>
      <c r="J1079" s="3" t="n"/>
      <c r="K1079" s="3" t="n"/>
      <c r="L1079" s="3" t="n"/>
      <c r="M1079" s="3" t="n"/>
      <c r="N1079" s="3" t="n"/>
      <c r="O1079" s="3" t="n"/>
      <c r="P1079" s="3" t="n"/>
      <c r="Q1079" s="3" t="n"/>
      <c r="R1079" s="3" t="n"/>
      <c r="S1079" s="3" t="n"/>
      <c r="T1079" s="3" t="n"/>
      <c r="U1079" s="3" t="n"/>
      <c r="V1079" s="3" t="n"/>
      <c r="W1079" s="3" t="n"/>
      <c r="X1079" s="3" t="n"/>
      <c r="Y1079" s="3" t="n"/>
      <c r="Z1079" s="3" t="n"/>
      <c r="AA1079" s="3" t="n"/>
      <c r="AB1079" s="3" t="n"/>
      <c r="AC1079" s="3" t="n"/>
      <c r="AD1079" s="3" t="n"/>
      <c r="AE1079" s="3" t="n"/>
      <c r="AF1079" s="3" t="n"/>
      <c r="AG1079" s="3" t="n"/>
      <c r="AH1079" s="3" t="n"/>
      <c r="AI1079" s="3" t="n"/>
      <c r="AJ1079" s="3" t="n"/>
      <c r="AK1079" s="3" t="n"/>
      <c r="AL1079" s="3" t="n"/>
      <c r="AM1079" s="3" t="n"/>
      <c r="AN1079" s="3" t="n"/>
      <c r="AO1079" s="3" t="n"/>
      <c r="AP1079" s="3" t="n"/>
      <c r="AQ1079" s="3" t="n"/>
      <c r="AR1079" s="3" t="n"/>
      <c r="AS1079" s="3" t="n"/>
      <c r="AT1079" s="3" t="n"/>
      <c r="AU1079" s="3" t="n"/>
      <c r="AV1079" s="3" t="n"/>
      <c r="AW1079" s="3" t="n"/>
      <c r="AX1079" s="3" t="n"/>
      <c r="AY1079" s="3" t="n"/>
      <c r="AZ1079" s="3" t="n"/>
      <c r="BA1079" s="3" t="n"/>
      <c r="BB1079" s="3" t="n"/>
      <c r="BC1079" s="3" t="n"/>
    </row>
  </sheetData>
  <pageMargins left="0.75" right="0.75" top="1" bottom="1" header="0" footer="0"/>
  <pageSetup orientation="portrait" fitToHeight="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V1000"/>
  <sheetViews>
    <sheetView showGridLines="0" workbookViewId="0">
      <selection activeCell="A1" sqref="A1"/>
    </sheetView>
  </sheetViews>
  <sheetFormatPr baseColWidth="8" defaultColWidth="14.43" defaultRowHeight="15" customHeight="1"/>
  <cols>
    <col width="52" customWidth="1" style="174" min="1" max="1"/>
    <col width="15" customWidth="1" style="174" min="2" max="5"/>
    <col width="13" customWidth="1" style="174" min="6" max="6"/>
  </cols>
  <sheetData>
    <row r="1" ht="17.25" customHeight="1" s="174">
      <c r="A1" s="2" t="inlineStr">
        <is>
          <t xml:space="preserve">CONTROLS 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</row>
    <row r="2" ht="15" customHeight="1" s="174">
      <c r="A2" s="6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</row>
    <row r="3" ht="15" customHeight="1" s="174">
      <c r="A3" s="127" t="inlineStr">
        <is>
          <t>1. PRICING BANDS</t>
        </is>
      </c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</row>
    <row r="4" ht="21.75" customHeight="1" s="174">
      <c r="A4" s="88" t="inlineStr">
        <is>
          <t>Score &gt;=</t>
        </is>
      </c>
      <c r="B4" s="88" t="inlineStr">
        <is>
          <t>Term cap (daily pmts)</t>
        </is>
      </c>
      <c r="C4" s="88" t="inlineStr">
        <is>
          <t>Factor</t>
        </is>
      </c>
      <c r="D4" s="88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</row>
    <row r="5" ht="15" customHeight="1" s="174">
      <c r="A5" s="150" t="n">
        <v>0</v>
      </c>
      <c r="B5" s="151" t="n">
        <v>100</v>
      </c>
      <c r="C5" s="169" t="n">
        <v>1.49</v>
      </c>
      <c r="D5" s="15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</row>
    <row r="6" ht="15" customHeight="1" s="174">
      <c r="A6" s="150" t="n">
        <v>5</v>
      </c>
      <c r="B6" s="151" t="n">
        <v>130</v>
      </c>
      <c r="C6" s="169" t="n">
        <v>1.45</v>
      </c>
      <c r="D6" s="153" t="n"/>
      <c r="E6" s="154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</row>
    <row r="7" ht="15" customHeight="1" s="174">
      <c r="A7" s="150" t="n">
        <v>6</v>
      </c>
      <c r="B7" s="151" t="n">
        <v>150</v>
      </c>
      <c r="C7" s="169" t="n">
        <v>1.45</v>
      </c>
      <c r="D7" s="153" t="n"/>
      <c r="E7" s="154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</row>
    <row r="8" ht="15" customHeight="1" s="174">
      <c r="A8" s="150" t="n">
        <v>7</v>
      </c>
      <c r="B8" s="151" t="n">
        <v>195</v>
      </c>
      <c r="C8" s="169" t="n">
        <v>1.4</v>
      </c>
      <c r="D8" s="169" t="n"/>
      <c r="E8" s="154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</row>
    <row r="9" ht="15" customHeight="1" s="174">
      <c r="A9" s="114" t="inlineStr">
        <is>
          <t>Max term (months)</t>
        </is>
      </c>
      <c r="B9" s="151" t="n">
        <v>9</v>
      </c>
      <c r="C9" s="151" t="n"/>
      <c r="D9" s="151" t="n"/>
      <c r="E9" s="154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</row>
    <row r="10" ht="15" customHeight="1" s="174">
      <c r="A10" s="114" t="n"/>
      <c r="B10" s="153" t="n"/>
      <c r="C10" s="153" t="n"/>
      <c r="D10" s="153" t="n"/>
      <c r="E10" s="154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</row>
    <row r="11" ht="15" customHeight="1" s="174">
      <c r="A11" s="199" t="inlineStr">
        <is>
          <t>2. CONVERSION CONSTANTS</t>
        </is>
      </c>
      <c r="B11" s="181" t="n"/>
      <c r="C11" s="181" t="n"/>
      <c r="D11" s="176" t="n"/>
      <c r="E11" s="154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</row>
    <row r="12" ht="15" customHeight="1" s="174">
      <c r="A12" s="114" t="inlineStr">
        <is>
          <t>Weeks per month (ours)</t>
        </is>
      </c>
      <c r="B12" s="156" t="n">
        <v>4.331</v>
      </c>
      <c r="C12" s="154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</row>
    <row r="13" ht="15" customHeight="1" s="174">
      <c r="A13" s="114" t="inlineStr">
        <is>
          <t>Business days per month (ours)</t>
        </is>
      </c>
      <c r="B13" s="156" t="n">
        <v>21.655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</row>
    <row r="14" ht="15" customHeight="1" s="174">
      <c r="A14" s="114" t="inlineStr">
        <is>
          <t>MoneyBadger weeks per month</t>
        </is>
      </c>
      <c r="B14" s="151" t="n">
        <v>4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</row>
    <row r="15" ht="15" customHeight="1" s="174">
      <c r="A15" s="114" t="inlineStr">
        <is>
          <t>MoneyBadger business days per month</t>
        </is>
      </c>
      <c r="B15" s="151" t="n">
        <v>21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</row>
    <row r="16" ht="15" customHeight="1" s="174">
      <c r="A16" s="114" t="inlineStr">
        <is>
          <t>Calendar days per month</t>
        </is>
      </c>
      <c r="B16" s="157" t="n">
        <v>30.436875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</row>
    <row r="17" ht="15" customHeight="1" s="174">
      <c r="A17" s="114" t="inlineStr">
        <is>
          <t>Assumed factor on existing positions</t>
        </is>
      </c>
      <c r="B17" s="169" t="n">
        <v>1.45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</row>
    <row r="18" ht="15" customHeight="1" s="174">
      <c r="A18" s="158" t="n"/>
      <c r="B18" s="158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</row>
    <row r="19" ht="15" customHeight="1" s="174">
      <c r="A19" s="159" t="inlineStr">
        <is>
          <t>3. HISTORICAL EVIDENCE SETTINGS</t>
        </is>
      </c>
      <c r="B19" s="200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</row>
    <row r="20" ht="15" customHeight="1" s="174">
      <c r="A20" s="161" t="inlineStr">
        <is>
          <t>As-of date (date of the CRM export)</t>
        </is>
      </c>
      <c r="B20" s="162" t="n">
        <v>46259</v>
      </c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</row>
    <row r="21" ht="15" customHeight="1" s="174">
      <c r="A21" s="163" t="inlineStr">
        <is>
          <t>Window: funded on or after</t>
        </is>
      </c>
      <c r="B21" s="162" t="n">
        <v>45597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</row>
    <row r="22" ht="15" customHeight="1" s="174">
      <c r="A22" s="163" t="inlineStr">
        <is>
          <t>Window: funded on or before</t>
        </is>
      </c>
      <c r="B22" s="162" t="n">
        <v>46259</v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</row>
    <row r="23" ht="15" customHeight="1" s="174">
      <c r="A23" s="114" t="inlineStr">
        <is>
          <t>Seasoning multiple (age &gt;= multiple x term)</t>
        </is>
      </c>
      <c r="B23" s="169" t="n">
        <v>1.25</v>
      </c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</row>
    <row r="24" ht="15" customHeight="1" s="174">
      <c r="A24" s="114" t="inlineStr">
        <is>
          <t>Minimum seasoned deals for a cohort to be primary</t>
        </is>
      </c>
      <c r="B24" s="151" t="n">
        <v>10</v>
      </c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</row>
    <row r="25" ht="15" customHeight="1" s="174">
      <c r="A25" s="114" t="inlineStr">
        <is>
          <t>Minimum seasoned funded $ for a cohort to be primary</t>
        </is>
      </c>
      <c r="B25" s="164" t="n">
        <v>150000</v>
      </c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</row>
    <row r="26" ht="15" customHeight="1" s="174">
      <c r="A26" s="114" t="inlineStr">
        <is>
          <t>Seasoned deals for the sample-size indicator to be GREEN</t>
        </is>
      </c>
      <c r="B26" s="151" t="n">
        <v>30</v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</row>
    <row r="27" ht="15" customHeight="1" s="174">
      <c r="A27" s="201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</row>
    <row r="28" ht="15" customHeight="1" s="174">
      <c r="A28" s="167" t="inlineStr">
        <is>
          <t>4. HOUSE-BOOK OUTCOME  primary cohort PLR / seasoned-book PLR</t>
        </is>
      </c>
      <c r="B28" s="181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</row>
    <row r="29" ht="15" customHeight="1" s="174">
      <c r="A29" s="114" t="inlineStr">
        <is>
          <t>SUPPORTIVE when index at or below</t>
        </is>
      </c>
      <c r="B29" s="168" t="n">
        <v>0.85</v>
      </c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</row>
    <row r="30" ht="15" customHeight="1" s="174">
      <c r="A30" s="114" t="inlineStr">
        <is>
          <t>NEGATIVE when index above</t>
        </is>
      </c>
      <c r="B30" s="169" t="n">
        <v>0.87</v>
      </c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</row>
    <row r="31" ht="15" customHeight="1" s="174">
      <c r="A31" s="114" t="inlineStr">
        <is>
          <t>Supportive: sizing flex (0 = green line, 1 = red line)</t>
        </is>
      </c>
      <c r="B31" s="171" t="n">
        <v>0.25</v>
      </c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</row>
    <row r="32" ht="15" customHeight="1" s="174">
      <c r="A32" s="114" t="inlineStr">
        <is>
          <t xml:space="preserve">Negative: fund cut % </t>
        </is>
      </c>
      <c r="B32" s="171" t="n">
        <v>0.2</v>
      </c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</row>
    <row r="33" ht="15" customHeight="1" s="174">
      <c r="A33" s="114" t="n"/>
      <c r="B33" s="169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</row>
    <row r="34" ht="15" customHeight="1" s="174">
      <c r="A34" s="127" t="inlineStr">
        <is>
          <t>5. STATUS</t>
        </is>
      </c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</row>
    <row r="35" ht="15" customHeight="1" s="174">
      <c r="A35" s="88" t="inlineStr">
        <is>
          <t>Status</t>
        </is>
      </c>
      <c r="B35" s="88" t="inlineStr">
        <is>
          <t>Default?</t>
        </is>
      </c>
      <c r="C35" s="88" t="inlineStr">
        <is>
          <t>Resolved?</t>
        </is>
      </c>
      <c r="D35" s="88" t="inlineStr">
        <is>
          <t>Closed?</t>
        </is>
      </c>
      <c r="E35" s="88" t="inlineStr">
        <is>
          <t>Open?</t>
        </is>
      </c>
      <c r="F35" s="88" t="inlineStr">
        <is>
          <t>Deals in file</t>
        </is>
      </c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</row>
    <row r="36" ht="15" customHeight="1" s="174">
      <c r="A36" s="114" t="inlineStr">
        <is>
          <t>Closed</t>
        </is>
      </c>
      <c r="B36" s="162" t="inlineStr">
        <is>
          <t>No</t>
        </is>
      </c>
      <c r="C36" s="172" t="inlineStr">
        <is>
          <t>Yes</t>
        </is>
      </c>
      <c r="D36" s="172" t="inlineStr">
        <is>
          <t>Yes</t>
        </is>
      </c>
      <c r="E36" s="172" t="inlineStr">
        <is>
          <t>No</t>
        </is>
      </c>
      <c r="F36" s="37">
        <f>COUNTIF('Historical Data'!$D$2:$D$1068,A36)</f>
        <v/>
      </c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</row>
    <row r="37" ht="15" customHeight="1" s="174">
      <c r="A37" s="114" t="inlineStr">
        <is>
          <t>Open</t>
        </is>
      </c>
      <c r="B37" s="162" t="inlineStr">
        <is>
          <t>No</t>
        </is>
      </c>
      <c r="C37" s="172" t="inlineStr">
        <is>
          <t>No</t>
        </is>
      </c>
      <c r="D37" s="172" t="inlineStr">
        <is>
          <t>No</t>
        </is>
      </c>
      <c r="E37" s="172" t="inlineStr">
        <is>
          <t>Yes</t>
        </is>
      </c>
      <c r="F37" s="37">
        <f>COUNTIF('Historical Data'!$D$2:$D$1068,A37)</f>
        <v/>
      </c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</row>
    <row r="38" ht="15" customHeight="1" s="174">
      <c r="A38" s="114" t="inlineStr">
        <is>
          <t>Legal</t>
        </is>
      </c>
      <c r="B38" s="162" t="inlineStr">
        <is>
          <t>Yes</t>
        </is>
      </c>
      <c r="C38" s="172" t="inlineStr">
        <is>
          <t>No</t>
        </is>
      </c>
      <c r="D38" s="172" t="inlineStr">
        <is>
          <t>No</t>
        </is>
      </c>
      <c r="E38" s="172" t="inlineStr">
        <is>
          <t>No</t>
        </is>
      </c>
      <c r="F38" s="37">
        <f>COUNTIF('Historical Data'!$D$2:$D$1068,A38)</f>
        <v/>
      </c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</row>
    <row r="39" ht="15" customHeight="1" s="174">
      <c r="A39" s="114" t="inlineStr">
        <is>
          <t>In House Collection</t>
        </is>
      </c>
      <c r="B39" s="169" t="inlineStr">
        <is>
          <t>Yes</t>
        </is>
      </c>
      <c r="C39" s="172" t="inlineStr">
        <is>
          <t>No</t>
        </is>
      </c>
      <c r="D39" s="172" t="inlineStr">
        <is>
          <t>No</t>
        </is>
      </c>
      <c r="E39" s="172" t="inlineStr">
        <is>
          <t>No</t>
        </is>
      </c>
      <c r="F39" s="37">
        <f>COUNTIF('Historical Data'!$D$2:$D$1068,A39)</f>
        <v/>
      </c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</row>
    <row r="40" ht="15" customHeight="1" s="174">
      <c r="A40" s="114" t="inlineStr">
        <is>
          <t>Lowered Payments</t>
        </is>
      </c>
      <c r="B40" s="151" t="inlineStr">
        <is>
          <t>No</t>
        </is>
      </c>
      <c r="C40" s="172" t="inlineStr">
        <is>
          <t>No</t>
        </is>
      </c>
      <c r="D40" s="172" t="inlineStr">
        <is>
          <t>No</t>
        </is>
      </c>
      <c r="E40" s="172" t="inlineStr">
        <is>
          <t>No</t>
        </is>
      </c>
      <c r="F40" s="37">
        <f>COUNTIF('Historical Data'!$D$2:$D$1068,A40)</f>
        <v/>
      </c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</row>
    <row r="41" ht="15" customHeight="1" s="174">
      <c r="A41" s="114" t="inlineStr">
        <is>
          <t>Written-Off</t>
        </is>
      </c>
      <c r="B41" s="164" t="inlineStr">
        <is>
          <t>Yes</t>
        </is>
      </c>
      <c r="C41" s="172" t="inlineStr">
        <is>
          <t>Yes</t>
        </is>
      </c>
      <c r="D41" s="172" t="inlineStr">
        <is>
          <t>No</t>
        </is>
      </c>
      <c r="E41" s="172" t="inlineStr">
        <is>
          <t>No</t>
        </is>
      </c>
      <c r="F41" s="37">
        <f>COUNTIF('Historical Data'!$D$2:$D$1068,A41)</f>
        <v/>
      </c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</row>
    <row r="42" ht="15" customHeight="1" s="174">
      <c r="A42" s="114" t="inlineStr">
        <is>
          <t>Bankruptcy</t>
        </is>
      </c>
      <c r="B42" s="151" t="inlineStr">
        <is>
          <t>Yes</t>
        </is>
      </c>
      <c r="C42" s="172" t="inlineStr">
        <is>
          <t>Yes</t>
        </is>
      </c>
      <c r="D42" s="172" t="inlineStr">
        <is>
          <t>No</t>
        </is>
      </c>
      <c r="E42" s="172" t="inlineStr">
        <is>
          <t>No</t>
        </is>
      </c>
      <c r="F42" s="37">
        <f>COUNTIF('Historical Data'!$D$2:$D$1068,A42)</f>
        <v/>
      </c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</row>
    <row r="43" ht="15" customHeight="1" s="174">
      <c r="A43" s="114" t="inlineStr">
        <is>
          <t>Settlement Agreement</t>
        </is>
      </c>
      <c r="B43" s="151" t="inlineStr">
        <is>
          <t>Yes</t>
        </is>
      </c>
      <c r="C43" s="172" t="inlineStr">
        <is>
          <t>Yes</t>
        </is>
      </c>
      <c r="D43" s="172" t="inlineStr">
        <is>
          <t>No</t>
        </is>
      </c>
      <c r="E43" s="172" t="inlineStr">
        <is>
          <t>No</t>
        </is>
      </c>
      <c r="F43" s="37">
        <f>COUNTIF('Historical Data'!$D$2:$D$1068,A43)</f>
        <v/>
      </c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</row>
    <row r="44" ht="15" customHeight="1" s="174">
      <c r="A44" s="114" t="inlineStr">
        <is>
          <t>Closed/NSF</t>
        </is>
      </c>
      <c r="B44" s="151" t="inlineStr">
        <is>
          <t>No</t>
        </is>
      </c>
      <c r="C44" s="172" t="inlineStr">
        <is>
          <t>Yes</t>
        </is>
      </c>
      <c r="D44" s="172" t="inlineStr">
        <is>
          <t>Yes</t>
        </is>
      </c>
      <c r="E44" s="172" t="inlineStr">
        <is>
          <t>No</t>
        </is>
      </c>
      <c r="F44" s="37">
        <f>COUNTIF('Historical Data'!$D$2:$D$1068,A44)</f>
        <v/>
      </c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</row>
    <row r="45" ht="15" customHeight="1" s="174">
      <c r="A45" s="114" t="inlineStr">
        <is>
          <t>Closed/NSF Unpaid</t>
        </is>
      </c>
      <c r="B45" s="172" t="inlineStr">
        <is>
          <t>No</t>
        </is>
      </c>
      <c r="C45" s="172" t="inlineStr">
        <is>
          <t>Yes</t>
        </is>
      </c>
      <c r="D45" s="172" t="inlineStr">
        <is>
          <t>Yes</t>
        </is>
      </c>
      <c r="E45" s="172" t="inlineStr">
        <is>
          <t>No</t>
        </is>
      </c>
      <c r="F45" s="37">
        <f>COUNTIF('Historical Data'!$D$2:$D$1068,A45)</f>
        <v/>
      </c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</row>
    <row r="46" ht="15" customHeight="1" s="174">
      <c r="A46" s="114" t="inlineStr">
        <is>
          <t>At-Risk</t>
        </is>
      </c>
      <c r="B46" s="172" t="inlineStr">
        <is>
          <t>Yes</t>
        </is>
      </c>
      <c r="C46" s="172" t="inlineStr">
        <is>
          <t>No</t>
        </is>
      </c>
      <c r="D46" s="172" t="inlineStr">
        <is>
          <t>No</t>
        </is>
      </c>
      <c r="E46" s="172" t="inlineStr">
        <is>
          <t>No</t>
        </is>
      </c>
      <c r="F46" s="37">
        <f>COUNTIF('Historical Data'!$D$2:$D$1068,A46)</f>
        <v/>
      </c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</row>
    <row r="47" ht="15" customHeight="1" s="174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</row>
    <row r="48" ht="15" customHeight="1" s="174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</row>
    <row r="49" ht="15" customHeight="1" s="174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</row>
    <row r="50" ht="15" customHeight="1" s="174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</row>
    <row r="51" ht="15" customHeight="1" s="174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</row>
    <row r="52" ht="15" customHeight="1" s="174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</row>
    <row r="53" ht="15" customHeight="1" s="174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</row>
    <row r="54" ht="15" customHeight="1" s="17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</row>
    <row r="55" ht="15" customHeight="1" s="174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</row>
    <row r="56" ht="15" customHeight="1" s="174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</row>
    <row r="57" ht="15" customHeight="1" s="174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</row>
    <row r="58" ht="15" customHeight="1" s="174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</row>
    <row r="59" ht="15" customHeight="1" s="174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</row>
    <row r="60" ht="15" customHeight="1" s="174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</row>
    <row r="61" ht="15" customHeight="1" s="174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</row>
    <row r="62" ht="15" customHeight="1" s="174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</row>
    <row r="63" ht="15" customHeight="1" s="174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</row>
    <row r="64" ht="15" customHeight="1" s="17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</row>
    <row r="65" ht="15" customHeight="1" s="174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</row>
    <row r="66" ht="15" customHeight="1" s="174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</row>
    <row r="67" ht="15" customHeight="1" s="174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</row>
    <row r="68" ht="15" customHeight="1" s="174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</row>
    <row r="69" ht="15" customHeight="1" s="174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</row>
    <row r="70" ht="15" customHeight="1" s="174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</row>
    <row r="71" ht="15" customHeight="1" s="174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</row>
    <row r="72" ht="15" customHeight="1" s="174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</row>
    <row r="73" ht="15" customHeight="1" s="174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</row>
    <row r="74" ht="15" customHeight="1" s="1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</row>
    <row r="75" ht="15" customHeight="1" s="174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</row>
    <row r="76" ht="15" customHeight="1" s="174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</row>
    <row r="77" ht="15" customHeight="1" s="174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</row>
    <row r="78" ht="15" customHeight="1" s="174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</row>
    <row r="79" ht="15" customHeight="1" s="174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</row>
    <row r="80" ht="15" customHeight="1" s="174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</row>
    <row r="81" ht="15" customHeight="1" s="174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</row>
    <row r="82" ht="15" customHeight="1" s="174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</row>
    <row r="83" ht="15" customHeight="1" s="174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</row>
    <row r="84" ht="15" customHeight="1" s="17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</row>
    <row r="85" ht="15" customHeight="1" s="174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</row>
    <row r="86" ht="15" customHeight="1" s="174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</row>
    <row r="87" ht="15" customHeight="1" s="174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</row>
    <row r="88" ht="15" customHeight="1" s="174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</row>
    <row r="89" ht="15" customHeight="1" s="174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</row>
    <row r="90" ht="15" customHeight="1" s="174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</row>
    <row r="91" ht="15" customHeight="1" s="174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</row>
    <row r="92" ht="15" customHeight="1" s="174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</row>
    <row r="93" ht="15" customHeight="1" s="174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</row>
    <row r="94" ht="15" customHeight="1" s="17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</row>
    <row r="95" ht="15" customHeight="1" s="174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</row>
    <row r="96" ht="15" customHeight="1" s="174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</row>
    <row r="97" ht="15" customHeight="1" s="174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</row>
    <row r="98" ht="15" customHeight="1" s="174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</row>
    <row r="99" ht="15" customHeight="1" s="174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</row>
    <row r="100" ht="15" customHeight="1" s="174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</row>
    <row r="101" ht="15.75" customHeight="1" s="174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</row>
    <row r="102" ht="15.75" customHeight="1" s="174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</row>
    <row r="103" ht="15.75" customHeight="1" s="174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</row>
    <row r="104" ht="15.75" customHeight="1" s="17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</row>
    <row r="105" ht="15.75" customHeight="1" s="174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</row>
    <row r="106" ht="15.75" customHeight="1" s="174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</row>
    <row r="107" ht="15.75" customHeight="1" s="174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</row>
    <row r="108" ht="15.75" customHeight="1" s="174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</row>
    <row r="109" ht="15.75" customHeight="1" s="174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</row>
    <row r="110" ht="15.75" customHeight="1" s="174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</row>
    <row r="111" ht="15.75" customHeight="1" s="174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</row>
    <row r="112" ht="15.75" customHeight="1" s="174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</row>
    <row r="113" ht="15.75" customHeight="1" s="174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</row>
    <row r="114" ht="15.75" customHeight="1" s="17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</row>
    <row r="115" ht="15.75" customHeight="1" s="174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</row>
    <row r="116" ht="15.75" customHeight="1" s="174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</row>
    <row r="117" ht="15.75" customHeight="1" s="174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</row>
    <row r="118" ht="15.75" customHeight="1" s="174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</row>
    <row r="119" ht="15.75" customHeight="1" s="174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</row>
    <row r="120" ht="15.75" customHeight="1" s="174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</row>
    <row r="121" ht="15.75" customHeight="1" s="174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</row>
    <row r="122" ht="15.75" customHeight="1" s="174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</row>
    <row r="123" ht="15.75" customHeight="1" s="174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</row>
    <row r="124" ht="15.75" customHeight="1" s="17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</row>
    <row r="125" ht="15.75" customHeight="1" s="174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</row>
    <row r="126" ht="15.75" customHeight="1" s="174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</row>
    <row r="127" ht="15.75" customHeight="1" s="174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</row>
    <row r="128" ht="15.75" customHeight="1" s="174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</row>
    <row r="129" ht="15.75" customHeight="1" s="174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</row>
    <row r="130" ht="15.75" customHeight="1" s="174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</row>
    <row r="131" ht="15.75" customHeight="1" s="174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</row>
    <row r="132" ht="15.75" customHeight="1" s="174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</row>
    <row r="133" ht="15.75" customHeight="1" s="174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</row>
    <row r="134" ht="15.75" customHeight="1" s="17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</row>
    <row r="135" ht="15.75" customHeight="1" s="174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</row>
    <row r="136" ht="15.75" customHeight="1" s="174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</row>
    <row r="137" ht="15.75" customHeight="1" s="174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</row>
    <row r="138" ht="15.75" customHeight="1" s="174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</row>
    <row r="139" ht="15.75" customHeight="1" s="174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</row>
    <row r="140" ht="15.75" customHeight="1" s="174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</row>
    <row r="141" ht="15.75" customHeight="1" s="174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</row>
    <row r="142" ht="15.75" customHeight="1" s="174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</row>
    <row r="143" ht="15.75" customHeight="1" s="174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</row>
    <row r="144" ht="15.75" customHeight="1" s="17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</row>
    <row r="145" ht="15.75" customHeight="1" s="174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</row>
    <row r="146" ht="15.75" customHeight="1" s="174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</row>
    <row r="147" ht="15.75" customHeight="1" s="174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</row>
    <row r="148" ht="15.75" customHeight="1" s="174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</row>
    <row r="149" ht="15.75" customHeight="1" s="174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</row>
    <row r="150" ht="15.75" customHeight="1" s="174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</row>
    <row r="151" ht="15.75" customHeight="1" s="174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</row>
    <row r="152" ht="15.75" customHeight="1" s="174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</row>
    <row r="153" ht="15.75" customHeight="1" s="174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</row>
    <row r="154" ht="15.75" customHeight="1" s="17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</row>
    <row r="155" ht="15.75" customHeight="1" s="174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</row>
    <row r="156" ht="15.75" customHeight="1" s="174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</row>
    <row r="157" ht="15.75" customHeight="1" s="174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</row>
    <row r="158" ht="15.75" customHeight="1" s="174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</row>
    <row r="159" ht="15.75" customHeight="1" s="174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</row>
    <row r="160" ht="15.75" customHeight="1" s="174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</row>
    <row r="161" ht="15.75" customHeight="1" s="174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</row>
    <row r="162" ht="15.75" customHeight="1" s="174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</row>
    <row r="163" ht="15.75" customHeight="1" s="174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</row>
    <row r="164" ht="15.75" customHeight="1" s="17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</row>
    <row r="165" ht="15.75" customHeight="1" s="174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</row>
    <row r="166" ht="15.75" customHeight="1" s="174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</row>
    <row r="167" ht="15.75" customHeight="1" s="174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</row>
    <row r="168" ht="15.75" customHeight="1" s="174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</row>
    <row r="169" ht="15.75" customHeight="1" s="174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</row>
    <row r="170" ht="15.75" customHeight="1" s="174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</row>
    <row r="171" ht="15.75" customHeight="1" s="174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</row>
    <row r="172" ht="15.75" customHeight="1" s="174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</row>
    <row r="173" ht="15.75" customHeight="1" s="174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</row>
    <row r="174" ht="15.75" customHeight="1" s="17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</row>
    <row r="175" ht="15.75" customHeight="1" s="174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</row>
    <row r="176" ht="15.75" customHeight="1" s="174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</row>
    <row r="177" ht="15.75" customHeight="1" s="174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</row>
    <row r="178" ht="15.75" customHeight="1" s="174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</row>
    <row r="179" ht="15.75" customHeight="1" s="174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</row>
    <row r="180" ht="15.75" customHeight="1" s="174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</row>
    <row r="181" ht="15.75" customHeight="1" s="174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</row>
    <row r="182" ht="15.75" customHeight="1" s="174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</row>
    <row r="183" ht="15.75" customHeight="1" s="174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</row>
    <row r="184" ht="15.75" customHeight="1" s="174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</row>
    <row r="185" ht="15.75" customHeight="1" s="174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</row>
    <row r="186" ht="15.75" customHeight="1" s="174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</row>
    <row r="187" ht="15.75" customHeight="1" s="174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</row>
    <row r="188" ht="15.75" customHeight="1" s="174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</row>
    <row r="189" ht="15.75" customHeight="1" s="174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</row>
    <row r="190" ht="15.75" customHeight="1" s="174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</row>
    <row r="191" ht="15.75" customHeight="1" s="174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</row>
    <row r="192" ht="15.75" customHeight="1" s="174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</row>
    <row r="193" ht="15.75" customHeight="1" s="174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</row>
    <row r="194" ht="15.75" customHeight="1" s="174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</row>
    <row r="195" ht="15.75" customHeight="1" s="174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</row>
    <row r="196" ht="15.75" customHeight="1" s="174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</row>
    <row r="197" ht="15.75" customHeight="1" s="174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</row>
    <row r="198" ht="15.75" customHeight="1" s="174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</row>
    <row r="199" ht="15.75" customHeight="1" s="174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</row>
    <row r="200" ht="15.75" customHeight="1" s="174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</row>
    <row r="201" ht="15.75" customHeight="1" s="174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</row>
    <row r="202" ht="15.75" customHeight="1" s="174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</row>
    <row r="203" ht="15.75" customHeight="1" s="174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</row>
    <row r="204" ht="15.75" customHeight="1" s="174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</row>
    <row r="205" ht="15.75" customHeight="1" s="174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</row>
    <row r="206" ht="15.75" customHeight="1" s="174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</row>
    <row r="207" ht="15.75" customHeight="1" s="174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</row>
    <row r="208" ht="15.75" customHeight="1" s="174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</row>
    <row r="209" ht="15.75" customHeight="1" s="174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</row>
    <row r="210" ht="15.75" customHeight="1" s="174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</row>
    <row r="211" ht="15.75" customHeight="1" s="174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</row>
    <row r="212" ht="15.75" customHeight="1" s="174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</row>
    <row r="213" ht="15.75" customHeight="1" s="174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</row>
    <row r="214" ht="15.75" customHeight="1" s="174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</row>
    <row r="215" ht="15.75" customHeight="1" s="174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</row>
    <row r="216" ht="15.75" customHeight="1" s="174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</row>
    <row r="217" ht="15.75" customHeight="1" s="174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</row>
    <row r="218" ht="15.75" customHeight="1" s="174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</row>
    <row r="219" ht="15.75" customHeight="1" s="174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</row>
    <row r="220" ht="15.75" customHeight="1" s="174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</row>
    <row r="221" ht="15.75" customHeight="1" s="174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</row>
    <row r="222" ht="15.75" customHeight="1" s="174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</row>
    <row r="223" ht="15.75" customHeight="1" s="174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</row>
    <row r="224" ht="15.75" customHeight="1" s="174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</row>
    <row r="225" ht="15.75" customHeight="1" s="174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</row>
    <row r="226" ht="15.75" customHeight="1" s="174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</row>
    <row r="227" ht="15.75" customHeight="1" s="174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</row>
    <row r="228" ht="15.75" customHeight="1" s="174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</row>
    <row r="229" ht="15.75" customHeight="1" s="174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</row>
    <row r="230" ht="15.75" customHeight="1" s="174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</row>
    <row r="231" ht="15.75" customHeight="1" s="174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</row>
    <row r="232" ht="15.75" customHeight="1" s="174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</row>
    <row r="233" ht="15.75" customHeight="1" s="174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</row>
    <row r="234" ht="15.75" customHeight="1" s="174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</row>
    <row r="235" ht="15.75" customHeight="1" s="174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</row>
    <row r="236" ht="15.75" customHeight="1" s="174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</row>
    <row r="237" ht="15.75" customHeight="1" s="174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</row>
    <row r="238" ht="15.75" customHeight="1" s="174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</row>
    <row r="239" ht="15.75" customHeight="1" s="174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</row>
    <row r="240" ht="15.75" customHeight="1" s="174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</row>
    <row r="241" ht="15.75" customHeight="1" s="174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</row>
    <row r="242" ht="15.75" customHeight="1" s="174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</row>
    <row r="243" ht="15.75" customHeight="1" s="174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</row>
    <row r="244" ht="15.75" customHeight="1" s="174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</row>
    <row r="245" ht="15.75" customHeight="1" s="174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</row>
    <row r="246" ht="15.75" customHeight="1" s="174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</row>
    <row r="247" ht="15.75" customHeight="1" s="174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</row>
    <row r="248" ht="15.75" customHeight="1" s="174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</row>
    <row r="249" ht="15.75" customHeight="1" s="174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</row>
    <row r="250" ht="15.75" customHeight="1" s="174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</row>
    <row r="251" ht="15.75" customHeight="1" s="174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</row>
    <row r="252" ht="15.75" customHeight="1" s="174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</row>
    <row r="253" ht="15.75" customHeight="1" s="174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</row>
    <row r="254" ht="15.75" customHeight="1" s="174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</row>
    <row r="255" ht="15.75" customHeight="1" s="174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</row>
    <row r="256" ht="15.75" customHeight="1" s="174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</row>
    <row r="257" ht="15.75" customHeight="1" s="174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</row>
    <row r="258" ht="15.75" customHeight="1" s="174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</row>
    <row r="259" ht="15.75" customHeight="1" s="174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</row>
    <row r="260" ht="15.75" customHeight="1" s="174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</row>
    <row r="261" ht="15.75" customHeight="1" s="174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</row>
    <row r="262" ht="15.75" customHeight="1" s="174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</row>
    <row r="263" ht="15.75" customHeight="1" s="174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</row>
    <row r="264" ht="15.75" customHeight="1" s="174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</row>
    <row r="265" ht="15.75" customHeight="1" s="174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</row>
    <row r="266" ht="15.75" customHeight="1" s="174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</row>
    <row r="267" ht="15.75" customHeight="1" s="174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</row>
    <row r="268" ht="15.75" customHeight="1" s="174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</row>
    <row r="269" ht="15.75" customHeight="1" s="174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</row>
    <row r="270" ht="15.75" customHeight="1" s="174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</row>
    <row r="271" ht="15.75" customHeight="1" s="174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</row>
    <row r="272" ht="15.75" customHeight="1" s="174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</row>
    <row r="273" ht="15.75" customHeight="1" s="174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</row>
    <row r="274" ht="15.75" customHeight="1" s="174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</row>
    <row r="275" ht="15.75" customHeight="1" s="174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</row>
    <row r="276" ht="15.75" customHeight="1" s="174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</row>
    <row r="277" ht="15.75" customHeight="1" s="174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</row>
    <row r="278" ht="15.75" customHeight="1" s="174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</row>
    <row r="279" ht="15.75" customHeight="1" s="174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</row>
    <row r="280" ht="15.75" customHeight="1" s="174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</row>
    <row r="281" ht="15.75" customHeight="1" s="174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</row>
    <row r="282" ht="15.75" customHeight="1" s="174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</row>
    <row r="283" ht="15.75" customHeight="1" s="174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</row>
    <row r="284" ht="15.75" customHeight="1" s="174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</row>
    <row r="285" ht="15.75" customHeight="1" s="174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</row>
    <row r="286" ht="15.75" customHeight="1" s="174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</row>
    <row r="287" ht="15.75" customHeight="1" s="174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</row>
    <row r="288" ht="15.75" customHeight="1" s="174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</row>
    <row r="289" ht="15.75" customHeight="1" s="174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</row>
    <row r="290" ht="15.75" customHeight="1" s="174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</row>
    <row r="291" ht="15.75" customHeight="1" s="174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</row>
    <row r="292" ht="15.75" customHeight="1" s="174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</row>
    <row r="293" ht="15.75" customHeight="1" s="174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</row>
    <row r="294" ht="15.75" customHeight="1" s="174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</row>
    <row r="295" ht="15.75" customHeight="1" s="174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</row>
    <row r="296" ht="15.75" customHeight="1" s="174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</row>
    <row r="297" ht="15.75" customHeight="1" s="174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</row>
    <row r="298" ht="15.75" customHeight="1" s="174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</row>
    <row r="299" ht="15.75" customHeight="1" s="174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</row>
    <row r="300" ht="15.75" customHeight="1" s="174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</row>
    <row r="301" ht="15.75" customHeight="1" s="174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</row>
    <row r="302" ht="15.75" customHeight="1" s="174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</row>
    <row r="303" ht="15.75" customHeight="1" s="174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</row>
    <row r="304" ht="15.75" customHeight="1" s="174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</row>
    <row r="305" ht="15.75" customHeight="1" s="174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</row>
    <row r="306" ht="15.75" customHeight="1" s="174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</row>
    <row r="307" ht="15.75" customHeight="1" s="174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</row>
    <row r="308" ht="15.75" customHeight="1" s="174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</row>
    <row r="309" ht="15.75" customHeight="1" s="174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</row>
    <row r="310" ht="15.75" customHeight="1" s="174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</row>
    <row r="311" ht="15.75" customHeight="1" s="174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</row>
    <row r="312" ht="15.75" customHeight="1" s="174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</row>
    <row r="313" ht="15.75" customHeight="1" s="174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</row>
    <row r="314" ht="15.75" customHeight="1" s="174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</row>
    <row r="315" ht="15.75" customHeight="1" s="174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</row>
    <row r="316" ht="15.75" customHeight="1" s="174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</row>
    <row r="317" ht="15.75" customHeight="1" s="174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</row>
    <row r="318" ht="15.75" customHeight="1" s="174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</row>
    <row r="319" ht="15.75" customHeight="1" s="174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</row>
    <row r="320" ht="15.75" customHeight="1" s="174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</row>
    <row r="321" ht="15.75" customHeight="1" s="174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</row>
    <row r="322" ht="15.75" customHeight="1" s="174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</row>
    <row r="323" ht="15.75" customHeight="1" s="174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</row>
    <row r="324" ht="15.75" customHeight="1" s="174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</row>
    <row r="325" ht="15.75" customHeight="1" s="174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</row>
    <row r="326" ht="15.75" customHeight="1" s="174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</row>
    <row r="327" ht="15.75" customHeight="1" s="174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</row>
    <row r="328" ht="15.75" customHeight="1" s="174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</row>
    <row r="329" ht="15.75" customHeight="1" s="174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</row>
    <row r="330" ht="15.75" customHeight="1" s="174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</row>
    <row r="331" ht="15.75" customHeight="1" s="174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</row>
    <row r="332" ht="15.75" customHeight="1" s="174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</row>
    <row r="333" ht="15.75" customHeight="1" s="174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</row>
    <row r="334" ht="15.75" customHeight="1" s="174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</row>
    <row r="335" ht="15.75" customHeight="1" s="174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</row>
    <row r="336" ht="15.75" customHeight="1" s="174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</row>
    <row r="337" ht="15.75" customHeight="1" s="174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</row>
    <row r="338" ht="15.75" customHeight="1" s="174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</row>
    <row r="339" ht="15.75" customHeight="1" s="174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</row>
    <row r="340" ht="15.75" customHeight="1" s="174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</row>
    <row r="341" ht="15.75" customHeight="1" s="174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</row>
    <row r="342" ht="15.75" customHeight="1" s="174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</row>
    <row r="343" ht="15.75" customHeight="1" s="174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</row>
    <row r="344" ht="15.75" customHeight="1" s="174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</row>
    <row r="345" ht="15.75" customHeight="1" s="174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</row>
    <row r="346" ht="15.75" customHeight="1" s="174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</row>
    <row r="347" ht="15.75" customHeight="1" s="174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</row>
    <row r="348" ht="15.75" customHeight="1" s="174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</row>
    <row r="349" ht="15.75" customHeight="1" s="174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</row>
    <row r="350" ht="15.75" customHeight="1" s="174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</row>
    <row r="351" ht="15.75" customHeight="1" s="174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</row>
    <row r="352" ht="15.75" customHeight="1" s="174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</row>
    <row r="353" ht="15.75" customHeight="1" s="174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</row>
    <row r="354" ht="15.75" customHeight="1" s="174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</row>
    <row r="355" ht="15.75" customHeight="1" s="174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</row>
    <row r="356" ht="15.75" customHeight="1" s="174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</row>
    <row r="357" ht="15.75" customHeight="1" s="174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</row>
    <row r="358" ht="15.75" customHeight="1" s="174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</row>
    <row r="359" ht="15.75" customHeight="1" s="174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</row>
    <row r="360" ht="15.75" customHeight="1" s="174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</row>
    <row r="361" ht="15.75" customHeight="1" s="174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</row>
    <row r="362" ht="15.75" customHeight="1" s="174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</row>
    <row r="363" ht="15.75" customHeight="1" s="174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</row>
    <row r="364" ht="15.75" customHeight="1" s="174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</row>
    <row r="365" ht="15.75" customHeight="1" s="174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</row>
    <row r="366" ht="15.75" customHeight="1" s="174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</row>
    <row r="367" ht="15.75" customHeight="1" s="174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</row>
    <row r="368" ht="15.75" customHeight="1" s="174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</row>
    <row r="369" ht="15.75" customHeight="1" s="174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</row>
    <row r="370" ht="15.75" customHeight="1" s="174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</row>
    <row r="371" ht="15.75" customHeight="1" s="174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</row>
    <row r="372" ht="15.75" customHeight="1" s="174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</row>
    <row r="373" ht="15.75" customHeight="1" s="174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</row>
    <row r="374" ht="15.75" customHeight="1" s="174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</row>
    <row r="375" ht="15.75" customHeight="1" s="174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</row>
    <row r="376" ht="15.75" customHeight="1" s="174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</row>
    <row r="377" ht="15.75" customHeight="1" s="174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</row>
    <row r="378" ht="15.75" customHeight="1" s="174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</row>
    <row r="379" ht="15.75" customHeight="1" s="174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</row>
    <row r="380" ht="15.75" customHeight="1" s="174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</row>
    <row r="381" ht="15.75" customHeight="1" s="174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</row>
    <row r="382" ht="15.75" customHeight="1" s="174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</row>
    <row r="383" ht="15.75" customHeight="1" s="174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</row>
    <row r="384" ht="15.75" customHeight="1" s="174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</row>
    <row r="385" ht="15.75" customHeight="1" s="174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</row>
    <row r="386" ht="15.75" customHeight="1" s="174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</row>
    <row r="387" ht="15.75" customHeight="1" s="174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</row>
    <row r="388" ht="15.75" customHeight="1" s="174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</row>
    <row r="389" ht="15.75" customHeight="1" s="174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</row>
    <row r="390" ht="15.75" customHeight="1" s="174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</row>
    <row r="391" ht="15.75" customHeight="1" s="174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</row>
    <row r="392" ht="15.75" customHeight="1" s="174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</row>
    <row r="393" ht="15.75" customHeight="1" s="174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</row>
    <row r="394" ht="15.75" customHeight="1" s="174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</row>
    <row r="395" ht="15.75" customHeight="1" s="174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</row>
    <row r="396" ht="15.75" customHeight="1" s="174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</row>
    <row r="397" ht="15.75" customHeight="1" s="174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</row>
    <row r="398" ht="15.75" customHeight="1" s="174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</row>
    <row r="399" ht="15.75" customHeight="1" s="174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</row>
    <row r="400" ht="15.75" customHeight="1" s="174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</row>
    <row r="401" ht="15.75" customHeight="1" s="174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</row>
    <row r="402" ht="15.75" customHeight="1" s="174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</row>
    <row r="403" ht="15.75" customHeight="1" s="174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</row>
    <row r="404" ht="15.75" customHeight="1" s="174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</row>
    <row r="405" ht="15.75" customHeight="1" s="174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</row>
    <row r="406" ht="15.75" customHeight="1" s="174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</row>
    <row r="407" ht="15.75" customHeight="1" s="174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</row>
    <row r="408" ht="15.75" customHeight="1" s="174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</row>
    <row r="409" ht="15.75" customHeight="1" s="174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</row>
    <row r="410" ht="15.75" customHeight="1" s="174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</row>
    <row r="411" ht="15.75" customHeight="1" s="174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</row>
    <row r="412" ht="15.75" customHeight="1" s="174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</row>
    <row r="413" ht="15.75" customHeight="1" s="174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</row>
    <row r="414" ht="15.75" customHeight="1" s="174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</row>
    <row r="415" ht="15.75" customHeight="1" s="174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</row>
    <row r="416" ht="15.75" customHeight="1" s="174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</row>
    <row r="417" ht="15.75" customHeight="1" s="174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</row>
    <row r="418" ht="15.75" customHeight="1" s="174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</row>
    <row r="419" ht="15.75" customHeight="1" s="174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</row>
    <row r="420" ht="15.75" customHeight="1" s="174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</row>
    <row r="421" ht="15.75" customHeight="1" s="174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</row>
    <row r="422" ht="15.75" customHeight="1" s="174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</row>
    <row r="423" ht="15.75" customHeight="1" s="174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</row>
    <row r="424" ht="15.75" customHeight="1" s="174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</row>
    <row r="425" ht="15.75" customHeight="1" s="174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</row>
    <row r="426" ht="15.75" customHeight="1" s="174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</row>
    <row r="427" ht="15.75" customHeight="1" s="174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</row>
    <row r="428" ht="15.75" customHeight="1" s="174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</row>
    <row r="429" ht="15.75" customHeight="1" s="174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</row>
    <row r="430" ht="15.75" customHeight="1" s="174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</row>
    <row r="431" ht="15.75" customHeight="1" s="174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</row>
    <row r="432" ht="15.75" customHeight="1" s="174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</row>
    <row r="433" ht="15.75" customHeight="1" s="174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</row>
    <row r="434" ht="15.75" customHeight="1" s="174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</row>
    <row r="435" ht="15.75" customHeight="1" s="174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</row>
    <row r="436" ht="15.75" customHeight="1" s="174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</row>
    <row r="437" ht="15.75" customHeight="1" s="174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</row>
    <row r="438" ht="15.75" customHeight="1" s="174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</row>
    <row r="439" ht="15.75" customHeight="1" s="174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</row>
    <row r="440" ht="15.75" customHeight="1" s="174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</row>
    <row r="441" ht="15.75" customHeight="1" s="174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</row>
    <row r="442" ht="15.75" customHeight="1" s="174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</row>
    <row r="443" ht="15.75" customHeight="1" s="174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</row>
    <row r="444" ht="15.75" customHeight="1" s="174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</row>
    <row r="445" ht="15.75" customHeight="1" s="174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</row>
    <row r="446" ht="15.75" customHeight="1" s="174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</row>
    <row r="447" ht="15.75" customHeight="1" s="174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</row>
    <row r="448" ht="15.75" customHeight="1" s="174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</row>
    <row r="449" ht="15.75" customHeight="1" s="174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</row>
    <row r="450" ht="15.75" customHeight="1" s="174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</row>
    <row r="451" ht="15.75" customHeight="1" s="174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</row>
    <row r="452" ht="15.75" customHeight="1" s="174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</row>
    <row r="453" ht="15.75" customHeight="1" s="174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</row>
    <row r="454" ht="15.75" customHeight="1" s="174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</row>
    <row r="455" ht="15.75" customHeight="1" s="174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</row>
    <row r="456" ht="15.75" customHeight="1" s="174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</row>
    <row r="457" ht="15.75" customHeight="1" s="174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</row>
    <row r="458" ht="15.75" customHeight="1" s="174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</row>
    <row r="459" ht="15.75" customHeight="1" s="174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</row>
    <row r="460" ht="15.75" customHeight="1" s="174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</row>
    <row r="461" ht="15.75" customHeight="1" s="174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</row>
    <row r="462" ht="15.75" customHeight="1" s="174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</row>
    <row r="463" ht="15.75" customHeight="1" s="174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</row>
    <row r="464" ht="15.75" customHeight="1" s="174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</row>
    <row r="465" ht="15.75" customHeight="1" s="174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</row>
    <row r="466" ht="15.75" customHeight="1" s="174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</row>
    <row r="467" ht="15.75" customHeight="1" s="174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</row>
    <row r="468" ht="15.75" customHeight="1" s="174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</row>
    <row r="469" ht="15.75" customHeight="1" s="174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</row>
    <row r="470" ht="15.75" customHeight="1" s="174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</row>
    <row r="471" ht="15.75" customHeight="1" s="174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</row>
    <row r="472" ht="15.75" customHeight="1" s="174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</row>
    <row r="473" ht="15.75" customHeight="1" s="174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</row>
    <row r="474" ht="15.75" customHeight="1" s="174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</row>
    <row r="475" ht="15.75" customHeight="1" s="174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</row>
    <row r="476" ht="15.75" customHeight="1" s="174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</row>
    <row r="477" ht="15.75" customHeight="1" s="174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</row>
    <row r="478" ht="15.75" customHeight="1" s="174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</row>
    <row r="479" ht="15.75" customHeight="1" s="174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</row>
    <row r="480" ht="15.75" customHeight="1" s="174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</row>
    <row r="481" ht="15.75" customHeight="1" s="174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</row>
    <row r="482" ht="15.75" customHeight="1" s="174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</row>
    <row r="483" ht="15.75" customHeight="1" s="174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</row>
    <row r="484" ht="15.75" customHeight="1" s="174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</row>
    <row r="485" ht="15.75" customHeight="1" s="174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</row>
    <row r="486" ht="15.75" customHeight="1" s="174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</row>
    <row r="487" ht="15.75" customHeight="1" s="174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</row>
    <row r="488" ht="15.75" customHeight="1" s="174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</row>
    <row r="489" ht="15.75" customHeight="1" s="174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</row>
    <row r="490" ht="15.75" customHeight="1" s="174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</row>
    <row r="491" ht="15.75" customHeight="1" s="174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</row>
    <row r="492" ht="15.75" customHeight="1" s="174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</row>
    <row r="493" ht="15.75" customHeight="1" s="174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</row>
    <row r="494" ht="15.75" customHeight="1" s="174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</row>
    <row r="495" ht="15.75" customHeight="1" s="174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</row>
    <row r="496" ht="15.75" customHeight="1" s="174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</row>
    <row r="497" ht="15.75" customHeight="1" s="174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</row>
    <row r="498" ht="15.75" customHeight="1" s="174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</row>
    <row r="499" ht="15.75" customHeight="1" s="174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</row>
    <row r="500" ht="15.75" customHeight="1" s="174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</row>
    <row r="501" ht="15.75" customHeight="1" s="174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</row>
    <row r="502" ht="15.75" customHeight="1" s="174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</row>
    <row r="503" ht="15.75" customHeight="1" s="174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</row>
    <row r="504" ht="15.75" customHeight="1" s="174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</row>
    <row r="505" ht="15.75" customHeight="1" s="174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</row>
    <row r="506" ht="15.75" customHeight="1" s="174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</row>
    <row r="507" ht="15.75" customHeight="1" s="174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</row>
    <row r="508" ht="15.75" customHeight="1" s="174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</row>
    <row r="509" ht="15.75" customHeight="1" s="174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</row>
    <row r="510" ht="15.75" customHeight="1" s="174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</row>
    <row r="511" ht="15.75" customHeight="1" s="174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</row>
    <row r="512" ht="15.75" customHeight="1" s="174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</row>
    <row r="513" ht="15.75" customHeight="1" s="174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</row>
    <row r="514" ht="15.75" customHeight="1" s="174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</row>
    <row r="515" ht="15.75" customHeight="1" s="174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</row>
    <row r="516" ht="15.75" customHeight="1" s="174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</row>
    <row r="517" ht="15.75" customHeight="1" s="174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</row>
    <row r="518" ht="15.75" customHeight="1" s="174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</row>
    <row r="519" ht="15.75" customHeight="1" s="174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</row>
    <row r="520" ht="15.75" customHeight="1" s="174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</row>
    <row r="521" ht="15.75" customHeight="1" s="174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</row>
    <row r="522" ht="15.75" customHeight="1" s="174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</row>
    <row r="523" ht="15.75" customHeight="1" s="174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</row>
    <row r="524" ht="15.75" customHeight="1" s="174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</row>
    <row r="525" ht="15.75" customHeight="1" s="174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</row>
    <row r="526" ht="15.75" customHeight="1" s="174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</row>
    <row r="527" ht="15.75" customHeight="1" s="174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</row>
    <row r="528" ht="15.75" customHeight="1" s="174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</row>
    <row r="529" ht="15.75" customHeight="1" s="174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</row>
    <row r="530" ht="15.75" customHeight="1" s="174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</row>
    <row r="531" ht="15.75" customHeight="1" s="174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</row>
    <row r="532" ht="15.75" customHeight="1" s="174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</row>
    <row r="533" ht="15.75" customHeight="1" s="174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</row>
    <row r="534" ht="15.75" customHeight="1" s="174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</row>
    <row r="535" ht="15.75" customHeight="1" s="174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</row>
    <row r="536" ht="15.75" customHeight="1" s="174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</row>
    <row r="537" ht="15.75" customHeight="1" s="174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</row>
    <row r="538" ht="15.75" customHeight="1" s="174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</row>
    <row r="539" ht="15.75" customHeight="1" s="174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</row>
    <row r="540" ht="15.75" customHeight="1" s="174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</row>
    <row r="541" ht="15.75" customHeight="1" s="174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</row>
    <row r="542" ht="15.75" customHeight="1" s="174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</row>
    <row r="543" ht="15.75" customHeight="1" s="174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</row>
    <row r="544" ht="15.75" customHeight="1" s="174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</row>
    <row r="545" ht="15.75" customHeight="1" s="174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</row>
    <row r="546" ht="15.75" customHeight="1" s="174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</row>
    <row r="547" ht="15.75" customHeight="1" s="174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</row>
    <row r="548" ht="15.75" customHeight="1" s="174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</row>
    <row r="549" ht="15.75" customHeight="1" s="174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</row>
    <row r="550" ht="15.75" customHeight="1" s="174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</row>
    <row r="551" ht="15.75" customHeight="1" s="174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</row>
    <row r="552" ht="15.75" customHeight="1" s="174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</row>
    <row r="553" ht="15.75" customHeight="1" s="174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</row>
    <row r="554" ht="15.75" customHeight="1" s="174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</row>
    <row r="555" ht="15.75" customHeight="1" s="174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</row>
    <row r="556" ht="15.75" customHeight="1" s="174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</row>
    <row r="557" ht="15.75" customHeight="1" s="174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</row>
    <row r="558" ht="15.75" customHeight="1" s="174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</row>
    <row r="559" ht="15.75" customHeight="1" s="174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</row>
    <row r="560" ht="15.75" customHeight="1" s="174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</row>
    <row r="561" ht="15.75" customHeight="1" s="174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</row>
    <row r="562" ht="15.75" customHeight="1" s="174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</row>
    <row r="563" ht="15.75" customHeight="1" s="174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</row>
    <row r="564" ht="15.75" customHeight="1" s="174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</row>
    <row r="565" ht="15.75" customHeight="1" s="174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</row>
    <row r="566" ht="15.75" customHeight="1" s="174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</row>
    <row r="567" ht="15.75" customHeight="1" s="174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</row>
    <row r="568" ht="15.75" customHeight="1" s="174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</row>
    <row r="569" ht="15.75" customHeight="1" s="174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</row>
    <row r="570" ht="15.75" customHeight="1" s="174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</row>
    <row r="571" ht="15.75" customHeight="1" s="174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</row>
    <row r="572" ht="15.75" customHeight="1" s="174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</row>
    <row r="573" ht="15.75" customHeight="1" s="174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</row>
    <row r="574" ht="15.75" customHeight="1" s="174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</row>
    <row r="575" ht="15.75" customHeight="1" s="174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</row>
    <row r="576" ht="15.75" customHeight="1" s="174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</row>
    <row r="577" ht="15.75" customHeight="1" s="174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</row>
    <row r="578" ht="15.75" customHeight="1" s="174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</row>
    <row r="579" ht="15.75" customHeight="1" s="174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</row>
    <row r="580" ht="15.75" customHeight="1" s="174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</row>
    <row r="581" ht="15.75" customHeight="1" s="174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</row>
    <row r="582" ht="15.75" customHeight="1" s="174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</row>
    <row r="583" ht="15.75" customHeight="1" s="174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</row>
    <row r="584" ht="15.75" customHeight="1" s="174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</row>
    <row r="585" ht="15.75" customHeight="1" s="174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</row>
    <row r="586" ht="15.75" customHeight="1" s="174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</row>
    <row r="587" ht="15.75" customHeight="1" s="174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</row>
    <row r="588" ht="15.75" customHeight="1" s="174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</row>
    <row r="589" ht="15.75" customHeight="1" s="174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</row>
    <row r="590" ht="15.75" customHeight="1" s="174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</row>
    <row r="591" ht="15.75" customHeight="1" s="174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</row>
    <row r="592" ht="15.75" customHeight="1" s="174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</row>
    <row r="593" ht="15.75" customHeight="1" s="174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</row>
    <row r="594" ht="15.75" customHeight="1" s="174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</row>
    <row r="595" ht="15.75" customHeight="1" s="174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</row>
    <row r="596" ht="15.75" customHeight="1" s="174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</row>
    <row r="597" ht="15.75" customHeight="1" s="174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</row>
    <row r="598" ht="15.75" customHeight="1" s="174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</row>
    <row r="599" ht="15.75" customHeight="1" s="174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</row>
    <row r="600" ht="15.75" customHeight="1" s="174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</row>
    <row r="601" ht="15.75" customHeight="1" s="174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</row>
    <row r="602" ht="15.75" customHeight="1" s="174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</row>
    <row r="603" ht="15.75" customHeight="1" s="174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</row>
    <row r="604" ht="15.75" customHeight="1" s="174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</row>
    <row r="605" ht="15.75" customHeight="1" s="174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</row>
    <row r="606" ht="15.75" customHeight="1" s="174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</row>
    <row r="607" ht="15.75" customHeight="1" s="174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</row>
    <row r="608" ht="15.75" customHeight="1" s="174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</row>
    <row r="609" ht="15.75" customHeight="1" s="174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</row>
    <row r="610" ht="15.75" customHeight="1" s="174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</row>
    <row r="611" ht="15.75" customHeight="1" s="174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</row>
    <row r="612" ht="15.75" customHeight="1" s="174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</row>
    <row r="613" ht="15.75" customHeight="1" s="174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</row>
    <row r="614" ht="15.75" customHeight="1" s="174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</row>
    <row r="615" ht="15.75" customHeight="1" s="174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</row>
    <row r="616" ht="15.75" customHeight="1" s="174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</row>
    <row r="617" ht="15.75" customHeight="1" s="174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</row>
    <row r="618" ht="15.75" customHeight="1" s="174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</row>
    <row r="619" ht="15.75" customHeight="1" s="174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</row>
    <row r="620" ht="15.75" customHeight="1" s="174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</row>
    <row r="621" ht="15.75" customHeight="1" s="174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</row>
    <row r="622" ht="15.75" customHeight="1" s="174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</row>
    <row r="623" ht="15.75" customHeight="1" s="174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</row>
    <row r="624" ht="15.75" customHeight="1" s="174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</row>
    <row r="625" ht="15.75" customHeight="1" s="174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</row>
    <row r="626" ht="15.75" customHeight="1" s="174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</row>
    <row r="627" ht="15.75" customHeight="1" s="174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</row>
    <row r="628" ht="15.75" customHeight="1" s="174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</row>
    <row r="629" ht="15.75" customHeight="1" s="174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</row>
    <row r="630" ht="15.75" customHeight="1" s="174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</row>
    <row r="631" ht="15.75" customHeight="1" s="174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</row>
    <row r="632" ht="15.75" customHeight="1" s="174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</row>
    <row r="633" ht="15.75" customHeight="1" s="174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</row>
    <row r="634" ht="15.75" customHeight="1" s="174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</row>
    <row r="635" ht="15.75" customHeight="1" s="174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</row>
    <row r="636" ht="15.75" customHeight="1" s="174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</row>
    <row r="637" ht="15.75" customHeight="1" s="174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</row>
    <row r="638" ht="15.75" customHeight="1" s="174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</row>
    <row r="639" ht="15.75" customHeight="1" s="174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</row>
    <row r="640" ht="15.75" customHeight="1" s="174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</row>
    <row r="641" ht="15.75" customHeight="1" s="174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</row>
    <row r="642" ht="15.75" customHeight="1" s="174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</row>
    <row r="643" ht="15.75" customHeight="1" s="174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</row>
    <row r="644" ht="15.75" customHeight="1" s="174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</row>
    <row r="645" ht="15.75" customHeight="1" s="174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</row>
    <row r="646" ht="15.75" customHeight="1" s="174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</row>
    <row r="647" ht="15.75" customHeight="1" s="174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</row>
    <row r="648" ht="15.75" customHeight="1" s="174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</row>
    <row r="649" ht="15.75" customHeight="1" s="174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</row>
    <row r="650" ht="15.75" customHeight="1" s="174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</row>
    <row r="651" ht="15.75" customHeight="1" s="174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</row>
    <row r="652" ht="15.75" customHeight="1" s="174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</row>
    <row r="653" ht="15.75" customHeight="1" s="174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</row>
    <row r="654" ht="15.75" customHeight="1" s="174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</row>
    <row r="655" ht="15.75" customHeight="1" s="174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</row>
    <row r="656" ht="15.75" customHeight="1" s="174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</row>
    <row r="657" ht="15.75" customHeight="1" s="174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</row>
    <row r="658" ht="15.75" customHeight="1" s="174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</row>
    <row r="659" ht="15.75" customHeight="1" s="174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</row>
    <row r="660" ht="15.75" customHeight="1" s="174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</row>
    <row r="661" ht="15.75" customHeight="1" s="174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</row>
    <row r="662" ht="15.75" customHeight="1" s="174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</row>
    <row r="663" ht="15.75" customHeight="1" s="174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</row>
    <row r="664" ht="15.75" customHeight="1" s="174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</row>
    <row r="665" ht="15.75" customHeight="1" s="174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</row>
    <row r="666" ht="15.75" customHeight="1" s="174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</row>
    <row r="667" ht="15.75" customHeight="1" s="174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</row>
    <row r="668" ht="15.75" customHeight="1" s="174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</row>
    <row r="669" ht="15.75" customHeight="1" s="174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</row>
    <row r="670" ht="15.75" customHeight="1" s="174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</row>
    <row r="671" ht="15.75" customHeight="1" s="174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</row>
    <row r="672" ht="15.75" customHeight="1" s="174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</row>
    <row r="673" ht="15.75" customHeight="1" s="174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</row>
    <row r="674" ht="15.75" customHeight="1" s="174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</row>
    <row r="675" ht="15.75" customHeight="1" s="174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</row>
    <row r="676" ht="15.75" customHeight="1" s="174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</row>
    <row r="677" ht="15.75" customHeight="1" s="174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</row>
    <row r="678" ht="15.75" customHeight="1" s="174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</row>
    <row r="679" ht="15.75" customHeight="1" s="174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</row>
    <row r="680" ht="15.75" customHeight="1" s="174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</row>
    <row r="681" ht="15.75" customHeight="1" s="174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</row>
    <row r="682" ht="15.75" customHeight="1" s="174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</row>
    <row r="683" ht="15.75" customHeight="1" s="174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</row>
    <row r="684" ht="15.75" customHeight="1" s="174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</row>
    <row r="685" ht="15.75" customHeight="1" s="174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</row>
    <row r="686" ht="15.75" customHeight="1" s="174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</row>
    <row r="687" ht="15.75" customHeight="1" s="174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</row>
    <row r="688" ht="15.75" customHeight="1" s="174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</row>
    <row r="689" ht="15.75" customHeight="1" s="174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</row>
    <row r="690" ht="15.75" customHeight="1" s="174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</row>
    <row r="691" ht="15.75" customHeight="1" s="174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</row>
    <row r="692" ht="15.75" customHeight="1" s="174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</row>
    <row r="693" ht="15.75" customHeight="1" s="174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</row>
    <row r="694" ht="15.75" customHeight="1" s="174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</row>
    <row r="695" ht="15.75" customHeight="1" s="174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</row>
    <row r="696" ht="15.75" customHeight="1" s="174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</row>
    <row r="697" ht="15.75" customHeight="1" s="174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</row>
    <row r="698" ht="15.75" customHeight="1" s="174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</row>
    <row r="699" ht="15.75" customHeight="1" s="174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</row>
    <row r="700" ht="15.75" customHeight="1" s="174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</row>
    <row r="701" ht="15.75" customHeight="1" s="174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</row>
    <row r="702" ht="15.75" customHeight="1" s="174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</row>
    <row r="703" ht="15.75" customHeight="1" s="174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</row>
    <row r="704" ht="15.75" customHeight="1" s="174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</row>
    <row r="705" ht="15.75" customHeight="1" s="174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</row>
    <row r="706" ht="15.75" customHeight="1" s="174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</row>
    <row r="707" ht="15.75" customHeight="1" s="174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</row>
    <row r="708" ht="15.75" customHeight="1" s="174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</row>
    <row r="709" ht="15.75" customHeight="1" s="174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</row>
    <row r="710" ht="15.75" customHeight="1" s="174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</row>
    <row r="711" ht="15.75" customHeight="1" s="174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</row>
    <row r="712" ht="15.75" customHeight="1" s="174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</row>
    <row r="713" ht="15.75" customHeight="1" s="174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</row>
    <row r="714" ht="15.75" customHeight="1" s="174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</row>
    <row r="715" ht="15.75" customHeight="1" s="174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</row>
    <row r="716" ht="15.75" customHeight="1" s="174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</row>
    <row r="717" ht="15.75" customHeight="1" s="174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</row>
    <row r="718" ht="15.75" customHeight="1" s="174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</row>
    <row r="719" ht="15.75" customHeight="1" s="174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</row>
    <row r="720" ht="15.75" customHeight="1" s="174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</row>
    <row r="721" ht="15.75" customHeight="1" s="174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</row>
    <row r="722" ht="15.75" customHeight="1" s="174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</row>
    <row r="723" ht="15.75" customHeight="1" s="174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</row>
    <row r="724" ht="15.75" customHeight="1" s="174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</row>
    <row r="725" ht="15.75" customHeight="1" s="174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</row>
    <row r="726" ht="15.75" customHeight="1" s="174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</row>
    <row r="727" ht="15.75" customHeight="1" s="174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</row>
    <row r="728" ht="15.75" customHeight="1" s="174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</row>
    <row r="729" ht="15.75" customHeight="1" s="174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</row>
    <row r="730" ht="15.75" customHeight="1" s="174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</row>
    <row r="731" ht="15.75" customHeight="1" s="174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</row>
    <row r="732" ht="15.75" customHeight="1" s="174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</row>
    <row r="733" ht="15.75" customHeight="1" s="174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</row>
    <row r="734" ht="15.75" customHeight="1" s="174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</row>
    <row r="735" ht="15.75" customHeight="1" s="174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</row>
    <row r="736" ht="15.75" customHeight="1" s="174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</row>
    <row r="737" ht="15.75" customHeight="1" s="174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</row>
    <row r="738" ht="15.75" customHeight="1" s="174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</row>
    <row r="739" ht="15.75" customHeight="1" s="174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</row>
    <row r="740" ht="15.75" customHeight="1" s="174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</row>
    <row r="741" ht="15.75" customHeight="1" s="174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</row>
    <row r="742" ht="15.75" customHeight="1" s="174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</row>
    <row r="743" ht="15.75" customHeight="1" s="174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</row>
    <row r="744" ht="15.75" customHeight="1" s="174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</row>
    <row r="745" ht="15.75" customHeight="1" s="174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</row>
    <row r="746" ht="15.75" customHeight="1" s="174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</row>
    <row r="747" ht="15.75" customHeight="1" s="174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</row>
    <row r="748" ht="15.75" customHeight="1" s="174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</row>
    <row r="749" ht="15.75" customHeight="1" s="174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</row>
    <row r="750" ht="15.75" customHeight="1" s="174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</row>
    <row r="751" ht="15.75" customHeight="1" s="174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</row>
    <row r="752" ht="15.75" customHeight="1" s="174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</row>
    <row r="753" ht="15.75" customHeight="1" s="174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</row>
    <row r="754" ht="15.75" customHeight="1" s="174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</row>
    <row r="755" ht="15.75" customHeight="1" s="174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</row>
    <row r="756" ht="15.75" customHeight="1" s="174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</row>
    <row r="757" ht="15.75" customHeight="1" s="174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</row>
    <row r="758" ht="15.75" customHeight="1" s="174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</row>
    <row r="759" ht="15.75" customHeight="1" s="174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</row>
    <row r="760" ht="15.75" customHeight="1" s="174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</row>
    <row r="761" ht="15.75" customHeight="1" s="174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</row>
    <row r="762" ht="15.75" customHeight="1" s="174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</row>
    <row r="763" ht="15.75" customHeight="1" s="174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</row>
    <row r="764" ht="15.75" customHeight="1" s="174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</row>
    <row r="765" ht="15.75" customHeight="1" s="174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</row>
    <row r="766" ht="15.75" customHeight="1" s="174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</row>
    <row r="767" ht="15.75" customHeight="1" s="174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</row>
    <row r="768" ht="15.75" customHeight="1" s="174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</row>
    <row r="769" ht="15.75" customHeight="1" s="174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</row>
    <row r="770" ht="15.75" customHeight="1" s="174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</row>
    <row r="771" ht="15.75" customHeight="1" s="174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</row>
    <row r="772" ht="15.75" customHeight="1" s="174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</row>
    <row r="773" ht="15.75" customHeight="1" s="174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</row>
    <row r="774" ht="15.75" customHeight="1" s="174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</row>
    <row r="775" ht="15.75" customHeight="1" s="174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</row>
    <row r="776" ht="15.75" customHeight="1" s="174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</row>
    <row r="777" ht="15.75" customHeight="1" s="174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</row>
    <row r="778" ht="15.75" customHeight="1" s="174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</row>
    <row r="779" ht="15.75" customHeight="1" s="174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</row>
    <row r="780" ht="15.75" customHeight="1" s="174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</row>
    <row r="781" ht="15.75" customHeight="1" s="174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</row>
    <row r="782" ht="15.75" customHeight="1" s="174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</row>
    <row r="783" ht="15.75" customHeight="1" s="174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</row>
    <row r="784" ht="15.75" customHeight="1" s="174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</row>
    <row r="785" ht="15.75" customHeight="1" s="174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</row>
    <row r="786" ht="15.75" customHeight="1" s="174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</row>
    <row r="787" ht="15.75" customHeight="1" s="174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</row>
    <row r="788" ht="15.75" customHeight="1" s="174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</row>
    <row r="789" ht="15.75" customHeight="1" s="174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</row>
    <row r="790" ht="15.75" customHeight="1" s="174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</row>
    <row r="791" ht="15.75" customHeight="1" s="174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</row>
    <row r="792" ht="15.75" customHeight="1" s="174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</row>
    <row r="793" ht="15.75" customHeight="1" s="174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</row>
    <row r="794" ht="15.75" customHeight="1" s="174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</row>
    <row r="795" ht="15.75" customHeight="1" s="174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</row>
    <row r="796" ht="15.75" customHeight="1" s="174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</row>
    <row r="797" ht="15.75" customHeight="1" s="174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</row>
    <row r="798" ht="15.75" customHeight="1" s="174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</row>
    <row r="799" ht="15.75" customHeight="1" s="174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</row>
    <row r="800" ht="15.75" customHeight="1" s="174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</row>
    <row r="801" ht="15.75" customHeight="1" s="174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</row>
    <row r="802" ht="15.75" customHeight="1" s="174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</row>
    <row r="803" ht="15.75" customHeight="1" s="174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</row>
    <row r="804" ht="15.75" customHeight="1" s="174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</row>
    <row r="805" ht="15.75" customHeight="1" s="174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</row>
    <row r="806" ht="15.75" customHeight="1" s="174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</row>
    <row r="807" ht="15.75" customHeight="1" s="174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</row>
    <row r="808" ht="15.75" customHeight="1" s="174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</row>
    <row r="809" ht="15.75" customHeight="1" s="174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</row>
    <row r="810" ht="15.75" customHeight="1" s="174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</row>
    <row r="811" ht="15.75" customHeight="1" s="174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</row>
    <row r="812" ht="15.75" customHeight="1" s="174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</row>
    <row r="813" ht="15.75" customHeight="1" s="174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</row>
    <row r="814" ht="15.75" customHeight="1" s="174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</row>
    <row r="815" ht="15.75" customHeight="1" s="174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</row>
    <row r="816" ht="15.75" customHeight="1" s="174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</row>
    <row r="817" ht="15.75" customHeight="1" s="174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</row>
    <row r="818" ht="15.75" customHeight="1" s="174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</row>
    <row r="819" ht="15.75" customHeight="1" s="174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</row>
    <row r="820" ht="15.75" customHeight="1" s="174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</row>
    <row r="821" ht="15.75" customHeight="1" s="174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</row>
    <row r="822" ht="15.75" customHeight="1" s="174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</row>
    <row r="823" ht="15.75" customHeight="1" s="174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</row>
    <row r="824" ht="15.75" customHeight="1" s="174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</row>
    <row r="825" ht="15.75" customHeight="1" s="174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</row>
    <row r="826" ht="15.75" customHeight="1" s="174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</row>
    <row r="827" ht="15.75" customHeight="1" s="174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</row>
    <row r="828" ht="15.75" customHeight="1" s="174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</row>
    <row r="829" ht="15.75" customHeight="1" s="174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</row>
    <row r="830" ht="15.75" customHeight="1" s="174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</row>
    <row r="831" ht="15.75" customHeight="1" s="174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</row>
    <row r="832" ht="15.75" customHeight="1" s="174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</row>
    <row r="833" ht="15.75" customHeight="1" s="174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</row>
    <row r="834" ht="15.75" customHeight="1" s="174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</row>
    <row r="835" ht="15.75" customHeight="1" s="174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</row>
    <row r="836" ht="15.75" customHeight="1" s="174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</row>
    <row r="837" ht="15.75" customHeight="1" s="174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</row>
    <row r="838" ht="15.75" customHeight="1" s="174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</row>
    <row r="839" ht="15.75" customHeight="1" s="174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</row>
    <row r="840" ht="15.75" customHeight="1" s="174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</row>
    <row r="841" ht="15.75" customHeight="1" s="174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</row>
    <row r="842" ht="15.75" customHeight="1" s="174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</row>
    <row r="843" ht="15.75" customHeight="1" s="174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</row>
    <row r="844" ht="15.75" customHeight="1" s="174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</row>
    <row r="845" ht="15.75" customHeight="1" s="174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</row>
    <row r="846" ht="15.75" customHeight="1" s="174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</row>
    <row r="847" ht="15.75" customHeight="1" s="174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</row>
    <row r="848" ht="15.75" customHeight="1" s="174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</row>
    <row r="849" ht="15.75" customHeight="1" s="174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</row>
    <row r="850" ht="15.75" customHeight="1" s="174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</row>
    <row r="851" ht="15.75" customHeight="1" s="174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</row>
    <row r="852" ht="15.75" customHeight="1" s="174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</row>
    <row r="853" ht="15.75" customHeight="1" s="174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</row>
    <row r="854" ht="15.75" customHeight="1" s="174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</row>
    <row r="855" ht="15.75" customHeight="1" s="174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</row>
    <row r="856" ht="15.75" customHeight="1" s="174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</row>
    <row r="857" ht="15.75" customHeight="1" s="174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</row>
    <row r="858" ht="15.75" customHeight="1" s="174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</row>
    <row r="859" ht="15.75" customHeight="1" s="174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</row>
    <row r="860" ht="15.75" customHeight="1" s="174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</row>
    <row r="861" ht="15.75" customHeight="1" s="174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</row>
    <row r="862" ht="15.75" customHeight="1" s="174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</row>
    <row r="863" ht="15.75" customHeight="1" s="174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</row>
    <row r="864" ht="15.75" customHeight="1" s="174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</row>
    <row r="865" ht="15.75" customHeight="1" s="174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</row>
    <row r="866" ht="15.75" customHeight="1" s="174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</row>
    <row r="867" ht="15.75" customHeight="1" s="174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</row>
    <row r="868" ht="15.75" customHeight="1" s="174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</row>
    <row r="869" ht="15.75" customHeight="1" s="174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</row>
    <row r="870" ht="15.75" customHeight="1" s="174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</row>
    <row r="871" ht="15.75" customHeight="1" s="174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</row>
    <row r="872" ht="15.75" customHeight="1" s="174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</row>
    <row r="873" ht="15.75" customHeight="1" s="174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</row>
    <row r="874" ht="15.75" customHeight="1" s="174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</row>
    <row r="875" ht="15.75" customHeight="1" s="174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</row>
    <row r="876" ht="15.75" customHeight="1" s="174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</row>
    <row r="877" ht="15.75" customHeight="1" s="174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</row>
    <row r="878" ht="15.75" customHeight="1" s="174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</row>
    <row r="879" ht="15.75" customHeight="1" s="174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</row>
    <row r="880" ht="15.75" customHeight="1" s="174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</row>
    <row r="881" ht="15.75" customHeight="1" s="174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</row>
    <row r="882" ht="15.75" customHeight="1" s="174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</row>
    <row r="883" ht="15.75" customHeight="1" s="174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</row>
    <row r="884" ht="15.75" customHeight="1" s="174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</row>
    <row r="885" ht="15.75" customHeight="1" s="174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</row>
    <row r="886" ht="15.75" customHeight="1" s="174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</row>
    <row r="887" ht="15.75" customHeight="1" s="174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</row>
    <row r="888" ht="15.75" customHeight="1" s="174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</row>
    <row r="889" ht="15.75" customHeight="1" s="174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</row>
    <row r="890" ht="15.75" customHeight="1" s="174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</row>
    <row r="891" ht="15.75" customHeight="1" s="174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</row>
    <row r="892" ht="15.75" customHeight="1" s="174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</row>
    <row r="893" ht="15.75" customHeight="1" s="174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</row>
    <row r="894" ht="15.75" customHeight="1" s="174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</row>
    <row r="895" ht="15.75" customHeight="1" s="174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</row>
    <row r="896" ht="15.75" customHeight="1" s="174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</row>
    <row r="897" ht="15.75" customHeight="1" s="174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</row>
    <row r="898" ht="15.75" customHeight="1" s="174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</row>
    <row r="899" ht="15.75" customHeight="1" s="174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</row>
    <row r="900" ht="15.75" customHeight="1" s="174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</row>
    <row r="901" ht="15.75" customHeight="1" s="174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</row>
    <row r="902" ht="15.75" customHeight="1" s="174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</row>
    <row r="903" ht="15.75" customHeight="1" s="174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</row>
    <row r="904" ht="15.75" customHeight="1" s="174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</row>
    <row r="905" ht="15.75" customHeight="1" s="174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</row>
    <row r="906" ht="15.75" customHeight="1" s="174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</row>
    <row r="907" ht="15.75" customHeight="1" s="174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</row>
    <row r="908" ht="15.75" customHeight="1" s="174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</row>
    <row r="909" ht="15.75" customHeight="1" s="174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</row>
    <row r="910" ht="15.75" customHeight="1" s="174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</row>
    <row r="911" ht="15.75" customHeight="1" s="174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</row>
    <row r="912" ht="15.75" customHeight="1" s="174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</row>
    <row r="913" ht="15.75" customHeight="1" s="174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</row>
    <row r="914" ht="15.75" customHeight="1" s="174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</row>
    <row r="915" ht="15.75" customHeight="1" s="174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</row>
    <row r="916" ht="15.75" customHeight="1" s="174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</row>
    <row r="917" ht="15.75" customHeight="1" s="174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</row>
    <row r="918" ht="15.75" customHeight="1" s="174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</row>
    <row r="919" ht="15.75" customHeight="1" s="174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</row>
    <row r="920" ht="15.75" customHeight="1" s="174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</row>
    <row r="921" ht="15.75" customHeight="1" s="174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</row>
    <row r="922" ht="15.75" customHeight="1" s="174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</row>
    <row r="923" ht="15.75" customHeight="1" s="174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</row>
    <row r="924" ht="15.75" customHeight="1" s="174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</row>
    <row r="925" ht="15.75" customHeight="1" s="174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</row>
    <row r="926" ht="15.75" customHeight="1" s="174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</row>
    <row r="927" ht="15.75" customHeight="1" s="174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</row>
    <row r="928" ht="15.75" customHeight="1" s="174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</row>
    <row r="929" ht="15.75" customHeight="1" s="174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</row>
    <row r="930" ht="15.75" customHeight="1" s="174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</row>
    <row r="931" ht="15.75" customHeight="1" s="174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</row>
    <row r="932" ht="15.75" customHeight="1" s="174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</row>
    <row r="933" ht="15.75" customHeight="1" s="174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</row>
    <row r="934" ht="15.75" customHeight="1" s="174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</row>
    <row r="935" ht="15.75" customHeight="1" s="174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</row>
    <row r="936" ht="15.75" customHeight="1" s="174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</row>
    <row r="937" ht="15.75" customHeight="1" s="174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</row>
    <row r="938" ht="15.75" customHeight="1" s="174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</row>
    <row r="939" ht="15.75" customHeight="1" s="174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</row>
    <row r="940" ht="15.75" customHeight="1" s="174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</row>
    <row r="941" ht="15.75" customHeight="1" s="174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</row>
    <row r="942" ht="15.75" customHeight="1" s="174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</row>
    <row r="943" ht="15.75" customHeight="1" s="174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</row>
    <row r="944" ht="15.75" customHeight="1" s="174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</row>
    <row r="945" ht="15.75" customHeight="1" s="174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</row>
    <row r="946" ht="15.75" customHeight="1" s="174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</row>
    <row r="947" ht="15.75" customHeight="1" s="174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</row>
    <row r="948" ht="15.75" customHeight="1" s="174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</row>
    <row r="949" ht="15.75" customHeight="1" s="174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</row>
    <row r="950" ht="15.75" customHeight="1" s="174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</row>
    <row r="951" ht="15.75" customHeight="1" s="174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</row>
    <row r="952" ht="15.75" customHeight="1" s="174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</row>
    <row r="953" ht="15.75" customHeight="1" s="174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</row>
    <row r="954" ht="15.75" customHeight="1" s="174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</row>
    <row r="955" ht="15.75" customHeight="1" s="174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</row>
    <row r="956" ht="15.75" customHeight="1" s="174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</row>
    <row r="957" ht="15.75" customHeight="1" s="174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</row>
    <row r="958" ht="15.75" customHeight="1" s="174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</row>
    <row r="959" ht="15.75" customHeight="1" s="174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</row>
    <row r="960" ht="15.75" customHeight="1" s="174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</row>
    <row r="961" ht="15.75" customHeight="1" s="174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</row>
    <row r="962" ht="15.75" customHeight="1" s="174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</row>
    <row r="963" ht="15.75" customHeight="1" s="174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</row>
    <row r="964" ht="15.75" customHeight="1" s="174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</row>
    <row r="965" ht="15.75" customHeight="1" s="174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</row>
    <row r="966" ht="15.75" customHeight="1" s="174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</row>
    <row r="967" ht="15.75" customHeight="1" s="174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</row>
    <row r="968" ht="15.75" customHeight="1" s="174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</row>
    <row r="969" ht="15.75" customHeight="1" s="174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</row>
    <row r="970" ht="15.75" customHeight="1" s="174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</row>
    <row r="971" ht="15.75" customHeight="1" s="174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</row>
    <row r="972" ht="15.75" customHeight="1" s="174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</row>
    <row r="973" ht="15.75" customHeight="1" s="174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</row>
    <row r="974" ht="15.75" customHeight="1" s="174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</row>
    <row r="975" ht="15.75" customHeight="1" s="174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</row>
    <row r="976" ht="15.75" customHeight="1" s="174"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</row>
    <row r="977" ht="15.75" customHeight="1" s="174"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</row>
    <row r="978" ht="15.75" customHeight="1" s="174"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</row>
    <row r="979" ht="15.75" customHeight="1" s="174"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</row>
    <row r="980" ht="15.75" customHeight="1" s="174"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</row>
    <row r="981" ht="15.75" customHeight="1" s="174"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</row>
    <row r="982" ht="15.75" customHeight="1" s="174"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</row>
    <row r="983" ht="15.75" customHeight="1" s="174"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</row>
    <row r="984" ht="15.75" customHeight="1" s="174"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</row>
    <row r="985" ht="15.75" customHeight="1" s="174"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</row>
    <row r="986" ht="15.75" customHeight="1" s="174"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</row>
    <row r="987" ht="15.75" customHeight="1" s="174"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</row>
    <row r="988" ht="15.75" customHeight="1" s="174"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</row>
    <row r="989" ht="15.75" customHeight="1" s="174"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</row>
    <row r="990" ht="15.75" customHeight="1" s="174"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</row>
    <row r="991" ht="15.75" customHeight="1" s="174"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</row>
    <row r="992" ht="15.75" customHeight="1" s="174"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</row>
    <row r="993" ht="15.75" customHeight="1" s="174"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</row>
    <row r="994" ht="15.75" customHeight="1" s="174"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</row>
    <row r="995" ht="15.75" customHeight="1" s="174"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</row>
    <row r="996" ht="15.75" customHeight="1" s="174"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</row>
    <row r="997" ht="15.75" customHeight="1" s="174"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</row>
    <row r="998" ht="15.75" customHeight="1" s="174"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</row>
    <row r="999" ht="15.75" customHeight="1" s="174">
      <c r="H999" s="3" t="n"/>
      <c r="I999" s="3" t="n"/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  <c r="S999" s="3" t="n"/>
      <c r="T999" s="3" t="n"/>
      <c r="U999" s="3" t="n"/>
      <c r="V999" s="3" t="n"/>
    </row>
    <row r="1000" ht="15.75" customHeight="1" s="174">
      <c r="H1000" s="3" t="n"/>
      <c r="I1000" s="3" t="n"/>
      <c r="J1000" s="3" t="n"/>
      <c r="K1000" s="3" t="n"/>
      <c r="L1000" s="3" t="n"/>
      <c r="M1000" s="3" t="n"/>
      <c r="N1000" s="3" t="n"/>
      <c r="O1000" s="3" t="n"/>
      <c r="P1000" s="3" t="n"/>
      <c r="Q1000" s="3" t="n"/>
      <c r="R1000" s="3" t="n"/>
      <c r="S1000" s="3" t="n"/>
      <c r="T1000" s="3" t="n"/>
      <c r="U1000" s="3" t="n"/>
      <c r="V1000" s="3" t="n"/>
    </row>
  </sheetData>
  <mergeCells count="6">
    <mergeCell ref="A19:B19"/>
    <mergeCell ref="A3:D3"/>
    <mergeCell ref="A28:B28"/>
    <mergeCell ref="A34:F34"/>
    <mergeCell ref="A11:D11"/>
    <mergeCell ref="A27:B27"/>
  </mergeCells>
  <pageMargins left="0.75" right="0.75" top="1" bottom="1" header="0" footer="0"/>
  <pageSetup orientation="portrait" fitToHeight="0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8" customWidth="1" style="174" min="1" max="1"/>
    <col width="40" customWidth="1" style="174" min="2" max="2"/>
    <col width="32" customWidth="1" style="174" min="3" max="3"/>
    <col width="8.57" customWidth="1" style="174" min="4" max="4"/>
    <col width="44" customWidth="1" style="174" min="5" max="5"/>
    <col width="8.57" customWidth="1" style="174" min="6" max="6"/>
    <col width="40" customWidth="1" style="174" min="7" max="7"/>
    <col width="8.57" customWidth="1" style="174" min="8" max="8"/>
    <col width="10" customWidth="1" style="174" min="9" max="9"/>
    <col width="8.57" customWidth="1" style="174" min="10" max="10"/>
    <col width="14" customWidth="1" style="174" min="11" max="11"/>
    <col width="8.57" customWidth="1" style="174" min="12" max="12"/>
    <col width="22" customWidth="1" style="174" min="13" max="13"/>
  </cols>
  <sheetData>
    <row r="1" ht="15" customHeight="1" s="174">
      <c r="A1" s="19" t="inlineStr">
        <is>
          <t>SIC2</t>
        </is>
      </c>
      <c r="B1" s="19" t="inlineStr">
        <is>
          <t>Industry (SIC major group)</t>
        </is>
      </c>
      <c r="C1" s="19" t="inlineStr">
        <is>
          <t>Division</t>
        </is>
      </c>
      <c r="D1" s="3" t="n"/>
      <c r="E1" s="19" t="inlineStr">
        <is>
          <t>ISO (house-book spelling)</t>
        </is>
      </c>
      <c r="F1" s="3" t="n"/>
      <c r="G1" s="19" t="inlineStr">
        <is>
          <t>Industry list</t>
        </is>
      </c>
      <c r="H1" s="3" t="n"/>
      <c r="I1" s="3" t="n"/>
      <c r="J1" s="3" t="n"/>
      <c r="K1" s="19" t="inlineStr">
        <is>
          <t>Fed holiday</t>
        </is>
      </c>
      <c r="L1" s="3" t="n"/>
      <c r="M1" s="19" t="inlineStr">
        <is>
          <t>Status list</t>
        </is>
      </c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15" customHeight="1" s="174">
      <c r="A2" s="3" t="inlineStr">
        <is>
          <t>01</t>
        </is>
      </c>
      <c r="B2" s="3" t="inlineStr">
        <is>
          <t>Agricultural Production - Crops</t>
        </is>
      </c>
      <c r="C2" s="3" t="inlineStr">
        <is>
          <t>Agriculture, Forestry &amp; Fishing</t>
        </is>
      </c>
      <c r="D2" s="3" t="n"/>
      <c r="E2" s="3" t="inlineStr">
        <is>
          <t>Ace Partners</t>
        </is>
      </c>
      <c r="F2" s="3" t="n"/>
      <c r="G2" s="3" t="inlineStr">
        <is>
          <t>Administration of Economic Programs</t>
        </is>
      </c>
      <c r="H2" s="3" t="n"/>
      <c r="I2" s="3" t="n"/>
      <c r="J2" s="3" t="n"/>
      <c r="K2" s="23" t="n">
        <v>45292</v>
      </c>
      <c r="L2" s="3" t="n"/>
      <c r="M2" s="3" t="inlineStr">
        <is>
          <t>Closed</t>
        </is>
      </c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15" customHeight="1" s="174">
      <c r="A3" s="3" t="inlineStr">
        <is>
          <t>02</t>
        </is>
      </c>
      <c r="B3" s="3" t="inlineStr">
        <is>
          <t>Agricultural Production - Livestock</t>
        </is>
      </c>
      <c r="C3" s="3" t="inlineStr">
        <is>
          <t>Agriculture, Forestry &amp; Fishing</t>
        </is>
      </c>
      <c r="D3" s="3" t="n"/>
      <c r="E3" s="3" t="inlineStr">
        <is>
          <t>Advance Consolidations</t>
        </is>
      </c>
      <c r="F3" s="3" t="n"/>
      <c r="G3" s="3" t="inlineStr">
        <is>
          <t>Agricultural Production - Crops</t>
        </is>
      </c>
      <c r="H3" s="3" t="n"/>
      <c r="I3" s="3" t="n"/>
      <c r="J3" s="3" t="n"/>
      <c r="K3" s="23" t="n">
        <v>45306</v>
      </c>
      <c r="L3" s="3" t="n"/>
      <c r="M3" s="3" t="inlineStr">
        <is>
          <t>Open</t>
        </is>
      </c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15" customHeight="1" s="174">
      <c r="A4" s="3" t="inlineStr">
        <is>
          <t>07</t>
        </is>
      </c>
      <c r="B4" s="3" t="inlineStr">
        <is>
          <t>Agricultural Services</t>
        </is>
      </c>
      <c r="C4" s="3" t="inlineStr">
        <is>
          <t>Agriculture, Forestry &amp; Fishing</t>
        </is>
      </c>
      <c r="D4" s="3" t="n"/>
      <c r="E4" s="3" t="inlineStr">
        <is>
          <t>ALLSTATE FUND PROS LLC</t>
        </is>
      </c>
      <c r="F4" s="3" t="n"/>
      <c r="G4" s="3" t="inlineStr">
        <is>
          <t>Agricultural Production - Livestock</t>
        </is>
      </c>
      <c r="H4" s="3" t="n"/>
      <c r="I4" s="3" t="n"/>
      <c r="J4" s="3" t="n"/>
      <c r="K4" s="23" t="n">
        <v>45341</v>
      </c>
      <c r="L4" s="3" t="n"/>
      <c r="M4" s="3" t="inlineStr">
        <is>
          <t>Legal</t>
        </is>
      </c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15" customHeight="1" s="174">
      <c r="A5" s="3" t="inlineStr">
        <is>
          <t>08</t>
        </is>
      </c>
      <c r="B5" s="3" t="inlineStr">
        <is>
          <t>Forestry</t>
        </is>
      </c>
      <c r="C5" s="3" t="inlineStr">
        <is>
          <t>Agriculture, Forestry &amp; Fishing</t>
        </is>
      </c>
      <c r="D5" s="3" t="n"/>
      <c r="E5" s="3" t="inlineStr">
        <is>
          <t>Alternative Solutions Funding</t>
        </is>
      </c>
      <c r="F5" s="3" t="n"/>
      <c r="G5" s="3" t="inlineStr">
        <is>
          <t>Agricultural Services</t>
        </is>
      </c>
      <c r="H5" s="3" t="n"/>
      <c r="I5" s="3" t="n"/>
      <c r="J5" s="3" t="n"/>
      <c r="K5" s="23" t="n">
        <v>45439</v>
      </c>
      <c r="L5" s="3" t="n"/>
      <c r="M5" s="3" t="inlineStr">
        <is>
          <t>In House Collection</t>
        </is>
      </c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15" customHeight="1" s="174">
      <c r="A6" s="3" t="inlineStr">
        <is>
          <t>13</t>
        </is>
      </c>
      <c r="B6" s="3" t="inlineStr">
        <is>
          <t>Oil &amp; Gas Extraction</t>
        </is>
      </c>
      <c r="C6" s="3" t="inlineStr">
        <is>
          <t>Mining</t>
        </is>
      </c>
      <c r="D6" s="3" t="n"/>
      <c r="E6" s="3" t="inlineStr">
        <is>
          <t>alvara capital</t>
        </is>
      </c>
      <c r="F6" s="3" t="n"/>
      <c r="G6" s="3" t="inlineStr">
        <is>
          <t>Air Transportation</t>
        </is>
      </c>
      <c r="H6" s="3" t="n"/>
      <c r="I6" s="3" t="n"/>
      <c r="J6" s="3" t="n"/>
      <c r="K6" s="23" t="n">
        <v>45462</v>
      </c>
      <c r="L6" s="3" t="n"/>
      <c r="M6" s="3" t="inlineStr">
        <is>
          <t>Lowered Payments</t>
        </is>
      </c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15" customHeight="1" s="174">
      <c r="A7" s="3" t="inlineStr">
        <is>
          <t>14</t>
        </is>
      </c>
      <c r="B7" s="3" t="inlineStr">
        <is>
          <t>Nonmetallic Minerals Mining</t>
        </is>
      </c>
      <c r="C7" s="3" t="inlineStr">
        <is>
          <t>Mining</t>
        </is>
      </c>
      <c r="D7" s="3" t="n"/>
      <c r="E7" s="3" t="inlineStr">
        <is>
          <t>American Funding Association 1</t>
        </is>
      </c>
      <c r="F7" s="3" t="n"/>
      <c r="G7" s="3" t="inlineStr">
        <is>
          <t>Amusement &amp; Recreation Services</t>
        </is>
      </c>
      <c r="H7" s="3" t="n"/>
      <c r="I7" s="3" t="n"/>
      <c r="J7" s="3" t="n"/>
      <c r="K7" s="23" t="n">
        <v>45477</v>
      </c>
      <c r="L7" s="3" t="n"/>
      <c r="M7" s="3" t="inlineStr">
        <is>
          <t>Written-Off</t>
        </is>
      </c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15" customHeight="1" s="174">
      <c r="A8" s="3" t="inlineStr">
        <is>
          <t>15</t>
        </is>
      </c>
      <c r="B8" s="3" t="inlineStr">
        <is>
          <t>General Building Contractors</t>
        </is>
      </c>
      <c r="C8" s="3" t="inlineStr">
        <is>
          <t>Construction</t>
        </is>
      </c>
      <c r="D8" s="3" t="n"/>
      <c r="E8" s="3" t="inlineStr">
        <is>
          <t>Amerishop Financial services</t>
        </is>
      </c>
      <c r="F8" s="3" t="n"/>
      <c r="G8" s="3" t="inlineStr">
        <is>
          <t>Apparel &amp; Accessory Stores</t>
        </is>
      </c>
      <c r="H8" s="3" t="n"/>
      <c r="I8" s="3" t="n"/>
      <c r="J8" s="3" t="n"/>
      <c r="K8" s="23" t="n">
        <v>45537</v>
      </c>
      <c r="L8" s="3" t="n"/>
      <c r="M8" s="3" t="inlineStr">
        <is>
          <t>Bankruptcy</t>
        </is>
      </c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15" customHeight="1" s="174">
      <c r="A9" s="3" t="inlineStr">
        <is>
          <t>16</t>
        </is>
      </c>
      <c r="B9" s="3" t="inlineStr">
        <is>
          <t>Heavy Construction</t>
        </is>
      </c>
      <c r="C9" s="3" t="inlineStr">
        <is>
          <t>Construction</t>
        </is>
      </c>
      <c r="D9" s="3" t="n"/>
      <c r="E9" s="3" t="inlineStr">
        <is>
          <t>Aspire Funding</t>
        </is>
      </c>
      <c r="F9" s="3" t="n"/>
      <c r="G9" s="3" t="inlineStr">
        <is>
          <t>Apparel &amp; Textile Products</t>
        </is>
      </c>
      <c r="H9" s="3" t="n"/>
      <c r="I9" s="3" t="n"/>
      <c r="J9" s="3" t="n"/>
      <c r="K9" s="23" t="n">
        <v>45579</v>
      </c>
      <c r="L9" s="3" t="n"/>
      <c r="M9" s="3" t="inlineStr">
        <is>
          <t>Settlement Agreement</t>
        </is>
      </c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15" customHeight="1" s="174">
      <c r="A10" s="3" t="inlineStr">
        <is>
          <t>17</t>
        </is>
      </c>
      <c r="B10" s="3" t="inlineStr">
        <is>
          <t>Special Trade Contractors</t>
        </is>
      </c>
      <c r="C10" s="3" t="inlineStr">
        <is>
          <t>Construction</t>
        </is>
      </c>
      <c r="D10" s="3" t="n"/>
      <c r="E10" s="3" t="inlineStr">
        <is>
          <t>Atla Finance</t>
        </is>
      </c>
      <c r="F10" s="3" t="n"/>
      <c r="G10" s="3" t="inlineStr">
        <is>
          <t>Auto Dealers &amp; Gas Stations</t>
        </is>
      </c>
      <c r="H10" s="3" t="n"/>
      <c r="I10" s="3" t="n"/>
      <c r="J10" s="3" t="n"/>
      <c r="K10" s="23" t="n">
        <v>45607</v>
      </c>
      <c r="L10" s="3" t="n"/>
      <c r="M10" s="3" t="inlineStr">
        <is>
          <t>Closed/NSF</t>
        </is>
      </c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15" customHeight="1" s="174">
      <c r="A11" s="3" t="inlineStr">
        <is>
          <t>20</t>
        </is>
      </c>
      <c r="B11" s="3" t="inlineStr">
        <is>
          <t>Food &amp; Kindred Products</t>
        </is>
      </c>
      <c r="C11" s="3" t="inlineStr">
        <is>
          <t>Manufacturing</t>
        </is>
      </c>
      <c r="D11" s="3" t="n"/>
      <c r="E11" s="3" t="inlineStr">
        <is>
          <t>AVON ADVANCE</t>
        </is>
      </c>
      <c r="F11" s="3" t="n"/>
      <c r="G11" s="3" t="inlineStr">
        <is>
          <t>Auto Repair &amp; Services</t>
        </is>
      </c>
      <c r="H11" s="3" t="n"/>
      <c r="I11" s="3" t="n"/>
      <c r="J11" s="3" t="n"/>
      <c r="K11" s="23" t="n">
        <v>45624</v>
      </c>
      <c r="L11" s="3" t="n"/>
      <c r="M11" s="3" t="inlineStr">
        <is>
          <t>Closed/NSF Unpaid</t>
        </is>
      </c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15" customHeight="1" s="174">
      <c r="A12" s="3" t="inlineStr">
        <is>
          <t>23</t>
        </is>
      </c>
      <c r="B12" s="3" t="inlineStr">
        <is>
          <t>Apparel &amp; Textile Products</t>
        </is>
      </c>
      <c r="C12" s="3" t="inlineStr">
        <is>
          <t>Manufacturing</t>
        </is>
      </c>
      <c r="D12" s="3" t="n"/>
      <c r="E12" s="3" t="inlineStr">
        <is>
          <t>Ballicci</t>
        </is>
      </c>
      <c r="F12" s="3" t="n"/>
      <c r="G12" s="3" t="inlineStr">
        <is>
          <t>Building Materials &amp; Garden Supply</t>
        </is>
      </c>
      <c r="H12" s="3" t="n"/>
      <c r="I12" s="3" t="n"/>
      <c r="J12" s="3" t="n"/>
      <c r="K12" s="23" t="n">
        <v>45651</v>
      </c>
      <c r="L12" s="3" t="n"/>
      <c r="M12" s="3" t="inlineStr">
        <is>
          <t>At-Risk</t>
        </is>
      </c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15" customHeight="1" s="174">
      <c r="A13" s="3" t="inlineStr">
        <is>
          <t>24</t>
        </is>
      </c>
      <c r="B13" s="3" t="inlineStr">
        <is>
          <t>Lumber &amp; Wood Products</t>
        </is>
      </c>
      <c r="C13" s="3" t="inlineStr">
        <is>
          <t>Manufacturing</t>
        </is>
      </c>
      <c r="D13" s="3" t="n"/>
      <c r="E13" s="3" t="inlineStr">
        <is>
          <t>BFA 3</t>
        </is>
      </c>
      <c r="F13" s="3" t="n"/>
      <c r="G13" s="3" t="inlineStr">
        <is>
          <t>Business Services</t>
        </is>
      </c>
      <c r="H13" s="3" t="n"/>
      <c r="I13" s="3" t="n"/>
      <c r="J13" s="3" t="n"/>
      <c r="K13" s="23" t="n">
        <v>45658</v>
      </c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15" customHeight="1" s="174">
      <c r="A14" s="3" t="inlineStr">
        <is>
          <t>25</t>
        </is>
      </c>
      <c r="B14" s="3" t="inlineStr">
        <is>
          <t>Furniture &amp; Fixtures</t>
        </is>
      </c>
      <c r="C14" s="3" t="inlineStr">
        <is>
          <t>Manufacturing</t>
        </is>
      </c>
      <c r="D14" s="3" t="n"/>
      <c r="E14" s="3" t="inlineStr">
        <is>
          <t>Bingo advance LLC</t>
        </is>
      </c>
      <c r="F14" s="3" t="n"/>
      <c r="G14" s="3" t="inlineStr">
        <is>
          <t>Chemicals &amp; Allied Products</t>
        </is>
      </c>
      <c r="H14" s="3" t="n"/>
      <c r="I14" s="3" t="n"/>
      <c r="J14" s="3" t="n"/>
      <c r="K14" s="23" t="n">
        <v>45677</v>
      </c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15" customHeight="1" s="174">
      <c r="A15" s="3" t="inlineStr">
        <is>
          <t>27</t>
        </is>
      </c>
      <c r="B15" s="3" t="inlineStr">
        <is>
          <t>Printing &amp; Publishing</t>
        </is>
      </c>
      <c r="C15" s="3" t="inlineStr">
        <is>
          <t>Manufacturing</t>
        </is>
      </c>
      <c r="D15" s="3" t="n"/>
      <c r="E15" s="3" t="inlineStr">
        <is>
          <t>Birkin Capital Inc</t>
        </is>
      </c>
      <c r="F15" s="3" t="n"/>
      <c r="G15" s="3" t="inlineStr">
        <is>
          <t>Communications</t>
        </is>
      </c>
      <c r="H15" s="3" t="n"/>
      <c r="I15" s="3" t="n"/>
      <c r="J15" s="3" t="n"/>
      <c r="K15" s="23" t="n">
        <v>45705</v>
      </c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15" customHeight="1" s="174">
      <c r="A16" s="3" t="inlineStr">
        <is>
          <t>28</t>
        </is>
      </c>
      <c r="B16" s="3" t="inlineStr">
        <is>
          <t>Chemicals &amp; Allied Products</t>
        </is>
      </c>
      <c r="C16" s="3" t="inlineStr">
        <is>
          <t>Manufacturing</t>
        </is>
      </c>
      <c r="D16" s="3" t="n"/>
      <c r="E16" s="3" t="inlineStr">
        <is>
          <t>biz advance now</t>
        </is>
      </c>
      <c r="F16" s="3" t="n"/>
      <c r="G16" s="3" t="inlineStr">
        <is>
          <t>Eating &amp; Drinking Places</t>
        </is>
      </c>
      <c r="H16" s="3" t="n"/>
      <c r="I16" s="3" t="n"/>
      <c r="J16" s="3" t="n"/>
      <c r="K16" s="23" t="n">
        <v>45803</v>
      </c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 ht="15" customHeight="1" s="174">
      <c r="A17" s="3" t="inlineStr">
        <is>
          <t>30</t>
        </is>
      </c>
      <c r="B17" s="3" t="inlineStr">
        <is>
          <t>Rubber &amp; Plastics</t>
        </is>
      </c>
      <c r="C17" s="3" t="inlineStr">
        <is>
          <t>Manufacturing</t>
        </is>
      </c>
      <c r="D17" s="3" t="n"/>
      <c r="E17" s="3" t="inlineStr">
        <is>
          <t>Biz fuel</t>
        </is>
      </c>
      <c r="F17" s="3" t="n"/>
      <c r="G17" s="3" t="inlineStr">
        <is>
          <t>Educational Services</t>
        </is>
      </c>
      <c r="H17" s="3" t="n"/>
      <c r="I17" s="3" t="n"/>
      <c r="J17" s="3" t="n"/>
      <c r="K17" s="23" t="n">
        <v>45827</v>
      </c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15" customHeight="1" s="174">
      <c r="A18" s="3" t="inlineStr">
        <is>
          <t>32</t>
        </is>
      </c>
      <c r="B18" s="3" t="inlineStr">
        <is>
          <t>Stone, Clay, Glass &amp; Concrete</t>
        </is>
      </c>
      <c r="C18" s="3" t="inlineStr">
        <is>
          <t>Manufacturing</t>
        </is>
      </c>
      <c r="D18" s="3" t="n"/>
      <c r="E18" s="3" t="inlineStr">
        <is>
          <t>BizFin LLC</t>
        </is>
      </c>
      <c r="F18" s="3" t="n"/>
      <c r="G18" s="3" t="inlineStr">
        <is>
          <t>Electric, Gas &amp; Sanitary Services</t>
        </is>
      </c>
      <c r="H18" s="3" t="n"/>
      <c r="I18" s="3" t="n"/>
      <c r="J18" s="3" t="n"/>
      <c r="K18" s="23" t="n">
        <v>45842</v>
      </c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 ht="15" customHeight="1" s="174">
      <c r="A19" s="3" t="inlineStr">
        <is>
          <t>33</t>
        </is>
      </c>
      <c r="B19" s="3" t="inlineStr">
        <is>
          <t>Primary Metal Industries</t>
        </is>
      </c>
      <c r="C19" s="3" t="inlineStr">
        <is>
          <t>Manufacturing</t>
        </is>
      </c>
      <c r="D19" s="3" t="n"/>
      <c r="E19" s="3" t="inlineStr">
        <is>
          <t>black flag funding</t>
        </is>
      </c>
      <c r="F19" s="3" t="n"/>
      <c r="G19" s="3" t="inlineStr">
        <is>
          <t>Electronic &amp; Electrical Equipment</t>
        </is>
      </c>
      <c r="H19" s="3" t="n"/>
      <c r="I19" s="3" t="n"/>
      <c r="J19" s="3" t="n"/>
      <c r="K19" s="23" t="n">
        <v>45901</v>
      </c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 ht="15" customHeight="1" s="174">
      <c r="A20" s="3" t="inlineStr">
        <is>
          <t>34</t>
        </is>
      </c>
      <c r="B20" s="3" t="inlineStr">
        <is>
          <t>Fabricated Metal Products</t>
        </is>
      </c>
      <c r="C20" s="3" t="inlineStr">
        <is>
          <t>Manufacturing</t>
        </is>
      </c>
      <c r="D20" s="3" t="n"/>
      <c r="E20" s="3" t="inlineStr">
        <is>
          <t>Black Tie Funding</t>
        </is>
      </c>
      <c r="F20" s="3" t="n"/>
      <c r="G20" s="3" t="inlineStr">
        <is>
          <t>Engineering, Accounting &amp; Management</t>
        </is>
      </c>
      <c r="H20" s="3" t="n"/>
      <c r="I20" s="3" t="n"/>
      <c r="J20" s="3" t="n"/>
      <c r="K20" s="23" t="n">
        <v>45943</v>
      </c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5.75" customHeight="1" s="174">
      <c r="A21" s="3" t="inlineStr">
        <is>
          <t>35</t>
        </is>
      </c>
      <c r="B21" s="3" t="inlineStr">
        <is>
          <t>Industrial Machinery &amp; Equipment</t>
        </is>
      </c>
      <c r="C21" s="3" t="inlineStr">
        <is>
          <t>Manufacturing</t>
        </is>
      </c>
      <c r="D21" s="3" t="n"/>
      <c r="E21" s="3" t="inlineStr">
        <is>
          <t>Blue Oak Advance</t>
        </is>
      </c>
      <c r="F21" s="3" t="n"/>
      <c r="G21" s="3" t="inlineStr">
        <is>
          <t>Environmental Quality &amp; Housing</t>
        </is>
      </c>
      <c r="H21" s="3" t="n"/>
      <c r="I21" s="3" t="n"/>
      <c r="J21" s="3" t="n"/>
      <c r="K21" s="23" t="n">
        <v>45972</v>
      </c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5.75" customHeight="1" s="174">
      <c r="A22" s="3" t="inlineStr">
        <is>
          <t>36</t>
        </is>
      </c>
      <c r="B22" s="3" t="inlineStr">
        <is>
          <t>Electronic &amp; Electrical Equipment</t>
        </is>
      </c>
      <c r="C22" s="3" t="inlineStr">
        <is>
          <t>Manufacturing</t>
        </is>
      </c>
      <c r="D22" s="3" t="n"/>
      <c r="E22" s="3" t="inlineStr">
        <is>
          <t>bridge consolidation</t>
        </is>
      </c>
      <c r="F22" s="3" t="n"/>
      <c r="G22" s="3" t="inlineStr">
        <is>
          <t>Fabricated Metal Products</t>
        </is>
      </c>
      <c r="H22" s="3" t="n"/>
      <c r="I22" s="3" t="n"/>
      <c r="J22" s="3" t="n"/>
      <c r="K22" s="23" t="n">
        <v>45988</v>
      </c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5.75" customHeight="1" s="174">
      <c r="A23" s="3" t="inlineStr">
        <is>
          <t>37</t>
        </is>
      </c>
      <c r="B23" s="3" t="inlineStr">
        <is>
          <t>Transportation Equipment</t>
        </is>
      </c>
      <c r="C23" s="3" t="inlineStr">
        <is>
          <t>Manufacturing</t>
        </is>
      </c>
      <c r="D23" s="3" t="n"/>
      <c r="E23" s="3" t="inlineStr">
        <is>
          <t>Broadway Advance LLC</t>
        </is>
      </c>
      <c r="F23" s="3" t="n"/>
      <c r="G23" s="3" t="inlineStr">
        <is>
          <t>Food &amp; Kindred Products</t>
        </is>
      </c>
      <c r="H23" s="3" t="n"/>
      <c r="I23" s="3" t="n"/>
      <c r="J23" s="3" t="n"/>
      <c r="K23" s="23" t="n">
        <v>46016</v>
      </c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5.75" customHeight="1" s="174">
      <c r="A24" s="3" t="inlineStr">
        <is>
          <t>38</t>
        </is>
      </c>
      <c r="B24" s="3" t="inlineStr">
        <is>
          <t>Instruments &amp; Related Products</t>
        </is>
      </c>
      <c r="C24" s="3" t="inlineStr">
        <is>
          <t>Manufacturing</t>
        </is>
      </c>
      <c r="D24" s="3" t="n"/>
      <c r="E24" s="3" t="inlineStr">
        <is>
          <t>Business Fund USA 4</t>
        </is>
      </c>
      <c r="F24" s="3" t="n"/>
      <c r="G24" s="3" t="inlineStr">
        <is>
          <t>Food Stores</t>
        </is>
      </c>
      <c r="H24" s="3" t="n"/>
      <c r="I24" s="3" t="n"/>
      <c r="J24" s="3" t="n"/>
      <c r="K24" s="23" t="n">
        <v>46023</v>
      </c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 s="174">
      <c r="A25" s="3" t="inlineStr">
        <is>
          <t>39</t>
        </is>
      </c>
      <c r="B25" s="3" t="inlineStr">
        <is>
          <t>Miscellaneous Manufacturing</t>
        </is>
      </c>
      <c r="C25" s="3" t="inlineStr">
        <is>
          <t>Manufacturing</t>
        </is>
      </c>
      <c r="D25" s="3" t="n"/>
      <c r="E25" s="3" t="inlineStr">
        <is>
          <t>Can I Have Money</t>
        </is>
      </c>
      <c r="F25" s="3" t="n"/>
      <c r="G25" s="3" t="inlineStr">
        <is>
          <t>Forestry</t>
        </is>
      </c>
      <c r="H25" s="3" t="n"/>
      <c r="I25" s="3" t="n"/>
      <c r="J25" s="3" t="n"/>
      <c r="K25" s="23" t="n">
        <v>46041</v>
      </c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 s="174">
      <c r="A26" s="3" t="inlineStr">
        <is>
          <t>41</t>
        </is>
      </c>
      <c r="B26" s="3" t="inlineStr">
        <is>
          <t>Local &amp; Interurban Passenger Transit</t>
        </is>
      </c>
      <c r="C26" s="3" t="inlineStr">
        <is>
          <t>Transportation &amp; Utilities</t>
        </is>
      </c>
      <c r="D26" s="3" t="n"/>
      <c r="E26" s="3" t="inlineStr">
        <is>
          <t>Capfront Funding</t>
        </is>
      </c>
      <c r="F26" s="3" t="n"/>
      <c r="G26" s="3" t="inlineStr">
        <is>
          <t>Furniture &amp; Fixtures</t>
        </is>
      </c>
      <c r="H26" s="3" t="n"/>
      <c r="I26" s="3" t="n"/>
      <c r="J26" s="3" t="n"/>
      <c r="K26" s="23" t="n">
        <v>46069</v>
      </c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 s="174">
      <c r="A27" s="3" t="inlineStr">
        <is>
          <t>42</t>
        </is>
      </c>
      <c r="B27" s="3" t="inlineStr">
        <is>
          <t>Trucking &amp; Warehousing</t>
        </is>
      </c>
      <c r="C27" s="3" t="inlineStr">
        <is>
          <t>Transportation &amp; Utilities</t>
        </is>
      </c>
      <c r="D27" s="3" t="n"/>
      <c r="E27" s="3" t="inlineStr">
        <is>
          <t>Capital 1 Group LLC DBA Tier One Financing LLC</t>
        </is>
      </c>
      <c r="F27" s="3" t="n"/>
      <c r="G27" s="3" t="inlineStr">
        <is>
          <t>Furniture &amp; Home Furnishings Stores</t>
        </is>
      </c>
      <c r="H27" s="3" t="n"/>
      <c r="I27" s="3" t="n"/>
      <c r="J27" s="3" t="n"/>
      <c r="K27" s="23" t="n">
        <v>46167</v>
      </c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 s="174">
      <c r="A28" s="3" t="inlineStr">
        <is>
          <t>44</t>
        </is>
      </c>
      <c r="B28" s="3" t="inlineStr">
        <is>
          <t>Water Transportation</t>
        </is>
      </c>
      <c r="C28" s="3" t="inlineStr">
        <is>
          <t>Transportation &amp; Utilities</t>
        </is>
      </c>
      <c r="D28" s="3" t="n"/>
      <c r="E28" s="3" t="inlineStr">
        <is>
          <t>CARE FUNDING GROUP</t>
        </is>
      </c>
      <c r="F28" s="3" t="n"/>
      <c r="G28" s="3" t="inlineStr">
        <is>
          <t>General Building Contractors</t>
        </is>
      </c>
      <c r="H28" s="3" t="n"/>
      <c r="I28" s="3" t="n"/>
      <c r="J28" s="3" t="n"/>
      <c r="K28" s="23" t="n">
        <v>46192</v>
      </c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 s="174">
      <c r="A29" s="3" t="inlineStr">
        <is>
          <t>45</t>
        </is>
      </c>
      <c r="B29" s="3" t="inlineStr">
        <is>
          <t>Air Transportation</t>
        </is>
      </c>
      <c r="C29" s="3" t="inlineStr">
        <is>
          <t>Transportation &amp; Utilities</t>
        </is>
      </c>
      <c r="D29" s="3" t="n"/>
      <c r="E29" s="3" t="inlineStr">
        <is>
          <t>cavala funding</t>
        </is>
      </c>
      <c r="F29" s="3" t="n"/>
      <c r="G29" s="3" t="inlineStr">
        <is>
          <t>General Merchandise Stores</t>
        </is>
      </c>
      <c r="H29" s="3" t="n"/>
      <c r="I29" s="3" t="n"/>
      <c r="J29" s="3" t="n"/>
      <c r="K29" s="23" t="n">
        <v>46272</v>
      </c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 s="174">
      <c r="A30" s="3" t="inlineStr">
        <is>
          <t>47</t>
        </is>
      </c>
      <c r="B30" s="3" t="inlineStr">
        <is>
          <t>Transportation Services</t>
        </is>
      </c>
      <c r="C30" s="3" t="inlineStr">
        <is>
          <t>Transportation &amp; Utilities</t>
        </is>
      </c>
      <c r="D30" s="3" t="n"/>
      <c r="E30" s="3" t="inlineStr">
        <is>
          <t>cenitcapital</t>
        </is>
      </c>
      <c r="F30" s="3" t="n"/>
      <c r="G30" s="3" t="inlineStr">
        <is>
          <t>Health Services</t>
        </is>
      </c>
      <c r="H30" s="3" t="n"/>
      <c r="I30" s="3" t="n"/>
      <c r="J30" s="3" t="n"/>
      <c r="K30" s="23" t="n">
        <v>46307</v>
      </c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 s="174">
      <c r="A31" s="3" t="inlineStr">
        <is>
          <t>48</t>
        </is>
      </c>
      <c r="B31" s="3" t="inlineStr">
        <is>
          <t>Communications</t>
        </is>
      </c>
      <c r="C31" s="3" t="inlineStr">
        <is>
          <t>Transportation &amp; Utilities</t>
        </is>
      </c>
      <c r="D31" s="3" t="n"/>
      <c r="E31" s="3" t="inlineStr">
        <is>
          <t>Choicecapital Solutions LLC</t>
        </is>
      </c>
      <c r="F31" s="3" t="n"/>
      <c r="G31" s="3" t="inlineStr">
        <is>
          <t>Heavy Construction</t>
        </is>
      </c>
      <c r="H31" s="3" t="n"/>
      <c r="I31" s="3" t="n"/>
      <c r="J31" s="3" t="n"/>
      <c r="K31" s="23" t="n">
        <v>46337</v>
      </c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 s="174">
      <c r="A32" s="3" t="inlineStr">
        <is>
          <t>49</t>
        </is>
      </c>
      <c r="B32" s="3" t="inlineStr">
        <is>
          <t>Electric, Gas &amp; Sanitary Services</t>
        </is>
      </c>
      <c r="C32" s="3" t="inlineStr">
        <is>
          <t>Transportation &amp; Utilities</t>
        </is>
      </c>
      <c r="D32" s="3" t="n"/>
      <c r="E32" s="3" t="inlineStr">
        <is>
          <t>City Wide Capital</t>
        </is>
      </c>
      <c r="F32" s="3" t="n"/>
      <c r="G32" s="3" t="inlineStr">
        <is>
          <t>Hotels &amp; Lodging</t>
        </is>
      </c>
      <c r="H32" s="3" t="n"/>
      <c r="I32" s="3" t="n"/>
      <c r="J32" s="3" t="n"/>
      <c r="K32" s="23" t="n">
        <v>46352</v>
      </c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 s="174">
      <c r="A33" s="3" t="inlineStr">
        <is>
          <t>50</t>
        </is>
      </c>
      <c r="B33" s="3" t="inlineStr">
        <is>
          <t>Wholesale Trade - Durable Goods</t>
        </is>
      </c>
      <c r="C33" s="3" t="inlineStr">
        <is>
          <t>Wholesale Trade</t>
        </is>
      </c>
      <c r="D33" s="3" t="n"/>
      <c r="E33" s="3" t="inlineStr">
        <is>
          <t>Clover Capital</t>
        </is>
      </c>
      <c r="F33" s="3" t="n"/>
      <c r="G33" s="3" t="inlineStr">
        <is>
          <t>Industrial Machinery &amp; Equipment</t>
        </is>
      </c>
      <c r="H33" s="3" t="n"/>
      <c r="I33" s="3" t="n"/>
      <c r="J33" s="3" t="n"/>
      <c r="K33" s="23" t="n">
        <v>46381</v>
      </c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 s="174">
      <c r="A34" s="3" t="inlineStr">
        <is>
          <t>51</t>
        </is>
      </c>
      <c r="B34" s="3" t="inlineStr">
        <is>
          <t>Wholesale Trade - Nondurable Goods</t>
        </is>
      </c>
      <c r="C34" s="3" t="inlineStr">
        <is>
          <t>Wholesale Trade</t>
        </is>
      </c>
      <c r="D34" s="3" t="n"/>
      <c r="E34" s="3" t="inlineStr">
        <is>
          <t>CNL LOANS</t>
        </is>
      </c>
      <c r="F34" s="3" t="n"/>
      <c r="G34" s="3" t="inlineStr">
        <is>
          <t>Instruments &amp; Related Products</t>
        </is>
      </c>
      <c r="H34" s="3" t="n"/>
      <c r="I34" s="3" t="n"/>
      <c r="J34" s="3" t="n"/>
      <c r="K34" s="23" t="n">
        <v>46388</v>
      </c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 s="174">
      <c r="A35" s="3" t="inlineStr">
        <is>
          <t>52</t>
        </is>
      </c>
      <c r="B35" s="3" t="inlineStr">
        <is>
          <t>Building Materials &amp; Garden Supply</t>
        </is>
      </c>
      <c r="C35" s="3" t="inlineStr">
        <is>
          <t>Retail Trade</t>
        </is>
      </c>
      <c r="D35" s="3" t="n"/>
      <c r="E35" s="3" t="inlineStr">
        <is>
          <t>Credibly</t>
        </is>
      </c>
      <c r="F35" s="3" t="n"/>
      <c r="G35" s="3" t="inlineStr">
        <is>
          <t>Insurance Agents &amp; Brokers</t>
        </is>
      </c>
      <c r="H35" s="3" t="n"/>
      <c r="I35" s="3" t="n"/>
      <c r="J35" s="3" t="n"/>
      <c r="K35" s="23" t="n">
        <v>46405</v>
      </c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174">
      <c r="A36" s="3" t="inlineStr">
        <is>
          <t>53</t>
        </is>
      </c>
      <c r="B36" s="3" t="inlineStr">
        <is>
          <t>General Merchandise Stores</t>
        </is>
      </c>
      <c r="C36" s="3" t="inlineStr">
        <is>
          <t>Retail Trade</t>
        </is>
      </c>
      <c r="D36" s="3" t="n"/>
      <c r="E36" s="3" t="inlineStr">
        <is>
          <t>DBS FUNDING GROUP</t>
        </is>
      </c>
      <c r="F36" s="3" t="n"/>
      <c r="G36" s="3" t="inlineStr">
        <is>
          <t>Insurance Carriers</t>
        </is>
      </c>
      <c r="H36" s="3" t="n"/>
      <c r="I36" s="3" t="n"/>
      <c r="J36" s="3" t="n"/>
      <c r="K36" s="23" t="n">
        <v>46433</v>
      </c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 s="174">
      <c r="A37" s="3" t="inlineStr">
        <is>
          <t>54</t>
        </is>
      </c>
      <c r="B37" s="3" t="inlineStr">
        <is>
          <t>Food Stores</t>
        </is>
      </c>
      <c r="C37" s="3" t="inlineStr">
        <is>
          <t>Retail Trade</t>
        </is>
      </c>
      <c r="D37" s="3" t="n"/>
      <c r="E37" s="3" t="inlineStr">
        <is>
          <t>Deal Struck</t>
        </is>
      </c>
      <c r="F37" s="3" t="n"/>
      <c r="G37" s="3" t="inlineStr">
        <is>
          <t>Justice, Public Order &amp; Safety</t>
        </is>
      </c>
      <c r="H37" s="3" t="n"/>
      <c r="I37" s="3" t="n"/>
      <c r="J37" s="3" t="n"/>
      <c r="K37" s="23" t="n">
        <v>46538</v>
      </c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 s="174">
      <c r="A38" s="3" t="inlineStr">
        <is>
          <t>55</t>
        </is>
      </c>
      <c r="B38" s="3" t="inlineStr">
        <is>
          <t>Auto Dealers &amp; Gas Stations</t>
        </is>
      </c>
      <c r="C38" s="3" t="inlineStr">
        <is>
          <t>Retail Trade</t>
        </is>
      </c>
      <c r="D38" s="3" t="n"/>
      <c r="E38" s="3" t="inlineStr">
        <is>
          <t>Diamond Bar Funding</t>
        </is>
      </c>
      <c r="F38" s="3" t="n"/>
      <c r="G38" s="3" t="inlineStr">
        <is>
          <t>Legal Services</t>
        </is>
      </c>
      <c r="H38" s="3" t="n"/>
      <c r="I38" s="3" t="n"/>
      <c r="J38" s="3" t="n"/>
      <c r="K38" s="23" t="n">
        <v>46573</v>
      </c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 s="174">
      <c r="A39" s="3" t="inlineStr">
        <is>
          <t>56</t>
        </is>
      </c>
      <c r="B39" s="3" t="inlineStr">
        <is>
          <t>Apparel &amp; Accessory Stores</t>
        </is>
      </c>
      <c r="C39" s="3" t="inlineStr">
        <is>
          <t>Retail Trade</t>
        </is>
      </c>
      <c r="D39" s="3" t="n"/>
      <c r="E39" s="3" t="inlineStr">
        <is>
          <t>DIRECT CAPITAL SOURCE, INC.</t>
        </is>
      </c>
      <c r="F39" s="3" t="n"/>
      <c r="G39" s="3" t="inlineStr">
        <is>
          <t>Local &amp; Interurban Passenger Transit</t>
        </is>
      </c>
      <c r="H39" s="3" t="n"/>
      <c r="I39" s="3" t="n"/>
      <c r="J39" s="3" t="n"/>
      <c r="K39" s="23" t="n">
        <v>46636</v>
      </c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174">
      <c r="A40" s="3" t="inlineStr">
        <is>
          <t>57</t>
        </is>
      </c>
      <c r="B40" s="3" t="inlineStr">
        <is>
          <t>Furniture &amp; Home Furnishings Stores</t>
        </is>
      </c>
      <c r="C40" s="3" t="inlineStr">
        <is>
          <t>Retail Trade</t>
        </is>
      </c>
      <c r="D40" s="3" t="n"/>
      <c r="E40" s="3" t="inlineStr">
        <is>
          <t>Direct Funding LLC</t>
        </is>
      </c>
      <c r="F40" s="3" t="n"/>
      <c r="G40" s="3" t="inlineStr">
        <is>
          <t>Lumber &amp; Wood Products</t>
        </is>
      </c>
      <c r="H40" s="3" t="n"/>
      <c r="I40" s="3" t="n"/>
      <c r="J40" s="3" t="n"/>
      <c r="K40" s="23" t="n">
        <v>46671</v>
      </c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174">
      <c r="A41" s="3" t="inlineStr">
        <is>
          <t>58</t>
        </is>
      </c>
      <c r="B41" s="3" t="inlineStr">
        <is>
          <t>Eating &amp; Drinking Places</t>
        </is>
      </c>
      <c r="C41" s="3" t="inlineStr">
        <is>
          <t>Retail Trade</t>
        </is>
      </c>
      <c r="D41" s="3" t="n"/>
      <c r="E41" s="3" t="inlineStr">
        <is>
          <t>Dubbs holding</t>
        </is>
      </c>
      <c r="F41" s="3" t="n"/>
      <c r="G41" s="3" t="inlineStr">
        <is>
          <t>Membership Organizations</t>
        </is>
      </c>
      <c r="H41" s="3" t="n"/>
      <c r="I41" s="3" t="n"/>
      <c r="J41" s="3" t="n"/>
      <c r="K41" s="23" t="n">
        <v>46702</v>
      </c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174">
      <c r="A42" s="3" t="inlineStr">
        <is>
          <t>59</t>
        </is>
      </c>
      <c r="B42" s="3" t="inlineStr">
        <is>
          <t>Miscellaneous Retail</t>
        </is>
      </c>
      <c r="C42" s="3" t="inlineStr">
        <is>
          <t>Retail Trade</t>
        </is>
      </c>
      <c r="D42" s="3" t="n"/>
      <c r="E42" s="3" t="inlineStr">
        <is>
          <t>ecp business capital</t>
        </is>
      </c>
      <c r="F42" s="3" t="n"/>
      <c r="G42" s="3" t="inlineStr">
        <is>
          <t>Miscellaneous Manufacturing</t>
        </is>
      </c>
      <c r="H42" s="3" t="n"/>
      <c r="I42" s="3" t="n"/>
      <c r="J42" s="3" t="n"/>
      <c r="K42" s="23" t="n">
        <v>46716</v>
      </c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174">
      <c r="A43" s="3" t="inlineStr">
        <is>
          <t>62</t>
        </is>
      </c>
      <c r="B43" s="3" t="inlineStr">
        <is>
          <t>Security &amp; Commodity Brokers</t>
        </is>
      </c>
      <c r="C43" s="3" t="inlineStr">
        <is>
          <t>Finance, Insurance &amp; Real Estate</t>
        </is>
      </c>
      <c r="D43" s="3" t="n"/>
      <c r="E43" s="3" t="inlineStr">
        <is>
          <t>Elite Advance 5</t>
        </is>
      </c>
      <c r="F43" s="3" t="n"/>
      <c r="G43" s="3" t="inlineStr">
        <is>
          <t>Miscellaneous Repair Services</t>
        </is>
      </c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174">
      <c r="A44" s="3" t="inlineStr">
        <is>
          <t>63</t>
        </is>
      </c>
      <c r="B44" s="3" t="inlineStr">
        <is>
          <t>Insurance Carriers</t>
        </is>
      </c>
      <c r="C44" s="3" t="inlineStr">
        <is>
          <t>Finance, Insurance &amp; Real Estate</t>
        </is>
      </c>
      <c r="D44" s="3" t="n"/>
      <c r="E44" s="3" t="inlineStr">
        <is>
          <t>elite finance team</t>
        </is>
      </c>
      <c r="F44" s="3" t="n"/>
      <c r="G44" s="3" t="inlineStr">
        <is>
          <t>Miscellaneous Retail</t>
        </is>
      </c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174">
      <c r="A45" s="3" t="inlineStr">
        <is>
          <t>64</t>
        </is>
      </c>
      <c r="B45" s="3" t="inlineStr">
        <is>
          <t>Insurance Agents &amp; Brokers</t>
        </is>
      </c>
      <c r="C45" s="3" t="inlineStr">
        <is>
          <t>Finance, Insurance &amp; Real Estate</t>
        </is>
      </c>
      <c r="D45" s="3" t="n"/>
      <c r="E45" s="3" t="inlineStr">
        <is>
          <t>ELITE FUNDING PARTNERS LLC 6</t>
        </is>
      </c>
      <c r="F45" s="3" t="n"/>
      <c r="G45" s="3" t="inlineStr">
        <is>
          <t>Motion Pictures</t>
        </is>
      </c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174">
      <c r="A46" s="3" t="inlineStr">
        <is>
          <t>65</t>
        </is>
      </c>
      <c r="B46" s="3" t="inlineStr">
        <is>
          <t>Real Estate</t>
        </is>
      </c>
      <c r="C46" s="3" t="inlineStr">
        <is>
          <t>Finance, Insurance &amp; Real Estate</t>
        </is>
      </c>
      <c r="D46" s="3" t="n"/>
      <c r="E46" s="3" t="inlineStr">
        <is>
          <t>EVR GREEN LLC</t>
        </is>
      </c>
      <c r="F46" s="3" t="n"/>
      <c r="G46" s="3" t="inlineStr">
        <is>
          <t>Museums &amp; Botanical Gardens</t>
        </is>
      </c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174">
      <c r="A47" s="3" t="inlineStr">
        <is>
          <t>70</t>
        </is>
      </c>
      <c r="B47" s="3" t="inlineStr">
        <is>
          <t>Hotels &amp; Lodging</t>
        </is>
      </c>
      <c r="C47" s="3" t="inlineStr">
        <is>
          <t>Services</t>
        </is>
      </c>
      <c r="D47" s="3" t="n"/>
      <c r="E47" s="3" t="inlineStr">
        <is>
          <t>EZ ADVANCE LLC</t>
        </is>
      </c>
      <c r="F47" s="3" t="n"/>
      <c r="G47" s="3" t="inlineStr">
        <is>
          <t>National Security &amp; Intl Affairs</t>
        </is>
      </c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174">
      <c r="A48" s="3" t="inlineStr">
        <is>
          <t>72</t>
        </is>
      </c>
      <c r="B48" s="3" t="inlineStr">
        <is>
          <t>Personal Services</t>
        </is>
      </c>
      <c r="C48" s="3" t="inlineStr">
        <is>
          <t>Services</t>
        </is>
      </c>
      <c r="D48" s="3" t="n"/>
      <c r="E48" s="3" t="inlineStr">
        <is>
          <t>ez alternative solutions</t>
        </is>
      </c>
      <c r="F48" s="3" t="n"/>
      <c r="G48" s="3" t="inlineStr">
        <is>
          <t>Nonmetallic Minerals Mining</t>
        </is>
      </c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174">
      <c r="A49" s="3" t="inlineStr">
        <is>
          <t>73</t>
        </is>
      </c>
      <c r="B49" s="3" t="inlineStr">
        <is>
          <t>Business Services</t>
        </is>
      </c>
      <c r="C49" s="3" t="inlineStr">
        <is>
          <t>Services</t>
        </is>
      </c>
      <c r="D49" s="3" t="n"/>
      <c r="E49" s="3" t="inlineStr">
        <is>
          <t>FC ADVANCE</t>
        </is>
      </c>
      <c r="F49" s="3" t="n"/>
      <c r="G49" s="3" t="inlineStr">
        <is>
          <t>Oil &amp; Gas Extraction</t>
        </is>
      </c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174">
      <c r="A50" s="3" t="inlineStr">
        <is>
          <t>75</t>
        </is>
      </c>
      <c r="B50" s="3" t="inlineStr">
        <is>
          <t>Auto Repair &amp; Services</t>
        </is>
      </c>
      <c r="C50" s="3" t="inlineStr">
        <is>
          <t>Services</t>
        </is>
      </c>
      <c r="D50" s="3" t="n"/>
      <c r="E50" s="3" t="inlineStr">
        <is>
          <t>Fidelity Funding</t>
        </is>
      </c>
      <c r="F50" s="3" t="n"/>
      <c r="G50" s="3" t="inlineStr">
        <is>
          <t>Personal Services</t>
        </is>
      </c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174">
      <c r="A51" s="3" t="inlineStr">
        <is>
          <t>76</t>
        </is>
      </c>
      <c r="B51" s="3" t="inlineStr">
        <is>
          <t>Miscellaneous Repair Services</t>
        </is>
      </c>
      <c r="C51" s="3" t="inlineStr">
        <is>
          <t>Services</t>
        </is>
      </c>
      <c r="D51" s="3" t="n"/>
      <c r="E51" s="3" t="inlineStr">
        <is>
          <t>FIFTH VENTURE</t>
        </is>
      </c>
      <c r="F51" s="3" t="n"/>
      <c r="G51" s="3" t="inlineStr">
        <is>
          <t>Primary Metal Industries</t>
        </is>
      </c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174">
      <c r="A52" s="3" t="inlineStr">
        <is>
          <t>78</t>
        </is>
      </c>
      <c r="B52" s="3" t="inlineStr">
        <is>
          <t>Motion Pictures</t>
        </is>
      </c>
      <c r="C52" s="3" t="inlineStr">
        <is>
          <t>Services</t>
        </is>
      </c>
      <c r="D52" s="3" t="n"/>
      <c r="E52" s="3" t="inlineStr">
        <is>
          <t>FIMACAP INC</t>
        </is>
      </c>
      <c r="F52" s="3" t="n"/>
      <c r="G52" s="3" t="inlineStr">
        <is>
          <t>Printing &amp; Publishing</t>
        </is>
      </c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174">
      <c r="A53" s="3" t="inlineStr">
        <is>
          <t>79</t>
        </is>
      </c>
      <c r="B53" s="3" t="inlineStr">
        <is>
          <t>Amusement &amp; Recreation Services</t>
        </is>
      </c>
      <c r="C53" s="3" t="inlineStr">
        <is>
          <t>Services</t>
        </is>
      </c>
      <c r="D53" s="3" t="n"/>
      <c r="E53" s="3" t="inlineStr">
        <is>
          <t>Financial Express LLC</t>
        </is>
      </c>
      <c r="F53" s="3" t="n"/>
      <c r="G53" s="3" t="inlineStr">
        <is>
          <t>Real Estate</t>
        </is>
      </c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174">
      <c r="A54" s="3" t="inlineStr">
        <is>
          <t>80</t>
        </is>
      </c>
      <c r="B54" s="3" t="inlineStr">
        <is>
          <t>Health Services</t>
        </is>
      </c>
      <c r="C54" s="3" t="inlineStr">
        <is>
          <t>Services</t>
        </is>
      </c>
      <c r="D54" s="3" t="n"/>
      <c r="E54" s="3" t="inlineStr">
        <is>
          <t>Financity</t>
        </is>
      </c>
      <c r="F54" s="3" t="n"/>
      <c r="G54" s="3" t="inlineStr">
        <is>
          <t>Rubber &amp; Plastics</t>
        </is>
      </c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174">
      <c r="A55" s="3" t="inlineStr">
        <is>
          <t>81</t>
        </is>
      </c>
      <c r="B55" s="3" t="inlineStr">
        <is>
          <t>Legal Services</t>
        </is>
      </c>
      <c r="C55" s="3" t="inlineStr">
        <is>
          <t>Services</t>
        </is>
      </c>
      <c r="D55" s="3" t="n"/>
      <c r="E55" s="3" t="inlineStr">
        <is>
          <t>FireLine Funding</t>
        </is>
      </c>
      <c r="F55" s="3" t="n"/>
      <c r="G55" s="3" t="inlineStr">
        <is>
          <t>Security &amp; Commodity Brokers</t>
        </is>
      </c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174">
      <c r="A56" s="3" t="inlineStr">
        <is>
          <t>82</t>
        </is>
      </c>
      <c r="B56" s="3" t="inlineStr">
        <is>
          <t>Educational Services</t>
        </is>
      </c>
      <c r="C56" s="3" t="inlineStr">
        <is>
          <t>Services</t>
        </is>
      </c>
      <c r="D56" s="3" t="n"/>
      <c r="E56" s="3" t="inlineStr">
        <is>
          <t>First Path Capital</t>
        </is>
      </c>
      <c r="F56" s="3" t="n"/>
      <c r="G56" s="3" t="inlineStr">
        <is>
          <t>Services - Miscellaneous</t>
        </is>
      </c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174">
      <c r="A57" s="3" t="inlineStr">
        <is>
          <t>83</t>
        </is>
      </c>
      <c r="B57" s="3" t="inlineStr">
        <is>
          <t>Social Services</t>
        </is>
      </c>
      <c r="C57" s="3" t="inlineStr">
        <is>
          <t>Services</t>
        </is>
      </c>
      <c r="D57" s="3" t="n"/>
      <c r="E57" s="3" t="inlineStr">
        <is>
          <t>Fund Kite</t>
        </is>
      </c>
      <c r="F57" s="3" t="n"/>
      <c r="G57" s="3" t="inlineStr">
        <is>
          <t>Social Services</t>
        </is>
      </c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174">
      <c r="A58" s="3" t="inlineStr">
        <is>
          <t>84</t>
        </is>
      </c>
      <c r="B58" s="3" t="inlineStr">
        <is>
          <t>Museums &amp; Botanical Gardens</t>
        </is>
      </c>
      <c r="C58" s="3" t="inlineStr">
        <is>
          <t>Services</t>
        </is>
      </c>
      <c r="D58" s="3" t="n"/>
      <c r="E58" s="3" t="inlineStr">
        <is>
          <t>Fund Max</t>
        </is>
      </c>
      <c r="F58" s="3" t="n"/>
      <c r="G58" s="3" t="inlineStr">
        <is>
          <t>Special Trade Contractors</t>
        </is>
      </c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174">
      <c r="A59" s="3" t="inlineStr">
        <is>
          <t>86</t>
        </is>
      </c>
      <c r="B59" s="3" t="inlineStr">
        <is>
          <t>Membership Organizations</t>
        </is>
      </c>
      <c r="C59" s="3" t="inlineStr">
        <is>
          <t>Services</t>
        </is>
      </c>
      <c r="D59" s="3" t="n"/>
      <c r="E59" s="3" t="inlineStr">
        <is>
          <t>Fund Simple</t>
        </is>
      </c>
      <c r="F59" s="3" t="n"/>
      <c r="G59" s="3" t="inlineStr">
        <is>
          <t>Stone, Clay, Glass &amp; Concrete</t>
        </is>
      </c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174">
      <c r="A60" s="3" t="inlineStr">
        <is>
          <t>87</t>
        </is>
      </c>
      <c r="B60" s="3" t="inlineStr">
        <is>
          <t>Engineering, Accounting &amp; Management</t>
        </is>
      </c>
      <c r="C60" s="3" t="inlineStr">
        <is>
          <t>Services</t>
        </is>
      </c>
      <c r="D60" s="3" t="n"/>
      <c r="E60" s="3" t="inlineStr">
        <is>
          <t>Fund Your Bizz</t>
        </is>
      </c>
      <c r="F60" s="3" t="n"/>
      <c r="G60" s="3" t="inlineStr">
        <is>
          <t>Transportation Equipment</t>
        </is>
      </c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174">
      <c r="A61" s="3" t="inlineStr">
        <is>
          <t>89</t>
        </is>
      </c>
      <c r="B61" s="3" t="inlineStr">
        <is>
          <t>Services - Miscellaneous</t>
        </is>
      </c>
      <c r="C61" s="3" t="inlineStr">
        <is>
          <t>Services</t>
        </is>
      </c>
      <c r="D61" s="3" t="n"/>
      <c r="E61" s="3" t="inlineStr">
        <is>
          <t>FundFlex</t>
        </is>
      </c>
      <c r="F61" s="3" t="n"/>
      <c r="G61" s="3" t="inlineStr">
        <is>
          <t>Transportation Services</t>
        </is>
      </c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174">
      <c r="A62" s="3" t="inlineStr">
        <is>
          <t>92</t>
        </is>
      </c>
      <c r="B62" s="3" t="inlineStr">
        <is>
          <t>Justice, Public Order &amp; Safety</t>
        </is>
      </c>
      <c r="C62" s="3" t="inlineStr">
        <is>
          <t>Public Administration</t>
        </is>
      </c>
      <c r="D62" s="3" t="n"/>
      <c r="E62" s="3" t="inlineStr">
        <is>
          <t>Fundible</t>
        </is>
      </c>
      <c r="F62" s="3" t="n"/>
      <c r="G62" s="3" t="inlineStr">
        <is>
          <t>Trucking &amp; Warehousing</t>
        </is>
      </c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174">
      <c r="A63" s="3" t="inlineStr">
        <is>
          <t>95</t>
        </is>
      </c>
      <c r="B63" s="3" t="inlineStr">
        <is>
          <t>Environmental Quality &amp; Housing</t>
        </is>
      </c>
      <c r="C63" s="3" t="inlineStr">
        <is>
          <t>Public Administration</t>
        </is>
      </c>
      <c r="D63" s="3" t="n"/>
      <c r="E63" s="3" t="inlineStr">
        <is>
          <t>Fundward</t>
        </is>
      </c>
      <c r="F63" s="3" t="n"/>
      <c r="G63" s="3" t="inlineStr">
        <is>
          <t>Water Transportation</t>
        </is>
      </c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174">
      <c r="A64" s="3" t="inlineStr">
        <is>
          <t>96</t>
        </is>
      </c>
      <c r="B64" s="3" t="inlineStr">
        <is>
          <t>Administration of Economic Programs</t>
        </is>
      </c>
      <c r="C64" s="3" t="inlineStr">
        <is>
          <t>Public Administration</t>
        </is>
      </c>
      <c r="D64" s="3" t="n"/>
      <c r="E64" s="3" t="inlineStr">
        <is>
          <t>Fundwell</t>
        </is>
      </c>
      <c r="F64" s="3" t="n"/>
      <c r="G64" s="3" t="inlineStr">
        <is>
          <t>Wholesale Trade - Durable Goods</t>
        </is>
      </c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174">
      <c r="A65" s="3" t="inlineStr">
        <is>
          <t>97</t>
        </is>
      </c>
      <c r="B65" s="3" t="inlineStr">
        <is>
          <t>National Security &amp; Intl Affairs</t>
        </is>
      </c>
      <c r="C65" s="3" t="inlineStr">
        <is>
          <t>Public Administration</t>
        </is>
      </c>
      <c r="D65" s="3" t="n"/>
      <c r="E65" s="3" t="inlineStr">
        <is>
          <t>Go Ai Ez LLC Dba:Gova Funding</t>
        </is>
      </c>
      <c r="F65" s="3" t="n"/>
      <c r="G65" s="3" t="inlineStr">
        <is>
          <t>Wholesale Trade - Nondurable Goods</t>
        </is>
      </c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174">
      <c r="A66" s="3" t="n"/>
      <c r="B66" s="3" t="n"/>
      <c r="C66" s="3" t="n"/>
      <c r="D66" s="3" t="n"/>
      <c r="E66" s="3" t="inlineStr">
        <is>
          <t>GREYSTONE</t>
        </is>
      </c>
      <c r="F66" s="3" t="n"/>
      <c r="G66" s="3" t="inlineStr">
        <is>
          <t>No SIC</t>
        </is>
      </c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174">
      <c r="A67" s="3" t="n"/>
      <c r="B67" s="3" t="n"/>
      <c r="C67" s="3" t="n"/>
      <c r="D67" s="3" t="n"/>
      <c r="E67" s="3" t="inlineStr">
        <is>
          <t>GROWTH RATE CAPITAL INC</t>
        </is>
      </c>
      <c r="F67" s="3" t="n"/>
      <c r="G67" s="3" t="inlineStr">
        <is>
          <t>Unclassified</t>
        </is>
      </c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174">
      <c r="A68" s="3" t="n"/>
      <c r="B68" s="3" t="n"/>
      <c r="C68" s="3" t="n"/>
      <c r="D68" s="3" t="n"/>
      <c r="E68" s="3" t="inlineStr">
        <is>
          <t>Hero Advance Group</t>
        </is>
      </c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174">
      <c r="A69" s="3" t="n"/>
      <c r="B69" s="3" t="n"/>
      <c r="C69" s="3" t="n"/>
      <c r="D69" s="3" t="n"/>
      <c r="E69" s="3" t="inlineStr">
        <is>
          <t>I burst funding</t>
        </is>
      </c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174">
      <c r="A70" s="3" t="n"/>
      <c r="B70" s="3" t="n"/>
      <c r="C70" s="3" t="n"/>
      <c r="D70" s="3" t="n"/>
      <c r="E70" s="3" t="inlineStr">
        <is>
          <t>ICB FUNDING</t>
        </is>
      </c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174">
      <c r="A71" s="3" t="n"/>
      <c r="B71" s="3" t="n"/>
      <c r="C71" s="3" t="n"/>
      <c r="D71" s="3" t="n"/>
      <c r="E71" s="3" t="inlineStr">
        <is>
          <t>ICG Funding</t>
        </is>
      </c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174">
      <c r="A72" s="3" t="n"/>
      <c r="B72" s="3" t="n"/>
      <c r="C72" s="3" t="n"/>
      <c r="D72" s="3" t="n"/>
      <c r="E72" s="3" t="inlineStr">
        <is>
          <t>J Capital Solutions</t>
        </is>
      </c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174">
      <c r="A73" s="3" t="n"/>
      <c r="B73" s="3" t="n"/>
      <c r="C73" s="3" t="n"/>
      <c r="D73" s="3" t="n"/>
      <c r="E73" s="3" t="inlineStr">
        <is>
          <t>JABSCAP</t>
        </is>
      </c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174">
      <c r="A74" s="3" t="n"/>
      <c r="B74" s="3" t="n"/>
      <c r="C74" s="3" t="n"/>
      <c r="D74" s="3" t="n"/>
      <c r="E74" s="3" t="inlineStr">
        <is>
          <t>Kelly Kapital</t>
        </is>
      </c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174">
      <c r="A75" s="3" t="n"/>
      <c r="B75" s="3" t="n"/>
      <c r="C75" s="3" t="n"/>
      <c r="D75" s="3" t="n"/>
      <c r="E75" s="3" t="inlineStr">
        <is>
          <t>Key Capital Funding</t>
        </is>
      </c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174">
      <c r="A76" s="3" t="n"/>
      <c r="B76" s="3" t="n"/>
      <c r="C76" s="3" t="n"/>
      <c r="D76" s="3" t="n"/>
      <c r="E76" s="3" t="inlineStr">
        <is>
          <t>Klendify</t>
        </is>
      </c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174">
      <c r="A77" s="3" t="n"/>
      <c r="B77" s="3" t="n"/>
      <c r="C77" s="3" t="n"/>
      <c r="D77" s="3" t="n"/>
      <c r="E77" s="3" t="inlineStr">
        <is>
          <t>langtech</t>
        </is>
      </c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174">
      <c r="A78" s="3" t="n"/>
      <c r="B78" s="3" t="n"/>
      <c r="C78" s="3" t="n"/>
      <c r="D78" s="3" t="n"/>
      <c r="E78" s="3" t="inlineStr">
        <is>
          <t>legacy funding llc</t>
        </is>
      </c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174">
      <c r="A79" s="3" t="n"/>
      <c r="B79" s="3" t="n"/>
      <c r="C79" s="3" t="n"/>
      <c r="D79" s="3" t="n"/>
      <c r="E79" s="3" t="inlineStr">
        <is>
          <t>Lemonaid</t>
        </is>
      </c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174">
      <c r="A80" s="3" t="n"/>
      <c r="B80" s="3" t="n"/>
      <c r="C80" s="3" t="n"/>
      <c r="D80" s="3" t="n"/>
      <c r="E80" s="3" t="inlineStr">
        <is>
          <t>Lend Bull LLC</t>
        </is>
      </c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174">
      <c r="A81" s="3" t="n"/>
      <c r="B81" s="3" t="n"/>
      <c r="C81" s="3" t="n"/>
      <c r="D81" s="3" t="n"/>
      <c r="E81" s="3" t="inlineStr">
        <is>
          <t>LENDCAP SOLUTIONS</t>
        </is>
      </c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174">
      <c r="A82" s="3" t="n"/>
      <c r="B82" s="3" t="n"/>
      <c r="C82" s="3" t="n"/>
      <c r="D82" s="3" t="n"/>
      <c r="E82" s="3" t="inlineStr">
        <is>
          <t>level 3 funding</t>
        </is>
      </c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174">
      <c r="A83" s="3" t="n"/>
      <c r="B83" s="3" t="n"/>
      <c r="C83" s="3" t="n"/>
      <c r="D83" s="3" t="n"/>
      <c r="E83" s="3" t="inlineStr">
        <is>
          <t>lexington capital holdings</t>
        </is>
      </c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174">
      <c r="A84" s="3" t="n"/>
      <c r="B84" s="3" t="n"/>
      <c r="C84" s="3" t="n"/>
      <c r="D84" s="3" t="n"/>
      <c r="E84" s="3" t="inlineStr">
        <is>
          <t>Liberty Bell Capital</t>
        </is>
      </c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174">
      <c r="A85" s="3" t="n"/>
      <c r="B85" s="3" t="n"/>
      <c r="C85" s="3" t="n"/>
      <c r="D85" s="3" t="n"/>
      <c r="E85" s="3" t="inlineStr">
        <is>
          <t>Lightning SBA Loans</t>
        </is>
      </c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174">
      <c r="A86" s="3" t="n"/>
      <c r="B86" s="3" t="n"/>
      <c r="C86" s="3" t="n"/>
      <c r="D86" s="3" t="n"/>
      <c r="E86" s="3" t="inlineStr">
        <is>
          <t>lightningfundingsolutions</t>
        </is>
      </c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174">
      <c r="A87" s="3" t="n"/>
      <c r="B87" s="3" t="n"/>
      <c r="C87" s="3" t="n"/>
      <c r="D87" s="3" t="n"/>
      <c r="E87" s="3" t="inlineStr">
        <is>
          <t>Linked In Funding</t>
        </is>
      </c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174">
      <c r="A88" s="3" t="n"/>
      <c r="B88" s="3" t="n"/>
      <c r="C88" s="3" t="n"/>
      <c r="D88" s="3" t="n"/>
      <c r="E88" s="3" t="inlineStr">
        <is>
          <t>liquidity lending group</t>
        </is>
      </c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174">
      <c r="A89" s="3" t="n"/>
      <c r="B89" s="3" t="n"/>
      <c r="C89" s="3" t="n"/>
      <c r="D89" s="3" t="n"/>
      <c r="E89" s="3" t="inlineStr">
        <is>
          <t>Llama Loan</t>
        </is>
      </c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174">
      <c r="A90" s="3" t="n"/>
      <c r="B90" s="3" t="n"/>
      <c r="C90" s="3" t="n"/>
      <c r="D90" s="3" t="n"/>
      <c r="E90" s="3" t="inlineStr">
        <is>
          <t>MADVANCEGRP</t>
        </is>
      </c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174">
      <c r="A91" s="3" t="n"/>
      <c r="B91" s="3" t="n"/>
      <c r="C91" s="3" t="n"/>
      <c r="D91" s="3" t="n"/>
      <c r="E91" s="3" t="inlineStr">
        <is>
          <t>Merchant Advance Now</t>
        </is>
      </c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174">
      <c r="A92" s="3" t="n"/>
      <c r="B92" s="3" t="n"/>
      <c r="C92" s="3" t="n"/>
      <c r="D92" s="3" t="n"/>
      <c r="E92" s="3" t="inlineStr">
        <is>
          <t>Merchant ReFi</t>
        </is>
      </c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174">
      <c r="A93" s="3" t="n"/>
      <c r="B93" s="3" t="n"/>
      <c r="C93" s="3" t="n"/>
      <c r="D93" s="3" t="n"/>
      <c r="E93" s="3" t="inlineStr">
        <is>
          <t>Milestone Capital Funding Inc</t>
        </is>
      </c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174">
      <c r="A94" s="3" t="n"/>
      <c r="B94" s="3" t="n"/>
      <c r="C94" s="3" t="n"/>
      <c r="D94" s="3" t="n"/>
      <c r="E94" s="3" t="inlineStr">
        <is>
          <t>Mills  funding group</t>
        </is>
      </c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174">
      <c r="A95" s="3" t="n"/>
      <c r="B95" s="3" t="n"/>
      <c r="C95" s="3" t="n"/>
      <c r="D95" s="3" t="n"/>
      <c r="E95" s="3" t="inlineStr">
        <is>
          <t>Monarch funding Group</t>
        </is>
      </c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174">
      <c r="A96" s="3" t="n"/>
      <c r="B96" s="3" t="n"/>
      <c r="C96" s="3" t="n"/>
      <c r="D96" s="3" t="n"/>
      <c r="E96" s="3" t="inlineStr">
        <is>
          <t>MONETCAP</t>
        </is>
      </c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174">
      <c r="A97" s="3" t="n"/>
      <c r="B97" s="3" t="n"/>
      <c r="C97" s="3" t="n"/>
      <c r="D97" s="3" t="n"/>
      <c r="E97" s="3" t="inlineStr">
        <is>
          <t>MZ ADVANCE</t>
        </is>
      </c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174">
      <c r="A98" s="3" t="n"/>
      <c r="B98" s="3" t="n"/>
      <c r="C98" s="3" t="n"/>
      <c r="D98" s="3" t="n"/>
      <c r="E98" s="3" t="inlineStr">
        <is>
          <t>National Business Capital</t>
        </is>
      </c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174">
      <c r="A99" s="3" t="n"/>
      <c r="B99" s="3" t="n"/>
      <c r="C99" s="3" t="n"/>
      <c r="D99" s="3" t="n"/>
      <c r="E99" s="3" t="inlineStr">
        <is>
          <t>NS PRO INC.</t>
        </is>
      </c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174">
      <c r="A100" s="3" t="n"/>
      <c r="B100" s="3" t="n"/>
      <c r="C100" s="3" t="n"/>
      <c r="D100" s="3" t="n"/>
      <c r="E100" s="3" t="inlineStr">
        <is>
          <t>NY Tribeca Group</t>
        </is>
      </c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174">
      <c r="A101" s="3" t="n"/>
      <c r="B101" s="3" t="n"/>
      <c r="C101" s="3" t="n"/>
      <c r="D101" s="3" t="n"/>
      <c r="E101" s="3" t="inlineStr">
        <is>
          <t>One Box Funding</t>
        </is>
      </c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174">
      <c r="A102" s="3" t="n"/>
      <c r="B102" s="3" t="n"/>
      <c r="C102" s="3" t="n"/>
      <c r="D102" s="3" t="n"/>
      <c r="E102" s="3" t="inlineStr">
        <is>
          <t>ontime cap</t>
        </is>
      </c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174">
      <c r="A103" s="3" t="n"/>
      <c r="B103" s="3" t="n"/>
      <c r="C103" s="3" t="n"/>
      <c r="D103" s="3" t="n"/>
      <c r="E103" s="3" t="inlineStr">
        <is>
          <t>Pathway Catalyst</t>
        </is>
      </c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174">
      <c r="A104" s="3" t="n"/>
      <c r="B104" s="3" t="n"/>
      <c r="C104" s="3" t="n"/>
      <c r="D104" s="3" t="n"/>
      <c r="E104" s="3" t="inlineStr">
        <is>
          <t>PEACH STATE SOLUTIONS</t>
        </is>
      </c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174">
      <c r="A105" s="3" t="n"/>
      <c r="B105" s="3" t="n"/>
      <c r="C105" s="3" t="n"/>
      <c r="D105" s="3" t="n"/>
      <c r="E105" s="3" t="inlineStr">
        <is>
          <t>peach tree capital</t>
        </is>
      </c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174">
      <c r="A106" s="3" t="n"/>
      <c r="B106" s="3" t="n"/>
      <c r="C106" s="3" t="n"/>
      <c r="D106" s="3" t="n"/>
      <c r="E106" s="3" t="inlineStr">
        <is>
          <t>penco holdings</t>
        </is>
      </c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174">
      <c r="A107" s="3" t="n"/>
      <c r="B107" s="3" t="n"/>
      <c r="C107" s="3" t="n"/>
      <c r="D107" s="3" t="n"/>
      <c r="E107" s="3" t="inlineStr">
        <is>
          <t>Pharoah Fund</t>
        </is>
      </c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174">
      <c r="A108" s="3" t="n"/>
      <c r="B108" s="3" t="n"/>
      <c r="C108" s="3" t="n"/>
      <c r="D108" s="3" t="n"/>
      <c r="E108" s="3" t="inlineStr">
        <is>
          <t>Platform Funding</t>
        </is>
      </c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174">
      <c r="A109" s="3" t="n"/>
      <c r="B109" s="3" t="n"/>
      <c r="C109" s="3" t="n"/>
      <c r="D109" s="3" t="n"/>
      <c r="E109" s="3" t="inlineStr">
        <is>
          <t>PMF</t>
        </is>
      </c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174">
      <c r="A110" s="3" t="n"/>
      <c r="B110" s="3" t="n"/>
      <c r="C110" s="3" t="n"/>
      <c r="D110" s="3" t="n"/>
      <c r="E110" s="3" t="inlineStr">
        <is>
          <t>Premium Capital (AMRK)</t>
        </is>
      </c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174">
      <c r="A111" s="3" t="n"/>
      <c r="B111" s="3" t="n"/>
      <c r="C111" s="3" t="n"/>
      <c r="D111" s="3" t="n"/>
      <c r="E111" s="3" t="inlineStr">
        <is>
          <t>Pro Source Lending Group</t>
        </is>
      </c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174">
      <c r="A112" s="3" t="n"/>
      <c r="B112" s="3" t="n"/>
      <c r="C112" s="3" t="n"/>
      <c r="D112" s="3" t="n"/>
      <c r="E112" s="3" t="inlineStr">
        <is>
          <t>Pyn Capital</t>
        </is>
      </c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174">
      <c r="A113" s="3" t="n"/>
      <c r="B113" s="3" t="n"/>
      <c r="C113" s="3" t="n"/>
      <c r="D113" s="3" t="n"/>
      <c r="E113" s="3" t="inlineStr">
        <is>
          <t>Qualifier</t>
        </is>
      </c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174">
      <c r="A114" s="3" t="n"/>
      <c r="B114" s="3" t="n"/>
      <c r="C114" s="3" t="n"/>
      <c r="D114" s="3" t="n"/>
      <c r="E114" s="3" t="inlineStr">
        <is>
          <t>Redline Capital</t>
        </is>
      </c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174">
      <c r="A115" s="3" t="n"/>
      <c r="B115" s="3" t="n"/>
      <c r="C115" s="3" t="n"/>
      <c r="D115" s="3" t="n"/>
      <c r="E115" s="3" t="inlineStr">
        <is>
          <t>ROK</t>
        </is>
      </c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174">
      <c r="A116" s="3" t="n"/>
      <c r="B116" s="3" t="n"/>
      <c r="C116" s="3" t="n"/>
      <c r="D116" s="3" t="n"/>
      <c r="E116" s="3" t="inlineStr">
        <is>
          <t>ROYAL FUNDING GROUP</t>
        </is>
      </c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174">
      <c r="A117" s="3" t="n"/>
      <c r="B117" s="3" t="n"/>
      <c r="C117" s="3" t="n"/>
      <c r="D117" s="3" t="n"/>
      <c r="E117" s="3" t="inlineStr">
        <is>
          <t>SABER ASSETS LLC</t>
        </is>
      </c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174">
      <c r="A118" s="3" t="n"/>
      <c r="B118" s="3" t="n"/>
      <c r="C118" s="3" t="n"/>
      <c r="D118" s="3" t="n"/>
      <c r="E118" s="3" t="inlineStr">
        <is>
          <t>Samson Funding</t>
        </is>
      </c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174">
      <c r="A119" s="3" t="n"/>
      <c r="B119" s="3" t="n"/>
      <c r="C119" s="3" t="n"/>
      <c r="D119" s="3" t="n"/>
      <c r="E119" s="3" t="inlineStr">
        <is>
          <t>Seacap</t>
        </is>
      </c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174">
      <c r="A120" s="3" t="n"/>
      <c r="B120" s="3" t="n"/>
      <c r="C120" s="3" t="n"/>
      <c r="D120" s="3" t="n"/>
      <c r="E120" s="3" t="inlineStr">
        <is>
          <t>Secure Capital Solutions 7</t>
        </is>
      </c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174">
      <c r="A121" s="3" t="n"/>
      <c r="B121" s="3" t="n"/>
      <c r="C121" s="3" t="n"/>
      <c r="D121" s="3" t="n"/>
      <c r="E121" s="3" t="inlineStr">
        <is>
          <t>secure way capital</t>
        </is>
      </c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174">
      <c r="A122" s="3" t="n"/>
      <c r="B122" s="3" t="n"/>
      <c r="C122" s="3" t="n"/>
      <c r="D122" s="3" t="n"/>
      <c r="E122" s="3" t="inlineStr">
        <is>
          <t>Shield Funding</t>
        </is>
      </c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174">
      <c r="A123" s="3" t="n"/>
      <c r="B123" s="3" t="n"/>
      <c r="C123" s="3" t="n"/>
      <c r="D123" s="3" t="n"/>
      <c r="E123" s="3" t="inlineStr">
        <is>
          <t>Shop Funder</t>
        </is>
      </c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174">
      <c r="A124" s="3" t="n"/>
      <c r="B124" s="3" t="n"/>
      <c r="C124" s="3" t="n"/>
      <c r="D124" s="3" t="n"/>
      <c r="E124" s="3" t="inlineStr">
        <is>
          <t>Shore Funding USA</t>
        </is>
      </c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174">
      <c r="A125" s="3" t="n"/>
      <c r="B125" s="3" t="n"/>
      <c r="C125" s="3" t="n"/>
      <c r="D125" s="3" t="n"/>
      <c r="E125" s="3" t="inlineStr">
        <is>
          <t>Simply capital source inc</t>
        </is>
      </c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174">
      <c r="A126" s="3" t="n"/>
      <c r="B126" s="3" t="n"/>
      <c r="C126" s="3" t="n"/>
      <c r="D126" s="3" t="n"/>
      <c r="E126" s="3" t="inlineStr">
        <is>
          <t>Siriux internacional corp</t>
        </is>
      </c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174">
      <c r="A127" s="3" t="n"/>
      <c r="B127" s="3" t="n"/>
      <c r="C127" s="3" t="n"/>
      <c r="D127" s="3" t="n"/>
      <c r="E127" s="3" t="inlineStr">
        <is>
          <t>Sky Advance</t>
        </is>
      </c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174">
      <c r="A128" s="3" t="n"/>
      <c r="B128" s="3" t="n"/>
      <c r="C128" s="3" t="n"/>
      <c r="D128" s="3" t="n"/>
      <c r="E128" s="3" t="inlineStr">
        <is>
          <t>Smarter Credit Inc.</t>
        </is>
      </c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174">
      <c r="A129" s="3" t="n"/>
      <c r="B129" s="3" t="n"/>
      <c r="C129" s="3" t="n"/>
      <c r="D129" s="3" t="n"/>
      <c r="E129" s="3" t="inlineStr">
        <is>
          <t>SNA Capital source</t>
        </is>
      </c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174">
      <c r="A130" s="3" t="n"/>
      <c r="B130" s="3" t="n"/>
      <c r="C130" s="3" t="n"/>
      <c r="D130" s="3" t="n"/>
      <c r="E130" s="3" t="inlineStr">
        <is>
          <t>SNB CAPITAL 18 LLC</t>
        </is>
      </c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174">
      <c r="A131" s="3" t="n"/>
      <c r="B131" s="3" t="n"/>
      <c r="C131" s="3" t="n"/>
      <c r="D131" s="3" t="n"/>
      <c r="E131" s="3" t="inlineStr">
        <is>
          <t>Splash</t>
        </is>
      </c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174">
      <c r="A132" s="3" t="n"/>
      <c r="B132" s="3" t="n"/>
      <c r="C132" s="3" t="n"/>
      <c r="D132" s="3" t="n"/>
      <c r="E132" s="3" t="inlineStr">
        <is>
          <t>Springville Partners</t>
        </is>
      </c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174">
      <c r="A133" s="3" t="n"/>
      <c r="B133" s="3" t="n"/>
      <c r="C133" s="3" t="n"/>
      <c r="D133" s="3" t="n"/>
      <c r="E133" s="3" t="inlineStr">
        <is>
          <t>Streamline Funding LLC</t>
        </is>
      </c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174">
      <c r="A134" s="3" t="n"/>
      <c r="B134" s="3" t="n"/>
      <c r="C134" s="3" t="n"/>
      <c r="D134" s="3" t="n"/>
      <c r="E134" s="3" t="inlineStr">
        <is>
          <t>Supreme Capital Solutions</t>
        </is>
      </c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174">
      <c r="A135" s="3" t="n"/>
      <c r="B135" s="3" t="n"/>
      <c r="C135" s="3" t="n"/>
      <c r="D135" s="3" t="n"/>
      <c r="E135" s="3" t="inlineStr">
        <is>
          <t>Swift Business Funding</t>
        </is>
      </c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174">
      <c r="A136" s="3" t="n"/>
      <c r="B136" s="3" t="n"/>
      <c r="C136" s="3" t="n"/>
      <c r="D136" s="3" t="n"/>
      <c r="E136" s="3" t="inlineStr">
        <is>
          <t>Tech Consulting Pro LLC D/B/A: Nationwide Advance</t>
        </is>
      </c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174">
      <c r="A137" s="3" t="n"/>
      <c r="B137" s="3" t="n"/>
      <c r="C137" s="3" t="n"/>
      <c r="D137" s="3" t="n"/>
      <c r="E137" s="3" t="inlineStr">
        <is>
          <t>The Funding Channel</t>
        </is>
      </c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174">
      <c r="A138" s="3" t="n"/>
      <c r="B138" s="3" t="n"/>
      <c r="C138" s="3" t="n"/>
      <c r="D138" s="3" t="n"/>
      <c r="E138" s="3" t="inlineStr">
        <is>
          <t>The Funding Family</t>
        </is>
      </c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174">
      <c r="A139" s="3" t="n"/>
      <c r="B139" s="3" t="n"/>
      <c r="C139" s="3" t="n"/>
      <c r="D139" s="3" t="n"/>
      <c r="E139" s="3" t="inlineStr">
        <is>
          <t>Tier one</t>
        </is>
      </c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174">
      <c r="A140" s="3" t="n"/>
      <c r="B140" s="3" t="n"/>
      <c r="C140" s="3" t="n"/>
      <c r="D140" s="3" t="n"/>
      <c r="E140" s="3" t="inlineStr">
        <is>
          <t>Tip Top Capital</t>
        </is>
      </c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174">
      <c r="A141" s="3" t="n"/>
      <c r="B141" s="3" t="n"/>
      <c r="C141" s="3" t="n"/>
      <c r="D141" s="3" t="n"/>
      <c r="E141" s="3" t="inlineStr">
        <is>
          <t>Top Floor Advance</t>
        </is>
      </c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174">
      <c r="A142" s="3" t="n"/>
      <c r="B142" s="3" t="n"/>
      <c r="C142" s="3" t="n"/>
      <c r="D142" s="3" t="n"/>
      <c r="E142" s="3" t="inlineStr">
        <is>
          <t>Triumph Cap Fund</t>
        </is>
      </c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174">
      <c r="A143" s="3" t="n"/>
      <c r="B143" s="3" t="n"/>
      <c r="C143" s="3" t="n"/>
      <c r="D143" s="3" t="n"/>
      <c r="E143" s="3" t="inlineStr">
        <is>
          <t>True Eagle Capital</t>
        </is>
      </c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174">
      <c r="A144" s="3" t="n"/>
      <c r="B144" s="3" t="n"/>
      <c r="C144" s="3" t="n"/>
      <c r="D144" s="3" t="n"/>
      <c r="E144" s="3" t="inlineStr">
        <is>
          <t>True Path Funding</t>
        </is>
      </c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174">
      <c r="A145" s="3" t="n"/>
      <c r="B145" s="3" t="n"/>
      <c r="C145" s="3" t="n"/>
      <c r="D145" s="3" t="n"/>
      <c r="E145" s="3" t="inlineStr">
        <is>
          <t>TRUSTFI</t>
        </is>
      </c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174">
      <c r="A146" s="3" t="n"/>
      <c r="B146" s="3" t="n"/>
      <c r="C146" s="3" t="n"/>
      <c r="D146" s="3" t="n"/>
      <c r="E146" s="3" t="inlineStr">
        <is>
          <t>United Secured Capital 8</t>
        </is>
      </c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174">
      <c r="A147" s="3" t="n"/>
      <c r="B147" s="3" t="n"/>
      <c r="C147" s="3" t="n"/>
      <c r="D147" s="3" t="n"/>
      <c r="E147" s="3" t="inlineStr">
        <is>
          <t>upcrunch</t>
        </is>
      </c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174">
      <c r="A148" s="3" t="n"/>
      <c r="B148" s="3" t="n"/>
      <c r="C148" s="3" t="n"/>
      <c r="D148" s="3" t="n"/>
      <c r="E148" s="3" t="inlineStr">
        <is>
          <t>Upright Advance Corp</t>
        </is>
      </c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174">
      <c r="A149" s="3" t="n"/>
      <c r="B149" s="3" t="n"/>
      <c r="C149" s="3" t="n"/>
      <c r="D149" s="3" t="n"/>
      <c r="E149" s="3" t="inlineStr">
        <is>
          <t>Upwise capital</t>
        </is>
      </c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174">
      <c r="A150" s="3" t="n"/>
      <c r="B150" s="3" t="n"/>
      <c r="C150" s="3" t="n"/>
      <c r="D150" s="3" t="n"/>
      <c r="E150" s="3" t="inlineStr">
        <is>
          <t>Vanguard Equities</t>
        </is>
      </c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174">
      <c r="A151" s="3" t="n"/>
      <c r="B151" s="3" t="n"/>
      <c r="C151" s="3" t="n"/>
      <c r="D151" s="3" t="n"/>
      <c r="E151" s="3" t="inlineStr">
        <is>
          <t>Vantage Cap Group</t>
        </is>
      </c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174">
      <c r="A152" s="3" t="n"/>
      <c r="B152" s="3" t="n"/>
      <c r="C152" s="3" t="n"/>
      <c r="D152" s="3" t="n"/>
      <c r="E152" s="3" t="inlineStr">
        <is>
          <t>Viking Funding LLC</t>
        </is>
      </c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174">
      <c r="A153" s="3" t="n"/>
      <c r="B153" s="3" t="n"/>
      <c r="C153" s="3" t="n"/>
      <c r="D153" s="3" t="n"/>
      <c r="E153" s="3" t="inlineStr">
        <is>
          <t>Vital Funding</t>
        </is>
      </c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174">
      <c r="A154" s="3" t="n"/>
      <c r="B154" s="3" t="n"/>
      <c r="C154" s="3" t="n"/>
      <c r="D154" s="3" t="n"/>
      <c r="E154" s="3" t="inlineStr">
        <is>
          <t>Westwood</t>
        </is>
      </c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174">
      <c r="A155" s="3" t="n"/>
      <c r="B155" s="3" t="n"/>
      <c r="C155" s="3" t="n"/>
      <c r="D155" s="3" t="n"/>
      <c r="E155" s="3" t="inlineStr">
        <is>
          <t>Wisco Capital</t>
        </is>
      </c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174">
      <c r="A156" s="3" t="n"/>
      <c r="B156" s="3" t="n"/>
      <c r="C156" s="3" t="n"/>
      <c r="D156" s="3" t="n"/>
      <c r="E156" s="3" t="inlineStr">
        <is>
          <t>WOTR Enterprise LLC</t>
        </is>
      </c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174">
      <c r="A157" s="3" t="n"/>
      <c r="B157" s="3" t="n"/>
      <c r="C157" s="3" t="n"/>
      <c r="D157" s="3" t="n"/>
      <c r="E157" s="3" t="inlineStr">
        <is>
          <t>YM ventures</t>
        </is>
      </c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174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174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174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174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174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174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17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174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174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174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174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174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174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174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174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174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17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174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174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174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174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174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174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174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174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174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174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174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174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174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174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174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174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174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174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174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174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174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174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174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174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174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174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174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174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174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174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174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174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174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174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174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174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174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174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174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174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174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174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174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174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174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174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174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 s="174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 s="174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 s="174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 s="174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 s="174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 s="174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 s="174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 s="174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 s="174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 s="174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 s="174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 s="174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 s="174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 s="174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 s="174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 s="174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 s="174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5.75" customHeight="1" s="174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</row>
    <row r="240" ht="15.75" customHeight="1" s="174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</row>
    <row r="241" ht="15.75" customHeight="1" s="174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</row>
    <row r="242" ht="15.75" customHeight="1" s="174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</row>
    <row r="243" ht="15.75" customHeight="1" s="174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</row>
    <row r="244" ht="15.75" customHeight="1" s="174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</row>
    <row r="245" ht="15.75" customHeight="1" s="174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</row>
    <row r="246" ht="15.75" customHeight="1" s="174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</row>
    <row r="247" ht="15.75" customHeight="1" s="174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</row>
    <row r="248" ht="15.75" customHeight="1" s="174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</row>
    <row r="249" ht="15.75" customHeight="1" s="174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</row>
    <row r="250" ht="15.75" customHeight="1" s="174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</row>
    <row r="251" ht="15.75" customHeight="1" s="174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</row>
    <row r="252" ht="15.75" customHeight="1" s="174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</row>
    <row r="253" ht="15.75" customHeight="1" s="174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</row>
    <row r="254" ht="15.75" customHeight="1" s="174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</row>
    <row r="255" ht="15.75" customHeight="1" s="174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</row>
    <row r="256" ht="15.75" customHeight="1" s="174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</row>
    <row r="257" ht="15.75" customHeight="1" s="174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</row>
    <row r="258" ht="15.75" customHeight="1" s="174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</row>
    <row r="259" ht="15.75" customHeight="1" s="174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</row>
    <row r="260" ht="15.75" customHeight="1" s="174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</row>
    <row r="261" ht="15.75" customHeight="1" s="174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</row>
    <row r="262" ht="15.75" customHeight="1" s="174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</row>
    <row r="263" ht="15.75" customHeight="1" s="174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</row>
    <row r="264" ht="15.75" customHeight="1" s="174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</row>
    <row r="265" ht="15.75" customHeight="1" s="174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</row>
    <row r="266" ht="15.75" customHeight="1" s="174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</row>
    <row r="267" ht="15.75" customHeight="1" s="174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</row>
    <row r="268" ht="15.75" customHeight="1" s="174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</row>
    <row r="269" ht="15.75" customHeight="1" s="174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</row>
    <row r="270" ht="15.75" customHeight="1" s="174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</row>
    <row r="271" ht="15.75" customHeight="1" s="174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</row>
    <row r="272" ht="15.75" customHeight="1" s="174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</row>
    <row r="273" ht="15.75" customHeight="1" s="174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</row>
    <row r="274" ht="15.75" customHeight="1" s="174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</row>
    <row r="275" ht="15.75" customHeight="1" s="174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</row>
    <row r="276" ht="15.75" customHeight="1" s="174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</row>
    <row r="277" ht="15.75" customHeight="1" s="174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</row>
    <row r="278" ht="15.75" customHeight="1" s="174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</row>
    <row r="279" ht="15.75" customHeight="1" s="174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</row>
    <row r="280" ht="15.75" customHeight="1" s="174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</row>
    <row r="281" ht="15.75" customHeight="1" s="174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</row>
    <row r="282" ht="15.75" customHeight="1" s="174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</row>
    <row r="283" ht="15.75" customHeight="1" s="174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</row>
    <row r="284" ht="15.75" customHeight="1" s="174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</row>
    <row r="285" ht="15.75" customHeight="1" s="174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</row>
    <row r="286" ht="15.75" customHeight="1" s="174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</row>
    <row r="287" ht="15.75" customHeight="1" s="174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</row>
    <row r="288" ht="15.75" customHeight="1" s="174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</row>
    <row r="289" ht="15.75" customHeight="1" s="174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</row>
    <row r="290" ht="15.75" customHeight="1" s="174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</row>
    <row r="291" ht="15.75" customHeight="1" s="174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</row>
    <row r="292" ht="15.75" customHeight="1" s="174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</row>
    <row r="293" ht="15.75" customHeight="1" s="174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</row>
    <row r="294" ht="15.75" customHeight="1" s="174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</row>
    <row r="295" ht="15.75" customHeight="1" s="174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</row>
    <row r="296" ht="15.75" customHeight="1" s="174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</row>
    <row r="297" ht="15.75" customHeight="1" s="174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</row>
    <row r="298" ht="15.75" customHeight="1" s="174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</row>
    <row r="299" ht="15.75" customHeight="1" s="174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</row>
    <row r="300" ht="15.75" customHeight="1" s="174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</row>
    <row r="301" ht="15.75" customHeight="1" s="174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</row>
    <row r="302" ht="15.75" customHeight="1" s="174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</row>
    <row r="303" ht="15.75" customHeight="1" s="174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</row>
    <row r="304" ht="15.75" customHeight="1" s="174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</row>
    <row r="305" ht="15.75" customHeight="1" s="174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</row>
    <row r="306" ht="15.75" customHeight="1" s="174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</row>
    <row r="307" ht="15.75" customHeight="1" s="174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</row>
    <row r="308" ht="15.75" customHeight="1" s="174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</row>
    <row r="309" ht="15.75" customHeight="1" s="174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</row>
    <row r="310" ht="15.75" customHeight="1" s="174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</row>
    <row r="311" ht="15.75" customHeight="1" s="174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</row>
    <row r="312" ht="15.75" customHeight="1" s="174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</row>
    <row r="313" ht="15.75" customHeight="1" s="174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</row>
    <row r="314" ht="15.75" customHeight="1" s="174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</row>
    <row r="315" ht="15.75" customHeight="1" s="174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</row>
    <row r="316" ht="15.75" customHeight="1" s="174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</row>
    <row r="317" ht="15.75" customHeight="1" s="174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</row>
    <row r="318" ht="15.75" customHeight="1" s="174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</row>
    <row r="319" ht="15.75" customHeight="1" s="174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</row>
    <row r="320" ht="15.75" customHeight="1" s="174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</row>
    <row r="321" ht="15.75" customHeight="1" s="174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</row>
    <row r="322" ht="15.75" customHeight="1" s="174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</row>
    <row r="323" ht="15.75" customHeight="1" s="174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</row>
    <row r="324" ht="15.75" customHeight="1" s="174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</row>
    <row r="325" ht="15.75" customHeight="1" s="174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</row>
    <row r="326" ht="15.75" customHeight="1" s="174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</row>
    <row r="327" ht="15.75" customHeight="1" s="174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</row>
    <row r="328" ht="15.75" customHeight="1" s="174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</row>
    <row r="329" ht="15.75" customHeight="1" s="174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</row>
    <row r="330" ht="15.75" customHeight="1" s="174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</row>
    <row r="331" ht="15.75" customHeight="1" s="174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</row>
    <row r="332" ht="15.75" customHeight="1" s="174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</row>
    <row r="333" ht="15.75" customHeight="1" s="174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</row>
    <row r="334" ht="15.75" customHeight="1" s="174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</row>
    <row r="335" ht="15.75" customHeight="1" s="174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</row>
    <row r="336" ht="15.75" customHeight="1" s="174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</row>
    <row r="337" ht="15.75" customHeight="1" s="174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</row>
    <row r="338" ht="15.75" customHeight="1" s="174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</row>
    <row r="339" ht="15.75" customHeight="1" s="174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</row>
    <row r="340" ht="15.75" customHeight="1" s="174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</row>
    <row r="341" ht="15.75" customHeight="1" s="174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</row>
    <row r="342" ht="15.75" customHeight="1" s="174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</row>
    <row r="343" ht="15.75" customHeight="1" s="174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</row>
    <row r="344" ht="15.75" customHeight="1" s="174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</row>
    <row r="345" ht="15.75" customHeight="1" s="174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</row>
    <row r="346" ht="15.75" customHeight="1" s="174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</row>
    <row r="347" ht="15.75" customHeight="1" s="174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</row>
    <row r="348" ht="15.75" customHeight="1" s="174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</row>
    <row r="349" ht="15.75" customHeight="1" s="174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</row>
    <row r="350" ht="15.75" customHeight="1" s="174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</row>
    <row r="351" ht="15.75" customHeight="1" s="174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</row>
    <row r="352" ht="15.75" customHeight="1" s="174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</row>
    <row r="353" ht="15.75" customHeight="1" s="174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</row>
    <row r="354" ht="15.75" customHeight="1" s="174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</row>
    <row r="355" ht="15.75" customHeight="1" s="174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</row>
    <row r="356" ht="15.75" customHeight="1" s="174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</row>
    <row r="357" ht="15.75" customHeight="1" s="174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</row>
    <row r="358" ht="15.75" customHeight="1" s="174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</row>
    <row r="359" ht="15.75" customHeight="1" s="174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</row>
    <row r="360" ht="15.75" customHeight="1" s="174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</row>
    <row r="361" ht="15.75" customHeight="1" s="174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</row>
    <row r="362" ht="15.75" customHeight="1" s="174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</row>
    <row r="363" ht="15.75" customHeight="1" s="174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</row>
    <row r="364" ht="15.75" customHeight="1" s="174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</row>
    <row r="365" ht="15.75" customHeight="1" s="174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</row>
    <row r="366" ht="15.75" customHeight="1" s="174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</row>
    <row r="367" ht="15.75" customHeight="1" s="174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</row>
    <row r="368" ht="15.75" customHeight="1" s="174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</row>
    <row r="369" ht="15.75" customHeight="1" s="174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</row>
    <row r="370" ht="15.75" customHeight="1" s="174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</row>
    <row r="371" ht="15.75" customHeight="1" s="174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</row>
    <row r="372" ht="15.75" customHeight="1" s="174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</row>
    <row r="373" ht="15.75" customHeight="1" s="174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</row>
    <row r="374" ht="15.75" customHeight="1" s="174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</row>
    <row r="375" ht="15.75" customHeight="1" s="174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</row>
    <row r="376" ht="15.75" customHeight="1" s="174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</row>
    <row r="377" ht="15.75" customHeight="1" s="174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</row>
    <row r="378" ht="15.75" customHeight="1" s="174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</row>
    <row r="379" ht="15.75" customHeight="1" s="174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</row>
    <row r="380" ht="15.75" customHeight="1" s="174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</row>
    <row r="381" ht="15.75" customHeight="1" s="174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</row>
    <row r="382" ht="15.75" customHeight="1" s="174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</row>
    <row r="383" ht="15.75" customHeight="1" s="174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</row>
    <row r="384" ht="15.75" customHeight="1" s="174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</row>
    <row r="385" ht="15.75" customHeight="1" s="174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</row>
    <row r="386" ht="15.75" customHeight="1" s="174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</row>
    <row r="387" ht="15.75" customHeight="1" s="174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</row>
    <row r="388" ht="15.75" customHeight="1" s="174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</row>
    <row r="389" ht="15.75" customHeight="1" s="174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</row>
    <row r="390" ht="15.75" customHeight="1" s="174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</row>
    <row r="391" ht="15.75" customHeight="1" s="174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</row>
    <row r="392" ht="15.75" customHeight="1" s="174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</row>
    <row r="393" ht="15.75" customHeight="1" s="174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</row>
    <row r="394" ht="15.75" customHeight="1" s="174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</row>
    <row r="395" ht="15.75" customHeight="1" s="174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</row>
    <row r="396" ht="15.75" customHeight="1" s="174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</row>
    <row r="397" ht="15.75" customHeight="1" s="174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</row>
    <row r="398" ht="15.75" customHeight="1" s="174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</row>
    <row r="399" ht="15.75" customHeight="1" s="174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</row>
    <row r="400" ht="15.75" customHeight="1" s="174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</row>
    <row r="401" ht="15.75" customHeight="1" s="174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</row>
    <row r="402" ht="15.75" customHeight="1" s="174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</row>
    <row r="403" ht="15.75" customHeight="1" s="174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</row>
    <row r="404" ht="15.75" customHeight="1" s="174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</row>
    <row r="405" ht="15.75" customHeight="1" s="174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</row>
    <row r="406" ht="15.75" customHeight="1" s="174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</row>
    <row r="407" ht="15.75" customHeight="1" s="174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</row>
    <row r="408" ht="15.75" customHeight="1" s="174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</row>
    <row r="409" ht="15.75" customHeight="1" s="174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</row>
    <row r="410" ht="15.75" customHeight="1" s="174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</row>
    <row r="411" ht="15.75" customHeight="1" s="174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</row>
    <row r="412" ht="15.75" customHeight="1" s="174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</row>
    <row r="413" ht="15.75" customHeight="1" s="174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</row>
    <row r="414" ht="15.75" customHeight="1" s="174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</row>
    <row r="415" ht="15.75" customHeight="1" s="174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</row>
    <row r="416" ht="15.75" customHeight="1" s="174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</row>
    <row r="417" ht="15.75" customHeight="1" s="174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</row>
    <row r="418" ht="15.75" customHeight="1" s="174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</row>
    <row r="419" ht="15.75" customHeight="1" s="174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</row>
    <row r="420" ht="15.75" customHeight="1" s="174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</row>
    <row r="421" ht="15.75" customHeight="1" s="174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</row>
    <row r="422" ht="15.75" customHeight="1" s="174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</row>
    <row r="423" ht="15.75" customHeight="1" s="174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</row>
    <row r="424" ht="15.75" customHeight="1" s="174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</row>
    <row r="425" ht="15.75" customHeight="1" s="174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</row>
    <row r="426" ht="15.75" customHeight="1" s="174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</row>
    <row r="427" ht="15.75" customHeight="1" s="174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</row>
    <row r="428" ht="15.75" customHeight="1" s="174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</row>
    <row r="429" ht="15.75" customHeight="1" s="174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</row>
    <row r="430" ht="15.75" customHeight="1" s="174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</row>
    <row r="431" ht="15.75" customHeight="1" s="174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</row>
    <row r="432" ht="15.75" customHeight="1" s="174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</row>
    <row r="433" ht="15.75" customHeight="1" s="174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</row>
    <row r="434" ht="15.75" customHeight="1" s="174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</row>
    <row r="435" ht="15.75" customHeight="1" s="174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</row>
    <row r="436" ht="15.75" customHeight="1" s="174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</row>
    <row r="437" ht="15.75" customHeight="1" s="174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</row>
    <row r="438" ht="15.75" customHeight="1" s="174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</row>
    <row r="439" ht="15.75" customHeight="1" s="174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</row>
    <row r="440" ht="15.75" customHeight="1" s="174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</row>
    <row r="441" ht="15.75" customHeight="1" s="174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</row>
    <row r="442" ht="15.75" customHeight="1" s="174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</row>
    <row r="443" ht="15.75" customHeight="1" s="174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</row>
    <row r="444" ht="15.75" customHeight="1" s="174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</row>
    <row r="445" ht="15.75" customHeight="1" s="174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</row>
    <row r="446" ht="15.75" customHeight="1" s="174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</row>
    <row r="447" ht="15.75" customHeight="1" s="174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</row>
    <row r="448" ht="15.75" customHeight="1" s="174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</row>
    <row r="449" ht="15.75" customHeight="1" s="174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</row>
    <row r="450" ht="15.75" customHeight="1" s="174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</row>
    <row r="451" ht="15.75" customHeight="1" s="174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</row>
    <row r="452" ht="15.75" customHeight="1" s="174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</row>
    <row r="453" ht="15.75" customHeight="1" s="174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</row>
    <row r="454" ht="15.75" customHeight="1" s="174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</row>
    <row r="455" ht="15.75" customHeight="1" s="174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</row>
    <row r="456" ht="15.75" customHeight="1" s="174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</row>
    <row r="457" ht="15.75" customHeight="1" s="174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</row>
    <row r="458" ht="15.75" customHeight="1" s="174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</row>
    <row r="459" ht="15.75" customHeight="1" s="174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</row>
    <row r="460" ht="15.75" customHeight="1" s="174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</row>
    <row r="461" ht="15.75" customHeight="1" s="174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</row>
    <row r="462" ht="15.75" customHeight="1" s="174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</row>
    <row r="463" ht="15.75" customHeight="1" s="174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</row>
    <row r="464" ht="15.75" customHeight="1" s="174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</row>
    <row r="465" ht="15.75" customHeight="1" s="174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</row>
    <row r="466" ht="15.75" customHeight="1" s="174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</row>
    <row r="467" ht="15.75" customHeight="1" s="174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</row>
    <row r="468" ht="15.75" customHeight="1" s="174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</row>
    <row r="469" ht="15.75" customHeight="1" s="174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</row>
    <row r="470" ht="15.75" customHeight="1" s="174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</row>
    <row r="471" ht="15.75" customHeight="1" s="174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</row>
    <row r="472" ht="15.75" customHeight="1" s="174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</row>
    <row r="473" ht="15.75" customHeight="1" s="174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</row>
    <row r="474" ht="15.75" customHeight="1" s="174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</row>
    <row r="475" ht="15.75" customHeight="1" s="174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</row>
    <row r="476" ht="15.75" customHeight="1" s="174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</row>
    <row r="477" ht="15.75" customHeight="1" s="174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</row>
    <row r="478" ht="15.75" customHeight="1" s="174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</row>
    <row r="479" ht="15.75" customHeight="1" s="174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</row>
    <row r="480" ht="15.75" customHeight="1" s="174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</row>
    <row r="481" ht="15.75" customHeight="1" s="174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</row>
    <row r="482" ht="15.75" customHeight="1" s="174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</row>
    <row r="483" ht="15.75" customHeight="1" s="174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</row>
    <row r="484" ht="15.75" customHeight="1" s="174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</row>
    <row r="485" ht="15.75" customHeight="1" s="174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</row>
    <row r="486" ht="15.75" customHeight="1" s="174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</row>
    <row r="487" ht="15.75" customHeight="1" s="174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</row>
    <row r="488" ht="15.75" customHeight="1" s="174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</row>
    <row r="489" ht="15.75" customHeight="1" s="174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</row>
    <row r="490" ht="15.75" customHeight="1" s="174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</row>
    <row r="491" ht="15.75" customHeight="1" s="174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</row>
    <row r="492" ht="15.75" customHeight="1" s="174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</row>
    <row r="493" ht="15.75" customHeight="1" s="174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</row>
    <row r="494" ht="15.75" customHeight="1" s="174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</row>
    <row r="495" ht="15.75" customHeight="1" s="174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</row>
    <row r="496" ht="15.75" customHeight="1" s="174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</row>
    <row r="497" ht="15.75" customHeight="1" s="174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</row>
    <row r="498" ht="15.75" customHeight="1" s="174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</row>
    <row r="499" ht="15.75" customHeight="1" s="174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</row>
    <row r="500" ht="15.75" customHeight="1" s="174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</row>
    <row r="501" ht="15.75" customHeight="1" s="174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</row>
    <row r="502" ht="15.75" customHeight="1" s="174">
      <c r="A502" s="3" t="n"/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</row>
    <row r="503" ht="15.75" customHeight="1" s="174">
      <c r="A503" s="3" t="n"/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</row>
    <row r="504" ht="15.75" customHeight="1" s="174">
      <c r="A504" s="3" t="n"/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</row>
    <row r="505" ht="15.75" customHeight="1" s="174">
      <c r="A505" s="3" t="n"/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</row>
    <row r="506" ht="15.75" customHeight="1" s="174">
      <c r="A506" s="3" t="n"/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</row>
    <row r="507" ht="15.75" customHeight="1" s="174">
      <c r="A507" s="3" t="n"/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</row>
    <row r="508" ht="15.75" customHeight="1" s="174">
      <c r="A508" s="3" t="n"/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</row>
    <row r="509" ht="15.75" customHeight="1" s="174">
      <c r="A509" s="3" t="n"/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</row>
    <row r="510" ht="15.75" customHeight="1" s="174">
      <c r="A510" s="3" t="n"/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</row>
    <row r="511" ht="15.75" customHeight="1" s="174">
      <c r="A511" s="3" t="n"/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</row>
    <row r="512" ht="15.75" customHeight="1" s="174">
      <c r="A512" s="3" t="n"/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</row>
    <row r="513" ht="15.75" customHeight="1" s="174">
      <c r="A513" s="3" t="n"/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</row>
    <row r="514" ht="15.75" customHeight="1" s="174">
      <c r="A514" s="3" t="n"/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</row>
    <row r="515" ht="15.75" customHeight="1" s="174">
      <c r="A515" s="3" t="n"/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</row>
    <row r="516" ht="15.75" customHeight="1" s="174">
      <c r="A516" s="3" t="n"/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</row>
    <row r="517" ht="15.75" customHeight="1" s="174">
      <c r="A517" s="3" t="n"/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</row>
    <row r="518" ht="15.75" customHeight="1" s="174">
      <c r="A518" s="3" t="n"/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</row>
    <row r="519" ht="15.75" customHeight="1" s="174">
      <c r="A519" s="3" t="n"/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</row>
    <row r="520" ht="15.75" customHeight="1" s="174">
      <c r="A520" s="3" t="n"/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</row>
    <row r="521" ht="15.75" customHeight="1" s="174">
      <c r="A521" s="3" t="n"/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</row>
    <row r="522" ht="15.75" customHeight="1" s="174">
      <c r="A522" s="3" t="n"/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</row>
    <row r="523" ht="15.75" customHeight="1" s="174">
      <c r="A523" s="3" t="n"/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</row>
    <row r="524" ht="15.75" customHeight="1" s="174">
      <c r="A524" s="3" t="n"/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</row>
    <row r="525" ht="15.75" customHeight="1" s="174">
      <c r="A525" s="3" t="n"/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</row>
    <row r="526" ht="15.75" customHeight="1" s="174">
      <c r="A526" s="3" t="n"/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</row>
    <row r="527" ht="15.75" customHeight="1" s="174">
      <c r="A527" s="3" t="n"/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</row>
    <row r="528" ht="15.75" customHeight="1" s="174">
      <c r="A528" s="3" t="n"/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</row>
    <row r="529" ht="15.75" customHeight="1" s="174">
      <c r="A529" s="3" t="n"/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</row>
    <row r="530" ht="15.75" customHeight="1" s="174">
      <c r="A530" s="3" t="n"/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</row>
    <row r="531" ht="15.75" customHeight="1" s="174">
      <c r="A531" s="3" t="n"/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</row>
    <row r="532" ht="15.75" customHeight="1" s="174">
      <c r="A532" s="3" t="n"/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</row>
    <row r="533" ht="15.75" customHeight="1" s="174">
      <c r="A533" s="3" t="n"/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</row>
    <row r="534" ht="15.75" customHeight="1" s="174">
      <c r="A534" s="3" t="n"/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</row>
    <row r="535" ht="15.75" customHeight="1" s="174">
      <c r="A535" s="3" t="n"/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</row>
    <row r="536" ht="15.75" customHeight="1" s="174">
      <c r="A536" s="3" t="n"/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</row>
    <row r="537" ht="15.75" customHeight="1" s="174">
      <c r="A537" s="3" t="n"/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</row>
    <row r="538" ht="15.75" customHeight="1" s="174">
      <c r="A538" s="3" t="n"/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</row>
    <row r="539" ht="15.75" customHeight="1" s="174">
      <c r="A539" s="3" t="n"/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</row>
    <row r="540" ht="15.75" customHeight="1" s="174">
      <c r="A540" s="3" t="n"/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</row>
    <row r="541" ht="15.75" customHeight="1" s="174">
      <c r="A541" s="3" t="n"/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</row>
    <row r="542" ht="15.75" customHeight="1" s="174">
      <c r="A542" s="3" t="n"/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</row>
    <row r="543" ht="15.75" customHeight="1" s="174">
      <c r="A543" s="3" t="n"/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</row>
    <row r="544" ht="15.75" customHeight="1" s="174">
      <c r="A544" s="3" t="n"/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</row>
    <row r="545" ht="15.75" customHeight="1" s="174">
      <c r="A545" s="3" t="n"/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</row>
    <row r="546" ht="15.75" customHeight="1" s="174">
      <c r="A546" s="3" t="n"/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</row>
    <row r="547" ht="15.75" customHeight="1" s="174">
      <c r="A547" s="3" t="n"/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</row>
    <row r="548" ht="15.75" customHeight="1" s="174">
      <c r="A548" s="3" t="n"/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</row>
    <row r="549" ht="15.75" customHeight="1" s="174">
      <c r="A549" s="3" t="n"/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</row>
    <row r="550" ht="15.75" customHeight="1" s="174">
      <c r="A550" s="3" t="n"/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</row>
    <row r="551" ht="15.75" customHeight="1" s="174">
      <c r="A551" s="3" t="n"/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</row>
    <row r="552" ht="15.75" customHeight="1" s="174">
      <c r="A552" s="3" t="n"/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</row>
    <row r="553" ht="15.75" customHeight="1" s="174">
      <c r="A553" s="3" t="n"/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</row>
    <row r="554" ht="15.75" customHeight="1" s="174">
      <c r="A554" s="3" t="n"/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</row>
    <row r="555" ht="15.75" customHeight="1" s="174">
      <c r="A555" s="3" t="n"/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</row>
    <row r="556" ht="15.75" customHeight="1" s="174">
      <c r="A556" s="3" t="n"/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</row>
    <row r="557" ht="15.75" customHeight="1" s="174">
      <c r="A557" s="3" t="n"/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</row>
    <row r="558" ht="15.75" customHeight="1" s="174">
      <c r="A558" s="3" t="n"/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</row>
    <row r="559" ht="15.75" customHeight="1" s="174">
      <c r="A559" s="3" t="n"/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</row>
    <row r="560" ht="15.75" customHeight="1" s="174">
      <c r="A560" s="3" t="n"/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</row>
    <row r="561" ht="15.75" customHeight="1" s="174">
      <c r="A561" s="3" t="n"/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</row>
    <row r="562" ht="15.75" customHeight="1" s="174">
      <c r="A562" s="3" t="n"/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</row>
    <row r="563" ht="15.75" customHeight="1" s="174">
      <c r="A563" s="3" t="n"/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</row>
    <row r="564" ht="15.75" customHeight="1" s="174">
      <c r="A564" s="3" t="n"/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</row>
    <row r="565" ht="15.75" customHeight="1" s="174">
      <c r="A565" s="3" t="n"/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</row>
    <row r="566" ht="15.75" customHeight="1" s="174">
      <c r="A566" s="3" t="n"/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</row>
    <row r="567" ht="15.75" customHeight="1" s="174">
      <c r="A567" s="3" t="n"/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</row>
    <row r="568" ht="15.75" customHeight="1" s="174">
      <c r="A568" s="3" t="n"/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</row>
    <row r="569" ht="15.75" customHeight="1" s="174">
      <c r="A569" s="3" t="n"/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</row>
    <row r="570" ht="15.75" customHeight="1" s="174">
      <c r="A570" s="3" t="n"/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</row>
    <row r="571" ht="15.75" customHeight="1" s="174">
      <c r="A571" s="3" t="n"/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</row>
    <row r="572" ht="15.75" customHeight="1" s="174">
      <c r="A572" s="3" t="n"/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</row>
    <row r="573" ht="15.75" customHeight="1" s="174">
      <c r="A573" s="3" t="n"/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</row>
    <row r="574" ht="15.75" customHeight="1" s="174">
      <c r="A574" s="3" t="n"/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</row>
    <row r="575" ht="15.75" customHeight="1" s="174">
      <c r="A575" s="3" t="n"/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</row>
    <row r="576" ht="15.75" customHeight="1" s="174">
      <c r="A576" s="3" t="n"/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</row>
    <row r="577" ht="15.75" customHeight="1" s="174">
      <c r="A577" s="3" t="n"/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</row>
    <row r="578" ht="15.75" customHeight="1" s="174">
      <c r="A578" s="3" t="n"/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</row>
    <row r="579" ht="15.75" customHeight="1" s="174">
      <c r="A579" s="3" t="n"/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</row>
    <row r="580" ht="15.75" customHeight="1" s="174">
      <c r="A580" s="3" t="n"/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</row>
    <row r="581" ht="15.75" customHeight="1" s="174">
      <c r="A581" s="3" t="n"/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</row>
    <row r="582" ht="15.75" customHeight="1" s="174">
      <c r="A582" s="3" t="n"/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</row>
    <row r="583" ht="15.75" customHeight="1" s="174">
      <c r="A583" s="3" t="n"/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</row>
    <row r="584" ht="15.75" customHeight="1" s="174">
      <c r="A584" s="3" t="n"/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</row>
    <row r="585" ht="15.75" customHeight="1" s="174">
      <c r="A585" s="3" t="n"/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</row>
    <row r="586" ht="15.75" customHeight="1" s="174">
      <c r="A586" s="3" t="n"/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</row>
    <row r="587" ht="15.75" customHeight="1" s="174">
      <c r="A587" s="3" t="n"/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</row>
    <row r="588" ht="15.75" customHeight="1" s="174">
      <c r="A588" s="3" t="n"/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</row>
    <row r="589" ht="15.75" customHeight="1" s="174">
      <c r="A589" s="3" t="n"/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</row>
    <row r="590" ht="15.75" customHeight="1" s="174">
      <c r="A590" s="3" t="n"/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</row>
    <row r="591" ht="15.75" customHeight="1" s="174">
      <c r="A591" s="3" t="n"/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</row>
    <row r="592" ht="15.75" customHeight="1" s="174">
      <c r="A592" s="3" t="n"/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</row>
    <row r="593" ht="15.75" customHeight="1" s="174">
      <c r="A593" s="3" t="n"/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</row>
    <row r="594" ht="15.75" customHeight="1" s="174">
      <c r="A594" s="3" t="n"/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</row>
    <row r="595" ht="15.75" customHeight="1" s="174">
      <c r="A595" s="3" t="n"/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</row>
    <row r="596" ht="15.75" customHeight="1" s="174">
      <c r="A596" s="3" t="n"/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</row>
    <row r="597" ht="15.75" customHeight="1" s="174">
      <c r="A597" s="3" t="n"/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</row>
    <row r="598" ht="15.75" customHeight="1" s="174">
      <c r="A598" s="3" t="n"/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</row>
    <row r="599" ht="15.75" customHeight="1" s="174">
      <c r="A599" s="3" t="n"/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</row>
    <row r="600" ht="15.75" customHeight="1" s="174">
      <c r="A600" s="3" t="n"/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</row>
    <row r="601" ht="15.75" customHeight="1" s="174">
      <c r="A601" s="3" t="n"/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</row>
    <row r="602" ht="15.75" customHeight="1" s="174">
      <c r="A602" s="3" t="n"/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</row>
    <row r="603" ht="15.75" customHeight="1" s="174">
      <c r="A603" s="3" t="n"/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</row>
    <row r="604" ht="15.75" customHeight="1" s="174">
      <c r="A604" s="3" t="n"/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</row>
    <row r="605" ht="15.75" customHeight="1" s="174">
      <c r="A605" s="3" t="n"/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</row>
    <row r="606" ht="15.75" customHeight="1" s="174">
      <c r="A606" s="3" t="n"/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</row>
    <row r="607" ht="15.75" customHeight="1" s="174">
      <c r="A607" s="3" t="n"/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</row>
    <row r="608" ht="15.75" customHeight="1" s="174">
      <c r="A608" s="3" t="n"/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</row>
    <row r="609" ht="15.75" customHeight="1" s="174">
      <c r="A609" s="3" t="n"/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</row>
    <row r="610" ht="15.75" customHeight="1" s="174">
      <c r="A610" s="3" t="n"/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</row>
    <row r="611" ht="15.75" customHeight="1" s="174">
      <c r="A611" s="3" t="n"/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</row>
    <row r="612" ht="15.75" customHeight="1" s="174">
      <c r="A612" s="3" t="n"/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</row>
    <row r="613" ht="15.75" customHeight="1" s="174">
      <c r="A613" s="3" t="n"/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</row>
    <row r="614" ht="15.75" customHeight="1" s="174">
      <c r="A614" s="3" t="n"/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</row>
    <row r="615" ht="15.75" customHeight="1" s="174">
      <c r="A615" s="3" t="n"/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</row>
    <row r="616" ht="15.75" customHeight="1" s="174">
      <c r="A616" s="3" t="n"/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</row>
    <row r="617" ht="15.75" customHeight="1" s="174">
      <c r="A617" s="3" t="n"/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</row>
    <row r="618" ht="15.75" customHeight="1" s="174">
      <c r="A618" s="3" t="n"/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</row>
    <row r="619" ht="15.75" customHeight="1" s="174">
      <c r="A619" s="3" t="n"/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</row>
    <row r="620" ht="15.75" customHeight="1" s="174">
      <c r="A620" s="3" t="n"/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</row>
    <row r="621" ht="15.75" customHeight="1" s="174">
      <c r="A621" s="3" t="n"/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</row>
    <row r="622" ht="15.75" customHeight="1" s="174">
      <c r="A622" s="3" t="n"/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</row>
    <row r="623" ht="15.75" customHeight="1" s="174">
      <c r="A623" s="3" t="n"/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</row>
    <row r="624" ht="15.75" customHeight="1" s="174">
      <c r="A624" s="3" t="n"/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</row>
    <row r="625" ht="15.75" customHeight="1" s="174">
      <c r="A625" s="3" t="n"/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</row>
    <row r="626" ht="15.75" customHeight="1" s="174">
      <c r="A626" s="3" t="n"/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</row>
    <row r="627" ht="15.75" customHeight="1" s="174">
      <c r="A627" s="3" t="n"/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</row>
    <row r="628" ht="15.75" customHeight="1" s="174">
      <c r="A628" s="3" t="n"/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</row>
    <row r="629" ht="15.75" customHeight="1" s="174">
      <c r="A629" s="3" t="n"/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</row>
    <row r="630" ht="15.75" customHeight="1" s="174">
      <c r="A630" s="3" t="n"/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</row>
    <row r="631" ht="15.75" customHeight="1" s="174">
      <c r="A631" s="3" t="n"/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</row>
    <row r="632" ht="15.75" customHeight="1" s="174">
      <c r="A632" s="3" t="n"/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</row>
    <row r="633" ht="15.75" customHeight="1" s="174">
      <c r="A633" s="3" t="n"/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</row>
    <row r="634" ht="15.75" customHeight="1" s="174">
      <c r="A634" s="3" t="n"/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</row>
    <row r="635" ht="15.75" customHeight="1" s="174">
      <c r="A635" s="3" t="n"/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</row>
    <row r="636" ht="15.75" customHeight="1" s="174">
      <c r="A636" s="3" t="n"/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</row>
    <row r="637" ht="15.75" customHeight="1" s="174">
      <c r="A637" s="3" t="n"/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</row>
    <row r="638" ht="15.75" customHeight="1" s="174">
      <c r="A638" s="3" t="n"/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</row>
    <row r="639" ht="15.75" customHeight="1" s="174">
      <c r="A639" s="3" t="n"/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</row>
    <row r="640" ht="15.75" customHeight="1" s="174">
      <c r="A640" s="3" t="n"/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</row>
    <row r="641" ht="15.75" customHeight="1" s="174">
      <c r="A641" s="3" t="n"/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</row>
    <row r="642" ht="15.75" customHeight="1" s="174">
      <c r="A642" s="3" t="n"/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</row>
    <row r="643" ht="15.75" customHeight="1" s="174">
      <c r="A643" s="3" t="n"/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</row>
    <row r="644" ht="15.75" customHeight="1" s="174">
      <c r="A644" s="3" t="n"/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</row>
    <row r="645" ht="15.75" customHeight="1" s="174">
      <c r="A645" s="3" t="n"/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</row>
    <row r="646" ht="15.75" customHeight="1" s="174">
      <c r="A646" s="3" t="n"/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</row>
    <row r="647" ht="15.75" customHeight="1" s="174">
      <c r="A647" s="3" t="n"/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</row>
    <row r="648" ht="15.75" customHeight="1" s="174">
      <c r="A648" s="3" t="n"/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</row>
    <row r="649" ht="15.75" customHeight="1" s="174">
      <c r="A649" s="3" t="n"/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</row>
    <row r="650" ht="15.75" customHeight="1" s="174">
      <c r="A650" s="3" t="n"/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</row>
    <row r="651" ht="15.75" customHeight="1" s="174">
      <c r="A651" s="3" t="n"/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</row>
    <row r="652" ht="15.75" customHeight="1" s="174">
      <c r="A652" s="3" t="n"/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</row>
    <row r="653" ht="15.75" customHeight="1" s="174">
      <c r="A653" s="3" t="n"/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</row>
    <row r="654" ht="15.75" customHeight="1" s="174">
      <c r="A654" s="3" t="n"/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</row>
    <row r="655" ht="15.75" customHeight="1" s="174">
      <c r="A655" s="3" t="n"/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</row>
    <row r="656" ht="15.75" customHeight="1" s="174">
      <c r="A656" s="3" t="n"/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</row>
    <row r="657" ht="15.75" customHeight="1" s="174">
      <c r="A657" s="3" t="n"/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</row>
    <row r="658" ht="15.75" customHeight="1" s="174">
      <c r="A658" s="3" t="n"/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</row>
    <row r="659" ht="15.75" customHeight="1" s="174">
      <c r="A659" s="3" t="n"/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</row>
    <row r="660" ht="15.75" customHeight="1" s="174">
      <c r="A660" s="3" t="n"/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</row>
    <row r="661" ht="15.75" customHeight="1" s="174">
      <c r="A661" s="3" t="n"/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</row>
    <row r="662" ht="15.75" customHeight="1" s="174">
      <c r="A662" s="3" t="n"/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</row>
    <row r="663" ht="15.75" customHeight="1" s="174">
      <c r="A663" s="3" t="n"/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</row>
    <row r="664" ht="15.75" customHeight="1" s="174">
      <c r="A664" s="3" t="n"/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</row>
    <row r="665" ht="15.75" customHeight="1" s="174">
      <c r="A665" s="3" t="n"/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</row>
    <row r="666" ht="15.75" customHeight="1" s="174">
      <c r="A666" s="3" t="n"/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</row>
    <row r="667" ht="15.75" customHeight="1" s="174">
      <c r="A667" s="3" t="n"/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</row>
    <row r="668" ht="15.75" customHeight="1" s="174">
      <c r="A668" s="3" t="n"/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</row>
    <row r="669" ht="15.75" customHeight="1" s="174">
      <c r="A669" s="3" t="n"/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</row>
    <row r="670" ht="15.75" customHeight="1" s="174">
      <c r="A670" s="3" t="n"/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</row>
    <row r="671" ht="15.75" customHeight="1" s="174">
      <c r="A671" s="3" t="n"/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</row>
    <row r="672" ht="15.75" customHeight="1" s="174">
      <c r="A672" s="3" t="n"/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</row>
    <row r="673" ht="15.75" customHeight="1" s="174">
      <c r="A673" s="3" t="n"/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</row>
    <row r="674" ht="15.75" customHeight="1" s="174">
      <c r="A674" s="3" t="n"/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</row>
    <row r="675" ht="15.75" customHeight="1" s="174">
      <c r="A675" s="3" t="n"/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</row>
    <row r="676" ht="15.75" customHeight="1" s="174">
      <c r="A676" s="3" t="n"/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</row>
    <row r="677" ht="15.75" customHeight="1" s="174">
      <c r="A677" s="3" t="n"/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</row>
    <row r="678" ht="15.75" customHeight="1" s="174">
      <c r="A678" s="3" t="n"/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</row>
    <row r="679" ht="15.75" customHeight="1" s="174">
      <c r="A679" s="3" t="n"/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</row>
    <row r="680" ht="15.75" customHeight="1" s="174">
      <c r="A680" s="3" t="n"/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</row>
    <row r="681" ht="15.75" customHeight="1" s="174">
      <c r="A681" s="3" t="n"/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</row>
    <row r="682" ht="15.75" customHeight="1" s="174">
      <c r="A682" s="3" t="n"/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</row>
    <row r="683" ht="15.75" customHeight="1" s="174">
      <c r="A683" s="3" t="n"/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</row>
    <row r="684" ht="15.75" customHeight="1" s="174">
      <c r="A684" s="3" t="n"/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</row>
    <row r="685" ht="15.75" customHeight="1" s="174">
      <c r="A685" s="3" t="n"/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</row>
    <row r="686" ht="15.75" customHeight="1" s="174">
      <c r="A686" s="3" t="n"/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</row>
    <row r="687" ht="15.75" customHeight="1" s="174">
      <c r="A687" s="3" t="n"/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</row>
    <row r="688" ht="15.75" customHeight="1" s="174">
      <c r="A688" s="3" t="n"/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</row>
    <row r="689" ht="15.75" customHeight="1" s="174">
      <c r="A689" s="3" t="n"/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</row>
    <row r="690" ht="15.75" customHeight="1" s="174">
      <c r="A690" s="3" t="n"/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</row>
    <row r="691" ht="15.75" customHeight="1" s="174">
      <c r="A691" s="3" t="n"/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</row>
    <row r="692" ht="15.75" customHeight="1" s="174">
      <c r="A692" s="3" t="n"/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</row>
    <row r="693" ht="15.75" customHeight="1" s="174">
      <c r="A693" s="3" t="n"/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</row>
    <row r="694" ht="15.75" customHeight="1" s="174">
      <c r="A694" s="3" t="n"/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</row>
    <row r="695" ht="15.75" customHeight="1" s="174">
      <c r="A695" s="3" t="n"/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</row>
    <row r="696" ht="15.75" customHeight="1" s="174">
      <c r="A696" s="3" t="n"/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</row>
    <row r="697" ht="15.75" customHeight="1" s="174">
      <c r="A697" s="3" t="n"/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</row>
    <row r="698" ht="15.75" customHeight="1" s="174">
      <c r="A698" s="3" t="n"/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</row>
    <row r="699" ht="15.75" customHeight="1" s="174">
      <c r="A699" s="3" t="n"/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</row>
    <row r="700" ht="15.75" customHeight="1" s="174">
      <c r="A700" s="3" t="n"/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</row>
    <row r="701" ht="15.75" customHeight="1" s="174">
      <c r="A701" s="3" t="n"/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</row>
    <row r="702" ht="15.75" customHeight="1" s="174">
      <c r="A702" s="3" t="n"/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</row>
    <row r="703" ht="15.75" customHeight="1" s="174">
      <c r="A703" s="3" t="n"/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</row>
    <row r="704" ht="15.75" customHeight="1" s="174">
      <c r="A704" s="3" t="n"/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</row>
    <row r="705" ht="15.75" customHeight="1" s="174">
      <c r="A705" s="3" t="n"/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</row>
    <row r="706" ht="15.75" customHeight="1" s="174">
      <c r="A706" s="3" t="n"/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</row>
    <row r="707" ht="15.75" customHeight="1" s="174">
      <c r="A707" s="3" t="n"/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</row>
    <row r="708" ht="15.75" customHeight="1" s="174">
      <c r="A708" s="3" t="n"/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</row>
    <row r="709" ht="15.75" customHeight="1" s="174">
      <c r="A709" s="3" t="n"/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</row>
    <row r="710" ht="15.75" customHeight="1" s="174">
      <c r="A710" s="3" t="n"/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</row>
    <row r="711" ht="15.75" customHeight="1" s="174">
      <c r="A711" s="3" t="n"/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</row>
    <row r="712" ht="15.75" customHeight="1" s="174">
      <c r="A712" s="3" t="n"/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</row>
    <row r="713" ht="15.75" customHeight="1" s="174">
      <c r="A713" s="3" t="n"/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</row>
    <row r="714" ht="15.75" customHeight="1" s="174">
      <c r="A714" s="3" t="n"/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</row>
    <row r="715" ht="15.75" customHeight="1" s="174">
      <c r="A715" s="3" t="n"/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</row>
    <row r="716" ht="15.75" customHeight="1" s="174">
      <c r="A716" s="3" t="n"/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</row>
    <row r="717" ht="15.75" customHeight="1" s="174">
      <c r="A717" s="3" t="n"/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</row>
    <row r="718" ht="15.75" customHeight="1" s="174">
      <c r="A718" s="3" t="n"/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</row>
    <row r="719" ht="15.75" customHeight="1" s="174">
      <c r="A719" s="3" t="n"/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</row>
    <row r="720" ht="15.75" customHeight="1" s="174">
      <c r="A720" s="3" t="n"/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</row>
    <row r="721" ht="15.75" customHeight="1" s="174">
      <c r="A721" s="3" t="n"/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</row>
    <row r="722" ht="15.75" customHeight="1" s="174">
      <c r="A722" s="3" t="n"/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</row>
    <row r="723" ht="15.75" customHeight="1" s="174">
      <c r="A723" s="3" t="n"/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</row>
    <row r="724" ht="15.75" customHeight="1" s="174">
      <c r="A724" s="3" t="n"/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</row>
    <row r="725" ht="15.75" customHeight="1" s="174">
      <c r="A725" s="3" t="n"/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</row>
    <row r="726" ht="15.75" customHeight="1" s="174">
      <c r="A726" s="3" t="n"/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</row>
    <row r="727" ht="15.75" customHeight="1" s="174">
      <c r="A727" s="3" t="n"/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</row>
    <row r="728" ht="15.75" customHeight="1" s="174">
      <c r="A728" s="3" t="n"/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</row>
    <row r="729" ht="15.75" customHeight="1" s="174">
      <c r="A729" s="3" t="n"/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</row>
    <row r="730" ht="15.75" customHeight="1" s="174">
      <c r="A730" s="3" t="n"/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</row>
    <row r="731" ht="15.75" customHeight="1" s="174">
      <c r="A731" s="3" t="n"/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</row>
    <row r="732" ht="15.75" customHeight="1" s="174">
      <c r="A732" s="3" t="n"/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</row>
    <row r="733" ht="15.75" customHeight="1" s="174">
      <c r="A733" s="3" t="n"/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</row>
    <row r="734" ht="15.75" customHeight="1" s="174">
      <c r="A734" s="3" t="n"/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</row>
    <row r="735" ht="15.75" customHeight="1" s="174">
      <c r="A735" s="3" t="n"/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</row>
    <row r="736" ht="15.75" customHeight="1" s="174">
      <c r="A736" s="3" t="n"/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</row>
    <row r="737" ht="15.75" customHeight="1" s="174">
      <c r="A737" s="3" t="n"/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</row>
    <row r="738" ht="15.75" customHeight="1" s="174">
      <c r="A738" s="3" t="n"/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</row>
    <row r="739" ht="15.75" customHeight="1" s="174">
      <c r="A739" s="3" t="n"/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</row>
    <row r="740" ht="15.75" customHeight="1" s="174">
      <c r="A740" s="3" t="n"/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</row>
    <row r="741" ht="15.75" customHeight="1" s="174">
      <c r="A741" s="3" t="n"/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</row>
    <row r="742" ht="15.75" customHeight="1" s="174">
      <c r="A742" s="3" t="n"/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</row>
    <row r="743" ht="15.75" customHeight="1" s="174">
      <c r="A743" s="3" t="n"/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</row>
    <row r="744" ht="15.75" customHeight="1" s="174">
      <c r="A744" s="3" t="n"/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</row>
    <row r="745" ht="15.75" customHeight="1" s="174">
      <c r="A745" s="3" t="n"/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</row>
    <row r="746" ht="15.75" customHeight="1" s="174">
      <c r="A746" s="3" t="n"/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</row>
    <row r="747" ht="15.75" customHeight="1" s="174">
      <c r="A747" s="3" t="n"/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</row>
    <row r="748" ht="15.75" customHeight="1" s="174">
      <c r="A748" s="3" t="n"/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</row>
    <row r="749" ht="15.75" customHeight="1" s="174">
      <c r="A749" s="3" t="n"/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</row>
    <row r="750" ht="15.75" customHeight="1" s="174">
      <c r="A750" s="3" t="n"/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</row>
    <row r="751" ht="15.75" customHeight="1" s="174">
      <c r="A751" s="3" t="n"/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</row>
    <row r="752" ht="15.75" customHeight="1" s="174">
      <c r="A752" s="3" t="n"/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</row>
    <row r="753" ht="15.75" customHeight="1" s="174">
      <c r="A753" s="3" t="n"/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</row>
    <row r="754" ht="15.75" customHeight="1" s="174">
      <c r="A754" s="3" t="n"/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</row>
    <row r="755" ht="15.75" customHeight="1" s="174">
      <c r="A755" s="3" t="n"/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</row>
    <row r="756" ht="15.75" customHeight="1" s="174">
      <c r="A756" s="3" t="n"/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</row>
    <row r="757" ht="15.75" customHeight="1" s="174">
      <c r="A757" s="3" t="n"/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</row>
    <row r="758" ht="15.75" customHeight="1" s="174">
      <c r="A758" s="3" t="n"/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</row>
    <row r="759" ht="15.75" customHeight="1" s="174">
      <c r="A759" s="3" t="n"/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</row>
    <row r="760" ht="15.75" customHeight="1" s="174">
      <c r="A760" s="3" t="n"/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</row>
    <row r="761" ht="15.75" customHeight="1" s="174">
      <c r="A761" s="3" t="n"/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</row>
    <row r="762" ht="15.75" customHeight="1" s="174">
      <c r="A762" s="3" t="n"/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</row>
    <row r="763" ht="15.75" customHeight="1" s="174">
      <c r="A763" s="3" t="n"/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</row>
    <row r="764" ht="15.75" customHeight="1" s="174">
      <c r="A764" s="3" t="n"/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</row>
    <row r="765" ht="15.75" customHeight="1" s="174">
      <c r="A765" s="3" t="n"/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</row>
    <row r="766" ht="15.75" customHeight="1" s="174">
      <c r="A766" s="3" t="n"/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</row>
    <row r="767" ht="15.75" customHeight="1" s="174">
      <c r="A767" s="3" t="n"/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</row>
    <row r="768" ht="15.75" customHeight="1" s="174">
      <c r="A768" s="3" t="n"/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</row>
    <row r="769" ht="15.75" customHeight="1" s="174">
      <c r="A769" s="3" t="n"/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</row>
    <row r="770" ht="15.75" customHeight="1" s="174">
      <c r="A770" s="3" t="n"/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</row>
    <row r="771" ht="15.75" customHeight="1" s="174">
      <c r="A771" s="3" t="n"/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</row>
    <row r="772" ht="15.75" customHeight="1" s="174">
      <c r="A772" s="3" t="n"/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</row>
    <row r="773" ht="15.75" customHeight="1" s="174">
      <c r="A773" s="3" t="n"/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</row>
    <row r="774" ht="15.75" customHeight="1" s="174">
      <c r="A774" s="3" t="n"/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</row>
    <row r="775" ht="15.75" customHeight="1" s="174">
      <c r="A775" s="3" t="n"/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</row>
    <row r="776" ht="15.75" customHeight="1" s="174">
      <c r="A776" s="3" t="n"/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</row>
    <row r="777" ht="15.75" customHeight="1" s="174">
      <c r="A777" s="3" t="n"/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</row>
    <row r="778" ht="15.75" customHeight="1" s="174">
      <c r="A778" s="3" t="n"/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</row>
    <row r="779" ht="15.75" customHeight="1" s="174">
      <c r="A779" s="3" t="n"/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</row>
    <row r="780" ht="15.75" customHeight="1" s="174">
      <c r="A780" s="3" t="n"/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</row>
    <row r="781" ht="15.75" customHeight="1" s="174">
      <c r="A781" s="3" t="n"/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</row>
    <row r="782" ht="15.75" customHeight="1" s="174">
      <c r="A782" s="3" t="n"/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</row>
    <row r="783" ht="15.75" customHeight="1" s="174">
      <c r="A783" s="3" t="n"/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</row>
    <row r="784" ht="15.75" customHeight="1" s="174">
      <c r="A784" s="3" t="n"/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</row>
    <row r="785" ht="15.75" customHeight="1" s="174">
      <c r="A785" s="3" t="n"/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</row>
    <row r="786" ht="15.75" customHeight="1" s="174">
      <c r="A786" s="3" t="n"/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</row>
    <row r="787" ht="15.75" customHeight="1" s="174">
      <c r="A787" s="3" t="n"/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</row>
    <row r="788" ht="15.75" customHeight="1" s="174">
      <c r="A788" s="3" t="n"/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</row>
    <row r="789" ht="15.75" customHeight="1" s="174">
      <c r="A789" s="3" t="n"/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</row>
    <row r="790" ht="15.75" customHeight="1" s="174">
      <c r="A790" s="3" t="n"/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</row>
    <row r="791" ht="15.75" customHeight="1" s="174">
      <c r="A791" s="3" t="n"/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</row>
    <row r="792" ht="15.75" customHeight="1" s="174">
      <c r="A792" s="3" t="n"/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</row>
    <row r="793" ht="15.75" customHeight="1" s="174">
      <c r="A793" s="3" t="n"/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</row>
    <row r="794" ht="15.75" customHeight="1" s="174">
      <c r="A794" s="3" t="n"/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</row>
    <row r="795" ht="15.75" customHeight="1" s="174">
      <c r="A795" s="3" t="n"/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</row>
    <row r="796" ht="15.75" customHeight="1" s="174">
      <c r="A796" s="3" t="n"/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</row>
    <row r="797" ht="15.75" customHeight="1" s="174">
      <c r="A797" s="3" t="n"/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</row>
    <row r="798" ht="15.75" customHeight="1" s="174">
      <c r="A798" s="3" t="n"/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</row>
    <row r="799" ht="15.75" customHeight="1" s="174">
      <c r="A799" s="3" t="n"/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</row>
    <row r="800" ht="15.75" customHeight="1" s="174">
      <c r="A800" s="3" t="n"/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</row>
    <row r="801" ht="15.75" customHeight="1" s="174">
      <c r="A801" s="3" t="n"/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</row>
    <row r="802" ht="15.75" customHeight="1" s="174">
      <c r="A802" s="3" t="n"/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</row>
    <row r="803" ht="15.75" customHeight="1" s="174">
      <c r="A803" s="3" t="n"/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</row>
    <row r="804" ht="15.75" customHeight="1" s="174">
      <c r="A804" s="3" t="n"/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</row>
    <row r="805" ht="15.75" customHeight="1" s="174">
      <c r="A805" s="3" t="n"/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</row>
    <row r="806" ht="15.75" customHeight="1" s="174">
      <c r="A806" s="3" t="n"/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</row>
    <row r="807" ht="15.75" customHeight="1" s="174">
      <c r="A807" s="3" t="n"/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</row>
    <row r="808" ht="15.75" customHeight="1" s="174">
      <c r="A808" s="3" t="n"/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</row>
    <row r="809" ht="15.75" customHeight="1" s="174">
      <c r="A809" s="3" t="n"/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</row>
    <row r="810" ht="15.75" customHeight="1" s="174">
      <c r="A810" s="3" t="n"/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</row>
    <row r="811" ht="15.75" customHeight="1" s="174">
      <c r="A811" s="3" t="n"/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</row>
    <row r="812" ht="15.75" customHeight="1" s="174">
      <c r="A812" s="3" t="n"/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</row>
    <row r="813" ht="15.75" customHeight="1" s="174">
      <c r="A813" s="3" t="n"/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</row>
    <row r="814" ht="15.75" customHeight="1" s="174">
      <c r="A814" s="3" t="n"/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</row>
    <row r="815" ht="15.75" customHeight="1" s="174">
      <c r="A815" s="3" t="n"/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</row>
    <row r="816" ht="15.75" customHeight="1" s="174">
      <c r="A816" s="3" t="n"/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</row>
    <row r="817" ht="15.75" customHeight="1" s="174">
      <c r="A817" s="3" t="n"/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</row>
    <row r="818" ht="15.75" customHeight="1" s="174">
      <c r="A818" s="3" t="n"/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</row>
    <row r="819" ht="15.75" customHeight="1" s="174">
      <c r="A819" s="3" t="n"/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</row>
    <row r="820" ht="15.75" customHeight="1" s="174">
      <c r="A820" s="3" t="n"/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</row>
    <row r="821" ht="15.75" customHeight="1" s="174">
      <c r="A821" s="3" t="n"/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</row>
    <row r="822" ht="15.75" customHeight="1" s="174">
      <c r="A822" s="3" t="n"/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</row>
    <row r="823" ht="15.75" customHeight="1" s="174">
      <c r="A823" s="3" t="n"/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</row>
    <row r="824" ht="15.75" customHeight="1" s="174">
      <c r="A824" s="3" t="n"/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</row>
    <row r="825" ht="15.75" customHeight="1" s="174">
      <c r="A825" s="3" t="n"/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</row>
    <row r="826" ht="15.75" customHeight="1" s="174">
      <c r="A826" s="3" t="n"/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</row>
    <row r="827" ht="15.75" customHeight="1" s="174">
      <c r="A827" s="3" t="n"/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</row>
    <row r="828" ht="15.75" customHeight="1" s="174">
      <c r="A828" s="3" t="n"/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</row>
    <row r="829" ht="15.75" customHeight="1" s="174">
      <c r="A829" s="3" t="n"/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</row>
    <row r="830" ht="15.75" customHeight="1" s="174">
      <c r="A830" s="3" t="n"/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</row>
    <row r="831" ht="15.75" customHeight="1" s="174">
      <c r="A831" s="3" t="n"/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</row>
    <row r="832" ht="15.75" customHeight="1" s="174">
      <c r="A832" s="3" t="n"/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</row>
    <row r="833" ht="15.75" customHeight="1" s="174">
      <c r="A833" s="3" t="n"/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</row>
    <row r="834" ht="15.75" customHeight="1" s="174">
      <c r="A834" s="3" t="n"/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</row>
    <row r="835" ht="15.75" customHeight="1" s="174">
      <c r="A835" s="3" t="n"/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</row>
    <row r="836" ht="15.75" customHeight="1" s="174">
      <c r="A836" s="3" t="n"/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</row>
    <row r="837" ht="15.75" customHeight="1" s="174">
      <c r="A837" s="3" t="n"/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</row>
    <row r="838" ht="15.75" customHeight="1" s="174">
      <c r="A838" s="3" t="n"/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</row>
    <row r="839" ht="15.75" customHeight="1" s="174">
      <c r="A839" s="3" t="n"/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</row>
    <row r="840" ht="15.75" customHeight="1" s="174">
      <c r="A840" s="3" t="n"/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</row>
    <row r="841" ht="15.75" customHeight="1" s="174">
      <c r="A841" s="3" t="n"/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</row>
    <row r="842" ht="15.75" customHeight="1" s="174">
      <c r="A842" s="3" t="n"/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</row>
    <row r="843" ht="15.75" customHeight="1" s="174">
      <c r="A843" s="3" t="n"/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</row>
    <row r="844" ht="15.75" customHeight="1" s="174">
      <c r="A844" s="3" t="n"/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</row>
    <row r="845" ht="15.75" customHeight="1" s="174">
      <c r="A845" s="3" t="n"/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</row>
    <row r="846" ht="15.75" customHeight="1" s="174">
      <c r="A846" s="3" t="n"/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</row>
    <row r="847" ht="15.75" customHeight="1" s="174">
      <c r="A847" s="3" t="n"/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</row>
    <row r="848" ht="15.75" customHeight="1" s="174">
      <c r="A848" s="3" t="n"/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</row>
    <row r="849" ht="15.75" customHeight="1" s="174">
      <c r="A849" s="3" t="n"/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</row>
    <row r="850" ht="15.75" customHeight="1" s="174">
      <c r="A850" s="3" t="n"/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</row>
    <row r="851" ht="15.75" customHeight="1" s="174">
      <c r="A851" s="3" t="n"/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</row>
    <row r="852" ht="15.75" customHeight="1" s="174">
      <c r="A852" s="3" t="n"/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</row>
    <row r="853" ht="15.75" customHeight="1" s="174">
      <c r="A853" s="3" t="n"/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</row>
    <row r="854" ht="15.75" customHeight="1" s="174">
      <c r="A854" s="3" t="n"/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</row>
    <row r="855" ht="15.75" customHeight="1" s="174">
      <c r="A855" s="3" t="n"/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</row>
    <row r="856" ht="15.75" customHeight="1" s="174">
      <c r="A856" s="3" t="n"/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</row>
    <row r="857" ht="15.75" customHeight="1" s="174">
      <c r="A857" s="3" t="n"/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</row>
    <row r="858" ht="15.75" customHeight="1" s="174">
      <c r="A858" s="3" t="n"/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</row>
    <row r="859" ht="15.75" customHeight="1" s="174">
      <c r="A859" s="3" t="n"/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</row>
    <row r="860" ht="15.75" customHeight="1" s="174">
      <c r="A860" s="3" t="n"/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</row>
    <row r="861" ht="15.75" customHeight="1" s="174">
      <c r="A861" s="3" t="n"/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</row>
    <row r="862" ht="15.75" customHeight="1" s="174">
      <c r="A862" s="3" t="n"/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</row>
    <row r="863" ht="15.75" customHeight="1" s="174">
      <c r="A863" s="3" t="n"/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</row>
    <row r="864" ht="15.75" customHeight="1" s="174">
      <c r="A864" s="3" t="n"/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</row>
    <row r="865" ht="15.75" customHeight="1" s="174">
      <c r="A865" s="3" t="n"/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</row>
    <row r="866" ht="15.75" customHeight="1" s="174">
      <c r="A866" s="3" t="n"/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</row>
    <row r="867" ht="15.75" customHeight="1" s="174">
      <c r="A867" s="3" t="n"/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</row>
    <row r="868" ht="15.75" customHeight="1" s="174">
      <c r="A868" s="3" t="n"/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</row>
    <row r="869" ht="15.75" customHeight="1" s="174">
      <c r="A869" s="3" t="n"/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</row>
    <row r="870" ht="15.75" customHeight="1" s="174">
      <c r="A870" s="3" t="n"/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</row>
    <row r="871" ht="15.75" customHeight="1" s="174">
      <c r="A871" s="3" t="n"/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</row>
    <row r="872" ht="15.75" customHeight="1" s="174">
      <c r="A872" s="3" t="n"/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</row>
    <row r="873" ht="15.75" customHeight="1" s="174">
      <c r="A873" s="3" t="n"/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</row>
    <row r="874" ht="15.75" customHeight="1" s="174">
      <c r="A874" s="3" t="n"/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</row>
    <row r="875" ht="15.75" customHeight="1" s="174">
      <c r="A875" s="3" t="n"/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</row>
    <row r="876" ht="15.75" customHeight="1" s="174">
      <c r="A876" s="3" t="n"/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</row>
    <row r="877" ht="15.75" customHeight="1" s="174">
      <c r="A877" s="3" t="n"/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</row>
    <row r="878" ht="15.75" customHeight="1" s="174">
      <c r="A878" s="3" t="n"/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</row>
    <row r="879" ht="15.75" customHeight="1" s="174">
      <c r="A879" s="3" t="n"/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</row>
    <row r="880" ht="15.75" customHeight="1" s="174">
      <c r="A880" s="3" t="n"/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</row>
    <row r="881" ht="15.75" customHeight="1" s="174">
      <c r="A881" s="3" t="n"/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</row>
    <row r="882" ht="15.75" customHeight="1" s="174">
      <c r="A882" s="3" t="n"/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</row>
    <row r="883" ht="15.75" customHeight="1" s="174">
      <c r="A883" s="3" t="n"/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</row>
    <row r="884" ht="15.75" customHeight="1" s="174">
      <c r="A884" s="3" t="n"/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</row>
    <row r="885" ht="15.75" customHeight="1" s="174">
      <c r="A885" s="3" t="n"/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</row>
    <row r="886" ht="15.75" customHeight="1" s="174">
      <c r="A886" s="3" t="n"/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</row>
    <row r="887" ht="15.75" customHeight="1" s="174">
      <c r="A887" s="3" t="n"/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</row>
    <row r="888" ht="15.75" customHeight="1" s="174">
      <c r="A888" s="3" t="n"/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</row>
    <row r="889" ht="15.75" customHeight="1" s="174">
      <c r="A889" s="3" t="n"/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</row>
    <row r="890" ht="15.75" customHeight="1" s="174">
      <c r="A890" s="3" t="n"/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</row>
    <row r="891" ht="15.75" customHeight="1" s="174">
      <c r="A891" s="3" t="n"/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</row>
    <row r="892" ht="15.75" customHeight="1" s="174">
      <c r="A892" s="3" t="n"/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</row>
    <row r="893" ht="15.75" customHeight="1" s="174">
      <c r="A893" s="3" t="n"/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</row>
    <row r="894" ht="15.75" customHeight="1" s="174">
      <c r="A894" s="3" t="n"/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</row>
    <row r="895" ht="15.75" customHeight="1" s="174">
      <c r="A895" s="3" t="n"/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</row>
    <row r="896" ht="15.75" customHeight="1" s="174">
      <c r="A896" s="3" t="n"/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</row>
    <row r="897" ht="15.75" customHeight="1" s="174">
      <c r="A897" s="3" t="n"/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</row>
    <row r="898" ht="15.75" customHeight="1" s="174">
      <c r="A898" s="3" t="n"/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</row>
    <row r="899" ht="15.75" customHeight="1" s="174">
      <c r="A899" s="3" t="n"/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</row>
    <row r="900" ht="15.75" customHeight="1" s="174">
      <c r="A900" s="3" t="n"/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</row>
    <row r="901" ht="15.75" customHeight="1" s="174">
      <c r="A901" s="3" t="n"/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</row>
    <row r="902" ht="15.75" customHeight="1" s="174">
      <c r="A902" s="3" t="n"/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</row>
    <row r="903" ht="15.75" customHeight="1" s="174">
      <c r="A903" s="3" t="n"/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</row>
    <row r="904" ht="15.75" customHeight="1" s="174">
      <c r="A904" s="3" t="n"/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</row>
    <row r="905" ht="15.75" customHeight="1" s="174">
      <c r="A905" s="3" t="n"/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</row>
    <row r="906" ht="15.75" customHeight="1" s="174">
      <c r="A906" s="3" t="n"/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</row>
    <row r="907" ht="15.75" customHeight="1" s="174">
      <c r="A907" s="3" t="n"/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</row>
    <row r="908" ht="15.75" customHeight="1" s="174">
      <c r="A908" s="3" t="n"/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</row>
    <row r="909" ht="15.75" customHeight="1" s="174">
      <c r="A909" s="3" t="n"/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</row>
    <row r="910" ht="15.75" customHeight="1" s="174">
      <c r="A910" s="3" t="n"/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</row>
    <row r="911" ht="15.75" customHeight="1" s="174">
      <c r="A911" s="3" t="n"/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</row>
    <row r="912" ht="15.75" customHeight="1" s="174">
      <c r="A912" s="3" t="n"/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</row>
    <row r="913" ht="15.75" customHeight="1" s="174">
      <c r="A913" s="3" t="n"/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</row>
    <row r="914" ht="15.75" customHeight="1" s="174">
      <c r="A914" s="3" t="n"/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</row>
    <row r="915" ht="15.75" customHeight="1" s="174">
      <c r="A915" s="3" t="n"/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</row>
    <row r="916" ht="15.75" customHeight="1" s="174">
      <c r="A916" s="3" t="n"/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</row>
    <row r="917" ht="15.75" customHeight="1" s="174">
      <c r="A917" s="3" t="n"/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</row>
    <row r="918" ht="15.75" customHeight="1" s="174">
      <c r="A918" s="3" t="n"/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</row>
    <row r="919" ht="15.75" customHeight="1" s="174">
      <c r="A919" s="3" t="n"/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</row>
    <row r="920" ht="15.75" customHeight="1" s="174">
      <c r="A920" s="3" t="n"/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</row>
    <row r="921" ht="15.75" customHeight="1" s="174">
      <c r="A921" s="3" t="n"/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</row>
    <row r="922" ht="15.75" customHeight="1" s="174">
      <c r="A922" s="3" t="n"/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</row>
    <row r="923" ht="15.75" customHeight="1" s="174">
      <c r="A923" s="3" t="n"/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</row>
    <row r="924" ht="15.75" customHeight="1" s="174">
      <c r="A924" s="3" t="n"/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</row>
    <row r="925" ht="15.75" customHeight="1" s="174">
      <c r="A925" s="3" t="n"/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</row>
    <row r="926" ht="15.75" customHeight="1" s="174">
      <c r="A926" s="3" t="n"/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</row>
    <row r="927" ht="15.75" customHeight="1" s="174">
      <c r="A927" s="3" t="n"/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</row>
    <row r="928" ht="15.75" customHeight="1" s="174">
      <c r="A928" s="3" t="n"/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</row>
    <row r="929" ht="15.75" customHeight="1" s="174">
      <c r="A929" s="3" t="n"/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</row>
    <row r="930" ht="15.75" customHeight="1" s="174">
      <c r="A930" s="3" t="n"/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</row>
    <row r="931" ht="15.75" customHeight="1" s="174">
      <c r="A931" s="3" t="n"/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</row>
    <row r="932" ht="15.75" customHeight="1" s="174">
      <c r="A932" s="3" t="n"/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</row>
    <row r="933" ht="15.75" customHeight="1" s="174">
      <c r="A933" s="3" t="n"/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</row>
    <row r="934" ht="15.75" customHeight="1" s="174">
      <c r="A934" s="3" t="n"/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</row>
    <row r="935" ht="15.75" customHeight="1" s="174">
      <c r="A935" s="3" t="n"/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</row>
    <row r="936" ht="15.75" customHeight="1" s="174">
      <c r="A936" s="3" t="n"/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</row>
    <row r="937" ht="15.75" customHeight="1" s="174">
      <c r="A937" s="3" t="n"/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</row>
    <row r="938" ht="15.75" customHeight="1" s="174">
      <c r="A938" s="3" t="n"/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</row>
    <row r="939" ht="15.75" customHeight="1" s="174">
      <c r="A939" s="3" t="n"/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</row>
    <row r="940" ht="15.75" customHeight="1" s="174">
      <c r="A940" s="3" t="n"/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</row>
    <row r="941" ht="15.75" customHeight="1" s="174">
      <c r="A941" s="3" t="n"/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</row>
    <row r="942" ht="15.75" customHeight="1" s="174">
      <c r="A942" s="3" t="n"/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</row>
    <row r="943" ht="15.75" customHeight="1" s="174">
      <c r="A943" s="3" t="n"/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</row>
    <row r="944" ht="15.75" customHeight="1" s="174">
      <c r="A944" s="3" t="n"/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</row>
    <row r="945" ht="15.75" customHeight="1" s="174">
      <c r="A945" s="3" t="n"/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</row>
    <row r="946" ht="15.75" customHeight="1" s="174">
      <c r="A946" s="3" t="n"/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</row>
    <row r="947" ht="15.75" customHeight="1" s="174">
      <c r="A947" s="3" t="n"/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</row>
    <row r="948" ht="15.75" customHeight="1" s="174">
      <c r="A948" s="3" t="n"/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</row>
    <row r="949" ht="15.75" customHeight="1" s="174">
      <c r="A949" s="3" t="n"/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</row>
    <row r="950" ht="15.75" customHeight="1" s="174">
      <c r="A950" s="3" t="n"/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</row>
    <row r="951" ht="15.75" customHeight="1" s="174">
      <c r="A951" s="3" t="n"/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</row>
    <row r="952" ht="15.75" customHeight="1" s="174">
      <c r="A952" s="3" t="n"/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</row>
    <row r="953" ht="15.75" customHeight="1" s="174">
      <c r="A953" s="3" t="n"/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</row>
    <row r="954" ht="15.75" customHeight="1" s="174">
      <c r="A954" s="3" t="n"/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</row>
    <row r="955" ht="15.75" customHeight="1" s="174">
      <c r="A955" s="3" t="n"/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</row>
    <row r="956" ht="15.75" customHeight="1" s="174">
      <c r="A956" s="3" t="n"/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</row>
    <row r="957" ht="15.75" customHeight="1" s="174">
      <c r="A957" s="3" t="n"/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</row>
    <row r="958" ht="15.75" customHeight="1" s="174">
      <c r="A958" s="3" t="n"/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</row>
    <row r="959" ht="15.75" customHeight="1" s="174">
      <c r="A959" s="3" t="n"/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</row>
    <row r="960" ht="15.75" customHeight="1" s="174">
      <c r="A960" s="3" t="n"/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</row>
    <row r="961" ht="15.75" customHeight="1" s="174">
      <c r="A961" s="3" t="n"/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</row>
    <row r="962" ht="15.75" customHeight="1" s="174">
      <c r="A962" s="3" t="n"/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</row>
    <row r="963" ht="15.75" customHeight="1" s="174">
      <c r="A963" s="3" t="n"/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</row>
    <row r="964" ht="15.75" customHeight="1" s="174">
      <c r="A964" s="3" t="n"/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</row>
    <row r="965" ht="15.75" customHeight="1" s="174">
      <c r="A965" s="3" t="n"/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</row>
    <row r="966" ht="15.75" customHeight="1" s="174">
      <c r="A966" s="3" t="n"/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</row>
    <row r="967" ht="15.75" customHeight="1" s="174">
      <c r="A967" s="3" t="n"/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</row>
    <row r="968" ht="15.75" customHeight="1" s="174">
      <c r="A968" s="3" t="n"/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</row>
    <row r="969" ht="15.75" customHeight="1" s="174">
      <c r="A969" s="3" t="n"/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</row>
    <row r="970" ht="15.75" customHeight="1" s="174">
      <c r="A970" s="3" t="n"/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</row>
    <row r="971" ht="15.75" customHeight="1" s="174">
      <c r="A971" s="3" t="n"/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  <c r="Z971" s="3" t="n"/>
    </row>
    <row r="972" ht="15.75" customHeight="1" s="174">
      <c r="A972" s="3" t="n"/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</row>
    <row r="973" ht="15.75" customHeight="1" s="174">
      <c r="A973" s="3" t="n"/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  <c r="Z973" s="3" t="n"/>
    </row>
    <row r="974" ht="15.75" customHeight="1" s="174">
      <c r="A974" s="3" t="n"/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</row>
    <row r="975" ht="15.75" customHeight="1" s="174">
      <c r="A975" s="3" t="n"/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</row>
    <row r="976" ht="15.75" customHeight="1" s="174">
      <c r="A976" s="3" t="n"/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</row>
    <row r="977" ht="15.75" customHeight="1" s="174">
      <c r="A977" s="3" t="n"/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  <c r="Z977" s="3" t="n"/>
    </row>
    <row r="978" ht="15.75" customHeight="1" s="174">
      <c r="A978" s="3" t="n"/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  <c r="Z978" s="3" t="n"/>
    </row>
    <row r="979" ht="15.75" customHeight="1" s="174">
      <c r="A979" s="3" t="n"/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  <c r="Z979" s="3" t="n"/>
    </row>
    <row r="980" ht="15.75" customHeight="1" s="174">
      <c r="A980" s="3" t="n"/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</row>
    <row r="981" ht="15.75" customHeight="1" s="174">
      <c r="A981" s="3" t="n"/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  <c r="Z981" s="3" t="n"/>
    </row>
    <row r="982" ht="15.75" customHeight="1" s="174">
      <c r="A982" s="3" t="n"/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</row>
    <row r="983" ht="15.75" customHeight="1" s="174">
      <c r="A983" s="3" t="n"/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  <c r="Z983" s="3" t="n"/>
    </row>
    <row r="984" ht="15.75" customHeight="1" s="174">
      <c r="A984" s="3" t="n"/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</row>
    <row r="985" ht="15.75" customHeight="1" s="174">
      <c r="A985" s="3" t="n"/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  <c r="Z985" s="3" t="n"/>
    </row>
    <row r="986" ht="15.75" customHeight="1" s="174">
      <c r="A986" s="3" t="n"/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</row>
    <row r="987" ht="15.75" customHeight="1" s="174">
      <c r="A987" s="3" t="n"/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</row>
    <row r="988" ht="15.75" customHeight="1" s="174">
      <c r="A988" s="3" t="n"/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</row>
    <row r="989" ht="15.75" customHeight="1" s="174">
      <c r="A989" s="3" t="n"/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</row>
    <row r="990" ht="15.75" customHeight="1" s="174">
      <c r="A990" s="3" t="n"/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</row>
    <row r="991" ht="15.75" customHeight="1" s="174">
      <c r="A991" s="3" t="n"/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</row>
    <row r="992" ht="15.75" customHeight="1" s="174">
      <c r="A992" s="3" t="n"/>
      <c r="B992" s="3" t="n"/>
      <c r="C992" s="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  <c r="Z992" s="3" t="n"/>
    </row>
    <row r="993" ht="15.75" customHeight="1" s="174">
      <c r="A993" s="3" t="n"/>
      <c r="B993" s="3" t="n"/>
      <c r="C993" s="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  <c r="Z993" s="3" t="n"/>
    </row>
    <row r="994" ht="15.75" customHeight="1" s="174">
      <c r="A994" s="3" t="n"/>
      <c r="B994" s="3" t="n"/>
      <c r="C994" s="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  <c r="Z994" s="3" t="n"/>
    </row>
    <row r="995" ht="15.75" customHeight="1" s="174">
      <c r="A995" s="3" t="n"/>
      <c r="B995" s="3" t="n"/>
      <c r="C995" s="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  <c r="Z995" s="3" t="n"/>
    </row>
    <row r="996" ht="15.75" customHeight="1" s="174">
      <c r="A996" s="3" t="n"/>
      <c r="B996" s="3" t="n"/>
      <c r="C996" s="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  <c r="Z996" s="3" t="n"/>
    </row>
    <row r="997" ht="15.75" customHeight="1" s="174">
      <c r="A997" s="3" t="n"/>
      <c r="B997" s="3" t="n"/>
      <c r="C997" s="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  <c r="Z997" s="3" t="n"/>
    </row>
    <row r="998" ht="15.75" customHeight="1" s="174">
      <c r="A998" s="3" t="n"/>
      <c r="B998" s="3" t="n"/>
      <c r="C998" s="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  <c r="Z998" s="3" t="n"/>
    </row>
    <row r="999" ht="15.75" customHeight="1" s="174">
      <c r="A999" s="3" t="n"/>
      <c r="B999" s="3" t="n"/>
      <c r="C999" s="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  <c r="S999" s="3" t="n"/>
      <c r="T999" s="3" t="n"/>
      <c r="U999" s="3" t="n"/>
      <c r="V999" s="3" t="n"/>
      <c r="W999" s="3" t="n"/>
      <c r="X999" s="3" t="n"/>
      <c r="Y999" s="3" t="n"/>
      <c r="Z999" s="3" t="n"/>
    </row>
    <row r="1000" ht="15.75" customHeight="1" s="174">
      <c r="A1000" s="3" t="n"/>
      <c r="B1000" s="3" t="n"/>
      <c r="C1000" s="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  <c r="P1000" s="3" t="n"/>
      <c r="Q1000" s="3" t="n"/>
      <c r="R1000" s="3" t="n"/>
      <c r="S1000" s="3" t="n"/>
      <c r="T1000" s="3" t="n"/>
      <c r="U1000" s="3" t="n"/>
      <c r="V1000" s="3" t="n"/>
      <c r="W1000" s="3" t="n"/>
      <c r="X1000" s="3" t="n"/>
      <c r="Y1000" s="3" t="n"/>
      <c r="Z1000" s="3" t="n"/>
    </row>
  </sheetData>
  <pageMargins left="0.75" right="0.75" top="1" bottom="1" header="0" footer="0"/>
  <pageSetup orientation="portrait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2026-09-09T18:14:12Z</dcterms:created>
  <dcterms:modified xmlns:dcterms="http://purl.org/dc/terms/" xmlns:xsi="http://www.w3.org/2001/XMLSchema-instance" xsi:type="dcterms:W3CDTF">2026-09-09T18:14:14Z</dcterms:modified>
</cp:coreProperties>
</file>