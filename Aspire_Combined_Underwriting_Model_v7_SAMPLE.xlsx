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" sheetId="1" state="visible" r:id="rId1"/>
    <sheet xmlns:r="http://schemas.openxmlformats.org/officeDocument/2006/relationships" name="Historical Score" sheetId="2" state="visible" r:id="rId2"/>
    <sheet xmlns:r="http://schemas.openxmlformats.org/officeDocument/2006/relationships" name="Comparable Deals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f" sheetId="6" state="visible" r:id="rId6"/>
  </sheets>
  <definedNames>
    <definedName name="D26D33" hidden="0" function="0" vbProcedure="0">#REF!</definedName>
    <definedName name="_xlnm._FilterDatabase" localSheetId="2" hidden="1">'Comparable Deals'!$A$4:$V$12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\$#,##0"/>
    <numFmt numFmtId="165" formatCode="\$#,##0.00"/>
    <numFmt numFmtId="166" formatCode="0.0%"/>
    <numFmt numFmtId="167" formatCode="0.0"/>
    <numFmt numFmtId="168" formatCode="0.000"/>
    <numFmt numFmtId="169" formatCode="m/d/yyyy"/>
    <numFmt numFmtId="170" formatCode="mm/dd/yyyy"/>
    <numFmt numFmtId="171" formatCode="0.0000"/>
  </numFmts>
  <fonts count="23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5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3"/>
    </font>
    <font>
      <name val="Calibri"/>
      <charset val="1"/>
      <family val="0"/>
      <i val="1"/>
      <color rgb="FF374151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theme="1"/>
      <sz val="12"/>
    </font>
    <font>
      <name val="Calibri"/>
      <charset val="1"/>
      <family val="0"/>
      <b val="1"/>
      <sz val="12"/>
    </font>
    <font>
      <name val="Calibri"/>
      <charset val="1"/>
      <family val="0"/>
      <sz val="11"/>
    </font>
    <font>
      <name val="Calibri"/>
      <charset val="1"/>
      <family val="0"/>
      <color rgb="FF374151"/>
      <sz val="9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374151"/>
      <sz val="11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i val="1"/>
      <color rgb="FF374151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sz val="13"/>
    </font>
    <font>
      <name val="Calibri"/>
      <charset val="1"/>
      <family val="0"/>
      <b val="1"/>
      <sz val="9"/>
    </font>
    <font>
      <name val="Calibri"/>
      <charset val="1"/>
      <family val="0"/>
      <i val="1"/>
      <color rgb="FF374151"/>
      <sz val="10"/>
    </font>
    <font>
      <name val="Calibri"/>
      <charset val="1"/>
      <family val="0"/>
      <b val="1"/>
      <color theme="1"/>
      <sz val="14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E5E7E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</fills>
  <borders count="2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/>
      <right style="medium"/>
      <top style="medium"/>
      <bottom style="medium"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 style="medium">
        <color rgb="FF374151"/>
      </left>
      <right/>
      <top style="medium">
        <color rgb="FF374151"/>
      </top>
      <bottom/>
      <diagonal/>
    </border>
    <border>
      <left/>
      <right/>
      <top style="thin"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 style="thick"/>
      <right style="thin">
        <color rgb="FF9CA3AF"/>
      </right>
      <top style="thick"/>
      <bottom style="thick"/>
      <diagonal/>
    </border>
    <border>
      <left style="thin">
        <color rgb="FF9CA3AF"/>
      </left>
      <right style="thick"/>
      <top style="thick"/>
      <bottom style="thick"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/>
      <top style="medium">
        <color rgb="FF374151"/>
      </top>
      <bottom/>
      <diagonal/>
    </border>
    <border>
      <left/>
      <right style="medium">
        <color rgb="FF374151"/>
      </right>
      <top style="medium">
        <color rgb="FF374151"/>
      </top>
      <bottom/>
      <diagonal/>
    </border>
    <border>
      <left/>
      <right/>
      <top style="medium">
        <color rgb="FF374151"/>
      </top>
      <bottom style="medium">
        <color rgb="FF374151"/>
      </bottom>
      <diagonal/>
    </border>
    <border>
      <left/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0" fontId="0" fillId="0" borderId="15" pivotButton="0" quotePrefix="0" xfId="0"/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0" fontId="0" fillId="0" borderId="18" pivotButton="0" quotePrefix="0" xfId="0"/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0" fillId="0" borderId="19" pivotButton="0" quotePrefix="0" xfId="0"/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M8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2" customWidth="1" style="159" min="1" max="1"/>
    <col width="37.14" customWidth="1" style="159" min="2" max="2"/>
    <col width="17.29" customWidth="1" style="159" min="3" max="4"/>
    <col width="13" customWidth="1" style="159" min="5" max="5"/>
    <col width="12" customWidth="1" style="159" min="6" max="6"/>
    <col width="13" customWidth="1" style="159" min="7" max="8"/>
    <col width="11.86" customWidth="1" style="159" min="9" max="9"/>
    <col width="27" customWidth="1" style="159" min="10" max="10"/>
    <col width="26" customWidth="1" style="159" min="11" max="13"/>
  </cols>
  <sheetData>
    <row r="1" ht="18" customHeight="1" s="160">
      <c r="B1" s="161" t="inlineStr">
        <is>
          <t xml:space="preserve"> UNDERWRITING TOOL</t>
        </is>
      </c>
    </row>
    <row r="2" ht="15.75" customHeight="1" s="160">
      <c r="B2" s="162" t="inlineStr">
        <is>
          <t>DECISION</t>
        </is>
      </c>
      <c r="C2" s="163">
        <f>C62</f>
        <v/>
      </c>
      <c r="D2" s="164" t="n"/>
    </row>
    <row r="3" ht="15" customHeight="1" s="160">
      <c r="B3" s="164" t="n"/>
    </row>
    <row r="4" ht="15" customHeight="1" s="160">
      <c r="B4" s="165" t="inlineStr">
        <is>
          <t>A.  OFFER</t>
        </is>
      </c>
      <c r="J4" s="165" t="inlineStr">
        <is>
          <t>MONEYBADGER CROSS-CHECK</t>
        </is>
      </c>
    </row>
    <row r="5" ht="15" customHeight="1" s="160">
      <c r="B5" s="166" t="inlineStr">
        <is>
          <t>Fund $</t>
        </is>
      </c>
      <c r="C5" s="166" t="inlineStr">
        <is>
          <t>Factor</t>
        </is>
      </c>
      <c r="D5" s="166">
        <f>IF($E$6="Weekly","Term (weeks)","Term (daily pmts)")</f>
        <v/>
      </c>
      <c r="E5" s="166" t="inlineStr">
        <is>
          <t>Freq</t>
        </is>
      </c>
      <c r="F5" s="166" t="inlineStr">
        <is>
          <t>Fee %</t>
        </is>
      </c>
      <c r="J5" s="166" t="inlineStr">
        <is>
          <t>Metric</t>
        </is>
      </c>
      <c r="K5" s="166" t="inlineStr">
        <is>
          <t>This tool</t>
        </is>
      </c>
      <c r="L5" s="166" t="inlineStr">
        <is>
          <t>MoneyBadger</t>
        </is>
      </c>
      <c r="M5" s="166" t="inlineStr">
        <is>
          <t>Diff</t>
        </is>
      </c>
    </row>
    <row r="6" ht="15" customHeight="1" s="160">
      <c r="B6" s="167" t="n">
        <v>40000</v>
      </c>
      <c r="C6" s="168" t="n">
        <v>1.45</v>
      </c>
      <c r="D6" s="169" t="n">
        <v>24</v>
      </c>
      <c r="E6" s="170" t="inlineStr">
        <is>
          <t>Weekly</t>
        </is>
      </c>
      <c r="F6" s="171" t="n">
        <v>0.05</v>
      </c>
      <c r="J6" s="172">
        <f>IF($E$6="Weekly","Weekly remittance","Daily remittance")</f>
        <v/>
      </c>
      <c r="K6" s="173">
        <f>IF(OR($E$6="",C8="",C24=0),"",IF($E$6="Weekly",D8,C8))</f>
        <v/>
      </c>
      <c r="L6" s="173">
        <f>IF(OR(L7="",C24=0),"",L7*C24/IF($E$6="Weekly",$L$8,$L$9))</f>
        <v/>
      </c>
      <c r="M6" s="174">
        <f>IF(OR(K6="",L6=""),"",L6-K6)</f>
        <v/>
      </c>
    </row>
    <row r="7" ht="15" customHeight="1" s="160">
      <c r="B7" s="166" t="inlineStr">
        <is>
          <t>Payback</t>
        </is>
      </c>
      <c r="C7" s="166" t="inlineStr">
        <is>
          <t>Daily $</t>
        </is>
      </c>
      <c r="D7" s="166" t="inlineStr">
        <is>
          <t>Weekly $</t>
        </is>
      </c>
      <c r="E7" s="166" t="inlineStr">
        <is>
          <t>Monthly $</t>
        </is>
      </c>
      <c r="F7" s="166" t="inlineStr">
        <is>
          <t>Term (mo)</t>
        </is>
      </c>
      <c r="G7" s="166" t="inlineStr">
        <is>
          <t>Net $</t>
        </is>
      </c>
      <c r="J7" s="172" t="inlineStr">
        <is>
          <t>Holdback %</t>
        </is>
      </c>
      <c r="K7" s="175">
        <f>IF(OR(D8="",C24=0),"",E8/C24)</f>
        <v/>
      </c>
      <c r="L7" s="175">
        <f>IF(OR($E$6="",C8="",C24=0),"",ROUND(IF($E$6="Weekly",D8*$L$8,C8*$L$9)/C24*100,2)/100)</f>
        <v/>
      </c>
      <c r="M7" s="176">
        <f>IF(OR(K7="",L7=""),"",L7-K7)</f>
        <v/>
      </c>
    </row>
    <row r="8" ht="15" customHeight="1" s="160">
      <c r="B8" s="177">
        <f>IF(OR(B6="",C6=""),"",B6*C6)</f>
        <v/>
      </c>
      <c r="C8" s="178">
        <f>IF(OR(B8="",D6="",D6=0),"",IF(E6="Weekly",(B8/D6)/5,B8/D6))</f>
        <v/>
      </c>
      <c r="D8" s="178">
        <f>IF(C8="","",C8*5)</f>
        <v/>
      </c>
      <c r="E8" s="177">
        <f>IF(C8="","",C8*$K$9)</f>
        <v/>
      </c>
      <c r="F8" s="179">
        <f>IF(OR(D6="",D6=0),"",IF(E6="Weekly",D6,D6/5)/($K$9/5))</f>
        <v/>
      </c>
      <c r="G8" s="177">
        <f>IF(B6="","",B6-(B6*F6))</f>
        <v/>
      </c>
      <c r="J8" s="172" t="inlineStr">
        <is>
          <t>Weeks / month</t>
        </is>
      </c>
      <c r="K8" s="180" t="n">
        <v>4.331</v>
      </c>
      <c r="L8" s="180" t="n">
        <v>4</v>
      </c>
      <c r="M8" s="181">
        <f>IF(OR(K8="",L8=""),"",L8-K8)</f>
        <v/>
      </c>
    </row>
    <row r="9" ht="15" customHeight="1" s="160">
      <c r="J9" s="172" t="inlineStr">
        <is>
          <t>Days / month</t>
        </is>
      </c>
      <c r="K9" s="180" t="n">
        <v>21.655</v>
      </c>
      <c r="L9" s="180" t="n">
        <v>21</v>
      </c>
      <c r="M9" s="181">
        <f>IF(OR(K9="",L9=""),"",L9-K9)</f>
        <v/>
      </c>
    </row>
    <row r="10" ht="15" customHeight="1" s="160">
      <c r="B10" s="165" t="inlineStr">
        <is>
          <t xml:space="preserve">B.  BANK DATA  </t>
        </is>
      </c>
    </row>
    <row r="11" ht="15" customHeight="1" s="160">
      <c r="B11" s="166" t="inlineStr">
        <is>
          <t>Month - NEWEST FIRST</t>
        </is>
      </c>
      <c r="C11" s="166" t="inlineStr">
        <is>
          <t>True rev $</t>
        </is>
      </c>
      <c r="D11" s="166" t="inlineStr">
        <is>
          <t>Avg daily bal $</t>
        </is>
      </c>
      <c r="E11" s="166" t="inlineStr">
        <is>
          <t>Neg days</t>
        </is>
      </c>
      <c r="F11" s="166" t="inlineStr">
        <is>
          <t>NSFs</t>
        </is>
      </c>
      <c r="G11" s="166" t="inlineStr">
        <is>
          <t>MoM %</t>
        </is>
      </c>
      <c r="J11" s="165" t="inlineStr">
        <is>
          <t xml:space="preserve">DEAL PROFILE  </t>
        </is>
      </c>
    </row>
    <row r="12" ht="15" customHeight="1" s="160">
      <c r="B12" s="182" t="inlineStr">
        <is>
          <t>Aug</t>
        </is>
      </c>
      <c r="C12" s="183" t="n">
        <v>88000</v>
      </c>
      <c r="D12" s="183" t="n">
        <v>7400</v>
      </c>
      <c r="E12" s="184" t="n">
        <v>0</v>
      </c>
      <c r="F12" s="184" t="n">
        <v>0</v>
      </c>
      <c r="G12" s="185">
        <f>IF(OR(C12="",C13=""),"",(C12-C13)/C13)</f>
        <v/>
      </c>
      <c r="J12" s="186" t="inlineStr">
        <is>
          <t>ISO</t>
        </is>
      </c>
      <c r="K12" s="187" t="inlineStr">
        <is>
          <t>Fundwell</t>
        </is>
      </c>
      <c r="L12" s="188">
        <f>IF(K12="","",COUNTIF('Historical Data'!$K$2:$K$9,K12)&amp;" deals in book")</f>
        <v/>
      </c>
      <c r="M12" s="189" t="n"/>
    </row>
    <row r="13" ht="15" customHeight="1" s="160">
      <c r="B13" s="182" t="inlineStr">
        <is>
          <t>Jul</t>
        </is>
      </c>
      <c r="C13" s="183" t="n">
        <v>84000</v>
      </c>
      <c r="D13" s="183" t="n">
        <v>6900</v>
      </c>
      <c r="E13" s="184" t="n">
        <v>0</v>
      </c>
      <c r="F13" s="184" t="n">
        <v>1</v>
      </c>
      <c r="G13" s="185">
        <f>IF(OR(C13="",C14=""),"",(C13-C14)/C14)</f>
        <v/>
      </c>
      <c r="J13" s="190" t="inlineStr">
        <is>
          <t>Industry</t>
        </is>
      </c>
      <c r="K13" s="191" t="inlineStr">
        <is>
          <t>Eating &amp; Drinking Places</t>
        </is>
      </c>
      <c r="L13" s="192">
        <f>IF(K13="","",COUNTIF('Historical Data'!$Y$2:$Y$9,K13)&amp;" deals in book")</f>
        <v/>
      </c>
      <c r="M13" s="193" t="n"/>
    </row>
    <row r="14" ht="15" customHeight="1" s="160">
      <c r="B14" s="182" t="inlineStr">
        <is>
          <t>Jun</t>
        </is>
      </c>
      <c r="C14" s="183" t="n">
        <v>91000</v>
      </c>
      <c r="D14" s="183" t="n">
        <v>8100</v>
      </c>
      <c r="E14" s="184" t="n">
        <v>0</v>
      </c>
      <c r="F14" s="184" t="n">
        <v>0</v>
      </c>
      <c r="G14" s="185">
        <f>IF(OR(C14="",C15=""),"",(C14-C15)/C15)</f>
        <v/>
      </c>
      <c r="J14" s="190" t="inlineStr">
        <is>
          <t>New deal or renewal</t>
        </is>
      </c>
      <c r="K14" s="191" t="inlineStr">
        <is>
          <t>New Deal</t>
        </is>
      </c>
      <c r="L14" s="192" t="n"/>
      <c r="M14" s="193" t="n"/>
    </row>
    <row r="15" ht="15" customHeight="1" s="160">
      <c r="B15" s="182" t="inlineStr">
        <is>
          <t>May</t>
        </is>
      </c>
      <c r="C15" s="183" t="n">
        <v>82000</v>
      </c>
      <c r="D15" s="183" t="n">
        <v>6500</v>
      </c>
      <c r="E15" s="184" t="n">
        <v>1</v>
      </c>
      <c r="F15" s="184" t="n">
        <v>0</v>
      </c>
      <c r="G15" s="185">
        <f>IF(OR(C15="",C16=""),"",(C15-C16)/C16)</f>
        <v/>
      </c>
      <c r="J15" s="194" t="inlineStr">
        <is>
          <t>Credit score</t>
        </is>
      </c>
      <c r="K15" s="195" t="n">
        <v>672</v>
      </c>
      <c r="L15" s="192">
        <f>IF(K15="","",IF(K15&gt;=D45,"GREEN",IF(K15&gt;=E45,"YELLOW","RED")))</f>
        <v/>
      </c>
      <c r="M15" s="193" t="n"/>
    </row>
    <row r="16" ht="15" customHeight="1" s="160">
      <c r="B16" s="182" t="n"/>
      <c r="C16" s="183" t="n"/>
      <c r="D16" s="183" t="n"/>
      <c r="E16" s="184" t="n"/>
      <c r="F16" s="184" t="n"/>
      <c r="G16" s="185">
        <f>IF(OR(C16="",C17=""),"",(C16-C17)/C17)</f>
        <v/>
      </c>
      <c r="J16" s="196" t="n"/>
      <c r="K16" s="197" t="n"/>
      <c r="L16" s="198" t="n"/>
    </row>
    <row r="17" ht="15" customHeight="1" s="160">
      <c r="B17" s="182" t="n"/>
      <c r="C17" s="183" t="n"/>
      <c r="D17" s="183" t="n"/>
      <c r="E17" s="184" t="n"/>
      <c r="F17" s="184" t="n"/>
      <c r="G17" s="185">
        <f>IF(OR(C17="",C18=""),"",(C17-C18)/C18)</f>
        <v/>
      </c>
      <c r="J17" s="199" t="n"/>
      <c r="K17" s="200" t="n"/>
    </row>
    <row r="18" ht="15" customHeight="1" s="160">
      <c r="B18" s="182" t="n"/>
      <c r="C18" s="183" t="n"/>
      <c r="D18" s="183" t="n"/>
      <c r="E18" s="184" t="n"/>
      <c r="F18" s="184" t="n"/>
      <c r="G18" s="185">
        <f>IF(OR(C18="",C19=""),"",(C18-C19)/C19)</f>
        <v/>
      </c>
      <c r="J18" s="201" t="n"/>
    </row>
    <row r="19" ht="15" customHeight="1" s="160">
      <c r="B19" s="182" t="n"/>
      <c r="C19" s="183" t="n"/>
      <c r="D19" s="183" t="n"/>
      <c r="E19" s="184" t="n"/>
      <c r="F19" s="184" t="n"/>
      <c r="G19" s="185">
        <f>IF(OR(C19="",C20=""),"",(C19-C20)/C20)</f>
        <v/>
      </c>
    </row>
    <row r="20" ht="15" customHeight="1" s="160">
      <c r="B20" s="182" t="n"/>
      <c r="C20" s="183" t="n"/>
      <c r="D20" s="183" t="n"/>
      <c r="E20" s="184" t="n"/>
      <c r="F20" s="184" t="n"/>
      <c r="G20" s="185">
        <f>IF(OR(C20="",C21=""),"",(C20-C21)/C21)</f>
        <v/>
      </c>
    </row>
    <row r="21" ht="15.75" customHeight="1" s="160">
      <c r="B21" s="182" t="n"/>
      <c r="C21" s="183" t="n"/>
      <c r="D21" s="183" t="n"/>
      <c r="E21" s="184" t="n"/>
      <c r="F21" s="184" t="n"/>
      <c r="G21" s="185">
        <f>IF(OR(C21="",C22=""),"",(C21-C22)/C22)</f>
        <v/>
      </c>
    </row>
    <row r="22" ht="15.75" customHeight="1" s="160">
      <c r="B22" s="182" t="n"/>
      <c r="C22" s="183" t="n"/>
      <c r="D22" s="183" t="n"/>
      <c r="E22" s="184" t="n"/>
      <c r="F22" s="184" t="n"/>
      <c r="G22" s="185">
        <f>IF(OR(C22="",C23=""),"",(C22-C23)/C23)</f>
        <v/>
      </c>
    </row>
    <row r="23" ht="15.75" customHeight="1" s="160">
      <c r="B23" s="182" t="n"/>
      <c r="C23" s="183" t="n"/>
      <c r="D23" s="183" t="n"/>
      <c r="E23" s="184" t="n"/>
      <c r="F23" s="184" t="n"/>
      <c r="G23" s="202" t="n"/>
    </row>
    <row r="24" ht="15.75" customHeight="1" s="160">
      <c r="B24" s="203" t="inlineStr">
        <is>
          <t>AVG / TOTAL (months entered)</t>
        </is>
      </c>
      <c r="C24" s="204">
        <f>IF(COUNT(C12:C23)=0,0,AVERAGE(C12:C23))</f>
        <v/>
      </c>
      <c r="D24" s="204">
        <f>IF(COUNT(D12:D23)=0,0,AVERAGE(D12:D23))</f>
        <v/>
      </c>
      <c r="E24" s="205">
        <f>SUM(E12:E23)</f>
        <v/>
      </c>
      <c r="F24" s="205">
        <f>SUM(F12:F23)</f>
        <v/>
      </c>
      <c r="G24" s="206">
        <f>IFERROR(AVERAGE(G12:G22),"")</f>
        <v/>
      </c>
    </row>
    <row r="25" ht="15.75" customHeight="1" s="160"/>
    <row r="26" ht="15.75" customHeight="1" s="160">
      <c r="B26" s="165" t="inlineStr">
        <is>
          <t xml:space="preserve">EXISTING POSITIONS  </t>
        </is>
      </c>
    </row>
    <row r="27" ht="15.75" customHeight="1" s="160">
      <c r="B27" s="166" t="inlineStr">
        <is>
          <t>Funder</t>
        </is>
      </c>
      <c r="C27" s="166" t="inlineStr">
        <is>
          <t>Funded $</t>
        </is>
      </c>
      <c r="D27" s="166" t="inlineStr">
        <is>
          <t>Payment</t>
        </is>
      </c>
      <c r="E27" s="166" t="inlineStr">
        <is>
          <t>Freq</t>
        </is>
      </c>
      <c r="F27" s="166" t="inlineStr">
        <is>
          <t>Daily equiv</t>
        </is>
      </c>
      <c r="G27" s="166" t="inlineStr">
        <is>
          <t>Start Date</t>
        </is>
      </c>
      <c r="H27" s="166" t="inlineStr">
        <is>
          <t>Est Term</t>
        </is>
      </c>
      <c r="I27" s="166" t="inlineStr">
        <is>
          <t>Est term (mo)</t>
        </is>
      </c>
      <c r="J27" s="166" t="inlineStr">
        <is>
          <t>Mo. remaining</t>
        </is>
      </c>
    </row>
    <row r="28" ht="15.75" customHeight="1" s="160">
      <c r="B28" s="207" t="n"/>
      <c r="C28" s="183" t="n">
        <v>100000</v>
      </c>
      <c r="D28" s="183" t="n">
        <v>3000</v>
      </c>
      <c r="E28" s="182" t="inlineStr">
        <is>
          <t>Weekly</t>
        </is>
      </c>
      <c r="F28" s="173">
        <f>IF(D28&lt;&gt;"",IF(E28="Daily",D28,IF(E28="Weekly",D28/5,D28/$K$9)),IF(C28="","",C28*Controls!$B$17/(Controls!$B$9*$K$9)))</f>
        <v/>
      </c>
      <c r="G28" s="208" t="n">
        <v>46127</v>
      </c>
      <c r="H28" s="209">
        <f>IF(OR(C28="",D28=""),"",ROUND(C28*Controls!$B$17/D28,0))</f>
        <v/>
      </c>
      <c r="I28" s="209">
        <f>IF(H28="","",H28/IF(E28="Daily",$K$9,IF(E28="Weekly",$K$9/5,1)))</f>
        <v/>
      </c>
      <c r="J28" s="209">
        <f>IF(OR(I28="",G28=""),"",MAX(0,I28-(TODAY()-G28)/Controls!$B$16))</f>
        <v/>
      </c>
    </row>
    <row r="29" ht="15.75" customHeight="1" s="160">
      <c r="B29" s="207" t="n"/>
      <c r="C29" s="183" t="n"/>
      <c r="D29" s="183" t="n"/>
      <c r="E29" s="182" t="inlineStr">
        <is>
          <t>Weekly</t>
        </is>
      </c>
      <c r="F29" s="173">
        <f>IF(D29&lt;&gt;"",IF(E29="Daily",D29,IF(E29="Weekly",D29/5,D29/$K$9)),IF(C29="","",C29*Controls!$B$17/(Controls!$B$9*$K$9)))</f>
        <v/>
      </c>
      <c r="G29" s="208" t="n"/>
      <c r="H29" s="208">
        <f>IF(OR(C29="",D29=""),"",ROUND(C29*Controls!$B$17/D29,0))</f>
        <v/>
      </c>
      <c r="I29" s="202">
        <f>IF(H29="","",H29/IF(E29="Daily",$K$9,IF(E29="Weekly",$K$9/5,1)))</f>
        <v/>
      </c>
      <c r="J29" s="208">
        <f>IF(OR(I29="",G29=""),"",MAX(0,I29-(TODAY()-G29)/Controls!$B$16))</f>
        <v/>
      </c>
    </row>
    <row r="30" ht="15.75" customHeight="1" s="160">
      <c r="B30" s="207" t="n"/>
      <c r="C30" s="183" t="n"/>
      <c r="D30" s="183" t="n"/>
      <c r="E30" s="182" t="inlineStr">
        <is>
          <t>Weekly</t>
        </is>
      </c>
      <c r="F30" s="173">
        <f>IF(D30&lt;&gt;"",IF(E30="Daily",D30,IF(E30="Weekly",D30/5,D30/$K$9)),IF(C30="","",C30*Controls!$B$17/(Controls!$B$9*$K$9)))</f>
        <v/>
      </c>
      <c r="G30" s="208" t="n"/>
      <c r="H30" s="208">
        <f>IF(OR(C30="",D30=""),"",ROUND(C30*Controls!$B$17/D30,0))</f>
        <v/>
      </c>
      <c r="I30" s="202">
        <f>IF(H30="","",H30/IF(E30="Daily",$K$9,IF(E30="Weekly",$K$9/5,1)))</f>
        <v/>
      </c>
      <c r="J30" s="208">
        <f>IF(OR(I30="",G30=""),"",MAX(0,I30-(TODAY()-G30)/Controls!$B$16))</f>
        <v/>
      </c>
    </row>
    <row r="31" ht="15.75" customHeight="1" s="160">
      <c r="B31" s="207" t="n"/>
      <c r="C31" s="183" t="n"/>
      <c r="D31" s="183" t="n"/>
      <c r="E31" s="182" t="inlineStr">
        <is>
          <t>Weekly</t>
        </is>
      </c>
      <c r="F31" s="173">
        <f>IF(D31&lt;&gt;"",IF(E31="Daily",D31,IF(E31="Weekly",D31/5,D31/$K$9)),IF(C31="","",C31*Controls!$B$17/(Controls!$B$9*$K$9)))</f>
        <v/>
      </c>
      <c r="G31" s="208" t="n"/>
      <c r="H31" s="208">
        <f>IF(OR(C31="",D31=""),"",ROUND(C31*Controls!$B$17/D31,0))</f>
        <v/>
      </c>
      <c r="I31" s="202">
        <f>IF(H31="","",H31/IF(E31="Daily",$K$9,IF(E31="Weekly",$K$9/5,1)))</f>
        <v/>
      </c>
      <c r="J31" s="208">
        <f>IF(OR(I31="",G31=""),"",MAX(0,I31-(TODAY()-G31)/Controls!$B$16))</f>
        <v/>
      </c>
    </row>
    <row r="32" ht="15.75" customHeight="1" s="160">
      <c r="B32" s="207" t="n"/>
      <c r="C32" s="183" t="n"/>
      <c r="D32" s="183" t="n"/>
      <c r="E32" s="182" t="inlineStr">
        <is>
          <t>Weekly</t>
        </is>
      </c>
      <c r="F32" s="173">
        <f>IF(D32&lt;&gt;"",IF(E32="Daily",D32,IF(E32="Weekly",D32/5,D32/$K$9)),IF(C32="","",C32*Controls!$B$17/(Controls!$B$9*$K$9)))</f>
        <v/>
      </c>
      <c r="G32" s="208" t="n"/>
      <c r="H32" s="208">
        <f>IF(OR(C32="",D32=""),"",ROUND(C32*Controls!$B$17/D32,0))</f>
        <v/>
      </c>
      <c r="I32" s="202">
        <f>IF(H32="","",H32/IF(E32="Daily",$K$9,IF(E32="Weekly",$K$9/5,1)))</f>
        <v/>
      </c>
      <c r="J32" s="208">
        <f>IF(OR(I32="",G32=""),"",MAX(0,I32-(TODAY()-G32)/Controls!$B$16))</f>
        <v/>
      </c>
    </row>
    <row r="33" ht="15.75" customHeight="1" s="160">
      <c r="B33" s="207" t="n"/>
      <c r="C33" s="183" t="n"/>
      <c r="D33" s="183" t="n"/>
      <c r="E33" s="182" t="inlineStr">
        <is>
          <t>Weekly</t>
        </is>
      </c>
      <c r="F33" s="173">
        <f>IF(D33&lt;&gt;"",IF(E33="Daily",D33,IF(E33="Weekly",D33/5,D33/$K$9)),IF(C33="","",C33*Controls!$B$17/(Controls!$B$9*$K$9)))</f>
        <v/>
      </c>
      <c r="G33" s="208" t="n"/>
      <c r="H33" s="208">
        <f>IF(OR(C33="",D33=""),"",ROUND(C33*Controls!$B$17/D33,0))</f>
        <v/>
      </c>
      <c r="I33" s="202">
        <f>IF(H33="","",H33/IF(E33="Daily",$K$9,IF(E33="Weekly",$K$9/5,1)))</f>
        <v/>
      </c>
      <c r="J33" s="208">
        <f>IF(OR(I33="",G33=""),"",MAX(0,I33-(TODAY()-G33)/Controls!$B$16))</f>
        <v/>
      </c>
    </row>
    <row r="34" ht="15.75" customHeight="1" s="160">
      <c r="B34" s="210" t="inlineStr">
        <is>
          <t>Positions (excl. Monthly)</t>
        </is>
      </c>
      <c r="C34" s="205">
        <f>SUMPRODUCT(((C28:C33&lt;&gt;"")+(D28:D33&lt;&gt;"")&gt;0)*(E28:E33&lt;&gt;"Monthly"))</f>
        <v/>
      </c>
      <c r="D34" s="210" t="inlineStr">
        <is>
          <t>Total existing daily</t>
        </is>
      </c>
      <c r="E34" s="211">
        <f>SUM(F28:F33)</f>
        <v/>
      </c>
      <c r="F34" s="204">
        <f>E34*$K$9</f>
        <v/>
      </c>
      <c r="G34" s="164" t="inlineStr">
        <is>
          <t>/month</t>
        </is>
      </c>
    </row>
    <row r="35" ht="15.75" customHeight="1" s="160">
      <c r="E35" s="212" t="n"/>
    </row>
    <row r="36" ht="15.75" customHeight="1" s="160">
      <c r="B36" s="165" t="inlineStr">
        <is>
          <t>C.  METRICS</t>
        </is>
      </c>
    </row>
    <row r="37" ht="15.75" customHeight="1" s="160">
      <c r="B37" s="166" t="inlineStr">
        <is>
          <t>Metric</t>
        </is>
      </c>
      <c r="C37" s="166" t="inlineStr">
        <is>
          <t>Value</t>
        </is>
      </c>
      <c r="D37" s="166" t="inlineStr">
        <is>
          <t>Green</t>
        </is>
      </c>
      <c r="E37" s="166" t="inlineStr">
        <is>
          <t>Red</t>
        </is>
      </c>
      <c r="F37" s="166" t="inlineStr">
        <is>
          <t>Status</t>
        </is>
      </c>
      <c r="G37" s="166" t="inlineStr">
        <is>
          <t>Knockout</t>
        </is>
      </c>
      <c r="H37" s="166" t="inlineStr">
        <is>
          <t>Sizing line</t>
        </is>
      </c>
    </row>
    <row r="38" ht="15.75" customHeight="1" s="160">
      <c r="B38" s="172" t="inlineStr">
        <is>
          <t>Total LVG (all debt / rev)</t>
        </is>
      </c>
      <c r="C38" s="213">
        <f>IF(C24=0,"",(E34+IF(C8="",0,C8))*$K$9/C24)</f>
        <v/>
      </c>
      <c r="D38" s="214" t="n">
        <v>0.3</v>
      </c>
      <c r="E38" s="214" t="n">
        <v>0.45</v>
      </c>
      <c r="F38" s="215">
        <f>IF(C38="","",IF(C38&gt;=G38,"KNOCKOUT",IF(C38&lt;=D38,"GREEN",IF(C38&gt;=E38,"RED","YELLOW"))))</f>
        <v/>
      </c>
      <c r="G38" s="214" t="n">
        <v>0.55</v>
      </c>
      <c r="H38" s="216">
        <f>D38+'Historical Score'!$C$35*(E38-D38)</f>
        <v/>
      </c>
    </row>
    <row r="39" ht="15.75" customHeight="1" s="160">
      <c r="B39" s="172" t="inlineStr">
        <is>
          <t>New holdback SP%</t>
        </is>
      </c>
      <c r="C39" s="213">
        <f>IF(OR(C24=0,E8=""),"",E8/C24)</f>
        <v/>
      </c>
      <c r="D39" s="214" t="n">
        <v>0.18</v>
      </c>
      <c r="E39" s="214" t="n">
        <v>0.25</v>
      </c>
      <c r="F39" s="215">
        <f>IF(C39="","",IF(C39&gt;=G39,"KNOCKOUT",IF(C39&lt;=D39,"GREEN",IF(C39&gt;=E39,"RED","YELLOW"))))</f>
        <v/>
      </c>
      <c r="G39" s="214" t="n">
        <v>0.35</v>
      </c>
      <c r="H39" s="216">
        <f>D39+'Historical Score'!$C$35*(E39-D39)</f>
        <v/>
      </c>
    </row>
    <row r="40" ht="15.75" customHeight="1" s="160">
      <c r="B40" s="172" t="inlineStr">
        <is>
          <t>Daily debt / balance</t>
        </is>
      </c>
      <c r="C40" s="213">
        <f>IF(D24=0,"",(E34+IF(C8="",0,C8))/D24)</f>
        <v/>
      </c>
      <c r="D40" s="214" t="n">
        <v>0.18</v>
      </c>
      <c r="E40" s="214" t="n">
        <v>0.3</v>
      </c>
      <c r="F40" s="215">
        <f>IF(C40="","",IF(C40&gt;=G40,"KNOCKOUT",IF(C40&lt;=D40,"GREEN",IF(C40&gt;=E40,"RED","YELLOW"))))</f>
        <v/>
      </c>
      <c r="G40" s="214" t="n">
        <v>0.35</v>
      </c>
      <c r="H40" s="216">
        <f>D40+'Historical Score'!$C$35*(E40-D40)</f>
        <v/>
      </c>
    </row>
    <row r="41" ht="15.75" customHeight="1" s="160">
      <c r="B41" s="172" t="inlineStr">
        <is>
          <t>Fund / revenue</t>
        </is>
      </c>
      <c r="C41" s="217">
        <f>IF(OR(C24=0,B6=""),"",B6/C24)</f>
        <v/>
      </c>
      <c r="D41" s="218" t="n">
        <v>0.6</v>
      </c>
      <c r="E41" s="218" t="n">
        <v>0.9</v>
      </c>
      <c r="F41" s="215">
        <f>IF(C41="","",IF(C41&gt;=G41,"KNOCKOUT",IF(C41&lt;=D41,"GREEN",IF(C41&gt;=E41,"RED","YELLOW"))))</f>
        <v/>
      </c>
      <c r="G41" s="218" t="n">
        <v>1.25</v>
      </c>
      <c r="H41" s="219">
        <f>D41+'Historical Score'!$C$35*(E41-D41)</f>
        <v/>
      </c>
    </row>
    <row r="42" ht="15.75" customHeight="1" s="160">
      <c r="B42" s="172" t="inlineStr">
        <is>
          <t># positions (incl. new)</t>
        </is>
      </c>
      <c r="C42" s="220">
        <f>IF(C24=0,"",C34+1)</f>
        <v/>
      </c>
      <c r="D42" s="221" t="n">
        <v>2</v>
      </c>
      <c r="E42" s="221" t="n">
        <v>5</v>
      </c>
      <c r="F42" s="215">
        <f>IF(C42="","",IF(C42&gt;=G42,"KNOCKOUT",IF(C42&lt;=D42,"GREEN",IF(C42&gt;=E42,"RED","YELLOW"))))</f>
        <v/>
      </c>
      <c r="G42" s="221" t="n">
        <v>6</v>
      </c>
    </row>
    <row r="43" ht="15.75" customHeight="1" s="160">
      <c r="B43" s="172" t="inlineStr">
        <is>
          <t>Revenue trend (avg MoM)</t>
        </is>
      </c>
      <c r="C43" s="176">
        <f>G24</f>
        <v/>
      </c>
      <c r="D43" s="214" t="n">
        <v>-0.05</v>
      </c>
      <c r="E43" s="214" t="n">
        <v>-0.15</v>
      </c>
      <c r="F43" s="215">
        <f>IF(C24=0,"",IF(NOT(ISNUMBER(C43)),"YELLOW",IF(C43&lt;=G43,"KNOCKOUT",IF(C43&gt;=D43,"GREEN",IF(C43&lt;=E43,"RED","YELLOW")))))</f>
        <v/>
      </c>
      <c r="G43" s="214" t="n">
        <v>-0.3</v>
      </c>
    </row>
    <row r="44" ht="15.75" customHeight="1" s="160">
      <c r="B44" s="172" t="inlineStr">
        <is>
          <t>Neg days + NSFs (total)</t>
        </is>
      </c>
      <c r="C44" s="220">
        <f>E24+F24</f>
        <v/>
      </c>
      <c r="D44" s="221" t="n">
        <v>1</v>
      </c>
      <c r="E44" s="221" t="n">
        <v>6</v>
      </c>
      <c r="F44" s="215">
        <f>IF(C44="","",IF(C44&gt;=G44,"KNOCKOUT",IF(C44&lt;=D44,"GREEN",IF(C44&gt;=E44,"RED","YELLOW"))))</f>
        <v/>
      </c>
      <c r="G44" s="221" t="n">
        <v>10</v>
      </c>
    </row>
    <row r="45" ht="15.75" customHeight="1" s="160">
      <c r="B45" s="172" t="inlineStr">
        <is>
          <t>Credit score (FICO)</t>
        </is>
      </c>
      <c r="C45" s="220">
        <f>IF(K15="","",K15)</f>
        <v/>
      </c>
      <c r="D45" s="221" t="n">
        <v>650</v>
      </c>
      <c r="E45" s="221" t="n">
        <v>630</v>
      </c>
      <c r="F45" s="215">
        <f>IF(C45="","",IF(AND(G45&lt;&gt;0,C45&lt;=G45),"KNOCKOUT",IF(C45&gt;=D45,"GREEN",IF(C45&lt;E45,"RED","YELLOW"))))</f>
        <v/>
      </c>
      <c r="G45" s="221" t="n">
        <v>0</v>
      </c>
    </row>
    <row r="46" ht="15.75" customHeight="1" s="160">
      <c r="B46" s="172" t="inlineStr">
        <is>
          <t>Existing leverage (before new)</t>
        </is>
      </c>
      <c r="C46" s="176">
        <f>IF(C24=0,"",F34/C24)</f>
        <v/>
      </c>
      <c r="D46" s="222" t="inlineStr">
        <is>
          <t>-</t>
        </is>
      </c>
      <c r="E46" s="222" t="inlineStr">
        <is>
          <t>-</t>
        </is>
      </c>
      <c r="F46" s="223" t="inlineStr">
        <is>
          <t>INFO</t>
        </is>
      </c>
    </row>
    <row r="47" ht="15.75" customHeight="1" s="160">
      <c r="B47" s="172" t="inlineStr">
        <is>
          <t>Balance / revenue</t>
        </is>
      </c>
      <c r="C47" s="176">
        <f>IF(C24=0,"",D24/C24)</f>
        <v/>
      </c>
      <c r="D47" s="222" t="inlineStr">
        <is>
          <t>-</t>
        </is>
      </c>
      <c r="E47" s="222" t="inlineStr">
        <is>
          <t>-</t>
        </is>
      </c>
      <c r="F47" s="223" t="inlineStr">
        <is>
          <t>INFO</t>
        </is>
      </c>
    </row>
    <row r="48" ht="15.75" customHeight="1" s="160"/>
    <row r="49" ht="15.75" customHeight="1" s="160">
      <c r="B49" s="165" t="inlineStr">
        <is>
          <t>C2.  HOUSE-BOOK INDICATORS   (set the sizing line + modifier; NOT counted in the cash-flow score)</t>
        </is>
      </c>
    </row>
    <row r="50" ht="15.75" customHeight="1" s="160">
      <c r="B50" s="166" t="inlineStr">
        <is>
          <t>Cohort</t>
        </is>
      </c>
      <c r="C50" s="166" t="inlineStr">
        <is>
          <t>Principal lost rate</t>
        </is>
      </c>
      <c r="D50" s="166" t="inlineStr">
        <is>
          <t>Green &lt;=</t>
        </is>
      </c>
      <c r="E50" s="166" t="inlineStr">
        <is>
          <t>Red &gt;</t>
        </is>
      </c>
      <c r="F50" s="166" t="inlineStr">
        <is>
          <t>Status</t>
        </is>
      </c>
      <c r="G50" s="166" t="inlineStr">
        <is>
          <t>Seasoned Deals</t>
        </is>
      </c>
      <c r="H50" s="166" t="inlineStr">
        <is>
          <t>Return on funded</t>
        </is>
      </c>
    </row>
    <row r="51" ht="15.75" customHeight="1" s="160">
      <c r="B51" s="172">
        <f>"Primary cohort: "&amp;'Historical Score'!$C$29</f>
        <v/>
      </c>
      <c r="C51" s="176">
        <f>'Historical Score'!$C$31</f>
        <v/>
      </c>
      <c r="D51" s="224">
        <f>'Historical Score'!$C$10*Controls!$B$29</f>
        <v/>
      </c>
      <c r="E51" s="224">
        <f>'Historical Score'!$C$10*Controls!$B$30</f>
        <v/>
      </c>
      <c r="F51" s="215">
        <f>IF(OR('Historical Score'!$D$29="",'Historical Score'!$D$29=8),"NO EVIDENCE",IF('Historical Score'!$C$33&lt;=Controls!$B$29,"GREEN",IF('Historical Score'!$C$33&gt;Controls!$B$30,"RED","YELLOW")))</f>
        <v/>
      </c>
      <c r="G51" s="225">
        <f>'Historical Score'!$C$30</f>
        <v/>
      </c>
      <c r="H51" s="176">
        <f>'Historical Score'!$C$32</f>
        <v/>
      </c>
    </row>
    <row r="52" ht="15.75" customHeight="1" s="160">
      <c r="B52" s="172" t="inlineStr">
        <is>
          <t>ISO</t>
        </is>
      </c>
      <c r="C52" s="176">
        <f>'Historical Score'!$F$26</f>
        <v/>
      </c>
      <c r="D52" s="224">
        <f>'Historical Score'!$C$10*Controls!$B$29</f>
        <v/>
      </c>
      <c r="E52" s="224">
        <f>'Historical Score'!$C$10*Controls!$B$30</f>
        <v/>
      </c>
      <c r="F52" s="215">
        <f>IF('Historical Score'!$C$26=0,"NO DEALS",IF('Historical Score'!$F$26="","NO RATE",IF('Historical Score'!$H$26&lt;=Controls!$B$29,"GREEN",IF('Historical Score'!$H$26&gt;Controls!$B$30,"RED","YELLOW"))))</f>
        <v/>
      </c>
      <c r="G52" s="184">
        <f>'Historical Score'!$C$26</f>
        <v/>
      </c>
      <c r="H52" s="176">
        <f>'Historical Score'!$G$26</f>
        <v/>
      </c>
    </row>
    <row r="53" ht="15.75" customHeight="1" s="160">
      <c r="B53" s="172" t="inlineStr">
        <is>
          <t>Industry</t>
        </is>
      </c>
      <c r="C53" s="176">
        <f>'Historical Score'!$F$25</f>
        <v/>
      </c>
      <c r="D53" s="224">
        <f>'Historical Score'!$C$10*Controls!$B$29</f>
        <v/>
      </c>
      <c r="E53" s="224">
        <f>'Historical Score'!$C$10*Controls!$B$30</f>
        <v/>
      </c>
      <c r="F53" s="215">
        <f>IF('Historical Score'!$C$25=0,"NO DEALS",IF('Historical Score'!$F$25="","NO RATE",IF('Historical Score'!$H$25&lt;=Controls!$B$29,"GREEN",IF('Historical Score'!$H$25&gt;Controls!$B$30,"RED","YELLOW"))))</f>
        <v/>
      </c>
      <c r="G53" s="184">
        <f>'Historical Score'!$C$25</f>
        <v/>
      </c>
      <c r="H53" s="176">
        <f>'Historical Score'!$G$25</f>
        <v/>
      </c>
    </row>
    <row r="54" ht="15.75" customHeight="1" s="160">
      <c r="B54" s="172" t="inlineStr">
        <is>
          <t>New deal / renewal</t>
        </is>
      </c>
      <c r="C54" s="176">
        <f>'Historical Score'!$F$24</f>
        <v/>
      </c>
      <c r="D54" s="224">
        <f>'Historical Score'!$C$10*Controls!$B$29</f>
        <v/>
      </c>
      <c r="E54" s="224">
        <f>'Historical Score'!$C$10*Controls!$B$30</f>
        <v/>
      </c>
      <c r="F54" s="215">
        <f>IF('Historical Score'!$C$24=0,"NO DEALS",IF('Historical Score'!$F$24="","NO RATE",IF('Historical Score'!$H$24&lt;=Controls!$B$29,"GREEN",IF('Historical Score'!$H$24&gt;Controls!$B$30,"RED","YELLOW"))))</f>
        <v/>
      </c>
      <c r="G54" s="184">
        <f>'Historical Score'!$C$24</f>
        <v/>
      </c>
      <c r="H54" s="176">
        <f>'Historical Score'!$G$24</f>
        <v/>
      </c>
    </row>
    <row r="55" ht="15.75" customHeight="1" s="160">
      <c r="B55" s="172" t="inlineStr">
        <is>
          <t>Position</t>
        </is>
      </c>
      <c r="C55" s="176">
        <f>'Historical Score'!$F$23</f>
        <v/>
      </c>
      <c r="D55" s="224">
        <f>'Historical Score'!$C$10*Controls!$B$29</f>
        <v/>
      </c>
      <c r="E55" s="224">
        <f>'Historical Score'!$C$10*Controls!$B$30</f>
        <v/>
      </c>
      <c r="F55" s="215">
        <f>IF('Historical Score'!$C$23=0,"NO DEALS",IF('Historical Score'!$F$23="","NO RATE",IF('Historical Score'!$H$23&lt;=Controls!$B$29,"GREEN",IF('Historical Score'!$H$23&gt;Controls!$B$30,"RED","YELLOW"))))</f>
        <v/>
      </c>
      <c r="G55" s="184">
        <f>'Historical Score'!$C$23</f>
        <v/>
      </c>
      <c r="H55" s="226">
        <f>'Historical Score'!$G$23</f>
        <v/>
      </c>
    </row>
    <row r="56" ht="15.75" customHeight="1" s="160">
      <c r="B56" s="172" t="inlineStr">
        <is>
          <t>Seasoned deals behind the primary cohort</t>
        </is>
      </c>
      <c r="C56" s="220">
        <f>IF(OR('Historical Score'!$D$29="",'Historical Score'!$D$29=8),"",'Historical Score'!$C$30)</f>
        <v/>
      </c>
      <c r="D56" s="227">
        <f>Controls!$B$26</f>
        <v/>
      </c>
      <c r="E56" s="227">
        <f>Controls!$B$24</f>
        <v/>
      </c>
      <c r="F56" s="228">
        <f>IF(C56="","",IF(C56&gt;=D56,"GREEN",IF(C56&gt;=E56,"YELLOW","RED")))</f>
        <v/>
      </c>
      <c r="G56" s="184" t="n"/>
      <c r="H56" s="226" t="n"/>
    </row>
    <row r="57" ht="15.75" customHeight="1" s="160">
      <c r="B57" s="172" t="n"/>
      <c r="C57" s="213" t="n"/>
      <c r="D57" s="229" t="n"/>
      <c r="E57" s="229" t="n"/>
      <c r="F57" s="229" t="n"/>
      <c r="G57" s="184" t="n"/>
      <c r="H57" s="226" t="n"/>
    </row>
    <row r="58" ht="15.75" customHeight="1" s="160">
      <c r="B58" s="172" t="n"/>
      <c r="C58" s="213" t="n"/>
      <c r="D58" s="229" t="n"/>
      <c r="E58" s="229" t="n"/>
      <c r="F58" s="229" t="n"/>
      <c r="G58" s="184" t="n"/>
      <c r="H58" s="226" t="n"/>
    </row>
    <row r="59" ht="15.75" customHeight="1" s="160">
      <c r="B59" s="165" t="inlineStr">
        <is>
          <t>D.  DECISION  (cash-flow layer, on the requested offer)</t>
        </is>
      </c>
    </row>
    <row r="60" ht="15.75" customHeight="1" s="160">
      <c r="B60" s="230" t="inlineStr">
        <is>
          <t>Red flags</t>
        </is>
      </c>
      <c r="C60" s="231">
        <f>COUNTIF(F38:F45,"RED")+COUNTIF(F38:F45,"KNOCKOUT")</f>
        <v/>
      </c>
      <c r="D60" s="230" t="inlineStr">
        <is>
          <t>Knockouts</t>
        </is>
      </c>
      <c r="E60" s="231">
        <f>COUNTIF(F38:F45,"KNOCKOUT")</f>
        <v/>
      </c>
    </row>
    <row r="61" ht="15.75" customHeight="1" s="160">
      <c r="B61" s="232" t="inlineStr">
        <is>
          <t>Decline if red flags &gt;=  (Controls)</t>
        </is>
      </c>
      <c r="C61" s="233" t="n">
        <v>2</v>
      </c>
      <c r="D61" s="234" t="inlineStr">
        <is>
          <t>Minimum fund $</t>
        </is>
      </c>
      <c r="E61" s="235" t="n">
        <v>10000</v>
      </c>
    </row>
    <row r="62" ht="15.75" customHeight="1" s="160">
      <c r="B62" s="230" t="inlineStr">
        <is>
          <t>DECISION</t>
        </is>
      </c>
      <c r="C62" s="163">
        <f>IF(C24=0,"",IF(OR(E60&gt;0,IF(ISNUMBER(C73),C73,0)&lt;E61),"DECLINE",IF(OR(B6="",B6=0),"",IF(C60&gt;=C61,"DECLINE",IF(COUNTIF(F38:F45,"GREEN")=SUMPRODUCT(--(F38:F45&lt;&gt;"")),"APPROVE","CONDITIONAL")))))</f>
        <v/>
      </c>
      <c r="D62" s="164" t="n"/>
    </row>
    <row r="63" ht="15.75" customHeight="1" s="160"/>
    <row r="64" hidden="1" ht="15.75" customHeight="1" s="160">
      <c r="B64" s="165" t="inlineStr">
        <is>
          <t>E.  DEAL QUALITY  &amp;  MAXIMUM OFFER at the sizing line  (green line unless the house book is supportive)</t>
        </is>
      </c>
      <c r="F64" s="166" t="inlineStr">
        <is>
          <t>At green lines</t>
        </is>
      </c>
    </row>
    <row r="65" hidden="1" ht="15.75" customHeight="1" s="160">
      <c r="B65" s="232" t="inlineStr">
        <is>
          <t>Score (G=1, Y=0.5, R=0)</t>
        </is>
      </c>
      <c r="C65" s="236">
        <f>COUNTIF(F38:F45,"GREEN")+0.5*COUNTIF(F38:F45,"YELLOW")</f>
        <v/>
      </c>
      <c r="D65" s="164" t="n"/>
    </row>
    <row r="66" hidden="1" ht="15.75" customHeight="1" s="160">
      <c r="B66" s="232" t="inlineStr">
        <is>
          <t>Tier  (score scaled to 7 for the bands)</t>
        </is>
      </c>
      <c r="C66" s="215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</row>
    <row r="67" hidden="1" ht="15.75" customHeight="1" s="160">
      <c r="B67" s="232" t="inlineStr">
        <is>
          <t>Max daily by SP% sizing line</t>
        </is>
      </c>
      <c r="C67" s="173">
        <f>IF(C24=0,"",H39*C24/$K$9)</f>
        <v/>
      </c>
      <c r="D67" s="237" t="n"/>
      <c r="F67" s="238">
        <f>IF(C24=0,"",D39*C24/$K$9)</f>
        <v/>
      </c>
    </row>
    <row r="68" hidden="1" ht="15.75" customHeight="1" s="160">
      <c r="B68" s="232" t="inlineStr">
        <is>
          <t>Max daily by Total LVG sizing line</t>
        </is>
      </c>
      <c r="C68" s="173">
        <f>IF(C24=0,"",(H38*C24-F34)/$K$9)</f>
        <v/>
      </c>
      <c r="F68" s="238">
        <f>IF(C24=0,"",(D38*C24-F34)/$K$9)</f>
        <v/>
      </c>
    </row>
    <row r="69" hidden="1" ht="15.75" customHeight="1" s="160">
      <c r="B69" s="239" t="inlineStr">
        <is>
          <t>Max daily by Daily/Balance sizing line</t>
        </is>
      </c>
      <c r="C69" s="240">
        <f>IF(OR(C24=0,D24=0),"",H40*D24-E34)</f>
        <v/>
      </c>
      <c r="F69" s="238">
        <f>IF(OR(C24=0,D24=0),"",D40*D24-E34)</f>
        <v/>
      </c>
    </row>
    <row r="70" hidden="1" ht="15.75" customHeight="1" s="160">
      <c r="B70" s="241" t="inlineStr">
        <is>
          <t>MAX DAILY  (weakest link)</t>
        </is>
      </c>
      <c r="C70" s="242">
        <f>IF(C24=0,"",MAX(0,MIN(C67:C69)))</f>
        <v/>
      </c>
      <c r="D70" s="164" t="n"/>
      <c r="F70" s="238">
        <f>IF(C24=0,"",MAX(0,MIN(F67:F69)))</f>
        <v/>
      </c>
      <c r="G70" s="243">
        <f>IF(F70="","",IF(F70=0,"no clean room",INDEX({"SP% holdback";"Total LVG";"Daily/Balance"},MATCH(F70,F67:F69,0))&amp;" is the limit"))</f>
        <v/>
      </c>
    </row>
    <row r="71" hidden="1" ht="15.75" customHeight="1" s="160">
      <c r="B71" s="244" t="inlineStr">
        <is>
          <t>Weekly / monthly equivalent</t>
        </is>
      </c>
      <c r="C71" s="245">
        <f>IF(OR(C70="",C70=0),"",C70*5)</f>
        <v/>
      </c>
      <c r="D71" s="246">
        <f>IF(OR(C70="",C70=0),"",C70*$K$9)</f>
        <v/>
      </c>
    </row>
    <row r="72" hidden="1" ht="15.75" customHeight="1" s="160">
      <c r="B72" s="232" t="inlineStr">
        <is>
          <t>Term (daily pmts) / factor from bands</t>
        </is>
      </c>
      <c r="C72" s="247">
        <f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248">
        <f>IF(OR(C65="",C24=0),"",INDEX(Controls!$C$5:$C$8,MATCH(IF(SUMPRODUCT(--(F38:F45&lt;&gt;""))=0,0,C65*7/SUMPRODUCT(--(F38:F45&lt;&gt;""))),Controls!$A$5:$A$8,1)))</f>
        <v/>
      </c>
      <c r="F72" s="249">
        <f>IF(OR(F70="",F70=0,C65=""),"",MAX(20,MIN(INDEX(Controls!$B$5:$B$8,MATCH(IF(SUMPRODUCT(--(F38:F45&lt;&gt;""))=0,0,C65*7/SUMPRODUCT(--(F38:F45&lt;&gt;""))),Controls!$A$5:$A$8,1)),FLOOR(Controls!$B$9*$K$9,5),FLOOR(D41*C24*D72/F70,5))))</f>
        <v/>
      </c>
    </row>
    <row r="73" hidden="1" ht="15.75" customHeight="1" s="160">
      <c r="B73" s="230" t="inlineStr">
        <is>
          <t>MAX FUND at the sizing line</t>
        </is>
      </c>
      <c r="C73" s="250">
        <f>IF(COUNTIF(F42:F45,"KNOCKOUT")&gt;0,"-",IF(OR(C70="",C70=0,C72="",D72=""),"",FLOOR(C70*C72/D72,500)))</f>
        <v/>
      </c>
      <c r="D73" s="251">
        <f>IF(C73="-","KNOCKOUT on the merchant - do not fund.",IF(C73="","","payback "&amp;TEXT(C73*D72,"$#,##0")&amp;" over "&amp;C72&amp;" daily pmts ("&amp;TEXT(C72/5,"0")&amp;" wks)"))</f>
        <v/>
      </c>
      <c r="F73" s="252">
        <f>IF(COUNTIF(F42:F45,"KNOCKOUT")&gt;0,"-",IF(OR(F70="",F70=0,F72=""),"",FLOOR(F70*F72/D72,500)))</f>
        <v/>
      </c>
    </row>
    <row r="74" hidden="1" ht="15.75" customHeight="1" s="160">
      <c r="B74" s="164" t="n"/>
    </row>
    <row r="75" ht="15" customHeight="1" s="160">
      <c r="B75" s="165" t="inlineStr">
        <is>
          <t>F.  FINAL OFFER</t>
        </is>
      </c>
      <c r="I75" s="186" t="inlineStr">
        <is>
          <t>RE-CHECK AT FINAL OFFER</t>
        </is>
      </c>
      <c r="J75" s="253" t="n"/>
      <c r="K75" s="189" t="n"/>
    </row>
    <row r="76" ht="15.75" customHeight="1" s="160">
      <c r="B76" s="254" t="inlineStr">
        <is>
          <t>FINAL DECISION</t>
        </is>
      </c>
      <c r="C76" s="255">
        <f>IF(OR(C24=0,$K$14=""),"",IF(OR(C73="-",C73="",C78="",C78=0,C78&lt;E61,COUNTIF(F42:F45,"RED")+COUNTIF(F42:F45,"KNOCKOUT")+COUNTIF($J$76:$J$79,"RED")&gt;=C61),"DECLINE",IF(OR(COUNTIF($J$76:$J$79,"YELLOW")&gt;0,COUNTIF(F42:F45,"YELLOW")&gt;0,C84="Negative"),"CONDITIONAL","APPROVE")))</f>
        <v/>
      </c>
      <c r="D76" s="256" t="n"/>
      <c r="I76" s="243" t="inlineStr">
        <is>
          <t>Holdback</t>
        </is>
      </c>
      <c r="J76" s="257">
        <f>IF(K76="","",IF(K76&gt;=G39,"KNOCKOUT",IF(K76&lt;=D39,"GREEN",IF(K76&gt;=E39,"RED","YELLOW"))))</f>
        <v/>
      </c>
      <c r="K76" s="258">
        <f>IF($C$83="","",$C$83*$K$9/C24)</f>
        <v/>
      </c>
    </row>
    <row r="77" ht="15" customHeight="1" s="160">
      <c r="B77" s="259" t="inlineStr">
        <is>
          <t>Cash flow only</t>
        </is>
      </c>
      <c r="C77" s="260">
        <f>IF($K$14="","",F73)</f>
        <v/>
      </c>
      <c r="D77" s="261" t="n"/>
      <c r="I77" s="243" t="inlineStr">
        <is>
          <t>Total LVG</t>
        </is>
      </c>
      <c r="J77" s="257">
        <f>IF(K77="","",IF(K77&gt;=G38,"KNOCKOUT",IF(K77&lt;=D38,"GREEN",IF(K77&gt;=E38,"RED","YELLOW"))))</f>
        <v/>
      </c>
      <c r="K77" s="258">
        <f>IF($C$83="","",(E34+$C$83)*$K$9/C24)</f>
        <v/>
      </c>
    </row>
    <row r="78" ht="15.75" customHeight="1" s="160">
      <c r="B78" s="262" t="inlineStr">
        <is>
          <t>RECOMMENDED FUND</t>
        </is>
      </c>
      <c r="C78" s="263">
        <f>IF($K$14="","",IF(OR(C73="",C73="-"),C73,IF('Historical Score'!$C$34="Negative",FLOOR(C73*(1-Controls!$B$32),500),C73)))</f>
        <v/>
      </c>
      <c r="D78" s="261" t="n"/>
      <c r="I78" s="243" t="inlineStr">
        <is>
          <t>Daily/balance</t>
        </is>
      </c>
      <c r="J78" s="257">
        <f>IF(K78="","",IF(K78&gt;=G40,"KNOCKOUT",IF(K78&lt;=D40,"GREEN",IF(K78&gt;=E40,"RED","YELLOW"))))</f>
        <v/>
      </c>
      <c r="K78" s="258">
        <f>IF(OR($C$83="",D24=0),"",(E34+$C$83)/D24)</f>
        <v/>
      </c>
    </row>
    <row r="79" ht="15" customHeight="1" s="160">
      <c r="B79" s="262" t="inlineStr">
        <is>
          <t>Factor</t>
        </is>
      </c>
      <c r="C79" s="264">
        <f>IF(OR(C78="",C78="-"),"",D72)</f>
        <v/>
      </c>
      <c r="D79" s="261" t="n"/>
      <c r="I79" s="243" t="inlineStr">
        <is>
          <t>Fund/revenue</t>
        </is>
      </c>
      <c r="J79" s="257">
        <f>IF(K79="","",IF(K79&gt;=G41,"KNOCKOUT",IF(K79&lt;=D41,"GREEN",IF(K79&gt;=E41,"RED","YELLOW"))))</f>
        <v/>
      </c>
      <c r="K79" s="265">
        <f>IF(OR(C78="",C78="-"),"",C78/C24)</f>
        <v/>
      </c>
    </row>
    <row r="80" ht="15" customHeight="1" s="160">
      <c r="B80" s="262" t="inlineStr">
        <is>
          <t>Term (weeks)</t>
        </is>
      </c>
      <c r="C80" s="266">
        <f>IF(OR(C78="",C78="-"),"",C72/5)</f>
        <v/>
      </c>
      <c r="D80" s="261" t="n"/>
    </row>
    <row r="81" ht="15" customHeight="1" s="160">
      <c r="B81" s="262" t="inlineStr">
        <is>
          <t>Term (daily pmts)</t>
        </is>
      </c>
      <c r="C81" s="266">
        <f>IF(OR(C78="",C78="-"),"",C72)</f>
        <v/>
      </c>
      <c r="D81" s="261" t="n"/>
    </row>
    <row r="82" ht="15" customHeight="1" s="160">
      <c r="B82" s="262" t="inlineStr">
        <is>
          <t>Weekly payment</t>
        </is>
      </c>
      <c r="C82" s="267">
        <f>IF(OR(C78="",C78="-"),"",C78*D72/C72*5)</f>
        <v/>
      </c>
      <c r="D82" s="261" t="n"/>
    </row>
    <row r="83" ht="15" customHeight="1" s="160">
      <c r="B83" s="262" t="inlineStr">
        <is>
          <t>Daily payment</t>
        </is>
      </c>
      <c r="C83" s="267">
        <f>IF(OR(C78="",C78="-"),"",C78*D72/C72)</f>
        <v/>
      </c>
      <c r="D83" s="261" t="n"/>
    </row>
    <row r="84" ht="15" customHeight="1" s="160">
      <c r="B84" s="262" t="inlineStr">
        <is>
          <t>HOUSE-BOOK OUTCOME</t>
        </is>
      </c>
      <c r="C84" s="268">
        <f>IF($K$14="","",'Historical Score'!$C$34)</f>
        <v/>
      </c>
      <c r="D84" s="261" t="n"/>
    </row>
    <row r="85" ht="15" customHeight="1" s="160">
      <c r="B85" s="215" t="n"/>
      <c r="C85" s="257" t="n"/>
      <c r="D85" s="261" t="n"/>
    </row>
    <row r="86" ht="15" customHeight="1" s="160">
      <c r="B86" s="269" t="n"/>
    </row>
    <row r="87" ht="15" customHeight="1" s="160"/>
    <row r="88" ht="15" customHeight="1" s="160"/>
    <row r="89" ht="15" customHeight="1" s="160"/>
    <row r="90" ht="15" customHeight="1" s="160"/>
    <row r="91" ht="15" customHeight="1" s="160"/>
    <row r="92" ht="15" customHeight="1" s="160"/>
    <row r="93" ht="15" customHeight="1" s="160"/>
    <row r="94" ht="15" customHeight="1" s="160"/>
    <row r="95" ht="1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6">
    <mergeCell ref="B36:H36"/>
    <mergeCell ref="L12:M12"/>
    <mergeCell ref="B74:H74"/>
    <mergeCell ref="B4:H4"/>
    <mergeCell ref="D2:H2"/>
    <mergeCell ref="I75:K75"/>
    <mergeCell ref="J4:M4"/>
    <mergeCell ref="L14:M14"/>
    <mergeCell ref="J11:M11"/>
    <mergeCell ref="L15:M15"/>
    <mergeCell ref="B26:J26"/>
    <mergeCell ref="B10:H10"/>
    <mergeCell ref="B75:D75"/>
    <mergeCell ref="D62:H62"/>
    <mergeCell ref="B59:H59"/>
    <mergeCell ref="L13:M13"/>
  </mergeCells>
  <conditionalFormatting sqref="F38:F4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  <cfRule type="cellIs" rank="0" priority="5" equalAverage="0" operator="equal" aboveAverage="0" dxfId="2" text="" percent="0" bottom="0">
      <formula>"KNOCKOUT"</formula>
    </cfRule>
  </conditionalFormatting>
  <conditionalFormatting sqref="F51:F56">
    <cfRule type="cellIs" rank="0" priority="6" equalAverage="0" operator="equal" aboveAverage="0" dxfId="0" text="" percent="0" bottom="0">
      <formula>"GREEN"</formula>
    </cfRule>
    <cfRule type="cellIs" rank="0" priority="7" equalAverage="0" operator="equal" aboveAverage="0" dxfId="1" text="" percent="0" bottom="0">
      <formula>"YELLOW"</formula>
    </cfRule>
    <cfRule type="cellIs" rank="0" priority="8" equalAverage="0" operator="equal" aboveAverage="0" dxfId="2" text="" percent="0" bottom="0">
      <formula>"RED"</formula>
    </cfRule>
    <cfRule type="cellIs" rank="0" priority="9" equalAverage="0" operator="equal" aboveAverage="0" dxfId="2" text="" percent="0" bottom="0">
      <formula>"KNOCKOUT"</formula>
    </cfRule>
  </conditionalFormatting>
  <conditionalFormatting sqref="C2">
    <cfRule type="cellIs" rank="0" priority="10" equalAverage="0" operator="equal" aboveAverage="0" dxfId="0" text="" percent="0" bottom="0">
      <formula>"APPROVE"</formula>
    </cfRule>
    <cfRule type="cellIs" rank="0" priority="11" equalAverage="0" operator="equal" aboveAverage="0" dxfId="1" text="" percent="0" bottom="0">
      <formula>"CONDITIONAL"</formula>
    </cfRule>
    <cfRule type="cellIs" rank="0" priority="12" equalAverage="0" operator="equal" aboveAverage="0" dxfId="2" text="" percent="0" bottom="0">
      <formula>"DECLINE"</formula>
    </cfRule>
    <cfRule type="cellIs" rank="0" priority="13" equalAverage="0" operator="equal" aboveAverage="0" dxfId="3" text="" percent="0" bottom="0">
      <formula>"MANUAL REVIEW"</formula>
    </cfRule>
  </conditionalFormatting>
  <conditionalFormatting sqref="C62">
    <cfRule type="cellIs" rank="0" priority="14" equalAverage="0" operator="equal" aboveAverage="0" dxfId="0" text="" percent="0" bottom="0">
      <formula>"APPROVE"</formula>
    </cfRule>
    <cfRule type="cellIs" rank="0" priority="15" equalAverage="0" operator="equal" aboveAverage="0" dxfId="1" text="" percent="0" bottom="0">
      <formula>"CONDITIONAL"</formula>
    </cfRule>
    <cfRule type="cellIs" rank="0" priority="16" equalAverage="0" operator="equal" aboveAverage="0" dxfId="2" text="" percent="0" bottom="0">
      <formula>"DECLINE"</formula>
    </cfRule>
    <cfRule type="cellIs" rank="0" priority="17" equalAverage="0" operator="equal" aboveAverage="0" dxfId="3" text="" percent="0" bottom="0">
      <formula>"MANUAL REVIEW"</formula>
    </cfRule>
  </conditionalFormatting>
  <conditionalFormatting sqref="J76:J79">
    <cfRule type="cellIs" rank="0" priority="18" equalAverage="0" operator="equal" aboveAverage="0" dxfId="0" text="" percent="0" bottom="0">
      <formula>"GREEN"</formula>
    </cfRule>
    <cfRule type="cellIs" rank="0" priority="19" equalAverage="0" operator="equal" aboveAverage="0" dxfId="1" text="" percent="0" bottom="0">
      <formula>"YELLOW"</formula>
    </cfRule>
    <cfRule type="cellIs" rank="0" priority="20" equalAverage="0" operator="equal" aboveAverage="0" dxfId="2" text="" percent="0" bottom="0">
      <formula>"RED"</formula>
    </cfRule>
    <cfRule type="cellIs" rank="0" priority="21" equalAverage="0" operator="equal" aboveAverage="0" dxfId="2" text="" percent="0" bottom="0">
      <formula>"KNOCKOUT"</formula>
    </cfRule>
  </conditionalFormatting>
  <conditionalFormatting sqref="C76">
    <cfRule type="cellIs" rank="0" priority="22" equalAverage="0" operator="equal" aboveAverage="0" dxfId="0" text="" percent="0" bottom="0">
      <formula>"APPROVE"</formula>
    </cfRule>
    <cfRule type="cellIs" rank="0" priority="23" equalAverage="0" operator="equal" aboveAverage="0" dxfId="1" text="" percent="0" bottom="0">
      <formula>"CONDITIONAL"</formula>
    </cfRule>
    <cfRule type="cellIs" rank="0" priority="24" equalAverage="0" operator="equal" aboveAverage="0" dxfId="2" text="" percent="0" bottom="0">
      <formula>"DECLINE"</formula>
    </cfRule>
  </conditionalFormatting>
  <dataValidations count="6">
    <dataValidation sqref="E28:E33" showDropDown="0" showInputMessage="0" showErrorMessage="0" allowBlank="1" type="list" errorStyle="stop" operator="between">
      <formula1>"Weekly,Daily,Monthly"</formula1>
      <formula2>0</formula2>
    </dataValidation>
    <dataValidation sqref="B12:B23" showDropDown="0" showInputMessage="0" showErrorMessage="0" allowBlank="1" type="list" errorStyle="stop" operator="between">
      <formula1>"Jan,Feb,Mar,Apr,May,Jun,Jul,Aug,Sep,Oct,Nov,Dec"</formula1>
      <formula2>0</formula2>
    </dataValidation>
    <dataValidation sqref="K13" showDropDown="0" showInputMessage="0" showErrorMessage="0" allowBlank="1" type="list" errorStyle="stop" operator="between">
      <formula1>Ref!$G$2:$G$67</formula1>
      <formula2>0</formula2>
    </dataValidation>
    <dataValidation sqref="K12" showDropDown="0" showInputMessage="0" showErrorMessage="0" allowBlank="1" type="list" errorStyle="stop" operator="between">
      <formula1>Ref!$E$2:$E$157</formula1>
      <formula2>0</formula2>
    </dataValidation>
    <dataValidation sqref="E6" showDropDown="0" showInputMessage="0" showErrorMessage="0" allowBlank="1" type="list" errorStyle="stop" operator="between">
      <formula1>"Daily,Weekly"</formula1>
      <formula2>0</formula2>
    </dataValidation>
    <dataValidation sqref="K14" showDropDown="0" showInputMessage="0" showErrorMessage="0" allowBlank="1" type="list" errorStyle="stop" operator="between">
      <formula1>"New Deal,Renewal"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7" customWidth="1" style="159" min="1" max="1"/>
    <col width="38" customWidth="1" style="159" min="2" max="2"/>
    <col width="23.57" customWidth="1" style="159" min="3" max="3"/>
    <col width="16" customWidth="1" style="159" min="4" max="4"/>
    <col width="12" customWidth="1" style="159" min="5" max="5"/>
    <col width="16" customWidth="1" style="159" min="6" max="7"/>
    <col width="12" customWidth="1" style="159" min="8" max="8"/>
    <col width="60" customWidth="1" style="159" min="9" max="9"/>
    <col width="8.57" customWidth="1" style="159" min="10" max="26"/>
  </cols>
  <sheetData>
    <row r="1" ht="17.25" customHeight="1" s="160">
      <c r="A1" s="270" t="inlineStr">
        <is>
          <t xml:space="preserve">HISTORICAL SCORE  </t>
        </is>
      </c>
    </row>
    <row r="2" ht="15" customHeight="1" s="160">
      <c r="A2" s="269" t="inlineStr">
        <is>
          <t>Seasoned = age &gt;= multiple x contracted term OR the deal reached a terminal status (Closed family, Written-Off, Bankruptcy, Settlement).  SIDE NOTE: a blend rate and a credibility factor are under consideration; not built.</t>
        </is>
      </c>
    </row>
    <row r="4" ht="15" customHeight="1" s="160">
      <c r="A4" s="165" t="inlineStr">
        <is>
          <t>DEAL BEING MATCHED</t>
        </is>
      </c>
    </row>
    <row r="5" ht="15" customHeight="1" s="160">
      <c r="B5" s="271" t="inlineStr">
        <is>
          <t>New deal or renewal</t>
        </is>
      </c>
      <c r="C5" s="266">
        <f>IF(Deal!$K$14="","",Deal!$K$14)</f>
        <v/>
      </c>
    </row>
    <row r="6" ht="15" customHeight="1" s="160">
      <c r="B6" s="271" t="inlineStr">
        <is>
          <t>Position (Deal C42)</t>
        </is>
      </c>
      <c r="C6" s="266">
        <f>IF(Deal!$C$42="","",Deal!$C$42)</f>
        <v/>
      </c>
    </row>
    <row r="7" ht="15" customHeight="1" s="160">
      <c r="B7" s="271" t="inlineStr">
        <is>
          <t>Industry</t>
        </is>
      </c>
      <c r="C7" s="266">
        <f>IF(Deal!$K$13="","",Deal!$K$13)</f>
        <v/>
      </c>
    </row>
    <row r="8" ht="15" customHeight="1" s="160">
      <c r="B8" s="271" t="inlineStr">
        <is>
          <t>ISO</t>
        </is>
      </c>
      <c r="C8" s="268">
        <f>IF(Deal!$K$12="","",Deal!$K$12)</f>
        <v/>
      </c>
    </row>
    <row r="9" ht="15" customHeight="1" s="160"/>
    <row r="10" ht="15" customHeight="1" s="160">
      <c r="B10" s="271" t="inlineStr">
        <is>
          <t>Seasoned-book principal lost rate</t>
        </is>
      </c>
      <c r="C10" s="272">
        <f>IF($F$21="",0,$F$21)</f>
        <v/>
      </c>
    </row>
    <row r="11" ht="15" customHeight="1" s="160">
      <c r="B11" s="271" t="inlineStr">
        <is>
          <t>Seasoned-book return on funded</t>
        </is>
      </c>
      <c r="C11" s="272">
        <f>IF($G$21="",0,$G$21)</f>
        <v/>
      </c>
    </row>
    <row r="12" ht="15" customHeight="1" s="160"/>
    <row r="13" ht="30" customHeight="1" s="160">
      <c r="A13" s="256" t="n"/>
      <c r="B13" s="256" t="inlineStr">
        <is>
          <t>Cohort</t>
        </is>
      </c>
      <c r="C13" s="256" t="inlineStr">
        <is>
          <t>Seasoned deals</t>
        </is>
      </c>
      <c r="D13" s="256" t="inlineStr">
        <is>
          <t>Funded $ (seasoned)</t>
        </is>
      </c>
      <c r="E13" s="256" t="inlineStr">
        <is>
          <t>Meets min?</t>
        </is>
      </c>
      <c r="F13" s="256" t="inlineStr">
        <is>
          <t>Principal lost rate</t>
        </is>
      </c>
      <c r="G13" s="256" t="inlineStr">
        <is>
          <t>Return on funded</t>
        </is>
      </c>
      <c r="H13" s="256" t="inlineStr">
        <is>
          <t>Index</t>
        </is>
      </c>
      <c r="I13" s="256" t="n"/>
    </row>
    <row r="14" ht="15" customHeight="1" s="160">
      <c r="A14" s="215" t="n"/>
      <c r="B14" s="271" t="inlineStr">
        <is>
          <t>New/renewal + ISO + industry</t>
        </is>
      </c>
      <c r="C14" s="249">
        <f>SUMPRODUCT('Historical Data'!$AU$2:$AU$9*'Historical Data'!$AP$2:$AP$9)</f>
        <v/>
      </c>
      <c r="D14" s="252">
        <f>SUMPRODUCT('Historical Data'!$AU$2:$AU$9*'Historical Data'!$AP$2:$AP$9*'Historical Data'!$N$2:$N$9)</f>
        <v/>
      </c>
      <c r="E14" s="268">
        <f>IF(AND(C14&gt;=Controls!$B$24,D14&gt;=Controls!$B$25),"Yes","No")</f>
        <v/>
      </c>
      <c r="F14" s="273">
        <f>IF(D14=0,"",SUMPRODUCT('Historical Data'!$AU$2:$AU$9*'Historical Data'!$AP$2:$AP$9*'Historical Data'!$AK$2:$AK$9)/D14)</f>
        <v/>
      </c>
      <c r="G14" s="273">
        <f>IF(D14=0,"",SUMPRODUCT('Historical Data'!$AU$2:$AU$9*'Historical Data'!$AP$2:$AP$9*'Historical Data'!$AJ$2:$AJ$9)/D14)</f>
        <v/>
      </c>
      <c r="H14" s="274">
        <f>IF(OR(F14="",$C$10=0),"",F14/$C$10)</f>
        <v/>
      </c>
      <c r="I14" s="269" t="n"/>
    </row>
    <row r="15" ht="15" customHeight="1" s="160">
      <c r="A15" s="215" t="n"/>
      <c r="B15" s="271" t="inlineStr">
        <is>
          <t>New/renewal + industry + position</t>
        </is>
      </c>
      <c r="C15" s="249">
        <f>SUMPRODUCT('Historical Data'!$AV$2:$AV$9*'Historical Data'!$AP$2:$AP$9)</f>
        <v/>
      </c>
      <c r="D15" s="252">
        <f>SUMPRODUCT('Historical Data'!$AV$2:$AV$9*'Historical Data'!$AP$2:$AP$9*'Historical Data'!$N$2:$N$9)</f>
        <v/>
      </c>
      <c r="E15" s="268">
        <f>IF(AND(C15&gt;=Controls!$B$24,D15&gt;=Controls!$B$25),"Yes","No")</f>
        <v/>
      </c>
      <c r="F15" s="273">
        <f>IF(D15=0,"",SUMPRODUCT('Historical Data'!$AV$2:$AV$9*'Historical Data'!$AP$2:$AP$9*'Historical Data'!$AK$2:$AK$9)/D15)</f>
        <v/>
      </c>
      <c r="G15" s="273">
        <f>IF(D15=0,"",SUMPRODUCT('Historical Data'!$AV$2:$AV$9*'Historical Data'!$AP$2:$AP$9*'Historical Data'!$AJ$2:$AJ$9)/D15)</f>
        <v/>
      </c>
      <c r="H15" s="274">
        <f>IF(OR(F15="",$C$10=0),"",F15/$C$10)</f>
        <v/>
      </c>
    </row>
    <row r="16" ht="15" customHeight="1" s="160">
      <c r="A16" s="215" t="n"/>
      <c r="B16" s="271" t="inlineStr">
        <is>
          <t>New/renewal + ISO + position</t>
        </is>
      </c>
      <c r="C16" s="249">
        <f>SUMPRODUCT('Historical Data'!$AW$2:$AW$9*'Historical Data'!$AP$2:$AP$9)</f>
        <v/>
      </c>
      <c r="D16" s="252">
        <f>SUMPRODUCT('Historical Data'!$AW$2:$AW$9*'Historical Data'!$AP$2:$AP$9*'Historical Data'!$N$2:$N$9)</f>
        <v/>
      </c>
      <c r="E16" s="268">
        <f>IF(AND(C16&gt;=Controls!$B$24,D16&gt;=Controls!$B$25),"Yes","No")</f>
        <v/>
      </c>
      <c r="F16" s="273">
        <f>IF(D16=0,"",SUMPRODUCT('Historical Data'!$AW$2:$AW$9*'Historical Data'!$AP$2:$AP$9*'Historical Data'!$AK$2:$AK$9)/D16)</f>
        <v/>
      </c>
      <c r="G16" s="273">
        <f>IF(D16=0,"",SUMPRODUCT('Historical Data'!$AW$2:$AW$9*'Historical Data'!$AP$2:$AP$9*'Historical Data'!$AJ$2:$AJ$9)/D16)</f>
        <v/>
      </c>
      <c r="H16" s="274">
        <f>IF(OR(F16="",$C$10=0),"",F16/$C$10)</f>
        <v/>
      </c>
    </row>
    <row r="17" ht="15" customHeight="1" s="160">
      <c r="A17" s="215" t="n"/>
      <c r="B17" s="271" t="inlineStr">
        <is>
          <t>New/renewal + industry</t>
        </is>
      </c>
      <c r="C17" s="249">
        <f>SUMPRODUCT('Historical Data'!$AX$2:$AX$9*'Historical Data'!$AP$2:$AP$9)</f>
        <v/>
      </c>
      <c r="D17" s="252">
        <f>SUMPRODUCT('Historical Data'!$AX$2:$AX$9*'Historical Data'!$AP$2:$AP$9*'Historical Data'!$N$2:$N$9)</f>
        <v/>
      </c>
      <c r="E17" s="268">
        <f>IF(AND(C17&gt;=Controls!$B$24,D17&gt;=Controls!$B$25),"Yes","No")</f>
        <v/>
      </c>
      <c r="F17" s="273">
        <f>IF(D17=0,"",SUMPRODUCT('Historical Data'!$AX$2:$AX$9*'Historical Data'!$AP$2:$AP$9*'Historical Data'!$AK$2:$AK$9)/D17)</f>
        <v/>
      </c>
      <c r="G17" s="273">
        <f>IF(D17=0,"",SUMPRODUCT('Historical Data'!$AX$2:$AX$9*'Historical Data'!$AP$2:$AP$9*'Historical Data'!$AJ$2:$AJ$9)/D17)</f>
        <v/>
      </c>
      <c r="H17" s="274">
        <f>IF(OR(F17="",$C$10=0),"",F17/$C$10)</f>
        <v/>
      </c>
    </row>
    <row r="18" ht="15" customHeight="1" s="160">
      <c r="A18" s="215" t="n"/>
      <c r="B18" s="271" t="inlineStr">
        <is>
          <t>New/renewal + ISO</t>
        </is>
      </c>
      <c r="C18" s="249">
        <f>SUMPRODUCT('Historical Data'!$AY$2:$AY$9*'Historical Data'!$AP$2:$AP$9)</f>
        <v/>
      </c>
      <c r="D18" s="252">
        <f>SUMPRODUCT('Historical Data'!$AY$2:$AY$9*'Historical Data'!$AP$2:$AP$9*'Historical Data'!$N$2:$N$9)</f>
        <v/>
      </c>
      <c r="E18" s="268">
        <f>IF(AND(C18&gt;=Controls!$B$24,D18&gt;=Controls!$B$25),"Yes","No")</f>
        <v/>
      </c>
      <c r="F18" s="273">
        <f>IF(D18=0,"",SUMPRODUCT('Historical Data'!$AY$2:$AY$9*'Historical Data'!$AP$2:$AP$9*'Historical Data'!$AK$2:$AK$9)/D18)</f>
        <v/>
      </c>
      <c r="G18" s="273">
        <f>IF(D18=0,"",SUMPRODUCT('Historical Data'!$AY$2:$AY$9*'Historical Data'!$AP$2:$AP$9*'Historical Data'!$AJ$2:$AJ$9)/D18)</f>
        <v/>
      </c>
      <c r="H18" s="274">
        <f>IF(OR(F18="",$C$10=0),"",F18/$C$10)</f>
        <v/>
      </c>
    </row>
    <row r="19" ht="15" customHeight="1" s="160">
      <c r="A19" s="215" t="n"/>
      <c r="B19" s="271" t="inlineStr">
        <is>
          <t>New/renewal + position</t>
        </is>
      </c>
      <c r="C19" s="249">
        <f>SUMPRODUCT('Historical Data'!$AZ$2:$AZ$9*'Historical Data'!$AP$2:$AP$9)</f>
        <v/>
      </c>
      <c r="D19" s="252">
        <f>SUMPRODUCT('Historical Data'!$AZ$2:$AZ$9*'Historical Data'!$AP$2:$AP$9*'Historical Data'!$N$2:$N$9)</f>
        <v/>
      </c>
      <c r="E19" s="268">
        <f>IF(AND(C19&gt;=Controls!$B$24,D19&gt;=Controls!$B$25),"Yes","No")</f>
        <v/>
      </c>
      <c r="F19" s="273">
        <f>IF(D19=0,"",SUMPRODUCT('Historical Data'!$AZ$2:$AZ$9*'Historical Data'!$AP$2:$AP$9*'Historical Data'!$AK$2:$AK$9)/D19)</f>
        <v/>
      </c>
      <c r="G19" s="273">
        <f>IF(D19=0,"",SUMPRODUCT('Historical Data'!$AZ$2:$AZ$9*'Historical Data'!$AP$2:$AP$9*'Historical Data'!$AJ$2:$AJ$9)/D19)</f>
        <v/>
      </c>
      <c r="H19" s="274">
        <f>IF(OR(F19="",$C$10=0),"",F19/$C$10)</f>
        <v/>
      </c>
    </row>
    <row r="20" ht="15" customHeight="1" s="160">
      <c r="A20" s="215" t="n"/>
      <c r="B20" s="271" t="inlineStr">
        <is>
          <t>New/renewal only</t>
        </is>
      </c>
      <c r="C20" s="249">
        <f>SUMPRODUCT('Historical Data'!$AR$2:$AR$9*'Historical Data'!$AP$2:$AP$9)</f>
        <v/>
      </c>
      <c r="D20" s="252">
        <f>SUMPRODUCT('Historical Data'!$AR$2:$AR$9*'Historical Data'!$AP$2:$AP$9*'Historical Data'!$N$2:$N$9)</f>
        <v/>
      </c>
      <c r="E20" s="268">
        <f>IF(AND(C20&gt;=Controls!$B$24,D20&gt;=Controls!$B$25),"Yes","No")</f>
        <v/>
      </c>
      <c r="F20" s="273">
        <f>IF(D20=0,"",SUMPRODUCT('Historical Data'!$AR$2:$AR$9*'Historical Data'!$AP$2:$AP$9*'Historical Data'!$AK$2:$AK$9)/D20)</f>
        <v/>
      </c>
      <c r="G20" s="273">
        <f>IF(D20=0,"",SUMPRODUCT('Historical Data'!$AR$2:$AR$9*'Historical Data'!$AP$2:$AP$9*'Historical Data'!$AJ$2:$AJ$9)/D20)</f>
        <v/>
      </c>
      <c r="H20" s="274">
        <f>IF(OR(F20="",$C$10=0),"",F20/$C$10)</f>
        <v/>
      </c>
    </row>
    <row r="21" ht="15.75" customHeight="1" s="160">
      <c r="A21" s="256" t="n"/>
      <c r="B21" s="275" t="inlineStr">
        <is>
          <t>Whole seasoned book</t>
        </is>
      </c>
      <c r="C21" s="276">
        <f>SUMPRODUCT('Historical Data'!$AP$2:$AP$9)</f>
        <v/>
      </c>
      <c r="D21" s="277">
        <f>SUMPRODUCT('Historical Data'!$AP$2:$AP$9*'Historical Data'!$N$2:$N$9)</f>
        <v/>
      </c>
      <c r="E21" s="278">
        <f>IF(AND(C21&gt;=Controls!$B$24,D21&gt;=Controls!$B$25),"Yes","No")</f>
        <v/>
      </c>
      <c r="F21" s="279">
        <f>IF(D21=0,"",SUMPRODUCT('Historical Data'!$AP$2:$AP$9*'Historical Data'!$AK$2:$AK$9)/D21)</f>
        <v/>
      </c>
      <c r="G21" s="279">
        <f>IF(D21=0,"",SUMPRODUCT('Historical Data'!$AP$2:$AP$9*'Historical Data'!$AJ$2:$AJ$9)/D21)</f>
        <v/>
      </c>
      <c r="H21" s="280">
        <f>IF(OR(F21="",$C$10=0),"",F21/$C$10)</f>
        <v/>
      </c>
      <c r="I21" s="166" t="n"/>
    </row>
    <row r="22" ht="15.75" customHeight="1" s="160">
      <c r="A22" s="256" t="n"/>
      <c r="B22" s="256" t="inlineStr">
        <is>
          <t>SINGLE-DIMENSION EVIDENCE  (feeds C2 on the Deal sheet; does not pick the cohort)</t>
        </is>
      </c>
      <c r="C22" s="281" t="n"/>
      <c r="D22" s="282" t="n"/>
      <c r="E22" s="256" t="n"/>
      <c r="F22" s="283" t="n"/>
      <c r="G22" s="283" t="n"/>
      <c r="H22" s="284" t="n"/>
      <c r="I22" s="283" t="inlineStr">
        <is>
          <t>|PLR - book|</t>
        </is>
      </c>
    </row>
    <row r="23" ht="15.75" customHeight="1" s="160">
      <c r="A23" s="215" t="n"/>
      <c r="B23" s="271" t="inlineStr">
        <is>
          <t>Position only</t>
        </is>
      </c>
      <c r="C23" s="249">
        <f>SUMPRODUCT('Historical Data'!$AQ$2:$AQ$9*'Historical Data'!$AP$2:$AP$9)</f>
        <v/>
      </c>
      <c r="D23" s="252">
        <f>SUMPRODUCT('Historical Data'!$AQ$2:$AQ$9*'Historical Data'!$AP$2:$AP$9*'Historical Data'!$N$2:$N$9)</f>
        <v/>
      </c>
      <c r="E23" s="268">
        <f>IF(AND(C23&gt;=Controls!$B$24,D23&gt;=Controls!$B$25),"Yes","No")</f>
        <v/>
      </c>
      <c r="F23" s="273">
        <f>IF(D23=0,"",SUMPRODUCT('Historical Data'!$AQ$2:$AQ$9*'Historical Data'!$AP$2:$AP$9*'Historical Data'!$AK$2:$AK$9)/D23)</f>
        <v/>
      </c>
      <c r="G23" s="273">
        <f>IF(D23=0,"",SUMPRODUCT('Historical Data'!$AQ$2:$AQ$9*'Historical Data'!$AP$2:$AP$9*'Historical Data'!$AJ$2:$AJ$9)/D23)</f>
        <v/>
      </c>
      <c r="H23" s="274">
        <f>IF(OR(F23="",$C$10=0),"",F23/$C$10)</f>
        <v/>
      </c>
      <c r="I23" s="258">
        <f>IF(F23="",0,ABS(F23-$C$10))</f>
        <v/>
      </c>
    </row>
    <row r="24" ht="15.75" customHeight="1" s="160">
      <c r="A24" s="215" t="n"/>
      <c r="B24" s="271" t="inlineStr">
        <is>
          <t>New/renewal only</t>
        </is>
      </c>
      <c r="C24" s="249">
        <f>SUMPRODUCT('Historical Data'!$AR$2:$AR$9*'Historical Data'!$AP$2:$AP$9)</f>
        <v/>
      </c>
      <c r="D24" s="252">
        <f>SUMPRODUCT('Historical Data'!$AR$2:$AR$9*'Historical Data'!$AP$2:$AP$9*'Historical Data'!$N$2:$N$9)</f>
        <v/>
      </c>
      <c r="E24" s="268">
        <f>IF(AND(C24&gt;=Controls!$B$24,D24&gt;=Controls!$B$25),"Yes","No")</f>
        <v/>
      </c>
      <c r="F24" s="273">
        <f>IF(D24=0,"",SUMPRODUCT('Historical Data'!$AR$2:$AR$9*'Historical Data'!$AP$2:$AP$9*'Historical Data'!$AK$2:$AK$9)/D24)</f>
        <v/>
      </c>
      <c r="G24" s="273">
        <f>IF(D24=0,"",SUMPRODUCT('Historical Data'!$AR$2:$AR$9*'Historical Data'!$AP$2:$AP$9*'Historical Data'!$AJ$2:$AJ$9)/D24)</f>
        <v/>
      </c>
      <c r="H24" s="274">
        <f>IF(OR(F24="",$C$10=0),"",F24/$C$10)</f>
        <v/>
      </c>
      <c r="I24" s="258">
        <f>IF(F24="",0,ABS(F24-$C$10))</f>
        <v/>
      </c>
    </row>
    <row r="25" ht="15.75" customHeight="1" s="160">
      <c r="A25" s="215" t="n"/>
      <c r="B25" s="271" t="inlineStr">
        <is>
          <t>Industry only</t>
        </is>
      </c>
      <c r="C25" s="249">
        <f>SUMPRODUCT('Historical Data'!$AS$2:$AS$9*'Historical Data'!$AP$2:$AP$9)</f>
        <v/>
      </c>
      <c r="D25" s="252">
        <f>SUMPRODUCT('Historical Data'!$AS$2:$AS$9*'Historical Data'!$AP$2:$AP$9*'Historical Data'!$N$2:$N$9)</f>
        <v/>
      </c>
      <c r="E25" s="268">
        <f>IF(AND(C25&gt;=Controls!$B$24,D25&gt;=Controls!$B$25),"Yes","No")</f>
        <v/>
      </c>
      <c r="F25" s="273">
        <f>IF(D25=0,"",SUMPRODUCT('Historical Data'!$AS$2:$AS$9*'Historical Data'!$AP$2:$AP$9*'Historical Data'!$AK$2:$AK$9)/D25)</f>
        <v/>
      </c>
      <c r="G25" s="273">
        <f>IF(D25=0,"",SUMPRODUCT('Historical Data'!$AS$2:$AS$9*'Historical Data'!$AP$2:$AP$9*'Historical Data'!$AJ$2:$AJ$9)/D25)</f>
        <v/>
      </c>
      <c r="H25" s="274">
        <f>IF(OR(F25="",$C$10=0),"",F25/$C$10)</f>
        <v/>
      </c>
      <c r="I25" s="258">
        <f>IF(F25="",0,ABS(F25-$C$10))</f>
        <v/>
      </c>
    </row>
    <row r="26" ht="15.75" customHeight="1" s="160">
      <c r="B26" s="271" t="inlineStr">
        <is>
          <t>ISO only</t>
        </is>
      </c>
      <c r="C26" s="249">
        <f>SUMPRODUCT('Historical Data'!$AT$2:$AT$9*'Historical Data'!$AP$2:$AP$9)</f>
        <v/>
      </c>
      <c r="D26" s="252">
        <f>SUMPRODUCT('Historical Data'!$AT$2:$AT$9*'Historical Data'!$AP$2:$AP$9*'Historical Data'!$N$2:$N$9)</f>
        <v/>
      </c>
      <c r="E26" s="268">
        <f>IF(AND(C26&gt;=Controls!$B$24,D26&gt;=Controls!$B$25),"Yes","No")</f>
        <v/>
      </c>
      <c r="F26" s="273">
        <f>IF(D26=0,"",SUMPRODUCT('Historical Data'!$AT$2:$AT$9*'Historical Data'!$AP$2:$AP$9*'Historical Data'!$AK$2:$AK$9)/D26)</f>
        <v/>
      </c>
      <c r="G26" s="273">
        <f>IF(D26=0,"",SUMPRODUCT('Historical Data'!$AT$2:$AT$9*'Historical Data'!$AP$2:$AP$9*'Historical Data'!$AJ$2:$AJ$9)/D26)</f>
        <v/>
      </c>
      <c r="H26" s="274">
        <f>IF(OR(F26="",$C$10=0),"",F26/$C$10)</f>
        <v/>
      </c>
      <c r="I26" s="258">
        <f>IF(F26="",0,ABS(F26-$C$10))</f>
        <v/>
      </c>
    </row>
    <row r="27" ht="15.75" customHeight="1" s="160"/>
    <row r="28" ht="15.75" customHeight="1" s="160">
      <c r="A28" s="165" t="inlineStr">
        <is>
          <t>RESULT</t>
        </is>
      </c>
    </row>
    <row r="29" ht="15.75" customHeight="1" s="160">
      <c r="B29" s="271" t="inlineStr">
        <is>
          <t>Primary cohort  (lowest row that meets both minimums)</t>
        </is>
      </c>
      <c r="C29" s="285">
        <f>IF($D$29="","- no deal entered -",INDEX($B$14:$B$21,$D$29))</f>
        <v/>
      </c>
      <c r="D29" s="286">
        <f>IF($C$5="","",IFERROR(MATCH("Yes",$E$14:$E$21,0),8))</f>
        <v/>
      </c>
      <c r="E29" s="287" t="inlineStr">
        <is>
          <t>row # (read by Historical Data)</t>
        </is>
      </c>
    </row>
    <row r="30" ht="15.75" customHeight="1" s="160">
      <c r="B30" s="271" t="inlineStr">
        <is>
          <t>Seasoned deals in it</t>
        </is>
      </c>
      <c r="C30" s="285">
        <f>IF(OR($D$29="",$D$29=8),"",INDEX($C$14:$C$21,$D$29))</f>
        <v/>
      </c>
    </row>
    <row r="31" ht="15.75" customHeight="1" s="160">
      <c r="B31" s="271" t="inlineStr">
        <is>
          <t>Principal lost rate</t>
        </is>
      </c>
      <c r="C31" s="288">
        <f>IF(OR($D$29="",$D$29=8),"",INDEX($F$14:$F$21,$D$29))</f>
        <v/>
      </c>
    </row>
    <row r="32" ht="15.75" customHeight="1" s="160">
      <c r="B32" s="271" t="inlineStr">
        <is>
          <t>Return on funded</t>
        </is>
      </c>
      <c r="C32" s="288">
        <f>IF(OR($D$29="",$D$29=8),"",INDEX($G$14:$G$21,$D$29))</f>
        <v/>
      </c>
    </row>
    <row r="33" ht="15.75" customHeight="1" s="160">
      <c r="B33" s="271" t="inlineStr">
        <is>
          <t>Index (PLR / book PLR)</t>
        </is>
      </c>
      <c r="C33" s="289">
        <f>IF(OR($D$29="",$D$29=8),"",INDEX($H$14:$H$21,$D$29))</f>
        <v/>
      </c>
    </row>
    <row r="34" ht="15.75" customHeight="1" s="160">
      <c r="B34" s="271" t="inlineStr">
        <is>
          <t>HOUSE-BOOK OUTCOME</t>
        </is>
      </c>
      <c r="C34" s="290">
        <f>IF(OR($D$29="",$D$29=8,$C$33=""),"Neutral",IF($C$33&lt;=Controls!$B$29,"Supportive",IF($C$33&gt;Controls!$B$30,"Negative","Neutral")))</f>
        <v/>
      </c>
    </row>
    <row r="35" ht="15.75" customHeight="1" s="160">
      <c r="B35" s="271" t="inlineStr">
        <is>
          <t>Sizing flex applied (Supportive only)</t>
        </is>
      </c>
      <c r="C35" s="291">
        <f>IF(C34="Supportive",Controls!$B$31,0)</f>
        <v/>
      </c>
    </row>
    <row r="36" ht="15.75" customHeight="1" s="160">
      <c r="B36" s="271" t="inlineStr">
        <is>
          <t>Largest-impact variable</t>
        </is>
      </c>
      <c r="C36" s="291">
        <f>IF(MAX($I$23:$I$26)=0,"none rated",_xlfn._xlws.XLOOKUP(MAX($I$23:$I$26),$I$23:$I$26,$B$23:$B$26))</f>
        <v/>
      </c>
    </row>
    <row r="37" ht="15.75" customHeight="1" s="160">
      <c r="B37" s="172" t="n"/>
      <c r="C37" s="292" t="n"/>
    </row>
    <row r="38" ht="15.75" customHeight="1" s="160"/>
    <row r="39" ht="15.75" customHeight="1" s="160">
      <c r="B39" s="269" t="n"/>
    </row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2">
    <mergeCell ref="A4:C4"/>
    <mergeCell ref="A28:D28"/>
  </mergeCells>
  <conditionalFormatting sqref="E14:E25">
    <cfRule type="cellIs" rank="0" priority="2" equalAverage="0" operator="equal" aboveAverage="0" dxfId="0" text="" percent="0" bottom="0">
      <formula>"Yes"</formula>
    </cfRule>
    <cfRule type="cellIs" rank="0" priority="3" equalAverage="0" operator="equal" aboveAverage="0" dxfId="4" text="" percent="0" bottom="0">
      <formula>"No"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V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296875" defaultRowHeight="15" zeroHeight="0" outlineLevelRow="0"/>
  <cols>
    <col width="12" customWidth="1" style="159" min="1" max="1"/>
    <col width="28" customWidth="1" style="159" min="2" max="2"/>
    <col width="18" customWidth="1" style="159" min="3" max="3"/>
    <col width="11" customWidth="1" style="159" min="4" max="4"/>
    <col width="8" customWidth="1" style="159" min="5" max="5"/>
    <col width="26" customWidth="1" style="159" min="6" max="6"/>
    <col width="24" customWidth="1" style="159" min="7" max="7"/>
    <col width="11" customWidth="1" style="159" min="8" max="8"/>
    <col width="7" customWidth="1" style="159" min="9" max="9"/>
    <col width="11" customWidth="1" style="159" min="10" max="11"/>
    <col width="7" customWidth="1" style="159" min="12" max="12"/>
    <col width="11" customWidth="1" style="159" min="13" max="14"/>
    <col width="8" customWidth="1" style="159" min="15" max="16"/>
    <col width="9" customWidth="1" style="159" min="17" max="18"/>
    <col width="8" customWidth="1" style="159" min="19" max="19"/>
    <col width="7" customWidth="1" style="159" min="20" max="20"/>
    <col width="10" customWidth="1" style="159" min="21" max="22"/>
    <col width="8.57" customWidth="1" style="159" min="23" max="26"/>
  </cols>
  <sheetData>
    <row r="1" ht="17.25" customHeight="1" s="160">
      <c r="A1" s="270" t="inlineStr">
        <is>
          <t xml:space="preserve">COMPARABLE DEALS  </t>
        </is>
      </c>
    </row>
    <row r="2" ht="15" customHeight="1" s="160">
      <c r="A2" s="293" t="n"/>
    </row>
    <row r="4" ht="30" customHeight="1" s="160">
      <c r="A4" s="256" t="inlineStr">
        <is>
          <t>Contract ID</t>
        </is>
      </c>
      <c r="B4" s="256" t="inlineStr">
        <is>
          <t>DBA</t>
        </is>
      </c>
      <c r="C4" s="256" t="inlineStr">
        <is>
          <t>Status</t>
        </is>
      </c>
      <c r="D4" s="256" t="inlineStr">
        <is>
          <t>Funded</t>
        </is>
      </c>
      <c r="E4" s="256" t="inlineStr">
        <is>
          <t>Position</t>
        </is>
      </c>
      <c r="F4" s="256" t="inlineStr">
        <is>
          <t>Industry</t>
        </is>
      </c>
      <c r="G4" s="256" t="inlineStr">
        <is>
          <t>ISO</t>
        </is>
      </c>
      <c r="H4" s="256" t="inlineStr">
        <is>
          <t>New/renewal</t>
        </is>
      </c>
      <c r="I4" s="256" t="inlineStr">
        <is>
          <t>Factor</t>
        </is>
      </c>
      <c r="J4" s="256" t="inlineStr">
        <is>
          <t>Advance</t>
        </is>
      </c>
      <c r="K4" s="256" t="inlineStr">
        <is>
          <t>Collected</t>
        </is>
      </c>
      <c r="L4" s="256" t="inlineStr">
        <is>
          <t>% paid</t>
        </is>
      </c>
      <c r="M4" s="256" t="inlineStr">
        <is>
          <t>Net cash</t>
        </is>
      </c>
      <c r="N4" s="256" t="inlineStr">
        <is>
          <t>Principal lost</t>
        </is>
      </c>
      <c r="O4" s="256" t="inlineStr">
        <is>
          <t>Term (bd)</t>
        </is>
      </c>
      <c r="P4" s="256" t="inlineStr">
        <is>
          <t>Age (bd)</t>
        </is>
      </c>
      <c r="Q4" s="256" t="inlineStr">
        <is>
          <t>Days on book</t>
        </is>
      </c>
      <c r="R4" s="256" t="inlineStr">
        <is>
          <t>Seasoned</t>
        </is>
      </c>
      <c r="S4" s="256" t="inlineStr">
        <is>
          <t>Default</t>
        </is>
      </c>
      <c r="T4" s="256" t="inlineStr">
        <is>
          <t>Open</t>
        </is>
      </c>
      <c r="U4" s="256" t="inlineStr">
        <is>
          <t>In primary cohort</t>
        </is>
      </c>
      <c r="V4" s="256" t="n"/>
    </row>
    <row r="5" ht="15" customHeight="1" s="160">
      <c r="A5" s="159">
        <f>'Historical Data'!A2</f>
        <v/>
      </c>
      <c r="B5" s="159">
        <f>'Historical Data'!B2</f>
        <v/>
      </c>
      <c r="C5" s="159">
        <f>'Historical Data'!D2</f>
        <v/>
      </c>
      <c r="D5" s="294">
        <f>'Historical Data'!E2</f>
        <v/>
      </c>
      <c r="E5" s="159">
        <f>'Historical Data'!G2</f>
        <v/>
      </c>
      <c r="F5" s="159">
        <f>'Historical Data'!Y2</f>
        <v/>
      </c>
      <c r="G5" s="159">
        <f>'Historical Data'!K2</f>
        <v/>
      </c>
      <c r="H5" s="159">
        <f>'Historical Data'!L2</f>
        <v/>
      </c>
      <c r="I5" s="295">
        <f>'Historical Data'!M2</f>
        <v/>
      </c>
      <c r="J5" s="296">
        <f>'Historical Data'!N2</f>
        <v/>
      </c>
      <c r="K5" s="296">
        <f>'Historical Data'!Q2</f>
        <v/>
      </c>
      <c r="L5" s="297">
        <f>'Historical Data'!S2</f>
        <v/>
      </c>
      <c r="M5" s="296">
        <f>'Historical Data'!AJ2</f>
        <v/>
      </c>
      <c r="N5" s="296">
        <f>'Historical Data'!AK2</f>
        <v/>
      </c>
      <c r="O5" s="159">
        <f>'Historical Data'!AA2</f>
        <v/>
      </c>
      <c r="P5" s="159">
        <f>'Historical Data'!AB2</f>
        <v/>
      </c>
      <c r="Q5" s="159">
        <f>'Historical Data'!AN2</f>
        <v/>
      </c>
      <c r="R5" s="159">
        <f>'Historical Data'!AC2</f>
        <v/>
      </c>
      <c r="S5" s="159">
        <f>'Historical Data'!AE2</f>
        <v/>
      </c>
      <c r="T5" s="159">
        <f>'Historical Data'!AH2</f>
        <v/>
      </c>
      <c r="U5" s="159">
        <f>'Historical Data'!BB2</f>
        <v/>
      </c>
    </row>
    <row r="6" hidden="1" ht="15" customHeight="1" s="160">
      <c r="A6" s="159">
        <f>'Historical Data'!A3</f>
        <v/>
      </c>
      <c r="B6" s="159">
        <f>'Historical Data'!B3</f>
        <v/>
      </c>
      <c r="C6" s="159">
        <f>'Historical Data'!D3</f>
        <v/>
      </c>
      <c r="D6" s="294">
        <f>'Historical Data'!E3</f>
        <v/>
      </c>
      <c r="E6" s="159">
        <f>'Historical Data'!G3</f>
        <v/>
      </c>
      <c r="F6" s="159">
        <f>'Historical Data'!Y3</f>
        <v/>
      </c>
      <c r="G6" s="159">
        <f>'Historical Data'!K3</f>
        <v/>
      </c>
      <c r="H6" s="159">
        <f>'Historical Data'!L3</f>
        <v/>
      </c>
      <c r="I6" s="295">
        <f>'Historical Data'!M3</f>
        <v/>
      </c>
      <c r="J6" s="296">
        <f>'Historical Data'!N3</f>
        <v/>
      </c>
      <c r="K6" s="296">
        <f>'Historical Data'!Q3</f>
        <v/>
      </c>
      <c r="L6" s="297">
        <f>'Historical Data'!S3</f>
        <v/>
      </c>
      <c r="M6" s="296">
        <f>'Historical Data'!AJ3</f>
        <v/>
      </c>
      <c r="N6" s="296">
        <f>'Historical Data'!AK3</f>
        <v/>
      </c>
      <c r="O6" s="159">
        <f>'Historical Data'!AA3</f>
        <v/>
      </c>
      <c r="P6" s="159">
        <f>'Historical Data'!AB3</f>
        <v/>
      </c>
      <c r="Q6" s="159">
        <f>'Historical Data'!AN3</f>
        <v/>
      </c>
      <c r="R6" s="159">
        <f>'Historical Data'!AC3</f>
        <v/>
      </c>
      <c r="S6" s="159">
        <f>'Historical Data'!AE3</f>
        <v/>
      </c>
      <c r="T6" s="159">
        <f>'Historical Data'!AH3</f>
        <v/>
      </c>
      <c r="U6" s="159">
        <f>'Historical Data'!BB3</f>
        <v/>
      </c>
    </row>
    <row r="7" ht="15" customHeight="1" s="160">
      <c r="A7" s="159">
        <f>'Historical Data'!A4</f>
        <v/>
      </c>
      <c r="B7" s="159">
        <f>'Historical Data'!B4</f>
        <v/>
      </c>
      <c r="C7" s="159">
        <f>'Historical Data'!D4</f>
        <v/>
      </c>
      <c r="D7" s="294">
        <f>'Historical Data'!E4</f>
        <v/>
      </c>
      <c r="E7" s="159">
        <f>'Historical Data'!G4</f>
        <v/>
      </c>
      <c r="F7" s="159">
        <f>'Historical Data'!Y4</f>
        <v/>
      </c>
      <c r="G7" s="159">
        <f>'Historical Data'!K4</f>
        <v/>
      </c>
      <c r="H7" s="159">
        <f>'Historical Data'!L4</f>
        <v/>
      </c>
      <c r="I7" s="295">
        <f>'Historical Data'!M4</f>
        <v/>
      </c>
      <c r="J7" s="296">
        <f>'Historical Data'!N4</f>
        <v/>
      </c>
      <c r="K7" s="296">
        <f>'Historical Data'!Q4</f>
        <v/>
      </c>
      <c r="L7" s="297">
        <f>'Historical Data'!S4</f>
        <v/>
      </c>
      <c r="M7" s="296">
        <f>'Historical Data'!AJ4</f>
        <v/>
      </c>
      <c r="N7" s="296">
        <f>'Historical Data'!AK4</f>
        <v/>
      </c>
      <c r="O7" s="159">
        <f>'Historical Data'!AA4</f>
        <v/>
      </c>
      <c r="P7" s="159">
        <f>'Historical Data'!AB4</f>
        <v/>
      </c>
      <c r="Q7" s="159">
        <f>'Historical Data'!AN4</f>
        <v/>
      </c>
      <c r="R7" s="159">
        <f>'Historical Data'!AC4</f>
        <v/>
      </c>
      <c r="S7" s="159">
        <f>'Historical Data'!AE4</f>
        <v/>
      </c>
      <c r="T7" s="159">
        <f>'Historical Data'!AH4</f>
        <v/>
      </c>
      <c r="U7" s="159">
        <f>'Historical Data'!BB4</f>
        <v/>
      </c>
    </row>
    <row r="8" ht="15" customHeight="1" s="160">
      <c r="A8" s="159">
        <f>'Historical Data'!A5</f>
        <v/>
      </c>
      <c r="B8" s="159">
        <f>'Historical Data'!B5</f>
        <v/>
      </c>
      <c r="C8" s="159">
        <f>'Historical Data'!D5</f>
        <v/>
      </c>
      <c r="D8" s="294">
        <f>'Historical Data'!E5</f>
        <v/>
      </c>
      <c r="E8" s="159">
        <f>'Historical Data'!G5</f>
        <v/>
      </c>
      <c r="F8" s="159">
        <f>'Historical Data'!Y5</f>
        <v/>
      </c>
      <c r="G8" s="159">
        <f>'Historical Data'!K5</f>
        <v/>
      </c>
      <c r="H8" s="159">
        <f>'Historical Data'!L5</f>
        <v/>
      </c>
      <c r="I8" s="295">
        <f>'Historical Data'!M5</f>
        <v/>
      </c>
      <c r="J8" s="296">
        <f>'Historical Data'!N5</f>
        <v/>
      </c>
      <c r="K8" s="296">
        <f>'Historical Data'!Q5</f>
        <v/>
      </c>
      <c r="L8" s="297">
        <f>'Historical Data'!S5</f>
        <v/>
      </c>
      <c r="M8" s="296">
        <f>'Historical Data'!AJ5</f>
        <v/>
      </c>
      <c r="N8" s="296">
        <f>'Historical Data'!AK5</f>
        <v/>
      </c>
      <c r="O8" s="159">
        <f>'Historical Data'!AA5</f>
        <v/>
      </c>
      <c r="P8" s="159">
        <f>'Historical Data'!AB5</f>
        <v/>
      </c>
      <c r="Q8" s="159">
        <f>'Historical Data'!AN5</f>
        <v/>
      </c>
      <c r="R8" s="159">
        <f>'Historical Data'!AC5</f>
        <v/>
      </c>
      <c r="S8" s="159">
        <f>'Historical Data'!AE5</f>
        <v/>
      </c>
      <c r="T8" s="159">
        <f>'Historical Data'!AH5</f>
        <v/>
      </c>
      <c r="U8" s="159">
        <f>'Historical Data'!BB5</f>
        <v/>
      </c>
    </row>
    <row r="9" hidden="1" ht="15" customHeight="1" s="160">
      <c r="A9" s="159">
        <f>'Historical Data'!A6</f>
        <v/>
      </c>
      <c r="B9" s="159">
        <f>'Historical Data'!B6</f>
        <v/>
      </c>
      <c r="C9" s="159">
        <f>'Historical Data'!D6</f>
        <v/>
      </c>
      <c r="D9" s="294">
        <f>'Historical Data'!E6</f>
        <v/>
      </c>
      <c r="E9" s="159">
        <f>'Historical Data'!G6</f>
        <v/>
      </c>
      <c r="F9" s="159">
        <f>'Historical Data'!Y6</f>
        <v/>
      </c>
      <c r="G9" s="159">
        <f>'Historical Data'!K6</f>
        <v/>
      </c>
      <c r="H9" s="159">
        <f>'Historical Data'!L6</f>
        <v/>
      </c>
      <c r="I9" s="295">
        <f>'Historical Data'!M6</f>
        <v/>
      </c>
      <c r="J9" s="296">
        <f>'Historical Data'!N6</f>
        <v/>
      </c>
      <c r="K9" s="296">
        <f>'Historical Data'!Q6</f>
        <v/>
      </c>
      <c r="L9" s="297">
        <f>'Historical Data'!S6</f>
        <v/>
      </c>
      <c r="M9" s="296">
        <f>'Historical Data'!AJ6</f>
        <v/>
      </c>
      <c r="N9" s="296">
        <f>'Historical Data'!AK6</f>
        <v/>
      </c>
      <c r="O9" s="159">
        <f>'Historical Data'!AA6</f>
        <v/>
      </c>
      <c r="P9" s="159">
        <f>'Historical Data'!AB6</f>
        <v/>
      </c>
      <c r="Q9" s="159">
        <f>'Historical Data'!AN6</f>
        <v/>
      </c>
      <c r="R9" s="159">
        <f>'Historical Data'!AC6</f>
        <v/>
      </c>
      <c r="S9" s="159">
        <f>'Historical Data'!AE6</f>
        <v/>
      </c>
      <c r="T9" s="159">
        <f>'Historical Data'!AH6</f>
        <v/>
      </c>
      <c r="U9" s="159">
        <f>'Historical Data'!BB6</f>
        <v/>
      </c>
    </row>
    <row r="10" ht="15" customHeight="1" s="160">
      <c r="A10" s="159">
        <f>'Historical Data'!A7</f>
        <v/>
      </c>
      <c r="B10" s="159">
        <f>'Historical Data'!B7</f>
        <v/>
      </c>
      <c r="C10" s="159">
        <f>'Historical Data'!D7</f>
        <v/>
      </c>
      <c r="D10" s="294">
        <f>'Historical Data'!E7</f>
        <v/>
      </c>
      <c r="E10" s="159">
        <f>'Historical Data'!G7</f>
        <v/>
      </c>
      <c r="F10" s="159">
        <f>'Historical Data'!Y7</f>
        <v/>
      </c>
      <c r="G10" s="159">
        <f>'Historical Data'!K7</f>
        <v/>
      </c>
      <c r="H10" s="159">
        <f>'Historical Data'!L7</f>
        <v/>
      </c>
      <c r="I10" s="295">
        <f>'Historical Data'!M7</f>
        <v/>
      </c>
      <c r="J10" s="296">
        <f>'Historical Data'!N7</f>
        <v/>
      </c>
      <c r="K10" s="296">
        <f>'Historical Data'!Q7</f>
        <v/>
      </c>
      <c r="L10" s="297">
        <f>'Historical Data'!S7</f>
        <v/>
      </c>
      <c r="M10" s="296">
        <f>'Historical Data'!AJ7</f>
        <v/>
      </c>
      <c r="N10" s="296">
        <f>'Historical Data'!AK7</f>
        <v/>
      </c>
      <c r="O10" s="159">
        <f>'Historical Data'!AA7</f>
        <v/>
      </c>
      <c r="P10" s="159">
        <f>'Historical Data'!AB7</f>
        <v/>
      </c>
      <c r="Q10" s="159">
        <f>'Historical Data'!AN7</f>
        <v/>
      </c>
      <c r="R10" s="159">
        <f>'Historical Data'!AC7</f>
        <v/>
      </c>
      <c r="S10" s="159">
        <f>'Historical Data'!AE7</f>
        <v/>
      </c>
      <c r="T10" s="159">
        <f>'Historical Data'!AH7</f>
        <v/>
      </c>
      <c r="U10" s="159">
        <f>'Historical Data'!BB7</f>
        <v/>
      </c>
    </row>
    <row r="11" ht="15" customHeight="1" s="160">
      <c r="A11" s="159">
        <f>'Historical Data'!A8</f>
        <v/>
      </c>
      <c r="B11" s="159">
        <f>'Historical Data'!B8</f>
        <v/>
      </c>
      <c r="C11" s="159">
        <f>'Historical Data'!D8</f>
        <v/>
      </c>
      <c r="D11" s="294">
        <f>'Historical Data'!E8</f>
        <v/>
      </c>
      <c r="E11" s="159">
        <f>'Historical Data'!G8</f>
        <v/>
      </c>
      <c r="F11" s="159">
        <f>'Historical Data'!Y8</f>
        <v/>
      </c>
      <c r="G11" s="159">
        <f>'Historical Data'!K8</f>
        <v/>
      </c>
      <c r="H11" s="159">
        <f>'Historical Data'!L8</f>
        <v/>
      </c>
      <c r="I11" s="295">
        <f>'Historical Data'!M8</f>
        <v/>
      </c>
      <c r="J11" s="296">
        <f>'Historical Data'!N8</f>
        <v/>
      </c>
      <c r="K11" s="296">
        <f>'Historical Data'!Q8</f>
        <v/>
      </c>
      <c r="L11" s="297">
        <f>'Historical Data'!S8</f>
        <v/>
      </c>
      <c r="M11" s="296">
        <f>'Historical Data'!AJ8</f>
        <v/>
      </c>
      <c r="N11" s="296">
        <f>'Historical Data'!AK8</f>
        <v/>
      </c>
      <c r="O11" s="159">
        <f>'Historical Data'!AA8</f>
        <v/>
      </c>
      <c r="P11" s="159">
        <f>'Historical Data'!AB8</f>
        <v/>
      </c>
      <c r="Q11" s="159">
        <f>'Historical Data'!AN8</f>
        <v/>
      </c>
      <c r="R11" s="159">
        <f>'Historical Data'!AC8</f>
        <v/>
      </c>
      <c r="S11" s="159">
        <f>'Historical Data'!AE8</f>
        <v/>
      </c>
      <c r="T11" s="159">
        <f>'Historical Data'!AH8</f>
        <v/>
      </c>
      <c r="U11" s="159">
        <f>'Historical Data'!BB8</f>
        <v/>
      </c>
    </row>
    <row r="12" ht="15" customHeight="1" s="160">
      <c r="A12" s="159">
        <f>'Historical Data'!A9</f>
        <v/>
      </c>
      <c r="B12" s="159">
        <f>'Historical Data'!B9</f>
        <v/>
      </c>
      <c r="C12" s="159">
        <f>'Historical Data'!D9</f>
        <v/>
      </c>
      <c r="D12" s="294">
        <f>'Historical Data'!E9</f>
        <v/>
      </c>
      <c r="E12" s="159">
        <f>'Historical Data'!G9</f>
        <v/>
      </c>
      <c r="F12" s="159">
        <f>'Historical Data'!Y9</f>
        <v/>
      </c>
      <c r="G12" s="159">
        <f>'Historical Data'!K9</f>
        <v/>
      </c>
      <c r="H12" s="159">
        <f>'Historical Data'!L9</f>
        <v/>
      </c>
      <c r="I12" s="295">
        <f>'Historical Data'!M9</f>
        <v/>
      </c>
      <c r="J12" s="296">
        <f>'Historical Data'!N9</f>
        <v/>
      </c>
      <c r="K12" s="296">
        <f>'Historical Data'!Q9</f>
        <v/>
      </c>
      <c r="L12" s="297">
        <f>'Historical Data'!S9</f>
        <v/>
      </c>
      <c r="M12" s="296">
        <f>'Historical Data'!AJ9</f>
        <v/>
      </c>
      <c r="N12" s="296">
        <f>'Historical Data'!AK9</f>
        <v/>
      </c>
      <c r="O12" s="159">
        <f>'Historical Data'!AA9</f>
        <v/>
      </c>
      <c r="P12" s="159">
        <f>'Historical Data'!AB9</f>
        <v/>
      </c>
      <c r="Q12" s="159">
        <f>'Historical Data'!AN9</f>
        <v/>
      </c>
      <c r="R12" s="159">
        <f>'Historical Data'!AC9</f>
        <v/>
      </c>
      <c r="S12" s="159">
        <f>'Historical Data'!AE9</f>
        <v/>
      </c>
      <c r="T12" s="159">
        <f>'Historical Data'!AH9</f>
        <v/>
      </c>
      <c r="U12" s="159">
        <f>'Historical Data'!BB9</f>
        <v/>
      </c>
    </row>
    <row r="13" ht="1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autoFilter ref="A4:V12">
    <filterColumn colId="21" hiddenButton="0" showButton="1">
      <filters>
        <filter val="1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baseColWidth="8" defaultColWidth="14.4296875" defaultRowHeight="15" zeroHeight="0" outlineLevelRow="0"/>
  <cols>
    <col width="12" customWidth="1" style="159" min="1" max="1"/>
    <col width="26" customWidth="1" style="159" min="2" max="3"/>
    <col width="18" customWidth="1" style="159" min="4" max="4"/>
    <col width="8.57" customWidth="1" style="159" min="5" max="10"/>
    <col width="24" customWidth="1" style="159" min="11" max="11"/>
    <col width="8.57" customWidth="1" style="159" min="12" max="24"/>
    <col width="26" customWidth="1" style="159" min="25" max="25"/>
    <col width="8.57" customWidth="1" style="159" min="26" max="55"/>
  </cols>
  <sheetData>
    <row r="1" ht="42" customHeight="1" s="160">
      <c r="A1" s="256" t="inlineStr">
        <is>
          <t>Contract ID</t>
        </is>
      </c>
      <c r="B1" s="256" t="inlineStr">
        <is>
          <t>DBA</t>
        </is>
      </c>
      <c r="C1" s="256" t="inlineStr">
        <is>
          <t>Legal name</t>
        </is>
      </c>
      <c r="D1" s="256" t="inlineStr">
        <is>
          <t>Status</t>
        </is>
      </c>
      <c r="E1" s="256" t="inlineStr">
        <is>
          <t>Start date</t>
        </is>
      </c>
      <c r="F1" s="256" t="inlineStr">
        <is>
          <t>Last active</t>
        </is>
      </c>
      <c r="G1" s="256" t="inlineStr">
        <is>
          <t>Position</t>
        </is>
      </c>
      <c r="H1" s="256" t="inlineStr">
        <is>
          <t>SIC</t>
        </is>
      </c>
      <c r="I1" s="256" t="inlineStr">
        <is>
          <t>SIC2</t>
        </is>
      </c>
      <c r="J1" s="256" t="inlineStr">
        <is>
          <t>State</t>
        </is>
      </c>
      <c r="K1" s="256" t="inlineStr">
        <is>
          <t>ISO</t>
        </is>
      </c>
      <c r="L1" s="256" t="inlineStr">
        <is>
          <t>New or renewal</t>
        </is>
      </c>
      <c r="M1" s="256" t="inlineStr">
        <is>
          <t>Factor</t>
        </is>
      </c>
      <c r="N1" s="256" t="inlineStr">
        <is>
          <t>Advance</t>
        </is>
      </c>
      <c r="O1" s="256" t="inlineStr">
        <is>
          <t>Commission</t>
        </is>
      </c>
      <c r="P1" s="256" t="inlineStr">
        <is>
          <t>Payback</t>
        </is>
      </c>
      <c r="Q1" s="256" t="inlineStr">
        <is>
          <t>Collected</t>
        </is>
      </c>
      <c r="R1" s="256" t="inlineStr">
        <is>
          <t>Balance</t>
        </is>
      </c>
      <c r="S1" s="256" t="inlineStr">
        <is>
          <t>% paid</t>
        </is>
      </c>
      <c r="T1" s="256" t="inlineStr">
        <is>
          <t>Exp dur (raw)</t>
        </is>
      </c>
      <c r="U1" s="256" t="inlineStr">
        <is>
          <t>NSF count</t>
        </is>
      </c>
      <c r="V1" s="256" t="inlineStr">
        <is>
          <t>Avg rev/mo</t>
        </is>
      </c>
      <c r="W1" s="256" t="inlineStr">
        <is>
          <t>Holdback %</t>
        </is>
      </c>
      <c r="X1" s="256" t="inlineStr">
        <is>
          <t>Biz start</t>
        </is>
      </c>
      <c r="Y1" s="298" t="inlineStr">
        <is>
          <t>Industry</t>
        </is>
      </c>
      <c r="Z1" s="298" t="inlineStr">
        <is>
          <t>Pay frequency</t>
        </is>
      </c>
      <c r="AA1" s="298" t="inlineStr">
        <is>
          <t>Term (bus. days)</t>
        </is>
      </c>
      <c r="AB1" s="298" t="inlineStr">
        <is>
          <t>Age at as-of (bus. days)</t>
        </is>
      </c>
      <c r="AC1" s="298" t="inlineStr">
        <is>
          <t>Seasoned</t>
        </is>
      </c>
      <c r="AD1" s="298" t="inlineStr">
        <is>
          <t>In window</t>
        </is>
      </c>
      <c r="AE1" s="298" t="inlineStr">
        <is>
          <t>Default</t>
        </is>
      </c>
      <c r="AF1" s="298" t="inlineStr">
        <is>
          <t>Resolved</t>
        </is>
      </c>
      <c r="AG1" s="298" t="inlineStr">
        <is>
          <t>Closed family</t>
        </is>
      </c>
      <c r="AH1" s="298" t="inlineStr">
        <is>
          <t>Open</t>
        </is>
      </c>
      <c r="AI1" s="298" t="inlineStr">
        <is>
          <t>Status valid</t>
        </is>
      </c>
      <c r="AJ1" s="298" t="inlineStr">
        <is>
          <t>Net cash</t>
        </is>
      </c>
      <c r="AK1" s="298" t="inlineStr">
        <is>
          <t>Principal lost</t>
        </is>
      </c>
      <c r="AL1" s="298" t="inlineStr">
        <is>
          <t>Adv / revenue</t>
        </is>
      </c>
      <c r="AM1" s="298" t="inlineStr">
        <is>
          <t>Has revenue</t>
        </is>
      </c>
      <c r="AN1" s="298" t="inlineStr">
        <is>
          <t>Days on book (bus.)</t>
        </is>
      </c>
      <c r="AO1" s="298" t="inlineStr">
        <is>
          <t>Renewal</t>
        </is>
      </c>
      <c r="AP1" s="298" t="inlineStr">
        <is>
          <t>Eligible (seasoned &amp; in window)</t>
        </is>
      </c>
      <c r="AQ1" s="298" t="inlineStr">
        <is>
          <t>m: position</t>
        </is>
      </c>
      <c r="AR1" s="298" t="inlineStr">
        <is>
          <t>m: new/renewal</t>
        </is>
      </c>
      <c r="AS1" s="298" t="inlineStr">
        <is>
          <t>m: industry</t>
        </is>
      </c>
      <c r="AT1" s="298" t="inlineStr">
        <is>
          <t>m: ISO</t>
        </is>
      </c>
      <c r="AU1" s="298" t="inlineStr">
        <is>
          <t>NR+ISO+Ind</t>
        </is>
      </c>
      <c r="AV1" s="298" t="inlineStr">
        <is>
          <t>NR+Ind+Pos</t>
        </is>
      </c>
      <c r="AW1" s="298" t="inlineStr">
        <is>
          <t>NR+ISO+Pos</t>
        </is>
      </c>
      <c r="AX1" s="298" t="inlineStr">
        <is>
          <t>NR+Ind</t>
        </is>
      </c>
      <c r="AY1" s="298" t="inlineStr">
        <is>
          <t>NR+ISO</t>
        </is>
      </c>
      <c r="AZ1" s="298" t="inlineStr">
        <is>
          <t>NR+Pos</t>
        </is>
      </c>
      <c r="BA1" s="298" t="inlineStr">
        <is>
          <t>In primary cohort</t>
        </is>
      </c>
      <c r="BB1" s="298" t="n"/>
      <c r="BC1" s="298" t="n"/>
    </row>
    <row r="2" ht="15" customHeight="1" s="160">
      <c r="A2" s="159" t="inlineStr">
        <is>
          <t>A-001</t>
        </is>
      </c>
      <c r="B2" s="159" t="inlineStr">
        <is>
          <t>Ridgeline Cafe</t>
        </is>
      </c>
      <c r="C2" s="159" t="inlineStr">
        <is>
          <t>Ridgeline Cafe LLC</t>
        </is>
      </c>
      <c r="D2" s="159" t="inlineStr">
        <is>
          <t>Closed</t>
        </is>
      </c>
      <c r="E2" s="294" t="n">
        <v>45672</v>
      </c>
      <c r="F2" s="294" t="n">
        <v>45821</v>
      </c>
      <c r="G2" s="159" t="n">
        <v>1</v>
      </c>
      <c r="H2" s="159" t="inlineStr">
        <is>
          <t>5812</t>
        </is>
      </c>
      <c r="I2" s="159" t="inlineStr">
        <is>
          <t>58</t>
        </is>
      </c>
      <c r="J2" s="159" t="inlineStr">
        <is>
          <t>NJ</t>
        </is>
      </c>
      <c r="K2" s="159" t="inlineStr">
        <is>
          <t>Fundwell</t>
        </is>
      </c>
      <c r="L2" s="159" t="inlineStr">
        <is>
          <t>New Deal</t>
        </is>
      </c>
      <c r="M2" s="159" t="n">
        <v>1.5</v>
      </c>
      <c r="N2" s="296" t="n">
        <v>10000</v>
      </c>
      <c r="O2" s="296" t="n">
        <v>1000</v>
      </c>
      <c r="P2" s="296" t="n">
        <v>15000</v>
      </c>
      <c r="Q2" s="296" t="n">
        <v>15000</v>
      </c>
      <c r="R2" s="296" t="n">
        <v>0</v>
      </c>
      <c r="S2" s="299" t="n">
        <v>1</v>
      </c>
      <c r="T2" s="159" t="n">
        <v>5</v>
      </c>
      <c r="U2" s="159" t="n">
        <v>0</v>
      </c>
      <c r="V2" s="159" t="n">
        <v>50000</v>
      </c>
      <c r="W2" s="299" t="n">
        <v>0.12</v>
      </c>
      <c r="X2" s="294" t="n">
        <v>43160</v>
      </c>
      <c r="Y2" s="159">
        <f>IF(I2="","No SIC",IFERROR(VLOOKUP(I2,Ref!$A$2:$B$65,2,FALSE()),"Unclassified"))</f>
        <v/>
      </c>
      <c r="Z2" s="159">
        <f>IF(T2="","",IF(T2&lt;12,"Daily","Weekly"))</f>
        <v/>
      </c>
      <c r="AA2" s="159">
        <f>IF(T2="",0,IF(T2&lt;12,T2*Controls!$B$13,T2*5))</f>
        <v/>
      </c>
      <c r="AB2" s="159">
        <f>IF(E2="",0,NETWORKDAYS(E2,Controls!$B$20,Ref!$K$2:$K$42))</f>
        <v/>
      </c>
      <c r="AC2" s="159">
        <f>IF(OR(AF2=1,AND(AA2&gt;0,AB2&gt;=Controls!$B$23*AA2)),1,0)</f>
        <v/>
      </c>
      <c r="AD2" s="159">
        <f>IF(AND(E2&lt;&gt;"",E2&gt;=Controls!$B$21,E2&lt;=Controls!$B$22),1,0)</f>
        <v/>
      </c>
      <c r="AE2" s="159">
        <f>IF(IFERROR(VLOOKUP(D2,Controls!$A$36:$E$46,2,FALSE()),"No")="Yes",1,0)</f>
        <v/>
      </c>
      <c r="AF2" s="159">
        <f>IF(IFERROR(VLOOKUP(D2,Controls!$A$36:$E$46,3,FALSE()),"No")="Yes",1,0)</f>
        <v/>
      </c>
      <c r="AG2" s="159">
        <f>IF(IFERROR(VLOOKUP(D2,Controls!$A$36:$E$46,4,FALSE()),"No")="Yes",1,0)</f>
        <v/>
      </c>
      <c r="AH2" s="159">
        <f>IF(IFERROR(VLOOKUP(D2,Controls!$A$36:$E$46,5,FALSE()),"No")="Yes",1,0)</f>
        <v/>
      </c>
      <c r="AI2" s="159">
        <f>IF(ISNUMBER(MATCH(D2,Controls!$A$36:$A$46,0)),1,0)</f>
        <v/>
      </c>
      <c r="AJ2" s="296">
        <f>Q2-N2</f>
        <v/>
      </c>
      <c r="AK2" s="159">
        <f>IF(AE2=1,MAX(0,N2-Q2),0)</f>
        <v/>
      </c>
      <c r="AL2" s="159">
        <f>IF(OR(V2="",V2=0),0,N2/V2)</f>
        <v/>
      </c>
      <c r="AM2" s="159">
        <f>IF(OR(V2="",V2=0),0,1)</f>
        <v/>
      </c>
      <c r="AN2" s="159">
        <f>IF(OR(E2="",F2=""),0,NETWORKDAYS(E2,F2,Ref!$K$2:$K$42))</f>
        <v/>
      </c>
      <c r="AO2" s="159">
        <f>IF(L2="Renewal",1,0)</f>
        <v/>
      </c>
      <c r="AP2" s="159">
        <f>AC2*AD2</f>
        <v/>
      </c>
      <c r="AQ2" s="159">
        <f>IF(AND(G2&lt;&gt;"",'Historical Score'!$C$6&lt;&gt;""),IF(G2='Historical Score'!$C$6,1,0),0)</f>
        <v/>
      </c>
      <c r="AR2" s="159">
        <f>IF(AND(L2&lt;&gt;"",'Historical Score'!$C$5&lt;&gt;""),IF(L2='Historical Score'!$C$5,1,0),0)</f>
        <v/>
      </c>
      <c r="AS2" s="159">
        <f>IF(AND(Y2&lt;&gt;"",'Historical Score'!$C$7&lt;&gt;""),IF(Y2='Historical Score'!$C$7,1,0),0)</f>
        <v/>
      </c>
      <c r="AT2" s="159">
        <f>IF(AND(K2&lt;&gt;"",'Historical Score'!$C$8&lt;&gt;""),IF(K2='Historical Score'!$C$8,1,0),0)</f>
        <v/>
      </c>
      <c r="AU2" s="159">
        <f>AR2*AT2*AS2</f>
        <v/>
      </c>
      <c r="AV2" s="159">
        <f>AR2*AS2*AQ2</f>
        <v/>
      </c>
      <c r="AW2" s="159">
        <f>AR2*AT2*AQ2</f>
        <v/>
      </c>
      <c r="AX2" s="159">
        <f>AR2*AS2</f>
        <v/>
      </c>
      <c r="AY2" s="159">
        <f>AR2*AT2</f>
        <v/>
      </c>
      <c r="AZ2" s="159">
        <f>AR2*AQ2</f>
        <v/>
      </c>
      <c r="BA2" s="159">
        <f>IF(OR(AD2=0,'Historical Score'!$D$29=""),0,CHOOSE('Historical Score'!$D$29,AU2,AV2,AW2,AX2,AY2,AZ2,AR2,1))</f>
        <v/>
      </c>
    </row>
    <row r="3" ht="15" customHeight="1" s="160">
      <c r="A3" s="159" t="inlineStr">
        <is>
          <t>A-002</t>
        </is>
      </c>
      <c r="B3" s="159" t="inlineStr">
        <is>
          <t>Delta Freight</t>
        </is>
      </c>
      <c r="C3" s="159" t="inlineStr">
        <is>
          <t>Delta Freight Group LLC</t>
        </is>
      </c>
      <c r="D3" s="159" t="inlineStr">
        <is>
          <t>Closed</t>
        </is>
      </c>
      <c r="E3" s="294" t="n">
        <v>45698</v>
      </c>
      <c r="F3" s="294" t="n">
        <v>45848</v>
      </c>
      <c r="G3" s="159" t="n">
        <v>2</v>
      </c>
      <c r="H3" s="159" t="inlineStr">
        <is>
          <t>4213</t>
        </is>
      </c>
      <c r="I3" s="159" t="inlineStr">
        <is>
          <t>42</t>
        </is>
      </c>
      <c r="J3" s="159" t="inlineStr">
        <is>
          <t>TX</t>
        </is>
      </c>
      <c r="K3" s="159" t="inlineStr">
        <is>
          <t>Westwood</t>
        </is>
      </c>
      <c r="L3" s="159" t="inlineStr">
        <is>
          <t>Renewal</t>
        </is>
      </c>
      <c r="M3" s="159" t="n">
        <v>1.5</v>
      </c>
      <c r="N3" s="296" t="n">
        <v>20000</v>
      </c>
      <c r="O3" s="296" t="n">
        <v>2000</v>
      </c>
      <c r="P3" s="296" t="n">
        <v>30000</v>
      </c>
      <c r="Q3" s="296" t="n">
        <v>30000</v>
      </c>
      <c r="R3" s="296" t="n">
        <v>0</v>
      </c>
      <c r="S3" s="299" t="n">
        <v>1</v>
      </c>
      <c r="T3" s="159" t="n">
        <v>20</v>
      </c>
      <c r="U3" s="159" t="n">
        <v>0</v>
      </c>
      <c r="V3" s="159" t="n">
        <v>100000</v>
      </c>
      <c r="W3" s="299" t="n">
        <v>0.09</v>
      </c>
      <c r="X3" s="294" t="n">
        <v>42170</v>
      </c>
      <c r="Y3" s="159">
        <f>IF(I3="","No SIC",IFERROR(VLOOKUP(I3,Ref!$A$2:$B$65,2,FALSE()),"Unclassified"))</f>
        <v/>
      </c>
      <c r="Z3" s="159">
        <f>IF(T3="","",IF(T3&lt;12,"Daily","Weekly"))</f>
        <v/>
      </c>
      <c r="AA3" s="159">
        <f>IF(T3="",0,IF(T3&lt;12,T3*Controls!$B$13,T3*5))</f>
        <v/>
      </c>
      <c r="AB3" s="159">
        <f>IF(E3="",0,NETWORKDAYS(E3,Controls!$B$20,Ref!$K$2:$K$42))</f>
        <v/>
      </c>
      <c r="AC3" s="159">
        <f>IF(OR(AF3=1,AND(AA3&gt;0,AB3&gt;=Controls!$B$23*AA3)),1,0)</f>
        <v/>
      </c>
      <c r="AD3" s="159">
        <f>IF(AND(E3&lt;&gt;"",E3&gt;=Controls!$B$21,E3&lt;=Controls!$B$22),1,0)</f>
        <v/>
      </c>
      <c r="AE3" s="159">
        <f>IF(IFERROR(VLOOKUP(D3,Controls!$A$36:$E$46,2,FALSE()),"No")="Yes",1,0)</f>
        <v/>
      </c>
      <c r="AF3" s="159">
        <f>IF(IFERROR(VLOOKUP(D3,Controls!$A$36:$E$46,3,FALSE()),"No")="Yes",1,0)</f>
        <v/>
      </c>
      <c r="AG3" s="159">
        <f>IF(IFERROR(VLOOKUP(D3,Controls!$A$36:$E$46,4,FALSE()),"No")="Yes",1,0)</f>
        <v/>
      </c>
      <c r="AH3" s="159">
        <f>IF(IFERROR(VLOOKUP(D3,Controls!$A$36:$E$46,5,FALSE()),"No")="Yes",1,0)</f>
        <v/>
      </c>
      <c r="AI3" s="159">
        <f>IF(ISNUMBER(MATCH(D3,Controls!$A$36:$A$46,0)),1,0)</f>
        <v/>
      </c>
      <c r="AJ3" s="296">
        <f>Q3-N3</f>
        <v/>
      </c>
      <c r="AK3" s="159">
        <f>IF(AE3=1,MAX(0,N3-Q3),0)</f>
        <v/>
      </c>
      <c r="AL3" s="159">
        <f>IF(OR(V3="",V3=0),0,N3/V3)</f>
        <v/>
      </c>
      <c r="AM3" s="159">
        <f>IF(OR(V3="",V3=0),0,1)</f>
        <v/>
      </c>
      <c r="AN3" s="159">
        <f>IF(OR(E3="",F3=""),0,NETWORKDAYS(E3,F3,Ref!$K$2:$K$42))</f>
        <v/>
      </c>
      <c r="AO3" s="159">
        <f>IF(L3="Renewal",1,0)</f>
        <v/>
      </c>
      <c r="AP3" s="159">
        <f>AC3*AD3</f>
        <v/>
      </c>
      <c r="AQ3" s="159">
        <f>IF(AND(G3&lt;&gt;"",'Historical Score'!$C$6&lt;&gt;""),IF(G3='Historical Score'!$C$6,1,0),0)</f>
        <v/>
      </c>
      <c r="AR3" s="159">
        <f>IF(AND(L3&lt;&gt;"",'Historical Score'!$C$5&lt;&gt;""),IF(L3='Historical Score'!$C$5,1,0),0)</f>
        <v/>
      </c>
      <c r="AS3" s="159">
        <f>IF(AND(Y3&lt;&gt;"",'Historical Score'!$C$7&lt;&gt;""),IF(Y3='Historical Score'!$C$7,1,0),0)</f>
        <v/>
      </c>
      <c r="AT3" s="159">
        <f>IF(AND(K3&lt;&gt;"",'Historical Score'!$C$8&lt;&gt;""),IF(K3='Historical Score'!$C$8,1,0),0)</f>
        <v/>
      </c>
      <c r="AU3" s="159">
        <f>AR3*AT3*AS3</f>
        <v/>
      </c>
      <c r="AV3" s="159">
        <f>AR3*AS3*AQ3</f>
        <v/>
      </c>
      <c r="AW3" s="159">
        <f>AR3*AT3*AQ3</f>
        <v/>
      </c>
      <c r="AX3" s="159">
        <f>AR3*AS3</f>
        <v/>
      </c>
      <c r="AY3" s="159">
        <f>AR3*AT3</f>
        <v/>
      </c>
      <c r="AZ3" s="159">
        <f>AR3*AQ3</f>
        <v/>
      </c>
      <c r="BA3" s="159">
        <f>IF(OR(AD3=0,'Historical Score'!$D$29=""),0,CHOOSE('Historical Score'!$D$29,AU3,AV3,AW3,AX3,AY3,AZ3,AR3,1))</f>
        <v/>
      </c>
    </row>
    <row r="4" ht="15" customHeight="1" s="160">
      <c r="A4" s="159" t="inlineStr">
        <is>
          <t>A-003</t>
        </is>
      </c>
      <c r="B4" s="159" t="inlineStr">
        <is>
          <t>Kane Construction</t>
        </is>
      </c>
      <c r="C4" s="159" t="inlineStr">
        <is>
          <t>Kane Construction Inc</t>
        </is>
      </c>
      <c r="D4" s="159" t="inlineStr">
        <is>
          <t>Legal</t>
        </is>
      </c>
      <c r="E4" s="294" t="n">
        <v>45721</v>
      </c>
      <c r="F4" s="294" t="n">
        <v>45813</v>
      </c>
      <c r="G4" s="159" t="n">
        <v>3</v>
      </c>
      <c r="H4" s="159" t="inlineStr">
        <is>
          <t>1542</t>
        </is>
      </c>
      <c r="I4" s="159" t="inlineStr">
        <is>
          <t>15</t>
        </is>
      </c>
      <c r="J4" s="159" t="inlineStr">
        <is>
          <t>NJ</t>
        </is>
      </c>
      <c r="K4" s="159" t="inlineStr">
        <is>
          <t>Fundwell</t>
        </is>
      </c>
      <c r="L4" s="159" t="inlineStr">
        <is>
          <t>New Deal</t>
        </is>
      </c>
      <c r="M4" s="159" t="n">
        <v>1.5</v>
      </c>
      <c r="N4" s="296" t="n">
        <v>30000</v>
      </c>
      <c r="O4" s="296" t="n">
        <v>3000</v>
      </c>
      <c r="P4" s="296" t="n">
        <v>45000</v>
      </c>
      <c r="Q4" s="296" t="n">
        <v>9000</v>
      </c>
      <c r="R4" s="296" t="n">
        <v>36000</v>
      </c>
      <c r="S4" s="299" t="n">
        <v>0.2</v>
      </c>
      <c r="T4" s="159" t="n">
        <v>6</v>
      </c>
      <c r="U4" s="159" t="n">
        <v>4</v>
      </c>
      <c r="V4" s="159" t="n">
        <v>60000</v>
      </c>
      <c r="W4" s="299" t="n">
        <v>0.15</v>
      </c>
      <c r="X4" s="294" t="n">
        <v>43840</v>
      </c>
      <c r="Y4" s="159">
        <f>IF(I4="","No SIC",IFERROR(VLOOKUP(I4,Ref!$A$2:$B$65,2,FALSE()),"Unclassified"))</f>
        <v/>
      </c>
      <c r="Z4" s="159">
        <f>IF(T4="","",IF(T4&lt;12,"Daily","Weekly"))</f>
        <v/>
      </c>
      <c r="AA4" s="159">
        <f>IF(T4="",0,IF(T4&lt;12,T4*Controls!$B$13,T4*5))</f>
        <v/>
      </c>
      <c r="AB4" s="159">
        <f>IF(E4="",0,NETWORKDAYS(E4,Controls!$B$20,Ref!$K$2:$K$42))</f>
        <v/>
      </c>
      <c r="AC4" s="159">
        <f>IF(OR(AF4=1,AND(AA4&gt;0,AB4&gt;=Controls!$B$23*AA4)),1,0)</f>
        <v/>
      </c>
      <c r="AD4" s="159">
        <f>IF(AND(E4&lt;&gt;"",E4&gt;=Controls!$B$21,E4&lt;=Controls!$B$22),1,0)</f>
        <v/>
      </c>
      <c r="AE4" s="159">
        <f>IF(IFERROR(VLOOKUP(D4,Controls!$A$36:$E$46,2,FALSE()),"No")="Yes",1,0)</f>
        <v/>
      </c>
      <c r="AF4" s="159">
        <f>IF(IFERROR(VLOOKUP(D4,Controls!$A$36:$E$46,3,FALSE()),"No")="Yes",1,0)</f>
        <v/>
      </c>
      <c r="AG4" s="159">
        <f>IF(IFERROR(VLOOKUP(D4,Controls!$A$36:$E$46,4,FALSE()),"No")="Yes",1,0)</f>
        <v/>
      </c>
      <c r="AH4" s="159">
        <f>IF(IFERROR(VLOOKUP(D4,Controls!$A$36:$E$46,5,FALSE()),"No")="Yes",1,0)</f>
        <v/>
      </c>
      <c r="AI4" s="159">
        <f>IF(ISNUMBER(MATCH(D4,Controls!$A$36:$A$46,0)),1,0)</f>
        <v/>
      </c>
      <c r="AJ4" s="296">
        <f>Q4-N4</f>
        <v/>
      </c>
      <c r="AK4" s="159">
        <f>IF(AE4=1,MAX(0,N4-Q4),0)</f>
        <v/>
      </c>
      <c r="AL4" s="159">
        <f>IF(OR(V4="",V4=0),0,N4/V4)</f>
        <v/>
      </c>
      <c r="AM4" s="159">
        <f>IF(OR(V4="",V4=0),0,1)</f>
        <v/>
      </c>
      <c r="AN4" s="159">
        <f>IF(OR(E4="",F4=""),0,NETWORKDAYS(E4,F4,Ref!$K$2:$K$42))</f>
        <v/>
      </c>
      <c r="AO4" s="159">
        <f>IF(L4="Renewal",1,0)</f>
        <v/>
      </c>
      <c r="AP4" s="159">
        <f>AC4*AD4</f>
        <v/>
      </c>
      <c r="AQ4" s="159">
        <f>IF(AND(G4&lt;&gt;"",'Historical Score'!$C$6&lt;&gt;""),IF(G4='Historical Score'!$C$6,1,0),0)</f>
        <v/>
      </c>
      <c r="AR4" s="159">
        <f>IF(AND(L4&lt;&gt;"",'Historical Score'!$C$5&lt;&gt;""),IF(L4='Historical Score'!$C$5,1,0),0)</f>
        <v/>
      </c>
      <c r="AS4" s="159">
        <f>IF(AND(Y4&lt;&gt;"",'Historical Score'!$C$7&lt;&gt;""),IF(Y4='Historical Score'!$C$7,1,0),0)</f>
        <v/>
      </c>
      <c r="AT4" s="159">
        <f>IF(AND(K4&lt;&gt;"",'Historical Score'!$C$8&lt;&gt;""),IF(K4='Historical Score'!$C$8,1,0),0)</f>
        <v/>
      </c>
      <c r="AU4" s="159">
        <f>AR4*AT4*AS4</f>
        <v/>
      </c>
      <c r="AV4" s="159">
        <f>AR4*AS4*AQ4</f>
        <v/>
      </c>
      <c r="AW4" s="159">
        <f>AR4*AT4*AQ4</f>
        <v/>
      </c>
      <c r="AX4" s="159">
        <f>AR4*AS4</f>
        <v/>
      </c>
      <c r="AY4" s="159">
        <f>AR4*AT4</f>
        <v/>
      </c>
      <c r="AZ4" s="159">
        <f>AR4*AQ4</f>
        <v/>
      </c>
      <c r="BA4" s="159">
        <f>IF(OR(AD4=0,'Historical Score'!$D$29=""),0,CHOOSE('Historical Score'!$D$29,AU4,AV4,AW4,AX4,AY4,AZ4,AR4,1))</f>
        <v/>
      </c>
    </row>
    <row r="5" ht="15" customHeight="1" s="160">
      <c r="A5" s="159" t="inlineStr">
        <is>
          <t>A-004</t>
        </is>
      </c>
      <c r="B5" s="159" t="inlineStr">
        <is>
          <t>Baymont Auto Body</t>
        </is>
      </c>
      <c r="C5" s="159" t="inlineStr">
        <is>
          <t>Baymont Auto Body LLC</t>
        </is>
      </c>
      <c r="D5" s="159" t="inlineStr">
        <is>
          <t>In House Collection</t>
        </is>
      </c>
      <c r="E5" s="294" t="n">
        <v>45768</v>
      </c>
      <c r="F5" s="294" t="n">
        <v>45889</v>
      </c>
      <c r="G5" s="159" t="n">
        <v>3</v>
      </c>
      <c r="H5" s="159" t="inlineStr">
        <is>
          <t>7538</t>
        </is>
      </c>
      <c r="I5" s="159" t="inlineStr">
        <is>
          <t>75</t>
        </is>
      </c>
      <c r="J5" s="159" t="inlineStr">
        <is>
          <t>TX</t>
        </is>
      </c>
      <c r="K5" s="159" t="inlineStr">
        <is>
          <t>Westwood</t>
        </is>
      </c>
      <c r="L5" s="159" t="inlineStr">
        <is>
          <t>New Deal</t>
        </is>
      </c>
      <c r="M5" s="159" t="n">
        <v>1.5</v>
      </c>
      <c r="N5" s="296" t="n">
        <v>40000</v>
      </c>
      <c r="O5" s="296" t="n">
        <v>4000</v>
      </c>
      <c r="P5" s="296" t="n">
        <v>60000</v>
      </c>
      <c r="Q5" s="296" t="n">
        <v>20000</v>
      </c>
      <c r="R5" s="296" t="n">
        <v>40000</v>
      </c>
      <c r="S5" s="299" t="n">
        <v>0.333333333333333</v>
      </c>
      <c r="T5" s="159" t="n">
        <v>24</v>
      </c>
      <c r="U5" s="159" t="n">
        <v>7</v>
      </c>
      <c r="V5" s="159" t="n">
        <v>80000</v>
      </c>
      <c r="W5" s="299" t="n">
        <v>0.11</v>
      </c>
      <c r="X5" s="294" t="n">
        <v>41182</v>
      </c>
      <c r="Y5" s="159">
        <f>IF(I5="","No SIC",IFERROR(VLOOKUP(I5,Ref!$A$2:$B$65,2,FALSE()),"Unclassified"))</f>
        <v/>
      </c>
      <c r="Z5" s="159">
        <f>IF(T5="","",IF(T5&lt;12,"Daily","Weekly"))</f>
        <v/>
      </c>
      <c r="AA5" s="159">
        <f>IF(T5="",0,IF(T5&lt;12,T5*Controls!$B$13,T5*5))</f>
        <v/>
      </c>
      <c r="AB5" s="159">
        <f>IF(E5="",0,NETWORKDAYS(E5,Controls!$B$20,Ref!$K$2:$K$42))</f>
        <v/>
      </c>
      <c r="AC5" s="159">
        <f>IF(OR(AF5=1,AND(AA5&gt;0,AB5&gt;=Controls!$B$23*AA5)),1,0)</f>
        <v/>
      </c>
      <c r="AD5" s="159">
        <f>IF(AND(E5&lt;&gt;"",E5&gt;=Controls!$B$21,E5&lt;=Controls!$B$22),1,0)</f>
        <v/>
      </c>
      <c r="AE5" s="159">
        <f>IF(IFERROR(VLOOKUP(D5,Controls!$A$36:$E$46,2,FALSE()),"No")="Yes",1,0)</f>
        <v/>
      </c>
      <c r="AF5" s="159">
        <f>IF(IFERROR(VLOOKUP(D5,Controls!$A$36:$E$46,3,FALSE()),"No")="Yes",1,0)</f>
        <v/>
      </c>
      <c r="AG5" s="159">
        <f>IF(IFERROR(VLOOKUP(D5,Controls!$A$36:$E$46,4,FALSE()),"No")="Yes",1,0)</f>
        <v/>
      </c>
      <c r="AH5" s="159">
        <f>IF(IFERROR(VLOOKUP(D5,Controls!$A$36:$E$46,5,FALSE()),"No")="Yes",1,0)</f>
        <v/>
      </c>
      <c r="AI5" s="159">
        <f>IF(ISNUMBER(MATCH(D5,Controls!$A$36:$A$46,0)),1,0)</f>
        <v/>
      </c>
      <c r="AJ5" s="296">
        <f>Q5-N5</f>
        <v/>
      </c>
      <c r="AK5" s="159">
        <f>IF(AE5=1,MAX(0,N5-Q5),0)</f>
        <v/>
      </c>
      <c r="AL5" s="159">
        <f>IF(OR(V5="",V5=0),0,N5/V5)</f>
        <v/>
      </c>
      <c r="AM5" s="159">
        <f>IF(OR(V5="",V5=0),0,1)</f>
        <v/>
      </c>
      <c r="AN5" s="159">
        <f>IF(OR(E5="",F5=""),0,NETWORKDAYS(E5,F5,Ref!$K$2:$K$42))</f>
        <v/>
      </c>
      <c r="AO5" s="159">
        <f>IF(L5="Renewal",1,0)</f>
        <v/>
      </c>
      <c r="AP5" s="159">
        <f>AC5*AD5</f>
        <v/>
      </c>
      <c r="AQ5" s="159">
        <f>IF(AND(G5&lt;&gt;"",'Historical Score'!$C$6&lt;&gt;""),IF(G5='Historical Score'!$C$6,1,0),0)</f>
        <v/>
      </c>
      <c r="AR5" s="159">
        <f>IF(AND(L5&lt;&gt;"",'Historical Score'!$C$5&lt;&gt;""),IF(L5='Historical Score'!$C$5,1,0),0)</f>
        <v/>
      </c>
      <c r="AS5" s="159">
        <f>IF(AND(Y5&lt;&gt;"",'Historical Score'!$C$7&lt;&gt;""),IF(Y5='Historical Score'!$C$7,1,0),0)</f>
        <v/>
      </c>
      <c r="AT5" s="159">
        <f>IF(AND(K5&lt;&gt;"",'Historical Score'!$C$8&lt;&gt;""),IF(K5='Historical Score'!$C$8,1,0),0)</f>
        <v/>
      </c>
      <c r="AU5" s="159">
        <f>AR5*AT5*AS5</f>
        <v/>
      </c>
      <c r="AV5" s="159">
        <f>AR5*AS5*AQ5</f>
        <v/>
      </c>
      <c r="AW5" s="159">
        <f>AR5*AT5*AQ5</f>
        <v/>
      </c>
      <c r="AX5" s="159">
        <f>AR5*AS5</f>
        <v/>
      </c>
      <c r="AY5" s="159">
        <f>AR5*AT5</f>
        <v/>
      </c>
      <c r="AZ5" s="159">
        <f>AR5*AQ5</f>
        <v/>
      </c>
      <c r="BA5" s="159">
        <f>IF(OR(AD5=0,'Historical Score'!$D$29=""),0,CHOOSE('Historical Score'!$D$29,AU5,AV5,AW5,AX5,AY5,AZ5,AR5,1))</f>
        <v/>
      </c>
    </row>
    <row r="6" ht="15" customHeight="1" s="160">
      <c r="A6" s="159" t="inlineStr">
        <is>
          <t>A-005</t>
        </is>
      </c>
      <c r="B6" s="159" t="inlineStr">
        <is>
          <t>Sunset Nails</t>
        </is>
      </c>
      <c r="C6" s="159" t="inlineStr">
        <is>
          <t>Sunset Nails Corp</t>
        </is>
      </c>
      <c r="D6" s="159" t="inlineStr">
        <is>
          <t>Written-Off</t>
        </is>
      </c>
      <c r="E6" s="294" t="n">
        <v>45789</v>
      </c>
      <c r="F6" s="294" t="n">
        <v>45973</v>
      </c>
      <c r="G6" s="159" t="n">
        <v>2</v>
      </c>
      <c r="H6" s="159" t="inlineStr">
        <is>
          <t>7231</t>
        </is>
      </c>
      <c r="I6" s="159" t="inlineStr">
        <is>
          <t>72</t>
        </is>
      </c>
      <c r="J6" s="159" t="inlineStr">
        <is>
          <t>NJ</t>
        </is>
      </c>
      <c r="K6" s="159" t="inlineStr">
        <is>
          <t>Fundwell</t>
        </is>
      </c>
      <c r="L6" s="159" t="inlineStr">
        <is>
          <t>Renewal</t>
        </is>
      </c>
      <c r="M6" s="159" t="n">
        <v>1.5</v>
      </c>
      <c r="N6" s="296" t="n">
        <v>10000</v>
      </c>
      <c r="O6" s="296" t="n">
        <v>1000</v>
      </c>
      <c r="P6" s="296" t="n">
        <v>15000</v>
      </c>
      <c r="Q6" s="296" t="n">
        <v>9500</v>
      </c>
      <c r="R6" s="296" t="n">
        <v>5500</v>
      </c>
      <c r="S6" s="299" t="n">
        <v>0.633333333333333</v>
      </c>
      <c r="T6" s="159" t="n">
        <v>4</v>
      </c>
      <c r="U6" s="159" t="n">
        <v>2</v>
      </c>
      <c r="V6" s="159" t="n">
        <v>20000</v>
      </c>
      <c r="W6" s="299" t="n">
        <v>0.14</v>
      </c>
      <c r="X6" s="294" t="n">
        <v>43774</v>
      </c>
      <c r="Y6" s="159">
        <f>IF(I6="","No SIC",IFERROR(VLOOKUP(I6,Ref!$A$2:$B$65,2,FALSE()),"Unclassified"))</f>
        <v/>
      </c>
      <c r="Z6" s="159">
        <f>IF(T6="","",IF(T6&lt;12,"Daily","Weekly"))</f>
        <v/>
      </c>
      <c r="AA6" s="159">
        <f>IF(T6="",0,IF(T6&lt;12,T6*Controls!$B$13,T6*5))</f>
        <v/>
      </c>
      <c r="AB6" s="159">
        <f>IF(E6="",0,NETWORKDAYS(E6,Controls!$B$20,Ref!$K$2:$K$42))</f>
        <v/>
      </c>
      <c r="AC6" s="159">
        <f>IF(OR(AF6=1,AND(AA6&gt;0,AB6&gt;=Controls!$B$23*AA6)),1,0)</f>
        <v/>
      </c>
      <c r="AD6" s="159">
        <f>IF(AND(E6&lt;&gt;"",E6&gt;=Controls!$B$21,E6&lt;=Controls!$B$22),1,0)</f>
        <v/>
      </c>
      <c r="AE6" s="159">
        <f>IF(IFERROR(VLOOKUP(D6,Controls!$A$36:$E$46,2,FALSE()),"No")="Yes",1,0)</f>
        <v/>
      </c>
      <c r="AF6" s="159">
        <f>IF(IFERROR(VLOOKUP(D6,Controls!$A$36:$E$46,3,FALSE()),"No")="Yes",1,0)</f>
        <v/>
      </c>
      <c r="AG6" s="159">
        <f>IF(IFERROR(VLOOKUP(D6,Controls!$A$36:$E$46,4,FALSE()),"No")="Yes",1,0)</f>
        <v/>
      </c>
      <c r="AH6" s="159">
        <f>IF(IFERROR(VLOOKUP(D6,Controls!$A$36:$E$46,5,FALSE()),"No")="Yes",1,0)</f>
        <v/>
      </c>
      <c r="AI6" s="159">
        <f>IF(ISNUMBER(MATCH(D6,Controls!$A$36:$A$46,0)),1,0)</f>
        <v/>
      </c>
      <c r="AJ6" s="296">
        <f>Q6-N6</f>
        <v/>
      </c>
      <c r="AK6" s="159">
        <f>IF(AE6=1,MAX(0,N6-Q6),0)</f>
        <v/>
      </c>
      <c r="AL6" s="159">
        <f>IF(OR(V6="",V6=0),0,N6/V6)</f>
        <v/>
      </c>
      <c r="AM6" s="159">
        <f>IF(OR(V6="",V6=0),0,1)</f>
        <v/>
      </c>
      <c r="AN6" s="159">
        <f>IF(OR(E6="",F6=""),0,NETWORKDAYS(E6,F6,Ref!$K$2:$K$42))</f>
        <v/>
      </c>
      <c r="AO6" s="159">
        <f>IF(L6="Renewal",1,0)</f>
        <v/>
      </c>
      <c r="AP6" s="159">
        <f>AC6*AD6</f>
        <v/>
      </c>
      <c r="AQ6" s="159">
        <f>IF(AND(G6&lt;&gt;"",'Historical Score'!$C$6&lt;&gt;""),IF(G6='Historical Score'!$C$6,1,0),0)</f>
        <v/>
      </c>
      <c r="AR6" s="159">
        <f>IF(AND(L6&lt;&gt;"",'Historical Score'!$C$5&lt;&gt;""),IF(L6='Historical Score'!$C$5,1,0),0)</f>
        <v/>
      </c>
      <c r="AS6" s="159">
        <f>IF(AND(Y6&lt;&gt;"",'Historical Score'!$C$7&lt;&gt;""),IF(Y6='Historical Score'!$C$7,1,0),0)</f>
        <v/>
      </c>
      <c r="AT6" s="159">
        <f>IF(AND(K6&lt;&gt;"",'Historical Score'!$C$8&lt;&gt;""),IF(K6='Historical Score'!$C$8,1,0),0)</f>
        <v/>
      </c>
      <c r="AU6" s="159">
        <f>AR6*AT6*AS6</f>
        <v/>
      </c>
      <c r="AV6" s="159">
        <f>AR6*AS6*AQ6</f>
        <v/>
      </c>
      <c r="AW6" s="159">
        <f>AR6*AT6*AQ6</f>
        <v/>
      </c>
      <c r="AX6" s="159">
        <f>AR6*AS6</f>
        <v/>
      </c>
      <c r="AY6" s="159">
        <f>AR6*AT6</f>
        <v/>
      </c>
      <c r="AZ6" s="159">
        <f>AR6*AQ6</f>
        <v/>
      </c>
      <c r="BA6" s="159">
        <f>IF(OR(AD6=0,'Historical Score'!$D$29=""),0,CHOOSE('Historical Score'!$D$29,AU6,AV6,AW6,AX6,AY6,AZ6,AR6,1))</f>
        <v/>
      </c>
    </row>
    <row r="7" ht="15" customHeight="1" s="160">
      <c r="A7" s="159" t="inlineStr">
        <is>
          <t>A-006</t>
        </is>
      </c>
      <c r="B7" s="159" t="inlineStr">
        <is>
          <t>Orchard Supply</t>
        </is>
      </c>
      <c r="C7" s="159" t="inlineStr">
        <is>
          <t>Orchard Supply Co LLC</t>
        </is>
      </c>
      <c r="D7" s="159" t="inlineStr">
        <is>
          <t>Bankruptcy</t>
        </is>
      </c>
      <c r="E7" s="294" t="n">
        <v>45826</v>
      </c>
      <c r="F7" s="294" t="n">
        <v>45918</v>
      </c>
      <c r="G7" s="159" t="n">
        <v>4</v>
      </c>
      <c r="J7" s="159" t="inlineStr">
        <is>
          <t>TX</t>
        </is>
      </c>
      <c r="K7" s="159" t="inlineStr">
        <is>
          <t>Westwood</t>
        </is>
      </c>
      <c r="L7" s="159" t="inlineStr">
        <is>
          <t>New Deal</t>
        </is>
      </c>
      <c r="M7" s="159" t="n">
        <v>1.5</v>
      </c>
      <c r="N7" s="296" t="n">
        <v>20000</v>
      </c>
      <c r="O7" s="296" t="n">
        <v>2000</v>
      </c>
      <c r="P7" s="296" t="n">
        <v>30000</v>
      </c>
      <c r="Q7" s="296" t="n">
        <v>0</v>
      </c>
      <c r="R7" s="296" t="n">
        <v>30000</v>
      </c>
      <c r="S7" s="299" t="n">
        <v>0</v>
      </c>
      <c r="T7" s="159" t="n">
        <v>16</v>
      </c>
      <c r="U7" s="159" t="n">
        <v>9</v>
      </c>
      <c r="V7" s="159" t="n">
        <v>100000</v>
      </c>
      <c r="W7" s="299" t="n">
        <v>0.1</v>
      </c>
      <c r="X7" s="294" t="n">
        <v>44305</v>
      </c>
      <c r="Y7" s="159">
        <f>IF(I7="","No SIC",IFERROR(VLOOKUP(I7,Ref!$A$2:$B$65,2,FALSE()),"Unclassified"))</f>
        <v/>
      </c>
      <c r="Z7" s="159">
        <f>IF(T7="","",IF(T7&lt;12,"Daily","Weekly"))</f>
        <v/>
      </c>
      <c r="AA7" s="159">
        <f>IF(T7="",0,IF(T7&lt;12,T7*Controls!$B$13,T7*5))</f>
        <v/>
      </c>
      <c r="AB7" s="159">
        <f>IF(E7="",0,NETWORKDAYS(E7,Controls!$B$20,Ref!$K$2:$K$42))</f>
        <v/>
      </c>
      <c r="AC7" s="159">
        <f>IF(OR(AF7=1,AND(AA7&gt;0,AB7&gt;=Controls!$B$23*AA7)),1,0)</f>
        <v/>
      </c>
      <c r="AD7" s="159">
        <f>IF(AND(E7&lt;&gt;"",E7&gt;=Controls!$B$21,E7&lt;=Controls!$B$22),1,0)</f>
        <v/>
      </c>
      <c r="AE7" s="159">
        <f>IF(IFERROR(VLOOKUP(D7,Controls!$A$36:$E$46,2,FALSE()),"No")="Yes",1,0)</f>
        <v/>
      </c>
      <c r="AF7" s="159">
        <f>IF(IFERROR(VLOOKUP(D7,Controls!$A$36:$E$46,3,FALSE()),"No")="Yes",1,0)</f>
        <v/>
      </c>
      <c r="AG7" s="159">
        <f>IF(IFERROR(VLOOKUP(D7,Controls!$A$36:$E$46,4,FALSE()),"No")="Yes",1,0)</f>
        <v/>
      </c>
      <c r="AH7" s="159">
        <f>IF(IFERROR(VLOOKUP(D7,Controls!$A$36:$E$46,5,FALSE()),"No")="Yes",1,0)</f>
        <v/>
      </c>
      <c r="AI7" s="159">
        <f>IF(ISNUMBER(MATCH(D7,Controls!$A$36:$A$46,0)),1,0)</f>
        <v/>
      </c>
      <c r="AJ7" s="296">
        <f>Q7-N7</f>
        <v/>
      </c>
      <c r="AK7" s="159">
        <f>IF(AE7=1,MAX(0,N7-Q7),0)</f>
        <v/>
      </c>
      <c r="AL7" s="159">
        <f>IF(OR(V7="",V7=0),0,N7/V7)</f>
        <v/>
      </c>
      <c r="AM7" s="159">
        <f>IF(OR(V7="",V7=0),0,1)</f>
        <v/>
      </c>
      <c r="AN7" s="159">
        <f>IF(OR(E7="",F7=""),0,NETWORKDAYS(E7,F7,Ref!$K$2:$K$42))</f>
        <v/>
      </c>
      <c r="AO7" s="159">
        <f>IF(L7="Renewal",1,0)</f>
        <v/>
      </c>
      <c r="AP7" s="159">
        <f>AC7*AD7</f>
        <v/>
      </c>
      <c r="AQ7" s="159">
        <f>IF(AND(G7&lt;&gt;"",'Historical Score'!$C$6&lt;&gt;""),IF(G7='Historical Score'!$C$6,1,0),0)</f>
        <v/>
      </c>
      <c r="AR7" s="159">
        <f>IF(AND(L7&lt;&gt;"",'Historical Score'!$C$5&lt;&gt;""),IF(L7='Historical Score'!$C$5,1,0),0)</f>
        <v/>
      </c>
      <c r="AS7" s="159">
        <f>IF(AND(Y7&lt;&gt;"",'Historical Score'!$C$7&lt;&gt;""),IF(Y7='Historical Score'!$C$7,1,0),0)</f>
        <v/>
      </c>
      <c r="AT7" s="159">
        <f>IF(AND(K7&lt;&gt;"",'Historical Score'!$C$8&lt;&gt;""),IF(K7='Historical Score'!$C$8,1,0),0)</f>
        <v/>
      </c>
      <c r="AU7" s="159">
        <f>AR7*AT7*AS7</f>
        <v/>
      </c>
      <c r="AV7" s="159">
        <f>AR7*AS7*AQ7</f>
        <v/>
      </c>
      <c r="AW7" s="159">
        <f>AR7*AT7*AQ7</f>
        <v/>
      </c>
      <c r="AX7" s="159">
        <f>AR7*AS7</f>
        <v/>
      </c>
      <c r="AY7" s="159">
        <f>AR7*AT7</f>
        <v/>
      </c>
      <c r="AZ7" s="159">
        <f>AR7*AQ7</f>
        <v/>
      </c>
      <c r="BA7" s="159">
        <f>IF(OR(AD7=0,'Historical Score'!$D$29=""),0,CHOOSE('Historical Score'!$D$29,AU7,AV7,AW7,AX7,AY7,AZ7,AR7,1))</f>
        <v/>
      </c>
    </row>
    <row r="8" ht="15" customHeight="1" s="160">
      <c r="A8" s="159" t="inlineStr">
        <is>
          <t>A-007</t>
        </is>
      </c>
      <c r="B8" s="159" t="inlineStr">
        <is>
          <t>Pinewood Dental</t>
        </is>
      </c>
      <c r="C8" s="159" t="inlineStr">
        <is>
          <t>Pinewood Dental PC</t>
        </is>
      </c>
      <c r="D8" s="159" t="inlineStr">
        <is>
          <t>Open</t>
        </is>
      </c>
      <c r="E8" s="294" t="n">
        <v>46030</v>
      </c>
      <c r="F8" s="294" t="n">
        <v>46237</v>
      </c>
      <c r="G8" s="159" t="n">
        <v>1</v>
      </c>
      <c r="H8" s="159" t="inlineStr">
        <is>
          <t>8021</t>
        </is>
      </c>
      <c r="I8" s="159" t="inlineStr">
        <is>
          <t>80</t>
        </is>
      </c>
      <c r="J8" s="159" t="inlineStr">
        <is>
          <t>NJ</t>
        </is>
      </c>
      <c r="K8" s="159" t="inlineStr">
        <is>
          <t>Fundwell</t>
        </is>
      </c>
      <c r="L8" s="159" t="inlineStr">
        <is>
          <t>New Deal</t>
        </is>
      </c>
      <c r="M8" s="159" t="n">
        <v>1.5</v>
      </c>
      <c r="N8" s="296" t="n">
        <v>50000</v>
      </c>
      <c r="O8" s="296" t="n">
        <v>5000</v>
      </c>
      <c r="P8" s="296" t="n">
        <v>75000</v>
      </c>
      <c r="Q8" s="296" t="n">
        <v>30000</v>
      </c>
      <c r="R8" s="296" t="n">
        <v>45000</v>
      </c>
      <c r="S8" s="299" t="n">
        <v>0.4</v>
      </c>
      <c r="T8" s="159" t="n">
        <v>6</v>
      </c>
      <c r="U8" s="159" t="n">
        <v>0</v>
      </c>
      <c r="V8" s="159" t="n">
        <v>250000</v>
      </c>
      <c r="W8" s="299" t="n">
        <v>0.08</v>
      </c>
      <c r="X8" s="294" t="n">
        <v>40211</v>
      </c>
      <c r="Y8" s="159">
        <f>IF(I8="","No SIC",IFERROR(VLOOKUP(I8,Ref!$A$2:$B$65,2,FALSE()),"Unclassified"))</f>
        <v/>
      </c>
      <c r="Z8" s="159">
        <f>IF(T8="","",IF(T8&lt;12,"Daily","Weekly"))</f>
        <v/>
      </c>
      <c r="AA8" s="159">
        <f>IF(T8="",0,IF(T8&lt;12,T8*Controls!$B$13,T8*5))</f>
        <v/>
      </c>
      <c r="AB8" s="159">
        <f>IF(E8="",0,NETWORKDAYS(E8,Controls!$B$20,Ref!$K$2:$K$42))</f>
        <v/>
      </c>
      <c r="AC8" s="159">
        <f>IF(OR(AF8=1,AND(AA8&gt;0,AB8&gt;=Controls!$B$23*AA8)),1,0)</f>
        <v/>
      </c>
      <c r="AD8" s="159">
        <f>IF(AND(E8&lt;&gt;"",E8&gt;=Controls!$B$21,E8&lt;=Controls!$B$22),1,0)</f>
        <v/>
      </c>
      <c r="AE8" s="159">
        <f>IF(IFERROR(VLOOKUP(D8,Controls!$A$36:$E$46,2,FALSE()),"No")="Yes",1,0)</f>
        <v/>
      </c>
      <c r="AF8" s="159">
        <f>IF(IFERROR(VLOOKUP(D8,Controls!$A$36:$E$46,3,FALSE()),"No")="Yes",1,0)</f>
        <v/>
      </c>
      <c r="AG8" s="159">
        <f>IF(IFERROR(VLOOKUP(D8,Controls!$A$36:$E$46,4,FALSE()),"No")="Yes",1,0)</f>
        <v/>
      </c>
      <c r="AH8" s="159">
        <f>IF(IFERROR(VLOOKUP(D8,Controls!$A$36:$E$46,5,FALSE()),"No")="Yes",1,0)</f>
        <v/>
      </c>
      <c r="AI8" s="159">
        <f>IF(ISNUMBER(MATCH(D8,Controls!$A$36:$A$46,0)),1,0)</f>
        <v/>
      </c>
      <c r="AJ8" s="296">
        <f>Q8-N8</f>
        <v/>
      </c>
      <c r="AK8" s="159">
        <f>IF(AE8=1,MAX(0,N8-Q8),0)</f>
        <v/>
      </c>
      <c r="AL8" s="159">
        <f>IF(OR(V8="",V8=0),0,N8/V8)</f>
        <v/>
      </c>
      <c r="AM8" s="159">
        <f>IF(OR(V8="",V8=0),0,1)</f>
        <v/>
      </c>
      <c r="AN8" s="159">
        <f>IF(OR(E8="",F8=""),0,NETWORKDAYS(E8,F8,Ref!$K$2:$K$42))</f>
        <v/>
      </c>
      <c r="AO8" s="159">
        <f>IF(L8="Renewal",1,0)</f>
        <v/>
      </c>
      <c r="AP8" s="159">
        <f>AC8*AD8</f>
        <v/>
      </c>
      <c r="AQ8" s="159">
        <f>IF(AND(G8&lt;&gt;"",'Historical Score'!$C$6&lt;&gt;""),IF(G8='Historical Score'!$C$6,1,0),0)</f>
        <v/>
      </c>
      <c r="AR8" s="159">
        <f>IF(AND(L8&lt;&gt;"",'Historical Score'!$C$5&lt;&gt;""),IF(L8='Historical Score'!$C$5,1,0),0)</f>
        <v/>
      </c>
      <c r="AS8" s="159">
        <f>IF(AND(Y8&lt;&gt;"",'Historical Score'!$C$7&lt;&gt;""),IF(Y8='Historical Score'!$C$7,1,0),0)</f>
        <v/>
      </c>
      <c r="AT8" s="159">
        <f>IF(AND(K8&lt;&gt;"",'Historical Score'!$C$8&lt;&gt;""),IF(K8='Historical Score'!$C$8,1,0),0)</f>
        <v/>
      </c>
      <c r="AU8" s="159">
        <f>AR8*AT8*AS8</f>
        <v/>
      </c>
      <c r="AV8" s="159">
        <f>AR8*AS8*AQ8</f>
        <v/>
      </c>
      <c r="AW8" s="159">
        <f>AR8*AT8*AQ8</f>
        <v/>
      </c>
      <c r="AX8" s="159">
        <f>AR8*AS8</f>
        <v/>
      </c>
      <c r="AY8" s="159">
        <f>AR8*AT8</f>
        <v/>
      </c>
      <c r="AZ8" s="159">
        <f>AR8*AQ8</f>
        <v/>
      </c>
      <c r="BA8" s="159">
        <f>IF(OR(AD8=0,'Historical Score'!$D$29=""),0,CHOOSE('Historical Score'!$D$29,AU8,AV8,AW8,AX8,AY8,AZ8,AR8,1))</f>
        <v/>
      </c>
    </row>
    <row r="9" ht="15" customHeight="1" s="160">
      <c r="A9" s="159" t="inlineStr">
        <is>
          <t>A-008</t>
        </is>
      </c>
      <c r="B9" s="159" t="inlineStr">
        <is>
          <t>Harbor Cleaning</t>
        </is>
      </c>
      <c r="C9" s="159" t="inlineStr">
        <is>
          <t>Harbor Cleaning Services LLC</t>
        </is>
      </c>
      <c r="D9" s="159" t="inlineStr">
        <is>
          <t>Closed/NSF Unpaid</t>
        </is>
      </c>
      <c r="E9" s="294" t="n">
        <v>45852</v>
      </c>
      <c r="F9" s="294" t="n">
        <v>46006</v>
      </c>
      <c r="G9" s="159" t="n">
        <v>3</v>
      </c>
      <c r="H9" s="159" t="inlineStr">
        <is>
          <t>7349</t>
        </is>
      </c>
      <c r="I9" s="159" t="inlineStr">
        <is>
          <t>73</t>
        </is>
      </c>
      <c r="J9" s="159" t="inlineStr">
        <is>
          <t>TX</t>
        </is>
      </c>
      <c r="K9" s="159" t="inlineStr">
        <is>
          <t>Westwood</t>
        </is>
      </c>
      <c r="L9" s="159" t="inlineStr">
        <is>
          <t>New Deal</t>
        </is>
      </c>
      <c r="M9" s="159" t="n">
        <v>1.5</v>
      </c>
      <c r="N9" s="296" t="n">
        <v>20000</v>
      </c>
      <c r="O9" s="296" t="n">
        <v>2000</v>
      </c>
      <c r="P9" s="296" t="n">
        <v>30000</v>
      </c>
      <c r="Q9" s="296" t="n">
        <v>30000</v>
      </c>
      <c r="R9" s="296" t="n">
        <v>0</v>
      </c>
      <c r="S9" s="299" t="n">
        <v>1</v>
      </c>
      <c r="T9" s="159" t="n">
        <v>20</v>
      </c>
      <c r="U9" s="159" t="n">
        <v>11</v>
      </c>
      <c r="W9" s="299" t="n">
        <v>0.13</v>
      </c>
      <c r="X9" s="294" t="n">
        <v>44781</v>
      </c>
      <c r="Y9" s="159">
        <f>IF(I9="","No SIC",IFERROR(VLOOKUP(I9,Ref!$A$2:$B$65,2,FALSE()),"Unclassified"))</f>
        <v/>
      </c>
      <c r="Z9" s="159">
        <f>IF(T9="","",IF(T9&lt;12,"Daily","Weekly"))</f>
        <v/>
      </c>
      <c r="AA9" s="159">
        <f>IF(T9="",0,IF(T9&lt;12,T9*Controls!$B$13,T9*5))</f>
        <v/>
      </c>
      <c r="AB9" s="159">
        <f>IF(E9="",0,NETWORKDAYS(E9,Controls!$B$20,Ref!$K$2:$K$42))</f>
        <v/>
      </c>
      <c r="AC9" s="159">
        <f>IF(OR(AF9=1,AND(AA9&gt;0,AB9&gt;=Controls!$B$23*AA9)),1,0)</f>
        <v/>
      </c>
      <c r="AD9" s="159">
        <f>IF(AND(E9&lt;&gt;"",E9&gt;=Controls!$B$21,E9&lt;=Controls!$B$22),1,0)</f>
        <v/>
      </c>
      <c r="AE9" s="159">
        <f>IF(IFERROR(VLOOKUP(D9,Controls!$A$36:$E$46,2,FALSE()),"No")="Yes",1,0)</f>
        <v/>
      </c>
      <c r="AF9" s="159">
        <f>IF(IFERROR(VLOOKUP(D9,Controls!$A$36:$E$46,3,FALSE()),"No")="Yes",1,0)</f>
        <v/>
      </c>
      <c r="AG9" s="159">
        <f>IF(IFERROR(VLOOKUP(D9,Controls!$A$36:$E$46,4,FALSE()),"No")="Yes",1,0)</f>
        <v/>
      </c>
      <c r="AH9" s="159">
        <f>IF(IFERROR(VLOOKUP(D9,Controls!$A$36:$E$46,5,FALSE()),"No")="Yes",1,0)</f>
        <v/>
      </c>
      <c r="AI9" s="159">
        <f>IF(ISNUMBER(MATCH(D9,Controls!$A$36:$A$46,0)),1,0)</f>
        <v/>
      </c>
      <c r="AJ9" s="296">
        <f>Q9-N9</f>
        <v/>
      </c>
      <c r="AK9" s="159">
        <f>IF(AE9=1,MAX(0,N9-Q9),0)</f>
        <v/>
      </c>
      <c r="AL9" s="159">
        <f>IF(OR(V9="",V9=0),0,N9/V9)</f>
        <v/>
      </c>
      <c r="AM9" s="159">
        <f>IF(OR(V9="",V9=0),0,1)</f>
        <v/>
      </c>
      <c r="AN9" s="159">
        <f>IF(OR(E9="",F9=""),0,NETWORKDAYS(E9,F9,Ref!$K$2:$K$42))</f>
        <v/>
      </c>
      <c r="AO9" s="159">
        <f>IF(L9="Renewal",1,0)</f>
        <v/>
      </c>
      <c r="AP9" s="159">
        <f>AC9*AD9</f>
        <v/>
      </c>
      <c r="AQ9" s="159">
        <f>IF(AND(G9&lt;&gt;"",'Historical Score'!$C$6&lt;&gt;""),IF(G9='Historical Score'!$C$6,1,0),0)</f>
        <v/>
      </c>
      <c r="AR9" s="159">
        <f>IF(AND(L9&lt;&gt;"",'Historical Score'!$C$5&lt;&gt;""),IF(L9='Historical Score'!$C$5,1,0),0)</f>
        <v/>
      </c>
      <c r="AS9" s="159">
        <f>IF(AND(Y9&lt;&gt;"",'Historical Score'!$C$7&lt;&gt;""),IF(Y9='Historical Score'!$C$7,1,0),0)</f>
        <v/>
      </c>
      <c r="AT9" s="159">
        <f>IF(AND(K9&lt;&gt;"",'Historical Score'!$C$8&lt;&gt;""),IF(K9='Historical Score'!$C$8,1,0),0)</f>
        <v/>
      </c>
      <c r="AU9" s="159">
        <f>AR9*AT9*AS9</f>
        <v/>
      </c>
      <c r="AV9" s="159">
        <f>AR9*AS9*AQ9</f>
        <v/>
      </c>
      <c r="AW9" s="159">
        <f>AR9*AT9*AQ9</f>
        <v/>
      </c>
      <c r="AX9" s="159">
        <f>AR9*AS9</f>
        <v/>
      </c>
      <c r="AY9" s="159">
        <f>AR9*AT9</f>
        <v/>
      </c>
      <c r="AZ9" s="159">
        <f>AR9*AQ9</f>
        <v/>
      </c>
      <c r="BA9" s="159">
        <f>IF(OR(AD9=0,'Historical Score'!$D$29=""),0,CHOOSE('Historical Score'!$D$29,AU9,AV9,AW9,AX9,AY9,AZ9,AR9,1))</f>
        <v/>
      </c>
    </row>
    <row r="10" ht="1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52" customWidth="1" style="159" min="1" max="1"/>
    <col width="15" customWidth="1" style="159" min="2" max="5"/>
    <col width="13" customWidth="1" style="159" min="6" max="6"/>
    <col width="8.57" customWidth="1" style="159" min="7" max="22"/>
  </cols>
  <sheetData>
    <row r="1" ht="17.25" customHeight="1" s="160">
      <c r="A1" s="270" t="inlineStr">
        <is>
          <t xml:space="preserve">CONTROLS </t>
        </is>
      </c>
    </row>
    <row r="2" ht="15" customHeight="1" s="160">
      <c r="A2" s="269" t="n"/>
    </row>
    <row r="3" ht="15" customHeight="1" s="160">
      <c r="A3" s="165" t="inlineStr">
        <is>
          <t>1. PRICING BANDS</t>
        </is>
      </c>
    </row>
    <row r="4" ht="21.75" customHeight="1" s="160">
      <c r="A4" s="256" t="inlineStr">
        <is>
          <t>Score &gt;=</t>
        </is>
      </c>
      <c r="B4" s="256" t="inlineStr">
        <is>
          <t>Term cap (daily pmts)</t>
        </is>
      </c>
      <c r="C4" s="256" t="inlineStr">
        <is>
          <t>Factor</t>
        </is>
      </c>
      <c r="D4" s="256" t="n"/>
      <c r="E4" s="256" t="n"/>
      <c r="F4" s="256" t="n"/>
    </row>
    <row r="5" ht="15" customHeight="1" s="160">
      <c r="A5" s="300" t="n">
        <v>0</v>
      </c>
      <c r="B5" s="301" t="n">
        <v>100</v>
      </c>
      <c r="C5" s="302" t="n">
        <v>1.49</v>
      </c>
      <c r="D5" s="303" t="n"/>
      <c r="E5" s="304" t="n"/>
    </row>
    <row r="6" ht="15" customHeight="1" s="160">
      <c r="A6" s="300" t="n">
        <v>5</v>
      </c>
      <c r="B6" s="301" t="n">
        <v>130</v>
      </c>
      <c r="C6" s="302" t="n">
        <v>1.45</v>
      </c>
      <c r="D6" s="303" t="n"/>
      <c r="E6" s="305" t="n"/>
    </row>
    <row r="7" ht="15" customHeight="1" s="160">
      <c r="A7" s="300" t="n">
        <v>6</v>
      </c>
      <c r="B7" s="301" t="n">
        <v>150</v>
      </c>
      <c r="C7" s="302" t="n">
        <v>1.45</v>
      </c>
      <c r="D7" s="303" t="n"/>
      <c r="E7" s="305" t="n"/>
    </row>
    <row r="8" ht="15" customHeight="1" s="160">
      <c r="A8" s="300" t="n">
        <v>7</v>
      </c>
      <c r="B8" s="301" t="n">
        <v>195</v>
      </c>
      <c r="C8" s="302" t="n">
        <v>1.4</v>
      </c>
      <c r="D8" s="302" t="n"/>
      <c r="E8" s="305" t="n"/>
    </row>
    <row r="9" ht="15" customHeight="1" s="160">
      <c r="A9" s="271" t="inlineStr">
        <is>
          <t>Max term (months)</t>
        </is>
      </c>
      <c r="B9" s="301" t="n">
        <v>9</v>
      </c>
      <c r="C9" s="301" t="n"/>
      <c r="D9" s="301" t="n"/>
      <c r="E9" s="305" t="n"/>
    </row>
    <row r="10" ht="15" customHeight="1" s="160">
      <c r="A10" s="172" t="n"/>
      <c r="B10" s="303" t="n"/>
      <c r="C10" s="303" t="n"/>
      <c r="D10" s="303" t="n"/>
      <c r="E10" s="305" t="n"/>
    </row>
    <row r="11" ht="15" customHeight="1" s="160">
      <c r="A11" s="306" t="inlineStr">
        <is>
          <t>2. CONVERSION CONSTANTS</t>
        </is>
      </c>
      <c r="B11" s="253" t="n"/>
      <c r="C11" s="253" t="n"/>
      <c r="D11" s="189" t="n"/>
      <c r="E11" s="305" t="n"/>
    </row>
    <row r="12" ht="15" customHeight="1" s="160">
      <c r="A12" s="271" t="inlineStr">
        <is>
          <t>Weeks per month (ours)</t>
        </is>
      </c>
      <c r="B12" s="307" t="n">
        <v>4.331</v>
      </c>
      <c r="C12" s="301" t="n"/>
      <c r="D12" s="301" t="n"/>
      <c r="E12" s="305" t="n"/>
    </row>
    <row r="13" ht="15" customHeight="1" s="160">
      <c r="A13" s="271" t="inlineStr">
        <is>
          <t>Business days per month (ours)</t>
        </is>
      </c>
      <c r="B13" s="307" t="n">
        <v>21.655</v>
      </c>
    </row>
    <row r="14" ht="15" customHeight="1" s="160">
      <c r="A14" s="271" t="inlineStr">
        <is>
          <t>MoneyBadger weeks per month</t>
        </is>
      </c>
      <c r="B14" s="301" t="n">
        <v>4</v>
      </c>
    </row>
    <row r="15" ht="15" customHeight="1" s="160">
      <c r="A15" s="271" t="inlineStr">
        <is>
          <t>MoneyBadger business days per month</t>
        </is>
      </c>
      <c r="B15" s="301" t="n">
        <v>21</v>
      </c>
    </row>
    <row r="16" ht="15" customHeight="1" s="160">
      <c r="A16" s="271" t="inlineStr">
        <is>
          <t>Calendar days per month</t>
        </is>
      </c>
      <c r="B16" s="308" t="n">
        <v>30.4375</v>
      </c>
    </row>
    <row r="17" ht="15" customHeight="1" s="160">
      <c r="A17" s="309" t="inlineStr">
        <is>
          <t>Assumed factor on existing positions</t>
        </is>
      </c>
      <c r="B17" s="302" t="n">
        <v>1.45</v>
      </c>
    </row>
    <row r="18" ht="15" customHeight="1" s="160">
      <c r="A18" s="256" t="n"/>
      <c r="B18" s="256" t="n"/>
      <c r="C18" s="256" t="n"/>
      <c r="D18" s="256" t="n"/>
      <c r="E18" s="256" t="n"/>
      <c r="F18" s="256" t="n"/>
    </row>
    <row r="19" ht="15" customHeight="1" s="160">
      <c r="A19" s="310" t="inlineStr">
        <is>
          <t>3. HISTORICAL EVIDENCE SETTINGS</t>
        </is>
      </c>
      <c r="B19" s="311" t="n"/>
      <c r="C19" s="311" t="n"/>
      <c r="D19" s="312" t="n"/>
    </row>
    <row r="20" ht="15" customHeight="1" s="160">
      <c r="A20" s="313" t="inlineStr">
        <is>
          <t>As-of date (date of the CRM export)</t>
        </is>
      </c>
      <c r="B20" s="314" t="n">
        <v>46259</v>
      </c>
      <c r="C20" s="302" t="n"/>
    </row>
    <row r="21" ht="15" customHeight="1" s="160">
      <c r="A21" s="313" t="inlineStr">
        <is>
          <t>Window: funded on or after</t>
        </is>
      </c>
      <c r="B21" s="314" t="n">
        <v>45597</v>
      </c>
      <c r="C21" s="302" t="n"/>
    </row>
    <row r="22" ht="15" customHeight="1" s="160">
      <c r="A22" s="313" t="inlineStr">
        <is>
          <t>Window: funded on or before</t>
        </is>
      </c>
      <c r="B22" s="314" t="n">
        <v>46259</v>
      </c>
      <c r="C22" s="302" t="n"/>
    </row>
    <row r="23" ht="15" customHeight="1" s="160">
      <c r="A23" s="271" t="inlineStr">
        <is>
          <t>Seasoning multiple (age &gt;= multiple x term)</t>
        </is>
      </c>
      <c r="B23" s="302" t="n">
        <v>1.25</v>
      </c>
    </row>
    <row r="24" ht="15" customHeight="1" s="160">
      <c r="A24" s="271" t="inlineStr">
        <is>
          <t>Minimum seasoned deals for a cohort to be primary</t>
        </is>
      </c>
      <c r="B24" s="301" t="n">
        <v>3</v>
      </c>
      <c r="C24" s="302" t="n"/>
      <c r="D24" s="302" t="n"/>
    </row>
    <row r="25" ht="15" customHeight="1" s="160">
      <c r="A25" s="271" t="inlineStr">
        <is>
          <t>Minimum seasoned funded $ for a cohort to be primary</t>
        </is>
      </c>
      <c r="B25" s="315" t="n">
        <v>30000</v>
      </c>
      <c r="C25" s="300" t="n"/>
      <c r="D25" s="300" t="n"/>
    </row>
    <row r="26" ht="15" customHeight="1" s="160">
      <c r="A26" s="271" t="inlineStr">
        <is>
          <t>Seasoned deals for the sample-size indicator to be GREEN</t>
        </is>
      </c>
      <c r="B26" s="301" t="n">
        <v>5</v>
      </c>
    </row>
    <row r="27" ht="15" customHeight="1" s="160">
      <c r="A27" s="165" t="n"/>
    </row>
    <row r="28" ht="15" customHeight="1" s="160">
      <c r="A28" s="306" t="inlineStr">
        <is>
          <t>4. HOUSE-BOOK OUTCOME   (index = primary cohort PLR / seasoned-book PLR)</t>
        </is>
      </c>
      <c r="B28" s="253" t="n"/>
      <c r="C28" s="253" t="n"/>
      <c r="D28" s="189" t="n"/>
    </row>
    <row r="29" ht="15" customHeight="1" s="160">
      <c r="A29" s="271" t="inlineStr">
        <is>
          <t>SUPPORTIVE when index at or below</t>
        </is>
      </c>
      <c r="B29" s="302" t="n">
        <v>0.85</v>
      </c>
    </row>
    <row r="30" ht="15" customHeight="1" s="160">
      <c r="A30" s="271" t="inlineStr">
        <is>
          <t>NEGATIVE when index above</t>
        </is>
      </c>
      <c r="B30" s="302" t="n">
        <v>1.15</v>
      </c>
    </row>
    <row r="31" ht="15" customHeight="1" s="160">
      <c r="A31" s="271" t="inlineStr">
        <is>
          <t>Supportive: sizing flex (0 = green line, 1 = red line)</t>
        </is>
      </c>
      <c r="B31" s="316" t="n">
        <v>0.5</v>
      </c>
    </row>
    <row r="32" ht="15" customHeight="1" s="160">
      <c r="A32" s="271" t="inlineStr">
        <is>
          <t>Negative: fund cut % (Section F, planned)</t>
        </is>
      </c>
      <c r="B32" s="316" t="n">
        <v>0.2</v>
      </c>
    </row>
    <row r="33" ht="15" customHeight="1" s="160">
      <c r="A33" s="172" t="n"/>
      <c r="B33" s="302" t="n"/>
    </row>
    <row r="34" ht="15" customHeight="1" s="160">
      <c r="A34" s="165" t="inlineStr">
        <is>
          <t>5. STATUS</t>
        </is>
      </c>
    </row>
    <row r="35" ht="15" customHeight="1" s="160">
      <c r="A35" s="256" t="inlineStr">
        <is>
          <t>Status</t>
        </is>
      </c>
      <c r="B35" s="256" t="inlineStr">
        <is>
          <t>Default?</t>
        </is>
      </c>
      <c r="C35" s="256" t="inlineStr">
        <is>
          <t>Resolved?</t>
        </is>
      </c>
      <c r="D35" s="256" t="inlineStr">
        <is>
          <t>Closed?</t>
        </is>
      </c>
      <c r="E35" s="256" t="inlineStr">
        <is>
          <t>Open?</t>
        </is>
      </c>
      <c r="F35" s="256" t="inlineStr">
        <is>
          <t>Deals in file</t>
        </is>
      </c>
    </row>
    <row r="36" ht="15" customHeight="1" s="160">
      <c r="A36" s="271" t="inlineStr">
        <is>
          <t>Closed</t>
        </is>
      </c>
      <c r="B36" s="314" t="inlineStr">
        <is>
          <t>No</t>
        </is>
      </c>
      <c r="C36" s="317" t="inlineStr">
        <is>
          <t>Yes</t>
        </is>
      </c>
      <c r="D36" s="317" t="inlineStr">
        <is>
          <t>Yes</t>
        </is>
      </c>
      <c r="E36" s="317" t="inlineStr">
        <is>
          <t>No</t>
        </is>
      </c>
      <c r="F36" s="249">
        <f>COUNTIF('Historical Data'!$D$2:$D$9,A36)</f>
        <v/>
      </c>
    </row>
    <row r="37" ht="15" customHeight="1" s="160">
      <c r="A37" s="271" t="inlineStr">
        <is>
          <t>Open</t>
        </is>
      </c>
      <c r="B37" s="314" t="inlineStr">
        <is>
          <t>No</t>
        </is>
      </c>
      <c r="C37" s="317" t="inlineStr">
        <is>
          <t>No</t>
        </is>
      </c>
      <c r="D37" s="317" t="inlineStr">
        <is>
          <t>No</t>
        </is>
      </c>
      <c r="E37" s="317" t="inlineStr">
        <is>
          <t>Yes</t>
        </is>
      </c>
      <c r="F37" s="249">
        <f>COUNTIF('Historical Data'!$D$2:$D$9,A37)</f>
        <v/>
      </c>
    </row>
    <row r="38" ht="15" customHeight="1" s="160">
      <c r="A38" s="271" t="inlineStr">
        <is>
          <t>Legal</t>
        </is>
      </c>
      <c r="B38" s="314" t="inlineStr">
        <is>
          <t>Yes</t>
        </is>
      </c>
      <c r="C38" s="317" t="inlineStr">
        <is>
          <t>No</t>
        </is>
      </c>
      <c r="D38" s="317" t="inlineStr">
        <is>
          <t>No</t>
        </is>
      </c>
      <c r="E38" s="317" t="inlineStr">
        <is>
          <t>No</t>
        </is>
      </c>
      <c r="F38" s="249">
        <f>COUNTIF('Historical Data'!$D$2:$D$9,A38)</f>
        <v/>
      </c>
    </row>
    <row r="39" ht="15" customHeight="1" s="160">
      <c r="A39" s="271" t="inlineStr">
        <is>
          <t>In House Collection</t>
        </is>
      </c>
      <c r="B39" s="302" t="inlineStr">
        <is>
          <t>Yes</t>
        </is>
      </c>
      <c r="C39" s="317" t="inlineStr">
        <is>
          <t>No</t>
        </is>
      </c>
      <c r="D39" s="317" t="inlineStr">
        <is>
          <t>No</t>
        </is>
      </c>
      <c r="E39" s="317" t="inlineStr">
        <is>
          <t>No</t>
        </is>
      </c>
      <c r="F39" s="249">
        <f>COUNTIF('Historical Data'!$D$2:$D$9,A39)</f>
        <v/>
      </c>
    </row>
    <row r="40" ht="15" customHeight="1" s="160">
      <c r="A40" s="271" t="inlineStr">
        <is>
          <t>Lowered Payments</t>
        </is>
      </c>
      <c r="B40" s="301" t="inlineStr">
        <is>
          <t>No</t>
        </is>
      </c>
      <c r="C40" s="317" t="inlineStr">
        <is>
          <t>No</t>
        </is>
      </c>
      <c r="D40" s="317" t="inlineStr">
        <is>
          <t>No</t>
        </is>
      </c>
      <c r="E40" s="317" t="inlineStr">
        <is>
          <t>No</t>
        </is>
      </c>
      <c r="F40" s="249">
        <f>COUNTIF('Historical Data'!$D$2:$D$9,A40)</f>
        <v/>
      </c>
    </row>
    <row r="41" ht="15" customHeight="1" s="160">
      <c r="A41" s="271" t="inlineStr">
        <is>
          <t>Written-Off</t>
        </is>
      </c>
      <c r="B41" s="315" t="inlineStr">
        <is>
          <t>Yes</t>
        </is>
      </c>
      <c r="C41" s="317" t="inlineStr">
        <is>
          <t>Yes</t>
        </is>
      </c>
      <c r="D41" s="317" t="inlineStr">
        <is>
          <t>No</t>
        </is>
      </c>
      <c r="E41" s="317" t="inlineStr">
        <is>
          <t>No</t>
        </is>
      </c>
      <c r="F41" s="249">
        <f>COUNTIF('Historical Data'!$D$2:$D$9,A41)</f>
        <v/>
      </c>
    </row>
    <row r="42" ht="15" customHeight="1" s="160">
      <c r="A42" s="271" t="inlineStr">
        <is>
          <t>Bankruptcy</t>
        </is>
      </c>
      <c r="B42" s="301" t="inlineStr">
        <is>
          <t>Yes</t>
        </is>
      </c>
      <c r="C42" s="317" t="inlineStr">
        <is>
          <t>Yes</t>
        </is>
      </c>
      <c r="D42" s="317" t="inlineStr">
        <is>
          <t>No</t>
        </is>
      </c>
      <c r="E42" s="317" t="inlineStr">
        <is>
          <t>No</t>
        </is>
      </c>
      <c r="F42" s="249">
        <f>COUNTIF('Historical Data'!$D$2:$D$9,A42)</f>
        <v/>
      </c>
    </row>
    <row r="43" ht="15" customHeight="1" s="160">
      <c r="A43" s="271" t="inlineStr">
        <is>
          <t>Settlement Agreement</t>
        </is>
      </c>
      <c r="B43" s="301" t="inlineStr">
        <is>
          <t>Yes</t>
        </is>
      </c>
      <c r="C43" s="317" t="inlineStr">
        <is>
          <t>Yes</t>
        </is>
      </c>
      <c r="D43" s="317" t="inlineStr">
        <is>
          <t>No</t>
        </is>
      </c>
      <c r="E43" s="317" t="inlineStr">
        <is>
          <t>No</t>
        </is>
      </c>
      <c r="F43" s="249">
        <f>COUNTIF('Historical Data'!$D$2:$D$9,A43)</f>
        <v/>
      </c>
    </row>
    <row r="44" ht="15" customHeight="1" s="160">
      <c r="A44" s="271" t="inlineStr">
        <is>
          <t>Closed/NSF</t>
        </is>
      </c>
      <c r="B44" s="301" t="inlineStr">
        <is>
          <t>No</t>
        </is>
      </c>
      <c r="C44" s="317" t="inlineStr">
        <is>
          <t>Yes</t>
        </is>
      </c>
      <c r="D44" s="317" t="inlineStr">
        <is>
          <t>Yes</t>
        </is>
      </c>
      <c r="E44" s="317" t="inlineStr">
        <is>
          <t>No</t>
        </is>
      </c>
      <c r="F44" s="249">
        <f>COUNTIF('Historical Data'!$D$2:$D$9,A44)</f>
        <v/>
      </c>
    </row>
    <row r="45" ht="15" customHeight="1" s="160">
      <c r="A45" s="271" t="inlineStr">
        <is>
          <t>Closed/NSF Unpaid</t>
        </is>
      </c>
      <c r="B45" s="317" t="inlineStr">
        <is>
          <t>No</t>
        </is>
      </c>
      <c r="C45" s="317" t="inlineStr">
        <is>
          <t>Yes</t>
        </is>
      </c>
      <c r="D45" s="317" t="inlineStr">
        <is>
          <t>Yes</t>
        </is>
      </c>
      <c r="E45" s="317" t="inlineStr">
        <is>
          <t>No</t>
        </is>
      </c>
      <c r="F45" s="249">
        <f>COUNTIF('Historical Data'!$D$2:$D$9,A45)</f>
        <v/>
      </c>
    </row>
    <row r="46" ht="15" customHeight="1" s="160">
      <c r="A46" s="271" t="inlineStr">
        <is>
          <t>At-Risk</t>
        </is>
      </c>
      <c r="B46" s="317" t="inlineStr">
        <is>
          <t>Yes</t>
        </is>
      </c>
      <c r="C46" s="317" t="inlineStr">
        <is>
          <t>No</t>
        </is>
      </c>
      <c r="D46" s="317" t="inlineStr">
        <is>
          <t>No</t>
        </is>
      </c>
      <c r="E46" s="317" t="inlineStr">
        <is>
          <t>No</t>
        </is>
      </c>
      <c r="F46" s="249">
        <f>COUNTIF('Historical Data'!$D$2:$D$9,A46)</f>
        <v/>
      </c>
    </row>
    <row r="47" ht="15" customHeight="1" s="160">
      <c r="A47" s="165" t="n"/>
    </row>
    <row r="48" ht="15" customHeight="1" s="160">
      <c r="A48" s="256" t="n"/>
      <c r="B48" s="256" t="n"/>
      <c r="C48" s="256" t="n"/>
      <c r="D48" s="256" t="n"/>
      <c r="E48" s="256" t="n"/>
      <c r="F48" s="256" t="n"/>
    </row>
    <row r="49" ht="15" customHeight="1" s="160">
      <c r="A49" s="172" t="n"/>
      <c r="B49" s="318" t="n"/>
    </row>
    <row r="50" ht="15" customHeight="1" s="160">
      <c r="A50" s="172" t="n"/>
      <c r="B50" s="318" t="n"/>
    </row>
    <row r="51" ht="15" customHeight="1" s="160">
      <c r="A51" s="172" t="n"/>
      <c r="B51" s="319" t="n"/>
    </row>
    <row r="52" ht="15" customHeight="1" s="160">
      <c r="A52" s="172" t="n"/>
      <c r="B52" s="319" t="n"/>
    </row>
    <row r="53" ht="15" customHeight="1" s="160"/>
    <row r="54" ht="15" customHeight="1" s="160">
      <c r="A54" s="269" t="n"/>
    </row>
    <row r="55" ht="15" customHeight="1" s="160"/>
    <row r="56" ht="15" customHeight="1" s="160"/>
    <row r="57" ht="15" customHeight="1" s="160">
      <c r="A57" s="165" t="n"/>
    </row>
    <row r="58" ht="15" customHeight="1" s="160">
      <c r="A58" s="256" t="n"/>
      <c r="B58" s="256" t="n"/>
      <c r="C58" s="256" t="n"/>
      <c r="D58" s="256" t="n"/>
      <c r="E58" s="256" t="n"/>
      <c r="F58" s="256" t="n"/>
    </row>
    <row r="59" ht="15" customHeight="1" s="160">
      <c r="A59" s="172" t="n"/>
      <c r="B59" s="317" t="n"/>
      <c r="C59" s="317" t="n"/>
      <c r="D59" s="317" t="n"/>
      <c r="E59" s="317" t="n"/>
      <c r="F59" s="320" t="n"/>
    </row>
    <row r="60" ht="15" customHeight="1" s="160">
      <c r="A60" s="172" t="n"/>
      <c r="B60" s="317" t="n"/>
      <c r="C60" s="317" t="n"/>
      <c r="D60" s="317" t="n"/>
      <c r="E60" s="317" t="n"/>
      <c r="F60" s="320" t="n"/>
    </row>
    <row r="61" ht="15" customHeight="1" s="160">
      <c r="A61" s="172" t="n"/>
      <c r="B61" s="317" t="n"/>
      <c r="C61" s="317" t="n"/>
      <c r="D61" s="317" t="n"/>
      <c r="E61" s="317" t="n"/>
      <c r="F61" s="320" t="n"/>
    </row>
    <row r="62" ht="15" customHeight="1" s="160">
      <c r="A62" s="172" t="n"/>
      <c r="B62" s="317" t="n"/>
      <c r="C62" s="317" t="n"/>
      <c r="D62" s="317" t="n"/>
      <c r="E62" s="317" t="n"/>
      <c r="F62" s="320" t="n"/>
    </row>
    <row r="63" ht="15" customHeight="1" s="160">
      <c r="A63" s="172" t="n"/>
      <c r="B63" s="317" t="n"/>
      <c r="C63" s="317" t="n"/>
      <c r="D63" s="317" t="n"/>
      <c r="E63" s="317" t="n"/>
      <c r="F63" s="320" t="n"/>
    </row>
    <row r="64" ht="15" customHeight="1" s="160">
      <c r="A64" s="172" t="n"/>
      <c r="B64" s="317" t="n"/>
      <c r="C64" s="317" t="n"/>
      <c r="D64" s="317" t="n"/>
      <c r="E64" s="317" t="n"/>
      <c r="F64" s="320" t="n"/>
    </row>
    <row r="65" ht="15" customHeight="1" s="160">
      <c r="A65" s="172" t="n"/>
      <c r="B65" s="317" t="n"/>
      <c r="C65" s="317" t="n"/>
      <c r="D65" s="317" t="n"/>
      <c r="E65" s="317" t="n"/>
      <c r="F65" s="320" t="n"/>
    </row>
    <row r="66" ht="15" customHeight="1" s="160">
      <c r="A66" s="172" t="n"/>
      <c r="B66" s="317" t="n"/>
      <c r="C66" s="317" t="n"/>
      <c r="D66" s="317" t="n"/>
      <c r="E66" s="317" t="n"/>
      <c r="F66" s="320" t="n"/>
    </row>
    <row r="67" ht="15" customHeight="1" s="160">
      <c r="A67" s="172" t="n"/>
      <c r="B67" s="317" t="n"/>
      <c r="C67" s="317" t="n"/>
      <c r="D67" s="317" t="n"/>
      <c r="E67" s="317" t="n"/>
      <c r="F67" s="320" t="n"/>
    </row>
    <row r="68" ht="15" customHeight="1" s="160">
      <c r="A68" s="172" t="n"/>
      <c r="B68" s="317" t="n"/>
      <c r="C68" s="317" t="n"/>
      <c r="D68" s="317" t="n"/>
      <c r="E68" s="317" t="n"/>
      <c r="F68" s="320" t="n"/>
    </row>
    <row r="69" ht="15" customHeight="1" s="160">
      <c r="A69" s="172" t="n"/>
      <c r="B69" s="317" t="n"/>
      <c r="C69" s="317" t="n"/>
      <c r="D69" s="317" t="n"/>
      <c r="E69" s="317" t="n"/>
      <c r="F69" s="320" t="n"/>
    </row>
    <row r="70" ht="15" customHeight="1" s="160"/>
    <row r="71" ht="15" customHeight="1" s="160"/>
    <row r="72" ht="15" customHeight="1" s="160"/>
    <row r="73" ht="15" customHeight="1" s="160"/>
    <row r="74" ht="15" customHeight="1" s="160"/>
    <row r="75" ht="15" customHeight="1" s="160"/>
    <row r="76" ht="15" customHeight="1" s="160"/>
    <row r="77" ht="15" customHeight="1" s="160"/>
    <row r="78" ht="15" customHeight="1" s="160"/>
    <row r="79" ht="15" customHeight="1" s="160"/>
    <row r="80" ht="15" customHeight="1" s="160"/>
    <row r="81" ht="15" customHeight="1" s="160"/>
    <row r="82" ht="15" customHeight="1" s="160"/>
    <row r="83" ht="15" customHeight="1" s="160"/>
    <row r="84" ht="15" customHeight="1" s="160"/>
    <row r="85" ht="15" customHeight="1" s="160"/>
    <row r="86" ht="15" customHeight="1" s="160"/>
    <row r="87" ht="15" customHeight="1" s="160"/>
    <row r="88" ht="15" customHeight="1" s="160"/>
    <row r="89" ht="15" customHeight="1" s="160"/>
    <row r="90" ht="15" customHeight="1" s="160"/>
    <row r="91" ht="15" customHeight="1" s="160"/>
    <row r="92" ht="15" customHeight="1" s="160"/>
    <row r="93" ht="15" customHeight="1" s="160"/>
    <row r="94" ht="15" customHeight="1" s="160"/>
    <row r="95" ht="15" customHeight="1" s="160"/>
    <row r="96" ht="15" customHeight="1" s="160"/>
    <row r="97" ht="15" customHeight="1" s="160"/>
    <row r="98" ht="15" customHeight="1" s="160"/>
    <row r="99" ht="15" customHeight="1" s="160"/>
    <row r="100" ht="1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5">
    <mergeCell ref="A3:D3"/>
    <mergeCell ref="A34:F34"/>
    <mergeCell ref="A19:D19"/>
    <mergeCell ref="A11:D11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M1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8" customWidth="1" style="159" min="1" max="1"/>
    <col width="40" customWidth="1" style="159" min="2" max="2"/>
    <col width="32" customWidth="1" style="159" min="3" max="3"/>
    <col width="8.57" customWidth="1" style="159" min="4" max="4"/>
    <col width="44" customWidth="1" style="159" min="5" max="5"/>
    <col width="8.57" customWidth="1" style="159" min="6" max="6"/>
    <col width="40" customWidth="1" style="159" min="7" max="7"/>
    <col width="8.57" customWidth="1" style="159" min="8" max="8"/>
    <col width="10" customWidth="1" style="159" min="9" max="9"/>
    <col width="8.57" customWidth="1" style="159" min="10" max="10"/>
    <col width="14" customWidth="1" style="159" min="11" max="11"/>
    <col width="8.57" customWidth="1" style="159" min="12" max="12"/>
    <col width="22" customWidth="1" style="159" min="13" max="13"/>
    <col width="8.57" customWidth="1" style="159" min="14" max="26"/>
  </cols>
  <sheetData>
    <row r="1" ht="15" customHeight="1" s="160">
      <c r="A1" s="166" t="inlineStr">
        <is>
          <t>SIC2</t>
        </is>
      </c>
      <c r="B1" s="166" t="inlineStr">
        <is>
          <t>Industry (SIC major group)</t>
        </is>
      </c>
      <c r="C1" s="166" t="inlineStr">
        <is>
          <t>Division</t>
        </is>
      </c>
      <c r="E1" s="166" t="inlineStr">
        <is>
          <t>ISO (house-book spelling)</t>
        </is>
      </c>
      <c r="G1" s="166" t="inlineStr">
        <is>
          <t>Industry list</t>
        </is>
      </c>
      <c r="K1" s="166" t="inlineStr">
        <is>
          <t>Fed holiday</t>
        </is>
      </c>
      <c r="M1" s="166" t="inlineStr">
        <is>
          <t>Status list</t>
        </is>
      </c>
    </row>
    <row r="2" ht="15" customHeight="1" s="160">
      <c r="A2" s="159" t="inlineStr">
        <is>
          <t>01</t>
        </is>
      </c>
      <c r="B2" s="159" t="inlineStr">
        <is>
          <t>Agricultural Production - Crops</t>
        </is>
      </c>
      <c r="C2" s="159" t="inlineStr">
        <is>
          <t>Agriculture, Forestry &amp; Fishing</t>
        </is>
      </c>
      <c r="E2" s="159" t="inlineStr">
        <is>
          <t>Ace Partners</t>
        </is>
      </c>
      <c r="G2" s="159" t="inlineStr">
        <is>
          <t>Administration of Economic Programs</t>
        </is>
      </c>
      <c r="K2" s="294" t="n">
        <v>45292</v>
      </c>
      <c r="M2" s="159" t="inlineStr">
        <is>
          <t>Closed</t>
        </is>
      </c>
    </row>
    <row r="3" ht="15" customHeight="1" s="160">
      <c r="A3" s="159" t="inlineStr">
        <is>
          <t>02</t>
        </is>
      </c>
      <c r="B3" s="159" t="inlineStr">
        <is>
          <t>Agricultural Production - Livestock</t>
        </is>
      </c>
      <c r="C3" s="159" t="inlineStr">
        <is>
          <t>Agriculture, Forestry &amp; Fishing</t>
        </is>
      </c>
      <c r="E3" s="159" t="inlineStr">
        <is>
          <t>Advance Consolidations</t>
        </is>
      </c>
      <c r="G3" s="159" t="inlineStr">
        <is>
          <t>Agricultural Production - Crops</t>
        </is>
      </c>
      <c r="K3" s="294" t="n">
        <v>45306</v>
      </c>
      <c r="M3" s="159" t="inlineStr">
        <is>
          <t>Open</t>
        </is>
      </c>
    </row>
    <row r="4" ht="15" customHeight="1" s="160">
      <c r="A4" s="159" t="inlineStr">
        <is>
          <t>07</t>
        </is>
      </c>
      <c r="B4" s="159" t="inlineStr">
        <is>
          <t>Agricultural Services</t>
        </is>
      </c>
      <c r="C4" s="159" t="inlineStr">
        <is>
          <t>Agriculture, Forestry &amp; Fishing</t>
        </is>
      </c>
      <c r="E4" s="159" t="inlineStr">
        <is>
          <t>ALLSTATE FUND PROS LLC</t>
        </is>
      </c>
      <c r="G4" s="159" t="inlineStr">
        <is>
          <t>Agricultural Production - Livestock</t>
        </is>
      </c>
      <c r="K4" s="294" t="n">
        <v>45341</v>
      </c>
      <c r="M4" s="159" t="inlineStr">
        <is>
          <t>Legal</t>
        </is>
      </c>
    </row>
    <row r="5" ht="15" customHeight="1" s="160">
      <c r="A5" s="159" t="inlineStr">
        <is>
          <t>08</t>
        </is>
      </c>
      <c r="B5" s="159" t="inlineStr">
        <is>
          <t>Forestry</t>
        </is>
      </c>
      <c r="C5" s="159" t="inlineStr">
        <is>
          <t>Agriculture, Forestry &amp; Fishing</t>
        </is>
      </c>
      <c r="E5" s="159" t="inlineStr">
        <is>
          <t>Alternative Solutions Funding</t>
        </is>
      </c>
      <c r="G5" s="159" t="inlineStr">
        <is>
          <t>Agricultural Services</t>
        </is>
      </c>
      <c r="K5" s="294" t="n">
        <v>45439</v>
      </c>
      <c r="M5" s="159" t="inlineStr">
        <is>
          <t>In House Collection</t>
        </is>
      </c>
    </row>
    <row r="6" ht="15" customHeight="1" s="160">
      <c r="A6" s="159" t="inlineStr">
        <is>
          <t>13</t>
        </is>
      </c>
      <c r="B6" s="159" t="inlineStr">
        <is>
          <t>Oil &amp; Gas Extraction</t>
        </is>
      </c>
      <c r="C6" s="159" t="inlineStr">
        <is>
          <t>Mining</t>
        </is>
      </c>
      <c r="E6" s="159" t="inlineStr">
        <is>
          <t>alvara capital</t>
        </is>
      </c>
      <c r="G6" s="159" t="inlineStr">
        <is>
          <t>Air Transportation</t>
        </is>
      </c>
      <c r="K6" s="294" t="n">
        <v>45462</v>
      </c>
      <c r="M6" s="159" t="inlineStr">
        <is>
          <t>Lowered Payments</t>
        </is>
      </c>
    </row>
    <row r="7" ht="15" customHeight="1" s="160">
      <c r="A7" s="159" t="inlineStr">
        <is>
          <t>14</t>
        </is>
      </c>
      <c r="B7" s="159" t="inlineStr">
        <is>
          <t>Nonmetallic Minerals Mining</t>
        </is>
      </c>
      <c r="C7" s="159" t="inlineStr">
        <is>
          <t>Mining</t>
        </is>
      </c>
      <c r="E7" s="159" t="inlineStr">
        <is>
          <t>American Funding Association 1</t>
        </is>
      </c>
      <c r="G7" s="159" t="inlineStr">
        <is>
          <t>Amusement &amp; Recreation Services</t>
        </is>
      </c>
      <c r="K7" s="294" t="n">
        <v>45477</v>
      </c>
      <c r="M7" s="159" t="inlineStr">
        <is>
          <t>Written-Off</t>
        </is>
      </c>
    </row>
    <row r="8" ht="15" customHeight="1" s="160">
      <c r="A8" s="159" t="inlineStr">
        <is>
          <t>15</t>
        </is>
      </c>
      <c r="B8" s="159" t="inlineStr">
        <is>
          <t>General Building Contractors</t>
        </is>
      </c>
      <c r="C8" s="159" t="inlineStr">
        <is>
          <t>Construction</t>
        </is>
      </c>
      <c r="E8" s="159" t="inlineStr">
        <is>
          <t>Amerishop Financial services</t>
        </is>
      </c>
      <c r="G8" s="159" t="inlineStr">
        <is>
          <t>Apparel &amp; Accessory Stores</t>
        </is>
      </c>
      <c r="K8" s="294" t="n">
        <v>45537</v>
      </c>
      <c r="M8" s="159" t="inlineStr">
        <is>
          <t>Bankruptcy</t>
        </is>
      </c>
    </row>
    <row r="9" ht="15" customHeight="1" s="160">
      <c r="A9" s="159" t="inlineStr">
        <is>
          <t>16</t>
        </is>
      </c>
      <c r="B9" s="159" t="inlineStr">
        <is>
          <t>Heavy Construction</t>
        </is>
      </c>
      <c r="C9" s="159" t="inlineStr">
        <is>
          <t>Construction</t>
        </is>
      </c>
      <c r="E9" s="159" t="inlineStr">
        <is>
          <t>Aspire Funding</t>
        </is>
      </c>
      <c r="G9" s="159" t="inlineStr">
        <is>
          <t>Apparel &amp; Textile Products</t>
        </is>
      </c>
      <c r="K9" s="294" t="n">
        <v>45579</v>
      </c>
      <c r="M9" s="159" t="inlineStr">
        <is>
          <t>Settlement Agreement</t>
        </is>
      </c>
    </row>
    <row r="10" ht="15" customHeight="1" s="160">
      <c r="A10" s="159" t="inlineStr">
        <is>
          <t>17</t>
        </is>
      </c>
      <c r="B10" s="159" t="inlineStr">
        <is>
          <t>Special Trade Contractors</t>
        </is>
      </c>
      <c r="C10" s="159" t="inlineStr">
        <is>
          <t>Construction</t>
        </is>
      </c>
      <c r="E10" s="159" t="inlineStr">
        <is>
          <t>Atla Finance</t>
        </is>
      </c>
      <c r="G10" s="159" t="inlineStr">
        <is>
          <t>Auto Dealers &amp; Gas Stations</t>
        </is>
      </c>
      <c r="K10" s="294" t="n">
        <v>45607</v>
      </c>
      <c r="M10" s="159" t="inlineStr">
        <is>
          <t>Closed/NSF</t>
        </is>
      </c>
    </row>
    <row r="11" ht="15" customHeight="1" s="160">
      <c r="A11" s="159" t="inlineStr">
        <is>
          <t>20</t>
        </is>
      </c>
      <c r="B11" s="159" t="inlineStr">
        <is>
          <t>Food &amp; Kindred Products</t>
        </is>
      </c>
      <c r="C11" s="159" t="inlineStr">
        <is>
          <t>Manufacturing</t>
        </is>
      </c>
      <c r="E11" s="159" t="inlineStr">
        <is>
          <t>AVON ADVANCE</t>
        </is>
      </c>
      <c r="G11" s="159" t="inlineStr">
        <is>
          <t>Auto Repair &amp; Services</t>
        </is>
      </c>
      <c r="K11" s="294" t="n">
        <v>45624</v>
      </c>
      <c r="M11" s="159" t="inlineStr">
        <is>
          <t>Closed/NSF Unpaid</t>
        </is>
      </c>
    </row>
    <row r="12" ht="15" customHeight="1" s="160">
      <c r="A12" s="159" t="inlineStr">
        <is>
          <t>23</t>
        </is>
      </c>
      <c r="B12" s="159" t="inlineStr">
        <is>
          <t>Apparel &amp; Textile Products</t>
        </is>
      </c>
      <c r="C12" s="159" t="inlineStr">
        <is>
          <t>Manufacturing</t>
        </is>
      </c>
      <c r="E12" s="159" t="inlineStr">
        <is>
          <t>Ballicci</t>
        </is>
      </c>
      <c r="G12" s="159" t="inlineStr">
        <is>
          <t>Building Materials &amp; Garden Supply</t>
        </is>
      </c>
      <c r="K12" s="294" t="n">
        <v>45651</v>
      </c>
      <c r="M12" s="159" t="inlineStr">
        <is>
          <t>At-Risk</t>
        </is>
      </c>
    </row>
    <row r="13" ht="15" customHeight="1" s="160">
      <c r="A13" s="159" t="inlineStr">
        <is>
          <t>24</t>
        </is>
      </c>
      <c r="B13" s="159" t="inlineStr">
        <is>
          <t>Lumber &amp; Wood Products</t>
        </is>
      </c>
      <c r="C13" s="159" t="inlineStr">
        <is>
          <t>Manufacturing</t>
        </is>
      </c>
      <c r="E13" s="159" t="inlineStr">
        <is>
          <t>BFA 3</t>
        </is>
      </c>
      <c r="G13" s="159" t="inlineStr">
        <is>
          <t>Business Services</t>
        </is>
      </c>
      <c r="K13" s="294" t="n">
        <v>45658</v>
      </c>
    </row>
    <row r="14" ht="15" customHeight="1" s="160">
      <c r="A14" s="159" t="inlineStr">
        <is>
          <t>25</t>
        </is>
      </c>
      <c r="B14" s="159" t="inlineStr">
        <is>
          <t>Furniture &amp; Fixtures</t>
        </is>
      </c>
      <c r="C14" s="159" t="inlineStr">
        <is>
          <t>Manufacturing</t>
        </is>
      </c>
      <c r="E14" s="159" t="inlineStr">
        <is>
          <t>Bingo advance LLC</t>
        </is>
      </c>
      <c r="G14" s="159" t="inlineStr">
        <is>
          <t>Chemicals &amp; Allied Products</t>
        </is>
      </c>
      <c r="K14" s="294" t="n">
        <v>45677</v>
      </c>
    </row>
    <row r="15" ht="15" customHeight="1" s="160">
      <c r="A15" s="159" t="inlineStr">
        <is>
          <t>27</t>
        </is>
      </c>
      <c r="B15" s="159" t="inlineStr">
        <is>
          <t>Printing &amp; Publishing</t>
        </is>
      </c>
      <c r="C15" s="159" t="inlineStr">
        <is>
          <t>Manufacturing</t>
        </is>
      </c>
      <c r="E15" s="159" t="inlineStr">
        <is>
          <t>Birkin Capital Inc</t>
        </is>
      </c>
      <c r="G15" s="159" t="inlineStr">
        <is>
          <t>Communications</t>
        </is>
      </c>
      <c r="K15" s="294" t="n">
        <v>45705</v>
      </c>
    </row>
    <row r="16" ht="15" customHeight="1" s="160">
      <c r="A16" s="159" t="inlineStr">
        <is>
          <t>28</t>
        </is>
      </c>
      <c r="B16" s="159" t="inlineStr">
        <is>
          <t>Chemicals &amp; Allied Products</t>
        </is>
      </c>
      <c r="C16" s="159" t="inlineStr">
        <is>
          <t>Manufacturing</t>
        </is>
      </c>
      <c r="E16" s="159" t="inlineStr">
        <is>
          <t>biz advance now</t>
        </is>
      </c>
      <c r="G16" s="159" t="inlineStr">
        <is>
          <t>Eating &amp; Drinking Places</t>
        </is>
      </c>
      <c r="K16" s="294" t="n">
        <v>45803</v>
      </c>
    </row>
    <row r="17" ht="15" customHeight="1" s="160">
      <c r="A17" s="159" t="inlineStr">
        <is>
          <t>30</t>
        </is>
      </c>
      <c r="B17" s="159" t="inlineStr">
        <is>
          <t>Rubber &amp; Plastics</t>
        </is>
      </c>
      <c r="C17" s="159" t="inlineStr">
        <is>
          <t>Manufacturing</t>
        </is>
      </c>
      <c r="E17" s="159" t="inlineStr">
        <is>
          <t>Biz fuel</t>
        </is>
      </c>
      <c r="G17" s="159" t="inlineStr">
        <is>
          <t>Educational Services</t>
        </is>
      </c>
      <c r="K17" s="294" t="n">
        <v>45827</v>
      </c>
    </row>
    <row r="18" ht="15" customHeight="1" s="160">
      <c r="A18" s="159" t="inlineStr">
        <is>
          <t>32</t>
        </is>
      </c>
      <c r="B18" s="159" t="inlineStr">
        <is>
          <t>Stone, Clay, Glass &amp; Concrete</t>
        </is>
      </c>
      <c r="C18" s="159" t="inlineStr">
        <is>
          <t>Manufacturing</t>
        </is>
      </c>
      <c r="E18" s="159" t="inlineStr">
        <is>
          <t>BizFin LLC</t>
        </is>
      </c>
      <c r="G18" s="159" t="inlineStr">
        <is>
          <t>Electric, Gas &amp; Sanitary Services</t>
        </is>
      </c>
      <c r="K18" s="294" t="n">
        <v>45842</v>
      </c>
    </row>
    <row r="19" ht="15" customHeight="1" s="160">
      <c r="A19" s="159" t="inlineStr">
        <is>
          <t>33</t>
        </is>
      </c>
      <c r="B19" s="159" t="inlineStr">
        <is>
          <t>Primary Metal Industries</t>
        </is>
      </c>
      <c r="C19" s="159" t="inlineStr">
        <is>
          <t>Manufacturing</t>
        </is>
      </c>
      <c r="E19" s="159" t="inlineStr">
        <is>
          <t>black flag funding</t>
        </is>
      </c>
      <c r="G19" s="159" t="inlineStr">
        <is>
          <t>Electronic &amp; Electrical Equipment</t>
        </is>
      </c>
      <c r="K19" s="294" t="n">
        <v>45901</v>
      </c>
    </row>
    <row r="20" ht="15" customHeight="1" s="160">
      <c r="A20" s="159" t="inlineStr">
        <is>
          <t>34</t>
        </is>
      </c>
      <c r="B20" s="159" t="inlineStr">
        <is>
          <t>Fabricated Metal Products</t>
        </is>
      </c>
      <c r="C20" s="159" t="inlineStr">
        <is>
          <t>Manufacturing</t>
        </is>
      </c>
      <c r="E20" s="159" t="inlineStr">
        <is>
          <t>Black Tie Funding</t>
        </is>
      </c>
      <c r="G20" s="159" t="inlineStr">
        <is>
          <t>Engineering, Accounting &amp; Management</t>
        </is>
      </c>
      <c r="K20" s="294" t="n">
        <v>45943</v>
      </c>
    </row>
    <row r="21" ht="15.75" customHeight="1" s="160">
      <c r="A21" s="159" t="inlineStr">
        <is>
          <t>35</t>
        </is>
      </c>
      <c r="B21" s="159" t="inlineStr">
        <is>
          <t>Industrial Machinery &amp; Equipment</t>
        </is>
      </c>
      <c r="C21" s="159" t="inlineStr">
        <is>
          <t>Manufacturing</t>
        </is>
      </c>
      <c r="E21" s="159" t="inlineStr">
        <is>
          <t>Blue Oak Advance</t>
        </is>
      </c>
      <c r="G21" s="159" t="inlineStr">
        <is>
          <t>Environmental Quality &amp; Housing</t>
        </is>
      </c>
      <c r="K21" s="294" t="n">
        <v>45972</v>
      </c>
    </row>
    <row r="22" ht="15.75" customHeight="1" s="160">
      <c r="A22" s="159" t="inlineStr">
        <is>
          <t>36</t>
        </is>
      </c>
      <c r="B22" s="159" t="inlineStr">
        <is>
          <t>Electronic &amp; Electrical Equipment</t>
        </is>
      </c>
      <c r="C22" s="159" t="inlineStr">
        <is>
          <t>Manufacturing</t>
        </is>
      </c>
      <c r="E22" s="159" t="inlineStr">
        <is>
          <t>bridge consolidation</t>
        </is>
      </c>
      <c r="G22" s="159" t="inlineStr">
        <is>
          <t>Fabricated Metal Products</t>
        </is>
      </c>
      <c r="K22" s="294" t="n">
        <v>45988</v>
      </c>
    </row>
    <row r="23" ht="15.75" customHeight="1" s="160">
      <c r="A23" s="159" t="inlineStr">
        <is>
          <t>37</t>
        </is>
      </c>
      <c r="B23" s="159" t="inlineStr">
        <is>
          <t>Transportation Equipment</t>
        </is>
      </c>
      <c r="C23" s="159" t="inlineStr">
        <is>
          <t>Manufacturing</t>
        </is>
      </c>
      <c r="E23" s="159" t="inlineStr">
        <is>
          <t>Broadway Advance LLC</t>
        </is>
      </c>
      <c r="G23" s="159" t="inlineStr">
        <is>
          <t>Food &amp; Kindred Products</t>
        </is>
      </c>
      <c r="K23" s="294" t="n">
        <v>46016</v>
      </c>
    </row>
    <row r="24" ht="15.75" customHeight="1" s="160">
      <c r="A24" s="159" t="inlineStr">
        <is>
          <t>38</t>
        </is>
      </c>
      <c r="B24" s="159" t="inlineStr">
        <is>
          <t>Instruments &amp; Related Products</t>
        </is>
      </c>
      <c r="C24" s="159" t="inlineStr">
        <is>
          <t>Manufacturing</t>
        </is>
      </c>
      <c r="E24" s="159" t="inlineStr">
        <is>
          <t>Business Fund USA 4</t>
        </is>
      </c>
      <c r="G24" s="159" t="inlineStr">
        <is>
          <t>Food Stores</t>
        </is>
      </c>
      <c r="K24" s="294" t="n">
        <v>46023</v>
      </c>
    </row>
    <row r="25" ht="15.75" customHeight="1" s="160">
      <c r="A25" s="159" t="inlineStr">
        <is>
          <t>39</t>
        </is>
      </c>
      <c r="B25" s="159" t="inlineStr">
        <is>
          <t>Miscellaneous Manufacturing</t>
        </is>
      </c>
      <c r="C25" s="159" t="inlineStr">
        <is>
          <t>Manufacturing</t>
        </is>
      </c>
      <c r="E25" s="159" t="inlineStr">
        <is>
          <t>Can I Have Money</t>
        </is>
      </c>
      <c r="G25" s="159" t="inlineStr">
        <is>
          <t>Forestry</t>
        </is>
      </c>
      <c r="K25" s="294" t="n">
        <v>46041</v>
      </c>
    </row>
    <row r="26" ht="15.75" customHeight="1" s="160">
      <c r="A26" s="159" t="inlineStr">
        <is>
          <t>41</t>
        </is>
      </c>
      <c r="B26" s="159" t="inlineStr">
        <is>
          <t>Local &amp; Interurban Passenger Transit</t>
        </is>
      </c>
      <c r="C26" s="159" t="inlineStr">
        <is>
          <t>Transportation &amp; Utilities</t>
        </is>
      </c>
      <c r="E26" s="159" t="inlineStr">
        <is>
          <t>Capfront Funding</t>
        </is>
      </c>
      <c r="G26" s="159" t="inlineStr">
        <is>
          <t>Furniture &amp; Fixtures</t>
        </is>
      </c>
      <c r="K26" s="294" t="n">
        <v>46069</v>
      </c>
    </row>
    <row r="27" ht="15.75" customHeight="1" s="160">
      <c r="A27" s="159" t="inlineStr">
        <is>
          <t>42</t>
        </is>
      </c>
      <c r="B27" s="159" t="inlineStr">
        <is>
          <t>Trucking &amp; Warehousing</t>
        </is>
      </c>
      <c r="C27" s="159" t="inlineStr">
        <is>
          <t>Transportation &amp; Utilities</t>
        </is>
      </c>
      <c r="E27" s="159" t="inlineStr">
        <is>
          <t>Capital 1 Group LLC DBA Tier One Financing LLC</t>
        </is>
      </c>
      <c r="G27" s="159" t="inlineStr">
        <is>
          <t>Furniture &amp; Home Furnishings Stores</t>
        </is>
      </c>
      <c r="K27" s="294" t="n">
        <v>46167</v>
      </c>
    </row>
    <row r="28" ht="15.75" customHeight="1" s="160">
      <c r="A28" s="159" t="inlineStr">
        <is>
          <t>44</t>
        </is>
      </c>
      <c r="B28" s="159" t="inlineStr">
        <is>
          <t>Water Transportation</t>
        </is>
      </c>
      <c r="C28" s="159" t="inlineStr">
        <is>
          <t>Transportation &amp; Utilities</t>
        </is>
      </c>
      <c r="E28" s="159" t="inlineStr">
        <is>
          <t>CARE FUNDING GROUP</t>
        </is>
      </c>
      <c r="G28" s="159" t="inlineStr">
        <is>
          <t>General Building Contractors</t>
        </is>
      </c>
      <c r="K28" s="294" t="n">
        <v>46192</v>
      </c>
    </row>
    <row r="29" ht="15.75" customHeight="1" s="160">
      <c r="A29" s="159" t="inlineStr">
        <is>
          <t>45</t>
        </is>
      </c>
      <c r="B29" s="159" t="inlineStr">
        <is>
          <t>Air Transportation</t>
        </is>
      </c>
      <c r="C29" s="159" t="inlineStr">
        <is>
          <t>Transportation &amp; Utilities</t>
        </is>
      </c>
      <c r="E29" s="159" t="inlineStr">
        <is>
          <t>cavala funding</t>
        </is>
      </c>
      <c r="G29" s="159" t="inlineStr">
        <is>
          <t>General Merchandise Stores</t>
        </is>
      </c>
      <c r="K29" s="294" t="n">
        <v>46272</v>
      </c>
    </row>
    <row r="30" ht="15.75" customHeight="1" s="160">
      <c r="A30" s="159" t="inlineStr">
        <is>
          <t>47</t>
        </is>
      </c>
      <c r="B30" s="159" t="inlineStr">
        <is>
          <t>Transportation Services</t>
        </is>
      </c>
      <c r="C30" s="159" t="inlineStr">
        <is>
          <t>Transportation &amp; Utilities</t>
        </is>
      </c>
      <c r="E30" s="159" t="inlineStr">
        <is>
          <t>cenitcapital</t>
        </is>
      </c>
      <c r="G30" s="159" t="inlineStr">
        <is>
          <t>Health Services</t>
        </is>
      </c>
      <c r="K30" s="294" t="n">
        <v>46307</v>
      </c>
    </row>
    <row r="31" ht="15.75" customHeight="1" s="160">
      <c r="A31" s="159" t="inlineStr">
        <is>
          <t>48</t>
        </is>
      </c>
      <c r="B31" s="159" t="inlineStr">
        <is>
          <t>Communications</t>
        </is>
      </c>
      <c r="C31" s="159" t="inlineStr">
        <is>
          <t>Transportation &amp; Utilities</t>
        </is>
      </c>
      <c r="E31" s="159" t="inlineStr">
        <is>
          <t>Choicecapital Solutions LLC</t>
        </is>
      </c>
      <c r="G31" s="159" t="inlineStr">
        <is>
          <t>Heavy Construction</t>
        </is>
      </c>
      <c r="K31" s="294" t="n">
        <v>46337</v>
      </c>
    </row>
    <row r="32" ht="15.75" customHeight="1" s="160">
      <c r="A32" s="159" t="inlineStr">
        <is>
          <t>49</t>
        </is>
      </c>
      <c r="B32" s="159" t="inlineStr">
        <is>
          <t>Electric, Gas &amp; Sanitary Services</t>
        </is>
      </c>
      <c r="C32" s="159" t="inlineStr">
        <is>
          <t>Transportation &amp; Utilities</t>
        </is>
      </c>
      <c r="E32" s="159" t="inlineStr">
        <is>
          <t>City Wide Capital</t>
        </is>
      </c>
      <c r="G32" s="159" t="inlineStr">
        <is>
          <t>Hotels &amp; Lodging</t>
        </is>
      </c>
      <c r="K32" s="294" t="n">
        <v>46352</v>
      </c>
    </row>
    <row r="33" ht="15.75" customHeight="1" s="160">
      <c r="A33" s="159" t="inlineStr">
        <is>
          <t>50</t>
        </is>
      </c>
      <c r="B33" s="159" t="inlineStr">
        <is>
          <t>Wholesale Trade - Durable Goods</t>
        </is>
      </c>
      <c r="C33" s="159" t="inlineStr">
        <is>
          <t>Wholesale Trade</t>
        </is>
      </c>
      <c r="E33" s="159" t="inlineStr">
        <is>
          <t>Clover Capital</t>
        </is>
      </c>
      <c r="G33" s="159" t="inlineStr">
        <is>
          <t>Industrial Machinery &amp; Equipment</t>
        </is>
      </c>
      <c r="K33" s="294" t="n">
        <v>46381</v>
      </c>
    </row>
    <row r="34" ht="15.75" customHeight="1" s="160">
      <c r="A34" s="159" t="inlineStr">
        <is>
          <t>51</t>
        </is>
      </c>
      <c r="B34" s="159" t="inlineStr">
        <is>
          <t>Wholesale Trade - Nondurable Goods</t>
        </is>
      </c>
      <c r="C34" s="159" t="inlineStr">
        <is>
          <t>Wholesale Trade</t>
        </is>
      </c>
      <c r="E34" s="159" t="inlineStr">
        <is>
          <t>CNL LOANS</t>
        </is>
      </c>
      <c r="G34" s="159" t="inlineStr">
        <is>
          <t>Instruments &amp; Related Products</t>
        </is>
      </c>
      <c r="K34" s="294" t="n">
        <v>46388</v>
      </c>
    </row>
    <row r="35" ht="15.75" customHeight="1" s="160">
      <c r="A35" s="159" t="inlineStr">
        <is>
          <t>52</t>
        </is>
      </c>
      <c r="B35" s="159" t="inlineStr">
        <is>
          <t>Building Materials &amp; Garden Supply</t>
        </is>
      </c>
      <c r="C35" s="159" t="inlineStr">
        <is>
          <t>Retail Trade</t>
        </is>
      </c>
      <c r="E35" s="159" t="inlineStr">
        <is>
          <t>Credibly</t>
        </is>
      </c>
      <c r="G35" s="159" t="inlineStr">
        <is>
          <t>Insurance Agents &amp; Brokers</t>
        </is>
      </c>
      <c r="K35" s="294" t="n">
        <v>46405</v>
      </c>
    </row>
    <row r="36" ht="15.75" customHeight="1" s="160">
      <c r="A36" s="159" t="inlineStr">
        <is>
          <t>53</t>
        </is>
      </c>
      <c r="B36" s="159" t="inlineStr">
        <is>
          <t>General Merchandise Stores</t>
        </is>
      </c>
      <c r="C36" s="159" t="inlineStr">
        <is>
          <t>Retail Trade</t>
        </is>
      </c>
      <c r="E36" s="159" t="inlineStr">
        <is>
          <t>DBS FUNDING GROUP</t>
        </is>
      </c>
      <c r="G36" s="159" t="inlineStr">
        <is>
          <t>Insurance Carriers</t>
        </is>
      </c>
      <c r="K36" s="294" t="n">
        <v>46433</v>
      </c>
    </row>
    <row r="37" ht="15.75" customHeight="1" s="160">
      <c r="A37" s="159" t="inlineStr">
        <is>
          <t>54</t>
        </is>
      </c>
      <c r="B37" s="159" t="inlineStr">
        <is>
          <t>Food Stores</t>
        </is>
      </c>
      <c r="C37" s="159" t="inlineStr">
        <is>
          <t>Retail Trade</t>
        </is>
      </c>
      <c r="E37" s="159" t="inlineStr">
        <is>
          <t>Deal Struck</t>
        </is>
      </c>
      <c r="G37" s="159" t="inlineStr">
        <is>
          <t>Justice, Public Order &amp; Safety</t>
        </is>
      </c>
      <c r="K37" s="294" t="n">
        <v>46538</v>
      </c>
    </row>
    <row r="38" ht="15.75" customHeight="1" s="160">
      <c r="A38" s="159" t="inlineStr">
        <is>
          <t>55</t>
        </is>
      </c>
      <c r="B38" s="159" t="inlineStr">
        <is>
          <t>Auto Dealers &amp; Gas Stations</t>
        </is>
      </c>
      <c r="C38" s="159" t="inlineStr">
        <is>
          <t>Retail Trade</t>
        </is>
      </c>
      <c r="E38" s="159" t="inlineStr">
        <is>
          <t>Diamond Bar Funding</t>
        </is>
      </c>
      <c r="G38" s="159" t="inlineStr">
        <is>
          <t>Legal Services</t>
        </is>
      </c>
      <c r="K38" s="294" t="n">
        <v>46573</v>
      </c>
    </row>
    <row r="39" ht="15.75" customHeight="1" s="160">
      <c r="A39" s="159" t="inlineStr">
        <is>
          <t>56</t>
        </is>
      </c>
      <c r="B39" s="159" t="inlineStr">
        <is>
          <t>Apparel &amp; Accessory Stores</t>
        </is>
      </c>
      <c r="C39" s="159" t="inlineStr">
        <is>
          <t>Retail Trade</t>
        </is>
      </c>
      <c r="E39" s="159" t="inlineStr">
        <is>
          <t>DIRECT CAPITAL SOURCE, INC.</t>
        </is>
      </c>
      <c r="G39" s="159" t="inlineStr">
        <is>
          <t>Local &amp; Interurban Passenger Transit</t>
        </is>
      </c>
      <c r="K39" s="294" t="n">
        <v>46636</v>
      </c>
    </row>
    <row r="40" ht="15.75" customHeight="1" s="160">
      <c r="A40" s="159" t="inlineStr">
        <is>
          <t>57</t>
        </is>
      </c>
      <c r="B40" s="159" t="inlineStr">
        <is>
          <t>Furniture &amp; Home Furnishings Stores</t>
        </is>
      </c>
      <c r="C40" s="159" t="inlineStr">
        <is>
          <t>Retail Trade</t>
        </is>
      </c>
      <c r="E40" s="159" t="inlineStr">
        <is>
          <t>Direct Funding LLC</t>
        </is>
      </c>
      <c r="G40" s="159" t="inlineStr">
        <is>
          <t>Lumber &amp; Wood Products</t>
        </is>
      </c>
      <c r="K40" s="294" t="n">
        <v>46671</v>
      </c>
    </row>
    <row r="41" ht="15.75" customHeight="1" s="160">
      <c r="A41" s="159" t="inlineStr">
        <is>
          <t>58</t>
        </is>
      </c>
      <c r="B41" s="159" t="inlineStr">
        <is>
          <t>Eating &amp; Drinking Places</t>
        </is>
      </c>
      <c r="C41" s="159" t="inlineStr">
        <is>
          <t>Retail Trade</t>
        </is>
      </c>
      <c r="E41" s="159" t="inlineStr">
        <is>
          <t>Dubbs holding</t>
        </is>
      </c>
      <c r="G41" s="159" t="inlineStr">
        <is>
          <t>Membership Organizations</t>
        </is>
      </c>
      <c r="K41" s="294" t="n">
        <v>46702</v>
      </c>
    </row>
    <row r="42" ht="15.75" customHeight="1" s="160">
      <c r="A42" s="159" t="inlineStr">
        <is>
          <t>59</t>
        </is>
      </c>
      <c r="B42" s="159" t="inlineStr">
        <is>
          <t>Miscellaneous Retail</t>
        </is>
      </c>
      <c r="C42" s="159" t="inlineStr">
        <is>
          <t>Retail Trade</t>
        </is>
      </c>
      <c r="E42" s="159" t="inlineStr">
        <is>
          <t>ecp business capital</t>
        </is>
      </c>
      <c r="G42" s="159" t="inlineStr">
        <is>
          <t>Miscellaneous Manufacturing</t>
        </is>
      </c>
      <c r="K42" s="294" t="n">
        <v>46716</v>
      </c>
    </row>
    <row r="43" ht="15.75" customHeight="1" s="160">
      <c r="A43" s="159" t="inlineStr">
        <is>
          <t>62</t>
        </is>
      </c>
      <c r="B43" s="159" t="inlineStr">
        <is>
          <t>Security &amp; Commodity Brokers</t>
        </is>
      </c>
      <c r="C43" s="159" t="inlineStr">
        <is>
          <t>Finance, Insurance &amp; Real Estate</t>
        </is>
      </c>
      <c r="E43" s="159" t="inlineStr">
        <is>
          <t>Elite Advance 5</t>
        </is>
      </c>
      <c r="G43" s="159" t="inlineStr">
        <is>
          <t>Miscellaneous Repair Services</t>
        </is>
      </c>
    </row>
    <row r="44" ht="15.75" customHeight="1" s="160">
      <c r="A44" s="159" t="inlineStr">
        <is>
          <t>63</t>
        </is>
      </c>
      <c r="B44" s="159" t="inlineStr">
        <is>
          <t>Insurance Carriers</t>
        </is>
      </c>
      <c r="C44" s="159" t="inlineStr">
        <is>
          <t>Finance, Insurance &amp; Real Estate</t>
        </is>
      </c>
      <c r="E44" s="159" t="inlineStr">
        <is>
          <t>elite finance team</t>
        </is>
      </c>
      <c r="G44" s="159" t="inlineStr">
        <is>
          <t>Miscellaneous Retail</t>
        </is>
      </c>
    </row>
    <row r="45" ht="15.75" customHeight="1" s="160">
      <c r="A45" s="159" t="inlineStr">
        <is>
          <t>64</t>
        </is>
      </c>
      <c r="B45" s="159" t="inlineStr">
        <is>
          <t>Insurance Agents &amp; Brokers</t>
        </is>
      </c>
      <c r="C45" s="159" t="inlineStr">
        <is>
          <t>Finance, Insurance &amp; Real Estate</t>
        </is>
      </c>
      <c r="E45" s="159" t="inlineStr">
        <is>
          <t>ELITE FUNDING PARTNERS LLC 6</t>
        </is>
      </c>
      <c r="G45" s="159" t="inlineStr">
        <is>
          <t>Motion Pictures</t>
        </is>
      </c>
    </row>
    <row r="46" ht="15.75" customHeight="1" s="160">
      <c r="A46" s="159" t="inlineStr">
        <is>
          <t>65</t>
        </is>
      </c>
      <c r="B46" s="159" t="inlineStr">
        <is>
          <t>Real Estate</t>
        </is>
      </c>
      <c r="C46" s="159" t="inlineStr">
        <is>
          <t>Finance, Insurance &amp; Real Estate</t>
        </is>
      </c>
      <c r="E46" s="159" t="inlineStr">
        <is>
          <t>EVR GREEN LLC</t>
        </is>
      </c>
      <c r="G46" s="159" t="inlineStr">
        <is>
          <t>Museums &amp; Botanical Gardens</t>
        </is>
      </c>
    </row>
    <row r="47" ht="15.75" customHeight="1" s="160">
      <c r="A47" s="159" t="inlineStr">
        <is>
          <t>70</t>
        </is>
      </c>
      <c r="B47" s="159" t="inlineStr">
        <is>
          <t>Hotels &amp; Lodging</t>
        </is>
      </c>
      <c r="C47" s="159" t="inlineStr">
        <is>
          <t>Services</t>
        </is>
      </c>
      <c r="E47" s="159" t="inlineStr">
        <is>
          <t>EZ ADVANCE LLC</t>
        </is>
      </c>
      <c r="G47" s="159" t="inlineStr">
        <is>
          <t>National Security &amp; Intl Affairs</t>
        </is>
      </c>
    </row>
    <row r="48" ht="15.75" customHeight="1" s="160">
      <c r="A48" s="159" t="inlineStr">
        <is>
          <t>72</t>
        </is>
      </c>
      <c r="B48" s="159" t="inlineStr">
        <is>
          <t>Personal Services</t>
        </is>
      </c>
      <c r="C48" s="159" t="inlineStr">
        <is>
          <t>Services</t>
        </is>
      </c>
      <c r="E48" s="159" t="inlineStr">
        <is>
          <t>ez alternative solutions</t>
        </is>
      </c>
      <c r="G48" s="159" t="inlineStr">
        <is>
          <t>Nonmetallic Minerals Mining</t>
        </is>
      </c>
    </row>
    <row r="49" ht="15.75" customHeight="1" s="160">
      <c r="A49" s="159" t="inlineStr">
        <is>
          <t>73</t>
        </is>
      </c>
      <c r="B49" s="159" t="inlineStr">
        <is>
          <t>Business Services</t>
        </is>
      </c>
      <c r="C49" s="159" t="inlineStr">
        <is>
          <t>Services</t>
        </is>
      </c>
      <c r="E49" s="159" t="inlineStr">
        <is>
          <t>FC ADVANCE</t>
        </is>
      </c>
      <c r="G49" s="159" t="inlineStr">
        <is>
          <t>Oil &amp; Gas Extraction</t>
        </is>
      </c>
    </row>
    <row r="50" ht="15.75" customHeight="1" s="160">
      <c r="A50" s="159" t="inlineStr">
        <is>
          <t>75</t>
        </is>
      </c>
      <c r="B50" s="159" t="inlineStr">
        <is>
          <t>Auto Repair &amp; Services</t>
        </is>
      </c>
      <c r="C50" s="159" t="inlineStr">
        <is>
          <t>Services</t>
        </is>
      </c>
      <c r="E50" s="159" t="inlineStr">
        <is>
          <t>Fidelity Funding</t>
        </is>
      </c>
      <c r="G50" s="159" t="inlineStr">
        <is>
          <t>Personal Services</t>
        </is>
      </c>
    </row>
    <row r="51" ht="15.75" customHeight="1" s="160">
      <c r="A51" s="159" t="inlineStr">
        <is>
          <t>76</t>
        </is>
      </c>
      <c r="B51" s="159" t="inlineStr">
        <is>
          <t>Miscellaneous Repair Services</t>
        </is>
      </c>
      <c r="C51" s="159" t="inlineStr">
        <is>
          <t>Services</t>
        </is>
      </c>
      <c r="E51" s="159" t="inlineStr">
        <is>
          <t>FIFTH VENTURE</t>
        </is>
      </c>
      <c r="G51" s="159" t="inlineStr">
        <is>
          <t>Primary Metal Industries</t>
        </is>
      </c>
    </row>
    <row r="52" ht="15.75" customHeight="1" s="160">
      <c r="A52" s="159" t="inlineStr">
        <is>
          <t>78</t>
        </is>
      </c>
      <c r="B52" s="159" t="inlineStr">
        <is>
          <t>Motion Pictures</t>
        </is>
      </c>
      <c r="C52" s="159" t="inlineStr">
        <is>
          <t>Services</t>
        </is>
      </c>
      <c r="E52" s="159" t="inlineStr">
        <is>
          <t>FIMACAP INC</t>
        </is>
      </c>
      <c r="G52" s="159" t="inlineStr">
        <is>
          <t>Printing &amp; Publishing</t>
        </is>
      </c>
    </row>
    <row r="53" ht="15.75" customHeight="1" s="160">
      <c r="A53" s="159" t="inlineStr">
        <is>
          <t>79</t>
        </is>
      </c>
      <c r="B53" s="159" t="inlineStr">
        <is>
          <t>Amusement &amp; Recreation Services</t>
        </is>
      </c>
      <c r="C53" s="159" t="inlineStr">
        <is>
          <t>Services</t>
        </is>
      </c>
      <c r="E53" s="159" t="inlineStr">
        <is>
          <t>Financial Express LLC</t>
        </is>
      </c>
      <c r="G53" s="159" t="inlineStr">
        <is>
          <t>Real Estate</t>
        </is>
      </c>
    </row>
    <row r="54" ht="15.75" customHeight="1" s="160">
      <c r="A54" s="159" t="inlineStr">
        <is>
          <t>80</t>
        </is>
      </c>
      <c r="B54" s="159" t="inlineStr">
        <is>
          <t>Health Services</t>
        </is>
      </c>
      <c r="C54" s="159" t="inlineStr">
        <is>
          <t>Services</t>
        </is>
      </c>
      <c r="E54" s="159" t="inlineStr">
        <is>
          <t>Financity</t>
        </is>
      </c>
      <c r="G54" s="159" t="inlineStr">
        <is>
          <t>Rubber &amp; Plastics</t>
        </is>
      </c>
    </row>
    <row r="55" ht="15.75" customHeight="1" s="160">
      <c r="A55" s="159" t="inlineStr">
        <is>
          <t>81</t>
        </is>
      </c>
      <c r="B55" s="159" t="inlineStr">
        <is>
          <t>Legal Services</t>
        </is>
      </c>
      <c r="C55" s="159" t="inlineStr">
        <is>
          <t>Services</t>
        </is>
      </c>
      <c r="E55" s="159" t="inlineStr">
        <is>
          <t>FireLine Funding</t>
        </is>
      </c>
      <c r="G55" s="159" t="inlineStr">
        <is>
          <t>Security &amp; Commodity Brokers</t>
        </is>
      </c>
    </row>
    <row r="56" ht="15.75" customHeight="1" s="160">
      <c r="A56" s="159" t="inlineStr">
        <is>
          <t>82</t>
        </is>
      </c>
      <c r="B56" s="159" t="inlineStr">
        <is>
          <t>Educational Services</t>
        </is>
      </c>
      <c r="C56" s="159" t="inlineStr">
        <is>
          <t>Services</t>
        </is>
      </c>
      <c r="E56" s="159" t="inlineStr">
        <is>
          <t>First Path Capital</t>
        </is>
      </c>
      <c r="G56" s="159" t="inlineStr">
        <is>
          <t>Services - Miscellaneous</t>
        </is>
      </c>
    </row>
    <row r="57" ht="15.75" customHeight="1" s="160">
      <c r="A57" s="159" t="inlineStr">
        <is>
          <t>83</t>
        </is>
      </c>
      <c r="B57" s="159" t="inlineStr">
        <is>
          <t>Social Services</t>
        </is>
      </c>
      <c r="C57" s="159" t="inlineStr">
        <is>
          <t>Services</t>
        </is>
      </c>
      <c r="E57" s="159" t="inlineStr">
        <is>
          <t>Fund Kite</t>
        </is>
      </c>
      <c r="G57" s="159" t="inlineStr">
        <is>
          <t>Social Services</t>
        </is>
      </c>
    </row>
    <row r="58" ht="15.75" customHeight="1" s="160">
      <c r="A58" s="159" t="inlineStr">
        <is>
          <t>84</t>
        </is>
      </c>
      <c r="B58" s="159" t="inlineStr">
        <is>
          <t>Museums &amp; Botanical Gardens</t>
        </is>
      </c>
      <c r="C58" s="159" t="inlineStr">
        <is>
          <t>Services</t>
        </is>
      </c>
      <c r="E58" s="159" t="inlineStr">
        <is>
          <t>Fund Max</t>
        </is>
      </c>
      <c r="G58" s="159" t="inlineStr">
        <is>
          <t>Special Trade Contractors</t>
        </is>
      </c>
    </row>
    <row r="59" ht="15.75" customHeight="1" s="160">
      <c r="A59" s="159" t="inlineStr">
        <is>
          <t>86</t>
        </is>
      </c>
      <c r="B59" s="159" t="inlineStr">
        <is>
          <t>Membership Organizations</t>
        </is>
      </c>
      <c r="C59" s="159" t="inlineStr">
        <is>
          <t>Services</t>
        </is>
      </c>
      <c r="E59" s="159" t="inlineStr">
        <is>
          <t>Fund Simple</t>
        </is>
      </c>
      <c r="G59" s="159" t="inlineStr">
        <is>
          <t>Stone, Clay, Glass &amp; Concrete</t>
        </is>
      </c>
    </row>
    <row r="60" ht="15.75" customHeight="1" s="160">
      <c r="A60" s="159" t="inlineStr">
        <is>
          <t>87</t>
        </is>
      </c>
      <c r="B60" s="159" t="inlineStr">
        <is>
          <t>Engineering, Accounting &amp; Management</t>
        </is>
      </c>
      <c r="C60" s="159" t="inlineStr">
        <is>
          <t>Services</t>
        </is>
      </c>
      <c r="E60" s="159" t="inlineStr">
        <is>
          <t>Fund Your Bizz</t>
        </is>
      </c>
      <c r="G60" s="159" t="inlineStr">
        <is>
          <t>Transportation Equipment</t>
        </is>
      </c>
    </row>
    <row r="61" ht="15.75" customHeight="1" s="160">
      <c r="A61" s="159" t="inlineStr">
        <is>
          <t>89</t>
        </is>
      </c>
      <c r="B61" s="159" t="inlineStr">
        <is>
          <t>Services - Miscellaneous</t>
        </is>
      </c>
      <c r="C61" s="159" t="inlineStr">
        <is>
          <t>Services</t>
        </is>
      </c>
      <c r="E61" s="159" t="inlineStr">
        <is>
          <t>FundFlex</t>
        </is>
      </c>
      <c r="G61" s="159" t="inlineStr">
        <is>
          <t>Transportation Services</t>
        </is>
      </c>
    </row>
    <row r="62" ht="15.75" customHeight="1" s="160">
      <c r="A62" s="159" t="inlineStr">
        <is>
          <t>92</t>
        </is>
      </c>
      <c r="B62" s="159" t="inlineStr">
        <is>
          <t>Justice, Public Order &amp; Safety</t>
        </is>
      </c>
      <c r="C62" s="159" t="inlineStr">
        <is>
          <t>Public Administration</t>
        </is>
      </c>
      <c r="E62" s="159" t="inlineStr">
        <is>
          <t>Fundible</t>
        </is>
      </c>
      <c r="G62" s="159" t="inlineStr">
        <is>
          <t>Trucking &amp; Warehousing</t>
        </is>
      </c>
    </row>
    <row r="63" ht="15.75" customHeight="1" s="160">
      <c r="A63" s="159" t="inlineStr">
        <is>
          <t>95</t>
        </is>
      </c>
      <c r="B63" s="159" t="inlineStr">
        <is>
          <t>Environmental Quality &amp; Housing</t>
        </is>
      </c>
      <c r="C63" s="159" t="inlineStr">
        <is>
          <t>Public Administration</t>
        </is>
      </c>
      <c r="E63" s="159" t="inlineStr">
        <is>
          <t>Fundward</t>
        </is>
      </c>
      <c r="G63" s="159" t="inlineStr">
        <is>
          <t>Water Transportation</t>
        </is>
      </c>
    </row>
    <row r="64" ht="15.75" customHeight="1" s="160">
      <c r="A64" s="159" t="inlineStr">
        <is>
          <t>96</t>
        </is>
      </c>
      <c r="B64" s="159" t="inlineStr">
        <is>
          <t>Administration of Economic Programs</t>
        </is>
      </c>
      <c r="C64" s="159" t="inlineStr">
        <is>
          <t>Public Administration</t>
        </is>
      </c>
      <c r="E64" s="159" t="inlineStr">
        <is>
          <t>Fundwell</t>
        </is>
      </c>
      <c r="G64" s="159" t="inlineStr">
        <is>
          <t>Wholesale Trade - Durable Goods</t>
        </is>
      </c>
    </row>
    <row r="65" ht="15.75" customHeight="1" s="160">
      <c r="A65" s="159" t="inlineStr">
        <is>
          <t>97</t>
        </is>
      </c>
      <c r="B65" s="159" t="inlineStr">
        <is>
          <t>National Security &amp; Intl Affairs</t>
        </is>
      </c>
      <c r="C65" s="159" t="inlineStr">
        <is>
          <t>Public Administration</t>
        </is>
      </c>
      <c r="E65" s="159" t="inlineStr">
        <is>
          <t>Go Ai Ez LLC Dba:Gova Funding</t>
        </is>
      </c>
      <c r="G65" s="159" t="inlineStr">
        <is>
          <t>Wholesale Trade - Nondurable Goods</t>
        </is>
      </c>
    </row>
    <row r="66" ht="15.75" customHeight="1" s="160">
      <c r="E66" s="159" t="inlineStr">
        <is>
          <t>GREYSTONE</t>
        </is>
      </c>
      <c r="G66" s="159" t="inlineStr">
        <is>
          <t>No SIC</t>
        </is>
      </c>
    </row>
    <row r="67" ht="15.75" customHeight="1" s="160">
      <c r="E67" s="159" t="inlineStr">
        <is>
          <t>GROWTH RATE CAPITAL INC</t>
        </is>
      </c>
      <c r="G67" s="159" t="inlineStr">
        <is>
          <t>Unclassified</t>
        </is>
      </c>
    </row>
    <row r="68" ht="15.75" customHeight="1" s="160">
      <c r="E68" s="159" t="inlineStr">
        <is>
          <t>Hero Advance Group</t>
        </is>
      </c>
    </row>
    <row r="69" ht="15.75" customHeight="1" s="160">
      <c r="E69" s="159" t="inlineStr">
        <is>
          <t>I burst funding</t>
        </is>
      </c>
    </row>
    <row r="70" ht="15.75" customHeight="1" s="160">
      <c r="E70" s="159" t="inlineStr">
        <is>
          <t>ICB FUNDING</t>
        </is>
      </c>
    </row>
    <row r="71" ht="15.75" customHeight="1" s="160">
      <c r="E71" s="159" t="inlineStr">
        <is>
          <t>ICG Funding</t>
        </is>
      </c>
    </row>
    <row r="72" ht="15.75" customHeight="1" s="160">
      <c r="E72" s="159" t="inlineStr">
        <is>
          <t>J Capital Solutions</t>
        </is>
      </c>
    </row>
    <row r="73" ht="15.75" customHeight="1" s="160">
      <c r="E73" s="159" t="inlineStr">
        <is>
          <t>JABSCAP</t>
        </is>
      </c>
    </row>
    <row r="74" ht="15.75" customHeight="1" s="160">
      <c r="E74" s="159" t="inlineStr">
        <is>
          <t>Kelly Kapital</t>
        </is>
      </c>
    </row>
    <row r="75" ht="15.75" customHeight="1" s="160">
      <c r="E75" s="159" t="inlineStr">
        <is>
          <t>Key Capital Funding</t>
        </is>
      </c>
    </row>
    <row r="76" ht="15.75" customHeight="1" s="160">
      <c r="E76" s="159" t="inlineStr">
        <is>
          <t>Klendify</t>
        </is>
      </c>
    </row>
    <row r="77" ht="15.75" customHeight="1" s="160">
      <c r="E77" s="159" t="inlineStr">
        <is>
          <t>langtech</t>
        </is>
      </c>
    </row>
    <row r="78" ht="15.75" customHeight="1" s="160">
      <c r="E78" s="159" t="inlineStr">
        <is>
          <t>legacy funding llc</t>
        </is>
      </c>
    </row>
    <row r="79" ht="15.75" customHeight="1" s="160">
      <c r="E79" s="159" t="inlineStr">
        <is>
          <t>Lemonaid</t>
        </is>
      </c>
    </row>
    <row r="80" ht="15.75" customHeight="1" s="160">
      <c r="E80" s="159" t="inlineStr">
        <is>
          <t>Lend Bull LLC</t>
        </is>
      </c>
    </row>
    <row r="81" ht="15.75" customHeight="1" s="160">
      <c r="E81" s="159" t="inlineStr">
        <is>
          <t>LENDCAP SOLUTIONS</t>
        </is>
      </c>
    </row>
    <row r="82" ht="15.75" customHeight="1" s="160">
      <c r="E82" s="159" t="inlineStr">
        <is>
          <t>level 3 funding</t>
        </is>
      </c>
    </row>
    <row r="83" ht="15.75" customHeight="1" s="160">
      <c r="E83" s="159" t="inlineStr">
        <is>
          <t>lexington capital holdings</t>
        </is>
      </c>
    </row>
    <row r="84" ht="15.75" customHeight="1" s="160">
      <c r="E84" s="159" t="inlineStr">
        <is>
          <t>Liberty Bell Capital</t>
        </is>
      </c>
    </row>
    <row r="85" ht="15.75" customHeight="1" s="160">
      <c r="E85" s="159" t="inlineStr">
        <is>
          <t>Lightning SBA Loans</t>
        </is>
      </c>
    </row>
    <row r="86" ht="15.75" customHeight="1" s="160">
      <c r="E86" s="159" t="inlineStr">
        <is>
          <t>lightningfundingsolutions</t>
        </is>
      </c>
    </row>
    <row r="87" ht="15.75" customHeight="1" s="160">
      <c r="E87" s="159" t="inlineStr">
        <is>
          <t>Linked In Funding</t>
        </is>
      </c>
    </row>
    <row r="88" ht="15.75" customHeight="1" s="160">
      <c r="E88" s="159" t="inlineStr">
        <is>
          <t>liquidity lending group</t>
        </is>
      </c>
    </row>
    <row r="89" ht="15.75" customHeight="1" s="160">
      <c r="E89" s="159" t="inlineStr">
        <is>
          <t>Llama Loan</t>
        </is>
      </c>
    </row>
    <row r="90" ht="15.75" customHeight="1" s="160">
      <c r="E90" s="159" t="inlineStr">
        <is>
          <t>MADVANCEGRP</t>
        </is>
      </c>
    </row>
    <row r="91" ht="15.75" customHeight="1" s="160">
      <c r="E91" s="159" t="inlineStr">
        <is>
          <t>Merchant Advance Now</t>
        </is>
      </c>
    </row>
    <row r="92" ht="15.75" customHeight="1" s="160">
      <c r="E92" s="159" t="inlineStr">
        <is>
          <t>Merchant ReFi</t>
        </is>
      </c>
    </row>
    <row r="93" ht="15.75" customHeight="1" s="160">
      <c r="E93" s="159" t="inlineStr">
        <is>
          <t>Milestone Capital Funding Inc</t>
        </is>
      </c>
    </row>
    <row r="94" ht="15.75" customHeight="1" s="160">
      <c r="E94" s="159" t="inlineStr">
        <is>
          <t>Mills  funding group</t>
        </is>
      </c>
    </row>
    <row r="95" ht="15.75" customHeight="1" s="160">
      <c r="E95" s="159" t="inlineStr">
        <is>
          <t>Monarch funding Group</t>
        </is>
      </c>
    </row>
    <row r="96" ht="15.75" customHeight="1" s="160">
      <c r="E96" s="159" t="inlineStr">
        <is>
          <t>MONETCAP</t>
        </is>
      </c>
    </row>
    <row r="97" ht="15.75" customHeight="1" s="160">
      <c r="E97" s="159" t="inlineStr">
        <is>
          <t>MZ ADVANCE</t>
        </is>
      </c>
    </row>
    <row r="98" ht="15.75" customHeight="1" s="160">
      <c r="E98" s="159" t="inlineStr">
        <is>
          <t>National Business Capital</t>
        </is>
      </c>
    </row>
    <row r="99" ht="15.75" customHeight="1" s="160">
      <c r="E99" s="159" t="inlineStr">
        <is>
          <t>NS PRO INC.</t>
        </is>
      </c>
    </row>
    <row r="100" ht="15.75" customHeight="1" s="160">
      <c r="E100" s="159" t="inlineStr">
        <is>
          <t>NY Tribeca Group</t>
        </is>
      </c>
    </row>
    <row r="101" ht="15.75" customHeight="1" s="160">
      <c r="E101" s="159" t="inlineStr">
        <is>
          <t>One Box Funding</t>
        </is>
      </c>
    </row>
    <row r="102" ht="15.75" customHeight="1" s="160">
      <c r="E102" s="159" t="inlineStr">
        <is>
          <t>ontime cap</t>
        </is>
      </c>
    </row>
    <row r="103" ht="15.75" customHeight="1" s="160">
      <c r="E103" s="159" t="inlineStr">
        <is>
          <t>Pathway Catalyst</t>
        </is>
      </c>
    </row>
    <row r="104" ht="15.75" customHeight="1" s="160">
      <c r="E104" s="159" t="inlineStr">
        <is>
          <t>PEACH STATE SOLUTIONS</t>
        </is>
      </c>
    </row>
    <row r="105" ht="15.75" customHeight="1" s="160">
      <c r="E105" s="159" t="inlineStr">
        <is>
          <t>peach tree capital</t>
        </is>
      </c>
    </row>
    <row r="106" ht="15.75" customHeight="1" s="160">
      <c r="E106" s="159" t="inlineStr">
        <is>
          <t>penco holdings</t>
        </is>
      </c>
    </row>
    <row r="107" ht="15.75" customHeight="1" s="160">
      <c r="E107" s="159" t="inlineStr">
        <is>
          <t>Pharoah Fund</t>
        </is>
      </c>
    </row>
    <row r="108" ht="15.75" customHeight="1" s="160">
      <c r="E108" s="159" t="inlineStr">
        <is>
          <t>Platform Funding</t>
        </is>
      </c>
    </row>
    <row r="109" ht="15.75" customHeight="1" s="160">
      <c r="E109" s="159" t="inlineStr">
        <is>
          <t>PMF</t>
        </is>
      </c>
    </row>
    <row r="110" ht="15.75" customHeight="1" s="160">
      <c r="E110" s="159" t="inlineStr">
        <is>
          <t>Premium Capital (AMRK)</t>
        </is>
      </c>
    </row>
    <row r="111" ht="15.75" customHeight="1" s="160">
      <c r="E111" s="159" t="inlineStr">
        <is>
          <t>Pro Source Lending Group</t>
        </is>
      </c>
    </row>
    <row r="112" ht="15.75" customHeight="1" s="160">
      <c r="E112" s="159" t="inlineStr">
        <is>
          <t>Pyn Capital</t>
        </is>
      </c>
    </row>
    <row r="113" ht="15.75" customHeight="1" s="160">
      <c r="E113" s="159" t="inlineStr">
        <is>
          <t>Qualifier</t>
        </is>
      </c>
    </row>
    <row r="114" ht="15.75" customHeight="1" s="160">
      <c r="E114" s="159" t="inlineStr">
        <is>
          <t>Redline Capital</t>
        </is>
      </c>
    </row>
    <row r="115" ht="15.75" customHeight="1" s="160">
      <c r="E115" s="159" t="inlineStr">
        <is>
          <t>ROK</t>
        </is>
      </c>
    </row>
    <row r="116" ht="15.75" customHeight="1" s="160">
      <c r="E116" s="159" t="inlineStr">
        <is>
          <t>ROYAL FUNDING GROUP</t>
        </is>
      </c>
    </row>
    <row r="117" ht="15.75" customHeight="1" s="160">
      <c r="E117" s="159" t="inlineStr">
        <is>
          <t>SABER ASSETS LLC</t>
        </is>
      </c>
    </row>
    <row r="118" ht="15.75" customHeight="1" s="160">
      <c r="E118" s="159" t="inlineStr">
        <is>
          <t>Samson Funding</t>
        </is>
      </c>
    </row>
    <row r="119" ht="15.75" customHeight="1" s="160">
      <c r="E119" s="159" t="inlineStr">
        <is>
          <t>Seacap</t>
        </is>
      </c>
    </row>
    <row r="120" ht="15.75" customHeight="1" s="160">
      <c r="E120" s="159" t="inlineStr">
        <is>
          <t>Secure Capital Solutions 7</t>
        </is>
      </c>
    </row>
    <row r="121" ht="15.75" customHeight="1" s="160">
      <c r="E121" s="159" t="inlineStr">
        <is>
          <t>secure way capital</t>
        </is>
      </c>
    </row>
    <row r="122" ht="15.75" customHeight="1" s="160">
      <c r="E122" s="159" t="inlineStr">
        <is>
          <t>Shield Funding</t>
        </is>
      </c>
    </row>
    <row r="123" ht="15.75" customHeight="1" s="160">
      <c r="E123" s="159" t="inlineStr">
        <is>
          <t>Shop Funder</t>
        </is>
      </c>
    </row>
    <row r="124" ht="15.75" customHeight="1" s="160">
      <c r="E124" s="159" t="inlineStr">
        <is>
          <t>Shore Funding USA</t>
        </is>
      </c>
    </row>
    <row r="125" ht="15.75" customHeight="1" s="160">
      <c r="E125" s="159" t="inlineStr">
        <is>
          <t>Simply capital source inc</t>
        </is>
      </c>
    </row>
    <row r="126" ht="15.75" customHeight="1" s="160">
      <c r="E126" s="159" t="inlineStr">
        <is>
          <t>Siriux internacional corp</t>
        </is>
      </c>
    </row>
    <row r="127" ht="15.75" customHeight="1" s="160">
      <c r="E127" s="159" t="inlineStr">
        <is>
          <t>Sky Advance</t>
        </is>
      </c>
    </row>
    <row r="128" ht="15.75" customHeight="1" s="160">
      <c r="E128" s="159" t="inlineStr">
        <is>
          <t>Smarter Credit Inc.</t>
        </is>
      </c>
    </row>
    <row r="129" ht="15.75" customHeight="1" s="160">
      <c r="E129" s="159" t="inlineStr">
        <is>
          <t>SNA Capital source</t>
        </is>
      </c>
    </row>
    <row r="130" ht="15.75" customHeight="1" s="160">
      <c r="E130" s="159" t="inlineStr">
        <is>
          <t>SNB CAPITAL 18 LLC</t>
        </is>
      </c>
    </row>
    <row r="131" ht="15.75" customHeight="1" s="160">
      <c r="E131" s="159" t="inlineStr">
        <is>
          <t>Splash</t>
        </is>
      </c>
    </row>
    <row r="132" ht="15.75" customHeight="1" s="160">
      <c r="E132" s="159" t="inlineStr">
        <is>
          <t>Springville Partners</t>
        </is>
      </c>
    </row>
    <row r="133" ht="15.75" customHeight="1" s="160">
      <c r="E133" s="159" t="inlineStr">
        <is>
          <t>Streamline Funding LLC</t>
        </is>
      </c>
    </row>
    <row r="134" ht="15.75" customHeight="1" s="160">
      <c r="E134" s="159" t="inlineStr">
        <is>
          <t>Supreme Capital Solutions</t>
        </is>
      </c>
    </row>
    <row r="135" ht="15.75" customHeight="1" s="160">
      <c r="E135" s="159" t="inlineStr">
        <is>
          <t>Swift Business Funding</t>
        </is>
      </c>
    </row>
    <row r="136" ht="15.75" customHeight="1" s="160">
      <c r="E136" s="159" t="inlineStr">
        <is>
          <t>Tech Consulting Pro LLC D/B/A: Nationwide Advance</t>
        </is>
      </c>
    </row>
    <row r="137" ht="15.75" customHeight="1" s="160">
      <c r="E137" s="159" t="inlineStr">
        <is>
          <t>The Funding Channel</t>
        </is>
      </c>
    </row>
    <row r="138" ht="15.75" customHeight="1" s="160">
      <c r="E138" s="159" t="inlineStr">
        <is>
          <t>The Funding Family</t>
        </is>
      </c>
    </row>
    <row r="139" ht="15.75" customHeight="1" s="160">
      <c r="E139" s="159" t="inlineStr">
        <is>
          <t>Tier one</t>
        </is>
      </c>
    </row>
    <row r="140" ht="15.75" customHeight="1" s="160">
      <c r="E140" s="159" t="inlineStr">
        <is>
          <t>Tip Top Capital</t>
        </is>
      </c>
    </row>
    <row r="141" ht="15.75" customHeight="1" s="160">
      <c r="E141" s="159" t="inlineStr">
        <is>
          <t>Top Floor Advance</t>
        </is>
      </c>
    </row>
    <row r="142" ht="15.75" customHeight="1" s="160">
      <c r="E142" s="159" t="inlineStr">
        <is>
          <t>Triumph Cap Fund</t>
        </is>
      </c>
    </row>
    <row r="143" ht="15.75" customHeight="1" s="160">
      <c r="E143" s="159" t="inlineStr">
        <is>
          <t>True Eagle Capital</t>
        </is>
      </c>
    </row>
    <row r="144" ht="15.75" customHeight="1" s="160">
      <c r="E144" s="159" t="inlineStr">
        <is>
          <t>True Path Funding</t>
        </is>
      </c>
    </row>
    <row r="145" ht="15.75" customHeight="1" s="160">
      <c r="E145" s="159" t="inlineStr">
        <is>
          <t>TRUSTFI</t>
        </is>
      </c>
    </row>
    <row r="146" ht="15.75" customHeight="1" s="160">
      <c r="E146" s="159" t="inlineStr">
        <is>
          <t>United Secured Capital 8</t>
        </is>
      </c>
    </row>
    <row r="147" ht="15.75" customHeight="1" s="160">
      <c r="E147" s="159" t="inlineStr">
        <is>
          <t>upcrunch</t>
        </is>
      </c>
    </row>
    <row r="148" ht="15.75" customHeight="1" s="160">
      <c r="E148" s="159" t="inlineStr">
        <is>
          <t>Upright Advance Corp</t>
        </is>
      </c>
    </row>
    <row r="149" ht="15.75" customHeight="1" s="160">
      <c r="E149" s="159" t="inlineStr">
        <is>
          <t>Upwise capital</t>
        </is>
      </c>
    </row>
    <row r="150" ht="15.75" customHeight="1" s="160">
      <c r="E150" s="159" t="inlineStr">
        <is>
          <t>Vanguard Equities</t>
        </is>
      </c>
    </row>
    <row r="151" ht="15.75" customHeight="1" s="160">
      <c r="E151" s="159" t="inlineStr">
        <is>
          <t>Vantage Cap Group</t>
        </is>
      </c>
    </row>
    <row r="152" ht="15.75" customHeight="1" s="160">
      <c r="E152" s="159" t="inlineStr">
        <is>
          <t>Viking Funding LLC</t>
        </is>
      </c>
    </row>
    <row r="153" ht="15.75" customHeight="1" s="160">
      <c r="E153" s="159" t="inlineStr">
        <is>
          <t>Vital Funding</t>
        </is>
      </c>
    </row>
    <row r="154" ht="15.75" customHeight="1" s="160">
      <c r="E154" s="159" t="inlineStr">
        <is>
          <t>Westwood</t>
        </is>
      </c>
    </row>
    <row r="155" ht="15.75" customHeight="1" s="160">
      <c r="E155" s="159" t="inlineStr">
        <is>
          <t>Wisco Capital</t>
        </is>
      </c>
    </row>
    <row r="156" ht="15.75" customHeight="1" s="160">
      <c r="E156" s="159" t="inlineStr">
        <is>
          <t>WOTR Enterprise LLC</t>
        </is>
      </c>
    </row>
    <row r="157" ht="15.75" customHeight="1" s="160">
      <c r="E157" s="159" t="inlineStr">
        <is>
          <t>YM ventures</t>
        </is>
      </c>
    </row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2026-09-07T23:52:22Z</dcterms:created>
  <dcterms:modified xmlns:dcterms="http://purl.org/dc/terms/" xmlns:xsi="http://www.w3.org/2001/XMLSchema-instance" xsi:type="dcterms:W3CDTF">2026-09-09T01:27:22Z</dcterms:modified>
  <cp:revision>0</cp:revision>
</cp:coreProperties>
</file>