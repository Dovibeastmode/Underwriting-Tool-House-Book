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Deal" sheetId="2" state="visible" r:id="rId2"/>
    <sheet xmlns:r="http://schemas.openxmlformats.org/officeDocument/2006/relationships" name="Decision Summary" sheetId="3" state="visible" r:id="rId3"/>
    <sheet xmlns:r="http://schemas.openxmlformats.org/officeDocument/2006/relationships" name="Offer Engine" sheetId="4" state="visible" r:id="rId4"/>
    <sheet xmlns:r="http://schemas.openxmlformats.org/officeDocument/2006/relationships" name="Historical Score" sheetId="5" state="visible" r:id="rId5"/>
    <sheet xmlns:r="http://schemas.openxmlformats.org/officeDocument/2006/relationships" name="Comparable Deals" sheetId="6" state="visible" r:id="rId6"/>
    <sheet xmlns:r="http://schemas.openxmlformats.org/officeDocument/2006/relationships" name="Historical Data" sheetId="7" state="visible" r:id="rId7"/>
    <sheet xmlns:r="http://schemas.openxmlformats.org/officeDocument/2006/relationships" name="Controls" sheetId="8" state="visible" r:id="rId8"/>
    <sheet xmlns:r="http://schemas.openxmlformats.org/officeDocument/2006/relationships" name="Checks" sheetId="9" state="visible" r:id="rId9"/>
    <sheet xmlns:r="http://schemas.openxmlformats.org/officeDocument/2006/relationships" name="Ref" sheetId="10" state="visible" r:id="rId10"/>
  </sheets>
  <definedNames>
    <definedName name="D26D33">#REF!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&quot;$&quot;#,##0"/>
    <numFmt numFmtId="165" formatCode="&quot;$&quot;#,##0.00"/>
    <numFmt numFmtId="166" formatCode="0.0%"/>
    <numFmt numFmtId="167" formatCode="0.0"/>
    <numFmt numFmtId="168" formatCode="0.000"/>
    <numFmt numFmtId="169" formatCode="M/d/yyyy"/>
    <numFmt numFmtId="170" formatCode="0.00&quot;x&quot;"/>
    <numFmt numFmtId="171" formatCode="m/d/yyyy"/>
    <numFmt numFmtId="172" formatCode="0.0000"/>
    <numFmt numFmtId="173" formatCode="yyyy-mm-dd h:mm:ss"/>
    <numFmt numFmtId="174" formatCode="mm/dd/yyyy"/>
  </numFmts>
  <fonts count="48">
    <font>
      <name val="Calibri"/>
      <color theme="1"/>
      <sz val="11"/>
      <scheme val="minor"/>
    </font>
    <font>
      <name val="Calibri"/>
      <b val="1"/>
      <color theme="1"/>
      <sz val="15"/>
      <scheme val="minor"/>
    </font>
    <font>
      <name val="Calibri"/>
      <b val="1"/>
      <color theme="1"/>
      <sz val="11"/>
      <scheme val="minor"/>
    </font>
    <font>
      <name val="Calibri"/>
      <b val="1"/>
      <color theme="1"/>
      <sz val="13"/>
      <scheme val="minor"/>
    </font>
    <font>
      <name val="Calibri"/>
      <i val="1"/>
      <color rgb="FF374151"/>
      <sz val="9"/>
      <scheme val="minor"/>
    </font>
    <font>
      <name val="Calibri"/>
      <b val="1"/>
      <color rgb="FFFFFFFF"/>
      <sz val="11"/>
      <scheme val="minor"/>
    </font>
    <font/>
    <font>
      <name val="Calibri"/>
      <b val="1"/>
      <color rgb="FFFFFFFF"/>
      <sz val="9"/>
      <scheme val="minor"/>
    </font>
    <font>
      <name val="Calibri"/>
      <b val="1"/>
      <color theme="1"/>
      <sz val="12"/>
      <scheme val="minor"/>
    </font>
    <font>
      <name val="Calibri"/>
      <color theme="1"/>
      <sz val="11"/>
    </font>
    <font>
      <name val="Calibri"/>
      <b val="1"/>
      <color theme="1"/>
      <scheme val="minor"/>
    </font>
    <font>
      <name val="Calibri"/>
      <b val="1"/>
      <color rgb="FFFFFFFF"/>
      <sz val="11"/>
    </font>
    <font>
      <name val="Calibri"/>
      <b val="1"/>
      <color rgb="FFFFFFFF"/>
      <sz val="9"/>
    </font>
    <font>
      <name val="Calibri"/>
      <b val="1"/>
      <color theme="1"/>
      <sz val="11"/>
    </font>
    <font>
      <name val="Calibri"/>
      <i val="1"/>
      <color rgb="FF374151"/>
      <sz val="9"/>
    </font>
    <font>
      <name val="Calibri"/>
      <color theme="1"/>
      <scheme val="minor"/>
    </font>
    <font>
      <name val="Calibri"/>
      <b val="1"/>
      <color theme="1"/>
      <sz val="12"/>
    </font>
    <font>
      <name val="Arial"/>
      <color rgb="FF2F7D4F"/>
      <sz val="9"/>
    </font>
    <font>
      <name val="Arial"/>
      <color rgb="FFB03A3A"/>
      <sz val="9"/>
    </font>
    <font>
      <name val="&quot;Open Sans&quot;"/>
      <color rgb="FFF06548"/>
      <sz val="11"/>
    </font>
    <font>
      <name val="&quot;Open Sans&quot;"/>
      <color rgb="FF212529"/>
      <sz val="11"/>
    </font>
    <font>
      <name val="Calibri"/>
      <b val="1"/>
      <color rgb="FF000000"/>
      <sz val="12"/>
      <scheme val="minor"/>
    </font>
    <font>
      <name val="Calibri"/>
      <b val="1"/>
      <color rgb="FF111827"/>
      <sz val="16"/>
    </font>
    <font>
      <name val="Calibri"/>
      <b val="1"/>
      <color rgb="FF111827"/>
      <sz val="11"/>
    </font>
    <font>
      <name val="Calibri"/>
      <b val="1"/>
      <color theme="1"/>
      <sz val="14"/>
    </font>
    <font>
      <name val="Calibri"/>
      <i val="1"/>
      <color rgb="FF6B7280"/>
      <sz val="9"/>
    </font>
    <font>
      <name val="0"/>
      <color theme="1"/>
    </font>
    <font>
      <name val="Calibri"/>
      <b val="1"/>
      <color rgb="FF111827"/>
      <sz val="11"/>
      <scheme val="minor"/>
    </font>
    <font>
      <name val="Calibri"/>
      <i val="1"/>
      <color rgb="FF6B7280"/>
      <sz val="9"/>
      <scheme val="minor"/>
    </font>
    <font>
      <name val="Calibri"/>
      <b val="1"/>
      <color rgb="FF111827"/>
      <sz val="16"/>
      <scheme val="minor"/>
    </font>
    <font>
      <name val="Calibri"/>
      <b val="1"/>
      <color theme="1"/>
      <sz val="14"/>
      <scheme val="minor"/>
    </font>
    <font>
      <name val="Calibri"/>
      <color rgb="FF6B7280"/>
      <sz val="9"/>
    </font>
    <font>
      <name val="Calibri"/>
      <b val="1"/>
      <color theme="1"/>
    </font>
    <font>
      <name val="Calibri"/>
      <color rgb="FF6B7280"/>
      <sz val="9"/>
      <scheme val="minor"/>
    </font>
    <font>
      <name val="Calibri"/>
      <b val="1"/>
      <color theme="1"/>
      <sz val="9"/>
      <scheme val="minor"/>
    </font>
    <font>
      <name val="Calibri"/>
      <i val="1"/>
      <color rgb="FF6B7280"/>
      <sz val="12"/>
      <scheme val="minor"/>
    </font>
    <font>
      <name val="Calibri"/>
      <b val="1"/>
      <color theme="1"/>
      <sz val="9"/>
    </font>
    <font>
      <name val="Calibri"/>
      <color theme="1"/>
    </font>
    <font>
      <name val="Calibri"/>
      <b val="1"/>
      <color theme="1"/>
      <sz val="10"/>
    </font>
    <font>
      <name val="Calibri"/>
      <b val="1"/>
      <color rgb="FFFFFFFF"/>
    </font>
    <font>
      <name val="Calibri"/>
      <b val="1"/>
      <color rgb="00FFFFFF"/>
      <sz val="11"/>
    </font>
    <font>
      <name val="Calibri"/>
      <color rgb="00374151"/>
      <sz val="9"/>
    </font>
    <font>
      <name val="Calibri"/>
      <b val="1"/>
      <color rgb="00FFFFFF"/>
      <sz val="9"/>
    </font>
    <font>
      <name val="Calibri"/>
      <b val="1"/>
      <sz val="11"/>
    </font>
    <font>
      <name val="Calibri"/>
      <color rgb="000000FF"/>
      <sz val="11"/>
    </font>
    <font>
      <name val="Calibri"/>
      <i val="1"/>
      <color rgb="003730A3"/>
      <sz val="10"/>
    </font>
    <font>
      <name val="Calibri"/>
      <b val="1"/>
      <sz val="14"/>
    </font>
    <font>
      <name val="Calibri"/>
      <sz val="11"/>
    </font>
  </fonts>
  <fills count="15">
    <fill>
      <patternFill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4B5563"/>
        <bgColor rgb="FF4B5563"/>
      </patternFill>
    </fill>
    <fill>
      <patternFill patternType="solid">
        <fgColor rgb="FFE5E7EB"/>
        <bgColor rgb="FFE5E7EB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DCE7FF"/>
        <bgColor rgb="FFDCE7FF"/>
      </patternFill>
    </fill>
    <fill>
      <patternFill patternType="solid">
        <fgColor rgb="FFFDE9D9"/>
        <bgColor rgb="FFFDE9D9"/>
      </patternFill>
    </fill>
    <fill>
      <patternFill patternType="solid">
        <fgColor rgb="FF374151"/>
        <bgColor rgb="FF374151"/>
      </patternFill>
    </fill>
    <fill>
      <patternFill patternType="solid">
        <fgColor rgb="FFFFF3B0"/>
        <bgColor rgb="FFFFF3B0"/>
      </patternFill>
    </fill>
    <fill>
      <patternFill patternType="solid">
        <fgColor rgb="001F2937"/>
      </patternFill>
    </fill>
    <fill>
      <patternFill patternType="solid">
        <fgColor rgb="004B5563"/>
      </patternFill>
    </fill>
    <fill>
      <patternFill patternType="solid">
        <fgColor rgb="00FFF9C4"/>
      </patternFill>
    </fill>
    <fill>
      <patternFill patternType="solid">
        <fgColor rgb="00EEF2FF"/>
      </patternFill>
    </fill>
  </fills>
  <borders count="20">
    <border/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left style="thin">
        <color rgb="FFD1D5DB"/>
      </left>
      <top style="thin">
        <color rgb="FFD1D5DB"/>
      </top>
      <bottom style="thin">
        <color rgb="FFD1D5DB"/>
      </bottom>
    </border>
    <border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top style="thin">
        <color rgb="FFD1D5DB"/>
      </top>
      <bottom style="thin">
        <color rgb="FFD1D5DB"/>
      </bottom>
    </border>
    <border>
      <left/>
      <right/>
      <top/>
      <bottom/>
    </border>
    <border>
      <top style="thin">
        <color rgb="FFD1D5DB"/>
      </top>
    </border>
    <border>
      <right style="thin">
        <color rgb="FFD1D5DB"/>
      </right>
      <top style="thin">
        <color rgb="FFD1D5DB"/>
      </top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top style="thin">
        <color rgb="009CA3AF"/>
      </top>
    </border>
    <border>
      <right style="thin">
        <color rgb="009CA3AF"/>
      </right>
      <top style="thin">
        <color rgb="009CA3AF"/>
      </top>
    </border>
    <border>
      <top style="thin">
        <color rgb="009CA3AF"/>
      </top>
      <bottom style="thin">
        <color rgb="009CA3AF"/>
      </bottom>
    </border>
    <border>
      <right style="thin">
        <color rgb="009CA3AF"/>
      </right>
      <top style="thin">
        <color rgb="009CA3AF"/>
      </top>
      <bottom style="thin">
        <color rgb="009CA3AF"/>
      </bottom>
    </border>
    <border>
      <left style="medium">
        <color rgb="00374151"/>
      </left>
      <right style="medium">
        <color rgb="00374151"/>
      </right>
      <top style="medium">
        <color rgb="00374151"/>
      </top>
      <bottom style="medium">
        <color rgb="00374151"/>
      </bottom>
    </border>
  </borders>
  <cellStyleXfs count="1">
    <xf numFmtId="0" fontId="0" fillId="0" borderId="0"/>
  </cellStyleXfs>
  <cellXfs count="26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2" borderId="2" applyAlignment="1" pivotButton="0" quotePrefix="0" xfId="0">
      <alignment horizontal="left" vertical="center"/>
    </xf>
    <xf numFmtId="0" fontId="6" fillId="0" borderId="3" pivotButton="0" quotePrefix="0" xfId="0"/>
    <xf numFmtId="0" fontId="6" fillId="0" borderId="4" pivotButton="0" quotePrefix="0" xfId="0"/>
    <xf numFmtId="0" fontId="7" fillId="3" borderId="1" applyAlignment="1" pivotButton="0" quotePrefix="0" xfId="0">
      <alignment horizontal="center" vertical="center"/>
    </xf>
    <xf numFmtId="164" fontId="8" fillId="0" borderId="5" applyAlignment="1" pivotButton="0" quotePrefix="0" xfId="0">
      <alignment horizontal="center" vertical="center"/>
    </xf>
    <xf numFmtId="2" fontId="8" fillId="0" borderId="5" applyAlignment="1" pivotButton="0" quotePrefix="0" xfId="0">
      <alignment horizontal="center" vertical="center"/>
    </xf>
    <xf numFmtId="1" fontId="8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9" fontId="8" fillId="0" borderId="5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165" fontId="9" fillId="0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 vertical="center"/>
    </xf>
    <xf numFmtId="10" fontId="9" fillId="0" borderId="1" applyAlignment="1" pivotButton="0" quotePrefix="0" xfId="0">
      <alignment horizontal="center" vertical="center"/>
    </xf>
    <xf numFmtId="166" fontId="10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167" fontId="8" fillId="0" borderId="1" applyAlignment="1" pivotButton="0" quotePrefix="0" xfId="0">
      <alignment horizontal="center" vertical="center"/>
    </xf>
    <xf numFmtId="168" fontId="9" fillId="0" borderId="1" applyAlignment="1" pivotButton="0" quotePrefix="0" xfId="0">
      <alignment horizontal="center" vertical="center"/>
    </xf>
    <xf numFmtId="168" fontId="10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11" fillId="2" borderId="2" pivotButton="0" quotePrefix="0" xfId="0"/>
    <xf numFmtId="0" fontId="9" fillId="0" borderId="5" applyAlignment="1" pivotButton="0" quotePrefix="0" xfId="0">
      <alignment horizontal="center" vertical="center"/>
    </xf>
    <xf numFmtId="164" fontId="9" fillId="0" borderId="5" applyAlignment="1" pivotButton="0" quotePrefix="0" xfId="0">
      <alignment horizontal="center" vertical="center"/>
    </xf>
    <xf numFmtId="1" fontId="9" fillId="0" borderId="5" applyAlignment="1" pivotButton="0" quotePrefix="0" xfId="0">
      <alignment horizontal="center" vertical="center"/>
    </xf>
    <xf numFmtId="166" fontId="9" fillId="0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/>
    </xf>
    <xf numFmtId="0" fontId="9" fillId="0" borderId="0" applyAlignment="1" pivotButton="0" quotePrefix="0" xfId="0">
      <alignment vertical="bottom"/>
    </xf>
    <xf numFmtId="167" fontId="9" fillId="0" borderId="5" applyAlignment="1" pivotButton="0" quotePrefix="0" xfId="0">
      <alignment horizontal="center"/>
    </xf>
    <xf numFmtId="1" fontId="9" fillId="0" borderId="5" applyAlignment="1" pivotButton="0" quotePrefix="0" xfId="0">
      <alignment horizontal="center"/>
    </xf>
    <xf numFmtId="2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vertical="center"/>
    </xf>
    <xf numFmtId="1" fontId="9" fillId="0" borderId="5" applyAlignment="1" pivotButton="0" quotePrefix="0" xfId="0">
      <alignment horizontal="center" vertical="center"/>
    </xf>
    <xf numFmtId="0" fontId="9" fillId="0" borderId="1" applyAlignment="1" pivotButton="0" quotePrefix="0" xfId="0">
      <alignment horizontal="right"/>
    </xf>
    <xf numFmtId="1" fontId="13" fillId="0" borderId="5" applyAlignment="1" pivotButton="0" quotePrefix="0" xfId="0">
      <alignment horizontal="center"/>
    </xf>
    <xf numFmtId="164" fontId="9" fillId="0" borderId="5" applyAlignment="1" pivotButton="0" quotePrefix="0" xfId="0">
      <alignment horizontal="center" vertical="center"/>
    </xf>
    <xf numFmtId="0" fontId="14" fillId="0" borderId="0" pivotButton="0" quotePrefix="0" xfId="0"/>
    <xf numFmtId="1" fontId="13" fillId="0" borderId="5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164" fontId="10" fillId="4" borderId="1" applyAlignment="1" pivotButton="0" quotePrefix="0" xfId="0">
      <alignment horizontal="center" vertical="center"/>
    </xf>
    <xf numFmtId="1" fontId="10" fillId="4" borderId="1" applyAlignment="1" pivotButton="0" quotePrefix="0" xfId="0">
      <alignment horizontal="center" vertical="center"/>
    </xf>
    <xf numFmtId="166" fontId="10" fillId="4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9" fillId="0" borderId="5" applyAlignment="1" pivotButton="0" quotePrefix="0" xfId="0">
      <alignment horizontal="left" vertical="center"/>
    </xf>
    <xf numFmtId="169" fontId="9" fillId="0" borderId="1" applyAlignment="1" pivotButton="0" quotePrefix="0" xfId="0">
      <alignment horizontal="center" vertical="center"/>
    </xf>
    <xf numFmtId="4" fontId="9" fillId="0" borderId="1" applyAlignment="1" pivotButton="0" quotePrefix="0" xfId="0">
      <alignment horizontal="center" vertical="center"/>
    </xf>
    <xf numFmtId="4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right" vertical="center"/>
    </xf>
    <xf numFmtId="165" fontId="10" fillId="4" borderId="1" applyAlignment="1" pivotButton="0" quotePrefix="0" xfId="0">
      <alignment horizontal="center" vertical="center"/>
    </xf>
    <xf numFmtId="165" fontId="15" fillId="0" borderId="0" pivotButton="0" quotePrefix="0" xfId="0"/>
    <xf numFmtId="10" fontId="10" fillId="0" borderId="1" applyAlignment="1" pivotButton="0" quotePrefix="0" xfId="0">
      <alignment horizontal="center" vertical="center"/>
    </xf>
    <xf numFmtId="166" fontId="9" fillId="0" borderId="5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166" fontId="9" fillId="0" borderId="5" applyAlignment="1" pivotButton="0" quotePrefix="0" xfId="0">
      <alignment horizontal="center" vertical="center"/>
    </xf>
    <xf numFmtId="170" fontId="10" fillId="0" borderId="1" applyAlignment="1" pivotButton="0" quotePrefix="0" xfId="0">
      <alignment horizontal="center" vertical="center"/>
    </xf>
    <xf numFmtId="170" fontId="9" fillId="0" borderId="5" applyAlignment="1" pivotButton="0" quotePrefix="0" xfId="0">
      <alignment horizontal="center" vertical="center"/>
    </xf>
    <xf numFmtId="1" fontId="10" fillId="0" borderId="1" applyAlignment="1" pivotButton="0" quotePrefix="0" xfId="0">
      <alignment horizontal="center" vertical="center"/>
    </xf>
    <xf numFmtId="1" fontId="1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right" vertical="center"/>
    </xf>
    <xf numFmtId="1" fontId="8" fillId="0" borderId="5" applyAlignment="1" pivotButton="0" quotePrefix="0" xfId="0">
      <alignment horizontal="center" vertical="center"/>
    </xf>
    <xf numFmtId="0" fontId="9" fillId="0" borderId="1" applyAlignment="1" pivotButton="0" quotePrefix="0" xfId="0">
      <alignment horizontal="right"/>
    </xf>
    <xf numFmtId="164" fontId="16" fillId="0" borderId="5" applyAlignment="1" pivotButton="0" quotePrefix="0" xfId="0">
      <alignment horizontal="center"/>
    </xf>
    <xf numFmtId="167" fontId="10" fillId="0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" fontId="10" fillId="0" borderId="5" applyAlignment="1" pivotButton="0" quotePrefix="0" xfId="0">
      <alignment horizontal="center" vertical="center"/>
    </xf>
    <xf numFmtId="2" fontId="10" fillId="0" borderId="5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4" fontId="17" fillId="0" borderId="0" applyAlignment="1" pivotButton="0" quotePrefix="0" xfId="0">
      <alignment horizontal="right"/>
    </xf>
    <xf numFmtId="164" fontId="18" fillId="0" borderId="0" applyAlignment="1" pivotButton="0" quotePrefix="0" xfId="0">
      <alignment horizontal="right"/>
    </xf>
    <xf numFmtId="0" fontId="15" fillId="0" borderId="0" pivotButton="0" quotePrefix="0" xfId="0"/>
    <xf numFmtId="0" fontId="19" fillId="5" borderId="0" applyAlignment="1" pivotButton="0" quotePrefix="0" xfId="0">
      <alignment/>
    </xf>
    <xf numFmtId="0" fontId="9" fillId="0" borderId="5" applyAlignment="1" pivotButton="0" quotePrefix="0" xfId="0">
      <alignment horizontal="left" vertical="center"/>
    </xf>
    <xf numFmtId="0" fontId="11" fillId="2" borderId="2" pivotButton="0" quotePrefix="0" xfId="0"/>
    <xf numFmtId="169" fontId="9" fillId="0" borderId="1" applyAlignment="1" pivotButton="0" quotePrefix="0" xfId="0">
      <alignment horizontal="center" vertical="center"/>
    </xf>
    <xf numFmtId="165" fontId="20" fillId="0" borderId="6" applyAlignment="1" pivotButton="0" quotePrefix="0" xfId="0">
      <alignment vertical="bottom"/>
    </xf>
    <xf numFmtId="171" fontId="20" fillId="0" borderId="6" applyAlignment="1" pivotButton="0" quotePrefix="0" xfId="0">
      <alignment vertical="bottom"/>
    </xf>
    <xf numFmtId="0" fontId="20" fillId="0" borderId="6" applyAlignment="1" pivotButton="0" quotePrefix="0" xfId="0">
      <alignment vertical="bottom"/>
    </xf>
    <xf numFmtId="9" fontId="8" fillId="0" borderId="5" applyAlignment="1" pivotButton="0" quotePrefix="0" xfId="0">
      <alignment horizontal="center" vertical="center"/>
    </xf>
    <xf numFmtId="170" fontId="9" fillId="0" borderId="5" applyAlignment="1" pivotButton="0" quotePrefix="0" xfId="0">
      <alignment horizontal="center" vertical="center"/>
    </xf>
    <xf numFmtId="164" fontId="10" fillId="4" borderId="1" applyAlignment="1" pivotButton="0" quotePrefix="0" xfId="0">
      <alignment horizontal="center" vertical="center"/>
    </xf>
    <xf numFmtId="1" fontId="10" fillId="4" borderId="1" applyAlignment="1" pivotButton="0" quotePrefix="0" xfId="0">
      <alignment horizontal="center" vertical="center"/>
    </xf>
    <xf numFmtId="0" fontId="20" fillId="6" borderId="0" applyAlignment="1" pivotButton="0" quotePrefix="0" xfId="0">
      <alignment/>
    </xf>
    <xf numFmtId="164" fontId="16" fillId="0" borderId="5" applyAlignment="1" pivotButton="0" quotePrefix="0" xfId="0">
      <alignment horizontal="center"/>
    </xf>
    <xf numFmtId="165" fontId="9" fillId="0" borderId="5" applyAlignment="1" pivotButton="0" quotePrefix="0" xfId="0">
      <alignment horizontal="center" vertical="center"/>
    </xf>
    <xf numFmtId="165" fontId="15" fillId="0" borderId="0" applyAlignment="1" pivotButton="0" quotePrefix="0" xfId="0">
      <alignment horizontal="center"/>
    </xf>
    <xf numFmtId="165" fontId="9" fillId="0" borderId="5" applyAlignment="1" pivotButton="0" quotePrefix="0" xfId="0">
      <alignment horizontal="center" vertical="center"/>
    </xf>
    <xf numFmtId="164" fontId="21" fillId="0" borderId="5" applyAlignment="1" pivotButton="0" quotePrefix="0" xfId="0">
      <alignment horizontal="center" vertical="center"/>
    </xf>
    <xf numFmtId="2" fontId="21" fillId="0" borderId="5" applyAlignment="1" pivotButton="0" quotePrefix="0" xfId="0">
      <alignment horizontal="center" vertical="center"/>
    </xf>
    <xf numFmtId="1" fontId="21" fillId="0" borderId="5" applyAlignment="1" pivotButton="0" quotePrefix="0" xfId="0">
      <alignment horizontal="center" vertical="center"/>
    </xf>
    <xf numFmtId="0" fontId="21" fillId="0" borderId="5" applyAlignment="1" pivotButton="0" quotePrefix="0" xfId="0">
      <alignment horizontal="center" vertical="center"/>
    </xf>
    <xf numFmtId="9" fontId="21" fillId="0" borderId="5" applyAlignment="1" pivotButton="0" quotePrefix="0" xfId="0">
      <alignment horizontal="center" vertical="center"/>
    </xf>
    <xf numFmtId="164" fontId="9" fillId="0" borderId="5" applyAlignment="1" pivotButton="0" quotePrefix="0" xfId="0">
      <alignment horizontal="center"/>
    </xf>
    <xf numFmtId="0" fontId="9" fillId="0" borderId="0" pivotButton="0" quotePrefix="0" xfId="0"/>
    <xf numFmtId="0" fontId="22" fillId="0" borderId="0" pivotButton="0" quotePrefix="0" xfId="0"/>
    <xf numFmtId="0" fontId="8" fillId="0" borderId="5" applyAlignment="1" pivotButton="0" quotePrefix="0" xfId="0">
      <alignment horizontal="center" vertical="center"/>
    </xf>
    <xf numFmtId="0" fontId="23" fillId="0" borderId="0" pivotButton="0" quotePrefix="0" xfId="0"/>
    <xf numFmtId="0" fontId="24" fillId="0" borderId="7" applyAlignment="1" pivotButton="0" quotePrefix="0" xfId="0">
      <alignment horizontal="center" vertical="center"/>
    </xf>
    <xf numFmtId="0" fontId="6" fillId="0" borderId="8" pivotButton="0" quotePrefix="0" xfId="0"/>
    <xf numFmtId="0" fontId="25" fillId="0" borderId="0" pivotButton="0" quotePrefix="0" xfId="0"/>
    <xf numFmtId="0" fontId="26" fillId="0" borderId="0" pivotButton="0" quotePrefix="0" xfId="0"/>
    <xf numFmtId="0" fontId="23" fillId="7" borderId="2" pivotButton="0" quotePrefix="0" xfId="0"/>
    <xf numFmtId="0" fontId="27" fillId="8" borderId="0" pivotButton="0" quotePrefix="0" xfId="0"/>
    <xf numFmtId="0" fontId="23" fillId="4" borderId="2" pivotButton="0" quotePrefix="0" xfId="0"/>
    <xf numFmtId="1" fontId="9" fillId="0" borderId="0" pivotButton="0" quotePrefix="0" xfId="0"/>
    <xf numFmtId="0" fontId="28" fillId="0" borderId="0" pivotButton="0" quotePrefix="0" xfId="0"/>
    <xf numFmtId="0" fontId="12" fillId="9" borderId="9" applyAlignment="1" pivotButton="0" quotePrefix="0" xfId="0">
      <alignment horizontal="center" vertical="center"/>
    </xf>
    <xf numFmtId="9" fontId="9" fillId="0" borderId="0" pivotButton="0" quotePrefix="0" xfId="0"/>
    <xf numFmtId="0" fontId="7" fillId="9" borderId="9" applyAlignment="1" pivotButton="0" quotePrefix="0" xfId="0">
      <alignment horizontal="center"/>
    </xf>
    <xf numFmtId="164" fontId="16" fillId="10" borderId="9" applyAlignment="1" pivotButton="0" quotePrefix="0" xfId="0">
      <alignment horizontal="center" vertical="center"/>
    </xf>
    <xf numFmtId="2" fontId="16" fillId="10" borderId="9" applyAlignment="1" pivotButton="0" quotePrefix="0" xfId="0">
      <alignment horizontal="center" vertical="center"/>
    </xf>
    <xf numFmtId="1" fontId="16" fillId="10" borderId="9" applyAlignment="1" pivotButton="0" quotePrefix="0" xfId="0">
      <alignment horizontal="center" vertical="center"/>
    </xf>
    <xf numFmtId="0" fontId="16" fillId="10" borderId="9" applyAlignment="1" pivotButton="0" quotePrefix="0" xfId="0">
      <alignment horizontal="center" vertical="center"/>
    </xf>
    <xf numFmtId="9" fontId="16" fillId="10" borderId="9" applyAlignment="1" pivotButton="0" quotePrefix="0" xfId="0">
      <alignment horizontal="center" vertical="center"/>
    </xf>
    <xf numFmtId="0" fontId="29" fillId="0" borderId="0" pivotButton="0" quotePrefix="0" xfId="0"/>
    <xf numFmtId="0" fontId="27" fillId="0" borderId="0" pivotButton="0" quotePrefix="0" xfId="0"/>
    <xf numFmtId="164" fontId="16" fillId="0" borderId="9" applyAlignment="1" pivotButton="0" quotePrefix="0" xfId="0">
      <alignment horizontal="center" vertical="center"/>
    </xf>
    <xf numFmtId="0" fontId="30" fillId="0" borderId="7" applyAlignment="1" pivotButton="0" quotePrefix="0" xfId="0">
      <alignment horizontal="center" vertical="center"/>
    </xf>
    <xf numFmtId="0" fontId="25" fillId="0" borderId="0" pivotButton="0" quotePrefix="0" xfId="0"/>
    <xf numFmtId="0" fontId="9" fillId="0" borderId="9" pivotButton="0" quotePrefix="0" xfId="0"/>
    <xf numFmtId="165" fontId="9" fillId="0" borderId="9" applyAlignment="1" pivotButton="0" quotePrefix="0" xfId="0">
      <alignment horizontal="center"/>
    </xf>
    <xf numFmtId="0" fontId="27" fillId="4" borderId="2" pivotButton="0" quotePrefix="0" xfId="0"/>
    <xf numFmtId="0" fontId="7" fillId="9" borderId="9" applyAlignment="1" pivotButton="0" quotePrefix="0" xfId="0">
      <alignment horizontal="center" vertical="center"/>
    </xf>
    <xf numFmtId="165" fontId="10" fillId="0" borderId="9" applyAlignment="1" pivotButton="0" quotePrefix="0" xfId="0">
      <alignment horizontal="center"/>
    </xf>
    <xf numFmtId="0" fontId="31" fillId="0" borderId="0" pivotButton="0" quotePrefix="0" xfId="0"/>
    <xf numFmtId="165" fontId="15" fillId="0" borderId="0" pivotButton="0" quotePrefix="0" xfId="0"/>
    <xf numFmtId="0" fontId="31" fillId="0" borderId="0" pivotButton="0" quotePrefix="0" xfId="0"/>
    <xf numFmtId="165" fontId="32" fillId="0" borderId="0" pivotButton="0" quotePrefix="0" xfId="0"/>
    <xf numFmtId="164" fontId="8" fillId="10" borderId="9" applyAlignment="1" pivotButton="0" quotePrefix="0" xfId="0">
      <alignment horizontal="center" vertical="center"/>
    </xf>
    <xf numFmtId="2" fontId="8" fillId="10" borderId="9" applyAlignment="1" pivotButton="0" quotePrefix="0" xfId="0">
      <alignment horizontal="center" vertical="center"/>
    </xf>
    <xf numFmtId="164" fontId="32" fillId="0" borderId="0" pivotButton="0" quotePrefix="0" xfId="0"/>
    <xf numFmtId="1" fontId="8" fillId="10" borderId="9" applyAlignment="1" pivotButton="0" quotePrefix="0" xfId="0">
      <alignment horizontal="center" vertical="center"/>
    </xf>
    <xf numFmtId="0" fontId="8" fillId="10" borderId="9" applyAlignment="1" pivotButton="0" quotePrefix="0" xfId="0">
      <alignment horizontal="center" vertical="center"/>
    </xf>
    <xf numFmtId="9" fontId="8" fillId="10" borderId="9" applyAlignment="1" pivotButton="0" quotePrefix="0" xfId="0">
      <alignment horizontal="center" vertical="center"/>
    </xf>
    <xf numFmtId="167" fontId="32" fillId="0" borderId="0" pivotButton="0" quotePrefix="0" xfId="0"/>
    <xf numFmtId="164" fontId="8" fillId="0" borderId="9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28" fillId="0" borderId="0" pivotButton="0" quotePrefix="0" xfId="0"/>
    <xf numFmtId="1" fontId="32" fillId="0" borderId="9" applyAlignment="1" pivotButton="0" quotePrefix="0" xfId="0">
      <alignment horizontal="center" vertical="center"/>
    </xf>
    <xf numFmtId="1" fontId="9" fillId="10" borderId="9" applyAlignment="1" pivotButton="0" quotePrefix="0" xfId="0">
      <alignment horizontal="center" vertical="center"/>
    </xf>
    <xf numFmtId="0" fontId="33" fillId="0" borderId="0" pivotButton="0" quotePrefix="0" xfId="0"/>
    <xf numFmtId="0" fontId="32" fillId="0" borderId="9" applyAlignment="1" pivotButton="0" quotePrefix="0" xfId="0">
      <alignment horizontal="center" vertical="center"/>
    </xf>
    <xf numFmtId="164" fontId="10" fillId="0" borderId="0" pivotButton="0" quotePrefix="0" xfId="0"/>
    <xf numFmtId="10" fontId="9" fillId="0" borderId="9" applyAlignment="1" pivotButton="0" quotePrefix="0" xfId="0">
      <alignment horizontal="center"/>
    </xf>
    <xf numFmtId="10" fontId="10" fillId="0" borderId="9" applyAlignment="1" pivotButton="0" quotePrefix="0" xfId="0">
      <alignment horizontal="center"/>
    </xf>
    <xf numFmtId="167" fontId="10" fillId="0" borderId="0" pivotButton="0" quotePrefix="0" xfId="0"/>
    <xf numFmtId="0" fontId="9" fillId="0" borderId="0" pivotButton="0" quotePrefix="0" xfId="0"/>
    <xf numFmtId="9" fontId="32" fillId="0" borderId="9" applyAlignment="1" pivotButton="0" quotePrefix="0" xfId="0">
      <alignment horizontal="center" vertical="center"/>
    </xf>
    <xf numFmtId="9" fontId="9" fillId="10" borderId="9" applyAlignment="1" pivotButton="0" quotePrefix="0" xfId="0">
      <alignment horizontal="center" vertical="center"/>
    </xf>
    <xf numFmtId="0" fontId="15" fillId="0" borderId="0" pivotButton="0" quotePrefix="0" xfId="0"/>
    <xf numFmtId="168" fontId="9" fillId="0" borderId="9" applyAlignment="1" pivotButton="0" quotePrefix="0" xfId="0">
      <alignment horizontal="center"/>
    </xf>
    <xf numFmtId="168" fontId="10" fillId="0" borderId="9" applyAlignment="1" pivotButton="0" quotePrefix="0" xfId="0">
      <alignment horizontal="center"/>
    </xf>
    <xf numFmtId="0" fontId="33" fillId="0" borderId="0" pivotButton="0" quotePrefix="0" xfId="0"/>
    <xf numFmtId="9" fontId="9" fillId="10" borderId="9" applyAlignment="1" pivotButton="0" quotePrefix="0" xfId="0">
      <alignment horizontal="center" vertical="center"/>
    </xf>
    <xf numFmtId="164" fontId="8" fillId="7" borderId="9" applyAlignment="1" pivotButton="0" quotePrefix="0" xfId="0">
      <alignment horizontal="center" vertical="center"/>
    </xf>
    <xf numFmtId="164" fontId="16" fillId="7" borderId="9" applyAlignment="1" pivotButton="0" quotePrefix="0" xfId="0">
      <alignment horizontal="center" vertical="center"/>
    </xf>
    <xf numFmtId="0" fontId="34" fillId="0" borderId="0" pivotButton="0" quotePrefix="0" xfId="0"/>
    <xf numFmtId="0" fontId="32" fillId="4" borderId="7" applyAlignment="1" pivotButton="0" quotePrefix="0" xfId="0">
      <alignment horizontal="left" vertical="center"/>
    </xf>
    <xf numFmtId="0" fontId="6" fillId="0" borderId="10" pivotButton="0" quotePrefix="0" xfId="0"/>
    <xf numFmtId="167" fontId="32" fillId="4" borderId="9" applyAlignment="1" pivotButton="0" quotePrefix="0" xfId="0">
      <alignment horizontal="center" vertical="center"/>
    </xf>
    <xf numFmtId="0" fontId="35" fillId="0" borderId="0" pivotButton="0" quotePrefix="0" xfId="0"/>
    <xf numFmtId="0" fontId="10" fillId="0" borderId="0" pivotButton="0" quotePrefix="0" xfId="0"/>
    <xf numFmtId="0" fontId="36" fillId="0" borderId="0" pivotButton="0" quotePrefix="0" xfId="0"/>
    <xf numFmtId="0" fontId="32" fillId="0" borderId="0" pivotButton="0" quotePrefix="0" xfId="0"/>
    <xf numFmtId="164" fontId="9" fillId="10" borderId="9" applyAlignment="1" pivotButton="0" quotePrefix="0" xfId="0">
      <alignment horizontal="center" vertical="center"/>
    </xf>
    <xf numFmtId="164" fontId="9" fillId="10" borderId="9" applyAlignment="1" pivotButton="0" quotePrefix="0" xfId="0">
      <alignment horizontal="center" vertical="center"/>
    </xf>
    <xf numFmtId="0" fontId="9" fillId="10" borderId="9" applyAlignment="1" pivotButton="0" quotePrefix="0" xfId="0">
      <alignment horizontal="center" vertical="center"/>
    </xf>
    <xf numFmtId="164" fontId="9" fillId="0" borderId="9" applyAlignment="1" pivotButton="0" quotePrefix="0" xfId="0">
      <alignment horizontal="center" vertical="center"/>
    </xf>
    <xf numFmtId="167" fontId="9" fillId="0" borderId="9" applyAlignment="1" pivotButton="0" quotePrefix="0" xfId="0">
      <alignment horizontal="center" vertical="center"/>
    </xf>
    <xf numFmtId="0" fontId="37" fillId="0" borderId="0" pivotButton="0" quotePrefix="0" xfId="0"/>
    <xf numFmtId="0" fontId="38" fillId="0" borderId="0" pivotButton="0" quotePrefix="0" xfId="0"/>
    <xf numFmtId="2" fontId="9" fillId="0" borderId="0" pivotButton="0" quotePrefix="0" xfId="0"/>
    <xf numFmtId="0" fontId="9" fillId="10" borderId="9" applyAlignment="1" pivotButton="0" quotePrefix="0" xfId="0">
      <alignment horizontal="center" vertical="center"/>
    </xf>
    <xf numFmtId="1" fontId="37" fillId="0" borderId="0" pivotButton="0" quotePrefix="0" xfId="0"/>
    <xf numFmtId="167" fontId="9" fillId="0" borderId="0" pivotButton="0" quotePrefix="0" xfId="0"/>
    <xf numFmtId="164" fontId="9" fillId="0" borderId="0" pivotButton="0" quotePrefix="0" xfId="0"/>
    <xf numFmtId="0" fontId="10" fillId="4" borderId="11" applyAlignment="1" pivotButton="0" quotePrefix="0" xfId="0">
      <alignment horizontal="right" vertical="center"/>
    </xf>
    <xf numFmtId="167" fontId="9" fillId="10" borderId="9" applyAlignment="1" pivotButton="0" quotePrefix="0" xfId="0">
      <alignment horizontal="center" vertical="center"/>
    </xf>
    <xf numFmtId="2" fontId="9" fillId="10" borderId="9" applyAlignment="1" pivotButton="0" quotePrefix="0" xfId="0">
      <alignment horizontal="center" vertical="center"/>
    </xf>
    <xf numFmtId="164" fontId="10" fillId="4" borderId="11" applyAlignment="1" pivotButton="0" quotePrefix="0" xfId="0">
      <alignment horizontal="center" vertical="center"/>
    </xf>
    <xf numFmtId="0" fontId="27" fillId="7" borderId="2" pivotButton="0" quotePrefix="0" xfId="0"/>
    <xf numFmtId="2" fontId="8" fillId="7" borderId="9" applyAlignment="1" pivotButton="0" quotePrefix="0" xfId="0">
      <alignment horizontal="center" vertical="center"/>
    </xf>
    <xf numFmtId="0" fontId="8" fillId="7" borderId="9" applyAlignment="1" pivotButton="0" quotePrefix="0" xfId="0">
      <alignment horizontal="center" vertical="center"/>
    </xf>
    <xf numFmtId="0" fontId="32" fillId="4" borderId="11" applyAlignment="1" pivotButton="0" quotePrefix="0" xfId="0">
      <alignment horizontal="right" vertical="center"/>
    </xf>
    <xf numFmtId="0" fontId="4" fillId="0" borderId="0" pivotButton="0" quotePrefix="0" xfId="0"/>
    <xf numFmtId="164" fontId="32" fillId="4" borderId="11" applyAlignment="1" pivotButton="0" quotePrefix="0" xfId="0">
      <alignment horizontal="center" vertical="center"/>
    </xf>
    <xf numFmtId="0" fontId="7" fillId="9" borderId="9" pivotButton="0" quotePrefix="0" xfId="0"/>
    <xf numFmtId="0" fontId="33" fillId="0" borderId="9" applyAlignment="1" pivotButton="0" quotePrefix="0" xfId="0">
      <alignment horizontal="left" vertical="center"/>
    </xf>
    <xf numFmtId="9" fontId="10" fillId="0" borderId="9" applyAlignment="1" pivotButton="0" quotePrefix="0" xfId="0">
      <alignment horizontal="center" vertical="center"/>
    </xf>
    <xf numFmtId="0" fontId="33" fillId="0" borderId="9" applyAlignment="1" pivotButton="0" quotePrefix="0" xfId="0">
      <alignment horizontal="center" vertical="center"/>
    </xf>
    <xf numFmtId="0" fontId="32" fillId="0" borderId="9" applyAlignment="1" pivotButton="0" quotePrefix="0" xfId="0">
      <alignment horizontal="left" vertical="center"/>
    </xf>
    <xf numFmtId="0" fontId="9" fillId="0" borderId="9" applyAlignment="1" pivotButton="0" quotePrefix="0" xfId="0">
      <alignment horizontal="left" vertical="center"/>
    </xf>
    <xf numFmtId="165" fontId="10" fillId="0" borderId="0" pivotButton="0" quotePrefix="0" xfId="0"/>
    <xf numFmtId="0" fontId="31" fillId="0" borderId="9" applyAlignment="1" pivotButton="0" quotePrefix="0" xfId="0">
      <alignment horizontal="center" vertical="center"/>
    </xf>
    <xf numFmtId="0" fontId="32" fillId="7" borderId="9" applyAlignment="1" pivotButton="0" quotePrefix="0" xfId="0">
      <alignment horizontal="center" vertical="center"/>
    </xf>
    <xf numFmtId="1" fontId="32" fillId="7" borderId="9" applyAlignment="1" pivotButton="0" quotePrefix="0" xfId="0">
      <alignment horizontal="center" vertical="center"/>
    </xf>
    <xf numFmtId="2" fontId="32" fillId="7" borderId="9" applyAlignment="1" pivotButton="0" quotePrefix="0" xfId="0">
      <alignment horizontal="center" vertical="center"/>
    </xf>
    <xf numFmtId="2" fontId="10" fillId="0" borderId="9" applyAlignment="1" pivotButton="0" quotePrefix="0" xfId="0">
      <alignment horizontal="center" vertical="center"/>
    </xf>
    <xf numFmtId="2" fontId="9" fillId="10" borderId="9" applyAlignment="1" pivotButton="0" quotePrefix="0" xfId="0">
      <alignment horizontal="center" vertical="center"/>
    </xf>
    <xf numFmtId="2" fontId="16" fillId="7" borderId="9" applyAlignment="1" pivotButton="0" quotePrefix="0" xfId="0">
      <alignment horizontal="center" vertical="center"/>
    </xf>
    <xf numFmtId="9" fontId="9" fillId="0" borderId="9" applyAlignment="1" pivotButton="0" quotePrefix="0" xfId="0">
      <alignment horizontal="center" vertical="center"/>
    </xf>
    <xf numFmtId="0" fontId="16" fillId="7" borderId="9" applyAlignment="1" pivotButton="0" quotePrefix="0" xfId="0">
      <alignment horizontal="center" vertical="center"/>
    </xf>
    <xf numFmtId="170" fontId="9" fillId="0" borderId="9" applyAlignment="1" pivotButton="0" quotePrefix="0" xfId="0">
      <alignment horizontal="center" vertical="center"/>
    </xf>
    <xf numFmtId="0" fontId="14" fillId="0" borderId="0" pivotButton="0" quotePrefix="0" xfId="0"/>
    <xf numFmtId="0" fontId="9" fillId="10" borderId="9" applyAlignment="1" pivotButton="0" quotePrefix="0" xfId="0">
      <alignment horizontal="center"/>
    </xf>
    <xf numFmtId="164" fontId="9" fillId="10" borderId="9" applyAlignment="1" pivotButton="0" quotePrefix="0" xfId="0">
      <alignment horizontal="center"/>
    </xf>
    <xf numFmtId="0" fontId="12" fillId="9" borderId="9" pivotButton="0" quotePrefix="0" xfId="0"/>
    <xf numFmtId="0" fontId="31" fillId="0" borderId="9" applyAlignment="1" pivotButton="0" quotePrefix="0" xfId="0">
      <alignment horizontal="left" vertical="center"/>
    </xf>
    <xf numFmtId="10" fontId="39" fillId="0" borderId="9" applyAlignment="1" pivotButton="0" quotePrefix="0" xfId="0">
      <alignment horizontal="center" vertical="center"/>
    </xf>
    <xf numFmtId="10" fontId="10" fillId="4" borderId="11" applyAlignment="1" pivotButton="0" quotePrefix="0" xfId="0">
      <alignment horizontal="center" vertical="center"/>
    </xf>
    <xf numFmtId="2" fontId="39" fillId="0" borderId="9" applyAlignment="1" pivotButton="0" quotePrefix="0" xfId="0">
      <alignment horizontal="center" vertical="center"/>
    </xf>
    <xf numFmtId="9" fontId="32" fillId="4" borderId="11" applyAlignment="1" pivotButton="0" quotePrefix="0" xfId="0">
      <alignment horizontal="center" vertical="center"/>
    </xf>
    <xf numFmtId="170" fontId="32" fillId="4" borderId="11" applyAlignment="1" pivotButton="0" quotePrefix="0" xfId="0">
      <alignment horizontal="center" vertical="center"/>
    </xf>
    <xf numFmtId="164" fontId="16" fillId="10" borderId="9" applyAlignment="1" pivotButton="0" quotePrefix="0" xfId="0">
      <alignment horizontal="center"/>
    </xf>
    <xf numFmtId="2" fontId="16" fillId="10" borderId="9" applyAlignment="1" pivotButton="0" quotePrefix="0" xfId="0">
      <alignment horizontal="center"/>
    </xf>
    <xf numFmtId="1" fontId="16" fillId="10" borderId="9" applyAlignment="1" pivotButton="0" quotePrefix="0" xfId="0">
      <alignment horizontal="center"/>
    </xf>
    <xf numFmtId="0" fontId="16" fillId="10" borderId="9" applyAlignment="1" pivotButton="0" quotePrefix="0" xfId="0">
      <alignment horizontal="center"/>
    </xf>
    <xf numFmtId="9" fontId="16" fillId="10" borderId="9" applyAlignment="1" pivotButton="0" quotePrefix="0" xfId="0">
      <alignment horizontal="center"/>
    </xf>
    <xf numFmtId="164" fontId="9" fillId="10" borderId="9" applyAlignment="1" pivotButton="0" quotePrefix="0" xfId="0">
      <alignment horizontal="center"/>
    </xf>
    <xf numFmtId="9" fontId="10" fillId="4" borderId="11" applyAlignment="1" pivotButton="0" quotePrefix="0" xfId="0">
      <alignment horizontal="center" vertical="center"/>
    </xf>
    <xf numFmtId="170" fontId="10" fillId="4" borderId="11" applyAlignment="1" pivotButton="0" quotePrefix="0" xfId="0">
      <alignment horizontal="center" vertical="center"/>
    </xf>
    <xf numFmtId="0" fontId="0" fillId="0" borderId="0" pivotButton="0" quotePrefix="0" xfId="0"/>
    <xf numFmtId="0" fontId="43" fillId="0" borderId="0" applyAlignment="1" pivotButton="0" quotePrefix="0" xfId="0">
      <alignment vertical="top" wrapText="1"/>
    </xf>
    <xf numFmtId="0" fontId="47" fillId="0" borderId="0" applyAlignment="1" pivotButton="0" quotePrefix="0" xfId="0">
      <alignment vertical="top" wrapText="1"/>
    </xf>
    <xf numFmtId="0" fontId="5" fillId="2" borderId="11" applyAlignment="1" pivotButton="0" quotePrefix="0" xfId="0">
      <alignment horizontal="left" vertical="center"/>
    </xf>
    <xf numFmtId="0" fontId="11" fillId="2" borderId="11" pivotButton="0" quotePrefix="0" xfId="0"/>
    <xf numFmtId="0" fontId="40" fillId="11" borderId="0" applyAlignment="1" pivotButton="0" quotePrefix="0" xfId="0">
      <alignment horizontal="left" vertical="center"/>
    </xf>
    <xf numFmtId="0" fontId="41" fillId="0" borderId="0" applyAlignment="1" pivotButton="0" quotePrefix="0" xfId="0">
      <alignment horizontal="left" vertical="top" wrapText="1"/>
    </xf>
    <xf numFmtId="0" fontId="42" fillId="12" borderId="14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43" fillId="0" borderId="14" applyAlignment="1" pivotButton="0" quotePrefix="0" xfId="0">
      <alignment horizontal="left" vertical="center"/>
    </xf>
    <xf numFmtId="0" fontId="44" fillId="13" borderId="19" applyAlignment="1" pivotButton="0" quotePrefix="0" xfId="0">
      <alignment horizontal="center" vertical="center"/>
    </xf>
    <xf numFmtId="0" fontId="45" fillId="14" borderId="14" applyAlignment="1" pivotButton="0" quotePrefix="0" xfId="0">
      <alignment horizontal="left" vertical="top" wrapText="1"/>
    </xf>
    <xf numFmtId="0" fontId="41" fillId="0" borderId="14" applyAlignment="1" pivotButton="0" quotePrefix="0" xfId="0">
      <alignment horizontal="center" vertical="center"/>
    </xf>
    <xf numFmtId="0" fontId="46" fillId="0" borderId="0" pivotButton="0" quotePrefix="0" xfId="0"/>
    <xf numFmtId="0" fontId="47" fillId="0" borderId="14" applyAlignment="1" pivotButton="0" quotePrefix="0" xfId="0">
      <alignment horizontal="left" vertical="center"/>
    </xf>
    <xf numFmtId="0" fontId="45" fillId="14" borderId="14" applyAlignment="1" pivotButton="0" quotePrefix="0" xfId="0">
      <alignment horizontal="center" vertical="center"/>
    </xf>
    <xf numFmtId="0" fontId="41" fillId="0" borderId="0" pivotButton="0" quotePrefix="0" xfId="0"/>
    <xf numFmtId="0" fontId="42" fillId="11" borderId="14" applyAlignment="1" pivotButton="0" quotePrefix="0" xfId="0">
      <alignment horizontal="center" vertical="center" wrapText="1"/>
    </xf>
    <xf numFmtId="174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6" fontId="44" fillId="13" borderId="19" applyAlignment="1" pivotButton="0" quotePrefix="0" xfId="0">
      <alignment horizontal="center" vertical="center"/>
    </xf>
    <xf numFmtId="2" fontId="44" fillId="13" borderId="19" applyAlignment="1" pivotButton="0" quotePrefix="0" xfId="0">
      <alignment horizontal="center" vertical="center"/>
    </xf>
    <xf numFmtId="1" fontId="44" fillId="13" borderId="19" applyAlignment="1" pivotButton="0" quotePrefix="0" xfId="0">
      <alignment horizontal="center" vertical="center"/>
    </xf>
    <xf numFmtId="164" fontId="44" fillId="13" borderId="19" applyAlignment="1" pivotButton="0" quotePrefix="0" xfId="0">
      <alignment horizontal="center" vertical="center"/>
    </xf>
    <xf numFmtId="9" fontId="44" fillId="13" borderId="19" applyAlignment="1" pivotButton="0" quotePrefix="0" xfId="0">
      <alignment horizontal="center" vertical="center"/>
    </xf>
    <xf numFmtId="167" fontId="44" fillId="13" borderId="19" applyAlignment="1" pivotButton="0" quotePrefix="0" xfId="0">
      <alignment horizontal="center" vertical="center"/>
    </xf>
    <xf numFmtId="168" fontId="44" fillId="13" borderId="19" applyAlignment="1" pivotButton="0" quotePrefix="0" xfId="0">
      <alignment horizontal="center" vertical="center"/>
    </xf>
    <xf numFmtId="172" fontId="44" fillId="13" borderId="19" applyAlignment="1" pivotButton="0" quotePrefix="0" xfId="0">
      <alignment horizontal="center" vertical="center"/>
    </xf>
    <xf numFmtId="174" fontId="44" fillId="13" borderId="19" applyAlignment="1" pivotButton="0" quotePrefix="0" xfId="0">
      <alignment horizontal="center" vertical="center"/>
    </xf>
    <xf numFmtId="0" fontId="47" fillId="0" borderId="14" applyAlignment="1" pivotButton="0" quotePrefix="0" xfId="0">
      <alignment horizontal="left" vertical="top" wrapText="1"/>
    </xf>
    <xf numFmtId="0" fontId="42" fillId="12" borderId="14" applyAlignment="1" pivotButton="0" quotePrefix="0" xfId="0">
      <alignment horizontal="center" vertical="center"/>
    </xf>
  </cellXfs>
  <cellStyles count="1">
    <cellStyle name="Normal" xfId="0" builtinId="0"/>
  </cellStyles>
  <dxfs count="10">
    <dxf>
      <font>
        <b val="1"/>
        <color rgb="FFFFFFFF"/>
      </font>
      <fill>
        <patternFill patternType="solid">
          <fgColor rgb="FF00B050"/>
          <bgColor rgb="FF00B050"/>
        </patternFill>
      </fill>
      <border/>
    </dxf>
    <dxf>
      <font>
        <b val="1"/>
        <color rgb="FF000000"/>
      </font>
      <fill>
        <patternFill patternType="solid">
          <fgColor rgb="FFFFFF00"/>
          <bgColor rgb="FFFFFF00"/>
        </patternFill>
      </fill>
      <border/>
    </dxf>
    <dxf>
      <font>
        <b val="1"/>
        <color rgb="FFFFFFFF"/>
      </font>
      <fill>
        <patternFill patternType="solid">
          <fgColor rgb="FFFF0000"/>
          <bgColor rgb="FFFF0000"/>
        </patternFill>
      </fill>
      <border/>
    </dxf>
    <dxf>
      <font>
        <b val="1"/>
        <color rgb="FF0B6B3A"/>
      </font>
      <fill>
        <patternFill patternType="solid">
          <fgColor rgb="FFC6EFCE"/>
          <bgColor rgb="FFC6EFCE"/>
        </patternFill>
      </fill>
      <border/>
    </dxf>
    <dxf>
      <font>
        <b val="1"/>
        <color rgb="FF9C6500"/>
      </font>
      <fill>
        <patternFill patternType="solid">
          <fgColor rgb="FFFFEB9C"/>
          <bgColor rgb="FFFFEB9C"/>
        </patternFill>
      </fill>
      <border/>
    </dxf>
    <dxf>
      <font>
        <b val="1"/>
        <color rgb="FF9C0006"/>
      </font>
      <fill>
        <patternFill patternType="solid">
          <fgColor rgb="FFFFC7CE"/>
          <bgColor rgb="FFFFC7CE"/>
        </patternFill>
      </fill>
      <border/>
    </dxf>
    <dxf>
      <font>
        <b val="1"/>
        <color rgb="FF0B6B3A"/>
      </font>
      <fill>
        <patternFill patternType="solid">
          <fgColor rgb="FF00B050"/>
          <bgColor rgb="FF00B050"/>
        </patternFill>
      </fill>
      <border/>
    </dxf>
    <dxf>
      <font>
        <b val="1"/>
        <color rgb="FF9C6500"/>
      </font>
      <fill>
        <patternFill patternType="solid">
          <fgColor rgb="FFFFFF00"/>
          <bgColor rgb="FFFFFF00"/>
        </patternFill>
      </fill>
      <border/>
    </dxf>
    <dxf>
      <font>
        <b val="1"/>
        <color rgb="FF9C0006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3"/>
  <sheetViews>
    <sheetView showGridLines="0" workbookViewId="0">
      <selection activeCell="A1" sqref="A1"/>
    </sheetView>
  </sheetViews>
  <sheetFormatPr baseColWidth="8" defaultRowHeight="15"/>
  <cols>
    <col width="3" customWidth="1" style="230" min="1" max="1"/>
    <col width="130" customWidth="1" style="230" min="2" max="2"/>
  </cols>
  <sheetData>
    <row r="2">
      <c r="B2" s="231" t="inlineStr">
        <is>
          <t>ASPIRE COMBINED UNDERWRITING MODEL  -  OUTLINE (brainstorm phase, formulas not yet built)</t>
        </is>
      </c>
    </row>
    <row r="3">
      <c r="B3" s="232" t="inlineStr"/>
    </row>
    <row r="4">
      <c r="B4" s="231" t="inlineStr">
        <is>
          <t>WHAT THIS FILE IS</t>
        </is>
      </c>
    </row>
    <row r="5">
      <c r="B5" s="232" t="inlineStr">
        <is>
          <t>The Deal sheet sections A-E are the live, battle-tested cash-flow tool exactly as built (nothing above row 64 was touched). Every other tab is a blueprint: the layout is real, the values in Controls and Ref are real, and every calculated cell holds an italic purple description of the logic that will go there instead of a formula.</t>
        </is>
      </c>
    </row>
    <row r="6">
      <c r="B6" s="232" t="inlineStr"/>
    </row>
    <row r="7">
      <c r="B7" s="231" t="inlineStr">
        <is>
          <t>THE THREE LAYERS</t>
        </is>
      </c>
    </row>
    <row r="8">
      <c r="B8" s="232" t="inlineStr">
        <is>
          <t>Layer 1  Deal A-E: seven metrics + (planned) credit score, green / yellow / red / knockout, score, cash-flow max daily payment (weakest of holdback, total leverage, daily-debt-to-balance), band term, band factor, cash-flow max fund C62. Nothing in Layers 2-3 can exceed it.</t>
        </is>
      </c>
    </row>
    <row r="9">
      <c r="B9" s="232" t="inlineStr">
        <is>
          <t>Layer 2  Historical Data + Historical Score: house-book deals (8 samples here; 1,067 in the build), seasoned = age &gt;= 1.25 x contracted term. Seven matching tiers, new/renewal in every one, industry and ISO above position. Primary cohort = first tier with &gt;= 10 seasoned deals and &gt;= $150k. Credibility Z = n / (n + 30). Blended lost rate -&gt; relative index -&gt; modifier level; confidence caps it.</t>
        </is>
      </c>
    </row>
    <row r="10">
      <c r="B10" s="232" t="inlineStr">
        <is>
          <t>Layer 3  Offer Engine + Decision Summary: fund = MIN(cash-flow max x multiplier, max daily x adjusted term / adjusted factor). Term shortens by bands, factor rises by tiers, weekly can be required. All four offer-side metrics re-checked. Decision = DECLINE / MANUAL REVIEW / CONDITIONAL / APPROVE. Written conclusion built from the actual numbers.</t>
        </is>
      </c>
    </row>
    <row r="11">
      <c r="B11" s="232" t="inlineStr"/>
    </row>
    <row r="12">
      <c r="B12" s="231" t="inlineStr">
        <is>
          <t>WHAT HISTORY CAN AND CANNOT DO</t>
        </is>
      </c>
    </row>
    <row r="13">
      <c r="B13" s="232" t="inlineStr">
        <is>
          <t>Can: reduce fund, shorten term, raise factor within 1.40 / 1.45 / 1.49, require weekly, add stips, send to manual review, or allow the full cash-flow max when evidence is strong and credible.</t>
        </is>
      </c>
    </row>
    <row r="14">
      <c r="B14" s="232" t="inlineStr">
        <is>
          <t>Cannot: remove a knockout, turn a green metric red, exceed the cash-flow max, or make a precise adjustment on a tiny or unseasoned cohort.</t>
        </is>
      </c>
    </row>
    <row r="15">
      <c r="B15" s="232" t="inlineStr"/>
    </row>
    <row r="16">
      <c r="B16" s="232" t="inlineStr">
        <is>
          <t>WHAT THE HOUSE BOOK SUPPORTS (seasoned deals, after controls)</t>
        </is>
      </c>
    </row>
    <row r="17">
      <c r="B17" s="232" t="inlineStr">
        <is>
          <t>Robust: renewal vs new, construction trades, Westwood ISO. Composition, not the variable: United Secured Capital 8, position 3. Informational only: state, factor, term, deal size, weekly vs daily, advance/revenue. Never used: NSF count (post-funding).</t>
        </is>
      </c>
    </row>
    <row r="18">
      <c r="B18" s="232" t="inlineStr"/>
    </row>
    <row r="19">
      <c r="B19" s="231" t="inlineStr">
        <is>
          <t>COLOUR KEY</t>
        </is>
      </c>
    </row>
    <row r="20">
      <c r="B20" s="232" t="inlineStr">
        <is>
          <t>Blue on yellow = input cell.   Italic purple on lavender = planned logic, to be replaced by a formula.   Dark header = section.   Green-font links to Controls come in the build.</t>
        </is>
      </c>
    </row>
    <row r="21">
      <c r="B21" s="232" t="inlineStr"/>
    </row>
    <row r="22">
      <c r="B22" s="231" t="inlineStr">
        <is>
          <t>BUILD ORDER WHEN READY</t>
        </is>
      </c>
    </row>
    <row r="23">
      <c r="B23" s="232" t="inlineStr">
        <is>
          <t>1 Controls values -&gt; 2 Historical Data helper columns -&gt; 3 Historical Score tier stats -&gt; 4 primary tier / modifier / confidence -&gt; 5 Offer Engine -&gt; 6 Decision Summary -&gt; 7 Section F on Deal -&gt; 8 Checks.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M91"/>
  <sheetViews>
    <sheetView showGridLines="0" workbookViewId="0">
      <selection activeCell="A1" sqref="A1"/>
    </sheetView>
  </sheetViews>
  <sheetFormatPr baseColWidth="8" defaultColWidth="14.43" defaultRowHeight="15" customHeight="1"/>
  <cols>
    <col width="2" customWidth="1" style="230" min="1" max="1"/>
    <col width="37.14" customWidth="1" style="230" min="2" max="2"/>
    <col width="17.29" customWidth="1" style="230" min="3" max="4"/>
    <col width="13" customWidth="1" style="230" min="5" max="5"/>
    <col width="12" customWidth="1" style="230" min="6" max="6"/>
    <col width="13" customWidth="1" style="230" min="7" max="7"/>
    <col width="12" customWidth="1" style="230" min="8" max="8"/>
    <col width="11.86" customWidth="1" style="230" min="9" max="9"/>
    <col width="18" customWidth="1" style="230" min="10" max="10"/>
    <col width="14.29" customWidth="1" style="230" min="11" max="13"/>
    <col width="8.710000000000001" customWidth="1" style="230" min="14" max="26"/>
  </cols>
  <sheetData>
    <row r="1">
      <c r="B1" s="1" t="inlineStr">
        <is>
          <t xml:space="preserve"> UNDERWRITING TOOL</t>
        </is>
      </c>
    </row>
    <row r="2">
      <c r="B2" s="2" t="inlineStr">
        <is>
          <t>DECISION</t>
        </is>
      </c>
      <c r="C2" s="3">
        <f>C51</f>
        <v/>
      </c>
      <c r="D2" s="4">
        <f>IF(C51="","",C49&amp;" red flag(s) vs limit "&amp;C50&amp;"   |   "&amp;COUNTIF(F38:F44,"GREEN")&amp;"G / "&amp;COUNTIF(F38:F44,"YELLOW")&amp;"Y / "&amp;COUNTIF(F38:F44,"RED")&amp;"R   |   score "&amp;TEXT(C54,"0.0")&amp;"/7 = "&amp;C55)</f>
        <v/>
      </c>
    </row>
    <row r="3">
      <c r="B3" s="4" t="n"/>
    </row>
    <row r="4">
      <c r="B4" s="233" t="inlineStr">
        <is>
          <t>A.  OFFER</t>
        </is>
      </c>
      <c r="J4" s="233" t="inlineStr">
        <is>
          <t>MONEYBADGER CROSS-CHECK</t>
        </is>
      </c>
    </row>
    <row r="5">
      <c r="B5" s="47" t="inlineStr">
        <is>
          <t>Fund $</t>
        </is>
      </c>
      <c r="C5" s="47" t="inlineStr">
        <is>
          <t>Factor</t>
        </is>
      </c>
      <c r="D5" s="47">
        <f>IF($E$6="Weekly","Term (weeks)","Term (daily pmts)")</f>
        <v/>
      </c>
      <c r="E5" s="47" t="inlineStr">
        <is>
          <t>Freq</t>
        </is>
      </c>
      <c r="F5" s="47" t="inlineStr">
        <is>
          <t>Fee %</t>
        </is>
      </c>
      <c r="J5" s="47" t="inlineStr">
        <is>
          <t>Metric</t>
        </is>
      </c>
      <c r="K5" s="47" t="inlineStr">
        <is>
          <t>This tool</t>
        </is>
      </c>
      <c r="L5" s="47" t="inlineStr">
        <is>
          <t>MoneyBadger</t>
        </is>
      </c>
      <c r="M5" s="47" t="inlineStr">
        <is>
          <t>Diff</t>
        </is>
      </c>
    </row>
    <row r="6">
      <c r="B6" s="9" t="n"/>
      <c r="C6" s="10" t="n"/>
      <c r="D6" s="69" t="n"/>
      <c r="E6" s="104" t="n"/>
      <c r="F6" s="87" t="n">
        <v>0.05</v>
      </c>
      <c r="J6" s="24" t="inlineStr">
        <is>
          <t>Weekly remittance</t>
        </is>
      </c>
      <c r="K6" s="15">
        <f>IF(OR(D8="",C24=0),"",D8)</f>
        <v/>
      </c>
      <c r="L6" s="15">
        <f>IF(OR(D8="",C24=0),"",L7*C24/4)</f>
        <v/>
      </c>
      <c r="M6" s="16">
        <f>IF(OR(K6="",L6=""),"",L6-K6)</f>
        <v/>
      </c>
    </row>
    <row r="7">
      <c r="B7" s="47" t="inlineStr">
        <is>
          <t>Payback</t>
        </is>
      </c>
      <c r="C7" s="47" t="inlineStr">
        <is>
          <t>Daily $</t>
        </is>
      </c>
      <c r="D7" s="47" t="inlineStr">
        <is>
          <t>Weekly $</t>
        </is>
      </c>
      <c r="E7" s="47" t="inlineStr">
        <is>
          <t>Monthly $</t>
        </is>
      </c>
      <c r="F7" s="47" t="inlineStr">
        <is>
          <t>Term (mo)</t>
        </is>
      </c>
      <c r="G7" s="47" t="inlineStr">
        <is>
          <t>Net $</t>
        </is>
      </c>
      <c r="J7" s="24" t="inlineStr">
        <is>
          <t>Holdback %</t>
        </is>
      </c>
      <c r="K7" s="17">
        <f>IF(OR(D8="",C24=0),"",E8/C24)</f>
        <v/>
      </c>
      <c r="L7" s="17">
        <f>IF(OR($E$6="",C8="",C24=0),"",ROUND(IF($E$6="Weekly",D8*$L$8,C8*$L$9)/C24*100,2)/100)</f>
        <v/>
      </c>
      <c r="M7" s="18">
        <f>IF(OR(K7="",L7=""),"",L7-K7)</f>
        <v/>
      </c>
    </row>
    <row r="8">
      <c r="B8" s="19">
        <f>IF(OR(B6="",C6=""),"",B6*C6)</f>
        <v/>
      </c>
      <c r="C8" s="20">
        <f>IF(OR(B8="",D6="",D6=0),"",IF(E6="Weekly",(B8/D6)/5,B8/D6))</f>
        <v/>
      </c>
      <c r="D8" s="20">
        <f>IF(C8="","",C8*5)</f>
        <v/>
      </c>
      <c r="E8" s="19">
        <f>IF(C8="","",C8*21.655)</f>
        <v/>
      </c>
      <c r="F8" s="21">
        <f>IF(OR(D6="",D6=0),"",IF(E6="Weekly",D6,D6/5)/(21.655/5))</f>
        <v/>
      </c>
      <c r="G8" s="19">
        <f>IF(B6="","",B6-(B6*F6))</f>
        <v/>
      </c>
      <c r="J8" s="24" t="inlineStr">
        <is>
          <t>Weeks / month</t>
        </is>
      </c>
      <c r="K8" s="22" t="n">
        <v>4.331</v>
      </c>
      <c r="L8" s="22" t="n">
        <v>4</v>
      </c>
      <c r="M8" s="23">
        <f>IF(OR(K8="",L8=""),"",L8-K8)</f>
        <v/>
      </c>
    </row>
    <row r="9">
      <c r="J9" s="24" t="inlineStr">
        <is>
          <t>Days / month</t>
        </is>
      </c>
      <c r="K9" s="22" t="n">
        <v>21.655</v>
      </c>
      <c r="L9" s="22" t="n">
        <v>21</v>
      </c>
      <c r="M9" s="23">
        <f>IF(OR(K9="",L9=""),"",L9-K9)</f>
        <v/>
      </c>
    </row>
    <row r="10">
      <c r="B10" s="233" t="inlineStr">
        <is>
          <t>B.  BANK DATA  (up to 12 months)</t>
        </is>
      </c>
    </row>
    <row r="11">
      <c r="B11" s="47" t="inlineStr">
        <is>
          <t>Month - NEWEST FIRST</t>
        </is>
      </c>
      <c r="C11" s="47" t="inlineStr">
        <is>
          <t>True rev $</t>
        </is>
      </c>
      <c r="D11" s="47" t="inlineStr">
        <is>
          <t>Avg daily bal $</t>
        </is>
      </c>
      <c r="E11" s="47" t="inlineStr">
        <is>
          <t>Neg days</t>
        </is>
      </c>
      <c r="F11" s="47" t="inlineStr">
        <is>
          <t>NSFs</t>
        </is>
      </c>
      <c r="G11" s="47" t="inlineStr">
        <is>
          <t>MoM %</t>
        </is>
      </c>
      <c r="J11" s="234" t="inlineStr">
        <is>
          <t xml:space="preserve">REC STRUCTURE BANDS  </t>
        </is>
      </c>
    </row>
    <row r="12">
      <c r="B12" s="35" t="inlineStr">
        <is>
          <t>Aug</t>
        </is>
      </c>
      <c r="C12" s="39" t="n"/>
      <c r="D12" s="39" t="n"/>
      <c r="E12" s="36" t="n">
        <v>0</v>
      </c>
      <c r="F12" s="36" t="n">
        <v>0</v>
      </c>
      <c r="G12" s="29">
        <f>IF(OR(C12="",C13=""),"",(C12-C13)/C13)</f>
        <v/>
      </c>
      <c r="J12" s="30" t="inlineStr">
        <is>
          <t>Score &gt;=</t>
        </is>
      </c>
      <c r="K12" s="30" t="inlineStr">
        <is>
          <t>Term cap</t>
        </is>
      </c>
      <c r="L12" s="30" t="inlineStr">
        <is>
          <t>Factor</t>
        </is>
      </c>
      <c r="M12" s="31" t="n"/>
    </row>
    <row r="13">
      <c r="B13" s="35" t="inlineStr">
        <is>
          <t>Jul</t>
        </is>
      </c>
      <c r="C13" s="39" t="n"/>
      <c r="D13" s="39" t="n"/>
      <c r="E13" s="36" t="n">
        <v>0</v>
      </c>
      <c r="F13" s="36" t="n">
        <v>0</v>
      </c>
      <c r="G13" s="29">
        <f>IF(OR(C13="",C14=""),"",(C13-C14)/C14)</f>
        <v/>
      </c>
      <c r="J13" s="32" t="n">
        <v>0</v>
      </c>
      <c r="K13" s="33" t="n">
        <v>100</v>
      </c>
      <c r="L13" s="34" t="n">
        <v>1.49</v>
      </c>
      <c r="M13" s="31" t="n"/>
    </row>
    <row r="14">
      <c r="B14" s="35" t="inlineStr">
        <is>
          <t>Jun</t>
        </is>
      </c>
      <c r="C14" s="39" t="n"/>
      <c r="D14" s="39" t="n"/>
      <c r="E14" s="36" t="n">
        <v>0</v>
      </c>
      <c r="F14" s="36" t="n">
        <v>0</v>
      </c>
      <c r="G14" s="29">
        <f>IF(OR(C14="",C15=""),"",(C14-C15)/C15)</f>
        <v/>
      </c>
      <c r="J14" s="32" t="n">
        <v>5</v>
      </c>
      <c r="K14" s="33" t="n">
        <v>130</v>
      </c>
      <c r="L14" s="34" t="n">
        <v>1.45</v>
      </c>
      <c r="M14" s="31" t="n"/>
    </row>
    <row r="15">
      <c r="B15" s="35" t="inlineStr">
        <is>
          <t>May</t>
        </is>
      </c>
      <c r="C15" s="39" t="n"/>
      <c r="D15" s="39" t="n"/>
      <c r="E15" s="36" t="n">
        <v>0</v>
      </c>
      <c r="F15" s="36" t="n">
        <v>0</v>
      </c>
      <c r="G15" s="29">
        <f>IF(OR(C15="",C16=""),"",(C15-C16)/C16)</f>
        <v/>
      </c>
      <c r="J15" s="32" t="n">
        <v>6</v>
      </c>
      <c r="K15" s="33" t="n">
        <v>150</v>
      </c>
      <c r="L15" s="34" t="n">
        <v>1.45</v>
      </c>
      <c r="M15" s="31" t="n"/>
    </row>
    <row r="16">
      <c r="B16" s="35" t="n"/>
      <c r="C16" s="39" t="n"/>
      <c r="D16" s="39" t="n"/>
      <c r="E16" s="36" t="n"/>
      <c r="F16" s="36" t="n"/>
      <c r="G16" s="29">
        <f>IF(OR(C16="",C17=""),"",(C16-C17)/C17)</f>
        <v/>
      </c>
      <c r="J16" s="32" t="n">
        <v>7</v>
      </c>
      <c r="K16" s="33" t="n">
        <v>195</v>
      </c>
      <c r="L16" s="34" t="n">
        <v>1.4</v>
      </c>
      <c r="M16" s="31" t="n"/>
    </row>
    <row r="17">
      <c r="B17" s="35" t="n"/>
      <c r="C17" s="39" t="n"/>
      <c r="D17" s="39" t="n"/>
      <c r="E17" s="36" t="n"/>
      <c r="F17" s="36" t="n"/>
      <c r="G17" s="29">
        <f>IF(OR(C17="",C18=""),"",(C17-C18)/C18)</f>
        <v/>
      </c>
      <c r="J17" s="70" t="inlineStr">
        <is>
          <t>Max term (months)</t>
        </is>
      </c>
      <c r="K17" s="41" t="n">
        <v>9</v>
      </c>
      <c r="L17" s="31" t="n"/>
      <c r="M17" s="31" t="n"/>
    </row>
    <row r="18">
      <c r="B18" s="35" t="n"/>
      <c r="C18" s="39" t="n"/>
      <c r="D18" s="39" t="n"/>
      <c r="E18" s="36" t="n"/>
      <c r="F18" s="36" t="n"/>
      <c r="G18" s="29">
        <f>IF(OR(C18="",C19=""),"",(C18-C19)/C19)</f>
        <v/>
      </c>
      <c r="J18" s="212" t="inlineStr">
        <is>
          <t>Term = MIN(strength cap, fund/rev green line, month cap)</t>
        </is>
      </c>
    </row>
    <row r="19">
      <c r="B19" s="35" t="n"/>
      <c r="C19" s="39" t="n"/>
      <c r="D19" s="39" t="n"/>
      <c r="E19" s="36" t="n"/>
      <c r="F19" s="36" t="n"/>
      <c r="G19" s="29">
        <f>IF(OR(C19="",C20=""),"",(C19-C20)/C20)</f>
        <v/>
      </c>
    </row>
    <row r="20">
      <c r="B20" s="35" t="n"/>
      <c r="C20" s="39" t="n"/>
      <c r="D20" s="39" t="n"/>
      <c r="E20" s="36" t="n"/>
      <c r="F20" s="36" t="n"/>
      <c r="G20" s="29">
        <f>IF(OR(C20="",C21=""),"",(C20-C21)/C21)</f>
        <v/>
      </c>
    </row>
    <row r="21" ht="15.75" customHeight="1" s="230">
      <c r="B21" s="35" t="n"/>
      <c r="C21" s="39" t="n"/>
      <c r="D21" s="39" t="n"/>
      <c r="E21" s="36" t="n"/>
      <c r="F21" s="36" t="n"/>
      <c r="G21" s="29">
        <f>IF(OR(C21="",C22=""),"",(C21-C22)/C22)</f>
        <v/>
      </c>
    </row>
    <row r="22" ht="15.75" customHeight="1" s="230">
      <c r="B22" s="35" t="n"/>
      <c r="C22" s="39" t="n"/>
      <c r="D22" s="39" t="n"/>
      <c r="E22" s="36" t="n"/>
      <c r="F22" s="36" t="n"/>
      <c r="G22" s="29">
        <f>IF(OR(C22="",C23=""),"",(C22-C23)/C23)</f>
        <v/>
      </c>
    </row>
    <row r="23" ht="15.75" customHeight="1" s="230">
      <c r="B23" s="35" t="n"/>
      <c r="C23" s="39" t="n"/>
      <c r="D23" s="39" t="n"/>
      <c r="E23" s="36" t="n"/>
      <c r="F23" s="36" t="n"/>
      <c r="G23" s="52" t="n"/>
    </row>
    <row r="24" ht="15.75" customHeight="1" s="230">
      <c r="B24" s="43" t="inlineStr">
        <is>
          <t>AVG / TOTAL (months entered)</t>
        </is>
      </c>
      <c r="C24" s="89">
        <f>IF(COUNT(C12:C23)=0,0,AVERAGE(C12:C23))</f>
        <v/>
      </c>
      <c r="D24" s="89">
        <f>IF(COUNT(D12:D23)=0,0,AVERAGE(D12:D23))</f>
        <v/>
      </c>
      <c r="E24" s="90">
        <f>SUM(E12:E23)</f>
        <v/>
      </c>
      <c r="F24" s="90">
        <f>SUM(F12:F23)</f>
        <v/>
      </c>
      <c r="G24" s="46">
        <f>IFERROR(AVERAGE(G12:G22),"")</f>
        <v/>
      </c>
    </row>
    <row r="25" ht="15.75" customHeight="1" s="230"/>
    <row r="26" ht="15.75" customHeight="1" s="230">
      <c r="B26" s="233" t="inlineStr">
        <is>
          <t>EXISTING POSITIONS   (freq Monthly = leverage only, NOT a position)</t>
        </is>
      </c>
    </row>
    <row r="27" ht="15.75" customHeight="1" s="230">
      <c r="B27" s="47" t="inlineStr">
        <is>
          <t>Funder</t>
        </is>
      </c>
      <c r="C27" s="47" t="inlineStr">
        <is>
          <t>Funded $</t>
        </is>
      </c>
      <c r="D27" s="47" t="inlineStr">
        <is>
          <t>Payment</t>
        </is>
      </c>
      <c r="E27" s="47" t="inlineStr">
        <is>
          <t>Freq</t>
        </is>
      </c>
      <c r="F27" s="47" t="inlineStr">
        <is>
          <t>Daily equiv</t>
        </is>
      </c>
      <c r="G27" s="47" t="inlineStr">
        <is>
          <t>Start Date</t>
        </is>
      </c>
      <c r="H27" s="47" t="inlineStr">
        <is>
          <t>Est Term</t>
        </is>
      </c>
      <c r="I27" s="47" t="inlineStr">
        <is>
          <t>Est term (mo)</t>
        </is>
      </c>
      <c r="J27" s="47" t="inlineStr">
        <is>
          <t>Mo. remaining</t>
        </is>
      </c>
    </row>
    <row r="28" ht="15.75" customHeight="1" s="230">
      <c r="B28" s="81" t="n"/>
      <c r="C28" s="39" t="n"/>
      <c r="D28" s="39" t="n"/>
      <c r="E28" s="35" t="inlineStr">
        <is>
          <t>Weekly</t>
        </is>
      </c>
      <c r="F28" s="15">
        <f>IF(D28&lt;&gt;"",IF(E28="Daily",D28,IF(E28="Weekly",D28/5,D28/$K$9)),IF(C28="","",C28*1.45/($K$17*$K$9)))</f>
        <v/>
      </c>
      <c r="G28" s="83" t="n"/>
      <c r="H28" s="51">
        <f>IF(OR(C28="",D28=""),"",ROUND(C28*1.45/D28,0))</f>
        <v/>
      </c>
      <c r="I28" s="51">
        <f>IF(H28="","",H28/IF(E28="Daily",$K$9,IF(E28="Weekly",$K$9/5,1)))</f>
        <v/>
      </c>
      <c r="J28" s="51">
        <f>IF(OR(I28="",G28=""),"",MAX(0,I28-(TODAY()-G28)/30.4375))</f>
        <v/>
      </c>
    </row>
    <row r="29" ht="15.75" customHeight="1" s="230">
      <c r="B29" s="81" t="n"/>
      <c r="C29" s="39" t="n"/>
      <c r="D29" s="39" t="n"/>
      <c r="E29" s="35" t="inlineStr">
        <is>
          <t>Weekly</t>
        </is>
      </c>
      <c r="F29" s="15">
        <f>IF(D29&lt;&gt;"",IF(E29="Daily",D29,IF(E29="Weekly",D29/5,D29/$K$9)),IF(C29="","",C29*1.45/($K$17*$K$9)))</f>
        <v/>
      </c>
      <c r="G29" s="83" t="n"/>
      <c r="H29" s="83">
        <f>IF(OR(C29="",D29=""),"",ROUND(C29*1.45/D29,0))</f>
        <v/>
      </c>
      <c r="I29" s="52">
        <f>IF(H29="","",H29/IF(E29="Daily",$K$9,IF(E29="Weekly",$K$9/5,1)))</f>
        <v/>
      </c>
      <c r="J29" s="83">
        <f>IF(OR(I29="",G29=""),"",MAX(0,I29-(TODAY()-G29)/30.4375))</f>
        <v/>
      </c>
    </row>
    <row r="30" ht="15.75" customHeight="1" s="230">
      <c r="B30" s="81" t="n"/>
      <c r="C30" s="39" t="n"/>
      <c r="D30" s="39" t="n"/>
      <c r="E30" s="35" t="inlineStr">
        <is>
          <t>Weekly</t>
        </is>
      </c>
      <c r="F30" s="15">
        <f>IF(D30&lt;&gt;"",IF(E30="Daily",D30,IF(E30="Weekly",D30/5,D30/$K$9)),IF(C30="","",C30*1.45/($K$17*$K$9)))</f>
        <v/>
      </c>
      <c r="G30" s="83" t="n"/>
      <c r="H30" s="83">
        <f>IF(OR(C30="",D30=""),"",ROUND(C30*1.45/D30,0))</f>
        <v/>
      </c>
      <c r="I30" s="52">
        <f>IF(H30="","",H30/IF(E30="Daily",$K$9,IF(E30="Weekly",$K$9/5,1)))</f>
        <v/>
      </c>
      <c r="J30" s="83">
        <f>IF(OR(I30="",G30=""),"",MAX(0,I30-(TODAY()-G30)/30.4375))</f>
        <v/>
      </c>
    </row>
    <row r="31" ht="15.75" customHeight="1" s="230">
      <c r="B31" s="81" t="n"/>
      <c r="C31" s="39" t="n"/>
      <c r="D31" s="39" t="n"/>
      <c r="E31" s="35" t="inlineStr">
        <is>
          <t>Weekly</t>
        </is>
      </c>
      <c r="F31" s="15">
        <f>IF(D31&lt;&gt;"",IF(E31="Daily",D31,IF(E31="Weekly",D31/5,D31/$K$9)),IF(C31="","",C31*1.45/($K$17*$K$9)))</f>
        <v/>
      </c>
      <c r="G31" s="83" t="n"/>
      <c r="H31" s="83">
        <f>IF(OR(C31="",D31=""),"",ROUND(C31*1.45/D31,0))</f>
        <v/>
      </c>
      <c r="I31" s="52">
        <f>IF(H31="","",H31/IF(E31="Daily",$K$9,IF(E31="Weekly",$K$9/5,1)))</f>
        <v/>
      </c>
      <c r="J31" s="83">
        <f>IF(OR(I31="",G31=""),"",MAX(0,I31-(TODAY()-G31)/30.4375))</f>
        <v/>
      </c>
    </row>
    <row r="32" ht="15.75" customHeight="1" s="230">
      <c r="B32" s="81" t="n"/>
      <c r="C32" s="39" t="n"/>
      <c r="D32" s="39" t="n"/>
      <c r="E32" s="35" t="inlineStr">
        <is>
          <t>Weekly</t>
        </is>
      </c>
      <c r="F32" s="15">
        <f>IF(D32&lt;&gt;"",IF(E32="Daily",D32,IF(E32="Weekly",D32/5,D32/$K$9)),IF(C32="","",C32*1.45/($K$17*$K$9)))</f>
        <v/>
      </c>
      <c r="G32" s="83" t="n"/>
      <c r="H32" s="83">
        <f>IF(OR(C32="",D32=""),"",ROUND(C32*1.45/D32,0))</f>
        <v/>
      </c>
      <c r="I32" s="52">
        <f>IF(H32="","",H32/IF(E32="Daily",$K$9,IF(E32="Weekly",$K$9/5,1)))</f>
        <v/>
      </c>
      <c r="J32" s="83">
        <f>IF(OR(I32="",G32=""),"",MAX(0,I32-(TODAY()-G32)/30.4375))</f>
        <v/>
      </c>
    </row>
    <row r="33" ht="15.75" customHeight="1" s="230">
      <c r="B33" s="81" t="n"/>
      <c r="C33" s="39" t="n"/>
      <c r="D33" s="39" t="n"/>
      <c r="E33" s="35" t="inlineStr">
        <is>
          <t>Weekly</t>
        </is>
      </c>
      <c r="F33" s="15">
        <f>IF(D33&lt;&gt;"",IF(E33="Daily",D33,IF(E33="Weekly",D33/5,D33/$K$9)),IF(C33="","",C33*1.45/($K$17*$K$9)))</f>
        <v/>
      </c>
      <c r="G33" s="83" t="n"/>
      <c r="H33" s="83">
        <f>IF(OR(C33="",D33=""),"",ROUND(C33*1.45/D33,0))</f>
        <v/>
      </c>
      <c r="I33" s="52">
        <f>IF(H33="","",H33/IF(E33="Daily",$K$9,IF(E33="Weekly",$K$9/5,1)))</f>
        <v/>
      </c>
      <c r="J33" s="83">
        <f>IF(OR(I33="",G33=""),"",MAX(0,I33-(TODAY()-G33)/30.4375))</f>
        <v/>
      </c>
    </row>
    <row r="34" ht="15.75" customHeight="1" s="230">
      <c r="B34" s="53" t="inlineStr">
        <is>
          <t>Positions (excl. Monthly)</t>
        </is>
      </c>
      <c r="C34" s="90">
        <f>SUMPRODUCT((D28:D33&lt;&gt;"")*(E28:E33&lt;&gt;"Monthly"))</f>
        <v/>
      </c>
      <c r="D34" s="53" t="inlineStr">
        <is>
          <t>Total existing daily</t>
        </is>
      </c>
      <c r="E34" s="54">
        <f>SUM(F28:F33)</f>
        <v/>
      </c>
      <c r="F34" s="89">
        <f>E34*21.655</f>
        <v/>
      </c>
      <c r="G34" s="4" t="inlineStr">
        <is>
          <t>/month</t>
        </is>
      </c>
    </row>
    <row r="35" ht="15.75" customHeight="1" s="230">
      <c r="E35" s="134">
        <f>E34+C8</f>
        <v/>
      </c>
    </row>
    <row r="36" ht="15.75" customHeight="1" s="230">
      <c r="B36" s="233" t="inlineStr">
        <is>
          <t>C.  METRICS</t>
        </is>
      </c>
    </row>
    <row r="37" ht="15.75" customHeight="1" s="230">
      <c r="B37" s="47" t="inlineStr">
        <is>
          <t>Metric</t>
        </is>
      </c>
      <c r="C37" s="47" t="inlineStr">
        <is>
          <t>Value</t>
        </is>
      </c>
      <c r="D37" s="47" t="inlineStr">
        <is>
          <t>Green</t>
        </is>
      </c>
      <c r="E37" s="47" t="inlineStr">
        <is>
          <t>Red</t>
        </is>
      </c>
      <c r="F37" s="47" t="inlineStr">
        <is>
          <t>Status</t>
        </is>
      </c>
      <c r="G37" s="47" t="inlineStr">
        <is>
          <t>Knockout</t>
        </is>
      </c>
    </row>
    <row r="38" ht="15.75" customHeight="1" s="230">
      <c r="B38" s="24" t="inlineStr">
        <is>
          <t>Total LVG (all debt / rev)</t>
        </is>
      </c>
      <c r="C38" s="56">
        <f>IF(C24=0,"",(E34+IF(C8="",0,C8))*21.655/C24)</f>
        <v/>
      </c>
      <c r="D38" s="59" t="n">
        <v>0.3</v>
      </c>
      <c r="E38" s="59" t="n">
        <v>0.45</v>
      </c>
      <c r="F38" s="58">
        <f>IF(C38="","",IF(C38&gt;=G38,"KNOCKOUT",IF(C38&lt;=D38,"GREEN",IF(C38&gt;=E38,"RED","YELLOW"))))</f>
        <v/>
      </c>
      <c r="G38" s="59" t="n">
        <v>0.55</v>
      </c>
    </row>
    <row r="39" ht="15.75" customHeight="1" s="230">
      <c r="B39" s="24" t="inlineStr">
        <is>
          <t>New holdback SP%</t>
        </is>
      </c>
      <c r="C39" s="18">
        <f>IF(OR(C24=0,E8=""),"",E8/C24)</f>
        <v/>
      </c>
      <c r="D39" s="59" t="n">
        <v>0.18</v>
      </c>
      <c r="E39" s="59" t="n">
        <v>0.25</v>
      </c>
      <c r="F39" s="58">
        <f>IF(C39="","",IF(C39&gt;=G39,"KNOCKOUT",IF(C39&lt;=D39,"GREEN",IF(C39&gt;=E39,"RED","YELLOW"))))</f>
        <v/>
      </c>
      <c r="G39" s="59" t="n">
        <v>0.35</v>
      </c>
    </row>
    <row r="40" ht="15.75" customHeight="1" s="230">
      <c r="B40" s="24" t="inlineStr">
        <is>
          <t>Daily debt / balance</t>
        </is>
      </c>
      <c r="C40" s="18">
        <f>IF(D24=0,"",(E34+IF(C8="",0,C8))/D24)</f>
        <v/>
      </c>
      <c r="D40" s="59" t="n">
        <v>0.18</v>
      </c>
      <c r="E40" s="59" t="n">
        <v>0.3</v>
      </c>
      <c r="F40" s="58">
        <f>IF(C40="","",IF(C40&gt;=G40,"KNOCKOUT",IF(C40&lt;=D40,"GREEN",IF(C40&gt;=E40,"RED","YELLOW"))))</f>
        <v/>
      </c>
      <c r="G40" s="59" t="n">
        <v>0.35</v>
      </c>
    </row>
    <row r="41" ht="15.75" customHeight="1" s="230">
      <c r="B41" s="24" t="inlineStr">
        <is>
          <t>Fund / revenue</t>
        </is>
      </c>
      <c r="C41" s="60">
        <f>IF(OR(C24=0,B6=""),"",B6/C24)</f>
        <v/>
      </c>
      <c r="D41" s="88" t="n">
        <v>0.6</v>
      </c>
      <c r="E41" s="88" t="n">
        <v>0.9</v>
      </c>
      <c r="F41" s="58">
        <f>IF(C41="","",IF(C41&gt;=G41,"KNOCKOUT",IF(C41&lt;=D41,"GREEN",IF(C41&gt;=E41,"RED","YELLOW"))))</f>
        <v/>
      </c>
      <c r="G41" s="88" t="n">
        <v>1.25</v>
      </c>
    </row>
    <row r="42" ht="15.75" customHeight="1" s="230">
      <c r="B42" s="24" t="inlineStr">
        <is>
          <t># positions (incl. new)</t>
        </is>
      </c>
      <c r="C42" s="63">
        <f>IF(C24=0,"",C34+1)</f>
        <v/>
      </c>
      <c r="D42" s="36" t="n">
        <v>2</v>
      </c>
      <c r="E42" s="36" t="n">
        <v>5</v>
      </c>
      <c r="F42" s="58">
        <f>IF(C42="","",IF(C42&gt;=G42,"KNOCKOUT",IF(C42&lt;=D42,"GREEN",IF(C42&gt;=E42,"RED","YELLOW"))))</f>
        <v/>
      </c>
      <c r="G42" s="36" t="n">
        <v>6</v>
      </c>
    </row>
    <row r="43" ht="15.75" customHeight="1" s="230">
      <c r="B43" s="24" t="inlineStr">
        <is>
          <t>Revenue trend (avg MoM)</t>
        </is>
      </c>
      <c r="C43" s="18">
        <f>G24</f>
        <v/>
      </c>
      <c r="D43" s="59" t="n">
        <v>-0.05</v>
      </c>
      <c r="E43" s="59" t="n">
        <v>-0.15</v>
      </c>
      <c r="F43" s="58">
        <f>IF(C24=0,"",IF(NOT(ISNUMBER(C43)),"YELLOW",IF(C43&lt;=G43,"KNOCKOUT",IF(C43&gt;=D43,"GREEN",IF(C43&lt;=E43,"RED","YELLOW")))))</f>
        <v/>
      </c>
      <c r="G43" s="59" t="n">
        <v>-0.3</v>
      </c>
    </row>
    <row r="44" ht="15.75" customHeight="1" s="230">
      <c r="B44" s="24" t="inlineStr">
        <is>
          <t>Neg days + NSFs (total)</t>
        </is>
      </c>
      <c r="C44" s="63">
        <f>E24+F24</f>
        <v/>
      </c>
      <c r="D44" s="36" t="n">
        <v>1</v>
      </c>
      <c r="E44" s="36" t="n">
        <v>6</v>
      </c>
      <c r="F44" s="58">
        <f>IF(C44="","",IF(C44&gt;=G44,"KNOCKOUT",IF(C44&lt;=D44,"GREEN",IF(C44&gt;=E44,"RED","YELLOW"))))</f>
        <v/>
      </c>
      <c r="G44" s="36" t="n">
        <v>10</v>
      </c>
    </row>
    <row r="45" ht="15.75" customHeight="1" s="230">
      <c r="B45" s="24" t="inlineStr">
        <is>
          <t>Existing leverage (before new)</t>
        </is>
      </c>
      <c r="C45" s="18">
        <f>IF(C24=0,"",F34/C24)</f>
        <v/>
      </c>
      <c r="D45" s="64" t="inlineStr">
        <is>
          <t>-</t>
        </is>
      </c>
      <c r="E45" s="64" t="inlineStr">
        <is>
          <t>-</t>
        </is>
      </c>
      <c r="F45" s="65" t="inlineStr">
        <is>
          <t>INFO</t>
        </is>
      </c>
    </row>
    <row r="46" ht="15.75" customHeight="1" s="230">
      <c r="B46" s="24" t="inlineStr">
        <is>
          <t>Balance / revenue</t>
        </is>
      </c>
      <c r="C46" s="18">
        <f>IF(C24=0,"",D24/C24)</f>
        <v/>
      </c>
      <c r="D46" s="64" t="inlineStr">
        <is>
          <t>-</t>
        </is>
      </c>
      <c r="E46" s="64" t="inlineStr">
        <is>
          <t>-</t>
        </is>
      </c>
      <c r="F46" s="65" t="inlineStr">
        <is>
          <t>INFO</t>
        </is>
      </c>
    </row>
    <row r="47" ht="15.75" customHeight="1" s="230"/>
    <row r="48" ht="15.75" customHeight="1" s="230">
      <c r="B48" s="233" t="inlineStr">
        <is>
          <t>D.  DECISION</t>
        </is>
      </c>
    </row>
    <row r="49" ht="15.75" customHeight="1" s="230">
      <c r="B49" s="66" t="inlineStr">
        <is>
          <t>Red flags</t>
        </is>
      </c>
      <c r="C49" s="67">
        <f>COUNTIF(F38:F44,"RED")+COUNTIF(F38:F44,"KNOCKOUT")</f>
        <v/>
      </c>
      <c r="D49" s="66" t="inlineStr">
        <is>
          <t>Knockouts</t>
        </is>
      </c>
      <c r="E49" s="67">
        <f>COUNTIF(F38:F44,"KNOCKOUT")</f>
        <v/>
      </c>
    </row>
    <row r="50" ht="15.75" customHeight="1" s="230">
      <c r="B50" s="68" t="inlineStr">
        <is>
          <t>Decline if red flags &gt;=  (editable)</t>
        </is>
      </c>
      <c r="C50" s="69" t="n">
        <v>2</v>
      </c>
      <c r="D50" s="70" t="inlineStr">
        <is>
          <t>Minimum fund $</t>
        </is>
      </c>
      <c r="E50" s="92" t="n">
        <v>10000</v>
      </c>
    </row>
    <row r="51" ht="15.75" customHeight="1" s="230">
      <c r="B51" s="66" t="inlineStr">
        <is>
          <t>DECISION</t>
        </is>
      </c>
      <c r="C51" s="3">
        <f>IF(C24=0,"",IF(OR(E49&gt;0,IF(ISNUMBER(C62),C62,0)&lt;E50),"DECLINE",IF(OR(B6="",B6=0),"",IF(C49&gt;=C50,"DECLINE",IF(COUNTIF(F38:F44,"GREEN")=7,"APPROVE","CONDITIONAL")))))</f>
        <v/>
      </c>
      <c r="D51" s="4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/>
      </c>
    </row>
    <row r="52" ht="15.75" customHeight="1" s="230"/>
    <row r="53" ht="15.75" customHeight="1" s="230">
      <c r="B53" s="233" t="inlineStr">
        <is>
          <t>E.  DEAL QUALITY  &amp;  RECOMMENDED OFFER  (from bank data alone)</t>
        </is>
      </c>
    </row>
    <row r="54" ht="15.75" customHeight="1" s="230">
      <c r="B54" s="68" t="inlineStr">
        <is>
          <t>Score (G=1, Y=0.5, R=0)</t>
        </is>
      </c>
      <c r="C54" s="72">
        <f>COUNTIF(F38:F44,"GREEN")+0.5*COUNTIF(F38:F44,"YELLOW")</f>
        <v/>
      </c>
      <c r="D54" s="4" t="inlineStr">
        <is>
          <t>of 7</t>
        </is>
      </c>
    </row>
    <row r="55" ht="15.75" customHeight="1" s="230">
      <c r="B55" s="68" t="inlineStr">
        <is>
          <t>Tier</t>
        </is>
      </c>
      <c r="C55" s="58">
        <f>IF(C24=0,"",IF(C54&gt;=6.5,"Strong",IF(C54&gt;=5,"Solid",IF(C54&gt;=3.5,"Moderate","Weak"))))</f>
        <v/>
      </c>
    </row>
    <row r="56" ht="15.75" customHeight="1" s="230">
      <c r="B56" s="68" t="inlineStr">
        <is>
          <t>Max daily by SP% green</t>
        </is>
      </c>
      <c r="C56" s="15">
        <f>IF(C24=0,"",D39*C24/21.655)</f>
        <v/>
      </c>
    </row>
    <row r="57" ht="15.75" customHeight="1" s="230">
      <c r="B57" s="68" t="inlineStr">
        <is>
          <t>Max daily by Total LVG green</t>
        </is>
      </c>
      <c r="C57" s="15">
        <f>IF(C24=0,"",(D38*C24-F34)/21.655)</f>
        <v/>
      </c>
    </row>
    <row r="58" ht="15.75" customHeight="1" s="230">
      <c r="B58" s="68" t="inlineStr">
        <is>
          <t>Max daily by Daily/Balance green</t>
        </is>
      </c>
      <c r="C58" s="15">
        <f>IF(OR(C24=0,D24=0),"",D40*D24-E34)</f>
        <v/>
      </c>
    </row>
    <row r="59" ht="15.75" customHeight="1" s="230">
      <c r="B59" s="66" t="inlineStr">
        <is>
          <t>RECOMMENDED DAILY  (weakest link)</t>
        </is>
      </c>
      <c r="C59" s="20">
        <f>IF(C24=0,"",MAX(0,MIN(C56:C58)))</f>
        <v/>
      </c>
      <c r="D59" s="4">
        <f t="array" ref="D59">IF(C59="","",IF(C59=0,"no clean room - existing debt is over a green line",INDEX({"SP% holdback";"Total LVG";"Daily/Balance"},MATCH(C59,C56:C58,0))&amp;" is the limit"))</f>
        <v/>
      </c>
    </row>
    <row r="60" ht="15.75" customHeight="1" s="230">
      <c r="B60" s="68" t="inlineStr">
        <is>
          <t>Weekly / monthly equivalent</t>
        </is>
      </c>
      <c r="C60" s="15">
        <f>IF(OR(C59="",C59=0),"",C59*5)</f>
        <v/>
      </c>
      <c r="D60" s="73">
        <f>IF(OR(C59="",C59=0),"",C59*21.655)</f>
        <v/>
      </c>
    </row>
    <row r="61" ht="15.75" customHeight="1" s="230">
      <c r="B61" s="68" t="inlineStr">
        <is>
          <t>Rec term (daily pmts) / factor  (editable)</t>
        </is>
      </c>
      <c r="C61" s="74">
        <f t="array" ref="C61">IF(OR(C59="",C59=0,C54=""),"",MAX(20,MIN(INDEX($K$13:$K$16,MATCH(C54,$J$13:$J$16,1)),FLOOR($K$17*21.655,5),FLOOR(D41*C24*D61/C59,5))))</f>
        <v/>
      </c>
      <c r="D61" s="75">
        <f t="array" ref="D61">IF(C54="","",INDEX($L$13:$L$16,MATCH(C54,$J$13:$J$16,1)))</f>
        <v/>
      </c>
    </row>
    <row r="62" ht="15.75" customHeight="1" s="230">
      <c r="B62" s="66" t="inlineStr">
        <is>
          <t>RECOMMENDED FUND</t>
        </is>
      </c>
      <c r="C62" s="76">
        <f>IF(COUNTIF(F42:F44,"KNOCKOUT")&gt;0,"-",IF(OR(C59="",C59=0,C61="",D61=""),"",FLOOR(C59*C61/D61,500)))</f>
        <v/>
      </c>
      <c r="D62" s="4">
        <f>IF(C62="-","KNOCKOUT on the merchant - do not fund.",IF(C62="","","payback "&amp;TEXT(C62*D61,"$#,##0")&amp;" over "&amp;C61&amp;" daily pmts ("&amp;TEXT(C61/5,"0")&amp;" wks)"))</f>
        <v/>
      </c>
    </row>
    <row r="63" ht="15.75" customHeight="1" s="230">
      <c r="B63" s="4" t="n"/>
    </row>
    <row r="64" ht="15.75" customHeight="1" s="230"/>
    <row r="65" ht="15.75" customHeight="1" s="230"/>
    <row r="66" ht="15.75" customHeight="1" s="230">
      <c r="B66" s="235" t="inlineStr">
        <is>
          <t>F.  HOUSE-BOOK LAYER  (PLANNED - outline only, no formulas yet)</t>
        </is>
      </c>
    </row>
    <row r="67" ht="15.75" customHeight="1" s="230">
      <c r="B67" s="236" t="inlineStr">
        <is>
          <t>Sections A-E above are the battle-tested cash-flow engine and stay exactly as built. Everything below is the plan for what gets added. Blue-on-yellow = new input cell; italic purple = logic to be built.</t>
        </is>
      </c>
    </row>
    <row r="68" ht="15.75" customHeight="1" s="230"/>
    <row r="69" ht="15.75" customHeight="1" s="230">
      <c r="B69" s="237" t="inlineStr">
        <is>
          <t>New inputs (Deal Profile)</t>
        </is>
      </c>
      <c r="C69" s="237" t="inlineStr">
        <is>
          <t>Cell</t>
        </is>
      </c>
      <c r="D69" s="237" t="inlineStr">
        <is>
          <t>What it feeds</t>
        </is>
      </c>
      <c r="E69" s="238" t="n"/>
      <c r="F69" s="238" t="n"/>
      <c r="G69" s="238" t="n"/>
      <c r="H69" s="239" t="n"/>
    </row>
    <row r="70" ht="15.75" customHeight="1" s="230">
      <c r="B70" s="240" t="inlineStr">
        <is>
          <t>ISO</t>
        </is>
      </c>
      <c r="C70" s="241" t="inlineStr">
        <is>
          <t>dropdown from Ref!ISO list</t>
        </is>
      </c>
      <c r="D70" s="242" t="inlineStr">
        <is>
          <t>→ Historical tiers 2 and 4; ISO-only evidence</t>
        </is>
      </c>
      <c r="E70" s="238" t="n"/>
      <c r="F70" s="238" t="n"/>
      <c r="G70" s="238" t="n"/>
      <c r="H70" s="239" t="n"/>
    </row>
    <row r="71" ht="15.75" customHeight="1" s="230">
      <c r="B71" s="240" t="inlineStr">
        <is>
          <t>Industry (SIC major group)</t>
        </is>
      </c>
      <c r="C71" s="241" t="inlineStr">
        <is>
          <t>dropdown from Ref!Industry list</t>
        </is>
      </c>
      <c r="D71" s="242" t="inlineStr">
        <is>
          <t>→ Tiers 1 and 3; industry-only evidence</t>
        </is>
      </c>
      <c r="E71" s="238" t="n"/>
      <c r="F71" s="238" t="n"/>
      <c r="G71" s="238" t="n"/>
      <c r="H71" s="239" t="n"/>
    </row>
    <row r="72" ht="15.75" customHeight="1" s="230">
      <c r="B72" s="240" t="inlineStr">
        <is>
          <t>State</t>
        </is>
      </c>
      <c r="C72" s="241" t="inlineStr">
        <is>
          <t>dropdown</t>
        </is>
      </c>
      <c r="D72" s="242" t="inlineStr">
        <is>
          <t>→ State-only evidence (informational, never sizes the offer)</t>
        </is>
      </c>
      <c r="E72" s="238" t="n"/>
      <c r="F72" s="238" t="n"/>
      <c r="G72" s="238" t="n"/>
      <c r="H72" s="239" t="n"/>
    </row>
    <row r="73" ht="15.75" customHeight="1" s="230">
      <c r="B73" s="240" t="inlineStr">
        <is>
          <t>New deal or renewal</t>
        </is>
      </c>
      <c r="C73" s="241" t="inlineStr">
        <is>
          <t>New Deal / Renewal</t>
        </is>
      </c>
      <c r="D73" s="242" t="inlineStr">
        <is>
          <t>→ Every tier - strongest surviving signal in the book</t>
        </is>
      </c>
      <c r="E73" s="238" t="n"/>
      <c r="F73" s="238" t="n"/>
      <c r="G73" s="238" t="n"/>
      <c r="H73" s="239" t="n"/>
    </row>
    <row r="74" ht="15.75" customHeight="1" s="230">
      <c r="B74" s="240" t="inlineStr">
        <is>
          <t>Credit score (FICO)</t>
        </is>
      </c>
      <c r="C74" s="241" t="inlineStr">
        <is>
          <t>number</t>
        </is>
      </c>
      <c r="D74" s="242" t="inlineStr">
        <is>
          <t>→ 8th metric: &gt;= 650 GREEN, 630-649 YELLOW, &lt; 630 RED (bands on Controls)</t>
        </is>
      </c>
      <c r="E74" s="238" t="n"/>
      <c r="F74" s="238" t="n"/>
      <c r="G74" s="238" t="n"/>
      <c r="H74" s="239" t="n"/>
    </row>
    <row r="75" ht="15.75" customHeight="1" s="230">
      <c r="B75" s="240" t="inlineStr">
        <is>
          <t>Proposed position</t>
        </is>
      </c>
      <c r="C75" s="241" t="inlineStr">
        <is>
          <t>auto = C42 (positions incl. new), manual override allowed</t>
        </is>
      </c>
      <c r="D75" s="242" t="inlineStr">
        <is>
          <t>→ Tiers 1, 2, 5; position-only evidence</t>
        </is>
      </c>
      <c r="E75" s="238" t="n"/>
      <c r="F75" s="238" t="n"/>
      <c r="G75" s="238" t="n"/>
      <c r="H75" s="239" t="n"/>
    </row>
    <row r="76" ht="15.75" customHeight="1" s="230"/>
    <row r="77" ht="15.75" customHeight="1" s="230">
      <c r="B77" s="237" t="inlineStr">
        <is>
          <t>Final offer read-out (from Decision Summary)</t>
        </is>
      </c>
      <c r="C77" s="237" t="inlineStr">
        <is>
          <t>Value</t>
        </is>
      </c>
      <c r="D77" s="237" t="inlineStr">
        <is>
          <t>How it will be computed</t>
        </is>
      </c>
      <c r="E77" s="238" t="n"/>
      <c r="F77" s="238" t="n"/>
      <c r="G77" s="238" t="n"/>
      <c r="H77" s="239" t="n"/>
    </row>
    <row r="78" ht="30" customHeight="1" s="230">
      <c r="B78" s="240" t="inlineStr">
        <is>
          <t>FINAL DECISION</t>
        </is>
      </c>
      <c r="C78" s="243" t="inlineStr">
        <is>
          <t>APPROVE / CONDITIONAL / MANUAL REVIEW / DECLINE</t>
        </is>
      </c>
      <c r="D78" s="242" t="inlineStr">
        <is>
          <t>→ DECLINE if Layer 1 declines (merchant knockout, red flags &gt;= limit, below minimum). MANUAL REVIEW if any Controls trigger fires. CONDITIONAL if any yellow/red remains, the modifier is negative, or a risk stip applies. Otherwise APPROVE.</t>
        </is>
      </c>
      <c r="E78" s="238" t="n"/>
      <c r="F78" s="238" t="n"/>
      <c r="G78" s="238" t="n"/>
      <c r="H78" s="239" t="n"/>
    </row>
    <row r="79" ht="30" customHeight="1" s="230">
      <c r="B79" s="240" t="inlineStr">
        <is>
          <t>Recommended fund</t>
        </is>
      </c>
      <c r="C79" s="243" t="inlineStr">
        <is>
          <t>$</t>
        </is>
      </c>
      <c r="D79" s="242" t="inlineStr">
        <is>
          <t>→ MIN(cash-flow max fund C62 x modifier multiplier, cash-flow max daily C59 x adjusted term / adjusted factor), floored to $500. Can never exceed C62.</t>
        </is>
      </c>
      <c r="E79" s="238" t="n"/>
      <c r="F79" s="238" t="n"/>
      <c r="G79" s="238" t="n"/>
      <c r="H79" s="239" t="n"/>
    </row>
    <row r="80" ht="30" customHeight="1" s="230">
      <c r="B80" s="240" t="inlineStr">
        <is>
          <t>Factor</t>
        </is>
      </c>
      <c r="C80" s="243" t="inlineStr">
        <is>
          <t>1.40 / 1.45 / 1.49</t>
        </is>
      </c>
      <c r="D80" s="242" t="inlineStr">
        <is>
          <t>→ Band factor D61, stepped up one approved tier when the modifier says so; never above 1.49.</t>
        </is>
      </c>
      <c r="E80" s="238" t="n"/>
      <c r="F80" s="238" t="n"/>
      <c r="G80" s="238" t="n"/>
      <c r="H80" s="239" t="n"/>
    </row>
    <row r="81" ht="30" customHeight="1" s="230">
      <c r="B81" s="240" t="inlineStr">
        <is>
          <t>Term</t>
        </is>
      </c>
      <c r="C81" s="243" t="inlineStr">
        <is>
          <t>weeks or daily pmts</t>
        </is>
      </c>
      <c r="D81" s="242" t="inlineStr">
        <is>
          <t>→ Band term C61, moved down one or two rows of the band table when the modifier says so; floor 20 payments.</t>
        </is>
      </c>
      <c r="E81" s="238" t="n"/>
      <c r="F81" s="238" t="n"/>
      <c r="G81" s="238" t="n"/>
      <c r="H81" s="239" t="n"/>
    </row>
    <row r="82" ht="30" customHeight="1" s="230">
      <c r="B82" s="240" t="inlineStr">
        <is>
          <t>Payment</t>
        </is>
      </c>
      <c r="C82" s="243" t="inlineStr">
        <is>
          <t>per week / per day</t>
        </is>
      </c>
      <c r="D82" s="242" t="inlineStr">
        <is>
          <t>→ fund x factor / term (daily); x5 for weekly.</t>
        </is>
      </c>
      <c r="E82" s="238" t="n"/>
      <c r="F82" s="238" t="n"/>
      <c r="G82" s="238" t="n"/>
      <c r="H82" s="239" t="n"/>
    </row>
    <row r="83" ht="30" customHeight="1" s="230">
      <c r="B83" s="240" t="inlineStr">
        <is>
          <t>Frequency</t>
        </is>
      </c>
      <c r="C83" s="243" t="inlineStr">
        <is>
          <t>Daily / Weekly</t>
        </is>
      </c>
      <c r="D83" s="242" t="inlineStr">
        <is>
          <t>→ As proposed in E6 unless the modifier requires Weekly.</t>
        </is>
      </c>
      <c r="E83" s="238" t="n"/>
      <c r="F83" s="238" t="n"/>
      <c r="G83" s="238" t="n"/>
      <c r="H83" s="239" t="n"/>
    </row>
    <row r="84" ht="30" customHeight="1" s="230">
      <c r="B84" s="240" t="inlineStr">
        <is>
          <t>Historical modifier</t>
        </is>
      </c>
      <c r="C84" s="243" t="inlineStr">
        <is>
          <t>Strong positive .. Severe</t>
        </is>
      </c>
      <c r="D84" s="242" t="inlineStr">
        <is>
          <t>→ From Historical Score: relative index of the primary cohort, capped by confidence.</t>
        </is>
      </c>
      <c r="E84" s="238" t="n"/>
      <c r="F84" s="238" t="n"/>
      <c r="G84" s="238" t="n"/>
      <c r="H84" s="239" t="n"/>
    </row>
    <row r="85" ht="30" customHeight="1" s="230">
      <c r="B85" s="240" t="inlineStr">
        <is>
          <t>Comparable deals</t>
        </is>
      </c>
      <c r="C85" s="243" t="inlineStr">
        <is>
          <t>seasoned / all</t>
        </is>
      </c>
      <c r="D85" s="242" t="inlineStr">
        <is>
          <t>→ Count of house-book deals in the primary cohort.</t>
        </is>
      </c>
      <c r="E85" s="238" t="n"/>
      <c r="F85" s="238" t="n"/>
      <c r="G85" s="238" t="n"/>
      <c r="H85" s="239" t="n"/>
    </row>
    <row r="86" ht="30" customHeight="1" s="230">
      <c r="B86" s="240" t="inlineStr">
        <is>
          <t>Cohort principal lost rate</t>
        </is>
      </c>
      <c r="C86" s="243" t="inlineStr">
        <is>
          <t>%</t>
        </is>
      </c>
      <c r="D86" s="242" t="inlineStr">
        <is>
          <t>→ Primary cohort, seasoned deals only, vs seasoned-book baseline.</t>
        </is>
      </c>
      <c r="E86" s="238" t="n"/>
      <c r="F86" s="238" t="n"/>
      <c r="G86" s="238" t="n"/>
      <c r="H86" s="239" t="n"/>
    </row>
    <row r="87" ht="30" customHeight="1" s="230">
      <c r="B87" s="240" t="inlineStr">
        <is>
          <t>Confidence</t>
        </is>
      </c>
      <c r="C87" s="243" t="inlineStr">
        <is>
          <t>High / Medium / Low</t>
        </is>
      </c>
      <c r="D87" s="242" t="inlineStr">
        <is>
          <t>→ Credibility Z and open share of the primary cohort.</t>
        </is>
      </c>
      <c r="E87" s="238" t="n"/>
      <c r="F87" s="238" t="n"/>
      <c r="G87" s="238" t="n"/>
      <c r="H87" s="239" t="n"/>
    </row>
    <row r="88" ht="30" customHeight="1" s="230">
      <c r="B88" s="240" t="inlineStr">
        <is>
          <t>Stipulations</t>
        </is>
      </c>
      <c r="C88" s="243" t="inlineStr">
        <is>
          <t>text</t>
        </is>
      </c>
      <c r="D88" s="242" t="inlineStr">
        <is>
          <t>→ Standard set (DataMerch, UCC, payoff letters) + conditional rules on Controls.</t>
        </is>
      </c>
      <c r="E88" s="238" t="n"/>
      <c r="F88" s="238" t="n"/>
      <c r="G88" s="238" t="n"/>
      <c r="H88" s="239" t="n"/>
    </row>
    <row r="89" ht="75" customHeight="1" s="230">
      <c r="B89" s="240" t="inlineStr">
        <is>
          <t>Underwriter's conclusion</t>
        </is>
      </c>
      <c r="C89" s="243" t="inlineStr">
        <is>
          <t>paragraph</t>
        </is>
      </c>
      <c r="D89" s="242" t="inlineStr">
        <is>
          <t>→ Sentence built from the actual numbers: cash-flow max and its limiting metric, recommended offer and % of max, primary cohort name / size / lost rate vs book / credibility / index / level, confidence, ISO / industry / state sentences, triggers and stips.</t>
        </is>
      </c>
      <c r="E89" s="238" t="n"/>
      <c r="F89" s="238" t="n"/>
      <c r="G89" s="238" t="n"/>
      <c r="H89" s="239" t="n"/>
    </row>
    <row r="90" ht="15.75" customHeight="1" s="230"/>
    <row r="91" ht="15.75" customHeight="1" s="230">
      <c r="B91" s="236" t="inlineStr">
        <is>
          <t>Rule of the house-book layer: it may reduce fund, shorten term, raise factor within tiers, require weekly, add stips or send to manual review. It may NOT remove a knockout, turn a green metric red, exceed C62, or make a precise adjustment on a tiny or unseasoned cohort.</t>
        </is>
      </c>
    </row>
    <row r="92" ht="15.75" customHeight="1" s="230"/>
    <row r="93" ht="15.75" customHeight="1" s="230"/>
    <row r="94" ht="15.75" customHeight="1" s="230"/>
    <row r="95" ht="15.75" customHeight="1" s="230"/>
    <row r="96" ht="15.75" customHeight="1" s="230"/>
    <row r="97" ht="15.75" customHeight="1" s="230"/>
    <row r="98" ht="15.75" customHeight="1" s="230"/>
    <row r="99" ht="15.75" customHeight="1" s="230"/>
    <row r="100" ht="15.75" customHeight="1" s="230"/>
    <row r="101" ht="15.75" customHeight="1" s="230"/>
    <row r="102" ht="15.75" customHeight="1" s="230"/>
    <row r="103" ht="15.75" customHeight="1" s="230"/>
    <row r="104" ht="15.75" customHeight="1" s="230"/>
    <row r="105" ht="15.75" customHeight="1" s="230"/>
    <row r="106" ht="15.75" customHeight="1" s="230"/>
    <row r="107" ht="15.75" customHeight="1" s="230"/>
    <row r="108" ht="15.75" customHeight="1" s="230"/>
    <row r="109" ht="15.75" customHeight="1" s="230"/>
    <row r="110" ht="15.75" customHeight="1" s="230"/>
    <row r="111" ht="15.75" customHeight="1" s="230"/>
    <row r="112" ht="15.75" customHeight="1" s="230"/>
    <row r="113" ht="15.75" customHeight="1" s="230"/>
    <row r="114" ht="15.75" customHeight="1" s="230"/>
    <row r="115" ht="15.75" customHeight="1" s="230"/>
    <row r="116" ht="15.75" customHeight="1" s="230"/>
    <row r="117" ht="15.75" customHeight="1" s="230"/>
    <row r="118" ht="15.75" customHeight="1" s="230"/>
    <row r="119" ht="15.75" customHeight="1" s="230"/>
    <row r="120" ht="15.75" customHeight="1" s="230"/>
    <row r="121" ht="15.75" customHeight="1" s="230"/>
    <row r="122" ht="15.75" customHeight="1" s="230"/>
    <row r="123" ht="15.75" customHeight="1" s="230"/>
    <row r="124" ht="15.75" customHeight="1" s="230"/>
    <row r="125" ht="15.75" customHeight="1" s="230"/>
    <row r="126" ht="15.75" customHeight="1" s="230"/>
    <row r="127" ht="15.75" customHeight="1" s="230"/>
    <row r="128" ht="15.75" customHeight="1" s="230"/>
    <row r="129" ht="15.75" customHeight="1" s="230"/>
    <row r="130" ht="15.75" customHeight="1" s="230"/>
    <row r="131" ht="15.75" customHeight="1" s="230"/>
    <row r="132" ht="15.75" customHeight="1" s="230"/>
    <row r="133" ht="15.75" customHeight="1" s="230"/>
    <row r="134" ht="15.75" customHeight="1" s="230"/>
    <row r="135" ht="15.75" customHeight="1" s="230"/>
    <row r="136" ht="15.75" customHeight="1" s="230"/>
    <row r="137" ht="15.75" customHeight="1" s="230"/>
    <row r="138" ht="15.75" customHeight="1" s="230"/>
    <row r="139" ht="15.75" customHeight="1" s="230"/>
    <row r="140" ht="15.75" customHeight="1" s="230"/>
    <row r="141" ht="15.75" customHeight="1" s="230"/>
    <row r="142" ht="15.75" customHeight="1" s="230"/>
    <row r="143" ht="15.75" customHeight="1" s="230"/>
    <row r="144" ht="15.75" customHeight="1" s="230"/>
    <row r="145" ht="15.75" customHeight="1" s="230"/>
    <row r="146" ht="15.75" customHeight="1" s="230"/>
    <row r="147" ht="15.75" customHeight="1" s="230"/>
    <row r="148" ht="15.75" customHeight="1" s="230"/>
    <row r="149" ht="15.75" customHeight="1" s="230"/>
    <row r="150" ht="15.75" customHeight="1" s="230"/>
    <row r="151" ht="15.75" customHeight="1" s="230"/>
    <row r="152" ht="15.75" customHeight="1" s="230"/>
    <row r="153" ht="15.75" customHeight="1" s="230"/>
    <row r="154" ht="15.75" customHeight="1" s="230"/>
    <row r="155" ht="15.75" customHeight="1" s="230"/>
    <row r="156" ht="15.75" customHeight="1" s="230"/>
    <row r="157" ht="15.75" customHeight="1" s="230"/>
    <row r="158" ht="15.75" customHeight="1" s="230"/>
    <row r="159" ht="15.75" customHeight="1" s="230"/>
    <row r="160" ht="15.75" customHeight="1" s="230"/>
    <row r="161" ht="15.75" customHeight="1" s="230"/>
    <row r="162" ht="15.75" customHeight="1" s="230"/>
    <row r="163" ht="15.75" customHeight="1" s="230"/>
    <row r="164" ht="15.75" customHeight="1" s="230"/>
    <row r="165" ht="15.75" customHeight="1" s="230"/>
    <row r="166" ht="15.75" customHeight="1" s="230"/>
    <row r="167" ht="15.75" customHeight="1" s="230"/>
    <row r="168" ht="15.75" customHeight="1" s="230"/>
    <row r="169" ht="15.75" customHeight="1" s="230"/>
    <row r="170" ht="15.75" customHeight="1" s="230"/>
    <row r="171" ht="15.75" customHeight="1" s="230"/>
    <row r="172" ht="15.75" customHeight="1" s="230"/>
    <row r="173" ht="15.75" customHeight="1" s="230"/>
    <row r="174" ht="15.75" customHeight="1" s="230"/>
    <row r="175" ht="15.75" customHeight="1" s="230"/>
    <row r="176" ht="15.75" customHeight="1" s="230"/>
    <row r="177" ht="15.75" customHeight="1" s="230"/>
    <row r="178" ht="15.75" customHeight="1" s="230"/>
    <row r="179" ht="15.75" customHeight="1" s="230"/>
    <row r="180" ht="15.75" customHeight="1" s="230"/>
    <row r="181" ht="15.75" customHeight="1" s="230"/>
    <row r="182" ht="15.75" customHeight="1" s="230"/>
    <row r="183" ht="15.75" customHeight="1" s="230"/>
    <row r="184" ht="15.75" customHeight="1" s="230"/>
    <row r="185" ht="15.75" customHeight="1" s="230"/>
    <row r="186" ht="15.75" customHeight="1" s="230"/>
    <row r="187" ht="15.75" customHeight="1" s="230"/>
    <row r="188" ht="15.75" customHeight="1" s="230"/>
    <row r="189" ht="15.75" customHeight="1" s="230"/>
    <row r="190" ht="15.75" customHeight="1" s="230"/>
    <row r="191" ht="15.75" customHeight="1" s="230"/>
    <row r="192" ht="15.75" customHeight="1" s="230"/>
    <row r="193" ht="15.75" customHeight="1" s="230"/>
    <row r="194" ht="15.75" customHeight="1" s="230"/>
    <row r="195" ht="15.75" customHeight="1" s="230"/>
    <row r="196" ht="15.75" customHeight="1" s="230"/>
    <row r="197" ht="15.75" customHeight="1" s="230"/>
    <row r="198" ht="15.75" customHeight="1" s="230"/>
    <row r="199" ht="15.75" customHeight="1" s="230"/>
    <row r="200" ht="15.75" customHeight="1" s="230"/>
    <row r="201" ht="15.75" customHeight="1" s="230"/>
    <row r="202" ht="15.75" customHeight="1" s="230"/>
    <row r="203" ht="15.75" customHeight="1" s="230"/>
    <row r="204" ht="15.75" customHeight="1" s="230"/>
    <row r="205" ht="15.75" customHeight="1" s="230"/>
    <row r="206" ht="15.75" customHeight="1" s="230"/>
    <row r="207" ht="15.75" customHeight="1" s="230"/>
    <row r="208" ht="15.75" customHeight="1" s="230"/>
    <row r="209" ht="15.75" customHeight="1" s="230"/>
    <row r="210" ht="15.75" customHeight="1" s="230"/>
    <row r="211" ht="15.75" customHeight="1" s="230"/>
    <row r="212" ht="15.75" customHeight="1" s="230"/>
    <row r="213" ht="15.75" customHeight="1" s="230"/>
    <row r="214" ht="15.75" customHeight="1" s="230"/>
    <row r="215" ht="15.75" customHeight="1" s="230"/>
    <row r="216" ht="15.75" customHeight="1" s="230"/>
    <row r="217" ht="15.75" customHeight="1" s="230"/>
    <row r="218" ht="15.75" customHeight="1" s="230"/>
    <row r="219" ht="15.75" customHeight="1" s="230"/>
    <row r="220" ht="15.75" customHeight="1" s="230"/>
    <row r="221" ht="15.75" customHeight="1" s="230"/>
    <row r="222" ht="15.75" customHeight="1" s="230"/>
    <row r="223" ht="15.75" customHeight="1" s="230"/>
    <row r="224" ht="15.75" customHeight="1" s="230"/>
    <row r="225" ht="15.75" customHeight="1" s="230"/>
    <row r="226" ht="15.75" customHeight="1" s="230"/>
    <row r="227" ht="15.75" customHeight="1" s="230"/>
    <row r="228" ht="15.75" customHeight="1" s="230"/>
    <row r="229" ht="15.75" customHeight="1" s="230"/>
    <row r="230" ht="15.75" customHeight="1" s="230"/>
    <row r="231" ht="15.75" customHeight="1" s="230"/>
    <row r="232" ht="15.75" customHeight="1" s="230"/>
    <row r="233" ht="15.75" customHeight="1" s="230"/>
    <row r="234" ht="15.75" customHeight="1" s="230"/>
    <row r="235" ht="15.75" customHeight="1" s="230"/>
    <row r="236" ht="15.75" customHeight="1" s="230"/>
    <row r="237" ht="15.75" customHeight="1" s="230"/>
    <row r="238" ht="15.75" customHeight="1" s="230"/>
    <row r="239" ht="15.75" customHeight="1" s="230"/>
    <row r="240" ht="15.75" customHeight="1" s="230"/>
    <row r="241" ht="15.75" customHeight="1" s="230"/>
    <row r="242" ht="15.75" customHeight="1" s="230"/>
    <row r="243" ht="15.75" customHeight="1" s="230"/>
    <row r="244" ht="15.75" customHeight="1" s="230"/>
    <row r="245" ht="15.75" customHeight="1" s="230"/>
    <row r="246" ht="15.75" customHeight="1" s="230"/>
    <row r="247" ht="15.75" customHeight="1" s="230"/>
    <row r="248" ht="15.75" customHeight="1" s="230"/>
    <row r="249" ht="15.75" customHeight="1" s="230"/>
    <row r="250" ht="15.75" customHeight="1" s="230"/>
    <row r="251" ht="15.75" customHeight="1" s="230"/>
    <row r="252" ht="15.75" customHeight="1" s="230"/>
    <row r="253" ht="15.75" customHeight="1" s="230"/>
    <row r="254" ht="15.75" customHeight="1" s="230"/>
    <row r="255" ht="15.75" customHeight="1" s="230"/>
    <row r="256" ht="15.75" customHeight="1" s="230"/>
    <row r="257" ht="15.75" customHeight="1" s="230"/>
    <row r="258" ht="15.75" customHeight="1" s="230"/>
    <row r="259" ht="15.75" customHeight="1" s="230"/>
    <row r="260" ht="15.75" customHeight="1" s="230"/>
    <row r="261" ht="15.75" customHeight="1" s="230"/>
    <row r="262" ht="15.75" customHeight="1" s="230"/>
    <row r="263" ht="15.75" customHeight="1" s="230"/>
    <row r="264" ht="15.75" customHeight="1" s="230"/>
    <row r="265" ht="15.75" customHeight="1" s="230"/>
    <row r="266" ht="15.75" customHeight="1" s="230"/>
    <row r="267" ht="15.75" customHeight="1" s="230"/>
    <row r="268" ht="15.75" customHeight="1" s="230"/>
    <row r="269" ht="15.75" customHeight="1" s="230"/>
    <row r="270" ht="15.75" customHeight="1" s="230"/>
    <row r="271" ht="15.75" customHeight="1" s="230"/>
    <row r="272" ht="15.75" customHeight="1" s="230"/>
    <row r="273" ht="15.75" customHeight="1" s="230"/>
    <row r="274" ht="15.75" customHeight="1" s="230"/>
    <row r="275" ht="15.75" customHeight="1" s="230"/>
    <row r="276" ht="15.75" customHeight="1" s="230"/>
    <row r="277" ht="15.75" customHeight="1" s="230"/>
    <row r="278" ht="15.75" customHeight="1" s="230"/>
    <row r="279" ht="15.75" customHeight="1" s="230"/>
    <row r="280" ht="15.75" customHeight="1" s="230"/>
    <row r="281" ht="15.75" customHeight="1" s="230"/>
    <row r="282" ht="15.75" customHeight="1" s="230"/>
    <row r="283" ht="15.75" customHeight="1" s="230"/>
    <row r="284" ht="15.75" customHeight="1" s="230"/>
    <row r="285" ht="15.75" customHeight="1" s="230"/>
    <row r="286" ht="15.75" customHeight="1" s="230"/>
    <row r="287" ht="15.75" customHeight="1" s="230"/>
    <row r="288" ht="15.75" customHeight="1" s="230"/>
    <row r="289" ht="15.75" customHeight="1" s="230"/>
    <row r="290" ht="15.75" customHeight="1" s="230"/>
    <row r="291" ht="15.75" customHeight="1" s="230"/>
    <row r="292" ht="15.75" customHeight="1" s="230"/>
    <row r="293" ht="15.75" customHeight="1" s="230"/>
    <row r="294" ht="15.75" customHeight="1" s="230"/>
    <row r="295" ht="15.75" customHeight="1" s="230"/>
    <row r="296" ht="15.75" customHeight="1" s="230"/>
    <row r="297" ht="15.75" customHeight="1" s="230"/>
    <row r="298" ht="15.75" customHeight="1" s="230"/>
    <row r="299" ht="15.75" customHeight="1" s="230"/>
    <row r="300" ht="15.75" customHeight="1" s="230"/>
    <row r="301" ht="15.75" customHeight="1" s="230"/>
    <row r="302" ht="15.75" customHeight="1" s="230"/>
    <row r="303" ht="15.75" customHeight="1" s="230"/>
    <row r="304" ht="15.75" customHeight="1" s="230"/>
    <row r="305" ht="15.75" customHeight="1" s="230"/>
    <row r="306" ht="15.75" customHeight="1" s="230"/>
    <row r="307" ht="15.75" customHeight="1" s="230"/>
    <row r="308" ht="15.75" customHeight="1" s="230"/>
    <row r="309" ht="15.75" customHeight="1" s="230"/>
    <row r="310" ht="15.75" customHeight="1" s="230"/>
    <row r="311" ht="15.75" customHeight="1" s="230"/>
    <row r="312" ht="15.75" customHeight="1" s="230"/>
    <row r="313" ht="15.75" customHeight="1" s="230"/>
    <row r="314" ht="15.75" customHeight="1" s="230"/>
    <row r="315" ht="15.75" customHeight="1" s="230"/>
    <row r="316" ht="15.75" customHeight="1" s="230"/>
    <row r="317" ht="15.75" customHeight="1" s="230"/>
    <row r="318" ht="15.75" customHeight="1" s="230"/>
    <row r="319" ht="15.75" customHeight="1" s="230"/>
    <row r="320" ht="15.75" customHeight="1" s="230"/>
    <row r="321" ht="15.75" customHeight="1" s="230"/>
    <row r="322" ht="15.75" customHeight="1" s="230"/>
    <row r="323" ht="15.75" customHeight="1" s="230"/>
    <row r="324" ht="15.75" customHeight="1" s="230"/>
    <row r="325" ht="15.75" customHeight="1" s="230"/>
    <row r="326" ht="15.75" customHeight="1" s="230"/>
    <row r="327" ht="15.75" customHeight="1" s="230"/>
    <row r="328" ht="15.75" customHeight="1" s="230"/>
    <row r="329" ht="15.75" customHeight="1" s="230"/>
    <row r="330" ht="15.75" customHeight="1" s="230"/>
    <row r="331" ht="15.75" customHeight="1" s="230"/>
    <row r="332" ht="15.75" customHeight="1" s="230"/>
    <row r="333" ht="15.75" customHeight="1" s="230"/>
    <row r="334" ht="15.75" customHeight="1" s="230"/>
    <row r="335" ht="15.75" customHeight="1" s="230"/>
    <row r="336" ht="15.75" customHeight="1" s="230"/>
    <row r="337" ht="15.75" customHeight="1" s="230"/>
    <row r="338" ht="15.75" customHeight="1" s="230"/>
    <row r="339" ht="15.75" customHeight="1" s="230"/>
    <row r="340" ht="15.75" customHeight="1" s="230"/>
    <row r="341" ht="15.75" customHeight="1" s="230"/>
    <row r="342" ht="15.75" customHeight="1" s="230"/>
    <row r="343" ht="15.75" customHeight="1" s="230"/>
    <row r="344" ht="15.75" customHeight="1" s="230"/>
    <row r="345" ht="15.75" customHeight="1" s="230"/>
    <row r="346" ht="15.75" customHeight="1" s="230"/>
    <row r="347" ht="15.75" customHeight="1" s="230"/>
    <row r="348" ht="15.75" customHeight="1" s="230"/>
    <row r="349" ht="15.75" customHeight="1" s="230"/>
    <row r="350" ht="15.75" customHeight="1" s="230"/>
    <row r="351" ht="15.75" customHeight="1" s="230"/>
    <row r="352" ht="15.75" customHeight="1" s="230"/>
    <row r="353" ht="15.75" customHeight="1" s="230"/>
    <row r="354" ht="15.75" customHeight="1" s="230"/>
    <row r="355" ht="15.75" customHeight="1" s="230"/>
    <row r="356" ht="15.75" customHeight="1" s="230"/>
    <row r="357" ht="15.75" customHeight="1" s="230"/>
    <row r="358" ht="15.75" customHeight="1" s="230"/>
    <row r="359" ht="15.75" customHeight="1" s="230"/>
    <row r="360" ht="15.75" customHeight="1" s="230"/>
    <row r="361" ht="15.75" customHeight="1" s="230"/>
    <row r="362" ht="15.75" customHeight="1" s="230"/>
    <row r="363" ht="15.75" customHeight="1" s="230"/>
    <row r="364" ht="15.75" customHeight="1" s="230"/>
    <row r="365" ht="15.75" customHeight="1" s="230"/>
    <row r="366" ht="15.75" customHeight="1" s="230"/>
    <row r="367" ht="15.75" customHeight="1" s="230"/>
    <row r="368" ht="15.75" customHeight="1" s="230"/>
    <row r="369" ht="15.75" customHeight="1" s="230"/>
    <row r="370" ht="15.75" customHeight="1" s="230"/>
    <row r="371" ht="15.75" customHeight="1" s="230"/>
    <row r="372" ht="15.75" customHeight="1" s="230"/>
    <row r="373" ht="15.75" customHeight="1" s="230"/>
    <row r="374" ht="15.75" customHeight="1" s="230"/>
    <row r="375" ht="15.75" customHeight="1" s="230"/>
    <row r="376" ht="15.75" customHeight="1" s="230"/>
    <row r="377" ht="15.75" customHeight="1" s="230"/>
    <row r="378" ht="15.75" customHeight="1" s="230"/>
    <row r="379" ht="15.75" customHeight="1" s="230"/>
    <row r="380" ht="15.75" customHeight="1" s="230"/>
    <row r="381" ht="15.75" customHeight="1" s="230"/>
    <row r="382" ht="15.75" customHeight="1" s="230"/>
    <row r="383" ht="15.75" customHeight="1" s="230"/>
    <row r="384" ht="15.75" customHeight="1" s="230"/>
    <row r="385" ht="15.75" customHeight="1" s="230"/>
    <row r="386" ht="15.75" customHeight="1" s="230"/>
    <row r="387" ht="15.75" customHeight="1" s="230"/>
    <row r="388" ht="15.75" customHeight="1" s="230"/>
    <row r="389" ht="15.75" customHeight="1" s="230"/>
    <row r="390" ht="15.75" customHeight="1" s="230"/>
    <row r="391" ht="15.75" customHeight="1" s="230"/>
    <row r="392" ht="15.75" customHeight="1" s="230"/>
    <row r="393" ht="15.75" customHeight="1" s="230"/>
    <row r="394" ht="15.75" customHeight="1" s="230"/>
    <row r="395" ht="15.75" customHeight="1" s="230"/>
    <row r="396" ht="15.75" customHeight="1" s="230"/>
    <row r="397" ht="15.75" customHeight="1" s="230"/>
    <row r="398" ht="15.75" customHeight="1" s="230"/>
    <row r="399" ht="15.75" customHeight="1" s="230"/>
    <row r="400" ht="15.75" customHeight="1" s="230"/>
    <row r="401" ht="15.75" customHeight="1" s="230"/>
    <row r="402" ht="15.75" customHeight="1" s="230"/>
    <row r="403" ht="15.75" customHeight="1" s="230"/>
    <row r="404" ht="15.75" customHeight="1" s="230"/>
    <row r="405" ht="15.75" customHeight="1" s="230"/>
    <row r="406" ht="15.75" customHeight="1" s="230"/>
    <row r="407" ht="15.75" customHeight="1" s="230"/>
    <row r="408" ht="15.75" customHeight="1" s="230"/>
    <row r="409" ht="15.75" customHeight="1" s="230"/>
    <row r="410" ht="15.75" customHeight="1" s="230"/>
    <row r="411" ht="15.75" customHeight="1" s="230"/>
    <row r="412" ht="15.75" customHeight="1" s="230"/>
    <row r="413" ht="15.75" customHeight="1" s="230"/>
    <row r="414" ht="15.75" customHeight="1" s="230"/>
    <row r="415" ht="15.75" customHeight="1" s="230"/>
    <row r="416" ht="15.75" customHeight="1" s="230"/>
    <row r="417" ht="15.75" customHeight="1" s="230"/>
    <row r="418" ht="15.75" customHeight="1" s="230"/>
    <row r="419" ht="15.75" customHeight="1" s="230"/>
    <row r="420" ht="15.75" customHeight="1" s="230"/>
    <row r="421" ht="15.75" customHeight="1" s="230"/>
    <row r="422" ht="15.75" customHeight="1" s="230"/>
    <row r="423" ht="15.75" customHeight="1" s="230"/>
    <row r="424" ht="15.75" customHeight="1" s="230"/>
    <row r="425" ht="15.75" customHeight="1" s="230"/>
    <row r="426" ht="15.75" customHeight="1" s="230"/>
    <row r="427" ht="15.75" customHeight="1" s="230"/>
    <row r="428" ht="15.75" customHeight="1" s="230"/>
    <row r="429" ht="15.75" customHeight="1" s="230"/>
    <row r="430" ht="15.75" customHeight="1" s="230"/>
    <row r="431" ht="15.75" customHeight="1" s="230"/>
    <row r="432" ht="15.75" customHeight="1" s="230"/>
    <row r="433" ht="15.75" customHeight="1" s="230"/>
    <row r="434" ht="15.75" customHeight="1" s="230"/>
    <row r="435" ht="15.75" customHeight="1" s="230"/>
    <row r="436" ht="15.75" customHeight="1" s="230"/>
    <row r="437" ht="15.75" customHeight="1" s="230"/>
    <row r="438" ht="15.75" customHeight="1" s="230"/>
    <row r="439" ht="15.75" customHeight="1" s="230"/>
    <row r="440" ht="15.75" customHeight="1" s="230"/>
    <row r="441" ht="15.75" customHeight="1" s="230"/>
    <row r="442" ht="15.75" customHeight="1" s="230"/>
    <row r="443" ht="15.75" customHeight="1" s="230"/>
    <row r="444" ht="15.75" customHeight="1" s="230"/>
    <row r="445" ht="15.75" customHeight="1" s="230"/>
    <row r="446" ht="15.75" customHeight="1" s="230"/>
    <row r="447" ht="15.75" customHeight="1" s="230"/>
    <row r="448" ht="15.75" customHeight="1" s="230"/>
    <row r="449" ht="15.75" customHeight="1" s="230"/>
    <row r="450" ht="15.75" customHeight="1" s="230"/>
    <row r="451" ht="15.75" customHeight="1" s="230"/>
    <row r="452" ht="15.75" customHeight="1" s="230"/>
    <row r="453" ht="15.75" customHeight="1" s="230"/>
    <row r="454" ht="15.75" customHeight="1" s="230"/>
    <row r="455" ht="15.75" customHeight="1" s="230"/>
    <row r="456" ht="15.75" customHeight="1" s="230"/>
    <row r="457" ht="15.75" customHeight="1" s="230"/>
    <row r="458" ht="15.75" customHeight="1" s="230"/>
    <row r="459" ht="15.75" customHeight="1" s="230"/>
    <row r="460" ht="15.75" customHeight="1" s="230"/>
    <row r="461" ht="15.75" customHeight="1" s="230"/>
    <row r="462" ht="15.75" customHeight="1" s="230"/>
    <row r="463" ht="15.75" customHeight="1" s="230"/>
    <row r="464" ht="15.75" customHeight="1" s="230"/>
    <row r="465" ht="15.75" customHeight="1" s="230"/>
    <row r="466" ht="15.75" customHeight="1" s="230"/>
    <row r="467" ht="15.75" customHeight="1" s="230"/>
    <row r="468" ht="15.75" customHeight="1" s="230"/>
    <row r="469" ht="15.75" customHeight="1" s="230"/>
    <row r="470" ht="15.75" customHeight="1" s="230"/>
    <row r="471" ht="15.75" customHeight="1" s="230"/>
    <row r="472" ht="15.75" customHeight="1" s="230"/>
    <row r="473" ht="15.75" customHeight="1" s="230"/>
    <row r="474" ht="15.75" customHeight="1" s="230"/>
    <row r="475" ht="15.75" customHeight="1" s="230"/>
    <row r="476" ht="15.75" customHeight="1" s="230"/>
    <row r="477" ht="15.75" customHeight="1" s="230"/>
    <row r="478" ht="15.75" customHeight="1" s="230"/>
    <row r="479" ht="15.75" customHeight="1" s="230"/>
    <row r="480" ht="15.75" customHeight="1" s="230"/>
    <row r="481" ht="15.75" customHeight="1" s="230"/>
    <row r="482" ht="15.75" customHeight="1" s="230"/>
    <row r="483" ht="15.75" customHeight="1" s="230"/>
    <row r="484" ht="15.75" customHeight="1" s="230"/>
    <row r="485" ht="15.75" customHeight="1" s="230"/>
    <row r="486" ht="15.75" customHeight="1" s="230"/>
    <row r="487" ht="15.75" customHeight="1" s="230"/>
    <row r="488" ht="15.75" customHeight="1" s="230"/>
    <row r="489" ht="15.75" customHeight="1" s="230"/>
    <row r="490" ht="15.75" customHeight="1" s="230"/>
    <row r="491" ht="15.75" customHeight="1" s="230"/>
    <row r="492" ht="15.75" customHeight="1" s="230"/>
    <row r="493" ht="15.75" customHeight="1" s="230"/>
    <row r="494" ht="15.75" customHeight="1" s="230"/>
    <row r="495" ht="15.75" customHeight="1" s="230"/>
    <row r="496" ht="15.75" customHeight="1" s="230"/>
    <row r="497" ht="15.75" customHeight="1" s="230"/>
    <row r="498" ht="15.75" customHeight="1" s="230"/>
    <row r="499" ht="15.75" customHeight="1" s="230"/>
    <row r="500" ht="15.75" customHeight="1" s="230"/>
    <row r="501" ht="15.75" customHeight="1" s="230"/>
    <row r="502" ht="15.75" customHeight="1" s="230"/>
    <row r="503" ht="15.75" customHeight="1" s="230"/>
    <row r="504" ht="15.75" customHeight="1" s="230"/>
    <row r="505" ht="15.75" customHeight="1" s="230"/>
    <row r="506" ht="15.75" customHeight="1" s="230"/>
    <row r="507" ht="15.75" customHeight="1" s="230"/>
    <row r="508" ht="15.75" customHeight="1" s="230"/>
    <row r="509" ht="15.75" customHeight="1" s="230"/>
    <row r="510" ht="15.75" customHeight="1" s="230"/>
    <row r="511" ht="15.75" customHeight="1" s="230"/>
    <row r="512" ht="15.75" customHeight="1" s="230"/>
    <row r="513" ht="15.75" customHeight="1" s="230"/>
    <row r="514" ht="15.75" customHeight="1" s="230"/>
    <row r="515" ht="15.75" customHeight="1" s="230"/>
    <row r="516" ht="15.75" customHeight="1" s="230"/>
    <row r="517" ht="15.75" customHeight="1" s="230"/>
    <row r="518" ht="15.75" customHeight="1" s="230"/>
    <row r="519" ht="15.75" customHeight="1" s="230"/>
    <row r="520" ht="15.75" customHeight="1" s="230"/>
    <row r="521" ht="15.75" customHeight="1" s="230"/>
    <row r="522" ht="15.75" customHeight="1" s="230"/>
    <row r="523" ht="15.75" customHeight="1" s="230"/>
    <row r="524" ht="15.75" customHeight="1" s="230"/>
    <row r="525" ht="15.75" customHeight="1" s="230"/>
    <row r="526" ht="15.75" customHeight="1" s="230"/>
    <row r="527" ht="15.75" customHeight="1" s="230"/>
    <row r="528" ht="15.75" customHeight="1" s="230"/>
    <row r="529" ht="15.75" customHeight="1" s="230"/>
    <row r="530" ht="15.75" customHeight="1" s="230"/>
    <row r="531" ht="15.75" customHeight="1" s="230"/>
    <row r="532" ht="15.75" customHeight="1" s="230"/>
    <row r="533" ht="15.75" customHeight="1" s="230"/>
    <row r="534" ht="15.75" customHeight="1" s="230"/>
    <row r="535" ht="15.75" customHeight="1" s="230"/>
    <row r="536" ht="15.75" customHeight="1" s="230"/>
    <row r="537" ht="15.75" customHeight="1" s="230"/>
    <row r="538" ht="15.75" customHeight="1" s="230"/>
    <row r="539" ht="15.75" customHeight="1" s="230"/>
    <row r="540" ht="15.75" customHeight="1" s="230"/>
    <row r="541" ht="15.75" customHeight="1" s="230"/>
    <row r="542" ht="15.75" customHeight="1" s="230"/>
    <row r="543" ht="15.75" customHeight="1" s="230"/>
    <row r="544" ht="15.75" customHeight="1" s="230"/>
    <row r="545" ht="15.75" customHeight="1" s="230"/>
    <row r="546" ht="15.75" customHeight="1" s="230"/>
    <row r="547" ht="15.75" customHeight="1" s="230"/>
    <row r="548" ht="15.75" customHeight="1" s="230"/>
    <row r="549" ht="15.75" customHeight="1" s="230"/>
    <row r="550" ht="15.75" customHeight="1" s="230"/>
    <row r="551" ht="15.75" customHeight="1" s="230"/>
    <row r="552" ht="15.75" customHeight="1" s="230"/>
    <row r="553" ht="15.75" customHeight="1" s="230"/>
    <row r="554" ht="15.75" customHeight="1" s="230"/>
    <row r="555" ht="15.75" customHeight="1" s="230"/>
    <row r="556" ht="15.75" customHeight="1" s="230"/>
    <row r="557" ht="15.75" customHeight="1" s="230"/>
    <row r="558" ht="15.75" customHeight="1" s="230"/>
    <row r="559" ht="15.75" customHeight="1" s="230"/>
    <row r="560" ht="15.75" customHeight="1" s="230"/>
    <row r="561" ht="15.75" customHeight="1" s="230"/>
    <row r="562" ht="15.75" customHeight="1" s="230"/>
    <row r="563" ht="15.75" customHeight="1" s="230"/>
    <row r="564" ht="15.75" customHeight="1" s="230"/>
    <row r="565" ht="15.75" customHeight="1" s="230"/>
    <row r="566" ht="15.75" customHeight="1" s="230"/>
    <row r="567" ht="15.75" customHeight="1" s="230"/>
    <row r="568" ht="15.75" customHeight="1" s="230"/>
    <row r="569" ht="15.75" customHeight="1" s="230"/>
    <row r="570" ht="15.75" customHeight="1" s="230"/>
    <row r="571" ht="15.75" customHeight="1" s="230"/>
    <row r="572" ht="15.75" customHeight="1" s="230"/>
    <row r="573" ht="15.75" customHeight="1" s="230"/>
    <row r="574" ht="15.75" customHeight="1" s="230"/>
    <row r="575" ht="15.75" customHeight="1" s="230"/>
    <row r="576" ht="15.75" customHeight="1" s="230"/>
    <row r="577" ht="15.75" customHeight="1" s="230"/>
    <row r="578" ht="15.75" customHeight="1" s="230"/>
    <row r="579" ht="15.75" customHeight="1" s="230"/>
    <row r="580" ht="15.75" customHeight="1" s="230"/>
    <row r="581" ht="15.75" customHeight="1" s="230"/>
    <row r="582" ht="15.75" customHeight="1" s="230"/>
    <row r="583" ht="15.75" customHeight="1" s="230"/>
    <row r="584" ht="15.75" customHeight="1" s="230"/>
    <row r="585" ht="15.75" customHeight="1" s="230"/>
    <row r="586" ht="15.75" customHeight="1" s="230"/>
    <row r="587" ht="15.75" customHeight="1" s="230"/>
    <row r="588" ht="15.75" customHeight="1" s="230"/>
    <row r="589" ht="15.75" customHeight="1" s="230"/>
    <row r="590" ht="15.75" customHeight="1" s="230"/>
    <row r="591" ht="15.75" customHeight="1" s="230"/>
    <row r="592" ht="15.75" customHeight="1" s="230"/>
    <row r="593" ht="15.75" customHeight="1" s="230"/>
    <row r="594" ht="15.75" customHeight="1" s="230"/>
    <row r="595" ht="15.75" customHeight="1" s="230"/>
    <row r="596" ht="15.75" customHeight="1" s="230"/>
    <row r="597" ht="15.75" customHeight="1" s="230"/>
    <row r="598" ht="15.75" customHeight="1" s="230"/>
    <row r="599" ht="15.75" customHeight="1" s="230"/>
    <row r="600" ht="15.75" customHeight="1" s="230"/>
    <row r="601" ht="15.75" customHeight="1" s="230"/>
    <row r="602" ht="15.75" customHeight="1" s="230"/>
    <row r="603" ht="15.75" customHeight="1" s="230"/>
    <row r="604" ht="15.75" customHeight="1" s="230"/>
    <row r="605" ht="15.75" customHeight="1" s="230"/>
    <row r="606" ht="15.75" customHeight="1" s="230"/>
    <row r="607" ht="15.75" customHeight="1" s="230"/>
    <row r="608" ht="15.75" customHeight="1" s="230"/>
    <row r="609" ht="15.75" customHeight="1" s="230"/>
    <row r="610" ht="15.75" customHeight="1" s="230"/>
    <row r="611" ht="15.75" customHeight="1" s="230"/>
    <row r="612" ht="15.75" customHeight="1" s="230"/>
    <row r="613" ht="15.75" customHeight="1" s="230"/>
    <row r="614" ht="15.75" customHeight="1" s="230"/>
    <row r="615" ht="15.75" customHeight="1" s="230"/>
    <row r="616" ht="15.75" customHeight="1" s="230"/>
    <row r="617" ht="15.75" customHeight="1" s="230"/>
    <row r="618" ht="15.75" customHeight="1" s="230"/>
    <row r="619" ht="15.75" customHeight="1" s="230"/>
    <row r="620" ht="15.75" customHeight="1" s="230"/>
    <row r="621" ht="15.75" customHeight="1" s="230"/>
    <row r="622" ht="15.75" customHeight="1" s="230"/>
    <row r="623" ht="15.75" customHeight="1" s="230"/>
    <row r="624" ht="15.75" customHeight="1" s="230"/>
    <row r="625" ht="15.75" customHeight="1" s="230"/>
    <row r="626" ht="15.75" customHeight="1" s="230"/>
    <row r="627" ht="15.75" customHeight="1" s="230"/>
    <row r="628" ht="15.75" customHeight="1" s="230"/>
    <row r="629" ht="15.75" customHeight="1" s="230"/>
    <row r="630" ht="15.75" customHeight="1" s="230"/>
    <row r="631" ht="15.75" customHeight="1" s="230"/>
    <row r="632" ht="15.75" customHeight="1" s="230"/>
    <row r="633" ht="15.75" customHeight="1" s="230"/>
    <row r="634" ht="15.75" customHeight="1" s="230"/>
    <row r="635" ht="15.75" customHeight="1" s="230"/>
    <row r="636" ht="15.75" customHeight="1" s="230"/>
    <row r="637" ht="15.75" customHeight="1" s="230"/>
    <row r="638" ht="15.75" customHeight="1" s="230"/>
    <row r="639" ht="15.75" customHeight="1" s="230"/>
    <row r="640" ht="15.75" customHeight="1" s="230"/>
    <row r="641" ht="15.75" customHeight="1" s="230"/>
    <row r="642" ht="15.75" customHeight="1" s="230"/>
    <row r="643" ht="15.75" customHeight="1" s="230"/>
    <row r="644" ht="15.75" customHeight="1" s="230"/>
    <row r="645" ht="15.75" customHeight="1" s="230"/>
    <row r="646" ht="15.75" customHeight="1" s="230"/>
    <row r="647" ht="15.75" customHeight="1" s="230"/>
    <row r="648" ht="15.75" customHeight="1" s="230"/>
    <row r="649" ht="15.75" customHeight="1" s="230"/>
    <row r="650" ht="15.75" customHeight="1" s="230"/>
    <row r="651" ht="15.75" customHeight="1" s="230"/>
    <row r="652" ht="15.75" customHeight="1" s="230"/>
    <row r="653" ht="15.75" customHeight="1" s="230"/>
    <row r="654" ht="15.75" customHeight="1" s="230"/>
    <row r="655" ht="15.75" customHeight="1" s="230"/>
    <row r="656" ht="15.75" customHeight="1" s="230"/>
    <row r="657" ht="15.75" customHeight="1" s="230"/>
    <row r="658" ht="15.75" customHeight="1" s="230"/>
    <row r="659" ht="15.75" customHeight="1" s="230"/>
    <row r="660" ht="15.75" customHeight="1" s="230"/>
    <row r="661" ht="15.75" customHeight="1" s="230"/>
    <row r="662" ht="15.75" customHeight="1" s="230"/>
    <row r="663" ht="15.75" customHeight="1" s="230"/>
    <row r="664" ht="15.75" customHeight="1" s="230"/>
    <row r="665" ht="15.75" customHeight="1" s="230"/>
    <row r="666" ht="15.75" customHeight="1" s="230"/>
    <row r="667" ht="15.75" customHeight="1" s="230"/>
    <row r="668" ht="15.75" customHeight="1" s="230"/>
    <row r="669" ht="15.75" customHeight="1" s="230"/>
    <row r="670" ht="15.75" customHeight="1" s="230"/>
    <row r="671" ht="15.75" customHeight="1" s="230"/>
    <row r="672" ht="15.75" customHeight="1" s="230"/>
    <row r="673" ht="15.75" customHeight="1" s="230"/>
    <row r="674" ht="15.75" customHeight="1" s="230"/>
    <row r="675" ht="15.75" customHeight="1" s="230"/>
    <row r="676" ht="15.75" customHeight="1" s="230"/>
    <row r="677" ht="15.75" customHeight="1" s="230"/>
    <row r="678" ht="15.75" customHeight="1" s="230"/>
    <row r="679" ht="15.75" customHeight="1" s="230"/>
    <row r="680" ht="15.75" customHeight="1" s="230"/>
    <row r="681" ht="15.75" customHeight="1" s="230"/>
    <row r="682" ht="15.75" customHeight="1" s="230"/>
    <row r="683" ht="15.75" customHeight="1" s="230"/>
    <row r="684" ht="15.75" customHeight="1" s="230"/>
    <row r="685" ht="15.75" customHeight="1" s="230"/>
    <row r="686" ht="15.75" customHeight="1" s="230"/>
    <row r="687" ht="15.75" customHeight="1" s="230"/>
    <row r="688" ht="15.75" customHeight="1" s="230"/>
    <row r="689" ht="15.75" customHeight="1" s="230"/>
    <row r="690" ht="15.75" customHeight="1" s="230"/>
    <row r="691" ht="15.75" customHeight="1" s="230"/>
    <row r="692" ht="15.75" customHeight="1" s="230"/>
    <row r="693" ht="15.75" customHeight="1" s="230"/>
    <row r="694" ht="15.75" customHeight="1" s="230"/>
    <row r="695" ht="15.75" customHeight="1" s="230"/>
    <row r="696" ht="15.75" customHeight="1" s="230"/>
    <row r="697" ht="15.75" customHeight="1" s="230"/>
    <row r="698" ht="15.75" customHeight="1" s="230"/>
    <row r="699" ht="15.75" customHeight="1" s="230"/>
    <row r="700" ht="15.75" customHeight="1" s="230"/>
    <row r="701" ht="15.75" customHeight="1" s="230"/>
    <row r="702" ht="15.75" customHeight="1" s="230"/>
    <row r="703" ht="15.75" customHeight="1" s="230"/>
    <row r="704" ht="15.75" customHeight="1" s="230"/>
    <row r="705" ht="15.75" customHeight="1" s="230"/>
    <row r="706" ht="15.75" customHeight="1" s="230"/>
    <row r="707" ht="15.75" customHeight="1" s="230"/>
    <row r="708" ht="15.75" customHeight="1" s="230"/>
    <row r="709" ht="15.75" customHeight="1" s="230"/>
    <row r="710" ht="15.75" customHeight="1" s="230"/>
    <row r="711" ht="15.75" customHeight="1" s="230"/>
    <row r="712" ht="15.75" customHeight="1" s="230"/>
    <row r="713" ht="15.75" customHeight="1" s="230"/>
    <row r="714" ht="15.75" customHeight="1" s="230"/>
    <row r="715" ht="15.75" customHeight="1" s="230"/>
    <row r="716" ht="15.75" customHeight="1" s="230"/>
    <row r="717" ht="15.75" customHeight="1" s="230"/>
    <row r="718" ht="15.75" customHeight="1" s="230"/>
    <row r="719" ht="15.75" customHeight="1" s="230"/>
    <row r="720" ht="15.75" customHeight="1" s="230"/>
    <row r="721" ht="15.75" customHeight="1" s="230"/>
    <row r="722" ht="15.75" customHeight="1" s="230"/>
    <row r="723" ht="15.75" customHeight="1" s="230"/>
    <row r="724" ht="15.75" customHeight="1" s="230"/>
    <row r="725" ht="15.75" customHeight="1" s="230"/>
    <row r="726" ht="15.75" customHeight="1" s="230"/>
    <row r="727" ht="15.75" customHeight="1" s="230"/>
    <row r="728" ht="15.75" customHeight="1" s="230"/>
    <row r="729" ht="15.75" customHeight="1" s="230"/>
    <row r="730" ht="15.75" customHeight="1" s="230"/>
    <row r="731" ht="15.75" customHeight="1" s="230"/>
    <row r="732" ht="15.75" customHeight="1" s="230"/>
    <row r="733" ht="15.75" customHeight="1" s="230"/>
    <row r="734" ht="15.75" customHeight="1" s="230"/>
    <row r="735" ht="15.75" customHeight="1" s="230"/>
    <row r="736" ht="15.75" customHeight="1" s="230"/>
    <row r="737" ht="15.75" customHeight="1" s="230"/>
    <row r="738" ht="15.75" customHeight="1" s="230"/>
    <row r="739" ht="15.75" customHeight="1" s="230"/>
    <row r="740" ht="15.75" customHeight="1" s="230"/>
    <row r="741" ht="15.75" customHeight="1" s="230"/>
    <row r="742" ht="15.75" customHeight="1" s="230"/>
    <row r="743" ht="15.75" customHeight="1" s="230"/>
    <row r="744" ht="15.75" customHeight="1" s="230"/>
    <row r="745" ht="15.75" customHeight="1" s="230"/>
    <row r="746" ht="15.75" customHeight="1" s="230"/>
    <row r="747" ht="15.75" customHeight="1" s="230"/>
    <row r="748" ht="15.75" customHeight="1" s="230"/>
    <row r="749" ht="15.75" customHeight="1" s="230"/>
    <row r="750" ht="15.75" customHeight="1" s="230"/>
    <row r="751" ht="15.75" customHeight="1" s="230"/>
    <row r="752" ht="15.75" customHeight="1" s="230"/>
    <row r="753" ht="15.75" customHeight="1" s="230"/>
    <row r="754" ht="15.75" customHeight="1" s="230"/>
    <row r="755" ht="15.75" customHeight="1" s="230"/>
    <row r="756" ht="15.75" customHeight="1" s="230"/>
    <row r="757" ht="15.75" customHeight="1" s="230"/>
    <row r="758" ht="15.75" customHeight="1" s="230"/>
    <row r="759" ht="15.75" customHeight="1" s="230"/>
    <row r="760" ht="15.75" customHeight="1" s="230"/>
    <row r="761" ht="15.75" customHeight="1" s="230"/>
    <row r="762" ht="15.75" customHeight="1" s="230"/>
    <row r="763" ht="15.75" customHeight="1" s="230"/>
    <row r="764" ht="15.75" customHeight="1" s="230"/>
    <row r="765" ht="15.75" customHeight="1" s="230"/>
    <row r="766" ht="15.75" customHeight="1" s="230"/>
    <row r="767" ht="15.75" customHeight="1" s="230"/>
    <row r="768" ht="15.75" customHeight="1" s="230"/>
    <row r="769" ht="15.75" customHeight="1" s="230"/>
    <row r="770" ht="15.75" customHeight="1" s="230"/>
    <row r="771" ht="15.75" customHeight="1" s="230"/>
    <row r="772" ht="15.75" customHeight="1" s="230"/>
    <row r="773" ht="15.75" customHeight="1" s="230"/>
    <row r="774" ht="15.75" customHeight="1" s="230"/>
    <row r="775" ht="15.75" customHeight="1" s="230"/>
    <row r="776" ht="15.75" customHeight="1" s="230"/>
    <row r="777" ht="15.75" customHeight="1" s="230"/>
    <row r="778" ht="15.75" customHeight="1" s="230"/>
    <row r="779" ht="15.75" customHeight="1" s="230"/>
    <row r="780" ht="15.75" customHeight="1" s="230"/>
    <row r="781" ht="15.75" customHeight="1" s="230"/>
    <row r="782" ht="15.75" customHeight="1" s="230"/>
    <row r="783" ht="15.75" customHeight="1" s="230"/>
    <row r="784" ht="15.75" customHeight="1" s="230"/>
    <row r="785" ht="15.75" customHeight="1" s="230"/>
    <row r="786" ht="15.75" customHeight="1" s="230"/>
    <row r="787" ht="15.75" customHeight="1" s="230"/>
    <row r="788" ht="15.75" customHeight="1" s="230"/>
    <row r="789" ht="15.75" customHeight="1" s="230"/>
    <row r="790" ht="15.75" customHeight="1" s="230"/>
    <row r="791" ht="15.75" customHeight="1" s="230"/>
    <row r="792" ht="15.75" customHeight="1" s="230"/>
    <row r="793" ht="15.75" customHeight="1" s="230"/>
    <row r="794" ht="15.75" customHeight="1" s="230"/>
    <row r="795" ht="15.75" customHeight="1" s="230"/>
    <row r="796" ht="15.75" customHeight="1" s="230"/>
    <row r="797" ht="15.75" customHeight="1" s="230"/>
    <row r="798" ht="15.75" customHeight="1" s="230"/>
    <row r="799" ht="15.75" customHeight="1" s="230"/>
    <row r="800" ht="15.75" customHeight="1" s="230"/>
    <row r="801" ht="15.75" customHeight="1" s="230"/>
    <row r="802" ht="15.75" customHeight="1" s="230"/>
    <row r="803" ht="15.75" customHeight="1" s="230"/>
    <row r="804" ht="15.75" customHeight="1" s="230"/>
    <row r="805" ht="15.75" customHeight="1" s="230"/>
    <row r="806" ht="15.75" customHeight="1" s="230"/>
    <row r="807" ht="15.75" customHeight="1" s="230"/>
    <row r="808" ht="15.75" customHeight="1" s="230"/>
    <row r="809" ht="15.75" customHeight="1" s="230"/>
    <row r="810" ht="15.75" customHeight="1" s="230"/>
    <row r="811" ht="15.75" customHeight="1" s="230"/>
    <row r="812" ht="15.75" customHeight="1" s="230"/>
    <row r="813" ht="15.75" customHeight="1" s="230"/>
    <row r="814" ht="15.75" customHeight="1" s="230"/>
    <row r="815" ht="15.75" customHeight="1" s="230"/>
    <row r="816" ht="15.75" customHeight="1" s="230"/>
    <row r="817" ht="15.75" customHeight="1" s="230"/>
    <row r="818" ht="15.75" customHeight="1" s="230"/>
    <row r="819" ht="15.75" customHeight="1" s="230"/>
    <row r="820" ht="15.75" customHeight="1" s="230"/>
    <row r="821" ht="15.75" customHeight="1" s="230"/>
    <row r="822" ht="15.75" customHeight="1" s="230"/>
    <row r="823" ht="15.75" customHeight="1" s="230"/>
    <row r="824" ht="15.75" customHeight="1" s="230"/>
    <row r="825" ht="15.75" customHeight="1" s="230"/>
    <row r="826" ht="15.75" customHeight="1" s="230"/>
    <row r="827" ht="15.75" customHeight="1" s="230"/>
    <row r="828" ht="15.75" customHeight="1" s="230"/>
    <row r="829" ht="15.75" customHeight="1" s="230"/>
    <row r="830" ht="15.75" customHeight="1" s="230"/>
    <row r="831" ht="15.75" customHeight="1" s="230"/>
    <row r="832" ht="15.75" customHeight="1" s="230"/>
    <row r="833" ht="15.75" customHeight="1" s="230"/>
    <row r="834" ht="15.75" customHeight="1" s="230"/>
    <row r="835" ht="15.75" customHeight="1" s="230"/>
    <row r="836" ht="15.75" customHeight="1" s="230"/>
    <row r="837" ht="15.75" customHeight="1" s="230"/>
    <row r="838" ht="15.75" customHeight="1" s="230"/>
    <row r="839" ht="15.75" customHeight="1" s="230"/>
    <row r="840" ht="15.75" customHeight="1" s="230"/>
    <row r="841" ht="15.75" customHeight="1" s="230"/>
    <row r="842" ht="15.75" customHeight="1" s="230"/>
    <row r="843" ht="15.75" customHeight="1" s="230"/>
    <row r="844" ht="15.75" customHeight="1" s="230"/>
    <row r="845" ht="15.75" customHeight="1" s="230"/>
    <row r="846" ht="15.75" customHeight="1" s="230"/>
    <row r="847" ht="15.75" customHeight="1" s="230"/>
    <row r="848" ht="15.75" customHeight="1" s="230"/>
    <row r="849" ht="15.75" customHeight="1" s="230"/>
    <row r="850" ht="15.75" customHeight="1" s="230"/>
    <row r="851" ht="15.75" customHeight="1" s="230"/>
    <row r="852" ht="15.75" customHeight="1" s="230"/>
    <row r="853" ht="15.75" customHeight="1" s="230"/>
    <row r="854" ht="15.75" customHeight="1" s="230"/>
    <row r="855" ht="15.75" customHeight="1" s="230"/>
    <row r="856" ht="15.75" customHeight="1" s="230"/>
    <row r="857" ht="15.75" customHeight="1" s="230"/>
    <row r="858" ht="15.75" customHeight="1" s="230"/>
    <row r="859" ht="15.75" customHeight="1" s="230"/>
    <row r="860" ht="15.75" customHeight="1" s="230"/>
    <row r="861" ht="15.75" customHeight="1" s="230"/>
    <row r="862" ht="15.75" customHeight="1" s="230"/>
    <row r="863" ht="15.75" customHeight="1" s="230"/>
    <row r="864" ht="15.75" customHeight="1" s="230"/>
    <row r="865" ht="15.75" customHeight="1" s="230"/>
    <row r="866" ht="15.75" customHeight="1" s="230"/>
    <row r="867" ht="15.75" customHeight="1" s="230"/>
    <row r="868" ht="15.75" customHeight="1" s="230"/>
    <row r="869" ht="15.75" customHeight="1" s="230"/>
    <row r="870" ht="15.75" customHeight="1" s="230"/>
    <row r="871" ht="15.75" customHeight="1" s="230"/>
    <row r="872" ht="15.75" customHeight="1" s="230"/>
    <row r="873" ht="15.75" customHeight="1" s="230"/>
    <row r="874" ht="15.75" customHeight="1" s="230"/>
    <row r="875" ht="15.75" customHeight="1" s="230"/>
    <row r="876" ht="15.75" customHeight="1" s="230"/>
    <row r="877" ht="15.75" customHeight="1" s="230"/>
    <row r="878" ht="15.75" customHeight="1" s="230"/>
    <row r="879" ht="15.75" customHeight="1" s="230"/>
    <row r="880" ht="15.75" customHeight="1" s="230"/>
    <row r="881" ht="15.75" customHeight="1" s="230"/>
    <row r="882" ht="15.75" customHeight="1" s="230"/>
    <row r="883" ht="15.75" customHeight="1" s="230"/>
    <row r="884" ht="15.75" customHeight="1" s="230"/>
    <row r="885" ht="15.75" customHeight="1" s="230"/>
    <row r="886" ht="15.75" customHeight="1" s="230"/>
    <row r="887" ht="15.75" customHeight="1" s="230"/>
    <row r="888" ht="15.75" customHeight="1" s="230"/>
    <row r="889" ht="15.75" customHeight="1" s="230"/>
    <row r="890" ht="15.75" customHeight="1" s="230"/>
    <row r="891" ht="15.75" customHeight="1" s="230"/>
    <row r="892" ht="15.75" customHeight="1" s="230"/>
    <row r="893" ht="15.75" customHeight="1" s="230"/>
    <row r="894" ht="15.75" customHeight="1" s="230"/>
    <row r="895" ht="15.75" customHeight="1" s="230"/>
    <row r="896" ht="15.75" customHeight="1" s="230"/>
    <row r="897" ht="15.75" customHeight="1" s="230"/>
    <row r="898" ht="15.75" customHeight="1" s="230"/>
    <row r="899" ht="15.75" customHeight="1" s="230"/>
    <row r="900" ht="15.75" customHeight="1" s="230"/>
    <row r="901" ht="15.75" customHeight="1" s="230"/>
    <row r="902" ht="15.75" customHeight="1" s="230"/>
    <row r="903" ht="15.75" customHeight="1" s="230"/>
    <row r="904" ht="15.75" customHeight="1" s="230"/>
    <row r="905" ht="15.75" customHeight="1" s="230"/>
    <row r="906" ht="15.75" customHeight="1" s="230"/>
    <row r="907" ht="15.75" customHeight="1" s="230"/>
    <row r="908" ht="15.75" customHeight="1" s="230"/>
    <row r="909" ht="15.75" customHeight="1" s="230"/>
    <row r="910" ht="15.75" customHeight="1" s="230"/>
    <row r="911" ht="15.75" customHeight="1" s="230"/>
    <row r="912" ht="15.75" customHeight="1" s="230"/>
    <row r="913" ht="15.75" customHeight="1" s="230"/>
    <row r="914" ht="15.75" customHeight="1" s="230"/>
    <row r="915" ht="15.75" customHeight="1" s="230"/>
    <row r="916" ht="15.75" customHeight="1" s="230"/>
    <row r="917" ht="15.75" customHeight="1" s="230"/>
    <row r="918" ht="15.75" customHeight="1" s="230"/>
    <row r="919" ht="15.75" customHeight="1" s="230"/>
    <row r="920" ht="15.75" customHeight="1" s="230"/>
    <row r="921" ht="15.75" customHeight="1" s="230"/>
    <row r="922" ht="15.75" customHeight="1" s="230"/>
    <row r="923" ht="15.75" customHeight="1" s="230"/>
    <row r="924" ht="15.75" customHeight="1" s="230"/>
    <row r="925" ht="15.75" customHeight="1" s="230"/>
    <row r="926" ht="15.75" customHeight="1" s="230"/>
    <row r="927" ht="15.75" customHeight="1" s="230"/>
    <row r="928" ht="15.75" customHeight="1" s="230"/>
    <row r="929" ht="15.75" customHeight="1" s="230"/>
    <row r="930" ht="15.75" customHeight="1" s="230"/>
    <row r="931" ht="15.75" customHeight="1" s="230"/>
    <row r="932" ht="15.75" customHeight="1" s="230"/>
    <row r="933" ht="15.75" customHeight="1" s="230"/>
    <row r="934" ht="15.75" customHeight="1" s="230"/>
    <row r="935" ht="15.75" customHeight="1" s="230"/>
    <row r="936" ht="15.75" customHeight="1" s="230"/>
    <row r="937" ht="15.75" customHeight="1" s="230"/>
    <row r="938" ht="15.75" customHeight="1" s="230"/>
    <row r="939" ht="15.75" customHeight="1" s="230"/>
    <row r="940" ht="15.75" customHeight="1" s="230"/>
    <row r="941" ht="15.75" customHeight="1" s="230"/>
    <row r="942" ht="15.75" customHeight="1" s="230"/>
    <row r="943" ht="15.75" customHeight="1" s="230"/>
    <row r="944" ht="15.75" customHeight="1" s="230"/>
    <row r="945" ht="15.75" customHeight="1" s="230"/>
    <row r="946" ht="15.75" customHeight="1" s="230"/>
    <row r="947" ht="15.75" customHeight="1" s="230"/>
    <row r="948" ht="15.75" customHeight="1" s="230"/>
    <row r="949" ht="15.75" customHeight="1" s="230"/>
    <row r="950" ht="15.75" customHeight="1" s="230"/>
    <row r="951" ht="15.75" customHeight="1" s="230"/>
    <row r="952" ht="15.75" customHeight="1" s="230"/>
    <row r="953" ht="15.75" customHeight="1" s="230"/>
    <row r="954" ht="15.75" customHeight="1" s="230"/>
    <row r="955" ht="15.75" customHeight="1" s="230"/>
    <row r="956" ht="15.75" customHeight="1" s="230"/>
    <row r="957" ht="15.75" customHeight="1" s="230"/>
    <row r="958" ht="15.75" customHeight="1" s="230"/>
    <row r="959" ht="15.75" customHeight="1" s="230"/>
    <row r="960" ht="15.75" customHeight="1" s="230"/>
    <row r="961" ht="15.75" customHeight="1" s="230"/>
    <row r="962" ht="15.75" customHeight="1" s="230"/>
    <row r="963" ht="15.75" customHeight="1" s="230"/>
    <row r="964" ht="15.75" customHeight="1" s="230"/>
    <row r="965" ht="15.75" customHeight="1" s="230"/>
    <row r="966" ht="15.75" customHeight="1" s="230"/>
    <row r="967" ht="15.75" customHeight="1" s="230"/>
    <row r="968" ht="15.75" customHeight="1" s="230"/>
    <row r="969" ht="15.75" customHeight="1" s="230"/>
    <row r="970" ht="15.75" customHeight="1" s="230"/>
    <row r="971" ht="15.75" customHeight="1" s="230"/>
    <row r="972" ht="15.75" customHeight="1" s="230"/>
    <row r="973" ht="15.75" customHeight="1" s="230"/>
    <row r="974" ht="15.75" customHeight="1" s="230"/>
    <row r="975" ht="15.75" customHeight="1" s="230"/>
    <row r="976" ht="15.75" customHeight="1" s="230"/>
    <row r="977" ht="15.75" customHeight="1" s="230"/>
    <row r="978" ht="15.75" customHeight="1" s="230"/>
    <row r="979" ht="15.75" customHeight="1" s="230"/>
    <row r="980" ht="15.75" customHeight="1" s="230"/>
    <row r="981" ht="15.75" customHeight="1" s="230"/>
    <row r="982" ht="15.75" customHeight="1" s="230"/>
    <row r="983" ht="15.75" customHeight="1" s="230"/>
    <row r="984" ht="15.75" customHeight="1" s="230"/>
    <row r="985" ht="15.75" customHeight="1" s="230"/>
    <row r="986" ht="15.75" customHeight="1" s="230"/>
    <row r="987" ht="15.75" customHeight="1" s="230"/>
    <row r="988" ht="15.75" customHeight="1" s="230"/>
    <row r="989" ht="15.75" customHeight="1" s="230"/>
    <row r="990" ht="15.75" customHeight="1" s="230"/>
    <row r="991" ht="15.75" customHeight="1" s="230"/>
    <row r="992" ht="15.75" customHeight="1" s="230"/>
    <row r="993" ht="15.75" customHeight="1" s="230"/>
    <row r="994" ht="15.75" customHeight="1" s="230"/>
    <row r="995" ht="15.75" customHeight="1" s="230"/>
    <row r="996" ht="15.75" customHeight="1" s="230"/>
    <row r="997" ht="15.75" customHeight="1" s="230"/>
    <row r="998" ht="15.75" customHeight="1" s="230"/>
    <row r="999" ht="15.75" customHeight="1" s="230"/>
    <row r="1000" ht="15.75" customHeight="1" s="230"/>
  </sheetData>
  <mergeCells count="35">
    <mergeCell ref="D59:H59"/>
    <mergeCell ref="D69:H69"/>
    <mergeCell ref="D81:H81"/>
    <mergeCell ref="D80:H80"/>
    <mergeCell ref="D84:H84"/>
    <mergeCell ref="J18:M18"/>
    <mergeCell ref="B63:H63"/>
    <mergeCell ref="B36:H36"/>
    <mergeCell ref="D77:H77"/>
    <mergeCell ref="B4:H4"/>
    <mergeCell ref="D2:H2"/>
    <mergeCell ref="D86:H86"/>
    <mergeCell ref="D70:H70"/>
    <mergeCell ref="D75:H75"/>
    <mergeCell ref="D87:H87"/>
    <mergeCell ref="D72:H72"/>
    <mergeCell ref="D78:H78"/>
    <mergeCell ref="B26:J26"/>
    <mergeCell ref="B48:H48"/>
    <mergeCell ref="D71:H71"/>
    <mergeCell ref="D62:H62"/>
    <mergeCell ref="D74:H74"/>
    <mergeCell ref="D85:H85"/>
    <mergeCell ref="D83:H83"/>
    <mergeCell ref="D73:H73"/>
    <mergeCell ref="B53:H53"/>
    <mergeCell ref="D82:H82"/>
    <mergeCell ref="J4:M4"/>
    <mergeCell ref="D89:H89"/>
    <mergeCell ref="J11:M11"/>
    <mergeCell ref="B66:M66"/>
    <mergeCell ref="D51:H51"/>
    <mergeCell ref="B10:H10"/>
    <mergeCell ref="D79:H79"/>
    <mergeCell ref="D88:H88"/>
  </mergeCells>
  <conditionalFormatting sqref="F38:F44">
    <cfRule type="cellIs" priority="1" operator="equal" dxfId="0">
      <formula>"GREEN"</formula>
    </cfRule>
    <cfRule type="cellIs" priority="2" operator="equal" dxfId="1">
      <formula>"YELLOW"</formula>
    </cfRule>
    <cfRule type="cellIs" priority="3" operator="equal" dxfId="2">
      <formula>"RED"</formula>
    </cfRule>
    <cfRule type="cellIs" priority="4" operator="equal" dxfId="2">
      <formula>"KNOCKOUT"</formula>
    </cfRule>
  </conditionalFormatting>
  <conditionalFormatting sqref="C2">
    <cfRule type="cellIs" priority="5" operator="equal" dxfId="0">
      <formula>"APPROVE"</formula>
    </cfRule>
    <cfRule type="cellIs" priority="6" operator="equal" dxfId="1">
      <formula>"CONDITIONAL"</formula>
    </cfRule>
    <cfRule type="cellIs" priority="7" operator="equal" dxfId="2">
      <formula>"DECLINE"</formula>
    </cfRule>
  </conditionalFormatting>
  <conditionalFormatting sqref="C51">
    <cfRule type="cellIs" priority="8" operator="equal" dxfId="0">
      <formula>"APPROVE"</formula>
    </cfRule>
    <cfRule type="cellIs" priority="9" operator="equal" dxfId="1">
      <formula>"CONDITIONAL"</formula>
    </cfRule>
    <cfRule type="cellIs" priority="10" operator="equal" dxfId="2">
      <formula>"DECLINE"</formula>
    </cfRule>
  </conditionalFormatting>
  <dataValidations count="3">
    <dataValidation sqref="E28:E33" showDropDown="0" showInputMessage="0" showErrorMessage="0" allowBlank="1" type="list">
      <formula1>"Weekly,Daily,Monthly"</formula1>
    </dataValidation>
    <dataValidation sqref="B12:B23" showDropDown="0" showInputMessage="0" showErrorMessage="0" allowBlank="1" type="list">
      <formula1>"Jan,Feb,Mar,Apr,May,Jun,Jul,Aug,Sep,Oct,Nov,Dec"</formula1>
    </dataValidation>
    <dataValidation sqref="E6" showDropDown="0" showInputMessage="0" showErrorMessage="0" allowBlank="1" type="list">
      <formula1>"Daily,Weekly"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selection activeCell="A1" sqref="A1"/>
    </sheetView>
  </sheetViews>
  <sheetFormatPr baseColWidth="8" defaultRowHeight="15"/>
  <cols>
    <col width="3" customWidth="1" style="230" min="1" max="1"/>
    <col width="46" customWidth="1" style="230" min="2" max="2"/>
    <col width="22" customWidth="1" style="230" min="3" max="3"/>
    <col width="90" customWidth="1" style="230" min="4" max="4"/>
  </cols>
  <sheetData>
    <row r="1">
      <c r="B1" s="244" t="inlineStr">
        <is>
          <t>DECISION SUMMARY  (outline of the 20-item user-facing output)</t>
        </is>
      </c>
    </row>
    <row r="3">
      <c r="A3" s="237" t="inlineStr"/>
      <c r="B3" s="237" t="inlineStr">
        <is>
          <t>Item</t>
        </is>
      </c>
      <c r="C3" s="237" t="inlineStr">
        <is>
          <t>Value</t>
        </is>
      </c>
      <c r="D3" s="237" t="inlineStr">
        <is>
          <t>How it will be produced</t>
        </is>
      </c>
    </row>
    <row r="4" ht="60" customHeight="1" s="230">
      <c r="B4" s="240" t="inlineStr">
        <is>
          <t>DECISION</t>
        </is>
      </c>
      <c r="C4" s="243" t="inlineStr">
        <is>
          <t>APPROVE / CONDITIONAL / MANUAL REVIEW / DECLINE</t>
        </is>
      </c>
      <c r="D4" s="242" t="inlineStr">
        <is>
          <t>→ DECLINE: merchant knockout, no clean room, adjusted fund &lt; minimum, or red flags at the adjusted offer &gt;= limit. MANUAL REVIEW: any active trigger. CONDITIONAL: any yellow/red at the adjusted offer, modifier Mild negative or worse, or a risk-based stip. Else APPROVE.</t>
        </is>
      </c>
    </row>
    <row r="5" ht="30" customHeight="1" s="230">
      <c r="B5" s="240" t="inlineStr">
        <is>
          <t>Recommended funding amount</t>
        </is>
      </c>
      <c r="C5" s="243" t="inlineStr">
        <is>
          <t>$</t>
        </is>
      </c>
      <c r="D5" s="242" t="inlineStr">
        <is>
          <t>→ Offer Engine adjusted fund; detail shows cash-flow max, % used, requested amount</t>
        </is>
      </c>
    </row>
    <row r="6" ht="30" customHeight="1" s="230">
      <c r="B6" s="240" t="inlineStr">
        <is>
          <t>Recommended factor rate</t>
        </is>
      </c>
      <c r="C6" s="243" t="inlineStr">
        <is>
          <t>1.40/1.45/1.49</t>
        </is>
      </c>
      <c r="D6" s="242" t="inlineStr">
        <is>
          <t>→ adjusted factor; note if raised by history</t>
        </is>
      </c>
    </row>
    <row r="7" ht="30" customHeight="1" s="230">
      <c r="B7" s="240" t="inlineStr">
        <is>
          <t>Recommended term</t>
        </is>
      </c>
      <c r="C7" s="243" t="inlineStr">
        <is>
          <t>weeks or daily pmts</t>
        </is>
      </c>
      <c r="D7" s="242" t="inlineStr">
        <is>
          <t>→ adjusted term in final units; months; note if shortened</t>
        </is>
      </c>
    </row>
    <row r="8" ht="30" customHeight="1" s="230">
      <c r="B8" s="240" t="inlineStr">
        <is>
          <t>Payment</t>
        </is>
      </c>
      <c r="C8" s="243" t="inlineStr">
        <is>
          <t>$ per week / day</t>
        </is>
      </c>
      <c r="D8" s="242" t="inlineStr">
        <is>
          <t>→ with daily-equivalent, monthly, payback, net</t>
        </is>
      </c>
    </row>
    <row r="9" ht="30" customHeight="1" s="230">
      <c r="B9" s="240" t="inlineStr">
        <is>
          <t>Daily or weekly</t>
        </is>
      </c>
      <c r="C9" s="243" t="inlineStr">
        <is>
          <t>Daily / Weekly</t>
        </is>
      </c>
      <c r="D9" s="242" t="inlineStr">
        <is>
          <t>→ final frequency and why</t>
        </is>
      </c>
    </row>
    <row r="10" ht="30" customHeight="1" s="230">
      <c r="B10" s="240" t="inlineStr">
        <is>
          <t>Holdback %</t>
        </is>
      </c>
      <c r="C10" s="243" t="inlineStr">
        <is>
          <t>%</t>
        </is>
      </c>
      <c r="D10" s="242" t="inlineStr">
        <is>
          <t>→ at the adjusted offer, with status and green line</t>
        </is>
      </c>
    </row>
    <row r="11" ht="30" customHeight="1" s="230">
      <c r="B11" s="240" t="inlineStr">
        <is>
          <t>Total leverage</t>
        </is>
      </c>
      <c r="C11" s="243" t="inlineStr">
        <is>
          <t>%</t>
        </is>
      </c>
      <c r="D11" s="242" t="inlineStr">
        <is>
          <t>→ at the adjusted offer</t>
        </is>
      </c>
    </row>
    <row r="12" ht="30" customHeight="1" s="230">
      <c r="B12" s="240" t="inlineStr">
        <is>
          <t>Funding-to-revenue</t>
        </is>
      </c>
      <c r="C12" s="243" t="inlineStr">
        <is>
          <t>x</t>
        </is>
      </c>
      <c r="D12" s="242" t="inlineStr">
        <is>
          <t>→ at the adjusted offer</t>
        </is>
      </c>
    </row>
    <row r="13" ht="30" customHeight="1" s="230">
      <c r="B13" s="240" t="inlineStr">
        <is>
          <t>Daily debt-to-balance</t>
        </is>
      </c>
      <c r="C13" s="243" t="inlineStr">
        <is>
          <t>%</t>
        </is>
      </c>
      <c r="D13" s="242" t="inlineStr">
        <is>
          <t>→ at the adjusted offer</t>
        </is>
      </c>
    </row>
    <row r="14" ht="30" customHeight="1" s="230">
      <c r="B14" s="240" t="inlineStr">
        <is>
          <t>Number of positions (incl. new)</t>
        </is>
      </c>
      <c r="C14" s="243" t="inlineStr">
        <is>
          <t>n</t>
        </is>
      </c>
      <c r="D14" s="242" t="inlineStr">
        <is>
          <t>→ Deal C42 and status; override noted</t>
        </is>
      </c>
    </row>
    <row r="15" ht="30" customHeight="1" s="230">
      <c r="B15" s="240" t="inlineStr">
        <is>
          <t>Cash-flow risk score</t>
        </is>
      </c>
      <c r="C15" s="243" t="inlineStr">
        <is>
          <t>x of N</t>
        </is>
      </c>
      <c r="D15" s="242" t="inlineStr">
        <is>
          <t>→ Deal score, tier name, scaled score</t>
        </is>
      </c>
    </row>
    <row r="16" ht="30" customHeight="1" s="230">
      <c r="B16" s="240" t="inlineStr">
        <is>
          <t>Historical risk score / modifier</t>
        </is>
      </c>
      <c r="C16" s="243" t="inlineStr">
        <is>
          <t>level name</t>
        </is>
      </c>
      <c r="D16" s="242" t="inlineStr">
        <is>
          <t>→ relative index, multiplier, steps, confidence cap</t>
        </is>
      </c>
    </row>
    <row r="17" ht="30" customHeight="1" s="230">
      <c r="B17" s="240" t="inlineStr">
        <is>
          <t>Overall confidence</t>
        </is>
      </c>
      <c r="C17" s="243" t="inlineStr">
        <is>
          <t>High / Medium / Low</t>
        </is>
      </c>
      <c r="D17" s="242" t="inlineStr">
        <is>
          <t>→ Z, open share, primary tier</t>
        </is>
      </c>
    </row>
    <row r="18" ht="30" customHeight="1" s="230">
      <c r="B18" s="240" t="inlineStr">
        <is>
          <t>Number of comparable deals</t>
        </is>
      </c>
      <c r="C18" s="243" t="inlineStr">
        <is>
          <t>seasoned / all</t>
        </is>
      </c>
      <c r="D18" s="242" t="inlineStr">
        <is>
          <t>→ primary cohort</t>
        </is>
      </c>
    </row>
    <row r="19" ht="30" customHeight="1" s="230">
      <c r="B19" s="240" t="inlineStr">
        <is>
          <t>Percentage of comparable deals seasoned</t>
        </is>
      </c>
      <c r="C19" s="243" t="inlineStr">
        <is>
          <t>%</t>
        </is>
      </c>
      <c r="D19" s="242" t="inlineStr">
        <is>
          <t xml:space="preserve">→ </t>
        </is>
      </c>
    </row>
    <row r="20" ht="30" customHeight="1" s="230">
      <c r="B20" s="240" t="inlineStr">
        <is>
          <t>Comparable-cohort principal lost rate</t>
        </is>
      </c>
      <c r="C20" s="243" t="inlineStr">
        <is>
          <t>%</t>
        </is>
      </c>
      <c r="D20" s="242" t="inlineStr">
        <is>
          <t>→ vs seasoned book, blended, collected on defaults</t>
        </is>
      </c>
    </row>
    <row r="21" ht="30" customHeight="1" s="230">
      <c r="B21" s="240" t="inlineStr">
        <is>
          <t>Comparable-cohort return</t>
        </is>
      </c>
      <c r="C21" s="243" t="inlineStr">
        <is>
          <t>%</t>
        </is>
      </c>
      <c r="D21" s="242" t="inlineStr">
        <is>
          <t>→ seasoned deals only</t>
        </is>
      </c>
    </row>
    <row r="22" ht="30" customHeight="1" s="230">
      <c r="B22" s="240" t="inlineStr">
        <is>
          <t>Which variable had the largest historical impact</t>
        </is>
      </c>
      <c r="C22" s="243" t="inlineStr">
        <is>
          <t>name + numbers</t>
        </is>
      </c>
      <c r="D22" s="242" t="inlineStr">
        <is>
          <t>→ largest |blended - book| among position / NR / industry / ISO</t>
        </is>
      </c>
    </row>
    <row r="23" ht="30" customHeight="1" s="230">
      <c r="B23" s="240" t="inlineStr">
        <is>
          <t>Which metric limited the offer</t>
        </is>
      </c>
      <c r="C23" s="243" t="inlineStr">
        <is>
          <t>name</t>
        </is>
      </c>
      <c r="D23" s="242" t="inlineStr">
        <is>
          <t>→ Deal D59 plus whether the term was capped by fund/revenue</t>
        </is>
      </c>
    </row>
    <row r="24" ht="30" customHeight="1" s="230">
      <c r="B24" s="240" t="inlineStr">
        <is>
          <t>ISO / industry / state / position evidence</t>
        </is>
      </c>
      <c r="C24" s="243" t="inlineStr">
        <is>
          <t>sentences</t>
        </is>
      </c>
      <c r="D24" s="242" t="inlineStr">
        <is>
          <t>→ from Historical Score; conflict flag</t>
        </is>
      </c>
    </row>
    <row r="25" ht="30" customHeight="1" s="230">
      <c r="B25" s="240" t="inlineStr">
        <is>
          <t>Required stipulations</t>
        </is>
      </c>
      <c r="C25" s="243" t="inlineStr">
        <is>
          <t>text</t>
        </is>
      </c>
      <c r="D25" s="242" t="inlineStr">
        <is>
          <t>→ standard + conditional rules</t>
        </is>
      </c>
    </row>
    <row r="26" ht="30" customHeight="1" s="230">
      <c r="B26" s="240" t="inlineStr">
        <is>
          <t>Manual-review triggers fired</t>
        </is>
      </c>
      <c r="C26" s="243" t="inlineStr">
        <is>
          <t>text</t>
        </is>
      </c>
      <c r="D26" s="242" t="inlineStr">
        <is>
          <t>→ blank = none</t>
        </is>
      </c>
    </row>
    <row r="27" ht="30" customHeight="1" s="230">
      <c r="B27" s="240" t="inlineStr">
        <is>
          <t>Main risks / positive factors</t>
        </is>
      </c>
      <c r="C27" s="243" t="inlineStr">
        <is>
          <t>text</t>
        </is>
      </c>
      <c r="D27" s="242" t="inlineStr">
        <is>
          <t>→ reds and greens named; renewal called out</t>
        </is>
      </c>
    </row>
    <row r="28" ht="100" customHeight="1" s="230">
      <c r="B28" s="240" t="inlineStr">
        <is>
          <t>Underwriter's conclusion</t>
        </is>
      </c>
      <c r="C28" s="243" t="inlineStr">
        <is>
          <t>paragraph</t>
        </is>
      </c>
      <c r="D28" s="242" t="inlineStr">
        <is>
          <t>→ "Cash flow supports up to $X (limit, term @ factor). The recommendation is $Y (Z% of the maximum) at f over t, $p/wk, because the primary comparable cohort (name) holds n seasoned deals with a principal lost rate of a% against b% for the seasoned book; at credibility Z that blends to c% (index i), which is &lt;level&gt;. Confidence is &lt;conf&gt;. &lt;ISO sentence&gt;. &lt;Industry sentence&gt;. &lt;State sentence - informational only&gt;. &lt;triggers / stips&gt;."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3" customWidth="1" style="230" min="1" max="1"/>
    <col width="44" customWidth="1" style="230" min="2" max="2"/>
    <col width="24" customWidth="1" style="230" min="3" max="3"/>
    <col width="60" customWidth="1" style="230" min="4" max="4"/>
  </cols>
  <sheetData>
    <row r="1">
      <c r="B1" s="244" t="inlineStr">
        <is>
          <t>OFFER ENGINE  -  base cash-flow offer -&gt; historical adjustment -&gt; adjusted offer  (outline)</t>
        </is>
      </c>
    </row>
    <row r="3">
      <c r="A3" s="237" t="inlineStr"/>
      <c r="B3" s="237" t="inlineStr">
        <is>
          <t>Item</t>
        </is>
      </c>
      <c r="C3" s="237" t="inlineStr">
        <is>
          <t>Base (cash flow only)</t>
        </is>
      </c>
      <c r="D3" s="237" t="inlineStr">
        <is>
          <t>Adjusted (with history)</t>
        </is>
      </c>
    </row>
    <row r="4" ht="30" customHeight="1" s="230">
      <c r="B4" s="240" t="inlineStr">
        <is>
          <t>Cash-flow max daily payment</t>
        </is>
      </c>
      <c r="C4" s="242" t="inlineStr">
        <is>
          <t>→ Deal C59</t>
        </is>
      </c>
      <c r="D4" s="242" t="inlineStr">
        <is>
          <t>→ same - this is the ceiling</t>
        </is>
      </c>
    </row>
    <row r="5" ht="30" customHeight="1" s="230">
      <c r="B5" s="240" t="inlineStr">
        <is>
          <t>Term (daily pmts)</t>
        </is>
      </c>
      <c r="C5" s="242" t="inlineStr">
        <is>
          <t>→ Deal C61 (band term)</t>
        </is>
      </c>
      <c r="D5" s="242" t="inlineStr">
        <is>
          <t>→ MAX(20, MIN(base, band-table row moved by the term step))</t>
        </is>
      </c>
    </row>
    <row r="6" ht="30" customHeight="1" s="230">
      <c r="B6" s="240" t="inlineStr">
        <is>
          <t>Factor</t>
        </is>
      </c>
      <c r="C6" s="242" t="inlineStr">
        <is>
          <t>→ Deal D61 (band factor)</t>
        </is>
      </c>
      <c r="D6" s="242" t="inlineStr">
        <is>
          <t>→ next approved tier by the factor step, never above 1.49</t>
        </is>
      </c>
    </row>
    <row r="7" ht="30" customHeight="1" s="230">
      <c r="B7" s="240" t="inlineStr">
        <is>
          <t>Fund $</t>
        </is>
      </c>
      <c r="C7" s="242" t="inlineStr">
        <is>
          <t>→ Deal C62 (cash-flow max)</t>
        </is>
      </c>
      <c r="D7" s="242" t="inlineStr">
        <is>
          <t>→ MIN(base x multiplier, max daily x adjusted term / adjusted factor), floor $500</t>
        </is>
      </c>
    </row>
    <row r="8" ht="30" customHeight="1" s="230">
      <c r="B8" s="240" t="inlineStr">
        <is>
          <t>Daily payment</t>
        </is>
      </c>
      <c r="C8" s="242" t="inlineStr">
        <is>
          <t>→ fund x factor / term</t>
        </is>
      </c>
      <c r="D8" s="242" t="inlineStr">
        <is>
          <t>→ same formula on adjusted numbers - always &lt;= max daily</t>
        </is>
      </c>
    </row>
    <row r="9" ht="30" customHeight="1" s="230">
      <c r="B9" s="240" t="inlineStr">
        <is>
          <t>Modifier level / multiplier / steps / frequency</t>
        </is>
      </c>
      <c r="C9" s="242" t="inlineStr">
        <is>
          <t>→ from Historical Score + Controls table</t>
        </is>
      </c>
      <c r="D9" s="242" t="inlineStr">
        <is>
          <t>→ same</t>
        </is>
      </c>
    </row>
    <row r="10" ht="30" customHeight="1" s="230">
      <c r="B10" s="240" t="inlineStr">
        <is>
          <t>Frequency (final)</t>
        </is>
      </c>
      <c r="C10" s="242" t="inlineStr">
        <is>
          <t>→ Deal E6</t>
        </is>
      </c>
      <c r="D10" s="242" t="inlineStr">
        <is>
          <t>→ Weekly if the modifier requires it, else as proposed</t>
        </is>
      </c>
    </row>
    <row r="11" ht="30" customHeight="1" s="230">
      <c r="B11" s="240" t="inlineStr">
        <is>
          <t>Term &amp; payment in final units</t>
        </is>
      </c>
      <c r="C11" s="242" t="inlineStr">
        <is>
          <t>→ weeks = daily pmts / 5</t>
        </is>
      </c>
      <c r="D11" s="242" t="inlineStr">
        <is>
          <t>→ same</t>
        </is>
      </c>
    </row>
    <row r="12" ht="30" customHeight="1" s="230">
      <c r="B12" s="240" t="inlineStr">
        <is>
          <t>Payback / net / months</t>
        </is>
      </c>
      <c r="C12" s="242" t="inlineStr">
        <is>
          <t>→ fund x factor; fund x (1 - fee); term / 21.655</t>
        </is>
      </c>
      <c r="D12" s="242" t="inlineStr">
        <is>
          <t>→ same</t>
        </is>
      </c>
    </row>
    <row r="14">
      <c r="B14" s="235" t="inlineStr">
        <is>
          <t>METRICS RE-CHECKED AT THE ADJUSTED OFFER  (must stay off RED / KNOCKOUT)</t>
        </is>
      </c>
    </row>
    <row r="15">
      <c r="B15" s="245" t="inlineStr">
        <is>
          <t>Total LVG</t>
        </is>
      </c>
      <c r="C15" s="242" t="inlineStr">
        <is>
          <t>→ recomputed with the adjusted payment / fund</t>
        </is>
      </c>
      <c r="D15" s="242" t="inlineStr">
        <is>
          <t>→ GREEN / YELLOW / RED / KNOCKOUT against Controls; positions, trend, NSF and credit carried over unchanged</t>
        </is>
      </c>
    </row>
    <row r="16">
      <c r="B16" s="245" t="inlineStr">
        <is>
          <t>New holdback SP%</t>
        </is>
      </c>
      <c r="C16" s="242" t="inlineStr">
        <is>
          <t>→ recomputed with the adjusted payment / fund</t>
        </is>
      </c>
      <c r="D16" s="242" t="inlineStr">
        <is>
          <t>→ GREEN / YELLOW / RED / KNOCKOUT against Controls; positions, trend, NSF and credit carried over unchanged</t>
        </is>
      </c>
    </row>
    <row r="17">
      <c r="B17" s="245" t="inlineStr">
        <is>
          <t>Daily debt / balance</t>
        </is>
      </c>
      <c r="C17" s="242" t="inlineStr">
        <is>
          <t>→ recomputed with the adjusted payment / fund</t>
        </is>
      </c>
      <c r="D17" s="242" t="inlineStr">
        <is>
          <t>→ GREEN / YELLOW / RED / KNOCKOUT against Controls; positions, trend, NSF and credit carried over unchanged</t>
        </is>
      </c>
    </row>
    <row r="18">
      <c r="B18" s="245" t="inlineStr">
        <is>
          <t>Fund / revenue</t>
        </is>
      </c>
      <c r="C18" s="242" t="inlineStr">
        <is>
          <t>→ recomputed with the adjusted payment / fund</t>
        </is>
      </c>
      <c r="D18" s="242" t="inlineStr">
        <is>
          <t>→ GREEN / YELLOW / RED / KNOCKOUT against Controls; positions, trend, NSF and credit carried over unchanged</t>
        </is>
      </c>
    </row>
    <row r="20">
      <c r="B20" s="235" t="inlineStr">
        <is>
          <t>SAFETY PROOF (shown on every deal)</t>
        </is>
      </c>
    </row>
    <row r="21">
      <c r="B21" s="245" t="inlineStr">
        <is>
          <t>Adjusted fund &lt;= cash-flow max fund</t>
        </is>
      </c>
      <c r="C21" s="242" t="inlineStr">
        <is>
          <t>→ OK / FAIL</t>
        </is>
      </c>
    </row>
    <row r="22">
      <c r="B22" s="245" t="inlineStr">
        <is>
          <t>Adjusted daily payment &lt;= cash-flow max daily</t>
        </is>
      </c>
      <c r="C22" s="242" t="inlineStr">
        <is>
          <t>→ OK / FAIL</t>
        </is>
      </c>
    </row>
    <row r="23">
      <c r="B23" s="245" t="inlineStr">
        <is>
          <t>No offer-side metric RED / KNOCKOUT at the adjusted offer</t>
        </is>
      </c>
      <c r="C23" s="242" t="inlineStr">
        <is>
          <t>→ OK / FAIL</t>
        </is>
      </c>
    </row>
    <row r="24">
      <c r="B24" s="245" t="inlineStr">
        <is>
          <t>Merchant knockouts untouched (history cannot remove them)</t>
        </is>
      </c>
      <c r="C24" s="242" t="inlineStr">
        <is>
          <t>→ OK / FAIL</t>
        </is>
      </c>
    </row>
    <row r="25">
      <c r="B25" s="245" t="inlineStr">
        <is>
          <t>Red flags at the adjusted offer (offer-side + merchant-side) -&gt; feeds the final decision</t>
        </is>
      </c>
      <c r="C25" s="242" t="inlineStr">
        <is>
          <t>→ OK / FAIL</t>
        </is>
      </c>
    </row>
  </sheetData>
  <mergeCells count="2">
    <mergeCell ref="B14:D14"/>
    <mergeCell ref="B20:D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9"/>
  <sheetViews>
    <sheetView showGridLines="0" workbookViewId="0">
      <pane xSplit="3" ySplit="13" topLeftCell="D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style="230" min="1" max="1"/>
    <col width="36" customWidth="1" style="230" min="2" max="2"/>
    <col width="44" customWidth="1" style="230" min="3" max="3"/>
    <col width="11" customWidth="1" style="230" min="4" max="4"/>
    <col width="11" customWidth="1" style="230" min="5" max="5"/>
    <col width="11" customWidth="1" style="230" min="6" max="6"/>
    <col width="11" customWidth="1" style="230" min="7" max="7"/>
    <col width="11" customWidth="1" style="230" min="8" max="8"/>
    <col width="11" customWidth="1" style="230" min="9" max="9"/>
    <col width="11" customWidth="1" style="230" min="10" max="10"/>
    <col width="11" customWidth="1" style="230" min="11" max="11"/>
    <col width="11" customWidth="1" style="230" min="12" max="12"/>
    <col width="11" customWidth="1" style="230" min="13" max="13"/>
    <col width="11" customWidth="1" style="230" min="14" max="14"/>
    <col width="11" customWidth="1" style="230" min="15" max="15"/>
    <col width="11" customWidth="1" style="230" min="16" max="16"/>
    <col width="11" customWidth="1" style="230" min="17" max="17"/>
    <col width="11" customWidth="1" style="230" min="18" max="18"/>
    <col width="11" customWidth="1" style="230" min="19" max="19"/>
    <col width="11" customWidth="1" style="230" min="20" max="20"/>
    <col width="11" customWidth="1" style="230" min="21" max="21"/>
    <col width="11" customWidth="1" style="230" min="22" max="22"/>
    <col width="11" customWidth="1" style="230" min="23" max="23"/>
    <col width="11" customWidth="1" style="230" min="24" max="24"/>
    <col width="11" customWidth="1" style="230" min="25" max="25"/>
  </cols>
  <sheetData>
    <row r="1">
      <c r="A1" s="244" t="inlineStr">
        <is>
          <t>HISTORICAL SCORE  -  comparable cohorts, credibility and the risk modifier  (outline)</t>
        </is>
      </c>
    </row>
    <row r="2">
      <c r="A2" s="236" t="inlineStr">
        <is>
          <t>Every rate uses SEASONED deals only. Unseasoned deals are counted, never rated. State never enters the hierarchy.</t>
        </is>
      </c>
    </row>
    <row r="4">
      <c r="A4" s="235" t="inlineStr">
        <is>
          <t>DEAL BEING MATCHED</t>
        </is>
      </c>
    </row>
    <row r="5">
      <c r="B5" s="245" t="inlineStr">
        <is>
          <t>New deal or renewal</t>
        </is>
      </c>
      <c r="C5" s="242" t="inlineStr">
        <is>
          <t>→ Deal profile input</t>
        </is>
      </c>
    </row>
    <row r="6">
      <c r="B6" s="245" t="inlineStr">
        <is>
          <t>Proposed position</t>
        </is>
      </c>
      <c r="C6" s="242" t="inlineStr">
        <is>
          <t>→ Deal C42, or the override</t>
        </is>
      </c>
    </row>
    <row r="7">
      <c r="B7" s="245" t="inlineStr">
        <is>
          <t>Industry</t>
        </is>
      </c>
      <c r="C7" s="242" t="inlineStr">
        <is>
          <t>→ Deal profile input</t>
        </is>
      </c>
    </row>
    <row r="8">
      <c r="B8" s="245" t="inlineStr">
        <is>
          <t>ISO</t>
        </is>
      </c>
      <c r="C8" s="242" t="inlineStr">
        <is>
          <t>→ Deal profile input</t>
        </is>
      </c>
    </row>
    <row r="9">
      <c r="B9" s="245" t="inlineStr">
        <is>
          <t>State</t>
        </is>
      </c>
      <c r="C9" s="242" t="inlineStr">
        <is>
          <t>→ Deal profile input (informational)</t>
        </is>
      </c>
    </row>
    <row r="10">
      <c r="B10" s="245" t="inlineStr">
        <is>
          <t>Seasoned-book principal lost rate</t>
        </is>
      </c>
      <c r="C10" s="242" t="inlineStr">
        <is>
          <t>→ tier 7 row below - the baseline every cohort is compared to</t>
        </is>
      </c>
    </row>
    <row r="13" ht="40" customHeight="1" s="230">
      <c r="A13" s="237" t="inlineStr">
        <is>
          <t>Tier</t>
        </is>
      </c>
      <c r="B13" s="237" t="inlineStr">
        <is>
          <t>Cohort</t>
        </is>
      </c>
      <c r="C13" s="237" t="inlineStr">
        <is>
          <t>Keys</t>
        </is>
      </c>
      <c r="D13" s="237" t="inlineStr">
        <is>
          <t>Deals (all)</t>
        </is>
      </c>
      <c r="E13" s="237" t="inlineStr">
        <is>
          <t>Seasoned</t>
        </is>
      </c>
      <c r="F13" s="237" t="inlineStr">
        <is>
          <t>% seasoned</t>
        </is>
      </c>
      <c r="G13" s="237" t="inlineStr">
        <is>
          <t>Funded $ (seasoned)</t>
        </is>
      </c>
      <c r="H13" s="237" t="inlineStr">
        <is>
          <t>Open n</t>
        </is>
      </c>
      <c r="I13" s="237" t="inlineStr">
        <is>
          <t>Open %</t>
        </is>
      </c>
      <c r="J13" s="237" t="inlineStr">
        <is>
          <t>Default n</t>
        </is>
      </c>
      <c r="K13" s="237" t="inlineStr">
        <is>
          <t>Default %</t>
        </is>
      </c>
      <c r="L13" s="237" t="inlineStr">
        <is>
          <t>Principal lost rate</t>
        </is>
      </c>
      <c r="M13" s="237" t="inlineStr">
        <is>
          <t>Collected on defaults</t>
        </is>
      </c>
      <c r="N13" s="237" t="inlineStr">
        <is>
          <t>Return on funded</t>
        </is>
      </c>
      <c r="O13" s="237" t="inlineStr">
        <is>
          <t>Avg adv/rev</t>
        </is>
      </c>
      <c r="P13" s="237" t="inlineStr">
        <is>
          <t>Avg term (bd)</t>
        </is>
      </c>
      <c r="Q13" s="237" t="inlineStr">
        <is>
          <t>Avg factor</t>
        </is>
      </c>
      <c r="R13" s="237" t="inlineStr">
        <is>
          <t>Avg deal size</t>
        </is>
      </c>
      <c r="S13" s="237" t="inlineStr">
        <is>
          <t>Avg days on book</t>
        </is>
      </c>
      <c r="T13" s="237" t="inlineStr">
        <is>
          <t>Renewal share</t>
        </is>
      </c>
      <c r="U13" s="237" t="inlineStr">
        <is>
          <t>Seasoned enough?</t>
        </is>
      </c>
      <c r="V13" s="237" t="inlineStr">
        <is>
          <t>Credibility Z</t>
        </is>
      </c>
      <c r="W13" s="237" t="inlineStr">
        <is>
          <t>Blended lost rate</t>
        </is>
      </c>
      <c r="X13" s="237" t="inlineStr">
        <is>
          <t>Relative index</t>
        </is>
      </c>
      <c r="Y13" s="237" t="inlineStr">
        <is>
          <t>Meets minimum?</t>
        </is>
      </c>
    </row>
    <row r="14">
      <c r="A14" s="240" t="inlineStr">
        <is>
          <t>1</t>
        </is>
      </c>
      <c r="B14" s="245" t="inlineStr">
        <is>
          <t>T1: new/renewal + industry + position</t>
        </is>
      </c>
      <c r="C14" s="245" t="inlineStr">
        <is>
          <t>closest match</t>
        </is>
      </c>
      <c r="D14" s="246" t="inlineStr">
        <is>
          <t>…</t>
        </is>
      </c>
      <c r="E14" s="246" t="inlineStr">
        <is>
          <t>…</t>
        </is>
      </c>
      <c r="F14" s="246" t="inlineStr">
        <is>
          <t>…</t>
        </is>
      </c>
      <c r="G14" s="246" t="inlineStr">
        <is>
          <t>…</t>
        </is>
      </c>
      <c r="H14" s="246" t="inlineStr">
        <is>
          <t>…</t>
        </is>
      </c>
      <c r="I14" s="246" t="inlineStr">
        <is>
          <t>…</t>
        </is>
      </c>
      <c r="J14" s="246" t="inlineStr">
        <is>
          <t>…</t>
        </is>
      </c>
      <c r="K14" s="246" t="inlineStr">
        <is>
          <t>…</t>
        </is>
      </c>
      <c r="L14" s="246" t="inlineStr">
        <is>
          <t>…</t>
        </is>
      </c>
      <c r="M14" s="246" t="inlineStr">
        <is>
          <t>…</t>
        </is>
      </c>
      <c r="N14" s="246" t="inlineStr">
        <is>
          <t>…</t>
        </is>
      </c>
      <c r="O14" s="246" t="inlineStr">
        <is>
          <t>…</t>
        </is>
      </c>
      <c r="P14" s="246" t="inlineStr">
        <is>
          <t>…</t>
        </is>
      </c>
      <c r="Q14" s="246" t="inlineStr">
        <is>
          <t>…</t>
        </is>
      </c>
      <c r="R14" s="246" t="inlineStr">
        <is>
          <t>…</t>
        </is>
      </c>
      <c r="S14" s="246" t="inlineStr">
        <is>
          <t>…</t>
        </is>
      </c>
      <c r="T14" s="246" t="inlineStr">
        <is>
          <t>…</t>
        </is>
      </c>
      <c r="U14" s="246" t="inlineStr">
        <is>
          <t>…</t>
        </is>
      </c>
      <c r="V14" s="246" t="inlineStr">
        <is>
          <t>…</t>
        </is>
      </c>
      <c r="W14" s="246" t="inlineStr">
        <is>
          <t>…</t>
        </is>
      </c>
      <c r="X14" s="246" t="inlineStr">
        <is>
          <t>…</t>
        </is>
      </c>
      <c r="Y14" s="246" t="inlineStr">
        <is>
          <t>…</t>
        </is>
      </c>
    </row>
    <row r="15">
      <c r="A15" s="240" t="inlineStr">
        <is>
          <t>2</t>
        </is>
      </c>
      <c r="B15" s="245" t="inlineStr">
        <is>
          <t>T2: new/renewal + ISO + position</t>
        </is>
      </c>
      <c r="C15" s="245" t="inlineStr">
        <is>
          <t>ISO relationship at the same stack depth</t>
        </is>
      </c>
      <c r="D15" s="246" t="inlineStr">
        <is>
          <t>…</t>
        </is>
      </c>
      <c r="E15" s="246" t="inlineStr">
        <is>
          <t>…</t>
        </is>
      </c>
      <c r="F15" s="246" t="inlineStr">
        <is>
          <t>…</t>
        </is>
      </c>
      <c r="G15" s="246" t="inlineStr">
        <is>
          <t>…</t>
        </is>
      </c>
      <c r="H15" s="246" t="inlineStr">
        <is>
          <t>…</t>
        </is>
      </c>
      <c r="I15" s="246" t="inlineStr">
        <is>
          <t>…</t>
        </is>
      </c>
      <c r="J15" s="246" t="inlineStr">
        <is>
          <t>…</t>
        </is>
      </c>
      <c r="K15" s="246" t="inlineStr">
        <is>
          <t>…</t>
        </is>
      </c>
      <c r="L15" s="246" t="inlineStr">
        <is>
          <t>…</t>
        </is>
      </c>
      <c r="M15" s="246" t="inlineStr">
        <is>
          <t>…</t>
        </is>
      </c>
      <c r="N15" s="246" t="inlineStr">
        <is>
          <t>…</t>
        </is>
      </c>
      <c r="O15" s="246" t="inlineStr">
        <is>
          <t>…</t>
        </is>
      </c>
      <c r="P15" s="246" t="inlineStr">
        <is>
          <t>…</t>
        </is>
      </c>
      <c r="Q15" s="246" t="inlineStr">
        <is>
          <t>…</t>
        </is>
      </c>
      <c r="R15" s="246" t="inlineStr">
        <is>
          <t>…</t>
        </is>
      </c>
      <c r="S15" s="246" t="inlineStr">
        <is>
          <t>…</t>
        </is>
      </c>
      <c r="T15" s="246" t="inlineStr">
        <is>
          <t>…</t>
        </is>
      </c>
      <c r="U15" s="246" t="inlineStr">
        <is>
          <t>…</t>
        </is>
      </c>
      <c r="V15" s="246" t="inlineStr">
        <is>
          <t>…</t>
        </is>
      </c>
      <c r="W15" s="246" t="inlineStr">
        <is>
          <t>…</t>
        </is>
      </c>
      <c r="X15" s="246" t="inlineStr">
        <is>
          <t>…</t>
        </is>
      </c>
      <c r="Y15" s="246" t="inlineStr">
        <is>
          <t>…</t>
        </is>
      </c>
    </row>
    <row r="16">
      <c r="A16" s="240" t="inlineStr">
        <is>
          <t>3</t>
        </is>
      </c>
      <c r="B16" s="245" t="inlineStr">
        <is>
          <t>T3: new/renewal + industry</t>
        </is>
      </c>
      <c r="C16" s="245" t="inlineStr">
        <is>
          <t>industry survived controls</t>
        </is>
      </c>
      <c r="D16" s="246" t="inlineStr">
        <is>
          <t>…</t>
        </is>
      </c>
      <c r="E16" s="246" t="inlineStr">
        <is>
          <t>…</t>
        </is>
      </c>
      <c r="F16" s="246" t="inlineStr">
        <is>
          <t>…</t>
        </is>
      </c>
      <c r="G16" s="246" t="inlineStr">
        <is>
          <t>…</t>
        </is>
      </c>
      <c r="H16" s="246" t="inlineStr">
        <is>
          <t>…</t>
        </is>
      </c>
      <c r="I16" s="246" t="inlineStr">
        <is>
          <t>…</t>
        </is>
      </c>
      <c r="J16" s="246" t="inlineStr">
        <is>
          <t>…</t>
        </is>
      </c>
      <c r="K16" s="246" t="inlineStr">
        <is>
          <t>…</t>
        </is>
      </c>
      <c r="L16" s="246" t="inlineStr">
        <is>
          <t>…</t>
        </is>
      </c>
      <c r="M16" s="246" t="inlineStr">
        <is>
          <t>…</t>
        </is>
      </c>
      <c r="N16" s="246" t="inlineStr">
        <is>
          <t>…</t>
        </is>
      </c>
      <c r="O16" s="246" t="inlineStr">
        <is>
          <t>…</t>
        </is>
      </c>
      <c r="P16" s="246" t="inlineStr">
        <is>
          <t>…</t>
        </is>
      </c>
      <c r="Q16" s="246" t="inlineStr">
        <is>
          <t>…</t>
        </is>
      </c>
      <c r="R16" s="246" t="inlineStr">
        <is>
          <t>…</t>
        </is>
      </c>
      <c r="S16" s="246" t="inlineStr">
        <is>
          <t>…</t>
        </is>
      </c>
      <c r="T16" s="246" t="inlineStr">
        <is>
          <t>…</t>
        </is>
      </c>
      <c r="U16" s="246" t="inlineStr">
        <is>
          <t>…</t>
        </is>
      </c>
      <c r="V16" s="246" t="inlineStr">
        <is>
          <t>…</t>
        </is>
      </c>
      <c r="W16" s="246" t="inlineStr">
        <is>
          <t>…</t>
        </is>
      </c>
      <c r="X16" s="246" t="inlineStr">
        <is>
          <t>…</t>
        </is>
      </c>
      <c r="Y16" s="246" t="inlineStr">
        <is>
          <t>…</t>
        </is>
      </c>
    </row>
    <row r="17">
      <c r="A17" s="240" t="inlineStr">
        <is>
          <t>4</t>
        </is>
      </c>
      <c r="B17" s="245" t="inlineStr">
        <is>
          <t>T4: new/renewal + ISO</t>
        </is>
      </c>
      <c r="C17" s="245" t="inlineStr">
        <is>
          <t>ISO survived controls</t>
        </is>
      </c>
      <c r="D17" s="246" t="inlineStr">
        <is>
          <t>…</t>
        </is>
      </c>
      <c r="E17" s="246" t="inlineStr">
        <is>
          <t>…</t>
        </is>
      </c>
      <c r="F17" s="246" t="inlineStr">
        <is>
          <t>…</t>
        </is>
      </c>
      <c r="G17" s="246" t="inlineStr">
        <is>
          <t>…</t>
        </is>
      </c>
      <c r="H17" s="246" t="inlineStr">
        <is>
          <t>…</t>
        </is>
      </c>
      <c r="I17" s="246" t="inlineStr">
        <is>
          <t>…</t>
        </is>
      </c>
      <c r="J17" s="246" t="inlineStr">
        <is>
          <t>…</t>
        </is>
      </c>
      <c r="K17" s="246" t="inlineStr">
        <is>
          <t>…</t>
        </is>
      </c>
      <c r="L17" s="246" t="inlineStr">
        <is>
          <t>…</t>
        </is>
      </c>
      <c r="M17" s="246" t="inlineStr">
        <is>
          <t>…</t>
        </is>
      </c>
      <c r="N17" s="246" t="inlineStr">
        <is>
          <t>…</t>
        </is>
      </c>
      <c r="O17" s="246" t="inlineStr">
        <is>
          <t>…</t>
        </is>
      </c>
      <c r="P17" s="246" t="inlineStr">
        <is>
          <t>…</t>
        </is>
      </c>
      <c r="Q17" s="246" t="inlineStr">
        <is>
          <t>…</t>
        </is>
      </c>
      <c r="R17" s="246" t="inlineStr">
        <is>
          <t>…</t>
        </is>
      </c>
      <c r="S17" s="246" t="inlineStr">
        <is>
          <t>…</t>
        </is>
      </c>
      <c r="T17" s="246" t="inlineStr">
        <is>
          <t>…</t>
        </is>
      </c>
      <c r="U17" s="246" t="inlineStr">
        <is>
          <t>…</t>
        </is>
      </c>
      <c r="V17" s="246" t="inlineStr">
        <is>
          <t>…</t>
        </is>
      </c>
      <c r="W17" s="246" t="inlineStr">
        <is>
          <t>…</t>
        </is>
      </c>
      <c r="X17" s="246" t="inlineStr">
        <is>
          <t>…</t>
        </is>
      </c>
      <c r="Y17" s="246" t="inlineStr">
        <is>
          <t>…</t>
        </is>
      </c>
    </row>
    <row r="18">
      <c r="A18" s="240" t="inlineStr">
        <is>
          <t>5</t>
        </is>
      </c>
      <c r="B18" s="245" t="inlineStr">
        <is>
          <t>T5: new/renewal + position</t>
        </is>
      </c>
      <c r="C18" s="245" t="inlineStr">
        <is>
          <t>position only within the renewal split</t>
        </is>
      </c>
      <c r="D18" s="246" t="inlineStr">
        <is>
          <t>…</t>
        </is>
      </c>
      <c r="E18" s="246" t="inlineStr">
        <is>
          <t>…</t>
        </is>
      </c>
      <c r="F18" s="246" t="inlineStr">
        <is>
          <t>…</t>
        </is>
      </c>
      <c r="G18" s="246" t="inlineStr">
        <is>
          <t>…</t>
        </is>
      </c>
      <c r="H18" s="246" t="inlineStr">
        <is>
          <t>…</t>
        </is>
      </c>
      <c r="I18" s="246" t="inlineStr">
        <is>
          <t>…</t>
        </is>
      </c>
      <c r="J18" s="246" t="inlineStr">
        <is>
          <t>…</t>
        </is>
      </c>
      <c r="K18" s="246" t="inlineStr">
        <is>
          <t>…</t>
        </is>
      </c>
      <c r="L18" s="246" t="inlineStr">
        <is>
          <t>…</t>
        </is>
      </c>
      <c r="M18" s="246" t="inlineStr">
        <is>
          <t>…</t>
        </is>
      </c>
      <c r="N18" s="246" t="inlineStr">
        <is>
          <t>…</t>
        </is>
      </c>
      <c r="O18" s="246" t="inlineStr">
        <is>
          <t>…</t>
        </is>
      </c>
      <c r="P18" s="246" t="inlineStr">
        <is>
          <t>…</t>
        </is>
      </c>
      <c r="Q18" s="246" t="inlineStr">
        <is>
          <t>…</t>
        </is>
      </c>
      <c r="R18" s="246" t="inlineStr">
        <is>
          <t>…</t>
        </is>
      </c>
      <c r="S18" s="246" t="inlineStr">
        <is>
          <t>…</t>
        </is>
      </c>
      <c r="T18" s="246" t="inlineStr">
        <is>
          <t>…</t>
        </is>
      </c>
      <c r="U18" s="246" t="inlineStr">
        <is>
          <t>…</t>
        </is>
      </c>
      <c r="V18" s="246" t="inlineStr">
        <is>
          <t>…</t>
        </is>
      </c>
      <c r="W18" s="246" t="inlineStr">
        <is>
          <t>…</t>
        </is>
      </c>
      <c r="X18" s="246" t="inlineStr">
        <is>
          <t>…</t>
        </is>
      </c>
      <c r="Y18" s="246" t="inlineStr">
        <is>
          <t>…</t>
        </is>
      </c>
    </row>
    <row r="19">
      <c r="A19" s="240" t="inlineStr">
        <is>
          <t>6</t>
        </is>
      </c>
      <c r="B19" s="245" t="inlineStr">
        <is>
          <t>T6: new/renewal only</t>
        </is>
      </c>
      <c r="C19" s="245" t="inlineStr">
        <is>
          <t>the book split</t>
        </is>
      </c>
      <c r="D19" s="246" t="inlineStr">
        <is>
          <t>…</t>
        </is>
      </c>
      <c r="E19" s="246" t="inlineStr">
        <is>
          <t>…</t>
        </is>
      </c>
      <c r="F19" s="246" t="inlineStr">
        <is>
          <t>…</t>
        </is>
      </c>
      <c r="G19" s="246" t="inlineStr">
        <is>
          <t>…</t>
        </is>
      </c>
      <c r="H19" s="246" t="inlineStr">
        <is>
          <t>…</t>
        </is>
      </c>
      <c r="I19" s="246" t="inlineStr">
        <is>
          <t>…</t>
        </is>
      </c>
      <c r="J19" s="246" t="inlineStr">
        <is>
          <t>…</t>
        </is>
      </c>
      <c r="K19" s="246" t="inlineStr">
        <is>
          <t>…</t>
        </is>
      </c>
      <c r="L19" s="246" t="inlineStr">
        <is>
          <t>…</t>
        </is>
      </c>
      <c r="M19" s="246" t="inlineStr">
        <is>
          <t>…</t>
        </is>
      </c>
      <c r="N19" s="246" t="inlineStr">
        <is>
          <t>…</t>
        </is>
      </c>
      <c r="O19" s="246" t="inlineStr">
        <is>
          <t>…</t>
        </is>
      </c>
      <c r="P19" s="246" t="inlineStr">
        <is>
          <t>…</t>
        </is>
      </c>
      <c r="Q19" s="246" t="inlineStr">
        <is>
          <t>…</t>
        </is>
      </c>
      <c r="R19" s="246" t="inlineStr">
        <is>
          <t>…</t>
        </is>
      </c>
      <c r="S19" s="246" t="inlineStr">
        <is>
          <t>…</t>
        </is>
      </c>
      <c r="T19" s="246" t="inlineStr">
        <is>
          <t>…</t>
        </is>
      </c>
      <c r="U19" s="246" t="inlineStr">
        <is>
          <t>…</t>
        </is>
      </c>
      <c r="V19" s="246" t="inlineStr">
        <is>
          <t>…</t>
        </is>
      </c>
      <c r="W19" s="246" t="inlineStr">
        <is>
          <t>…</t>
        </is>
      </c>
      <c r="X19" s="246" t="inlineStr">
        <is>
          <t>…</t>
        </is>
      </c>
      <c r="Y19" s="246" t="inlineStr">
        <is>
          <t>…</t>
        </is>
      </c>
    </row>
    <row r="20">
      <c r="A20" s="240" t="inlineStr">
        <is>
          <t>7</t>
        </is>
      </c>
      <c r="B20" s="245" t="inlineStr">
        <is>
          <t>T7: seasoned book</t>
        </is>
      </c>
      <c r="C20" s="245" t="inlineStr">
        <is>
          <t>baseline</t>
        </is>
      </c>
      <c r="D20" s="246" t="inlineStr">
        <is>
          <t>…</t>
        </is>
      </c>
      <c r="E20" s="246" t="inlineStr">
        <is>
          <t>…</t>
        </is>
      </c>
      <c r="F20" s="246" t="inlineStr">
        <is>
          <t>…</t>
        </is>
      </c>
      <c r="G20" s="246" t="inlineStr">
        <is>
          <t>…</t>
        </is>
      </c>
      <c r="H20" s="246" t="inlineStr">
        <is>
          <t>…</t>
        </is>
      </c>
      <c r="I20" s="246" t="inlineStr">
        <is>
          <t>…</t>
        </is>
      </c>
      <c r="J20" s="246" t="inlineStr">
        <is>
          <t>…</t>
        </is>
      </c>
      <c r="K20" s="246" t="inlineStr">
        <is>
          <t>…</t>
        </is>
      </c>
      <c r="L20" s="246" t="inlineStr">
        <is>
          <t>…</t>
        </is>
      </c>
      <c r="M20" s="246" t="inlineStr">
        <is>
          <t>…</t>
        </is>
      </c>
      <c r="N20" s="246" t="inlineStr">
        <is>
          <t>…</t>
        </is>
      </c>
      <c r="O20" s="246" t="inlineStr">
        <is>
          <t>…</t>
        </is>
      </c>
      <c r="P20" s="246" t="inlineStr">
        <is>
          <t>…</t>
        </is>
      </c>
      <c r="Q20" s="246" t="inlineStr">
        <is>
          <t>…</t>
        </is>
      </c>
      <c r="R20" s="246" t="inlineStr">
        <is>
          <t>…</t>
        </is>
      </c>
      <c r="S20" s="246" t="inlineStr">
        <is>
          <t>…</t>
        </is>
      </c>
      <c r="T20" s="246" t="inlineStr">
        <is>
          <t>…</t>
        </is>
      </c>
      <c r="U20" s="246" t="inlineStr">
        <is>
          <t>…</t>
        </is>
      </c>
      <c r="V20" s="246" t="inlineStr">
        <is>
          <t>…</t>
        </is>
      </c>
      <c r="W20" s="246" t="inlineStr">
        <is>
          <t>…</t>
        </is>
      </c>
      <c r="X20" s="246" t="inlineStr">
        <is>
          <t>…</t>
        </is>
      </c>
      <c r="Y20" s="246" t="inlineStr">
        <is>
          <t>…</t>
        </is>
      </c>
    </row>
    <row r="21" ht="90" customHeight="1" s="230">
      <c r="B21" s="240" t="inlineStr">
        <is>
          <t>How each column is computed</t>
        </is>
      </c>
      <c r="D21" s="242" t="inlineStr">
        <is>
          <t>→ count of in-window deals with the tier flag</t>
        </is>
      </c>
      <c r="E21" s="242" t="inlineStr">
        <is>
          <t>→ count with flag x eligible</t>
        </is>
      </c>
      <c r="F21" s="242" t="inlineStr">
        <is>
          <t>→ seasoned / all</t>
        </is>
      </c>
      <c r="G21" s="242" t="inlineStr">
        <is>
          <t>→ sum advance (seasoned)</t>
        </is>
      </c>
      <c r="H21" s="242" t="inlineStr">
        <is>
          <t>→ count open (seasoned)</t>
        </is>
      </c>
      <c r="I21" s="242" t="inlineStr">
        <is>
          <t>→ open / seasoned</t>
        </is>
      </c>
      <c r="J21" s="242" t="inlineStr">
        <is>
          <t>→ count default (seasoned)</t>
        </is>
      </c>
      <c r="K21" s="242" t="inlineStr">
        <is>
          <t>→ default / seasoned</t>
        </is>
      </c>
      <c r="L21" s="242" t="inlineStr">
        <is>
          <t>→ sum principal lost / funded (blank under the min-show count)</t>
        </is>
      </c>
      <c r="M21" s="242" t="inlineStr">
        <is>
          <t>→ collected on defaulted / advance on defaulted</t>
        </is>
      </c>
      <c r="N21" s="242" t="inlineStr">
        <is>
          <t>→ net cash / funded</t>
        </is>
      </c>
      <c r="O21" s="242" t="inlineStr">
        <is>
          <t>→ average of adv/rev where revenue exists</t>
        </is>
      </c>
      <c r="P21" s="242" t="inlineStr">
        <is>
          <t>→ average contracted term</t>
        </is>
      </c>
      <c r="Q21" s="242" t="inlineStr">
        <is>
          <t>→ average factor</t>
        </is>
      </c>
      <c r="R21" s="242" t="inlineStr">
        <is>
          <t>→ funded / seasoned</t>
        </is>
      </c>
      <c r="S21" s="242" t="inlineStr">
        <is>
          <t>→ average days on book</t>
        </is>
      </c>
      <c r="T21" s="242" t="inlineStr">
        <is>
          <t>→ renewals / seasoned</t>
        </is>
      </c>
      <c r="U21" s="242" t="inlineStr">
        <is>
          <t>→ Yes if seasoned &gt;= min deals AND funded &gt;= min $ AND open % &lt;= max</t>
        </is>
      </c>
      <c r="V21" s="242" t="inlineStr">
        <is>
          <t>→ n / (n + K)</t>
        </is>
      </c>
      <c r="W21" s="242" t="inlineStr">
        <is>
          <t>→ Z x cohort lost + (1 - Z) x book lost</t>
        </is>
      </c>
      <c r="X21" s="242" t="inlineStr">
        <is>
          <t>→ blended / book lost</t>
        </is>
      </c>
      <c r="Y21" s="242" t="inlineStr">
        <is>
          <t>→ 1 if seasoned &gt;= min deals and funded &gt;= min $</t>
        </is>
      </c>
    </row>
    <row r="23">
      <c r="A23" s="237" t="inlineStr"/>
      <c r="B23" s="237" t="inlineStr">
        <is>
          <t>SINGLE-DIMENSION EVIDENCE  (informational + largest-impact test)</t>
        </is>
      </c>
      <c r="C23" s="237" t="inlineStr"/>
      <c r="D23" s="237" t="inlineStr"/>
      <c r="E23" s="237" t="inlineStr"/>
      <c r="F23" s="237" t="inlineStr"/>
      <c r="G23" s="237" t="inlineStr"/>
      <c r="H23" s="237" t="inlineStr"/>
      <c r="I23" s="237" t="inlineStr"/>
      <c r="J23" s="237" t="inlineStr"/>
      <c r="K23" s="237" t="inlineStr"/>
      <c r="L23" s="237" t="inlineStr"/>
      <c r="M23" s="237" t="inlineStr"/>
      <c r="N23" s="237" t="inlineStr"/>
      <c r="O23" s="237" t="inlineStr"/>
      <c r="P23" s="237" t="inlineStr"/>
      <c r="Q23" s="237" t="inlineStr"/>
      <c r="R23" s="237" t="inlineStr"/>
      <c r="S23" s="237" t="inlineStr"/>
      <c r="T23" s="237" t="inlineStr"/>
      <c r="U23" s="237" t="inlineStr"/>
      <c r="V23" s="237" t="inlineStr"/>
      <c r="W23" s="237" t="inlineStr"/>
      <c r="X23" s="237" t="inlineStr"/>
      <c r="Y23" s="237" t="inlineStr"/>
    </row>
    <row r="24">
      <c r="A24" s="240" t="inlineStr">
        <is>
          <t>S1</t>
        </is>
      </c>
      <c r="B24" s="245" t="inlineStr">
        <is>
          <t>Position only</t>
        </is>
      </c>
      <c r="C24" s="245" t="inlineStr">
        <is>
          <t>m:position</t>
        </is>
      </c>
      <c r="D24" s="246" t="inlineStr">
        <is>
          <t>…</t>
        </is>
      </c>
      <c r="E24" s="246" t="inlineStr">
        <is>
          <t>…</t>
        </is>
      </c>
      <c r="F24" s="246" t="inlineStr">
        <is>
          <t>…</t>
        </is>
      </c>
      <c r="G24" s="246" t="inlineStr">
        <is>
          <t>…</t>
        </is>
      </c>
      <c r="H24" s="246" t="inlineStr">
        <is>
          <t>…</t>
        </is>
      </c>
      <c r="I24" s="246" t="inlineStr">
        <is>
          <t>…</t>
        </is>
      </c>
      <c r="J24" s="246" t="inlineStr">
        <is>
          <t>…</t>
        </is>
      </c>
      <c r="K24" s="246" t="inlineStr">
        <is>
          <t>…</t>
        </is>
      </c>
      <c r="L24" s="246" t="inlineStr">
        <is>
          <t>…</t>
        </is>
      </c>
      <c r="M24" s="246" t="inlineStr">
        <is>
          <t>…</t>
        </is>
      </c>
      <c r="N24" s="246" t="inlineStr">
        <is>
          <t>…</t>
        </is>
      </c>
      <c r="O24" s="246" t="inlineStr">
        <is>
          <t>…</t>
        </is>
      </c>
      <c r="P24" s="246" t="inlineStr">
        <is>
          <t>…</t>
        </is>
      </c>
      <c r="Q24" s="246" t="inlineStr">
        <is>
          <t>…</t>
        </is>
      </c>
      <c r="R24" s="246" t="inlineStr">
        <is>
          <t>…</t>
        </is>
      </c>
      <c r="S24" s="246" t="inlineStr">
        <is>
          <t>…</t>
        </is>
      </c>
      <c r="T24" s="246" t="inlineStr">
        <is>
          <t>…</t>
        </is>
      </c>
      <c r="U24" s="246" t="inlineStr">
        <is>
          <t>…</t>
        </is>
      </c>
      <c r="V24" s="246" t="inlineStr">
        <is>
          <t>…</t>
        </is>
      </c>
      <c r="W24" s="246" t="inlineStr">
        <is>
          <t>…</t>
        </is>
      </c>
      <c r="X24" s="246" t="inlineStr">
        <is>
          <t>…</t>
        </is>
      </c>
      <c r="Y24" s="246" t="inlineStr">
        <is>
          <t>…</t>
        </is>
      </c>
    </row>
    <row r="25">
      <c r="A25" s="240" t="inlineStr">
        <is>
          <t>S2</t>
        </is>
      </c>
      <c r="B25" s="245" t="inlineStr">
        <is>
          <t>New/renewal only</t>
        </is>
      </c>
      <c r="C25" s="245" t="inlineStr">
        <is>
          <t>m:NR</t>
        </is>
      </c>
      <c r="D25" s="246" t="inlineStr">
        <is>
          <t>…</t>
        </is>
      </c>
      <c r="E25" s="246" t="inlineStr">
        <is>
          <t>…</t>
        </is>
      </c>
      <c r="F25" s="246" t="inlineStr">
        <is>
          <t>…</t>
        </is>
      </c>
      <c r="G25" s="246" t="inlineStr">
        <is>
          <t>…</t>
        </is>
      </c>
      <c r="H25" s="246" t="inlineStr">
        <is>
          <t>…</t>
        </is>
      </c>
      <c r="I25" s="246" t="inlineStr">
        <is>
          <t>…</t>
        </is>
      </c>
      <c r="J25" s="246" t="inlineStr">
        <is>
          <t>…</t>
        </is>
      </c>
      <c r="K25" s="246" t="inlineStr">
        <is>
          <t>…</t>
        </is>
      </c>
      <c r="L25" s="246" t="inlineStr">
        <is>
          <t>…</t>
        </is>
      </c>
      <c r="M25" s="246" t="inlineStr">
        <is>
          <t>…</t>
        </is>
      </c>
      <c r="N25" s="246" t="inlineStr">
        <is>
          <t>…</t>
        </is>
      </c>
      <c r="O25" s="246" t="inlineStr">
        <is>
          <t>…</t>
        </is>
      </c>
      <c r="P25" s="246" t="inlineStr">
        <is>
          <t>…</t>
        </is>
      </c>
      <c r="Q25" s="246" t="inlineStr">
        <is>
          <t>…</t>
        </is>
      </c>
      <c r="R25" s="246" t="inlineStr">
        <is>
          <t>…</t>
        </is>
      </c>
      <c r="S25" s="246" t="inlineStr">
        <is>
          <t>…</t>
        </is>
      </c>
      <c r="T25" s="246" t="inlineStr">
        <is>
          <t>…</t>
        </is>
      </c>
      <c r="U25" s="246" t="inlineStr">
        <is>
          <t>…</t>
        </is>
      </c>
      <c r="V25" s="246" t="inlineStr">
        <is>
          <t>…</t>
        </is>
      </c>
      <c r="W25" s="246" t="inlineStr">
        <is>
          <t>…</t>
        </is>
      </c>
      <c r="X25" s="246" t="inlineStr">
        <is>
          <t>…</t>
        </is>
      </c>
      <c r="Y25" s="246" t="inlineStr">
        <is>
          <t>…</t>
        </is>
      </c>
    </row>
    <row r="26">
      <c r="A26" s="240" t="inlineStr">
        <is>
          <t>S3</t>
        </is>
      </c>
      <c r="B26" s="245" t="inlineStr">
        <is>
          <t>Industry only</t>
        </is>
      </c>
      <c r="C26" s="245" t="inlineStr">
        <is>
          <t>m:industry</t>
        </is>
      </c>
      <c r="D26" s="246" t="inlineStr">
        <is>
          <t>…</t>
        </is>
      </c>
      <c r="E26" s="246" t="inlineStr">
        <is>
          <t>…</t>
        </is>
      </c>
      <c r="F26" s="246" t="inlineStr">
        <is>
          <t>…</t>
        </is>
      </c>
      <c r="G26" s="246" t="inlineStr">
        <is>
          <t>…</t>
        </is>
      </c>
      <c r="H26" s="246" t="inlineStr">
        <is>
          <t>…</t>
        </is>
      </c>
      <c r="I26" s="246" t="inlineStr">
        <is>
          <t>…</t>
        </is>
      </c>
      <c r="J26" s="246" t="inlineStr">
        <is>
          <t>…</t>
        </is>
      </c>
      <c r="K26" s="246" t="inlineStr">
        <is>
          <t>…</t>
        </is>
      </c>
      <c r="L26" s="246" t="inlineStr">
        <is>
          <t>…</t>
        </is>
      </c>
      <c r="M26" s="246" t="inlineStr">
        <is>
          <t>…</t>
        </is>
      </c>
      <c r="N26" s="246" t="inlineStr">
        <is>
          <t>…</t>
        </is>
      </c>
      <c r="O26" s="246" t="inlineStr">
        <is>
          <t>…</t>
        </is>
      </c>
      <c r="P26" s="246" t="inlineStr">
        <is>
          <t>…</t>
        </is>
      </c>
      <c r="Q26" s="246" t="inlineStr">
        <is>
          <t>…</t>
        </is>
      </c>
      <c r="R26" s="246" t="inlineStr">
        <is>
          <t>…</t>
        </is>
      </c>
      <c r="S26" s="246" t="inlineStr">
        <is>
          <t>…</t>
        </is>
      </c>
      <c r="T26" s="246" t="inlineStr">
        <is>
          <t>…</t>
        </is>
      </c>
      <c r="U26" s="246" t="inlineStr">
        <is>
          <t>…</t>
        </is>
      </c>
      <c r="V26" s="246" t="inlineStr">
        <is>
          <t>…</t>
        </is>
      </c>
      <c r="W26" s="246" t="inlineStr">
        <is>
          <t>…</t>
        </is>
      </c>
      <c r="X26" s="246" t="inlineStr">
        <is>
          <t>…</t>
        </is>
      </c>
      <c r="Y26" s="246" t="inlineStr">
        <is>
          <t>…</t>
        </is>
      </c>
    </row>
    <row r="27">
      <c r="A27" s="240" t="inlineStr">
        <is>
          <t>S4</t>
        </is>
      </c>
      <c r="B27" s="245" t="inlineStr">
        <is>
          <t>ISO only</t>
        </is>
      </c>
      <c r="C27" s="245" t="inlineStr">
        <is>
          <t>m:ISO</t>
        </is>
      </c>
      <c r="D27" s="246" t="inlineStr">
        <is>
          <t>…</t>
        </is>
      </c>
      <c r="E27" s="246" t="inlineStr">
        <is>
          <t>…</t>
        </is>
      </c>
      <c r="F27" s="246" t="inlineStr">
        <is>
          <t>…</t>
        </is>
      </c>
      <c r="G27" s="246" t="inlineStr">
        <is>
          <t>…</t>
        </is>
      </c>
      <c r="H27" s="246" t="inlineStr">
        <is>
          <t>…</t>
        </is>
      </c>
      <c r="I27" s="246" t="inlineStr">
        <is>
          <t>…</t>
        </is>
      </c>
      <c r="J27" s="246" t="inlineStr">
        <is>
          <t>…</t>
        </is>
      </c>
      <c r="K27" s="246" t="inlineStr">
        <is>
          <t>…</t>
        </is>
      </c>
      <c r="L27" s="246" t="inlineStr">
        <is>
          <t>…</t>
        </is>
      </c>
      <c r="M27" s="246" t="inlineStr">
        <is>
          <t>…</t>
        </is>
      </c>
      <c r="N27" s="246" t="inlineStr">
        <is>
          <t>…</t>
        </is>
      </c>
      <c r="O27" s="246" t="inlineStr">
        <is>
          <t>…</t>
        </is>
      </c>
      <c r="P27" s="246" t="inlineStr">
        <is>
          <t>…</t>
        </is>
      </c>
      <c r="Q27" s="246" t="inlineStr">
        <is>
          <t>…</t>
        </is>
      </c>
      <c r="R27" s="246" t="inlineStr">
        <is>
          <t>…</t>
        </is>
      </c>
      <c r="S27" s="246" t="inlineStr">
        <is>
          <t>…</t>
        </is>
      </c>
      <c r="T27" s="246" t="inlineStr">
        <is>
          <t>…</t>
        </is>
      </c>
      <c r="U27" s="246" t="inlineStr">
        <is>
          <t>…</t>
        </is>
      </c>
      <c r="V27" s="246" t="inlineStr">
        <is>
          <t>…</t>
        </is>
      </c>
      <c r="W27" s="246" t="inlineStr">
        <is>
          <t>…</t>
        </is>
      </c>
      <c r="X27" s="246" t="inlineStr">
        <is>
          <t>…</t>
        </is>
      </c>
      <c r="Y27" s="246" t="inlineStr">
        <is>
          <t>…</t>
        </is>
      </c>
    </row>
    <row r="28">
      <c r="A28" s="240" t="inlineStr">
        <is>
          <t>S5</t>
        </is>
      </c>
      <c r="B28" s="245" t="inlineStr">
        <is>
          <t>State only  (INFORMATIONAL - never in hierarchy)</t>
        </is>
      </c>
      <c r="C28" s="245" t="inlineStr">
        <is>
          <t>m:state</t>
        </is>
      </c>
      <c r="D28" s="246" t="inlineStr">
        <is>
          <t>…</t>
        </is>
      </c>
      <c r="E28" s="246" t="inlineStr">
        <is>
          <t>…</t>
        </is>
      </c>
      <c r="F28" s="246" t="inlineStr">
        <is>
          <t>…</t>
        </is>
      </c>
      <c r="G28" s="246" t="inlineStr">
        <is>
          <t>…</t>
        </is>
      </c>
      <c r="H28" s="246" t="inlineStr">
        <is>
          <t>…</t>
        </is>
      </c>
      <c r="I28" s="246" t="inlineStr">
        <is>
          <t>…</t>
        </is>
      </c>
      <c r="J28" s="246" t="inlineStr">
        <is>
          <t>…</t>
        </is>
      </c>
      <c r="K28" s="246" t="inlineStr">
        <is>
          <t>…</t>
        </is>
      </c>
      <c r="L28" s="246" t="inlineStr">
        <is>
          <t>…</t>
        </is>
      </c>
      <c r="M28" s="246" t="inlineStr">
        <is>
          <t>…</t>
        </is>
      </c>
      <c r="N28" s="246" t="inlineStr">
        <is>
          <t>…</t>
        </is>
      </c>
      <c r="O28" s="246" t="inlineStr">
        <is>
          <t>…</t>
        </is>
      </c>
      <c r="P28" s="246" t="inlineStr">
        <is>
          <t>…</t>
        </is>
      </c>
      <c r="Q28" s="246" t="inlineStr">
        <is>
          <t>…</t>
        </is>
      </c>
      <c r="R28" s="246" t="inlineStr">
        <is>
          <t>…</t>
        </is>
      </c>
      <c r="S28" s="246" t="inlineStr">
        <is>
          <t>…</t>
        </is>
      </c>
      <c r="T28" s="246" t="inlineStr">
        <is>
          <t>…</t>
        </is>
      </c>
      <c r="U28" s="246" t="inlineStr">
        <is>
          <t>…</t>
        </is>
      </c>
      <c r="V28" s="246" t="inlineStr">
        <is>
          <t>…</t>
        </is>
      </c>
      <c r="W28" s="246" t="inlineStr">
        <is>
          <t>…</t>
        </is>
      </c>
      <c r="X28" s="246" t="inlineStr">
        <is>
          <t>…</t>
        </is>
      </c>
      <c r="Y28" s="246" t="inlineStr">
        <is>
          <t>…</t>
        </is>
      </c>
    </row>
    <row r="30">
      <c r="A30" s="235" t="inlineStr">
        <is>
          <t>RESULT</t>
        </is>
      </c>
    </row>
    <row r="31" ht="32" customHeight="1" s="230">
      <c r="B31" s="240" t="inlineStr">
        <is>
          <t>Primary tier</t>
        </is>
      </c>
      <c r="C31" s="242" t="inlineStr">
        <is>
          <t>→ first tier (1..7) whose "Meets minimum?" = 1; tier 7 always qualifies</t>
        </is>
      </c>
    </row>
    <row r="32" ht="32" customHeight="1" s="230">
      <c r="B32" s="240" t="inlineStr">
        <is>
          <t>Primary cohort stats</t>
        </is>
      </c>
      <c r="C32" s="242" t="inlineStr">
        <is>
          <t>→ the primary row: seasoned n / all, % seasoned, lost rate, open share, return, collected on defaults, Z, blended, index</t>
        </is>
      </c>
    </row>
    <row r="33" ht="32" customHeight="1" s="230">
      <c r="B33" s="240" t="inlineStr">
        <is>
          <t>Modifier level (1 strong positive .. 6 severe)</t>
        </is>
      </c>
      <c r="C33" s="242" t="inlineStr">
        <is>
          <t>→ count of modifier-table index bounds below the relative index, + 1</t>
        </is>
      </c>
    </row>
    <row r="34" ht="32" customHeight="1" s="230">
      <c r="B34" s="240" t="inlineStr">
        <is>
          <t>Confidence</t>
        </is>
      </c>
      <c r="C34" s="242" t="inlineStr">
        <is>
          <t>→ Low if primary = tier 7 or Z &lt; Medium line; High if Z &gt;= High line and open share &lt;= max; else Medium</t>
        </is>
      </c>
    </row>
    <row r="35" ht="32" customHeight="1" s="230">
      <c r="B35" s="240" t="inlineStr">
        <is>
          <t>Modifier level after confidence cap</t>
        </is>
      </c>
      <c r="C35" s="242" t="inlineStr">
        <is>
          <t>→ if Low: clamp within Neutral +/- max steps (Controls)</t>
        </is>
      </c>
    </row>
    <row r="36" ht="32" customHeight="1" s="230">
      <c r="B36" s="240" t="inlineStr">
        <is>
          <t>Largest-impact variable</t>
        </is>
      </c>
      <c r="C36" s="242" t="inlineStr">
        <is>
          <t>→ the single-dimension row (position / NR / industry / ISO) with the largest |blended - book|</t>
        </is>
      </c>
    </row>
    <row r="37" ht="32" customHeight="1" s="230">
      <c r="B37" s="240" t="inlineStr">
        <is>
          <t>ISO / industry / state / position sentences</t>
        </is>
      </c>
      <c r="C37" s="242" t="inlineStr">
        <is>
          <t>→ "ISO X: n seasoned deals, lost a% vs b% book, Z c -&gt; stronger / neutral / weaker than book" (state sentence always ends "informational only")</t>
        </is>
      </c>
    </row>
    <row r="38" ht="32" customHeight="1" s="230">
      <c r="B38" s="240" t="inlineStr">
        <is>
          <t>Conflicting signals?</t>
        </is>
      </c>
      <c r="C38" s="242" t="inlineStr">
        <is>
          <t>→ YES if ISO and industry sit on opposite sides of neutral</t>
        </is>
      </c>
    </row>
    <row r="39" ht="32" customHeight="1" s="230">
      <c r="B39" s="240" t="inlineStr">
        <is>
          <t>Warnings</t>
        </is>
      </c>
      <c r="C39" s="242" t="inlineStr">
        <is>
          <t>→ baseline in use / cohort not seasoned-enough / low confidence capped / open share high</t>
        </is>
      </c>
    </row>
  </sheetData>
  <mergeCells count="2">
    <mergeCell ref="A4:C4"/>
    <mergeCell ref="A30:C3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style="230" min="1" max="1"/>
    <col width="12" customWidth="1" style="230" min="2" max="2"/>
    <col width="26" customWidth="1" style="230" min="3" max="3"/>
    <col width="18" customWidth="1" style="230" min="4" max="4"/>
    <col width="11" customWidth="1" style="230" min="5" max="5"/>
    <col width="8" customWidth="1" style="230" min="6" max="6"/>
    <col width="24" customWidth="1" style="230" min="7" max="7"/>
    <col width="22" customWidth="1" style="230" min="8" max="8"/>
    <col width="6" customWidth="1" style="230" min="9" max="9"/>
    <col width="11" customWidth="1" style="230" min="10" max="10"/>
    <col width="7" customWidth="1" style="230" min="11" max="11"/>
    <col width="11" customWidth="1" style="230" min="12" max="12"/>
    <col width="11" customWidth="1" style="230" min="13" max="13"/>
    <col width="7" customWidth="1" style="230" min="14" max="14"/>
    <col width="11" customWidth="1" style="230" min="15" max="15"/>
    <col width="11" customWidth="1" style="230" min="16" max="16"/>
    <col width="9" customWidth="1" style="230" min="17" max="17"/>
    <col width="9" customWidth="1" style="230" min="18" max="18"/>
    <col width="9" customWidth="1" style="230" min="19" max="19"/>
    <col width="9" customWidth="1" style="230" min="20" max="20"/>
    <col width="8" customWidth="1" style="230" min="21" max="21"/>
    <col width="7" customWidth="1" style="230" min="22" max="22"/>
    <col width="9" customWidth="1" style="230" min="23" max="23"/>
    <col width="44" customWidth="1" style="230" min="24" max="24"/>
  </cols>
  <sheetData>
    <row r="1">
      <c r="A1" s="244" t="inlineStr">
        <is>
          <t>COMPARABLE DEALS  -  every house-book deal in the primary cohort, by Contract ID  (outline)</t>
        </is>
      </c>
    </row>
    <row r="2" ht="32" customHeight="1" s="230">
      <c r="A2" s="242" t="inlineStr">
        <is>
          <t>→ Header line: "Primary cohort: &lt;name&gt; | &lt;seasoned&gt; / &lt;all&gt;". Rows: for k = 1..400, INDEX/MATCH the k-th row whose Seq = k on Historical Data. Blank when the cohort runs out.</t>
        </is>
      </c>
      <c r="B2" s="238" t="n"/>
      <c r="C2" s="238" t="n"/>
      <c r="D2" s="238" t="n"/>
      <c r="E2" s="238" t="n"/>
      <c r="F2" s="238" t="n"/>
      <c r="G2" s="238" t="n"/>
      <c r="H2" s="238" t="n"/>
      <c r="I2" s="238" t="n"/>
      <c r="J2" s="238" t="n"/>
      <c r="K2" s="238" t="n"/>
      <c r="L2" s="238" t="n"/>
      <c r="M2" s="238" t="n"/>
      <c r="N2" s="238" t="n"/>
      <c r="O2" s="238" t="n"/>
      <c r="P2" s="238" t="n"/>
      <c r="Q2" s="238" t="n"/>
      <c r="R2" s="238" t="n"/>
      <c r="S2" s="238" t="n"/>
      <c r="T2" s="238" t="n"/>
      <c r="U2" s="238" t="n"/>
      <c r="V2" s="238" t="n"/>
      <c r="W2" s="238" t="n"/>
      <c r="X2" s="239" t="n"/>
    </row>
    <row r="4">
      <c r="A4" s="237" t="inlineStr">
        <is>
          <t>#</t>
        </is>
      </c>
      <c r="B4" s="237" t="inlineStr">
        <is>
          <t>Contract ID</t>
        </is>
      </c>
      <c r="C4" s="237" t="inlineStr">
        <is>
          <t>DBA</t>
        </is>
      </c>
      <c r="D4" s="237" t="inlineStr">
        <is>
          <t>Status</t>
        </is>
      </c>
      <c r="E4" s="237" t="inlineStr">
        <is>
          <t>Funded</t>
        </is>
      </c>
      <c r="F4" s="237" t="inlineStr">
        <is>
          <t>Position</t>
        </is>
      </c>
      <c r="G4" s="237" t="inlineStr">
        <is>
          <t>Industry</t>
        </is>
      </c>
      <c r="H4" s="237" t="inlineStr">
        <is>
          <t>ISO</t>
        </is>
      </c>
      <c r="I4" s="237" t="inlineStr">
        <is>
          <t>State</t>
        </is>
      </c>
      <c r="J4" s="237" t="inlineStr">
        <is>
          <t>New/renewal</t>
        </is>
      </c>
      <c r="K4" s="237" t="inlineStr">
        <is>
          <t>Factor</t>
        </is>
      </c>
      <c r="L4" s="237" t="inlineStr">
        <is>
          <t>Advance</t>
        </is>
      </c>
      <c r="M4" s="237" t="inlineStr">
        <is>
          <t>Collected</t>
        </is>
      </c>
      <c r="N4" s="237" t="inlineStr">
        <is>
          <t>% paid</t>
        </is>
      </c>
      <c r="O4" s="237" t="inlineStr">
        <is>
          <t>Net cash</t>
        </is>
      </c>
      <c r="P4" s="237" t="inlineStr">
        <is>
          <t>Principal lost</t>
        </is>
      </c>
      <c r="Q4" s="237" t="inlineStr">
        <is>
          <t>Term (bd)</t>
        </is>
      </c>
      <c r="R4" s="237" t="inlineStr">
        <is>
          <t>Age (bd)</t>
        </is>
      </c>
      <c r="S4" s="237" t="inlineStr">
        <is>
          <t>Days on book</t>
        </is>
      </c>
      <c r="T4" s="237" t="inlineStr">
        <is>
          <t>Seasoned</t>
        </is>
      </c>
      <c r="U4" s="237" t="inlineStr">
        <is>
          <t>Default</t>
        </is>
      </c>
      <c r="V4" s="237" t="inlineStr">
        <is>
          <t>Open</t>
        </is>
      </c>
      <c r="W4" s="237" t="inlineStr">
        <is>
          <t>Similarity tier</t>
        </is>
      </c>
      <c r="X4" s="237" t="inlineStr">
        <is>
          <t>Why included</t>
        </is>
      </c>
    </row>
    <row r="5">
      <c r="A5" s="247" t="n">
        <v>1</v>
      </c>
      <c r="B5" s="246" t="inlineStr">
        <is>
          <t>…</t>
        </is>
      </c>
      <c r="C5" s="246" t="inlineStr">
        <is>
          <t>…</t>
        </is>
      </c>
      <c r="D5" s="246" t="inlineStr">
        <is>
          <t>…</t>
        </is>
      </c>
      <c r="E5" s="246" t="inlineStr">
        <is>
          <t>…</t>
        </is>
      </c>
      <c r="F5" s="246" t="inlineStr">
        <is>
          <t>…</t>
        </is>
      </c>
      <c r="G5" s="246" t="inlineStr">
        <is>
          <t>…</t>
        </is>
      </c>
      <c r="H5" s="246" t="inlineStr">
        <is>
          <t>…</t>
        </is>
      </c>
      <c r="I5" s="246" t="inlineStr">
        <is>
          <t>…</t>
        </is>
      </c>
      <c r="J5" s="246" t="inlineStr">
        <is>
          <t>…</t>
        </is>
      </c>
      <c r="K5" s="246" t="inlineStr">
        <is>
          <t>…</t>
        </is>
      </c>
      <c r="L5" s="246" t="inlineStr">
        <is>
          <t>…</t>
        </is>
      </c>
      <c r="M5" s="246" t="inlineStr">
        <is>
          <t>…</t>
        </is>
      </c>
      <c r="N5" s="246" t="inlineStr">
        <is>
          <t>…</t>
        </is>
      </c>
      <c r="O5" s="246" t="inlineStr">
        <is>
          <t>…</t>
        </is>
      </c>
      <c r="P5" s="246" t="inlineStr">
        <is>
          <t>…</t>
        </is>
      </c>
      <c r="Q5" s="246" t="inlineStr">
        <is>
          <t>…</t>
        </is>
      </c>
      <c r="R5" s="246" t="inlineStr">
        <is>
          <t>…</t>
        </is>
      </c>
      <c r="S5" s="246" t="inlineStr">
        <is>
          <t>…</t>
        </is>
      </c>
      <c r="T5" s="246" t="inlineStr">
        <is>
          <t>…</t>
        </is>
      </c>
      <c r="U5" s="246" t="inlineStr">
        <is>
          <t>…</t>
        </is>
      </c>
      <c r="V5" s="246" t="inlineStr">
        <is>
          <t>…</t>
        </is>
      </c>
      <c r="W5" s="246" t="inlineStr">
        <is>
          <t>…</t>
        </is>
      </c>
      <c r="X5" s="242" t="inlineStr">
        <is>
          <t>→ "&lt;tier keys&gt;  [seasoned | unseasoned, defaulted, open]"</t>
        </is>
      </c>
    </row>
    <row r="6">
      <c r="A6" s="247" t="n">
        <v>2</v>
      </c>
      <c r="B6" s="246" t="inlineStr">
        <is>
          <t>…</t>
        </is>
      </c>
      <c r="C6" s="246" t="inlineStr">
        <is>
          <t>…</t>
        </is>
      </c>
      <c r="D6" s="246" t="inlineStr">
        <is>
          <t>…</t>
        </is>
      </c>
      <c r="E6" s="246" t="inlineStr">
        <is>
          <t>…</t>
        </is>
      </c>
      <c r="F6" s="246" t="inlineStr">
        <is>
          <t>…</t>
        </is>
      </c>
      <c r="G6" s="246" t="inlineStr">
        <is>
          <t>…</t>
        </is>
      </c>
      <c r="H6" s="246" t="inlineStr">
        <is>
          <t>…</t>
        </is>
      </c>
      <c r="I6" s="246" t="inlineStr">
        <is>
          <t>…</t>
        </is>
      </c>
      <c r="J6" s="246" t="inlineStr">
        <is>
          <t>…</t>
        </is>
      </c>
      <c r="K6" s="246" t="inlineStr">
        <is>
          <t>…</t>
        </is>
      </c>
      <c r="L6" s="246" t="inlineStr">
        <is>
          <t>…</t>
        </is>
      </c>
      <c r="M6" s="246" t="inlineStr">
        <is>
          <t>…</t>
        </is>
      </c>
      <c r="N6" s="246" t="inlineStr">
        <is>
          <t>…</t>
        </is>
      </c>
      <c r="O6" s="246" t="inlineStr">
        <is>
          <t>…</t>
        </is>
      </c>
      <c r="P6" s="246" t="inlineStr">
        <is>
          <t>…</t>
        </is>
      </c>
      <c r="Q6" s="246" t="inlineStr">
        <is>
          <t>…</t>
        </is>
      </c>
      <c r="R6" s="246" t="inlineStr">
        <is>
          <t>…</t>
        </is>
      </c>
      <c r="S6" s="246" t="inlineStr">
        <is>
          <t>…</t>
        </is>
      </c>
      <c r="T6" s="246" t="inlineStr">
        <is>
          <t>…</t>
        </is>
      </c>
      <c r="U6" s="246" t="inlineStr">
        <is>
          <t>…</t>
        </is>
      </c>
      <c r="V6" s="246" t="inlineStr">
        <is>
          <t>…</t>
        </is>
      </c>
      <c r="W6" s="246" t="inlineStr">
        <is>
          <t>…</t>
        </is>
      </c>
      <c r="X6" s="242" t="inlineStr">
        <is>
          <t>→ "&lt;tier keys&gt;  [seasoned | unseasoned, defaulted, open]"</t>
        </is>
      </c>
    </row>
    <row r="7">
      <c r="A7" s="247" t="n">
        <v>3</v>
      </c>
      <c r="B7" s="246" t="inlineStr">
        <is>
          <t>…</t>
        </is>
      </c>
      <c r="C7" s="246" t="inlineStr">
        <is>
          <t>…</t>
        </is>
      </c>
      <c r="D7" s="246" t="inlineStr">
        <is>
          <t>…</t>
        </is>
      </c>
      <c r="E7" s="246" t="inlineStr">
        <is>
          <t>…</t>
        </is>
      </c>
      <c r="F7" s="246" t="inlineStr">
        <is>
          <t>…</t>
        </is>
      </c>
      <c r="G7" s="246" t="inlineStr">
        <is>
          <t>…</t>
        </is>
      </c>
      <c r="H7" s="246" t="inlineStr">
        <is>
          <t>…</t>
        </is>
      </c>
      <c r="I7" s="246" t="inlineStr">
        <is>
          <t>…</t>
        </is>
      </c>
      <c r="J7" s="246" t="inlineStr">
        <is>
          <t>…</t>
        </is>
      </c>
      <c r="K7" s="246" t="inlineStr">
        <is>
          <t>…</t>
        </is>
      </c>
      <c r="L7" s="246" t="inlineStr">
        <is>
          <t>…</t>
        </is>
      </c>
      <c r="M7" s="246" t="inlineStr">
        <is>
          <t>…</t>
        </is>
      </c>
      <c r="N7" s="246" t="inlineStr">
        <is>
          <t>…</t>
        </is>
      </c>
      <c r="O7" s="246" t="inlineStr">
        <is>
          <t>…</t>
        </is>
      </c>
      <c r="P7" s="246" t="inlineStr">
        <is>
          <t>…</t>
        </is>
      </c>
      <c r="Q7" s="246" t="inlineStr">
        <is>
          <t>…</t>
        </is>
      </c>
      <c r="R7" s="246" t="inlineStr">
        <is>
          <t>…</t>
        </is>
      </c>
      <c r="S7" s="246" t="inlineStr">
        <is>
          <t>…</t>
        </is>
      </c>
      <c r="T7" s="246" t="inlineStr">
        <is>
          <t>…</t>
        </is>
      </c>
      <c r="U7" s="246" t="inlineStr">
        <is>
          <t>…</t>
        </is>
      </c>
      <c r="V7" s="246" t="inlineStr">
        <is>
          <t>…</t>
        </is>
      </c>
      <c r="W7" s="246" t="inlineStr">
        <is>
          <t>…</t>
        </is>
      </c>
      <c r="X7" s="242" t="inlineStr">
        <is>
          <t>→ "&lt;tier keys&gt;  [seasoned | unseasoned, defaulted, open]"</t>
        </is>
      </c>
    </row>
    <row r="8">
      <c r="A8" s="247" t="n">
        <v>4</v>
      </c>
      <c r="B8" s="246" t="inlineStr">
        <is>
          <t>…</t>
        </is>
      </c>
      <c r="C8" s="246" t="inlineStr">
        <is>
          <t>…</t>
        </is>
      </c>
      <c r="D8" s="246" t="inlineStr">
        <is>
          <t>…</t>
        </is>
      </c>
      <c r="E8" s="246" t="inlineStr">
        <is>
          <t>…</t>
        </is>
      </c>
      <c r="F8" s="246" t="inlineStr">
        <is>
          <t>…</t>
        </is>
      </c>
      <c r="G8" s="246" t="inlineStr">
        <is>
          <t>…</t>
        </is>
      </c>
      <c r="H8" s="246" t="inlineStr">
        <is>
          <t>…</t>
        </is>
      </c>
      <c r="I8" s="246" t="inlineStr">
        <is>
          <t>…</t>
        </is>
      </c>
      <c r="J8" s="246" t="inlineStr">
        <is>
          <t>…</t>
        </is>
      </c>
      <c r="K8" s="246" t="inlineStr">
        <is>
          <t>…</t>
        </is>
      </c>
      <c r="L8" s="246" t="inlineStr">
        <is>
          <t>…</t>
        </is>
      </c>
      <c r="M8" s="246" t="inlineStr">
        <is>
          <t>…</t>
        </is>
      </c>
      <c r="N8" s="246" t="inlineStr">
        <is>
          <t>…</t>
        </is>
      </c>
      <c r="O8" s="246" t="inlineStr">
        <is>
          <t>…</t>
        </is>
      </c>
      <c r="P8" s="246" t="inlineStr">
        <is>
          <t>…</t>
        </is>
      </c>
      <c r="Q8" s="246" t="inlineStr">
        <is>
          <t>…</t>
        </is>
      </c>
      <c r="R8" s="246" t="inlineStr">
        <is>
          <t>…</t>
        </is>
      </c>
      <c r="S8" s="246" t="inlineStr">
        <is>
          <t>…</t>
        </is>
      </c>
      <c r="T8" s="246" t="inlineStr">
        <is>
          <t>…</t>
        </is>
      </c>
      <c r="U8" s="246" t="inlineStr">
        <is>
          <t>…</t>
        </is>
      </c>
      <c r="V8" s="246" t="inlineStr">
        <is>
          <t>…</t>
        </is>
      </c>
      <c r="W8" s="246" t="inlineStr">
        <is>
          <t>…</t>
        </is>
      </c>
      <c r="X8" s="242" t="inlineStr">
        <is>
          <t>→ "&lt;tier keys&gt;  [seasoned | unseasoned, defaulted, open]"</t>
        </is>
      </c>
    </row>
    <row r="9">
      <c r="A9" s="247" t="n">
        <v>5</v>
      </c>
      <c r="B9" s="246" t="inlineStr">
        <is>
          <t>…</t>
        </is>
      </c>
      <c r="C9" s="246" t="inlineStr">
        <is>
          <t>…</t>
        </is>
      </c>
      <c r="D9" s="246" t="inlineStr">
        <is>
          <t>…</t>
        </is>
      </c>
      <c r="E9" s="246" t="inlineStr">
        <is>
          <t>…</t>
        </is>
      </c>
      <c r="F9" s="246" t="inlineStr">
        <is>
          <t>…</t>
        </is>
      </c>
      <c r="G9" s="246" t="inlineStr">
        <is>
          <t>…</t>
        </is>
      </c>
      <c r="H9" s="246" t="inlineStr">
        <is>
          <t>…</t>
        </is>
      </c>
      <c r="I9" s="246" t="inlineStr">
        <is>
          <t>…</t>
        </is>
      </c>
      <c r="J9" s="246" t="inlineStr">
        <is>
          <t>…</t>
        </is>
      </c>
      <c r="K9" s="246" t="inlineStr">
        <is>
          <t>…</t>
        </is>
      </c>
      <c r="L9" s="246" t="inlineStr">
        <is>
          <t>…</t>
        </is>
      </c>
      <c r="M9" s="246" t="inlineStr">
        <is>
          <t>…</t>
        </is>
      </c>
      <c r="N9" s="246" t="inlineStr">
        <is>
          <t>…</t>
        </is>
      </c>
      <c r="O9" s="246" t="inlineStr">
        <is>
          <t>…</t>
        </is>
      </c>
      <c r="P9" s="246" t="inlineStr">
        <is>
          <t>…</t>
        </is>
      </c>
      <c r="Q9" s="246" t="inlineStr">
        <is>
          <t>…</t>
        </is>
      </c>
      <c r="R9" s="246" t="inlineStr">
        <is>
          <t>…</t>
        </is>
      </c>
      <c r="S9" s="246" t="inlineStr">
        <is>
          <t>…</t>
        </is>
      </c>
      <c r="T9" s="246" t="inlineStr">
        <is>
          <t>…</t>
        </is>
      </c>
      <c r="U9" s="246" t="inlineStr">
        <is>
          <t>…</t>
        </is>
      </c>
      <c r="V9" s="246" t="inlineStr">
        <is>
          <t>…</t>
        </is>
      </c>
      <c r="W9" s="246" t="inlineStr">
        <is>
          <t>…</t>
        </is>
      </c>
      <c r="X9" s="242" t="inlineStr">
        <is>
          <t>→ "&lt;tier keys&gt;  [seasoned | unseasoned, defaulted, open]"</t>
        </is>
      </c>
    </row>
    <row r="10">
      <c r="A10" s="247" t="n">
        <v>6</v>
      </c>
      <c r="B10" s="246" t="inlineStr">
        <is>
          <t>…</t>
        </is>
      </c>
      <c r="C10" s="246" t="inlineStr">
        <is>
          <t>…</t>
        </is>
      </c>
      <c r="D10" s="246" t="inlineStr">
        <is>
          <t>…</t>
        </is>
      </c>
      <c r="E10" s="246" t="inlineStr">
        <is>
          <t>…</t>
        </is>
      </c>
      <c r="F10" s="246" t="inlineStr">
        <is>
          <t>…</t>
        </is>
      </c>
      <c r="G10" s="246" t="inlineStr">
        <is>
          <t>…</t>
        </is>
      </c>
      <c r="H10" s="246" t="inlineStr">
        <is>
          <t>…</t>
        </is>
      </c>
      <c r="I10" s="246" t="inlineStr">
        <is>
          <t>…</t>
        </is>
      </c>
      <c r="J10" s="246" t="inlineStr">
        <is>
          <t>…</t>
        </is>
      </c>
      <c r="K10" s="246" t="inlineStr">
        <is>
          <t>…</t>
        </is>
      </c>
      <c r="L10" s="246" t="inlineStr">
        <is>
          <t>…</t>
        </is>
      </c>
      <c r="M10" s="246" t="inlineStr">
        <is>
          <t>…</t>
        </is>
      </c>
      <c r="N10" s="246" t="inlineStr">
        <is>
          <t>…</t>
        </is>
      </c>
      <c r="O10" s="246" t="inlineStr">
        <is>
          <t>…</t>
        </is>
      </c>
      <c r="P10" s="246" t="inlineStr">
        <is>
          <t>…</t>
        </is>
      </c>
      <c r="Q10" s="246" t="inlineStr">
        <is>
          <t>…</t>
        </is>
      </c>
      <c r="R10" s="246" t="inlineStr">
        <is>
          <t>…</t>
        </is>
      </c>
      <c r="S10" s="246" t="inlineStr">
        <is>
          <t>…</t>
        </is>
      </c>
      <c r="T10" s="246" t="inlineStr">
        <is>
          <t>…</t>
        </is>
      </c>
      <c r="U10" s="246" t="inlineStr">
        <is>
          <t>…</t>
        </is>
      </c>
      <c r="V10" s="246" t="inlineStr">
        <is>
          <t>…</t>
        </is>
      </c>
      <c r="W10" s="246" t="inlineStr">
        <is>
          <t>…</t>
        </is>
      </c>
      <c r="X10" s="242" t="inlineStr">
        <is>
          <t>→ "&lt;tier keys&gt;  [seasoned | unseasoned, defaulted, open]"</t>
        </is>
      </c>
    </row>
    <row r="11">
      <c r="A11" s="247" t="n">
        <v>7</v>
      </c>
      <c r="B11" s="246" t="inlineStr">
        <is>
          <t>…</t>
        </is>
      </c>
      <c r="C11" s="246" t="inlineStr">
        <is>
          <t>…</t>
        </is>
      </c>
      <c r="D11" s="246" t="inlineStr">
        <is>
          <t>…</t>
        </is>
      </c>
      <c r="E11" s="246" t="inlineStr">
        <is>
          <t>…</t>
        </is>
      </c>
      <c r="F11" s="246" t="inlineStr">
        <is>
          <t>…</t>
        </is>
      </c>
      <c r="G11" s="246" t="inlineStr">
        <is>
          <t>…</t>
        </is>
      </c>
      <c r="H11" s="246" t="inlineStr">
        <is>
          <t>…</t>
        </is>
      </c>
      <c r="I11" s="246" t="inlineStr">
        <is>
          <t>…</t>
        </is>
      </c>
      <c r="J11" s="246" t="inlineStr">
        <is>
          <t>…</t>
        </is>
      </c>
      <c r="K11" s="246" t="inlineStr">
        <is>
          <t>…</t>
        </is>
      </c>
      <c r="L11" s="246" t="inlineStr">
        <is>
          <t>…</t>
        </is>
      </c>
      <c r="M11" s="246" t="inlineStr">
        <is>
          <t>…</t>
        </is>
      </c>
      <c r="N11" s="246" t="inlineStr">
        <is>
          <t>…</t>
        </is>
      </c>
      <c r="O11" s="246" t="inlineStr">
        <is>
          <t>…</t>
        </is>
      </c>
      <c r="P11" s="246" t="inlineStr">
        <is>
          <t>…</t>
        </is>
      </c>
      <c r="Q11" s="246" t="inlineStr">
        <is>
          <t>…</t>
        </is>
      </c>
      <c r="R11" s="246" t="inlineStr">
        <is>
          <t>…</t>
        </is>
      </c>
      <c r="S11" s="246" t="inlineStr">
        <is>
          <t>…</t>
        </is>
      </c>
      <c r="T11" s="246" t="inlineStr">
        <is>
          <t>…</t>
        </is>
      </c>
      <c r="U11" s="246" t="inlineStr">
        <is>
          <t>…</t>
        </is>
      </c>
      <c r="V11" s="246" t="inlineStr">
        <is>
          <t>…</t>
        </is>
      </c>
      <c r="W11" s="246" t="inlineStr">
        <is>
          <t>…</t>
        </is>
      </c>
      <c r="X11" s="242" t="inlineStr">
        <is>
          <t>→ "&lt;tier keys&gt;  [seasoned | unseasoned, defaulted, open]"</t>
        </is>
      </c>
    </row>
    <row r="12">
      <c r="A12" s="247" t="n">
        <v>8</v>
      </c>
      <c r="B12" s="246" t="inlineStr">
        <is>
          <t>…</t>
        </is>
      </c>
      <c r="C12" s="246" t="inlineStr">
        <is>
          <t>…</t>
        </is>
      </c>
      <c r="D12" s="246" t="inlineStr">
        <is>
          <t>…</t>
        </is>
      </c>
      <c r="E12" s="246" t="inlineStr">
        <is>
          <t>…</t>
        </is>
      </c>
      <c r="F12" s="246" t="inlineStr">
        <is>
          <t>…</t>
        </is>
      </c>
      <c r="G12" s="246" t="inlineStr">
        <is>
          <t>…</t>
        </is>
      </c>
      <c r="H12" s="246" t="inlineStr">
        <is>
          <t>…</t>
        </is>
      </c>
      <c r="I12" s="246" t="inlineStr">
        <is>
          <t>…</t>
        </is>
      </c>
      <c r="J12" s="246" t="inlineStr">
        <is>
          <t>…</t>
        </is>
      </c>
      <c r="K12" s="246" t="inlineStr">
        <is>
          <t>…</t>
        </is>
      </c>
      <c r="L12" s="246" t="inlineStr">
        <is>
          <t>…</t>
        </is>
      </c>
      <c r="M12" s="246" t="inlineStr">
        <is>
          <t>…</t>
        </is>
      </c>
      <c r="N12" s="246" t="inlineStr">
        <is>
          <t>…</t>
        </is>
      </c>
      <c r="O12" s="246" t="inlineStr">
        <is>
          <t>…</t>
        </is>
      </c>
      <c r="P12" s="246" t="inlineStr">
        <is>
          <t>…</t>
        </is>
      </c>
      <c r="Q12" s="246" t="inlineStr">
        <is>
          <t>…</t>
        </is>
      </c>
      <c r="R12" s="246" t="inlineStr">
        <is>
          <t>…</t>
        </is>
      </c>
      <c r="S12" s="246" t="inlineStr">
        <is>
          <t>…</t>
        </is>
      </c>
      <c r="T12" s="246" t="inlineStr">
        <is>
          <t>…</t>
        </is>
      </c>
      <c r="U12" s="246" t="inlineStr">
        <is>
          <t>…</t>
        </is>
      </c>
      <c r="V12" s="246" t="inlineStr">
        <is>
          <t>…</t>
        </is>
      </c>
      <c r="W12" s="246" t="inlineStr">
        <is>
          <t>…</t>
        </is>
      </c>
      <c r="X12" s="242" t="inlineStr">
        <is>
          <t>→ "&lt;tier keys&gt;  [seasoned | unseasoned, defaulted, open]"</t>
        </is>
      </c>
    </row>
    <row r="14">
      <c r="A14" s="236" t="inlineStr">
        <is>
          <t>Similarity tier 1 = closest. Unseasoned rows are shown but excluded from every rate. The underwriter can open any Contract ID in the CRM from here.</t>
        </is>
      </c>
    </row>
  </sheetData>
  <mergeCells count="1">
    <mergeCell ref="A2:X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12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style="230" min="1" max="1"/>
    <col width="22" customWidth="1" style="230" min="2" max="2"/>
    <col width="22" customWidth="1" style="230" min="3" max="3"/>
    <col width="18" customWidth="1" style="230" min="4" max="4"/>
    <col width="14" customWidth="1" style="230" min="11" max="11"/>
    <col width="16" customWidth="1" style="230" min="25" max="25"/>
    <col width="16" customWidth="1" style="230" min="26" max="26"/>
    <col width="16" customWidth="1" style="230" min="27" max="27"/>
    <col width="16" customWidth="1" style="230" min="28" max="28"/>
    <col width="16" customWidth="1" style="230" min="29" max="29"/>
    <col width="16" customWidth="1" style="230" min="30" max="30"/>
    <col width="16" customWidth="1" style="230" min="31" max="31"/>
    <col width="16" customWidth="1" style="230" min="32" max="32"/>
    <col width="16" customWidth="1" style="230" min="33" max="33"/>
    <col width="16" customWidth="1" style="230" min="34" max="34"/>
    <col width="16" customWidth="1" style="230" min="35" max="35"/>
    <col width="16" customWidth="1" style="230" min="36" max="36"/>
    <col width="16" customWidth="1" style="230" min="37" max="37"/>
    <col width="16" customWidth="1" style="230" min="38" max="38"/>
    <col width="16" customWidth="1" style="230" min="39" max="39"/>
    <col width="16" customWidth="1" style="230" min="40" max="40"/>
    <col width="16" customWidth="1" style="230" min="41" max="41"/>
    <col width="16" customWidth="1" style="230" min="42" max="42"/>
    <col width="16" customWidth="1" style="230" min="43" max="43"/>
    <col width="16" customWidth="1" style="230" min="44" max="44"/>
    <col width="16" customWidth="1" style="230" min="45" max="45"/>
    <col width="16" customWidth="1" style="230" min="46" max="46"/>
    <col width="16" customWidth="1" style="230" min="47" max="47"/>
    <col width="16" customWidth="1" style="230" min="48" max="48"/>
    <col width="16" customWidth="1" style="230" min="49" max="49"/>
    <col width="16" customWidth="1" style="230" min="50" max="50"/>
    <col width="16" customWidth="1" style="230" min="51" max="51"/>
    <col width="16" customWidth="1" style="230" min="52" max="52"/>
    <col width="16" customWidth="1" style="230" min="53" max="53"/>
    <col width="16" customWidth="1" style="230" min="54" max="54"/>
    <col width="16" customWidth="1" style="230" min="55" max="55"/>
    <col width="16" customWidth="1" style="230" min="56" max="56"/>
    <col width="16" customWidth="1" style="230" min="57" max="57"/>
  </cols>
  <sheetData>
    <row r="1" ht="42" customHeight="1" s="230">
      <c r="A1" s="237" t="inlineStr">
        <is>
          <t>Contract ID</t>
        </is>
      </c>
      <c r="B1" s="237" t="inlineStr">
        <is>
          <t>DBA</t>
        </is>
      </c>
      <c r="C1" s="237" t="inlineStr">
        <is>
          <t>Legal name</t>
        </is>
      </c>
      <c r="D1" s="237" t="inlineStr">
        <is>
          <t>Status</t>
        </is>
      </c>
      <c r="E1" s="237" t="inlineStr">
        <is>
          <t>Start date</t>
        </is>
      </c>
      <c r="F1" s="237" t="inlineStr">
        <is>
          <t>Last active</t>
        </is>
      </c>
      <c r="G1" s="237" t="inlineStr">
        <is>
          <t>Position</t>
        </is>
      </c>
      <c r="H1" s="237" t="inlineStr">
        <is>
          <t>SIC</t>
        </is>
      </c>
      <c r="I1" s="237" t="inlineStr">
        <is>
          <t>SIC2</t>
        </is>
      </c>
      <c r="J1" s="237" t="inlineStr">
        <is>
          <t>State</t>
        </is>
      </c>
      <c r="K1" s="237" t="inlineStr">
        <is>
          <t>ISO</t>
        </is>
      </c>
      <c r="L1" s="237" t="inlineStr">
        <is>
          <t>New or renewal</t>
        </is>
      </c>
      <c r="M1" s="237" t="inlineStr">
        <is>
          <t>Factor</t>
        </is>
      </c>
      <c r="N1" s="237" t="inlineStr">
        <is>
          <t>Advance</t>
        </is>
      </c>
      <c r="O1" s="237" t="inlineStr">
        <is>
          <t>Commission</t>
        </is>
      </c>
      <c r="P1" s="237" t="inlineStr">
        <is>
          <t>Payback</t>
        </is>
      </c>
      <c r="Q1" s="237" t="inlineStr">
        <is>
          <t>Collected</t>
        </is>
      </c>
      <c r="R1" s="237" t="inlineStr">
        <is>
          <t>Balance</t>
        </is>
      </c>
      <c r="S1" s="237" t="inlineStr">
        <is>
          <t>% paid</t>
        </is>
      </c>
      <c r="T1" s="237" t="inlineStr">
        <is>
          <t>Exp dur (raw)</t>
        </is>
      </c>
      <c r="U1" s="237" t="inlineStr">
        <is>
          <t>NSF count</t>
        </is>
      </c>
      <c r="V1" s="237" t="inlineStr">
        <is>
          <t>Avg rev/mo</t>
        </is>
      </c>
      <c r="W1" s="237" t="inlineStr">
        <is>
          <t>Holdback %</t>
        </is>
      </c>
      <c r="X1" s="237" t="inlineStr">
        <is>
          <t>Biz start</t>
        </is>
      </c>
      <c r="Y1" s="248" t="inlineStr">
        <is>
          <t>Industry</t>
        </is>
      </c>
      <c r="Z1" s="248" t="inlineStr">
        <is>
          <t>Pay frequency</t>
        </is>
      </c>
      <c r="AA1" s="248" t="inlineStr">
        <is>
          <t>Term (bus. days)</t>
        </is>
      </c>
      <c r="AB1" s="248" t="inlineStr">
        <is>
          <t>Age at as-of (bus. days)</t>
        </is>
      </c>
      <c r="AC1" s="248" t="inlineStr">
        <is>
          <t>Seasoned</t>
        </is>
      </c>
      <c r="AD1" s="248" t="inlineStr">
        <is>
          <t>In window</t>
        </is>
      </c>
      <c r="AE1" s="248" t="inlineStr">
        <is>
          <t>Default</t>
        </is>
      </c>
      <c r="AF1" s="248" t="inlineStr">
        <is>
          <t>Resolved</t>
        </is>
      </c>
      <c r="AG1" s="248" t="inlineStr">
        <is>
          <t>Closed family</t>
        </is>
      </c>
      <c r="AH1" s="248" t="inlineStr">
        <is>
          <t>Open</t>
        </is>
      </c>
      <c r="AI1" s="248" t="inlineStr">
        <is>
          <t>Status valid</t>
        </is>
      </c>
      <c r="AJ1" s="248" t="inlineStr">
        <is>
          <t>Net cash</t>
        </is>
      </c>
      <c r="AK1" s="248" t="inlineStr">
        <is>
          <t>Principal lost</t>
        </is>
      </c>
      <c r="AL1" s="248" t="inlineStr">
        <is>
          <t>Adv / revenue</t>
        </is>
      </c>
      <c r="AM1" s="248" t="inlineStr">
        <is>
          <t>Has revenue</t>
        </is>
      </c>
      <c r="AN1" s="248" t="inlineStr">
        <is>
          <t>Days on book (bus.)</t>
        </is>
      </c>
      <c r="AO1" s="248" t="inlineStr">
        <is>
          <t>Renewal</t>
        </is>
      </c>
      <c r="AP1" s="248" t="inlineStr">
        <is>
          <t>Eligible</t>
        </is>
      </c>
      <c r="AQ1" s="248" t="inlineStr">
        <is>
          <t>m: position</t>
        </is>
      </c>
      <c r="AR1" s="248" t="inlineStr">
        <is>
          <t>m: new/renewal</t>
        </is>
      </c>
      <c r="AS1" s="248" t="inlineStr">
        <is>
          <t>m: industry</t>
        </is>
      </c>
      <c r="AT1" s="248" t="inlineStr">
        <is>
          <t>m: ISO</t>
        </is>
      </c>
      <c r="AU1" s="248" t="inlineStr">
        <is>
          <t>m: state</t>
        </is>
      </c>
      <c r="AV1" s="248" t="inlineStr">
        <is>
          <t>T1 NR+Ind+Pos</t>
        </is>
      </c>
      <c r="AW1" s="248" t="inlineStr">
        <is>
          <t>T2 NR+ISO+Pos</t>
        </is>
      </c>
      <c r="AX1" s="248" t="inlineStr">
        <is>
          <t>T3 NR+Ind</t>
        </is>
      </c>
      <c r="AY1" s="248" t="inlineStr">
        <is>
          <t>T4 NR+ISO</t>
        </is>
      </c>
      <c r="AZ1" s="248" t="inlineStr">
        <is>
          <t>T5 NR+Pos</t>
        </is>
      </c>
      <c r="BA1" s="248" t="inlineStr">
        <is>
          <t>T6 NR</t>
        </is>
      </c>
      <c r="BB1" s="248" t="inlineStr">
        <is>
          <t>T7 Book</t>
        </is>
      </c>
      <c r="BC1" s="248" t="inlineStr">
        <is>
          <t>Best tier</t>
        </is>
      </c>
      <c r="BD1" s="248" t="inlineStr">
        <is>
          <t>In primary cohort</t>
        </is>
      </c>
      <c r="BE1" s="248" t="inlineStr">
        <is>
          <t>Seq</t>
        </is>
      </c>
    </row>
    <row r="2" ht="80" customHeight="1" s="230">
      <c r="A2" s="247" t="inlineStr">
        <is>
          <t>RAW from CRM export (values) →</t>
        </is>
      </c>
      <c r="Y2" s="242" t="inlineStr">
        <is>
          <t>→ SIC2 looked up on Ref (blank -&gt; "No SIC")</t>
        </is>
      </c>
      <c r="Z2" s="242" t="inlineStr">
        <is>
          <t>→ raw duration &lt; 12 = months = Daily deal; &gt;= 12 = weeks = Weekly deal</t>
        </is>
      </c>
      <c r="AA2" s="242" t="inlineStr">
        <is>
          <t>→ months x 21.655 or weeks x 5</t>
        </is>
      </c>
      <c r="AB2" s="242" t="inlineStr">
        <is>
          <t>→ NETWORKDAYS(funding date, Controls as-of date, holidays)</t>
        </is>
      </c>
      <c r="AC2" s="242" t="inlineStr">
        <is>
          <t>→ 1 if age &gt;= seasoning multiple x term</t>
        </is>
      </c>
      <c r="AD2" s="242" t="inlineStr">
        <is>
          <t>→ 1 if funded inside the Controls window</t>
        </is>
      </c>
      <c r="AE2" s="242" t="inlineStr">
        <is>
          <t>→ from status mapping</t>
        </is>
      </c>
      <c r="AF2" s="242" t="inlineStr">
        <is>
          <t>→ from status mapping</t>
        </is>
      </c>
      <c r="AG2" s="242" t="inlineStr">
        <is>
          <t>→ from status mapping</t>
        </is>
      </c>
      <c r="AH2" s="242" t="inlineStr">
        <is>
          <t>→ from status mapping</t>
        </is>
      </c>
      <c r="AI2" s="242" t="inlineStr">
        <is>
          <t>→ 1 if status is in the mapping table</t>
        </is>
      </c>
      <c r="AJ2" s="242" t="inlineStr">
        <is>
          <t>→ collected - advance</t>
        </is>
      </c>
      <c r="AK2" s="242" t="inlineStr">
        <is>
          <t>→ MAX(advance - collected, 0) on defaulted deals, else 0</t>
        </is>
      </c>
      <c r="AL2" s="242" t="inlineStr">
        <is>
          <t>→ advance / avg monthly revenue (0 + "has revenue" flag when missing)</t>
        </is>
      </c>
      <c r="AM2" s="242" t="inlineStr">
        <is>
          <t>→ 1 if revenue present</t>
        </is>
      </c>
      <c r="AN2" s="242" t="inlineStr">
        <is>
          <t>→ NETWORKDAYS(funding, last active)</t>
        </is>
      </c>
      <c r="AO2" s="242" t="inlineStr">
        <is>
          <t>→ 1 if Renewal</t>
        </is>
      </c>
      <c r="AP2" s="242" t="inlineStr">
        <is>
          <t>→ seasoned x in-window: the only rows that enter a rate</t>
        </is>
      </c>
      <c r="AQ2" s="242" t="inlineStr">
        <is>
          <t>→ 1 if position = proposed position on Deal</t>
        </is>
      </c>
      <c r="AR2" s="242" t="inlineStr">
        <is>
          <t>→ 1 if same as Deal</t>
        </is>
      </c>
      <c r="AS2" s="242" t="inlineStr">
        <is>
          <t>→ 1 if same as Deal</t>
        </is>
      </c>
      <c r="AT2" s="242" t="inlineStr">
        <is>
          <t>→ 1 if same as Deal</t>
        </is>
      </c>
      <c r="AU2" s="242" t="inlineStr">
        <is>
          <t>→ 1 if same as Deal</t>
        </is>
      </c>
      <c r="AV2" s="242" t="inlineStr">
        <is>
          <t>→ m:NR x m:Ind x m:Pos</t>
        </is>
      </c>
      <c r="AW2" s="242" t="inlineStr">
        <is>
          <t>→ m:NR x m:ISO x m:Pos</t>
        </is>
      </c>
      <c r="AX2" s="242" t="inlineStr">
        <is>
          <t>→ m:NR x m:Ind</t>
        </is>
      </c>
      <c r="AY2" s="242" t="inlineStr">
        <is>
          <t>→ m:NR x m:ISO</t>
        </is>
      </c>
      <c r="AZ2" s="242" t="inlineStr">
        <is>
          <t>→ m:NR x m:Pos</t>
        </is>
      </c>
      <c r="BA2" s="242" t="inlineStr">
        <is>
          <t>→ m:NR</t>
        </is>
      </c>
      <c r="BB2" s="242" t="inlineStr">
        <is>
          <t>→ always 1</t>
        </is>
      </c>
      <c r="BC2" s="242" t="inlineStr">
        <is>
          <t>→ lowest tier number the deal matches</t>
        </is>
      </c>
      <c r="BD2" s="242" t="inlineStr">
        <is>
          <t>→ 1 if the deal matches the primary tier chosen on Historical Score</t>
        </is>
      </c>
      <c r="BE2" s="242" t="inlineStr">
        <is>
          <t>→ running count of in-primary-cohort rows; feeds the Comparable Deals list</t>
        </is>
      </c>
    </row>
    <row r="3">
      <c r="A3" t="inlineStr">
        <is>
          <t>A-001</t>
        </is>
      </c>
      <c r="B3" t="inlineStr">
        <is>
          <t>Ridgeline Cafe</t>
        </is>
      </c>
      <c r="C3" t="inlineStr">
        <is>
          <t>Ridgeline Cafe LLC</t>
        </is>
      </c>
      <c r="D3" t="inlineStr">
        <is>
          <t>Closed</t>
        </is>
      </c>
      <c r="E3" s="249" t="n">
        <v>45672</v>
      </c>
      <c r="F3" s="249" t="n">
        <v>45821</v>
      </c>
      <c r="G3" t="n">
        <v>1</v>
      </c>
      <c r="H3" t="inlineStr">
        <is>
          <t>5812</t>
        </is>
      </c>
      <c r="I3" t="inlineStr">
        <is>
          <t>58</t>
        </is>
      </c>
      <c r="J3" t="inlineStr">
        <is>
          <t>NJ</t>
        </is>
      </c>
      <c r="K3" t="inlineStr">
        <is>
          <t>Fundwell</t>
        </is>
      </c>
      <c r="L3" t="inlineStr">
        <is>
          <t>New Deal</t>
        </is>
      </c>
      <c r="M3" t="n">
        <v>1.5</v>
      </c>
      <c r="N3" s="250" t="n">
        <v>10000</v>
      </c>
      <c r="O3" s="250" t="n">
        <v>1000</v>
      </c>
      <c r="P3" s="250" t="n">
        <v>15000</v>
      </c>
      <c r="Q3" s="250" t="n">
        <v>15000</v>
      </c>
      <c r="R3" s="250" t="n">
        <v>0</v>
      </c>
      <c r="S3" s="251" t="n">
        <v>1</v>
      </c>
      <c r="T3" t="n">
        <v>5</v>
      </c>
      <c r="U3" t="n">
        <v>0</v>
      </c>
      <c r="V3" t="n">
        <v>50000</v>
      </c>
      <c r="W3" s="251" t="n">
        <v>0.12</v>
      </c>
      <c r="X3" s="249" t="n">
        <v>43160</v>
      </c>
    </row>
    <row r="4">
      <c r="A4" t="inlineStr">
        <is>
          <t>A-002</t>
        </is>
      </c>
      <c r="B4" t="inlineStr">
        <is>
          <t>Delta Freight</t>
        </is>
      </c>
      <c r="C4" t="inlineStr">
        <is>
          <t>Delta Freight Group LLC</t>
        </is>
      </c>
      <c r="D4" t="inlineStr">
        <is>
          <t>Closed</t>
        </is>
      </c>
      <c r="E4" s="249" t="n">
        <v>45698</v>
      </c>
      <c r="F4" s="249" t="n">
        <v>45848</v>
      </c>
      <c r="G4" t="n">
        <v>2</v>
      </c>
      <c r="H4" t="inlineStr">
        <is>
          <t>4213</t>
        </is>
      </c>
      <c r="I4" t="inlineStr">
        <is>
          <t>42</t>
        </is>
      </c>
      <c r="J4" t="inlineStr">
        <is>
          <t>TX</t>
        </is>
      </c>
      <c r="K4" t="inlineStr">
        <is>
          <t>Westwood</t>
        </is>
      </c>
      <c r="L4" t="inlineStr">
        <is>
          <t>Renewal</t>
        </is>
      </c>
      <c r="M4" t="n">
        <v>1.5</v>
      </c>
      <c r="N4" s="250" t="n">
        <v>20000</v>
      </c>
      <c r="O4" s="250" t="n">
        <v>2000</v>
      </c>
      <c r="P4" s="250" t="n">
        <v>30000</v>
      </c>
      <c r="Q4" s="250" t="n">
        <v>30000</v>
      </c>
      <c r="R4" s="250" t="n">
        <v>0</v>
      </c>
      <c r="S4" s="251" t="n">
        <v>1</v>
      </c>
      <c r="T4" t="n">
        <v>20</v>
      </c>
      <c r="U4" t="n">
        <v>0</v>
      </c>
      <c r="V4" t="n">
        <v>100000</v>
      </c>
      <c r="W4" s="251" t="n">
        <v>0.09</v>
      </c>
      <c r="X4" s="249" t="n">
        <v>42170</v>
      </c>
    </row>
    <row r="5">
      <c r="A5" t="inlineStr">
        <is>
          <t>A-003</t>
        </is>
      </c>
      <c r="B5" t="inlineStr">
        <is>
          <t>Kane Construction</t>
        </is>
      </c>
      <c r="C5" t="inlineStr">
        <is>
          <t>Kane Construction Inc</t>
        </is>
      </c>
      <c r="D5" t="inlineStr">
        <is>
          <t>Legal</t>
        </is>
      </c>
      <c r="E5" s="249" t="n">
        <v>45721</v>
      </c>
      <c r="F5" s="249" t="n">
        <v>45813</v>
      </c>
      <c r="G5" t="n">
        <v>3</v>
      </c>
      <c r="H5" t="inlineStr">
        <is>
          <t>1542</t>
        </is>
      </c>
      <c r="I5" t="inlineStr">
        <is>
          <t>15</t>
        </is>
      </c>
      <c r="J5" t="inlineStr">
        <is>
          <t>NJ</t>
        </is>
      </c>
      <c r="K5" t="inlineStr">
        <is>
          <t>Fundwell</t>
        </is>
      </c>
      <c r="L5" t="inlineStr">
        <is>
          <t>New Deal</t>
        </is>
      </c>
      <c r="M5" t="n">
        <v>1.5</v>
      </c>
      <c r="N5" s="250" t="n">
        <v>30000</v>
      </c>
      <c r="O5" s="250" t="n">
        <v>3000</v>
      </c>
      <c r="P5" s="250" t="n">
        <v>45000</v>
      </c>
      <c r="Q5" s="250" t="n">
        <v>9000</v>
      </c>
      <c r="R5" s="250" t="n">
        <v>36000</v>
      </c>
      <c r="S5" s="251" t="n">
        <v>0.2</v>
      </c>
      <c r="T5" t="n">
        <v>6</v>
      </c>
      <c r="U5" t="n">
        <v>4</v>
      </c>
      <c r="V5" t="n">
        <v>60000</v>
      </c>
      <c r="W5" s="251" t="n">
        <v>0.15</v>
      </c>
      <c r="X5" s="249" t="n">
        <v>43840</v>
      </c>
    </row>
    <row r="6">
      <c r="A6" t="inlineStr">
        <is>
          <t>A-004</t>
        </is>
      </c>
      <c r="B6" t="inlineStr">
        <is>
          <t>Baymont Auto Body</t>
        </is>
      </c>
      <c r="C6" t="inlineStr">
        <is>
          <t>Baymont Auto Body LLC</t>
        </is>
      </c>
      <c r="D6" t="inlineStr">
        <is>
          <t>In House Collection</t>
        </is>
      </c>
      <c r="E6" s="249" t="n">
        <v>45768</v>
      </c>
      <c r="F6" s="249" t="n">
        <v>45889</v>
      </c>
      <c r="G6" t="n">
        <v>3</v>
      </c>
      <c r="H6" t="inlineStr">
        <is>
          <t>7538</t>
        </is>
      </c>
      <c r="I6" t="inlineStr">
        <is>
          <t>75</t>
        </is>
      </c>
      <c r="J6" t="inlineStr">
        <is>
          <t>TX</t>
        </is>
      </c>
      <c r="K6" t="inlineStr">
        <is>
          <t>Westwood</t>
        </is>
      </c>
      <c r="L6" t="inlineStr">
        <is>
          <t>New Deal</t>
        </is>
      </c>
      <c r="M6" t="n">
        <v>1.5</v>
      </c>
      <c r="N6" s="250" t="n">
        <v>40000</v>
      </c>
      <c r="O6" s="250" t="n">
        <v>4000</v>
      </c>
      <c r="P6" s="250" t="n">
        <v>60000</v>
      </c>
      <c r="Q6" s="250" t="n">
        <v>20000</v>
      </c>
      <c r="R6" s="250" t="n">
        <v>40000</v>
      </c>
      <c r="S6" s="251" t="n">
        <v>0.333333333333333</v>
      </c>
      <c r="T6" t="n">
        <v>24</v>
      </c>
      <c r="U6" t="n">
        <v>7</v>
      </c>
      <c r="V6" t="n">
        <v>80000</v>
      </c>
      <c r="W6" s="251" t="n">
        <v>0.11</v>
      </c>
      <c r="X6" s="249" t="n">
        <v>41182</v>
      </c>
    </row>
    <row r="7">
      <c r="A7" t="inlineStr">
        <is>
          <t>A-005</t>
        </is>
      </c>
      <c r="B7" t="inlineStr">
        <is>
          <t>Sunset Nails</t>
        </is>
      </c>
      <c r="C7" t="inlineStr">
        <is>
          <t>Sunset Nails Corp</t>
        </is>
      </c>
      <c r="D7" t="inlineStr">
        <is>
          <t>Written-Off</t>
        </is>
      </c>
      <c r="E7" s="249" t="n">
        <v>45789</v>
      </c>
      <c r="F7" s="249" t="n">
        <v>45973</v>
      </c>
      <c r="G7" t="n">
        <v>2</v>
      </c>
      <c r="H7" t="inlineStr">
        <is>
          <t>7231</t>
        </is>
      </c>
      <c r="I7" t="inlineStr">
        <is>
          <t>72</t>
        </is>
      </c>
      <c r="J7" t="inlineStr">
        <is>
          <t>NJ</t>
        </is>
      </c>
      <c r="K7" t="inlineStr">
        <is>
          <t>Fundwell</t>
        </is>
      </c>
      <c r="L7" t="inlineStr">
        <is>
          <t>Renewal</t>
        </is>
      </c>
      <c r="M7" t="n">
        <v>1.5</v>
      </c>
      <c r="N7" s="250" t="n">
        <v>10000</v>
      </c>
      <c r="O7" s="250" t="n">
        <v>1000</v>
      </c>
      <c r="P7" s="250" t="n">
        <v>15000</v>
      </c>
      <c r="Q7" s="250" t="n">
        <v>9500</v>
      </c>
      <c r="R7" s="250" t="n">
        <v>5500</v>
      </c>
      <c r="S7" s="251" t="n">
        <v>0.633333333333333</v>
      </c>
      <c r="T7" t="n">
        <v>4</v>
      </c>
      <c r="U7" t="n">
        <v>2</v>
      </c>
      <c r="V7" t="n">
        <v>20000</v>
      </c>
      <c r="W7" s="251" t="n">
        <v>0.14</v>
      </c>
      <c r="X7" s="249" t="n">
        <v>43774</v>
      </c>
    </row>
    <row r="8">
      <c r="A8" t="inlineStr">
        <is>
          <t>A-006</t>
        </is>
      </c>
      <c r="B8" t="inlineStr">
        <is>
          <t>Orchard Supply</t>
        </is>
      </c>
      <c r="C8" t="inlineStr">
        <is>
          <t>Orchard Supply Co LLC</t>
        </is>
      </c>
      <c r="D8" t="inlineStr">
        <is>
          <t>Bankruptcy</t>
        </is>
      </c>
      <c r="E8" s="249" t="n">
        <v>45826</v>
      </c>
      <c r="F8" s="249" t="n">
        <v>45918</v>
      </c>
      <c r="G8" t="n">
        <v>4</v>
      </c>
      <c r="J8" t="inlineStr">
        <is>
          <t>TX</t>
        </is>
      </c>
      <c r="K8" t="inlineStr">
        <is>
          <t>Westwood</t>
        </is>
      </c>
      <c r="L8" t="inlineStr">
        <is>
          <t>New Deal</t>
        </is>
      </c>
      <c r="M8" t="n">
        <v>1.5</v>
      </c>
      <c r="N8" s="250" t="n">
        <v>20000</v>
      </c>
      <c r="O8" s="250" t="n">
        <v>2000</v>
      </c>
      <c r="P8" s="250" t="n">
        <v>30000</v>
      </c>
      <c r="Q8" s="250" t="n">
        <v>0</v>
      </c>
      <c r="R8" s="250" t="n">
        <v>30000</v>
      </c>
      <c r="S8" s="251" t="n">
        <v>0</v>
      </c>
      <c r="T8" t="n">
        <v>16</v>
      </c>
      <c r="U8" t="n">
        <v>9</v>
      </c>
      <c r="V8" t="n">
        <v>100000</v>
      </c>
      <c r="W8" s="251" t="n">
        <v>0.1</v>
      </c>
      <c r="X8" s="249" t="n">
        <v>44305</v>
      </c>
    </row>
    <row r="9">
      <c r="A9" t="inlineStr">
        <is>
          <t>A-007</t>
        </is>
      </c>
      <c r="B9" t="inlineStr">
        <is>
          <t>Pinewood Dental</t>
        </is>
      </c>
      <c r="C9" t="inlineStr">
        <is>
          <t>Pinewood Dental PC</t>
        </is>
      </c>
      <c r="D9" t="inlineStr">
        <is>
          <t>Open</t>
        </is>
      </c>
      <c r="E9" s="249" t="n">
        <v>46030</v>
      </c>
      <c r="F9" s="249" t="n">
        <v>46237</v>
      </c>
      <c r="G9" t="n">
        <v>1</v>
      </c>
      <c r="H9" t="inlineStr">
        <is>
          <t>8021</t>
        </is>
      </c>
      <c r="I9" t="inlineStr">
        <is>
          <t>80</t>
        </is>
      </c>
      <c r="J9" t="inlineStr">
        <is>
          <t>NJ</t>
        </is>
      </c>
      <c r="K9" t="inlineStr">
        <is>
          <t>Fundwell</t>
        </is>
      </c>
      <c r="L9" t="inlineStr">
        <is>
          <t>New Deal</t>
        </is>
      </c>
      <c r="M9" t="n">
        <v>1.5</v>
      </c>
      <c r="N9" s="250" t="n">
        <v>50000</v>
      </c>
      <c r="O9" s="250" t="n">
        <v>5000</v>
      </c>
      <c r="P9" s="250" t="n">
        <v>75000</v>
      </c>
      <c r="Q9" s="250" t="n">
        <v>30000</v>
      </c>
      <c r="R9" s="250" t="n">
        <v>45000</v>
      </c>
      <c r="S9" s="251" t="n">
        <v>0.4</v>
      </c>
      <c r="T9" t="n">
        <v>6</v>
      </c>
      <c r="U9" t="n">
        <v>0</v>
      </c>
      <c r="V9" t="n">
        <v>250000</v>
      </c>
      <c r="W9" s="251" t="n">
        <v>0.08</v>
      </c>
      <c r="X9" s="249" t="n">
        <v>40211</v>
      </c>
    </row>
    <row r="10">
      <c r="A10" t="inlineStr">
        <is>
          <t>A-008</t>
        </is>
      </c>
      <c r="B10" t="inlineStr">
        <is>
          <t>Harbor Cleaning</t>
        </is>
      </c>
      <c r="C10" t="inlineStr">
        <is>
          <t>Harbor Cleaning Services LLC</t>
        </is>
      </c>
      <c r="D10" t="inlineStr">
        <is>
          <t>Closed/NSF Unpaid</t>
        </is>
      </c>
      <c r="E10" s="249" t="n">
        <v>45852</v>
      </c>
      <c r="F10" s="249" t="n">
        <v>46006</v>
      </c>
      <c r="G10" t="n">
        <v>3</v>
      </c>
      <c r="H10" t="inlineStr">
        <is>
          <t>7349</t>
        </is>
      </c>
      <c r="I10" t="inlineStr">
        <is>
          <t>73</t>
        </is>
      </c>
      <c r="J10" t="inlineStr">
        <is>
          <t>TX</t>
        </is>
      </c>
      <c r="K10" t="inlineStr">
        <is>
          <t>Westwood</t>
        </is>
      </c>
      <c r="L10" t="inlineStr">
        <is>
          <t>New Deal</t>
        </is>
      </c>
      <c r="M10" t="n">
        <v>1.5</v>
      </c>
      <c r="N10" s="250" t="n">
        <v>20000</v>
      </c>
      <c r="O10" s="250" t="n">
        <v>2000</v>
      </c>
      <c r="P10" s="250" t="n">
        <v>30000</v>
      </c>
      <c r="Q10" s="250" t="n">
        <v>30000</v>
      </c>
      <c r="R10" s="250" t="n">
        <v>0</v>
      </c>
      <c r="S10" s="251" t="n">
        <v>1</v>
      </c>
      <c r="T10" t="n">
        <v>20</v>
      </c>
      <c r="U10" t="n">
        <v>11</v>
      </c>
      <c r="W10" s="251" t="n">
        <v>0.13</v>
      </c>
      <c r="X10" s="249" t="n">
        <v>44781</v>
      </c>
    </row>
    <row r="12">
      <c r="A12" s="236" t="inlineStr">
        <is>
          <t>8 synthetic sample deals from Copy_of_House_Book_Analytics.xlsx. The build replaces these with the full CRM export (1,067 rows, same column order). Helper columns become formulas filled down every row.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4"/>
  <sheetViews>
    <sheetView showGridLines="0" workbookViewId="0">
      <selection activeCell="A1" sqref="A1"/>
    </sheetView>
  </sheetViews>
  <sheetFormatPr baseColWidth="8" defaultRowHeight="15"/>
  <cols>
    <col width="54" customWidth="1" style="230" min="1" max="1"/>
    <col width="16" customWidth="1" style="230" min="2" max="2"/>
    <col width="16" customWidth="1" style="230" min="3" max="3"/>
    <col width="16" customWidth="1" style="230" min="4" max="4"/>
    <col width="16" customWidth="1" style="230" min="5" max="5"/>
    <col width="14" customWidth="1" style="230" min="6" max="6"/>
    <col width="14" customWidth="1" style="230" min="7" max="7"/>
    <col width="62" customWidth="1" style="230" min="8" max="8"/>
  </cols>
  <sheetData>
    <row r="1">
      <c r="A1" s="244" t="inlineStr">
        <is>
          <t>CONTROLS  -  every threshold, tier and rule the model will read (values are real; nothing here is a formula)</t>
        </is>
      </c>
    </row>
    <row r="2">
      <c r="A2" s="236" t="inlineStr">
        <is>
          <t>Blue = editable policy value. The Deal sheet currently holds its own copies of section 1 and 2 (D38:G44, J13:L17, C50, E50); in the build they become links to these cells.</t>
        </is>
      </c>
    </row>
    <row r="3">
      <c r="A3" s="235" t="inlineStr">
        <is>
          <t>1. CASH-FLOW THRESHOLDS  (unchanged from the Deal sheet)</t>
        </is>
      </c>
    </row>
    <row r="4">
      <c r="A4" s="237" t="inlineStr">
        <is>
          <t>Metric</t>
        </is>
      </c>
      <c r="B4" s="237" t="inlineStr">
        <is>
          <t>Green (at or better)</t>
        </is>
      </c>
      <c r="C4" s="237" t="inlineStr">
        <is>
          <t>Red (at or worse)</t>
        </is>
      </c>
      <c r="D4" s="237" t="inlineStr">
        <is>
          <t>Knockout</t>
        </is>
      </c>
      <c r="E4" s="237" t="inlineStr">
        <is>
          <t>Direction</t>
        </is>
      </c>
      <c r="F4" s="237" t="inlineStr"/>
      <c r="G4" s="237" t="inlineStr"/>
      <c r="H4" s="237" t="inlineStr">
        <is>
          <t>Note</t>
        </is>
      </c>
    </row>
    <row r="5">
      <c r="A5" s="245" t="inlineStr">
        <is>
          <t>Total LVG (all debt / rev)</t>
        </is>
      </c>
      <c r="B5" s="252" t="n">
        <v>0.3</v>
      </c>
      <c r="C5" s="252" t="n">
        <v>0.45</v>
      </c>
      <c r="D5" s="252" t="n">
        <v>0.55</v>
      </c>
      <c r="E5" s="245" t="inlineStr">
        <is>
          <t>higher is worse</t>
        </is>
      </c>
      <c r="H5" s="236" t="inlineStr">
        <is>
          <t>Monthly debt service incl. new deal / avg true revenue</t>
        </is>
      </c>
    </row>
    <row r="6">
      <c r="A6" s="245" t="inlineStr">
        <is>
          <t>New holdback SP%</t>
        </is>
      </c>
      <c r="B6" s="252" t="n">
        <v>0.18</v>
      </c>
      <c r="C6" s="252" t="n">
        <v>0.25</v>
      </c>
      <c r="D6" s="252" t="n">
        <v>0.35</v>
      </c>
      <c r="E6" s="245" t="inlineStr">
        <is>
          <t>higher is worse</t>
        </is>
      </c>
      <c r="H6" s="236" t="inlineStr"/>
    </row>
    <row r="7">
      <c r="A7" s="245" t="inlineStr">
        <is>
          <t>Daily debt / balance</t>
        </is>
      </c>
      <c r="B7" s="252" t="n">
        <v>0.18</v>
      </c>
      <c r="C7" s="252" t="n">
        <v>0.3</v>
      </c>
      <c r="D7" s="252" t="n">
        <v>0.35</v>
      </c>
      <c r="E7" s="245" t="inlineStr">
        <is>
          <t>higher is worse</t>
        </is>
      </c>
      <c r="H7" s="236" t="inlineStr"/>
    </row>
    <row r="8">
      <c r="A8" s="245" t="inlineStr">
        <is>
          <t>Fund / revenue</t>
        </is>
      </c>
      <c r="B8" s="253" t="n">
        <v>0.6</v>
      </c>
      <c r="C8" s="253" t="n">
        <v>0.9</v>
      </c>
      <c r="D8" s="253" t="n">
        <v>1.25</v>
      </c>
      <c r="E8" s="245" t="inlineStr">
        <is>
          <t>higher is worse</t>
        </is>
      </c>
      <c r="H8" s="236" t="inlineStr"/>
    </row>
    <row r="9">
      <c r="A9" s="245" t="inlineStr">
        <is>
          <t># positions (incl. new)</t>
        </is>
      </c>
      <c r="B9" s="254" t="n">
        <v>2</v>
      </c>
      <c r="C9" s="254" t="n">
        <v>5</v>
      </c>
      <c r="D9" s="254" t="n">
        <v>6</v>
      </c>
      <c r="E9" s="245" t="inlineStr">
        <is>
          <t>higher is worse</t>
        </is>
      </c>
      <c r="H9" s="236" t="inlineStr"/>
    </row>
    <row r="10">
      <c r="A10" s="245" t="inlineStr">
        <is>
          <t>Revenue trend (avg MoM)</t>
        </is>
      </c>
      <c r="B10" s="252" t="n">
        <v>-0.05</v>
      </c>
      <c r="C10" s="252" t="n">
        <v>-0.15</v>
      </c>
      <c r="D10" s="252" t="n">
        <v>-0.3</v>
      </c>
      <c r="E10" s="245" t="inlineStr">
        <is>
          <t>lower is worse</t>
        </is>
      </c>
      <c r="H10" s="236" t="inlineStr"/>
    </row>
    <row r="11">
      <c r="A11" s="245" t="inlineStr">
        <is>
          <t>Neg days + NSFs (total)</t>
        </is>
      </c>
      <c r="B11" s="254" t="n">
        <v>1</v>
      </c>
      <c r="C11" s="254" t="n">
        <v>6</v>
      </c>
      <c r="D11" s="254" t="n">
        <v>10</v>
      </c>
      <c r="E11" s="245" t="inlineStr">
        <is>
          <t>higher is worse</t>
        </is>
      </c>
      <c r="H11" s="236" t="inlineStr">
        <is>
          <t>Total across all months entered</t>
        </is>
      </c>
    </row>
    <row r="12">
      <c r="A12" s="245" t="inlineStr">
        <is>
          <t>Credit score (FICO)  - NEW</t>
        </is>
      </c>
      <c r="B12" s="254" t="n">
        <v>650</v>
      </c>
      <c r="C12" s="254" t="n">
        <v>630</v>
      </c>
      <c r="D12" s="254" t="n">
        <v>0</v>
      </c>
      <c r="E12" s="245" t="inlineStr">
        <is>
          <t>lower is worse</t>
        </is>
      </c>
      <c r="H12" s="236" t="inlineStr">
        <is>
          <t>650+ green, 630-649 yellow, below 630 red. Knockout 0 = off</t>
        </is>
      </c>
    </row>
    <row r="13">
      <c r="A13" s="245" t="inlineStr">
        <is>
          <t>Decline if red flags (RED + KNOCKOUT) &gt;=</t>
        </is>
      </c>
      <c r="B13" s="254" t="n">
        <v>2</v>
      </c>
    </row>
    <row r="14">
      <c r="A14" s="245" t="inlineStr">
        <is>
          <t>Minimum fund $</t>
        </is>
      </c>
      <c r="B14" s="255" t="n">
        <v>10000</v>
      </c>
      <c r="H14" s="236" t="inlineStr">
        <is>
          <t>Deal sheet E50 currently 10,000</t>
        </is>
      </c>
    </row>
    <row r="15">
      <c r="A15" s="245" t="inlineStr">
        <is>
          <t>Underwriting fee %</t>
        </is>
      </c>
      <c r="B15" s="256" t="n">
        <v>0.05</v>
      </c>
    </row>
    <row r="17">
      <c r="A17" s="235" t="inlineStr">
        <is>
          <t>2. PRICING BANDS  (unchanged)</t>
        </is>
      </c>
    </row>
    <row r="18">
      <c r="A18" s="237" t="inlineStr">
        <is>
          <t>Score &gt;=</t>
        </is>
      </c>
      <c r="B18" s="237" t="inlineStr">
        <is>
          <t>Term cap (daily pmts)</t>
        </is>
      </c>
      <c r="C18" s="237" t="inlineStr">
        <is>
          <t>Factor</t>
        </is>
      </c>
      <c r="D18" s="237" t="inlineStr"/>
      <c r="E18" s="237" t="inlineStr"/>
      <c r="F18" s="237" t="inlineStr"/>
      <c r="G18" s="237" t="inlineStr"/>
      <c r="H18" s="237" t="inlineStr">
        <is>
          <t>Note</t>
        </is>
      </c>
    </row>
    <row r="19">
      <c r="A19" s="257" t="n">
        <v>0</v>
      </c>
      <c r="B19" s="254" t="n">
        <v>100</v>
      </c>
      <c r="C19" s="253" t="n">
        <v>1.49</v>
      </c>
      <c r="H19" s="236" t="inlineStr">
        <is>
          <t>Term step -1 in the modifier table = one row up this table</t>
        </is>
      </c>
    </row>
    <row r="20">
      <c r="A20" s="257" t="n">
        <v>5</v>
      </c>
      <c r="B20" s="254" t="n">
        <v>130</v>
      </c>
      <c r="C20" s="253" t="n">
        <v>1.45</v>
      </c>
    </row>
    <row r="21">
      <c r="A21" s="257" t="n">
        <v>6</v>
      </c>
      <c r="B21" s="254" t="n">
        <v>150</v>
      </c>
      <c r="C21" s="253" t="n">
        <v>1.45</v>
      </c>
    </row>
    <row r="22">
      <c r="A22" s="257" t="n">
        <v>7</v>
      </c>
      <c r="B22" s="254" t="n">
        <v>195</v>
      </c>
      <c r="C22" s="253" t="n">
        <v>1.4</v>
      </c>
    </row>
    <row r="23">
      <c r="A23" s="245" t="inlineStr">
        <is>
          <t>Max term (months)</t>
        </is>
      </c>
      <c r="B23" s="254" t="n">
        <v>9</v>
      </c>
    </row>
    <row r="24">
      <c r="A24" s="245" t="inlineStr">
        <is>
          <t>Approved factor tiers</t>
        </is>
      </c>
      <c r="B24" s="253" t="n">
        <v>1.4</v>
      </c>
      <c r="C24" s="253" t="n">
        <v>1.45</v>
      </c>
      <c r="D24" s="253" t="n">
        <v>1.49</v>
      </c>
      <c r="H24" s="236" t="inlineStr">
        <is>
          <t>1.35 = prepay, not a tier</t>
        </is>
      </c>
    </row>
    <row r="25">
      <c r="A25" s="245" t="inlineStr">
        <is>
          <t>Tier cut-offs (7-point scale): Strong / Solid / Moderate</t>
        </is>
      </c>
      <c r="B25" s="257" t="n">
        <v>6.5</v>
      </c>
      <c r="C25" s="257" t="n">
        <v>5</v>
      </c>
      <c r="D25" s="257" t="n">
        <v>3.5</v>
      </c>
      <c r="H25" s="236" t="inlineStr">
        <is>
          <t>With credit score the scorecard has 8 metrics; score x 7 / metrics-scored keeps the bands meaningful</t>
        </is>
      </c>
    </row>
    <row r="27">
      <c r="A27" s="235" t="inlineStr">
        <is>
          <t>3. CONVERSION CONSTANTS</t>
        </is>
      </c>
    </row>
    <row r="28">
      <c r="A28" s="245" t="inlineStr">
        <is>
          <t>Weeks per month (ours)</t>
        </is>
      </c>
      <c r="B28" s="258" t="n">
        <v>4.331</v>
      </c>
      <c r="H28" s="236" t="inlineStr">
        <is>
          <t>time converts with 4.331</t>
        </is>
      </c>
    </row>
    <row r="29">
      <c r="A29" s="245" t="inlineStr">
        <is>
          <t>Business days per month (ours)</t>
        </is>
      </c>
      <c r="B29" s="258" t="n">
        <v>21.655</v>
      </c>
      <c r="H29" s="236" t="inlineStr">
        <is>
          <t>money converts with 5 and 21.655</t>
        </is>
      </c>
    </row>
    <row r="30">
      <c r="A30" s="245" t="inlineStr">
        <is>
          <t>MoneyBadger weeks / month</t>
        </is>
      </c>
      <c r="B30" s="254" t="n">
        <v>4</v>
      </c>
      <c r="H30" s="236" t="inlineStr"/>
    </row>
    <row r="31">
      <c r="A31" s="245" t="inlineStr">
        <is>
          <t>MoneyBadger business days / month</t>
        </is>
      </c>
      <c r="B31" s="254" t="n">
        <v>21</v>
      </c>
      <c r="H31" s="236" t="inlineStr"/>
    </row>
    <row r="32">
      <c r="A32" s="245" t="inlineStr">
        <is>
          <t>Calendar days / month</t>
        </is>
      </c>
      <c r="B32" s="259" t="n">
        <v>30.4375</v>
      </c>
      <c r="H32" s="236" t="inlineStr"/>
    </row>
    <row r="33">
      <c r="A33" s="245" t="inlineStr">
        <is>
          <t>Assumed factor on existing positions</t>
        </is>
      </c>
      <c r="B33" s="253" t="n">
        <v>1.45</v>
      </c>
      <c r="H33" s="236" t="inlineStr"/>
    </row>
    <row r="35">
      <c r="A35" s="235" t="inlineStr">
        <is>
          <t>4. HISTORICAL EVIDENCE SETTINGS  (new)</t>
        </is>
      </c>
    </row>
    <row r="36">
      <c r="A36" s="245" t="inlineStr">
        <is>
          <t>As-of date for seasoning (date of the CRM export)</t>
        </is>
      </c>
      <c r="B36" s="260" t="n">
        <v>46259</v>
      </c>
      <c r="H36" s="236" t="inlineStr">
        <is>
          <t>age = business days from funding to this date</t>
        </is>
      </c>
    </row>
    <row r="37">
      <c r="A37" s="245" t="inlineStr">
        <is>
          <t>Window: funded on or after</t>
        </is>
      </c>
      <c r="B37" s="260" t="n">
        <v>45597</v>
      </c>
      <c r="H37" s="236" t="inlineStr"/>
    </row>
    <row r="38">
      <c r="A38" s="245" t="inlineStr">
        <is>
          <t>Window: funded on or before</t>
        </is>
      </c>
      <c r="B38" s="260" t="n">
        <v>46259</v>
      </c>
      <c r="H38" s="236" t="inlineStr">
        <is>
          <t>set 12/31/2025 to read the settled book</t>
        </is>
      </c>
    </row>
    <row r="39">
      <c r="A39" s="245" t="inlineStr">
        <is>
          <t>Seasoning multiple (age &gt;= multiple x contracted term)</t>
        </is>
      </c>
      <c r="B39" s="253" t="n">
        <v>1.25</v>
      </c>
      <c r="H39" s="236" t="inlineStr">
        <is>
          <t>a deal is only rated once it has had 125% of its term to play out</t>
        </is>
      </c>
    </row>
    <row r="40">
      <c r="A40" s="245" t="inlineStr">
        <is>
          <t>Minimum seasoned deals for a cohort to be PRIMARY</t>
        </is>
      </c>
      <c r="B40" s="254" t="n">
        <v>10</v>
      </c>
      <c r="H40" s="236" t="inlineStr"/>
    </row>
    <row r="41">
      <c r="A41" s="245" t="inlineStr">
        <is>
          <t>Minimum seasoned funded $ for a cohort to be PRIMARY</t>
        </is>
      </c>
      <c r="B41" s="255" t="n">
        <v>150000</v>
      </c>
      <c r="H41" s="236" t="inlineStr"/>
    </row>
    <row r="42">
      <c r="A42" s="245" t="inlineStr">
        <is>
          <t>Credibility constant K</t>
        </is>
      </c>
      <c r="B42" s="254" t="n">
        <v>30</v>
      </c>
      <c r="H42" s="236" t="inlineStr">
        <is>
          <t>Z = n / (n + K): 30 deals = half weight, 90 = 75%</t>
        </is>
      </c>
    </row>
    <row r="43">
      <c r="A43" s="245" t="inlineStr">
        <is>
          <t>Max open share for "seasoned-enough"</t>
        </is>
      </c>
      <c r="B43" s="256" t="n">
        <v>0.15</v>
      </c>
      <c r="H43" s="236" t="inlineStr"/>
    </row>
    <row r="44">
      <c r="A44" s="245" t="inlineStr">
        <is>
          <t>High confidence: min Z</t>
        </is>
      </c>
      <c r="B44" s="253" t="n">
        <v>0.6</v>
      </c>
      <c r="H44" s="236" t="inlineStr"/>
    </row>
    <row r="45">
      <c r="A45" s="245" t="inlineStr">
        <is>
          <t>Medium confidence: min Z</t>
        </is>
      </c>
      <c r="B45" s="253" t="n">
        <v>0.3</v>
      </c>
      <c r="H45" s="236" t="inlineStr"/>
    </row>
    <row r="46">
      <c r="A46" s="245" t="inlineStr">
        <is>
          <t>Low confidence: max steps from Neutral</t>
        </is>
      </c>
      <c r="B46" s="254" t="n">
        <v>1</v>
      </c>
      <c r="H46" s="236" t="inlineStr">
        <is>
          <t>weak evidence can never drive a severe adjustment</t>
        </is>
      </c>
    </row>
    <row r="47">
      <c r="A47" s="245" t="inlineStr">
        <is>
          <t>Minimum seasoned deals before a rate is shown</t>
        </is>
      </c>
      <c r="B47" s="254" t="n">
        <v>5</v>
      </c>
      <c r="H47" s="236" t="inlineStr"/>
    </row>
    <row r="49">
      <c r="A49" s="235" t="inlineStr">
        <is>
          <t>5. HISTORICAL MODIFIER TABLE  (relative index = blended cohort lost rate / seasoned-book lost rate)</t>
        </is>
      </c>
    </row>
    <row r="50">
      <c r="A50" s="237" t="inlineStr">
        <is>
          <t>Index at or below</t>
        </is>
      </c>
      <c r="B50" s="237" t="inlineStr">
        <is>
          <t>Level</t>
        </is>
      </c>
      <c r="C50" s="237" t="inlineStr">
        <is>
          <t>Fund multiplier (x cash-flow max)</t>
        </is>
      </c>
      <c r="D50" s="237" t="inlineStr">
        <is>
          <t>Term step (bands)</t>
        </is>
      </c>
      <c r="E50" s="237" t="inlineStr">
        <is>
          <t>Factor step (tiers)</t>
        </is>
      </c>
      <c r="F50" s="237" t="inlineStr">
        <is>
          <t>Frequency</t>
        </is>
      </c>
      <c r="G50" s="237" t="inlineStr">
        <is>
          <t>Manual review?</t>
        </is>
      </c>
      <c r="H50" s="237" t="inlineStr">
        <is>
          <t>Note</t>
        </is>
      </c>
    </row>
    <row r="51">
      <c r="A51" s="253" t="n">
        <v>0.6</v>
      </c>
      <c r="B51" s="240" t="inlineStr">
        <is>
          <t>Strong positive</t>
        </is>
      </c>
      <c r="C51" s="253" t="n">
        <v>1</v>
      </c>
      <c r="D51" s="241" t="n">
        <v>0</v>
      </c>
      <c r="E51" s="241" t="n">
        <v>0</v>
      </c>
      <c r="F51" s="241" t="inlineStr">
        <is>
          <t>As proposed</t>
        </is>
      </c>
      <c r="G51" s="241" t="inlineStr">
        <is>
          <t>N</t>
        </is>
      </c>
      <c r="H51" s="236" t="inlineStr">
        <is>
          <t>full cash-flow max only with strong credible evidence</t>
        </is>
      </c>
    </row>
    <row r="52">
      <c r="A52" s="253" t="n">
        <v>0.85</v>
      </c>
      <c r="B52" s="240" t="inlineStr">
        <is>
          <t>Mild positive</t>
        </is>
      </c>
      <c r="C52" s="253" t="n">
        <v>0.95</v>
      </c>
      <c r="D52" s="241" t="n">
        <v>0</v>
      </c>
      <c r="E52" s="241" t="n">
        <v>0</v>
      </c>
      <c r="F52" s="241" t="inlineStr">
        <is>
          <t>As proposed</t>
        </is>
      </c>
      <c r="G52" s="241" t="inlineStr">
        <is>
          <t>N</t>
        </is>
      </c>
      <c r="H52" s="236" t="inlineStr"/>
    </row>
    <row r="53">
      <c r="A53" s="253" t="n">
        <v>1.15</v>
      </c>
      <c r="B53" s="240" t="inlineStr">
        <is>
          <t>Neutral</t>
        </is>
      </c>
      <c r="C53" s="253" t="n">
        <v>0.9</v>
      </c>
      <c r="D53" s="241" t="n">
        <v>0</v>
      </c>
      <c r="E53" s="241" t="n">
        <v>0</v>
      </c>
      <c r="F53" s="241" t="inlineStr">
        <is>
          <t>As proposed</t>
        </is>
      </c>
      <c r="G53" s="241" t="inlineStr">
        <is>
          <t>N</t>
        </is>
      </c>
      <c r="H53" s="236" t="inlineStr">
        <is>
          <t>base utilisation; 1.00 reproduces the old tool</t>
        </is>
      </c>
    </row>
    <row r="54">
      <c r="A54" s="253" t="n">
        <v>1.4</v>
      </c>
      <c r="B54" s="240" t="inlineStr">
        <is>
          <t>Mild negative</t>
        </is>
      </c>
      <c r="C54" s="253" t="n">
        <v>0.8</v>
      </c>
      <c r="D54" s="241" t="n">
        <v>-1</v>
      </c>
      <c r="E54" s="241" t="n">
        <v>1</v>
      </c>
      <c r="F54" s="241" t="inlineStr">
        <is>
          <t>As proposed</t>
        </is>
      </c>
      <c r="G54" s="241" t="inlineStr">
        <is>
          <t>N</t>
        </is>
      </c>
      <c r="H54" s="236" t="inlineStr"/>
    </row>
    <row r="55">
      <c r="A55" s="253" t="n">
        <v>1.75</v>
      </c>
      <c r="B55" s="240" t="inlineStr">
        <is>
          <t>Negative</t>
        </is>
      </c>
      <c r="C55" s="253" t="n">
        <v>0.7</v>
      </c>
      <c r="D55" s="241" t="n">
        <v>-1</v>
      </c>
      <c r="E55" s="241" t="n">
        <v>1</v>
      </c>
      <c r="F55" s="241" t="inlineStr">
        <is>
          <t>Weekly</t>
        </is>
      </c>
      <c r="G55" s="241" t="inlineStr">
        <is>
          <t>N</t>
        </is>
      </c>
      <c r="H55" s="236" t="inlineStr">
        <is>
          <t>adds weekly + no-stacking covenant</t>
        </is>
      </c>
    </row>
    <row r="56">
      <c r="A56" s="253" t="n">
        <v>999</v>
      </c>
      <c r="B56" s="240" t="inlineStr">
        <is>
          <t>Severe</t>
        </is>
      </c>
      <c r="C56" s="253" t="n">
        <v>0.55</v>
      </c>
      <c r="D56" s="241" t="n">
        <v>-2</v>
      </c>
      <c r="E56" s="241" t="n">
        <v>1</v>
      </c>
      <c r="F56" s="241" t="inlineStr">
        <is>
          <t>Weekly</t>
        </is>
      </c>
      <c r="G56" s="241" t="inlineStr">
        <is>
          <t>Y</t>
        </is>
      </c>
      <c r="H56" s="236" t="inlineStr"/>
    </row>
    <row r="59">
      <c r="A59" s="235" t="inlineStr">
        <is>
          <t>6. STATUS MAPPING  (the only place default / resolved / closed / open are defined)</t>
        </is>
      </c>
    </row>
    <row r="60">
      <c r="A60" s="237" t="inlineStr">
        <is>
          <t>Status</t>
        </is>
      </c>
      <c r="B60" s="237" t="inlineStr">
        <is>
          <t>Default?</t>
        </is>
      </c>
      <c r="C60" s="237" t="inlineStr">
        <is>
          <t>Resolved?</t>
        </is>
      </c>
      <c r="D60" s="237" t="inlineStr">
        <is>
          <t>Closed?</t>
        </is>
      </c>
      <c r="E60" s="237" t="inlineStr">
        <is>
          <t>Open?</t>
        </is>
      </c>
      <c r="F60" s="237" t="inlineStr"/>
      <c r="G60" s="237" t="inlineStr"/>
      <c r="H60" s="237" t="inlineStr"/>
    </row>
    <row r="61">
      <c r="A61" s="245" t="inlineStr">
        <is>
          <t>Closed</t>
        </is>
      </c>
      <c r="B61" s="241" t="inlineStr">
        <is>
          <t>No</t>
        </is>
      </c>
      <c r="C61" s="241" t="inlineStr">
        <is>
          <t>Yes</t>
        </is>
      </c>
      <c r="D61" s="241" t="inlineStr">
        <is>
          <t>Yes</t>
        </is>
      </c>
      <c r="E61" s="241" t="inlineStr">
        <is>
          <t>No</t>
        </is>
      </c>
    </row>
    <row r="62">
      <c r="A62" s="245" t="inlineStr">
        <is>
          <t>Open</t>
        </is>
      </c>
      <c r="B62" s="241" t="inlineStr">
        <is>
          <t>No</t>
        </is>
      </c>
      <c r="C62" s="241" t="inlineStr">
        <is>
          <t>No</t>
        </is>
      </c>
      <c r="D62" s="241" t="inlineStr">
        <is>
          <t>No</t>
        </is>
      </c>
      <c r="E62" s="241" t="inlineStr">
        <is>
          <t>Yes</t>
        </is>
      </c>
    </row>
    <row r="63">
      <c r="A63" s="245" t="inlineStr">
        <is>
          <t>Legal</t>
        </is>
      </c>
      <c r="B63" s="241" t="inlineStr">
        <is>
          <t>Yes</t>
        </is>
      </c>
      <c r="C63" s="241" t="inlineStr">
        <is>
          <t>No</t>
        </is>
      </c>
      <c r="D63" s="241" t="inlineStr">
        <is>
          <t>No</t>
        </is>
      </c>
      <c r="E63" s="241" t="inlineStr">
        <is>
          <t>No</t>
        </is>
      </c>
    </row>
    <row r="64">
      <c r="A64" s="245" t="inlineStr">
        <is>
          <t>In House Collection</t>
        </is>
      </c>
      <c r="B64" s="241" t="inlineStr">
        <is>
          <t>Yes</t>
        </is>
      </c>
      <c r="C64" s="241" t="inlineStr">
        <is>
          <t>No</t>
        </is>
      </c>
      <c r="D64" s="241" t="inlineStr">
        <is>
          <t>No</t>
        </is>
      </c>
      <c r="E64" s="241" t="inlineStr">
        <is>
          <t>No</t>
        </is>
      </c>
    </row>
    <row r="65">
      <c r="A65" s="245" t="inlineStr">
        <is>
          <t>Lowered Payments</t>
        </is>
      </c>
      <c r="B65" s="241" t="inlineStr">
        <is>
          <t>No</t>
        </is>
      </c>
      <c r="C65" s="241" t="inlineStr">
        <is>
          <t>No</t>
        </is>
      </c>
      <c r="D65" s="241" t="inlineStr">
        <is>
          <t>No</t>
        </is>
      </c>
      <c r="E65" s="241" t="inlineStr">
        <is>
          <t>No</t>
        </is>
      </c>
      <c r="H65" s="236" t="inlineStr">
        <is>
          <t>Lowered Payments = restructured, still collecting; house book treats it as performing</t>
        </is>
      </c>
    </row>
    <row r="66">
      <c r="A66" s="245" t="inlineStr">
        <is>
          <t>Written-Off</t>
        </is>
      </c>
      <c r="B66" s="241" t="inlineStr">
        <is>
          <t>Yes</t>
        </is>
      </c>
      <c r="C66" s="241" t="inlineStr">
        <is>
          <t>Yes</t>
        </is>
      </c>
      <c r="D66" s="241" t="inlineStr">
        <is>
          <t>No</t>
        </is>
      </c>
      <c r="E66" s="241" t="inlineStr">
        <is>
          <t>No</t>
        </is>
      </c>
    </row>
    <row r="67">
      <c r="A67" s="245" t="inlineStr">
        <is>
          <t>Bankruptcy</t>
        </is>
      </c>
      <c r="B67" s="241" t="inlineStr">
        <is>
          <t>Yes</t>
        </is>
      </c>
      <c r="C67" s="241" t="inlineStr">
        <is>
          <t>Yes</t>
        </is>
      </c>
      <c r="D67" s="241" t="inlineStr">
        <is>
          <t>No</t>
        </is>
      </c>
      <c r="E67" s="241" t="inlineStr">
        <is>
          <t>No</t>
        </is>
      </c>
    </row>
    <row r="68">
      <c r="A68" s="245" t="inlineStr">
        <is>
          <t>Settlement Agreement</t>
        </is>
      </c>
      <c r="B68" s="241" t="inlineStr">
        <is>
          <t>Yes</t>
        </is>
      </c>
      <c r="C68" s="241" t="inlineStr">
        <is>
          <t>Yes</t>
        </is>
      </c>
      <c r="D68" s="241" t="inlineStr">
        <is>
          <t>No</t>
        </is>
      </c>
      <c r="E68" s="241" t="inlineStr">
        <is>
          <t>No</t>
        </is>
      </c>
    </row>
    <row r="69">
      <c r="A69" s="245" t="inlineStr">
        <is>
          <t>Closed/NSF</t>
        </is>
      </c>
      <c r="B69" s="241" t="inlineStr">
        <is>
          <t>No</t>
        </is>
      </c>
      <c r="C69" s="241" t="inlineStr">
        <is>
          <t>Yes</t>
        </is>
      </c>
      <c r="D69" s="241" t="inlineStr">
        <is>
          <t>Yes</t>
        </is>
      </c>
      <c r="E69" s="241" t="inlineStr">
        <is>
          <t>No</t>
        </is>
      </c>
    </row>
    <row r="70">
      <c r="A70" s="245" t="inlineStr">
        <is>
          <t>Closed/NSF Unpaid</t>
        </is>
      </c>
      <c r="B70" s="241" t="inlineStr">
        <is>
          <t>No</t>
        </is>
      </c>
      <c r="C70" s="241" t="inlineStr">
        <is>
          <t>Yes</t>
        </is>
      </c>
      <c r="D70" s="241" t="inlineStr">
        <is>
          <t>Yes</t>
        </is>
      </c>
      <c r="E70" s="241" t="inlineStr">
        <is>
          <t>No</t>
        </is>
      </c>
    </row>
    <row r="71">
      <c r="A71" s="245" t="inlineStr">
        <is>
          <t>At-Risk</t>
        </is>
      </c>
      <c r="B71" s="241" t="inlineStr">
        <is>
          <t>Yes</t>
        </is>
      </c>
      <c r="C71" s="241" t="inlineStr">
        <is>
          <t>No</t>
        </is>
      </c>
      <c r="D71" s="241" t="inlineStr">
        <is>
          <t>No</t>
        </is>
      </c>
      <c r="E71" s="241" t="inlineStr">
        <is>
          <t>No</t>
        </is>
      </c>
    </row>
    <row r="74">
      <c r="A74" s="235" t="inlineStr">
        <is>
          <t>7. MANUAL-REVIEW TRIGGERS</t>
        </is>
      </c>
    </row>
    <row r="75">
      <c r="A75" s="237" t="inlineStr">
        <is>
          <t>Trigger</t>
        </is>
      </c>
      <c r="B75" s="237" t="inlineStr">
        <is>
          <t>Active?</t>
        </is>
      </c>
      <c r="C75" s="237" t="inlineStr">
        <is>
          <t>Parameter</t>
        </is>
      </c>
      <c r="D75" s="237" t="inlineStr"/>
      <c r="E75" s="237" t="inlineStr"/>
      <c r="F75" s="237" t="inlineStr"/>
      <c r="G75" s="237" t="inlineStr"/>
      <c r="H75" s="237" t="inlineStr">
        <is>
          <t>Note</t>
        </is>
      </c>
    </row>
    <row r="76">
      <c r="A76" s="245" t="inlineStr">
        <is>
          <t>Historical modifier is Severe</t>
        </is>
      </c>
      <c r="B76" s="241" t="inlineStr">
        <is>
          <t>Y</t>
        </is>
      </c>
      <c r="H76" s="236" t="inlineStr"/>
    </row>
    <row r="77">
      <c r="A77" s="245" t="inlineStr">
        <is>
          <t>Confidence Low AND any metric RED</t>
        </is>
      </c>
      <c r="B77" s="241" t="inlineStr">
        <is>
          <t>Y</t>
        </is>
      </c>
      <c r="H77" s="236" t="inlineStr"/>
    </row>
    <row r="78">
      <c r="A78" s="245" t="inlineStr">
        <is>
          <t>Credit score RED AND another metric RED</t>
        </is>
      </c>
      <c r="B78" s="241" t="inlineStr">
        <is>
          <t>Y</t>
        </is>
      </c>
      <c r="H78" s="236" t="inlineStr"/>
    </row>
    <row r="79">
      <c r="A79" s="245" t="inlineStr">
        <is>
          <t>Positions incl. new at or above</t>
        </is>
      </c>
      <c r="B79" s="241" t="inlineStr">
        <is>
          <t>Y</t>
        </is>
      </c>
      <c r="C79" s="254" t="n">
        <v>4</v>
      </c>
      <c r="H79" s="236" t="inlineStr">
        <is>
          <t>log rule: fund up to a 4th</t>
        </is>
      </c>
    </row>
    <row r="80">
      <c r="A80" s="245" t="inlineStr">
        <is>
          <t>New deal, 3rd+ position, construction industry</t>
        </is>
      </c>
      <c r="B80" s="241" t="inlineStr">
        <is>
          <t>Y</t>
        </is>
      </c>
      <c r="C80" s="254" t="n">
        <v>3</v>
      </c>
      <c r="H80" s="236" t="inlineStr">
        <is>
          <t>the one raw house-book effect still visible after controls</t>
        </is>
      </c>
    </row>
    <row r="81">
      <c r="A81" s="245" t="inlineStr">
        <is>
          <t>ISO or industry not in the house book</t>
        </is>
      </c>
      <c r="B81" s="241" t="inlineStr">
        <is>
          <t>Y</t>
        </is>
      </c>
      <c r="H81" s="236" t="inlineStr"/>
    </row>
    <row r="82">
      <c r="A82" s="245" t="inlineStr">
        <is>
          <t>Adjusted fund below minimum</t>
        </is>
      </c>
      <c r="B82" s="241" t="inlineStr">
        <is>
          <t>Y</t>
        </is>
      </c>
      <c r="H82" s="236" t="inlineStr"/>
    </row>
    <row r="83">
      <c r="A83" s="245" t="inlineStr">
        <is>
          <t>Primary cohort open share above max</t>
        </is>
      </c>
      <c r="B83" s="241" t="inlineStr">
        <is>
          <t>N</t>
        </is>
      </c>
      <c r="H83" s="236" t="inlineStr"/>
    </row>
    <row r="85">
      <c r="A85" s="235" t="inlineStr">
        <is>
          <t>8. STIPULATION RULES</t>
        </is>
      </c>
    </row>
    <row r="86">
      <c r="A86" s="237" t="inlineStr">
        <is>
          <t>Stipulation</t>
        </is>
      </c>
      <c r="B86" s="237" t="inlineStr">
        <is>
          <t>Active?</t>
        </is>
      </c>
      <c r="C86" s="237" t="inlineStr">
        <is>
          <t>Condition</t>
        </is>
      </c>
      <c r="D86" s="237" t="inlineStr"/>
      <c r="E86" s="237" t="inlineStr"/>
      <c r="F86" s="237" t="inlineStr"/>
      <c r="G86" s="237" t="inlineStr"/>
      <c r="H86" s="237" t="inlineStr">
        <is>
          <t>Drives CONDITIONAL?</t>
        </is>
      </c>
    </row>
    <row r="87">
      <c r="A87" s="245" t="inlineStr">
        <is>
          <t>DataMerch, UCC search, positions / payoff letters</t>
        </is>
      </c>
      <c r="B87" s="241" t="inlineStr">
        <is>
          <t>Y</t>
        </is>
      </c>
      <c r="C87" s="245" t="inlineStr">
        <is>
          <t>Always</t>
        </is>
      </c>
      <c r="D87" s="238" t="n"/>
      <c r="E87" s="238" t="n"/>
      <c r="F87" s="238" t="n"/>
      <c r="G87" s="239" t="n"/>
      <c r="H87" s="236" t="inlineStr">
        <is>
          <t>No (standard)</t>
        </is>
      </c>
    </row>
    <row r="88">
      <c r="A88" s="245" t="inlineStr">
        <is>
          <t>No-stacking covenant with default-to-daily</t>
        </is>
      </c>
      <c r="B88" s="241" t="inlineStr">
        <is>
          <t>Y</t>
        </is>
      </c>
      <c r="C88" s="245" t="inlineStr">
        <is>
          <t>Modifier Mild negative or worse</t>
        </is>
      </c>
      <c r="D88" s="238" t="n"/>
      <c r="E88" s="238" t="n"/>
      <c r="F88" s="238" t="n"/>
      <c r="G88" s="239" t="n"/>
      <c r="H88" s="236" t="inlineStr">
        <is>
          <t>Yes</t>
        </is>
      </c>
    </row>
    <row r="89">
      <c r="A89" s="245" t="inlineStr">
        <is>
          <t>Bank login verification (Plaid / DecisionLogic)</t>
        </is>
      </c>
      <c r="B89" s="241" t="inlineStr">
        <is>
          <t>Y</t>
        </is>
      </c>
      <c r="C89" s="245" t="inlineStr">
        <is>
          <t>Neg days + NSFs not GREEN</t>
        </is>
      </c>
      <c r="D89" s="238" t="n"/>
      <c r="E89" s="238" t="n"/>
      <c r="F89" s="238" t="n"/>
      <c r="G89" s="239" t="n"/>
      <c r="H89" s="236" t="inlineStr">
        <is>
          <t>Yes</t>
        </is>
      </c>
    </row>
    <row r="90">
      <c r="A90" s="245" t="inlineStr">
        <is>
          <t>Payoff / balance letter for every existing position</t>
        </is>
      </c>
      <c r="B90" s="241" t="inlineStr">
        <is>
          <t>Y</t>
        </is>
      </c>
      <c r="C90" s="245" t="inlineStr">
        <is>
          <t>Existing positions &gt;= 2</t>
        </is>
      </c>
      <c r="D90" s="238" t="n"/>
      <c r="E90" s="238" t="n"/>
      <c r="F90" s="238" t="n"/>
      <c r="G90" s="239" t="n"/>
      <c r="H90" s="236" t="inlineStr">
        <is>
          <t>No (documentary)</t>
        </is>
      </c>
    </row>
    <row r="91">
      <c r="A91" s="245" t="inlineStr">
        <is>
          <t>Landlord / lease letter</t>
        </is>
      </c>
      <c r="B91" s="241" t="inlineStr">
        <is>
          <t>Y</t>
        </is>
      </c>
      <c r="C91" s="245" t="inlineStr">
        <is>
          <t>Credit score not GREEN</t>
        </is>
      </c>
      <c r="D91" s="238" t="n"/>
      <c r="E91" s="238" t="n"/>
      <c r="F91" s="238" t="n"/>
      <c r="G91" s="239" t="n"/>
      <c r="H91" s="236" t="inlineStr">
        <is>
          <t>Yes</t>
        </is>
      </c>
    </row>
    <row r="92">
      <c r="A92" s="245" t="inlineStr">
        <is>
          <t>Underwriter review of the historical evidence</t>
        </is>
      </c>
      <c r="B92" s="241" t="inlineStr">
        <is>
          <t>Y</t>
        </is>
      </c>
      <c r="C92" s="245" t="inlineStr">
        <is>
          <t>Confidence Low</t>
        </is>
      </c>
      <c r="D92" s="238" t="n"/>
      <c r="E92" s="238" t="n"/>
      <c r="F92" s="238" t="n"/>
      <c r="G92" s="239" t="n"/>
      <c r="H92" s="236" t="inlineStr">
        <is>
          <t>Yes</t>
        </is>
      </c>
    </row>
    <row r="93">
      <c r="A93" s="245" t="inlineStr">
        <is>
          <t>Weekly remittance only</t>
        </is>
      </c>
      <c r="B93" s="241" t="inlineStr">
        <is>
          <t>Y</t>
        </is>
      </c>
      <c r="C93" s="245" t="inlineStr">
        <is>
          <t>Frequency switched by the modifier</t>
        </is>
      </c>
      <c r="D93" s="238" t="n"/>
      <c r="E93" s="238" t="n"/>
      <c r="F93" s="238" t="n"/>
      <c r="G93" s="239" t="n"/>
      <c r="H93" s="236" t="inlineStr">
        <is>
          <t>Yes</t>
        </is>
      </c>
    </row>
    <row r="94">
      <c r="A94" s="245" t="inlineStr">
        <is>
          <t>Prior-contract payoff and renewal history</t>
        </is>
      </c>
      <c r="B94" s="241" t="inlineStr">
        <is>
          <t>Y</t>
        </is>
      </c>
      <c r="C94" s="245" t="inlineStr">
        <is>
          <t>Renewal selected</t>
        </is>
      </c>
      <c r="D94" s="238" t="n"/>
      <c r="E94" s="238" t="n"/>
      <c r="F94" s="238" t="n"/>
      <c r="G94" s="239" t="n"/>
      <c r="H94" s="236" t="inlineStr">
        <is>
          <t>No (documentary)</t>
        </is>
      </c>
    </row>
  </sheetData>
  <mergeCells count="16">
    <mergeCell ref="C92:G92"/>
    <mergeCell ref="C90:G90"/>
    <mergeCell ref="A3:H3"/>
    <mergeCell ref="C91:G91"/>
    <mergeCell ref="A35:H35"/>
    <mergeCell ref="A59:H59"/>
    <mergeCell ref="C94:G94"/>
    <mergeCell ref="A85:H85"/>
    <mergeCell ref="C89:G89"/>
    <mergeCell ref="A49:H49"/>
    <mergeCell ref="C93:G93"/>
    <mergeCell ref="A27:H27"/>
    <mergeCell ref="C87:G87"/>
    <mergeCell ref="C88:G88"/>
    <mergeCell ref="A74:H74"/>
    <mergeCell ref="A17:H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3" customWidth="1" style="230" min="1" max="1"/>
    <col width="66" customWidth="1" style="230" min="2" max="2"/>
    <col width="14" customWidth="1" style="230" min="3" max="3"/>
    <col width="60" customWidth="1" style="230" min="4" max="4"/>
  </cols>
  <sheetData>
    <row r="1">
      <c r="B1" s="244" t="inlineStr">
        <is>
          <t>CHECKS / AUDIT  (planned list)</t>
        </is>
      </c>
    </row>
    <row r="3">
      <c r="A3" s="237" t="inlineStr"/>
      <c r="B3" s="237" t="inlineStr">
        <is>
          <t>Check</t>
        </is>
      </c>
      <c r="C3" s="237" t="inlineStr">
        <is>
          <t>Result</t>
        </is>
      </c>
      <c r="D3" s="237" t="inlineStr">
        <is>
          <t>Rule</t>
        </is>
      </c>
    </row>
    <row r="4">
      <c r="B4" s="235" t="inlineStr">
        <is>
          <t>MISSING INPUTS</t>
        </is>
      </c>
    </row>
    <row r="5" ht="45" customHeight="1" s="230">
      <c r="B5" s="261" t="inlineStr">
        <is>
          <t>Bank data, avg balance, new/renewal, ISO, industry, state, credit score, requested offer, factor is an approved tier</t>
        </is>
      </c>
      <c r="C5" s="242" t="inlineStr">
        <is>
          <t>→ OK / WARN / FAIL</t>
        </is>
      </c>
      <c r="D5" s="242" t="inlineStr">
        <is>
          <t>→ WARN when blank or not found in the house book</t>
        </is>
      </c>
    </row>
    <row r="6">
      <c r="B6" s="235" t="inlineStr">
        <is>
          <t>FORMULA ERRORS</t>
        </is>
      </c>
    </row>
    <row r="7" ht="45" customHeight="1" s="230">
      <c r="B7" s="261" t="inlineStr">
        <is>
          <t>Error count on Deal / Historical Data / Historical Score / Offer Engine / Decision Summary</t>
        </is>
      </c>
      <c r="C7" s="242" t="inlineStr">
        <is>
          <t>→ OK / WARN / FAIL</t>
        </is>
      </c>
      <c r="D7" s="242" t="inlineStr">
        <is>
          <t>→ FAIL if any</t>
        </is>
      </c>
    </row>
    <row r="8">
      <c r="B8" s="235" t="inlineStr">
        <is>
          <t>SAFETY</t>
        </is>
      </c>
    </row>
    <row r="9" ht="45" customHeight="1" s="230">
      <c r="B9" s="261" t="inlineStr">
        <is>
          <t>Adjusted fund &lt;= cash-flow max; adjusted daily &lt;= max daily; no offer-side red at adjusted offer; merchant knockouts untouched</t>
        </is>
      </c>
      <c r="C9" s="242" t="inlineStr">
        <is>
          <t>→ OK / WARN / FAIL</t>
        </is>
      </c>
      <c r="D9" s="242" t="inlineStr">
        <is>
          <t>→ FAIL if any proof fails</t>
        </is>
      </c>
    </row>
    <row r="10">
      <c r="B10" s="235" t="inlineStr">
        <is>
          <t>COHORT QUALITY</t>
        </is>
      </c>
    </row>
    <row r="11" ht="45" customHeight="1" s="230">
      <c r="B11" s="261" t="inlineStr">
        <is>
          <t>Primary cohort met the minimums; seasoned-enough; Z at least Medium; no ISO-vs-industry conflict; tighter tiers skipped; state informational</t>
        </is>
      </c>
      <c r="C11" s="242" t="inlineStr">
        <is>
          <t>→ OK / WARN / FAIL</t>
        </is>
      </c>
      <c r="D11" s="242" t="inlineStr">
        <is>
          <t>→ WARN</t>
        </is>
      </c>
    </row>
    <row r="12">
      <c r="B12" s="235" t="inlineStr">
        <is>
          <t>DATA QUALITY (house book)</t>
        </is>
      </c>
    </row>
    <row r="13" ht="45" customHeight="1" s="230">
      <c r="B13" s="261" t="inlineStr">
        <is>
          <t>Deals loaded; unmapped statuses; no revenue; no ISO / state / SIC; never-paid; Open but fully paid; Open past 1.5x term; weekly term &gt; 39 weeks; position-3 concentration; Lowered Payments treatment; Written-Off collected most of payback</t>
        </is>
      </c>
      <c r="C13" s="242" t="inlineStr">
        <is>
          <t>→ OK / WARN / FAIL</t>
        </is>
      </c>
      <c r="D13" s="242" t="inlineStr">
        <is>
          <t>→ WARN / FAIL with counts</t>
        </is>
      </c>
    </row>
    <row r="14">
      <c r="B14" s="235" t="inlineStr">
        <is>
          <t>RECONCILIATION to the original House Book Analytics workbook</t>
        </is>
      </c>
    </row>
    <row r="15" ht="45" customHeight="1" s="230">
      <c r="B15" s="261" t="inlineStr">
        <is>
          <t>Total funded $34,481,626; collected $27,438,510; principal lost $5,270,163; lost rate 15.3%; payback = advance x factor; seasoned-book size; tier-7 funded = in-window seasoned funded; comparable list count = cohort matches</t>
        </is>
      </c>
      <c r="C15" s="242" t="inlineStr">
        <is>
          <t>→ OK / WARN / FAIL</t>
        </is>
      </c>
      <c r="D15" s="242" t="inlineStr">
        <is>
          <t>→ OK / FAIL</t>
        </is>
      </c>
    </row>
  </sheetData>
  <mergeCells count="6">
    <mergeCell ref="B10:D10"/>
    <mergeCell ref="B14:D14"/>
    <mergeCell ref="B8:D8"/>
    <mergeCell ref="B4:D4"/>
    <mergeCell ref="B12:D12"/>
    <mergeCell ref="B6:D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57"/>
  <sheetViews>
    <sheetView workbookViewId="0">
      <selection activeCell="A1" sqref="A1"/>
    </sheetView>
  </sheetViews>
  <sheetFormatPr baseColWidth="8" defaultRowHeight="15"/>
  <cols>
    <col width="8" customWidth="1" style="230" min="1" max="1"/>
    <col width="40" customWidth="1" style="230" min="2" max="2"/>
    <col width="32" customWidth="1" style="230" min="3" max="3"/>
    <col width="44" customWidth="1" style="230" min="5" max="5"/>
    <col width="40" customWidth="1" style="230" min="7" max="7"/>
    <col width="10" customWidth="1" style="230" min="9" max="9"/>
    <col width="14" customWidth="1" style="230" min="11" max="11"/>
    <col width="22" customWidth="1" style="230" min="13" max="13"/>
  </cols>
  <sheetData>
    <row r="1">
      <c r="A1" s="262" t="inlineStr">
        <is>
          <t>SIC2</t>
        </is>
      </c>
      <c r="B1" s="262" t="inlineStr">
        <is>
          <t>Industry (SIC major group)</t>
        </is>
      </c>
      <c r="C1" s="262" t="inlineStr">
        <is>
          <t>Division</t>
        </is>
      </c>
      <c r="E1" s="262" t="inlineStr">
        <is>
          <t>ISO (house-book spelling, dropdown source)</t>
        </is>
      </c>
      <c r="G1" s="262" t="inlineStr">
        <is>
          <t>Industry list (dropdown)</t>
        </is>
      </c>
      <c r="I1" s="262" t="inlineStr">
        <is>
          <t>State</t>
        </is>
      </c>
      <c r="K1" s="262" t="inlineStr">
        <is>
          <t>Fed holiday (ACH)</t>
        </is>
      </c>
      <c r="M1" s="262" t="inlineStr">
        <is>
          <t>Status list</t>
        </is>
      </c>
    </row>
    <row r="2">
      <c r="A2" t="inlineStr">
        <is>
          <t>01</t>
        </is>
      </c>
      <c r="B2" t="inlineStr">
        <is>
          <t>Agricultural Production - Crops</t>
        </is>
      </c>
      <c r="C2" t="inlineStr">
        <is>
          <t>Agriculture, Forestry &amp; Fishing</t>
        </is>
      </c>
      <c r="E2" t="inlineStr">
        <is>
          <t>Ace Partners</t>
        </is>
      </c>
      <c r="G2" t="inlineStr">
        <is>
          <t>Administration of Economic Programs</t>
        </is>
      </c>
      <c r="I2" t="inlineStr">
        <is>
          <t>AL</t>
        </is>
      </c>
      <c r="K2" s="249" t="n">
        <v>45292</v>
      </c>
      <c r="M2" t="inlineStr">
        <is>
          <t>Closed</t>
        </is>
      </c>
    </row>
    <row r="3">
      <c r="A3" t="inlineStr">
        <is>
          <t>02</t>
        </is>
      </c>
      <c r="B3" t="inlineStr">
        <is>
          <t>Agricultural Production - Livestock</t>
        </is>
      </c>
      <c r="C3" t="inlineStr">
        <is>
          <t>Agriculture, Forestry &amp; Fishing</t>
        </is>
      </c>
      <c r="E3" t="inlineStr">
        <is>
          <t>Advance Consolidations</t>
        </is>
      </c>
      <c r="G3" t="inlineStr">
        <is>
          <t>Agricultural Production - Crops</t>
        </is>
      </c>
      <c r="I3" t="inlineStr">
        <is>
          <t>AR</t>
        </is>
      </c>
      <c r="K3" s="249" t="n">
        <v>45306</v>
      </c>
      <c r="M3" t="inlineStr">
        <is>
          <t>Open</t>
        </is>
      </c>
    </row>
    <row r="4">
      <c r="A4" t="inlineStr">
        <is>
          <t>07</t>
        </is>
      </c>
      <c r="B4" t="inlineStr">
        <is>
          <t>Agricultural Services</t>
        </is>
      </c>
      <c r="C4" t="inlineStr">
        <is>
          <t>Agriculture, Forestry &amp; Fishing</t>
        </is>
      </c>
      <c r="E4" t="inlineStr">
        <is>
          <t>ALLSTATE FUND PROS LLC</t>
        </is>
      </c>
      <c r="G4" t="inlineStr">
        <is>
          <t>Agricultural Production - Livestock</t>
        </is>
      </c>
      <c r="I4" t="inlineStr">
        <is>
          <t>AZ</t>
        </is>
      </c>
      <c r="K4" s="249" t="n">
        <v>45341</v>
      </c>
      <c r="M4" t="inlineStr">
        <is>
          <t>Legal</t>
        </is>
      </c>
    </row>
    <row r="5">
      <c r="A5" t="inlineStr">
        <is>
          <t>08</t>
        </is>
      </c>
      <c r="B5" t="inlineStr">
        <is>
          <t>Forestry</t>
        </is>
      </c>
      <c r="C5" t="inlineStr">
        <is>
          <t>Agriculture, Forestry &amp; Fishing</t>
        </is>
      </c>
      <c r="E5" t="inlineStr">
        <is>
          <t>Alternative Solutions Funding</t>
        </is>
      </c>
      <c r="G5" t="inlineStr">
        <is>
          <t>Agricultural Services</t>
        </is>
      </c>
      <c r="I5" t="inlineStr">
        <is>
          <t>CA</t>
        </is>
      </c>
      <c r="K5" s="249" t="n">
        <v>45439</v>
      </c>
      <c r="M5" t="inlineStr">
        <is>
          <t>In House Collection</t>
        </is>
      </c>
    </row>
    <row r="6">
      <c r="A6" t="inlineStr">
        <is>
          <t>13</t>
        </is>
      </c>
      <c r="B6" t="inlineStr">
        <is>
          <t>Oil &amp; Gas Extraction</t>
        </is>
      </c>
      <c r="C6" t="inlineStr">
        <is>
          <t>Mining</t>
        </is>
      </c>
      <c r="E6" t="inlineStr">
        <is>
          <t>alvara capital</t>
        </is>
      </c>
      <c r="G6" t="inlineStr">
        <is>
          <t>Air Transportation</t>
        </is>
      </c>
      <c r="I6" t="inlineStr">
        <is>
          <t>CO</t>
        </is>
      </c>
      <c r="K6" s="249" t="n">
        <v>45462</v>
      </c>
      <c r="M6" t="inlineStr">
        <is>
          <t>Lowered Payments</t>
        </is>
      </c>
    </row>
    <row r="7">
      <c r="A7" t="inlineStr">
        <is>
          <t>14</t>
        </is>
      </c>
      <c r="B7" t="inlineStr">
        <is>
          <t>Nonmetallic Minerals Mining</t>
        </is>
      </c>
      <c r="C7" t="inlineStr">
        <is>
          <t>Mining</t>
        </is>
      </c>
      <c r="E7" t="inlineStr">
        <is>
          <t>American Funding Association 1</t>
        </is>
      </c>
      <c r="G7" t="inlineStr">
        <is>
          <t>Amusement &amp; Recreation Services</t>
        </is>
      </c>
      <c r="I7" t="inlineStr">
        <is>
          <t>CT</t>
        </is>
      </c>
      <c r="K7" s="249" t="n">
        <v>45477</v>
      </c>
      <c r="M7" t="inlineStr">
        <is>
          <t>Written-Off</t>
        </is>
      </c>
    </row>
    <row r="8">
      <c r="A8" t="inlineStr">
        <is>
          <t>15</t>
        </is>
      </c>
      <c r="B8" t="inlineStr">
        <is>
          <t>General Building Contractors</t>
        </is>
      </c>
      <c r="C8" t="inlineStr">
        <is>
          <t>Construction</t>
        </is>
      </c>
      <c r="E8" t="inlineStr">
        <is>
          <t>Amerishop Financial services</t>
        </is>
      </c>
      <c r="G8" t="inlineStr">
        <is>
          <t>Apparel &amp; Accessory Stores</t>
        </is>
      </c>
      <c r="I8" t="inlineStr">
        <is>
          <t>DC</t>
        </is>
      </c>
      <c r="K8" s="249" t="n">
        <v>45537</v>
      </c>
      <c r="M8" t="inlineStr">
        <is>
          <t>Bankruptcy</t>
        </is>
      </c>
    </row>
    <row r="9">
      <c r="A9" t="inlineStr">
        <is>
          <t>16</t>
        </is>
      </c>
      <c r="B9" t="inlineStr">
        <is>
          <t>Heavy Construction</t>
        </is>
      </c>
      <c r="C9" t="inlineStr">
        <is>
          <t>Construction</t>
        </is>
      </c>
      <c r="E9" t="inlineStr">
        <is>
          <t>Aspire Funding</t>
        </is>
      </c>
      <c r="G9" t="inlineStr">
        <is>
          <t>Apparel &amp; Textile Products</t>
        </is>
      </c>
      <c r="I9" t="inlineStr">
        <is>
          <t>DE</t>
        </is>
      </c>
      <c r="K9" s="249" t="n">
        <v>45579</v>
      </c>
      <c r="M9" t="inlineStr">
        <is>
          <t>Settlement Agreement</t>
        </is>
      </c>
    </row>
    <row r="10">
      <c r="A10" t="inlineStr">
        <is>
          <t>17</t>
        </is>
      </c>
      <c r="B10" t="inlineStr">
        <is>
          <t>Special Trade Contractors</t>
        </is>
      </c>
      <c r="C10" t="inlineStr">
        <is>
          <t>Construction</t>
        </is>
      </c>
      <c r="E10" t="inlineStr">
        <is>
          <t>Atla Finance</t>
        </is>
      </c>
      <c r="G10" t="inlineStr">
        <is>
          <t>Auto Dealers &amp; Gas Stations</t>
        </is>
      </c>
      <c r="I10" t="inlineStr">
        <is>
          <t>FL</t>
        </is>
      </c>
      <c r="K10" s="249" t="n">
        <v>45607</v>
      </c>
      <c r="M10" t="inlineStr">
        <is>
          <t>Closed/NSF</t>
        </is>
      </c>
    </row>
    <row r="11">
      <c r="A11" t="inlineStr">
        <is>
          <t>20</t>
        </is>
      </c>
      <c r="B11" t="inlineStr">
        <is>
          <t>Food &amp; Kindred Products</t>
        </is>
      </c>
      <c r="C11" t="inlineStr">
        <is>
          <t>Manufacturing</t>
        </is>
      </c>
      <c r="E11" t="inlineStr">
        <is>
          <t>AVON ADVANCE</t>
        </is>
      </c>
      <c r="G11" t="inlineStr">
        <is>
          <t>Auto Repair &amp; Services</t>
        </is>
      </c>
      <c r="I11" t="inlineStr">
        <is>
          <t>GA</t>
        </is>
      </c>
      <c r="K11" s="249" t="n">
        <v>45624</v>
      </c>
      <c r="M11" t="inlineStr">
        <is>
          <t>Closed/NSF Unpaid</t>
        </is>
      </c>
    </row>
    <row r="12">
      <c r="A12" t="inlineStr">
        <is>
          <t>23</t>
        </is>
      </c>
      <c r="B12" t="inlineStr">
        <is>
          <t>Apparel &amp; Textile Products</t>
        </is>
      </c>
      <c r="C12" t="inlineStr">
        <is>
          <t>Manufacturing</t>
        </is>
      </c>
      <c r="E12" t="inlineStr">
        <is>
          <t>Ballicci</t>
        </is>
      </c>
      <c r="G12" t="inlineStr">
        <is>
          <t>Building Materials &amp; Garden Supply</t>
        </is>
      </c>
      <c r="I12" t="inlineStr">
        <is>
          <t>HI</t>
        </is>
      </c>
      <c r="K12" s="249" t="n">
        <v>45651</v>
      </c>
      <c r="M12" t="inlineStr">
        <is>
          <t>At-Risk</t>
        </is>
      </c>
    </row>
    <row r="13">
      <c r="A13" t="inlineStr">
        <is>
          <t>24</t>
        </is>
      </c>
      <c r="B13" t="inlineStr">
        <is>
          <t>Lumber &amp; Wood Products</t>
        </is>
      </c>
      <c r="C13" t="inlineStr">
        <is>
          <t>Manufacturing</t>
        </is>
      </c>
      <c r="E13" t="inlineStr">
        <is>
          <t>BFA 3</t>
        </is>
      </c>
      <c r="G13" t="inlineStr">
        <is>
          <t>Business Services</t>
        </is>
      </c>
      <c r="I13" t="inlineStr">
        <is>
          <t>IA</t>
        </is>
      </c>
      <c r="K13" s="249" t="n">
        <v>45658</v>
      </c>
    </row>
    <row r="14">
      <c r="A14" t="inlineStr">
        <is>
          <t>25</t>
        </is>
      </c>
      <c r="B14" t="inlineStr">
        <is>
          <t>Furniture &amp; Fixtures</t>
        </is>
      </c>
      <c r="C14" t="inlineStr">
        <is>
          <t>Manufacturing</t>
        </is>
      </c>
      <c r="E14" t="inlineStr">
        <is>
          <t>Bingo advance LLC</t>
        </is>
      </c>
      <c r="G14" t="inlineStr">
        <is>
          <t>Chemicals &amp; Allied Products</t>
        </is>
      </c>
      <c r="I14" t="inlineStr">
        <is>
          <t>ID</t>
        </is>
      </c>
      <c r="K14" s="249" t="n">
        <v>45677</v>
      </c>
    </row>
    <row r="15">
      <c r="A15" t="inlineStr">
        <is>
          <t>27</t>
        </is>
      </c>
      <c r="B15" t="inlineStr">
        <is>
          <t>Printing &amp; Publishing</t>
        </is>
      </c>
      <c r="C15" t="inlineStr">
        <is>
          <t>Manufacturing</t>
        </is>
      </c>
      <c r="E15" t="inlineStr">
        <is>
          <t>Birkin Capital Inc</t>
        </is>
      </c>
      <c r="G15" t="inlineStr">
        <is>
          <t>Communications</t>
        </is>
      </c>
      <c r="I15" t="inlineStr">
        <is>
          <t>IL</t>
        </is>
      </c>
      <c r="K15" s="249" t="n">
        <v>45705</v>
      </c>
    </row>
    <row r="16">
      <c r="A16" t="inlineStr">
        <is>
          <t>28</t>
        </is>
      </c>
      <c r="B16" t="inlineStr">
        <is>
          <t>Chemicals &amp; Allied Products</t>
        </is>
      </c>
      <c r="C16" t="inlineStr">
        <is>
          <t>Manufacturing</t>
        </is>
      </c>
      <c r="E16" t="inlineStr">
        <is>
          <t>biz advance now</t>
        </is>
      </c>
      <c r="G16" t="inlineStr">
        <is>
          <t>Eating &amp; Drinking Places</t>
        </is>
      </c>
      <c r="I16" t="inlineStr">
        <is>
          <t>IN</t>
        </is>
      </c>
      <c r="K16" s="249" t="n">
        <v>45803</v>
      </c>
    </row>
    <row r="17">
      <c r="A17" t="inlineStr">
        <is>
          <t>30</t>
        </is>
      </c>
      <c r="B17" t="inlineStr">
        <is>
          <t>Rubber &amp; Plastics</t>
        </is>
      </c>
      <c r="C17" t="inlineStr">
        <is>
          <t>Manufacturing</t>
        </is>
      </c>
      <c r="E17" t="inlineStr">
        <is>
          <t>Biz fuel</t>
        </is>
      </c>
      <c r="G17" t="inlineStr">
        <is>
          <t>Educational Services</t>
        </is>
      </c>
      <c r="I17" t="inlineStr">
        <is>
          <t>KS</t>
        </is>
      </c>
      <c r="K17" s="249" t="n">
        <v>45827</v>
      </c>
    </row>
    <row r="18">
      <c r="A18" t="inlineStr">
        <is>
          <t>32</t>
        </is>
      </c>
      <c r="B18" t="inlineStr">
        <is>
          <t>Stone, Clay, Glass &amp; Concrete</t>
        </is>
      </c>
      <c r="C18" t="inlineStr">
        <is>
          <t>Manufacturing</t>
        </is>
      </c>
      <c r="E18" t="inlineStr">
        <is>
          <t>BizFin LLC</t>
        </is>
      </c>
      <c r="G18" t="inlineStr">
        <is>
          <t>Electric, Gas &amp; Sanitary Services</t>
        </is>
      </c>
      <c r="I18" t="inlineStr">
        <is>
          <t>KY</t>
        </is>
      </c>
      <c r="K18" s="249" t="n">
        <v>45842</v>
      </c>
    </row>
    <row r="19">
      <c r="A19" t="inlineStr">
        <is>
          <t>33</t>
        </is>
      </c>
      <c r="B19" t="inlineStr">
        <is>
          <t>Primary Metal Industries</t>
        </is>
      </c>
      <c r="C19" t="inlineStr">
        <is>
          <t>Manufacturing</t>
        </is>
      </c>
      <c r="E19" t="inlineStr">
        <is>
          <t>black flag funding</t>
        </is>
      </c>
      <c r="G19" t="inlineStr">
        <is>
          <t>Electronic &amp; Electrical Equipment</t>
        </is>
      </c>
      <c r="I19" t="inlineStr">
        <is>
          <t>LA</t>
        </is>
      </c>
      <c r="K19" s="249" t="n">
        <v>45901</v>
      </c>
    </row>
    <row r="20">
      <c r="A20" t="inlineStr">
        <is>
          <t>34</t>
        </is>
      </c>
      <c r="B20" t="inlineStr">
        <is>
          <t>Fabricated Metal Products</t>
        </is>
      </c>
      <c r="C20" t="inlineStr">
        <is>
          <t>Manufacturing</t>
        </is>
      </c>
      <c r="E20" t="inlineStr">
        <is>
          <t>Black Tie Funding</t>
        </is>
      </c>
      <c r="G20" t="inlineStr">
        <is>
          <t>Engineering, Accounting &amp; Management</t>
        </is>
      </c>
      <c r="I20" t="inlineStr">
        <is>
          <t>MA</t>
        </is>
      </c>
      <c r="K20" s="249" t="n">
        <v>45943</v>
      </c>
    </row>
    <row r="21">
      <c r="A21" t="inlineStr">
        <is>
          <t>35</t>
        </is>
      </c>
      <c r="B21" t="inlineStr">
        <is>
          <t>Industrial Machinery &amp; Equipment</t>
        </is>
      </c>
      <c r="C21" t="inlineStr">
        <is>
          <t>Manufacturing</t>
        </is>
      </c>
      <c r="E21" t="inlineStr">
        <is>
          <t>Blue Oak Advance</t>
        </is>
      </c>
      <c r="G21" t="inlineStr">
        <is>
          <t>Environmental Quality &amp; Housing</t>
        </is>
      </c>
      <c r="I21" t="inlineStr">
        <is>
          <t>MD</t>
        </is>
      </c>
      <c r="K21" s="249" t="n">
        <v>45972</v>
      </c>
    </row>
    <row r="22">
      <c r="A22" t="inlineStr">
        <is>
          <t>36</t>
        </is>
      </c>
      <c r="B22" t="inlineStr">
        <is>
          <t>Electronic &amp; Electrical Equipment</t>
        </is>
      </c>
      <c r="C22" t="inlineStr">
        <is>
          <t>Manufacturing</t>
        </is>
      </c>
      <c r="E22" t="inlineStr">
        <is>
          <t>bridge consolidation</t>
        </is>
      </c>
      <c r="G22" t="inlineStr">
        <is>
          <t>Fabricated Metal Products</t>
        </is>
      </c>
      <c r="I22" t="inlineStr">
        <is>
          <t>ME</t>
        </is>
      </c>
      <c r="K22" s="249" t="n">
        <v>45988</v>
      </c>
    </row>
    <row r="23">
      <c r="A23" t="inlineStr">
        <is>
          <t>37</t>
        </is>
      </c>
      <c r="B23" t="inlineStr">
        <is>
          <t>Transportation Equipment</t>
        </is>
      </c>
      <c r="C23" t="inlineStr">
        <is>
          <t>Manufacturing</t>
        </is>
      </c>
      <c r="E23" t="inlineStr">
        <is>
          <t>Broadway Advance LLC</t>
        </is>
      </c>
      <c r="G23" t="inlineStr">
        <is>
          <t>Food &amp; Kindred Products</t>
        </is>
      </c>
      <c r="I23" t="inlineStr">
        <is>
          <t>MI</t>
        </is>
      </c>
      <c r="K23" s="249" t="n">
        <v>46016</v>
      </c>
    </row>
    <row r="24">
      <c r="A24" t="inlineStr">
        <is>
          <t>38</t>
        </is>
      </c>
      <c r="B24" t="inlineStr">
        <is>
          <t>Instruments &amp; Related Products</t>
        </is>
      </c>
      <c r="C24" t="inlineStr">
        <is>
          <t>Manufacturing</t>
        </is>
      </c>
      <c r="E24" t="inlineStr">
        <is>
          <t>Business Fund USA 4</t>
        </is>
      </c>
      <c r="G24" t="inlineStr">
        <is>
          <t>Food Stores</t>
        </is>
      </c>
      <c r="I24" t="inlineStr">
        <is>
          <t>MN</t>
        </is>
      </c>
      <c r="K24" s="249" t="n">
        <v>46023</v>
      </c>
    </row>
    <row r="25">
      <c r="A25" t="inlineStr">
        <is>
          <t>39</t>
        </is>
      </c>
      <c r="B25" t="inlineStr">
        <is>
          <t>Miscellaneous Manufacturing</t>
        </is>
      </c>
      <c r="C25" t="inlineStr">
        <is>
          <t>Manufacturing</t>
        </is>
      </c>
      <c r="E25" t="inlineStr">
        <is>
          <t>Can I Have Money</t>
        </is>
      </c>
      <c r="G25" t="inlineStr">
        <is>
          <t>Forestry</t>
        </is>
      </c>
      <c r="I25" t="inlineStr">
        <is>
          <t>MO</t>
        </is>
      </c>
      <c r="K25" s="249" t="n">
        <v>46041</v>
      </c>
    </row>
    <row r="26">
      <c r="A26" t="inlineStr">
        <is>
          <t>41</t>
        </is>
      </c>
      <c r="B26" t="inlineStr">
        <is>
          <t>Local &amp; Interurban Passenger Transit</t>
        </is>
      </c>
      <c r="C26" t="inlineStr">
        <is>
          <t>Transportation &amp; Utilities</t>
        </is>
      </c>
      <c r="E26" t="inlineStr">
        <is>
          <t>Capfront Funding</t>
        </is>
      </c>
      <c r="G26" t="inlineStr">
        <is>
          <t>Furniture &amp; Fixtures</t>
        </is>
      </c>
      <c r="I26" t="inlineStr">
        <is>
          <t>MS</t>
        </is>
      </c>
      <c r="K26" s="249" t="n">
        <v>46069</v>
      </c>
    </row>
    <row r="27">
      <c r="A27" t="inlineStr">
        <is>
          <t>42</t>
        </is>
      </c>
      <c r="B27" t="inlineStr">
        <is>
          <t>Trucking &amp; Warehousing</t>
        </is>
      </c>
      <c r="C27" t="inlineStr">
        <is>
          <t>Transportation &amp; Utilities</t>
        </is>
      </c>
      <c r="E27" t="inlineStr">
        <is>
          <t>Capital 1 Group LLC DBA Tier One Financing LLC</t>
        </is>
      </c>
      <c r="G27" t="inlineStr">
        <is>
          <t>Furniture &amp; Home Furnishings Stores</t>
        </is>
      </c>
      <c r="I27" t="inlineStr">
        <is>
          <t>MT</t>
        </is>
      </c>
      <c r="K27" s="249" t="n">
        <v>46167</v>
      </c>
    </row>
    <row r="28">
      <c r="A28" t="inlineStr">
        <is>
          <t>44</t>
        </is>
      </c>
      <c r="B28" t="inlineStr">
        <is>
          <t>Water Transportation</t>
        </is>
      </c>
      <c r="C28" t="inlineStr">
        <is>
          <t>Transportation &amp; Utilities</t>
        </is>
      </c>
      <c r="E28" t="inlineStr">
        <is>
          <t>CARE FUNDING GROUP</t>
        </is>
      </c>
      <c r="G28" t="inlineStr">
        <is>
          <t>General Building Contractors</t>
        </is>
      </c>
      <c r="I28" t="inlineStr">
        <is>
          <t>NC</t>
        </is>
      </c>
      <c r="K28" s="249" t="n">
        <v>46192</v>
      </c>
    </row>
    <row r="29">
      <c r="A29" t="inlineStr">
        <is>
          <t>45</t>
        </is>
      </c>
      <c r="B29" t="inlineStr">
        <is>
          <t>Air Transportation</t>
        </is>
      </c>
      <c r="C29" t="inlineStr">
        <is>
          <t>Transportation &amp; Utilities</t>
        </is>
      </c>
      <c r="E29" t="inlineStr">
        <is>
          <t>cavala funding</t>
        </is>
      </c>
      <c r="G29" t="inlineStr">
        <is>
          <t>General Merchandise Stores</t>
        </is>
      </c>
      <c r="I29" t="inlineStr">
        <is>
          <t>ND</t>
        </is>
      </c>
      <c r="K29" s="249" t="n">
        <v>46272</v>
      </c>
    </row>
    <row r="30">
      <c r="A30" t="inlineStr">
        <is>
          <t>47</t>
        </is>
      </c>
      <c r="B30" t="inlineStr">
        <is>
          <t>Transportation Services</t>
        </is>
      </c>
      <c r="C30" t="inlineStr">
        <is>
          <t>Transportation &amp; Utilities</t>
        </is>
      </c>
      <c r="E30" t="inlineStr">
        <is>
          <t>cenitcapital</t>
        </is>
      </c>
      <c r="G30" t="inlineStr">
        <is>
          <t>Health Services</t>
        </is>
      </c>
      <c r="I30" t="inlineStr">
        <is>
          <t>NH</t>
        </is>
      </c>
      <c r="K30" s="249" t="n">
        <v>46307</v>
      </c>
    </row>
    <row r="31">
      <c r="A31" t="inlineStr">
        <is>
          <t>48</t>
        </is>
      </c>
      <c r="B31" t="inlineStr">
        <is>
          <t>Communications</t>
        </is>
      </c>
      <c r="C31" t="inlineStr">
        <is>
          <t>Transportation &amp; Utilities</t>
        </is>
      </c>
      <c r="E31" t="inlineStr">
        <is>
          <t>Choicecapital Solutions LLC</t>
        </is>
      </c>
      <c r="G31" t="inlineStr">
        <is>
          <t>Heavy Construction</t>
        </is>
      </c>
      <c r="I31" t="inlineStr">
        <is>
          <t>NJ</t>
        </is>
      </c>
      <c r="K31" s="249" t="n">
        <v>46337</v>
      </c>
    </row>
    <row r="32">
      <c r="A32" t="inlineStr">
        <is>
          <t>49</t>
        </is>
      </c>
      <c r="B32" t="inlineStr">
        <is>
          <t>Electric, Gas &amp; Sanitary Services</t>
        </is>
      </c>
      <c r="C32" t="inlineStr">
        <is>
          <t>Transportation &amp; Utilities</t>
        </is>
      </c>
      <c r="E32" t="inlineStr">
        <is>
          <t>City Wide Capital</t>
        </is>
      </c>
      <c r="G32" t="inlineStr">
        <is>
          <t>Hotels &amp; Lodging</t>
        </is>
      </c>
      <c r="I32" t="inlineStr">
        <is>
          <t>NM</t>
        </is>
      </c>
      <c r="K32" s="249" t="n">
        <v>46352</v>
      </c>
    </row>
    <row r="33">
      <c r="A33" t="inlineStr">
        <is>
          <t>50</t>
        </is>
      </c>
      <c r="B33" t="inlineStr">
        <is>
          <t>Wholesale Trade - Durable Goods</t>
        </is>
      </c>
      <c r="C33" t="inlineStr">
        <is>
          <t>Wholesale Trade</t>
        </is>
      </c>
      <c r="E33" t="inlineStr">
        <is>
          <t>Clover Capital</t>
        </is>
      </c>
      <c r="G33" t="inlineStr">
        <is>
          <t>Industrial Machinery &amp; Equipment</t>
        </is>
      </c>
      <c r="I33" t="inlineStr">
        <is>
          <t>NV</t>
        </is>
      </c>
      <c r="K33" s="249" t="n">
        <v>46381</v>
      </c>
    </row>
    <row r="34">
      <c r="A34" t="inlineStr">
        <is>
          <t>51</t>
        </is>
      </c>
      <c r="B34" t="inlineStr">
        <is>
          <t>Wholesale Trade - Nondurable Goods</t>
        </is>
      </c>
      <c r="C34" t="inlineStr">
        <is>
          <t>Wholesale Trade</t>
        </is>
      </c>
      <c r="E34" t="inlineStr">
        <is>
          <t>CNL LOANS</t>
        </is>
      </c>
      <c r="G34" t="inlineStr">
        <is>
          <t>Instruments &amp; Related Products</t>
        </is>
      </c>
      <c r="I34" t="inlineStr">
        <is>
          <t>NY</t>
        </is>
      </c>
      <c r="K34" s="249" t="n">
        <v>46388</v>
      </c>
    </row>
    <row r="35">
      <c r="A35" t="inlineStr">
        <is>
          <t>52</t>
        </is>
      </c>
      <c r="B35" t="inlineStr">
        <is>
          <t>Building Materials &amp; Garden Supply</t>
        </is>
      </c>
      <c r="C35" t="inlineStr">
        <is>
          <t>Retail Trade</t>
        </is>
      </c>
      <c r="E35" t="inlineStr">
        <is>
          <t>Credibly</t>
        </is>
      </c>
      <c r="G35" t="inlineStr">
        <is>
          <t>Insurance Agents &amp; Brokers</t>
        </is>
      </c>
      <c r="I35" t="inlineStr">
        <is>
          <t>No state</t>
        </is>
      </c>
      <c r="K35" s="249" t="n">
        <v>46405</v>
      </c>
    </row>
    <row r="36">
      <c r="A36" t="inlineStr">
        <is>
          <t>53</t>
        </is>
      </c>
      <c r="B36" t="inlineStr">
        <is>
          <t>General Merchandise Stores</t>
        </is>
      </c>
      <c r="C36" t="inlineStr">
        <is>
          <t>Retail Trade</t>
        </is>
      </c>
      <c r="E36" t="inlineStr">
        <is>
          <t>DBS FUNDING GROUP</t>
        </is>
      </c>
      <c r="G36" t="inlineStr">
        <is>
          <t>Insurance Carriers</t>
        </is>
      </c>
      <c r="I36" t="inlineStr">
        <is>
          <t>OH</t>
        </is>
      </c>
      <c r="K36" s="249" t="n">
        <v>46433</v>
      </c>
    </row>
    <row r="37">
      <c r="A37" t="inlineStr">
        <is>
          <t>54</t>
        </is>
      </c>
      <c r="B37" t="inlineStr">
        <is>
          <t>Food Stores</t>
        </is>
      </c>
      <c r="C37" t="inlineStr">
        <is>
          <t>Retail Trade</t>
        </is>
      </c>
      <c r="E37" t="inlineStr">
        <is>
          <t>Deal Struck</t>
        </is>
      </c>
      <c r="G37" t="inlineStr">
        <is>
          <t>Justice, Public Order &amp; Safety</t>
        </is>
      </c>
      <c r="I37" t="inlineStr">
        <is>
          <t>OK</t>
        </is>
      </c>
      <c r="K37" s="249" t="n">
        <v>46538</v>
      </c>
    </row>
    <row r="38">
      <c r="A38" t="inlineStr">
        <is>
          <t>55</t>
        </is>
      </c>
      <c r="B38" t="inlineStr">
        <is>
          <t>Auto Dealers &amp; Gas Stations</t>
        </is>
      </c>
      <c r="C38" t="inlineStr">
        <is>
          <t>Retail Trade</t>
        </is>
      </c>
      <c r="E38" t="inlineStr">
        <is>
          <t>Diamond Bar Funding</t>
        </is>
      </c>
      <c r="G38" t="inlineStr">
        <is>
          <t>Legal Services</t>
        </is>
      </c>
      <c r="I38" t="inlineStr">
        <is>
          <t>OR</t>
        </is>
      </c>
      <c r="K38" s="249" t="n">
        <v>46573</v>
      </c>
    </row>
    <row r="39">
      <c r="A39" t="inlineStr">
        <is>
          <t>56</t>
        </is>
      </c>
      <c r="B39" t="inlineStr">
        <is>
          <t>Apparel &amp; Accessory Stores</t>
        </is>
      </c>
      <c r="C39" t="inlineStr">
        <is>
          <t>Retail Trade</t>
        </is>
      </c>
      <c r="E39" t="inlineStr">
        <is>
          <t>DIRECT CAPITAL SOURCE, INC.</t>
        </is>
      </c>
      <c r="G39" t="inlineStr">
        <is>
          <t>Local &amp; Interurban Passenger Transit</t>
        </is>
      </c>
      <c r="I39" t="inlineStr">
        <is>
          <t>PA</t>
        </is>
      </c>
      <c r="K39" s="249" t="n">
        <v>46636</v>
      </c>
    </row>
    <row r="40">
      <c r="A40" t="inlineStr">
        <is>
          <t>57</t>
        </is>
      </c>
      <c r="B40" t="inlineStr">
        <is>
          <t>Furniture &amp; Home Furnishings Stores</t>
        </is>
      </c>
      <c r="C40" t="inlineStr">
        <is>
          <t>Retail Trade</t>
        </is>
      </c>
      <c r="E40" t="inlineStr">
        <is>
          <t>Direct Funding LLC</t>
        </is>
      </c>
      <c r="G40" t="inlineStr">
        <is>
          <t>Lumber &amp; Wood Products</t>
        </is>
      </c>
      <c r="I40" t="inlineStr">
        <is>
          <t>PR</t>
        </is>
      </c>
      <c r="K40" s="249" t="n">
        <v>46671</v>
      </c>
    </row>
    <row r="41">
      <c r="A41" t="inlineStr">
        <is>
          <t>58</t>
        </is>
      </c>
      <c r="B41" t="inlineStr">
        <is>
          <t>Eating &amp; Drinking Places</t>
        </is>
      </c>
      <c r="C41" t="inlineStr">
        <is>
          <t>Retail Trade</t>
        </is>
      </c>
      <c r="E41" t="inlineStr">
        <is>
          <t>Dubbs holding</t>
        </is>
      </c>
      <c r="G41" t="inlineStr">
        <is>
          <t>Membership Organizations</t>
        </is>
      </c>
      <c r="I41" t="inlineStr">
        <is>
          <t>RI</t>
        </is>
      </c>
      <c r="K41" s="249" t="n">
        <v>46702</v>
      </c>
    </row>
    <row r="42">
      <c r="A42" t="inlineStr">
        <is>
          <t>59</t>
        </is>
      </c>
      <c r="B42" t="inlineStr">
        <is>
          <t>Miscellaneous Retail</t>
        </is>
      </c>
      <c r="C42" t="inlineStr">
        <is>
          <t>Retail Trade</t>
        </is>
      </c>
      <c r="E42" t="inlineStr">
        <is>
          <t>ecp business capital</t>
        </is>
      </c>
      <c r="G42" t="inlineStr">
        <is>
          <t>Miscellaneous Manufacturing</t>
        </is>
      </c>
      <c r="I42" t="inlineStr">
        <is>
          <t>SC</t>
        </is>
      </c>
      <c r="K42" s="249" t="n">
        <v>46716</v>
      </c>
    </row>
    <row r="43">
      <c r="A43" t="inlineStr">
        <is>
          <t>62</t>
        </is>
      </c>
      <c r="B43" t="inlineStr">
        <is>
          <t>Security &amp; Commodity Brokers</t>
        </is>
      </c>
      <c r="C43" t="inlineStr">
        <is>
          <t>Finance, Insurance &amp; Real Estate</t>
        </is>
      </c>
      <c r="E43" t="inlineStr">
        <is>
          <t>Elite Advance 5</t>
        </is>
      </c>
      <c r="G43" t="inlineStr">
        <is>
          <t>Miscellaneous Repair Services</t>
        </is>
      </c>
      <c r="I43" t="inlineStr">
        <is>
          <t>SD</t>
        </is>
      </c>
    </row>
    <row r="44">
      <c r="A44" t="inlineStr">
        <is>
          <t>63</t>
        </is>
      </c>
      <c r="B44" t="inlineStr">
        <is>
          <t>Insurance Carriers</t>
        </is>
      </c>
      <c r="C44" t="inlineStr">
        <is>
          <t>Finance, Insurance &amp; Real Estate</t>
        </is>
      </c>
      <c r="E44" t="inlineStr">
        <is>
          <t>elite finance team</t>
        </is>
      </c>
      <c r="G44" t="inlineStr">
        <is>
          <t>Miscellaneous Retail</t>
        </is>
      </c>
      <c r="I44" t="inlineStr">
        <is>
          <t>TN</t>
        </is>
      </c>
    </row>
    <row r="45">
      <c r="A45" t="inlineStr">
        <is>
          <t>64</t>
        </is>
      </c>
      <c r="B45" t="inlineStr">
        <is>
          <t>Insurance Agents &amp; Brokers</t>
        </is>
      </c>
      <c r="C45" t="inlineStr">
        <is>
          <t>Finance, Insurance &amp; Real Estate</t>
        </is>
      </c>
      <c r="E45" t="inlineStr">
        <is>
          <t>ELITE FUNDING PARTNERS LLC 6</t>
        </is>
      </c>
      <c r="G45" t="inlineStr">
        <is>
          <t>Motion Pictures</t>
        </is>
      </c>
      <c r="I45" t="inlineStr">
        <is>
          <t>TX</t>
        </is>
      </c>
    </row>
    <row r="46">
      <c r="A46" t="inlineStr">
        <is>
          <t>65</t>
        </is>
      </c>
      <c r="B46" t="inlineStr">
        <is>
          <t>Real Estate</t>
        </is>
      </c>
      <c r="C46" t="inlineStr">
        <is>
          <t>Finance, Insurance &amp; Real Estate</t>
        </is>
      </c>
      <c r="E46" t="inlineStr">
        <is>
          <t>EVR GREEN LLC</t>
        </is>
      </c>
      <c r="G46" t="inlineStr">
        <is>
          <t>Museums &amp; Botanical Gardens</t>
        </is>
      </c>
      <c r="I46" t="inlineStr">
        <is>
          <t>UT</t>
        </is>
      </c>
    </row>
    <row r="47">
      <c r="A47" t="inlineStr">
        <is>
          <t>70</t>
        </is>
      </c>
      <c r="B47" t="inlineStr">
        <is>
          <t>Hotels &amp; Lodging</t>
        </is>
      </c>
      <c r="C47" t="inlineStr">
        <is>
          <t>Services</t>
        </is>
      </c>
      <c r="E47" t="inlineStr">
        <is>
          <t>EZ ADVANCE LLC</t>
        </is>
      </c>
      <c r="G47" t="inlineStr">
        <is>
          <t>National Security &amp; Intl Affairs</t>
        </is>
      </c>
      <c r="I47" t="inlineStr">
        <is>
          <t>VA</t>
        </is>
      </c>
    </row>
    <row r="48">
      <c r="A48" t="inlineStr">
        <is>
          <t>72</t>
        </is>
      </c>
      <c r="B48" t="inlineStr">
        <is>
          <t>Personal Services</t>
        </is>
      </c>
      <c r="C48" t="inlineStr">
        <is>
          <t>Services</t>
        </is>
      </c>
      <c r="E48" t="inlineStr">
        <is>
          <t>ez alternative solutions</t>
        </is>
      </c>
      <c r="G48" t="inlineStr">
        <is>
          <t>Nonmetallic Minerals Mining</t>
        </is>
      </c>
      <c r="I48" t="inlineStr">
        <is>
          <t>VT</t>
        </is>
      </c>
    </row>
    <row r="49">
      <c r="A49" t="inlineStr">
        <is>
          <t>73</t>
        </is>
      </c>
      <c r="B49" t="inlineStr">
        <is>
          <t>Business Services</t>
        </is>
      </c>
      <c r="C49" t="inlineStr">
        <is>
          <t>Services</t>
        </is>
      </c>
      <c r="E49" t="inlineStr">
        <is>
          <t>FC ADVANCE</t>
        </is>
      </c>
      <c r="G49" t="inlineStr">
        <is>
          <t>Oil &amp; Gas Extraction</t>
        </is>
      </c>
      <c r="I49" t="inlineStr">
        <is>
          <t>WA</t>
        </is>
      </c>
    </row>
    <row r="50">
      <c r="A50" t="inlineStr">
        <is>
          <t>75</t>
        </is>
      </c>
      <c r="B50" t="inlineStr">
        <is>
          <t>Auto Repair &amp; Services</t>
        </is>
      </c>
      <c r="C50" t="inlineStr">
        <is>
          <t>Services</t>
        </is>
      </c>
      <c r="E50" t="inlineStr">
        <is>
          <t>Fidelity Funding</t>
        </is>
      </c>
      <c r="G50" t="inlineStr">
        <is>
          <t>Personal Services</t>
        </is>
      </c>
      <c r="I50" t="inlineStr">
        <is>
          <t>WI</t>
        </is>
      </c>
    </row>
    <row r="51">
      <c r="A51" t="inlineStr">
        <is>
          <t>76</t>
        </is>
      </c>
      <c r="B51" t="inlineStr">
        <is>
          <t>Miscellaneous Repair Services</t>
        </is>
      </c>
      <c r="C51" t="inlineStr">
        <is>
          <t>Services</t>
        </is>
      </c>
      <c r="E51" t="inlineStr">
        <is>
          <t>FIFTH VENTURE</t>
        </is>
      </c>
      <c r="G51" t="inlineStr">
        <is>
          <t>Primary Metal Industries</t>
        </is>
      </c>
      <c r="I51" t="inlineStr">
        <is>
          <t>WV</t>
        </is>
      </c>
    </row>
    <row r="52">
      <c r="A52" t="inlineStr">
        <is>
          <t>78</t>
        </is>
      </c>
      <c r="B52" t="inlineStr">
        <is>
          <t>Motion Pictures</t>
        </is>
      </c>
      <c r="C52" t="inlineStr">
        <is>
          <t>Services</t>
        </is>
      </c>
      <c r="E52" t="inlineStr">
        <is>
          <t>FIMACAP INC</t>
        </is>
      </c>
      <c r="G52" t="inlineStr">
        <is>
          <t>Printing &amp; Publishing</t>
        </is>
      </c>
    </row>
    <row r="53">
      <c r="A53" t="inlineStr">
        <is>
          <t>79</t>
        </is>
      </c>
      <c r="B53" t="inlineStr">
        <is>
          <t>Amusement &amp; Recreation Services</t>
        </is>
      </c>
      <c r="C53" t="inlineStr">
        <is>
          <t>Services</t>
        </is>
      </c>
      <c r="E53" t="inlineStr">
        <is>
          <t>Financial Express LLC</t>
        </is>
      </c>
      <c r="G53" t="inlineStr">
        <is>
          <t>Real Estate</t>
        </is>
      </c>
    </row>
    <row r="54">
      <c r="A54" t="inlineStr">
        <is>
          <t>80</t>
        </is>
      </c>
      <c r="B54" t="inlineStr">
        <is>
          <t>Health Services</t>
        </is>
      </c>
      <c r="C54" t="inlineStr">
        <is>
          <t>Services</t>
        </is>
      </c>
      <c r="E54" t="inlineStr">
        <is>
          <t>Financity</t>
        </is>
      </c>
      <c r="G54" t="inlineStr">
        <is>
          <t>Rubber &amp; Plastics</t>
        </is>
      </c>
    </row>
    <row r="55">
      <c r="A55" t="inlineStr">
        <is>
          <t>81</t>
        </is>
      </c>
      <c r="B55" t="inlineStr">
        <is>
          <t>Legal Services</t>
        </is>
      </c>
      <c r="C55" t="inlineStr">
        <is>
          <t>Services</t>
        </is>
      </c>
      <c r="E55" t="inlineStr">
        <is>
          <t>FireLine Funding</t>
        </is>
      </c>
      <c r="G55" t="inlineStr">
        <is>
          <t>Security &amp; Commodity Brokers</t>
        </is>
      </c>
    </row>
    <row r="56">
      <c r="A56" t="inlineStr">
        <is>
          <t>82</t>
        </is>
      </c>
      <c r="B56" t="inlineStr">
        <is>
          <t>Educational Services</t>
        </is>
      </c>
      <c r="C56" t="inlineStr">
        <is>
          <t>Services</t>
        </is>
      </c>
      <c r="E56" t="inlineStr">
        <is>
          <t>First Path Capital</t>
        </is>
      </c>
      <c r="G56" t="inlineStr">
        <is>
          <t>Services - Miscellaneous</t>
        </is>
      </c>
    </row>
    <row r="57">
      <c r="A57" t="inlineStr">
        <is>
          <t>83</t>
        </is>
      </c>
      <c r="B57" t="inlineStr">
        <is>
          <t>Social Services</t>
        </is>
      </c>
      <c r="C57" t="inlineStr">
        <is>
          <t>Services</t>
        </is>
      </c>
      <c r="E57" t="inlineStr">
        <is>
          <t>Fund Kite</t>
        </is>
      </c>
      <c r="G57" t="inlineStr">
        <is>
          <t>Social Services</t>
        </is>
      </c>
    </row>
    <row r="58">
      <c r="A58" t="inlineStr">
        <is>
          <t>84</t>
        </is>
      </c>
      <c r="B58" t="inlineStr">
        <is>
          <t>Museums &amp; Botanical Gardens</t>
        </is>
      </c>
      <c r="C58" t="inlineStr">
        <is>
          <t>Services</t>
        </is>
      </c>
      <c r="E58" t="inlineStr">
        <is>
          <t>Fund Max</t>
        </is>
      </c>
      <c r="G58" t="inlineStr">
        <is>
          <t>Special Trade Contractors</t>
        </is>
      </c>
    </row>
    <row r="59">
      <c r="A59" t="inlineStr">
        <is>
          <t>86</t>
        </is>
      </c>
      <c r="B59" t="inlineStr">
        <is>
          <t>Membership Organizations</t>
        </is>
      </c>
      <c r="C59" t="inlineStr">
        <is>
          <t>Services</t>
        </is>
      </c>
      <c r="E59" t="inlineStr">
        <is>
          <t>Fund Simple</t>
        </is>
      </c>
      <c r="G59" t="inlineStr">
        <is>
          <t>Stone, Clay, Glass &amp; Concrete</t>
        </is>
      </c>
    </row>
    <row r="60">
      <c r="A60" t="inlineStr">
        <is>
          <t>87</t>
        </is>
      </c>
      <c r="B60" t="inlineStr">
        <is>
          <t>Engineering, Accounting &amp; Management</t>
        </is>
      </c>
      <c r="C60" t="inlineStr">
        <is>
          <t>Services</t>
        </is>
      </c>
      <c r="E60" t="inlineStr">
        <is>
          <t>Fund Your Bizz</t>
        </is>
      </c>
      <c r="G60" t="inlineStr">
        <is>
          <t>Transportation Equipment</t>
        </is>
      </c>
    </row>
    <row r="61">
      <c r="A61" t="inlineStr">
        <is>
          <t>89</t>
        </is>
      </c>
      <c r="B61" t="inlineStr">
        <is>
          <t>Services - Miscellaneous</t>
        </is>
      </c>
      <c r="C61" t="inlineStr">
        <is>
          <t>Services</t>
        </is>
      </c>
      <c r="E61" t="inlineStr">
        <is>
          <t>FundFlex</t>
        </is>
      </c>
      <c r="G61" t="inlineStr">
        <is>
          <t>Transportation Services</t>
        </is>
      </c>
    </row>
    <row r="62">
      <c r="A62" t="inlineStr">
        <is>
          <t>92</t>
        </is>
      </c>
      <c r="B62" t="inlineStr">
        <is>
          <t>Justice, Public Order &amp; Safety</t>
        </is>
      </c>
      <c r="C62" t="inlineStr">
        <is>
          <t>Public Administration</t>
        </is>
      </c>
      <c r="E62" t="inlineStr">
        <is>
          <t>Fundible</t>
        </is>
      </c>
      <c r="G62" t="inlineStr">
        <is>
          <t>Trucking &amp; Warehousing</t>
        </is>
      </c>
    </row>
    <row r="63">
      <c r="A63" t="inlineStr">
        <is>
          <t>95</t>
        </is>
      </c>
      <c r="B63" t="inlineStr">
        <is>
          <t>Environmental Quality &amp; Housing</t>
        </is>
      </c>
      <c r="C63" t="inlineStr">
        <is>
          <t>Public Administration</t>
        </is>
      </c>
      <c r="E63" t="inlineStr">
        <is>
          <t>Fundward</t>
        </is>
      </c>
      <c r="G63" t="inlineStr">
        <is>
          <t>Water Transportation</t>
        </is>
      </c>
    </row>
    <row r="64">
      <c r="A64" t="inlineStr">
        <is>
          <t>96</t>
        </is>
      </c>
      <c r="B64" t="inlineStr">
        <is>
          <t>Administration of Economic Programs</t>
        </is>
      </c>
      <c r="C64" t="inlineStr">
        <is>
          <t>Public Administration</t>
        </is>
      </c>
      <c r="E64" t="inlineStr">
        <is>
          <t>Fundwell</t>
        </is>
      </c>
      <c r="G64" t="inlineStr">
        <is>
          <t>Wholesale Trade - Durable Goods</t>
        </is>
      </c>
    </row>
    <row r="65">
      <c r="A65" t="inlineStr">
        <is>
          <t>97</t>
        </is>
      </c>
      <c r="B65" t="inlineStr">
        <is>
          <t>National Security &amp; Intl Affairs</t>
        </is>
      </c>
      <c r="C65" t="inlineStr">
        <is>
          <t>Public Administration</t>
        </is>
      </c>
      <c r="E65" t="inlineStr">
        <is>
          <t>Go Ai Ez LLC Dba:Gova Funding</t>
        </is>
      </c>
      <c r="G65" t="inlineStr">
        <is>
          <t>Wholesale Trade - Nondurable Goods</t>
        </is>
      </c>
    </row>
    <row r="66">
      <c r="E66" t="inlineStr">
        <is>
          <t>GREYSTONE</t>
        </is>
      </c>
      <c r="G66" t="inlineStr">
        <is>
          <t>No SIC</t>
        </is>
      </c>
    </row>
    <row r="67">
      <c r="E67" t="inlineStr">
        <is>
          <t>GROWTH RATE CAPITAL INC</t>
        </is>
      </c>
      <c r="G67" t="inlineStr">
        <is>
          <t>Unclassified</t>
        </is>
      </c>
    </row>
    <row r="68">
      <c r="E68" t="inlineStr">
        <is>
          <t>Hero Advance Group</t>
        </is>
      </c>
    </row>
    <row r="69">
      <c r="E69" t="inlineStr">
        <is>
          <t>I burst funding</t>
        </is>
      </c>
    </row>
    <row r="70">
      <c r="E70" t="inlineStr">
        <is>
          <t>ICB FUNDING</t>
        </is>
      </c>
    </row>
    <row r="71">
      <c r="E71" t="inlineStr">
        <is>
          <t>ICG Funding</t>
        </is>
      </c>
    </row>
    <row r="72">
      <c r="E72" t="inlineStr">
        <is>
          <t>J Capital Solutions</t>
        </is>
      </c>
    </row>
    <row r="73">
      <c r="E73" t="inlineStr">
        <is>
          <t>JABSCAP</t>
        </is>
      </c>
    </row>
    <row r="74">
      <c r="E74" t="inlineStr">
        <is>
          <t>Kelly Kapital</t>
        </is>
      </c>
    </row>
    <row r="75">
      <c r="E75" t="inlineStr">
        <is>
          <t>Key Capital Funding</t>
        </is>
      </c>
    </row>
    <row r="76">
      <c r="E76" t="inlineStr">
        <is>
          <t>Klendify</t>
        </is>
      </c>
    </row>
    <row r="77">
      <c r="E77" t="inlineStr">
        <is>
          <t>langtech</t>
        </is>
      </c>
    </row>
    <row r="78">
      <c r="E78" t="inlineStr">
        <is>
          <t>legacy funding llc</t>
        </is>
      </c>
    </row>
    <row r="79">
      <c r="E79" t="inlineStr">
        <is>
          <t>Lemonaid</t>
        </is>
      </c>
    </row>
    <row r="80">
      <c r="E80" t="inlineStr">
        <is>
          <t>Lend Bull LLC</t>
        </is>
      </c>
    </row>
    <row r="81">
      <c r="E81" t="inlineStr">
        <is>
          <t>LENDCAP SOLUTIONS</t>
        </is>
      </c>
    </row>
    <row r="82">
      <c r="E82" t="inlineStr">
        <is>
          <t>level 3 funding</t>
        </is>
      </c>
    </row>
    <row r="83">
      <c r="E83" t="inlineStr">
        <is>
          <t>lexington capital holdings</t>
        </is>
      </c>
    </row>
    <row r="84">
      <c r="E84" t="inlineStr">
        <is>
          <t>Liberty Bell Capital</t>
        </is>
      </c>
    </row>
    <row r="85">
      <c r="E85" t="inlineStr">
        <is>
          <t>Lightning SBA Loans</t>
        </is>
      </c>
    </row>
    <row r="86">
      <c r="E86" t="inlineStr">
        <is>
          <t>lightningfundingsolutions</t>
        </is>
      </c>
    </row>
    <row r="87">
      <c r="E87" t="inlineStr">
        <is>
          <t>Linked In Funding</t>
        </is>
      </c>
    </row>
    <row r="88">
      <c r="E88" t="inlineStr">
        <is>
          <t>liquidity lending group</t>
        </is>
      </c>
    </row>
    <row r="89">
      <c r="E89" t="inlineStr">
        <is>
          <t>Llama Loan</t>
        </is>
      </c>
    </row>
    <row r="90">
      <c r="E90" t="inlineStr">
        <is>
          <t>MADVANCEGRP</t>
        </is>
      </c>
    </row>
    <row r="91">
      <c r="E91" t="inlineStr">
        <is>
          <t>Merchant Advance Now</t>
        </is>
      </c>
    </row>
    <row r="92">
      <c r="E92" t="inlineStr">
        <is>
          <t>Merchant ReFi</t>
        </is>
      </c>
    </row>
    <row r="93">
      <c r="E93" t="inlineStr">
        <is>
          <t>Milestone Capital Funding Inc</t>
        </is>
      </c>
    </row>
    <row r="94">
      <c r="E94" t="inlineStr">
        <is>
          <t>Mills  funding group</t>
        </is>
      </c>
    </row>
    <row r="95">
      <c r="E95" t="inlineStr">
        <is>
          <t>Monarch funding Group</t>
        </is>
      </c>
    </row>
    <row r="96">
      <c r="E96" t="inlineStr">
        <is>
          <t>MONETCAP</t>
        </is>
      </c>
    </row>
    <row r="97">
      <c r="E97" t="inlineStr">
        <is>
          <t>MZ ADVANCE</t>
        </is>
      </c>
    </row>
    <row r="98">
      <c r="E98" t="inlineStr">
        <is>
          <t>National Business Capital</t>
        </is>
      </c>
    </row>
    <row r="99">
      <c r="E99" t="inlineStr">
        <is>
          <t>NS PRO INC.</t>
        </is>
      </c>
    </row>
    <row r="100">
      <c r="E100" t="inlineStr">
        <is>
          <t>NY Tribeca Group</t>
        </is>
      </c>
    </row>
    <row r="101">
      <c r="E101" t="inlineStr">
        <is>
          <t>One Box Funding</t>
        </is>
      </c>
    </row>
    <row r="102">
      <c r="E102" t="inlineStr">
        <is>
          <t>ontime cap</t>
        </is>
      </c>
    </row>
    <row r="103">
      <c r="E103" t="inlineStr">
        <is>
          <t>Pathway Catalyst</t>
        </is>
      </c>
    </row>
    <row r="104">
      <c r="E104" t="inlineStr">
        <is>
          <t>PEACH STATE SOLUTIONS</t>
        </is>
      </c>
    </row>
    <row r="105">
      <c r="E105" t="inlineStr">
        <is>
          <t>peach tree capital</t>
        </is>
      </c>
    </row>
    <row r="106">
      <c r="E106" t="inlineStr">
        <is>
          <t>penco holdings</t>
        </is>
      </c>
    </row>
    <row r="107">
      <c r="E107" t="inlineStr">
        <is>
          <t>Pharoah Fund</t>
        </is>
      </c>
    </row>
    <row r="108">
      <c r="E108" t="inlineStr">
        <is>
          <t>Platform Funding</t>
        </is>
      </c>
    </row>
    <row r="109">
      <c r="E109" t="inlineStr">
        <is>
          <t>PMF</t>
        </is>
      </c>
    </row>
    <row r="110">
      <c r="E110" t="inlineStr">
        <is>
          <t>Premium Capital (AMRK)</t>
        </is>
      </c>
    </row>
    <row r="111">
      <c r="E111" t="inlineStr">
        <is>
          <t>Pro Source Lending Group</t>
        </is>
      </c>
    </row>
    <row r="112">
      <c r="E112" t="inlineStr">
        <is>
          <t>Pyn Capital</t>
        </is>
      </c>
    </row>
    <row r="113">
      <c r="E113" t="inlineStr">
        <is>
          <t>Qualifier</t>
        </is>
      </c>
    </row>
    <row r="114">
      <c r="E114" t="inlineStr">
        <is>
          <t>Redline Capital</t>
        </is>
      </c>
    </row>
    <row r="115">
      <c r="E115" t="inlineStr">
        <is>
          <t>ROK</t>
        </is>
      </c>
    </row>
    <row r="116">
      <c r="E116" t="inlineStr">
        <is>
          <t>ROYAL FUNDING GROUP</t>
        </is>
      </c>
    </row>
    <row r="117">
      <c r="E117" t="inlineStr">
        <is>
          <t>SABER ASSETS LLC</t>
        </is>
      </c>
    </row>
    <row r="118">
      <c r="E118" t="inlineStr">
        <is>
          <t>Samson Funding</t>
        </is>
      </c>
    </row>
    <row r="119">
      <c r="E119" t="inlineStr">
        <is>
          <t>Seacap</t>
        </is>
      </c>
    </row>
    <row r="120">
      <c r="E120" t="inlineStr">
        <is>
          <t>Secure Capital Solutions 7</t>
        </is>
      </c>
    </row>
    <row r="121">
      <c r="E121" t="inlineStr">
        <is>
          <t>secure way capital</t>
        </is>
      </c>
    </row>
    <row r="122">
      <c r="E122" t="inlineStr">
        <is>
          <t>Shield Funding</t>
        </is>
      </c>
    </row>
    <row r="123">
      <c r="E123" t="inlineStr">
        <is>
          <t>Shop Funder</t>
        </is>
      </c>
    </row>
    <row r="124">
      <c r="E124" t="inlineStr">
        <is>
          <t>Shore Funding USA</t>
        </is>
      </c>
    </row>
    <row r="125">
      <c r="E125" t="inlineStr">
        <is>
          <t>Simply capital source inc</t>
        </is>
      </c>
    </row>
    <row r="126">
      <c r="E126" t="inlineStr">
        <is>
          <t>Siriux internacional corp</t>
        </is>
      </c>
    </row>
    <row r="127">
      <c r="E127" t="inlineStr">
        <is>
          <t>Sky Advance</t>
        </is>
      </c>
    </row>
    <row r="128">
      <c r="E128" t="inlineStr">
        <is>
          <t>Smarter Credit Inc.</t>
        </is>
      </c>
    </row>
    <row r="129">
      <c r="E129" t="inlineStr">
        <is>
          <t>SNA Capital source</t>
        </is>
      </c>
    </row>
    <row r="130">
      <c r="E130" t="inlineStr">
        <is>
          <t>SNB CAPITAL 18 LLC</t>
        </is>
      </c>
    </row>
    <row r="131">
      <c r="E131" t="inlineStr">
        <is>
          <t>Splash</t>
        </is>
      </c>
    </row>
    <row r="132">
      <c r="E132" t="inlineStr">
        <is>
          <t>Springville Partners</t>
        </is>
      </c>
    </row>
    <row r="133">
      <c r="E133" t="inlineStr">
        <is>
          <t>Streamline Funding LLC</t>
        </is>
      </c>
    </row>
    <row r="134">
      <c r="E134" t="inlineStr">
        <is>
          <t>Supreme Capital Solutions</t>
        </is>
      </c>
    </row>
    <row r="135">
      <c r="E135" t="inlineStr">
        <is>
          <t>Swift Business Funding</t>
        </is>
      </c>
    </row>
    <row r="136">
      <c r="E136" t="inlineStr">
        <is>
          <t>Tech Consulting Pro LLC D/B/A: Nationwide Advance</t>
        </is>
      </c>
    </row>
    <row r="137">
      <c r="E137" t="inlineStr">
        <is>
          <t>The Funding Channel</t>
        </is>
      </c>
    </row>
    <row r="138">
      <c r="E138" t="inlineStr">
        <is>
          <t>The Funding Family</t>
        </is>
      </c>
    </row>
    <row r="139">
      <c r="E139" t="inlineStr">
        <is>
          <t>Tier one</t>
        </is>
      </c>
    </row>
    <row r="140">
      <c r="E140" t="inlineStr">
        <is>
          <t>Tip Top Capital</t>
        </is>
      </c>
    </row>
    <row r="141">
      <c r="E141" t="inlineStr">
        <is>
          <t>Top Floor Advance</t>
        </is>
      </c>
    </row>
    <row r="142">
      <c r="E142" t="inlineStr">
        <is>
          <t>Triumph Cap Fund</t>
        </is>
      </c>
    </row>
    <row r="143">
      <c r="E143" t="inlineStr">
        <is>
          <t>True Eagle Capital</t>
        </is>
      </c>
    </row>
    <row r="144">
      <c r="E144" t="inlineStr">
        <is>
          <t>True Path Funding</t>
        </is>
      </c>
    </row>
    <row r="145">
      <c r="E145" t="inlineStr">
        <is>
          <t>TRUSTFI</t>
        </is>
      </c>
    </row>
    <row r="146">
      <c r="E146" t="inlineStr">
        <is>
          <t>United Secured Capital 8</t>
        </is>
      </c>
    </row>
    <row r="147">
      <c r="E147" t="inlineStr">
        <is>
          <t>upcrunch</t>
        </is>
      </c>
    </row>
    <row r="148">
      <c r="E148" t="inlineStr">
        <is>
          <t>Upright Advance Corp</t>
        </is>
      </c>
    </row>
    <row r="149">
      <c r="E149" t="inlineStr">
        <is>
          <t>Upwise capital</t>
        </is>
      </c>
    </row>
    <row r="150">
      <c r="E150" t="inlineStr">
        <is>
          <t>Vanguard Equities</t>
        </is>
      </c>
    </row>
    <row r="151">
      <c r="E151" t="inlineStr">
        <is>
          <t>Vantage Cap Group</t>
        </is>
      </c>
    </row>
    <row r="152">
      <c r="E152" t="inlineStr">
        <is>
          <t>Viking Funding LLC</t>
        </is>
      </c>
    </row>
    <row r="153">
      <c r="E153" t="inlineStr">
        <is>
          <t>Vital Funding</t>
        </is>
      </c>
    </row>
    <row r="154">
      <c r="E154" t="inlineStr">
        <is>
          <t>Westwood</t>
        </is>
      </c>
    </row>
    <row r="155">
      <c r="E155" t="inlineStr">
        <is>
          <t>Wisco Capital</t>
        </is>
      </c>
    </row>
    <row r="156">
      <c r="E156" t="inlineStr">
        <is>
          <t>WOTR Enterprise LLC</t>
        </is>
      </c>
    </row>
    <row r="157">
      <c r="E157" t="inlineStr">
        <is>
          <t>YM ventures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2026-09-07T17:01:35Z</dcterms:created>
  <dcterms:modified xmlns:dcterms="http://purl.org/dc/terms/" xmlns:xsi="http://www.w3.org/2001/XMLSchema-instance" xsi:type="dcterms:W3CDTF">2026-09-07T17:01:37Z</dcterms:modified>
</cp:coreProperties>
</file>